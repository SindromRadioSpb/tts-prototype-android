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b4fb7fc12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5945c154fb064f9a"/>
    <x:sheet xmlns:r="http://schemas.openxmlformats.org/officeDocument/2006/relationships" name="365 дней" sheetId="2" r:id="Rd4ba4077d2574f27"/>
    <x:sheet xmlns:r="http://schemas.openxmlformats.org/officeDocument/2006/relationships" name="Выбор редактора" sheetId="3" r:id="Rb0b10ae187444937"/>
    <x:sheet xmlns:r="http://schemas.openxmlformats.org/officeDocument/2006/relationships" name="Подборки" sheetId="4" r:id="R8df3fa1fd8694212"/>
    <x:sheet xmlns:r="http://schemas.openxmlformats.org/officeDocument/2006/relationships" name="Видео" sheetId="5" r:id="R2c4b1110942047d6"/>
    <x:sheet xmlns:r="http://schemas.openxmlformats.org/officeDocument/2006/relationships" name="Исключения" sheetId="6" r:id="R8657b482206343d5"/>
    <x:sheet xmlns:r="http://schemas.openxmlformats.org/officeDocument/2006/relationships" name="Методика" sheetId="7" r:id="Rab1c542471a8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#,##0"/>
    <x:numFmt numFmtId="202" formatCode="yyyy-mm-dd"/>
    <x:numFmt numFmtId="203" formatCode="0.0"/>
    <x:numFmt numFmtId="204" formatCode="0.0%"/>
  </x:numFmts>
  <x:fonts count="6">
    <x:font>
      <x:sz val="11"/>
      <x:name val="Carlito"/>
    </x:font>
    <x:font>
      <x:sz val="10"/>
      <x:color rgb="FF182B40"/>
      <x:name val="Arial"/>
    </x:font>
    <x:font>
      <x:b/>
      <x:sz val="14"/>
      <x:color rgb="FF203A59"/>
      <x:name val="Arial"/>
    </x:font>
    <x:font>
      <x:b/>
      <x:sz val="10"/>
      <x:color rgb="FFFFFFFF"/>
      <x:name val="Arial"/>
    </x:font>
    <x:font>
      <x:sz val="10"/>
      <x:color rgb="FF2358A8"/>
      <x:name val="Arial"/>
    </x:font>
    <x:font>
      <x:b/>
      <x:sz val="12"/>
      <x:color rgb="FF203A5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9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245529"/>
      </x:font>
      <x:fill>
        <x:patternFill patternType="solid">
          <x:bgColor rgb="FFE2EFDA"/>
        </x:patternFill>
      </x:fill>
    </x:dxf>
    <x:dxf>
      <x:font>
        <x:color rgb="FF9C2020"/>
      </x:font>
      <x:fill>
        <x:patternFill patternType="solid">
          <x:bgColor rgb="FFFCE6E6"/>
        </x:patternFill>
      </x:fill>
    </x:dxf>
    <x:dxf>
      <x:fill>
        <x:patternFill patternType="solid">
          <x:bgColor rgb="FFE7EDF4"/>
        </x:patternFill>
      </x:fill>
    </x:dxf>
    <x:dxf>
      <x:font>
        <x:color rgb="FF9C2020"/>
      </x:font>
      <x:fill>
        <x:patternFill patternType="solid">
          <x:bgColor rgb="FFFCE6E6"/>
        </x:patternFill>
      </x:fill>
    </x:dxf>
    <x:dxf>
      <x:font>
        <x:color rgb="FF245529"/>
      </x:font>
      <x:fill>
        <x:patternFill patternType="solid">
          <x:bgColor rgb="FFE2EF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9c475843e41f2" /><Relationship Type="http://schemas.openxmlformats.org/officeDocument/2006/relationships/theme" Target="/xl/theme/theme1.xml" Id="R8360a0e9a7704aca" /><Relationship Type="http://schemas.openxmlformats.org/officeDocument/2006/relationships/sharedStrings" Target="/xl/sharedStrings.xml" Id="Rd047c61e42944424" /><Relationship Type="http://schemas.openxmlformats.org/officeDocument/2006/relationships/worksheet" Target="/xl/worksheets/sheet1.xml" Id="R5945c154fb064f9a" /><Relationship Type="http://schemas.openxmlformats.org/officeDocument/2006/relationships/worksheet" Target="/xl/worksheets/sheet2.xml" Id="Rd4ba4077d2574f27" /><Relationship Type="http://schemas.openxmlformats.org/officeDocument/2006/relationships/worksheet" Target="/xl/worksheets/sheet3.xml" Id="Rb0b10ae187444937" /><Relationship Type="http://schemas.openxmlformats.org/officeDocument/2006/relationships/worksheet" Target="/xl/worksheets/sheet4.xml" Id="R8df3fa1fd8694212" /><Relationship Type="http://schemas.openxmlformats.org/officeDocument/2006/relationships/worksheet" Target="/xl/worksheets/sheet5.xml" Id="R2c4b1110942047d6" /><Relationship Type="http://schemas.openxmlformats.org/officeDocument/2006/relationships/worksheet" Target="/xl/worksheets/sheet6.xml" Id="R8657b482206343d5" /><Relationship Type="http://schemas.openxmlformats.org/officeDocument/2006/relationships/worksheet" Target="/xl/worksheets/sheet7.xml" Id="Rab1c542471a842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3acbaf237146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Состав предложенного года · публикации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Слотов в плане</c:v>
          </c:tx>
          <c:spPr>
            <a:solidFill xmlns:a="http://schemas.openxmlformats.org/drawingml/2006/main">
              <a:srgbClr val="38659B"/>
            </a:solidFill>
          </c:spPr>
          <c:invertIfNegative val="0"/>
          <c:cat>
            <c:strRef>
              <c:f>'Обзор'!$A$17:$A$24</c:f>
              <c:strCache>
                <c:ptCount val="0"/>
              </c:strCache>
            </c:strRef>
          </c:cat>
          <c:val>
            <c:numRef>
              <c:f>'Обзор'!$B$17:$B$24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3acbaf237146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search1" displayName="Research1" ref="A6:U371" headerRowCount="1" totalsRowCount="0" totalsRowShown="0">
  <x:tableColumns count="21">
    <x:tableColumn id="1" name="Дата"/>
    <x:tableColumn id="2" name="День"/>
    <x:tableColumn id="3" name="Рубрика"/>
    <x:tableColumn id="4" name="Выбранный YouTube ID"/>
    <x:tableColumn id="5" name="Название оригинала"/>
    <x:tableColumn id="6" name="Подборка ID"/>
    <x:tableColumn id="7" name="Формат"/>
    <x:tableColumn id="8" name="Уровень — гипотеза"/>
    <x:tableColumn id="9" name="Полный просмотр, мин"/>
    <x:tableColumn id="10" name="Учебная сессия, мин — гипотеза"/>
    <x:tableColumn id="11" name="Готовность"/>
    <x:tableColumn id="12" name="Резервный YouTube ID"/>
    <x:tableColumn id="13" name="Название резерва"/>
    <x:tableColumn id="14" name="Повод / сезонность"/>
    <x:tableColumn id="15" name="Почему выбрать"/>
    <x:tableColumn id="16" name="Ссылка на видео"/>
    <x:tableColumn id="17" name="Статус редактора"/>
    <x:tableColumn id="18" name="Заметка редактора"/>
    <x:tableColumn id="19" name="Источник даты повода"/>
    <x:tableColumn id="20" name="Правило резерва"/>
    <x:tableColumn id="21" name="Повторы в календар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Research2" displayName="Research2" ref="A6:L183" headerRowCount="1" totalsRowCount="0" totalsRowShown="0">
  <x:tableColumns count="12">
    <x:tableColumn id="1" name="YouTube ID"/>
    <x:tableColumn id="2" name="Название оригинала"/>
    <x:tableColumn id="3" name="Тема"/>
    <x:tableColumn id="4" name="Почему выбрать — гипотеза"/>
    <x:tableColumn id="5" name="Формат"/>
    <x:tableColumn id="6" name="Уровень — гипотеза"/>
    <x:tableColumn id="7" name="Просмотры"/>
    <x:tableColumn id="8" name="× медианы цикла"/>
    <x:tableColumn id="9" name="Готовность"/>
    <x:tableColumn id="10" name="Ссылка на видео"/>
    <x:tableColumn id="11" name="Подборка ID"/>
    <x:tableColumn id="12" name="В плане года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3" displayName="Research3" ref="A6:T96" headerRowCount="1" totalsRowCount="0" totalsRowShown="0">
  <x:tableColumns count="20">
    <x:tableColumn id="1" name="Подборка ID"/>
    <x:tableColumn id="2" name="Название оригинала"/>
    <x:tableColumn id="3" name="Тема"/>
    <x:tableColumn id="4" name="Аудитория — гипотеза"/>
    <x:tableColumn id="5" name="Формат"/>
    <x:tableColumn id="6" name="Уровень — гипотеза"/>
    <x:tableColumn id="7" name="Почему включить"/>
    <x:tableColumn id="8" name="Учебный сценарий"/>
    <x:tableColumn id="9" name="Редакторский ракурс"/>
    <x:tableColumn id="10" name="Приоритет пилота"/>
    <x:tableColumn id="11" name="Найдено в срезе"/>
    <x:tableColumn id="12" name="Кандидатов после отбора"/>
    <x:tableColumn id="13" name="Совпало с каталогом"/>
    <x:tableColumn id="14" name="Медиана просмотров в выборке"/>
    <x:tableColumn id="15" name="Лимит выборки"/>
    <x:tableColumn id="16" name="Список полный?"/>
    <x:tableColumn id="17" name="Чувствительность / ограничения"/>
    <x:tableColumn id="18" name="Канал"/>
    <x:tableColumn id="19" name="Ссылка на подборку"/>
    <x:tableColumn id="20" name="Дата проверк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esearch4" displayName="Research4" ref="A6:AN1508" headerRowCount="1" totalsRowCount="0" totalsRowShown="0">
  <x:tableColumns count="40">
    <x:tableColumn id="1" name="YouTube ID"/>
    <x:tableColumn id="2" name="Название оригинала"/>
    <x:tableColumn id="3" name="Тема"/>
    <x:tableColumn id="4" name="Формат"/>
    <x:tableColumn id="5" name="Кому интересно — гипотеза"/>
    <x:tableColumn id="6" name="Уровень — гипотеза"/>
    <x:tableColumn id="7" name="Полная длительность, мин"/>
    <x:tableColumn id="8" name="Просмотры"/>
    <x:tableColumn id="9" name="Точность просмотров"/>
    <x:tableColumn id="10" name="Просмотры в списке"/>
    <x:tableColumn id="11" name="Медиана выборки цикла"/>
    <x:tableColumn id="12" name="× медианы цикла"/>
    <x:tableColumn id="13" name="Почему выбрать — гипотеза"/>
    <x:tableColumn id="14" name="Учебный сценарий"/>
    <x:tableColumn id="15" name="Чувствительность / ограничения"/>
    <x:tableColumn id="16" name="Полный выпуск или фрагмент"/>
    <x:tableColumn id="17" name="Есть в публичном каталоге"/>
    <x:tableColumn id="18" name="Основная подборка ID"/>
    <x:tableColumn id="19" name="Все подборки ID"/>
    <x:tableColumn id="20" name="Канал"/>
    <x:tableColumn id="21" name="Ссылка на видео"/>
    <x:tableColumn id="22" name="Метаданные проверены"/>
    <x:tableColumn id="23" name="Дата загрузки"/>
    <x:tableColumn id="24" name="Язык по метаданным"/>
    <x:tableColumn id="25" name="Дорожка HE"/>
    <x:tableColumn id="26" name="Встраивание по метаданным"/>
    <x:tableColumn id="27" name="Глубина проверки"/>
    <x:tableColumn id="28" name="Средние просмотры / день за весь срок"/>
    <x:tableColumn id="29" name="Решение редактора"/>
    <x:tableColumn id="30" name="Плеер проверен"/>
    <x:tableColumn id="31" name="Речь HE проверена"/>
    <x:tableColumn id="32" name="Текст и тайминг проверены"/>
    <x:tableColumn id="33" name="Основание использования проверено"/>
    <x:tableColumn id="34" name="Учебный пакет проверен"/>
    <x:tableColumn id="35" name="Готовность к публикации"/>
    <x:tableColumn id="36" name="Заметка редактора"/>
    <x:tableColumn id="37" name="Источник списка"/>
    <x:tableColumn id="38" name="Позиция в исходном списке"/>
    <x:tableColumn id="39" name="Номер серии"/>
    <x:tableColumn id="40" name="Возрастной флаг YouTub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5" displayName="Research5" ref="A6:E118" headerRowCount="1" totalsRowCount="0" totalsRowShown="0">
  <x:tableColumns count="5">
    <x:tableColumn id="1" name="YouTube ID"/>
    <x:tableColumn id="2" name="Подборка ID"/>
    <x:tableColumn id="3" name="Название"/>
    <x:tableColumn id="4" name="Причина исключения"/>
    <x:tableColumn id="5" name="Ссылк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6" displayName="Research6" ref="A6:C31" headerRowCount="1" totalsRowCount="0" totalsRowShown="0">
  <x:tableColumns count="3">
    <x:tableColumn id="1" name="Пункт"/>
    <x:tableColumn id="2" name="Правило и границы доказательств"/>
    <x:tableColumn id="3" name="Источник / место данны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6e35d8cd614c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fa948e9b644a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6fbda3a3c340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75305cbdbc4e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185c5ac4bc43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8129c1df6f45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5baf9712074cd6" /></Relationships>
</file>

<file path=xl/worksheets/sheet1.xml><?xml version="1.0" encoding="utf-8"?>
<x:worksheet xmlns:x="http://schemas.openxmlformats.org/spreadsheetml/2006/main">
  <x:sheetPr>
    <x:tabColor rgb="FF203A59"/>
  </x:sheetPr>
  <x:sheetViews>
    <x:sheetView showGridLines="0" workbookViewId="0"/>
  </x:sheetViews>
  <x:sheetFormatPr defaultRowHeight="15"/>
  <x:cols>
    <x:col min="1" max="1" width="33" hidden="0" customWidth="1"/>
    <x:col min="2" max="2" width="32" hidden="0" customWidth="1"/>
    <x:col min="3" max="3" width="38" hidden="0" customWidth="1"/>
    <x:col min="4" max="4" width="38" hidden="0" customWidth="1"/>
    <x:col min="5" max="5" width="35" hidden="0" customWidth="1"/>
    <x:col min="6" max="6" width="5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2" t="str">
        <x:v>Медиатека на год · выбор редактора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Срез</x:v>
      </x:c>
      <x:c r="B4" s="20" t="n">
        <x:v>46308</x:v>
      </x:c>
      <x:c r="C4" s="1"/>
      <x:c r="D4" s="1" t="str">
        <x:v>Начните с листа «Выбор редактора», затем выбирайте ID в «365 дней».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Начало</x:v>
      </x:c>
      <x:c r="B5" s="20" t="n">
        <x:v>46309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Конец</x:v>
      </x:c>
      <x:c r="B6" s="20" t="n">
        <x:v>46673</x:v>
      </x:c>
      <x:c r="C6" s="1"/>
      <x:c r="D6" s="1" t="str">
        <x:v>Жёлтые поля — решения редактора. Источник и исходные метрики сохранены отдельно.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Видео в реестре</x:v>
      </x:c>
      <x:c r="B8" s="21" t="n">
        <x:f>COUNTA('Видео'!A7:A1508)</x:f>
        <x:v>1502</x:v>
      </x:c>
      <x:c r="C8" s="1"/>
      <x:c r="D8" s="1" t="str">
        <x:v>План заполнен кандидатами; готовность публикации требует проверки выпуска и учебного пакета.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Подборки</x:v>
      </x:c>
      <x:c r="B9" s="21" t="n">
        <x:f>COUNTA('Подборки'!A7:A96)</x:f>
        <x:v>90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Публикационных дней</x:v>
      </x:c>
      <x:c r="B10" s="21" t="n">
        <x:f>COUNTA('365 дней'!A7:A371)</x:f>
        <x:v>365</x:v>
      </x:c>
      <x:c r="C10" s="1"/>
      <x:c r="D10" s="1" t="str">
        <x:v>Просмотры измерены. Сегменты, языковые уровни и учебная ценность — проверяемые гипотезы.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Метаданные видео проверены</x:v>
      </x:c>
      <x:c r="B11" s="21" t="n">
        <x:f>COUNTIFS('Видео'!AA7:AA1508,"Метаданные видео; воспроизведение и содержание не проверены")</x:f>
        <x:v>871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Готово к публикации</x:v>
      </x:c>
      <x:c r="B12" s="21" t="n">
        <x:f>COUNTIFS('Видео'!AI7:AI1508,"Готово")</x:f>
        <x:v>0</x:v>
      </x:c>
      <x:c r="C12" s="1"/>
      <x:c r="D12" s="1" t="str">
        <x:v>Сетка охватывает сериалы, интервью, повседневность, образование, историю, культуру и память.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 t="str">
        <x:v>Совпало с публичным каталогом</x:v>
      </x:c>
      <x:c r="B13" s="21" t="n">
        <x:f>COUNTIFS('Видео'!Q7:Q1508,"Да")</x:f>
        <x:v>13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36" customHeight="1">
      <x:c r="A16" s="7" t="str">
        <x:v>Формат</x:v>
      </x:c>
      <x:c r="B16" s="7" t="str">
        <x:v>Слотов в плане</x:v>
      </x:c>
      <x:c r="C16" s="7" t="str">
        <x:v>Доля плана</x:v>
      </x:c>
      <x:c r="D16" s="7" t="str">
        <x:v>Видео-кандидатов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 t="str">
        <x:v>Сериал</x:v>
      </x:c>
      <x:c r="B17" s="1" t="n">
        <x:f>COUNTIFS('365 дней'!G7:G371,A17)</x:f>
        <x:v>98</x:v>
      </x:c>
      <x:c r="C17" s="22" t="n">
        <x:f>B17/$B$10</x:f>
        <x:v>0.2684931506849315</x:v>
      </x:c>
      <x:c r="D17" s="1" t="n">
        <x:f>COUNTIFS('Видео'!D7:D1508,A17)</x:f>
        <x:v>321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 t="str">
        <x:v>Интервью</x:v>
      </x:c>
      <x:c r="B18" s="1" t="n">
        <x:f>COUNTIFS('365 дней'!G7:G371,A18)</x:f>
        <x:v>51</x:v>
      </x:c>
      <x:c r="C18" s="22" t="n">
        <x:f>B18/$B$10</x:f>
        <x:v>0.13972602739726028</x:v>
      </x:c>
      <x:c r="D18" s="1" t="n">
        <x:f>COUNTIFS('Видео'!D7:D1508,A18)</x:f>
        <x:v>215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 t="str">
        <x:v>Быт</x:v>
      </x:c>
      <x:c r="B19" s="1" t="n">
        <x:f>COUNTIFS('365 дней'!G7:G371,A19)</x:f>
        <x:v>52</x:v>
      </x:c>
      <x:c r="C19" s="22" t="n">
        <x:f>B19/$B$10</x:f>
        <x:v>0.14246575342465753</x:v>
      </x:c>
      <x:c r="D19" s="1" t="n">
        <x:f>COUNTIFS('Видео'!D7:D1508,A19)</x:f>
        <x:v>230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 t="str">
        <x:v>Образование</x:v>
      </x:c>
      <x:c r="B20" s="1" t="n">
        <x:f>COUNTIFS('365 дней'!G7:G371,A20)</x:f>
        <x:v>49</x:v>
      </x:c>
      <x:c r="C20" s="22" t="n">
        <x:f>B20/$B$10</x:f>
        <x:v>0.13424657534246576</x:v>
      </x:c>
      <x:c r="D20" s="1" t="n">
        <x:f>COUNTIFS('Видео'!D7:D1508,A20)</x:f>
        <x:v>361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 t="str">
        <x:v>Общество</x:v>
      </x:c>
      <x:c r="B21" s="1" t="n">
        <x:f>COUNTIFS('365 дней'!G7:G371,A21)</x:f>
        <x:v>41</x:v>
      </x:c>
      <x:c r="C21" s="22" t="n">
        <x:f>B21/$B$10</x:f>
        <x:v>0.11232876712328767</x:v>
      </x:c>
      <x:c r="D21" s="1" t="n">
        <x:f>COUNTIFS('Видео'!D7:D1508,A21)</x:f>
        <x:v>166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 t="str">
        <x:v>История</x:v>
      </x:c>
      <x:c r="B22" s="1" t="n">
        <x:f>COUNTIFS('365 дней'!G7:G371,A22)</x:f>
        <x:v>34</x:v>
      </x:c>
      <x:c r="C22" s="22" t="n">
        <x:f>B22/$B$10</x:f>
        <x:v>0.09315068493150686</x:v>
      </x:c>
      <x:c r="D22" s="1" t="n">
        <x:f>COUNTIFS('Видео'!D7:D1508,A22)</x:f>
        <x:v>99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 t="str">
        <x:v>Культура</x:v>
      </x:c>
      <x:c r="B23" s="1" t="n">
        <x:f>COUNTIFS('365 дней'!G7:G371,A23)</x:f>
        <x:v>25</x:v>
      </x:c>
      <x:c r="C23" s="22" t="n">
        <x:f>B23/$B$10</x:f>
        <x:v>0.0684931506849315</x:v>
      </x:c>
      <x:c r="D23" s="1" t="n">
        <x:f>COUNTIFS('Видео'!D7:D1508,A23)</x:f>
        <x:v>74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 t="str">
        <x:v>Память</x:v>
      </x:c>
      <x:c r="B24" s="1" t="n">
        <x:f>COUNTIFS('365 дней'!G7:G371,A24)</x:f>
        <x:v>15</x:v>
      </x:c>
      <x:c r="C24" s="22" t="n">
        <x:f>B24/$B$10</x:f>
        <x:v>0.0410958904109589</x:v>
      </x:c>
      <x:c r="D24" s="1" t="n">
        <x:f>COUNTIFS('Видео'!D7:D1508,A24)</x:f>
        <x:v>36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40" customHeight="1">
      <x:c r="A34" s="7" t="str">
        <x:v>Сегмент — гипотеза</x:v>
      </x:c>
      <x:c r="B34" s="7" t="str">
        <x:v>Задача зрителя</x:v>
      </x:c>
      <x:c r="C34" s="7" t="str">
        <x:v>Что предложить</x:v>
      </x:c>
      <x:c r="D34" s="7" t="str">
        <x:v>Подборки ID</x:v>
      </x:c>
      <x:c r="E34" s="7" t="str">
        <x:v>Язык — гипотеза</x:v>
      </x:c>
      <x:c r="F34" s="7" t="str">
        <x:v>Как проверить спрос</x:v>
      </x:c>
      <x:c r="G34" s="1"/>
      <x:c r="H34" s="1"/>
      <x:c r="I34" s="1"/>
      <x:c r="J34" s="1"/>
      <x:c r="K34" s="1"/>
      <x:c r="L34" s="1"/>
      <x:c r="M34" s="1"/>
      <x:c r="N34" s="1"/>
    </x:row>
    <x:row r="35" ht="64" customHeight="1">
      <x:c r="A35" s="10" t="str">
        <x:v>Новые репатрианты</x:v>
      </x:c>
      <x:c r="B35" s="10" t="str">
        <x:v>Понимать быт и общение</x:v>
      </x:c>
      <x:c r="C35" s="10" t="str">
        <x:v>Купа рашит; Zoom In; деньги; места</x:v>
      </x:c>
      <x:c r="D35" s="10" t="str">
        <x:v>C003, C043, C048, C049</x:v>
      </x:c>
      <x:c r="E35" s="10" t="str">
        <x:v>A2–B2 с выбранным фрагментом</x:v>
      </x:c>
      <x:c r="F35" s="10" t="str">
        <x:v>Проверять сохранения и повторное использование фраз</x:v>
      </x:c>
      <x:c r="G35" s="1"/>
      <x:c r="H35" s="1"/>
      <x:c r="I35" s="1"/>
      <x:c r="J35" s="1"/>
      <x:c r="K35" s="1"/>
      <x:c r="L35" s="1"/>
      <x:c r="M35" s="1"/>
      <x:c r="N35" s="1"/>
    </x:row>
    <x:row r="36" ht="64" customHeight="1">
      <x:c r="A36" s="10" t="str">
        <x:v>Любители сериалов</x:v>
      </x:c>
      <x:c r="B36" s="10" t="str">
        <x:v>Продолжать сюжет в оригинале</x:v>
      </x:c>
      <x:c r="C36" s="10" t="str">
        <x:v>Комедия; детектив; театр; армия</x:v>
      </x:c>
      <x:c r="D36" s="10" t="str">
        <x:v>C004–C010</x:v>
      </x:c>
      <x:c r="E36" s="10" t="str">
        <x:v>B1–C1</x:v>
      </x:c>
      <x:c r="F36" s="10" t="str">
        <x:v>Смотреть переход к следующей серии и возврат через неделю</x:v>
      </x:c>
      <x:c r="G36" s="1"/>
      <x:c r="H36" s="1"/>
      <x:c r="I36" s="1"/>
      <x:c r="J36" s="1"/>
      <x:c r="K36" s="1"/>
      <x:c r="L36" s="1"/>
      <x:c r="M36" s="1"/>
      <x:c r="N36" s="1"/>
    </x:row>
    <x:row r="37" ht="64" customHeight="1">
      <x:c r="A37" s="10" t="str">
        <x:v>Любители интервью</x:v>
      </x:c>
      <x:c r="B37" s="10" t="str">
        <x:v>Знакомиться с людьми и идеями</x:v>
      </x:c>
      <x:c r="C37" s="10" t="str">
        <x:v>Рони Кувен; Одед Харуш; Project 001</x:v>
      </x:c>
      <x:c r="D37" s="10" t="str">
        <x:v>C012–C017, C082, C086</x:v>
      </x:c>
      <x:c r="E37" s="10" t="str">
        <x:v>B2–C1</x:v>
      </x:c>
      <x:c r="F37" s="10" t="str">
        <x:v>Сопоставлять гостей, темы и продолжение просмотра</x:v>
      </x:c>
      <x:c r="G37" s="1"/>
      <x:c r="H37" s="1"/>
      <x:c r="I37" s="1"/>
      <x:c r="J37" s="1"/>
      <x:c r="K37" s="1"/>
      <x:c r="L37" s="1"/>
      <x:c r="M37" s="1"/>
      <x:c r="N37" s="1"/>
    </x:row>
    <x:row r="38" ht="64" customHeight="1">
      <x:c r="A38" s="10" t="str">
        <x:v>История и еврейское наследие</x:v>
      </x:c>
      <x:c r="B38" s="10" t="str">
        <x:v>Понять эпоху, общины и культуру</x:v>
      </x:c>
      <x:c r="C38" s="10" t="str">
        <x:v>Мандат; древняя история; литература; общины</x:v>
      </x:c>
      <x:c r="D38" s="10" t="str">
        <x:v>C028–C032, C065–C078</x:v>
      </x:c>
      <x:c r="E38" s="10" t="str">
        <x:v>B2–C1</x:v>
      </x:c>
      <x:c r="F38" s="10" t="str">
        <x:v>Сравнивать сохранения тематического маршрута</x:v>
      </x:c>
      <x:c r="G38" s="1"/>
      <x:c r="H38" s="1"/>
      <x:c r="I38" s="1"/>
      <x:c r="J38" s="1"/>
      <x:c r="K38" s="1"/>
      <x:c r="L38" s="1"/>
      <x:c r="M38" s="1"/>
      <x:c r="N38" s="1"/>
    </x:row>
    <x:row r="39" ht="64" customHeight="1">
      <x:c r="A39" s="10" t="str">
        <x:v>Семьи и подростки</x:v>
      </x:c>
      <x:c r="B39" s="10" t="str">
        <x:v>Смотреть и обсуждать вместе</x:v>
      </x:c>
      <x:c r="C39" s="10" t="str">
        <x:v>Карамель; Шакшука; Галилео; наука дома</x:v>
      </x:c>
      <x:c r="D39" s="10" t="str">
        <x:v>C053–C058, C061</x:v>
      </x:c>
      <x:c r="E39" s="10" t="str">
        <x:v>A1–B2; возраст и формат отдельно</x:v>
      </x:c>
      <x:c r="F39" s="10" t="str">
        <x:v>Проверять семейный спрос отдельно от взрослого</x:v>
      </x:c>
      <x:c r="G39" s="1"/>
      <x:c r="H39" s="1"/>
      <x:c r="I39" s="1"/>
      <x:c r="J39" s="1"/>
      <x:c r="K39" s="1"/>
      <x:c r="L39" s="1"/>
      <x:c r="M39" s="1"/>
      <x:c r="N39" s="1"/>
    </x:row>
    <x:row r="40" ht="64" customHeight="1">
      <x:c r="A40" s="10" t="str">
        <x:v>Технологии, работа и наука</x:v>
      </x:c>
      <x:c r="B40" s="10" t="str">
        <x:v>Содержательный профессиональный интерес</x:v>
      </x:c>
      <x:c r="C40" s="10" t="str">
        <x:v>Юникорнз; экономика; Дэвидсон</x:v>
      </x:c>
      <x:c r="D40" s="10" t="str">
        <x:v>C034–C035, C059–C064</x:v>
      </x:c>
      <x:c r="E40" s="10" t="str">
        <x:v>B1–C1</x:v>
      </x:c>
      <x:c r="F40" s="10" t="str">
        <x:v>Сравнивать интерес к теме и завершение фрагмента</x:v>
      </x:c>
      <x:c r="G40" s="1"/>
      <x:c r="H40" s="1"/>
      <x:c r="I40" s="1"/>
      <x:c r="J40" s="1"/>
      <x:c r="K40" s="1"/>
      <x:c r="L40" s="1"/>
      <x:c r="M40" s="1"/>
      <x:c r="N40" s="1"/>
    </x:row>
    <x:row r="41" ht="64" customHeight="1">
      <x:c r="A41" s="10" t="str">
        <x:v>Повседневность и лёгкий просмотр</x:v>
      </x:c>
      <x:c r="B41" s="10" t="str">
        <x:v>Короткий регулярный контакт с ивритом</x:v>
      </x:c>
      <x:c r="C41" s="10" t="str">
        <x:v>Докотайм; еда; путешествия; спорт</x:v>
      </x:c>
      <x:c r="D41" s="10" t="str">
        <x:v>C022–C024, C038–C039, C043</x:v>
      </x:c>
      <x:c r="E41" s="10" t="str">
        <x:v>B1–B2</x:v>
      </x:c>
      <x:c r="F41" s="10" t="str">
        <x:v>Проверять ежедневные возвраты и полный короткий просмотр</x:v>
      </x:c>
      <x:c r="G41" s="1"/>
      <x:c r="H41" s="1"/>
      <x:c r="I41" s="1"/>
      <x:c r="J41" s="1"/>
      <x:c r="K41" s="1"/>
      <x:c r="L41" s="1"/>
      <x:c r="M41" s="1"/>
      <x:c r="N41" s="1"/>
    </x:row>
    <x:row r="42" ht="64" customHeight="1">
      <x:c r="A42" s="10" t="str">
        <x:v>Память и общество</x:v>
      </x:c>
      <x:c r="B42" s="10" t="str">
        <x:v>Услышать свидетельство и разные опыты</x:v>
      </x:c>
      <x:c r="C42" s="10" t="str">
        <x:v>7 октября; Шоа; личные рассказы</x:v>
      </x:c>
      <x:c r="D42" s="10" t="str">
        <x:v>C041–C042, C046, C052, C076–C078</x:v>
      </x:c>
      <x:c r="E42" s="10" t="str">
        <x:v>B1–C1; добровольный просмотр</x:v>
      </x:c>
      <x:c r="F42" s="10" t="str">
        <x:v>Измерять осознанный выбор; не стимулировать тяжёлые просмотры</x:v>
      </x:c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24" t="str">
        <x:v>Источники: официальные каталоги и авторские каналы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40" customHeight="1">
      <x:c r="A48" s="7" t="str">
        <x:v>Канал</x:v>
      </x:c>
      <x:c r="B48" s="7" t="str">
        <x:v>Основной маршрут</x:v>
      </x:c>
      <x:c r="C48" s="7" t="str">
        <x:v>Подписчики ≈</x:v>
      </x:c>
      <x:c r="D48" s="7" t="str">
        <x:v>Срез</x:v>
      </x:c>
      <x:c r="E48" s="7" t="str">
        <x:v>Роль</x:v>
      </x:c>
      <x:c r="F48" s="7" t="str">
        <x:v>Ссылка</x:v>
      </x:c>
      <x:c r="G48" s="1"/>
      <x:c r="H48" s="1"/>
      <x:c r="I48" s="1"/>
      <x:c r="J48" s="1"/>
      <x:c r="K48" s="1"/>
      <x:c r="L48" s="1"/>
      <x:c r="M48" s="1"/>
      <x:c r="N48" s="1"/>
    </x:row>
    <x:row r="49" ht="54" customHeight="1">
      <x:c r="A49" s="23" t="str">
        <x:v>כאן 11 - תאגיד השידור הישראלי</x:v>
      </x:c>
      <x:c r="B49" s="23" t="str">
        <x:v>Списки официального канала</x:v>
      </x:c>
      <x:c r="C49" s="25" t="n">
        <x:v>1130000</x:v>
      </x:c>
      <x:c r="D49" s="26" t="n">
        <x:v>46308</x:v>
      </x:c>
      <x:c r="E49" s="23" t="str">
        <x:v>Сериалы, интервью, документальные циклы</x:v>
      </x:c>
      <x:c r="F49" s="23" t="str">
        <x:v>https://www.youtube.com/channel/UCKqFqiCe1dCUxRe0_YNZ6gg</x:v>
      </x:c>
      <x:c r="G49" s="1"/>
      <x:c r="H49" s="1"/>
      <x:c r="I49" s="1"/>
      <x:c r="J49" s="1"/>
      <x:c r="K49" s="1"/>
      <x:c r="L49" s="1"/>
      <x:c r="M49" s="1"/>
      <x:c r="N49" s="1"/>
    </x:row>
    <x:row r="50" ht="54" customHeight="1">
      <x:c r="A50" s="23" t="str">
        <x:v>כאן | דיגיטל - תאגיד השידור הישראלי</x:v>
      </x:c>
      <x:c r="B50" s="23" t="str">
        <x:v>Списки официального канала</x:v>
      </x:c>
      <x:c r="C50" s="25" t="n">
        <x:v>310000</x:v>
      </x:c>
      <x:c r="D50" s="26" t="n">
        <x:v>46308</x:v>
      </x:c>
      <x:c r="E50" s="23" t="str">
        <x:v>Короткие истории и объяснения</x:v>
      </x:c>
      <x:c r="F50" s="23" t="str">
        <x:v>https://www.youtube.com/channel/UCDJ6HHS5wkNaSREumdJRYhg</x:v>
      </x:c>
      <x:c r="G50" s="1"/>
      <x:c r="H50" s="1"/>
      <x:c r="I50" s="1"/>
      <x:c r="J50" s="1"/>
      <x:c r="K50" s="1"/>
      <x:c r="L50" s="1"/>
      <x:c r="M50" s="1"/>
      <x:c r="N50" s="1"/>
    </x:row>
    <x:row r="51" ht="54" customHeight="1">
      <x:c r="A51" s="23" t="str">
        <x:v>כאן חינוכית</x:v>
      </x:c>
      <x:c r="B51" s="23" t="str">
        <x:v>Списки официального канала</x:v>
      </x:c>
      <x:c r="C51" s="25" t="n">
        <x:v>1010000</x:v>
      </x:c>
      <x:c r="D51" s="26" t="n">
        <x:v>46308</x:v>
      </x:c>
      <x:c r="E51" s="23" t="str">
        <x:v>Семейные сериалы и образование</x:v>
      </x:c>
      <x:c r="F51" s="23" t="str">
        <x:v>https://www.youtube.com/channel/UC_fUfLFo31WTFZPxgr1EcLA</x:v>
      </x:c>
      <x:c r="G51" s="1"/>
      <x:c r="H51" s="1"/>
      <x:c r="I51" s="1"/>
      <x:c r="J51" s="1"/>
      <x:c r="K51" s="1"/>
      <x:c r="L51" s="1"/>
      <x:c r="M51" s="1"/>
      <x:c r="N51" s="1"/>
    </x:row>
    <x:row r="52" ht="54" customHeight="1">
      <x:c r="A52" s="23" t="str">
        <x:v>מכון דוידסון - סרטוני מדע</x:v>
      </x:c>
      <x:c r="B52" s="23" t="str">
        <x:v>Списки официального канала</x:v>
      </x:c>
      <x:c r="C52" s="25" t="n">
        <x:v>49100</x:v>
      </x:c>
      <x:c r="D52" s="26" t="n">
        <x:v>46308</x:v>
      </x:c>
      <x:c r="E52" s="23" t="str">
        <x:v>Научно-популярные объяснения</x:v>
      </x:c>
      <x:c r="F52" s="23" t="str">
        <x:v>https://www.youtube.com/channel/UCP926AKuhsPeSAnqf8avq7w</x:v>
      </x:c>
      <x:c r="G52" s="1"/>
      <x:c r="H52" s="1"/>
      <x:c r="I52" s="1"/>
      <x:c r="J52" s="1"/>
      <x:c r="K52" s="1"/>
      <x:c r="L52" s="1"/>
      <x:c r="M52" s="1"/>
      <x:c r="N52" s="1"/>
    </x:row>
    <x:row r="53" ht="54" customHeight="1">
      <x:c r="A53" s="23" t="str">
        <x:v>בית אבי חי</x:v>
      </x:c>
      <x:c r="B53" s="23" t="str">
        <x:v>Списки официального канала</x:v>
      </x:c>
      <x:c r="C53" s="25" t="n">
        <x:v>46400</x:v>
      </x:c>
      <x:c r="D53" s="26" t="n">
        <x:v>46308</x:v>
      </x:c>
      <x:c r="E53" s="23" t="str">
        <x:v>История, литература и еврейское наследие</x:v>
      </x:c>
      <x:c r="F53" s="23" t="str">
        <x:v>https://www.youtube.com/channel/UCjazC-ZG_ob-cRR16ZljaxQ</x:v>
      </x:c>
      <x:c r="G53" s="1"/>
      <x:c r="H53" s="1"/>
      <x:c r="I53" s="1"/>
      <x:c r="J53" s="1"/>
      <x:c r="K53" s="1"/>
      <x:c r="L53" s="1"/>
      <x:c r="M53" s="1"/>
      <x:c r="N53" s="1"/>
    </x:row>
    <x:row r="54" ht="54" customHeight="1">
      <x:c r="A54" s="23" t="str">
        <x:v>YadVashem יד ושם</x:v>
      </x:c>
      <x:c r="B54" s="23" t="str">
        <x:v>Списки официального канала</x:v>
      </x:c>
      <x:c r="C54" s="25" t="n">
        <x:v>18800</x:v>
      </x:c>
      <x:c r="D54" s="26" t="n">
        <x:v>46308</x:v>
      </x:c>
      <x:c r="E54" s="23" t="str">
        <x:v>Историческая память и свидетельства</x:v>
      </x:c>
      <x:c r="F54" s="23" t="str">
        <x:v>https://www.youtube.com/channel/UCFcpx55Lto8i_lgMs_V2N8A</x:v>
      </x:c>
      <x:c r="G54" s="1"/>
      <x:c r="H54" s="1"/>
      <x:c r="I54" s="1"/>
      <x:c r="J54" s="1"/>
      <x:c r="K54" s="1"/>
      <x:c r="L54" s="1"/>
      <x:c r="M54" s="1"/>
      <x:c r="N54" s="1"/>
    </x:row>
    <x:row r="55" ht="54" customHeight="1">
      <x:c r="A55" s="23" t="str">
        <x:v>רשת 13</x:v>
      </x:c>
      <x:c r="B55" s="23" t="str">
        <x:v>Списки официального канала</x:v>
      </x:c>
      <x:c r="C55" s="25" t="n">
        <x:v>525000</x:v>
      </x:c>
      <x:c r="D55" s="26" t="n">
        <x:v>46308</x:v>
      </x:c>
      <x:c r="E55" s="23" t="str">
        <x:v>Коммерческое ТВ и фрагменты сериалов</x:v>
      </x:c>
      <x:c r="F55" s="23" t="str">
        <x:v>https://www.youtube.com/channel/UCOyYs3ZtsGMmt3L5eaywsXA</x:v>
      </x:c>
      <x:c r="G55" s="1"/>
      <x:c r="H55" s="1"/>
      <x:c r="I55" s="1"/>
      <x:c r="J55" s="1"/>
      <x:c r="K55" s="1"/>
      <x:c r="L55" s="1"/>
      <x:c r="M55" s="1"/>
      <x:c r="N55" s="1"/>
    </x:row>
    <x:row r="56" ht="54" customHeight="1">
      <x:c r="A56" s="23" t="str">
        <x:v>C14</x:v>
      </x:c>
      <x:c r="B56" s="23" t="str">
        <x:v>Списки официального канала</x:v>
      </x:c>
      <x:c r="C56" s="25" t="n">
        <x:v>490000</x:v>
      </x:c>
      <x:c r="D56" s="26" t="n">
        <x:v>46308</x:v>
      </x:c>
      <x:c r="E56" s="23" t="str">
        <x:v>Интервью, общество и традиция</x:v>
      </x:c>
      <x:c r="F56" s="23" t="str">
        <x:v>https://www.youtube.com/channel/UCKEImtWikw9usC1pl_9m1nQ</x:v>
      </x:c>
      <x:c r="G56" s="1"/>
      <x:c r="H56" s="1"/>
      <x:c r="I56" s="1"/>
      <x:c r="J56" s="1"/>
      <x:c r="K56" s="1"/>
      <x:c r="L56" s="1"/>
      <x:c r="M56" s="1"/>
      <x:c r="N56" s="1"/>
    </x:row>
    <x:row r="57" ht="54" customHeight="1">
      <x:c r="A57" s="23" t="str">
        <x:v>פרויקט 001</x:v>
      </x:c>
      <x:c r="B57" s="23" t="str">
        <x:v>Последние видео авторского канала</x:v>
      </x:c>
      <x:c r="C57" s="25" t="n">
        <x:v>4320</x:v>
      </x:c>
      <x:c r="D57" s="26" t="n">
        <x:v>46308</x:v>
      </x:c>
      <x:c r="E57" s="23" t="str">
        <x:v>Длинные разговоры</x:v>
      </x:c>
      <x:c r="F57" s="23" t="str">
        <x:v>https://www.youtube.com/channel/UCUc1SFhl5CD25j_sBX0rY7w</x:v>
      </x:c>
      <x:c r="G57" s="1"/>
      <x:c r="H57" s="1"/>
      <x:c r="I57" s="1"/>
      <x:c r="J57" s="1"/>
      <x:c r="K57" s="1"/>
      <x:c r="L57" s="1"/>
      <x:c r="M57" s="1"/>
      <x:c r="N57" s="1"/>
    </x:row>
    <x:row r="58" ht="54" customHeight="1">
      <x:c r="A58" s="23" t="str">
        <x:v>גדי טאוב: שומר סף</x:v>
      </x:c>
      <x:c r="B58" s="23" t="str">
        <x:v>Последние видео авторского канала</x:v>
      </x:c>
      <x:c r="C58" s="25" t="n">
        <x:v>62500</x:v>
      </x:c>
      <x:c r="D58" s="26" t="n">
        <x:v>46308</x:v>
      </x:c>
      <x:c r="E58" s="23" t="str">
        <x:v>Авторская общественная дискуссия</x:v>
      </x:c>
      <x:c r="F58" s="23" t="str">
        <x:v>https://www.youtube.com/channel/UC1rREwCkxnNerva93iAmrdQ</x:v>
      </x:c>
      <x:c r="G58" s="1"/>
      <x:c r="H58" s="1"/>
      <x:c r="I58" s="1"/>
      <x:c r="J58" s="1"/>
      <x:c r="K58" s="1"/>
      <x:c r="L58" s="1"/>
      <x:c r="M58" s="1"/>
      <x:c r="N58" s="1"/>
    </x:row>
    <x:row r="59" ht="54" customHeight="1">
      <x:c r="A59" s="23" t="str">
        <x:v>אידיוטים שימושיים - עקיבא ביגמן</x:v>
      </x:c>
      <x:c r="B59" s="23" t="str">
        <x:v>Последние видео авторского канала</x:v>
      </x:c>
      <x:c r="C59" s="25" t="n">
        <x:v>10200</x:v>
      </x:c>
      <x:c r="D59" s="26" t="n">
        <x:v>46308</x:v>
      </x:c>
      <x:c r="E59" s="23" t="str">
        <x:v>Авторская общественная дискуссия</x:v>
      </x:c>
      <x:c r="F59" s="23" t="str">
        <x:v>https://www.youtube.com/channel/UCHE0oCDl9on2gQUIIq4JgoQ</x:v>
      </x:c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</x:sheetData>
  <x:pageMargins left="0.7" right="0.7" top="0.75" bottom="0.75" header="0.3" footer="0.3"/>
  <x:drawing xmlns:r="http://schemas.openxmlformats.org/officeDocument/2006/relationships" r:id="R9b6e35d8cd614c1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9" hidden="0" customWidth="1"/>
    <x:col min="3" max="3" width="18" hidden="0" customWidth="1"/>
    <x:col min="4" max="4" width="18" hidden="0" customWidth="1"/>
    <x:col min="5" max="5" width="55" hidden="0" customWidth="1"/>
    <x:col min="6" max="6" width="16" hidden="0" customWidth="1"/>
    <x:col min="7" max="7" width="18" hidden="0" customWidth="1"/>
    <x:col min="8" max="8" width="25" hidden="0" customWidth="1"/>
    <x:col min="9" max="9" width="17" hidden="0" customWidth="1"/>
    <x:col min="10" max="10" width="19" hidden="0" customWidth="1"/>
    <x:col min="11" max="11" width="27" hidden="0" customWidth="1"/>
    <x:col min="12" max="12" width="18" hidden="0" customWidth="1"/>
    <x:col min="13" max="13" width="55" hidden="0" customWidth="1"/>
    <x:col min="14" max="14" width="62" hidden="0" customWidth="1"/>
    <x:col min="15" max="15" width="76" hidden="0" customWidth="1"/>
    <x:col min="16" max="16" width="48" hidden="0" customWidth="1"/>
    <x:col min="17" max="17" width="23" hidden="0" customWidth="1"/>
    <x:col min="18" max="18" width="45" hidden="0" customWidth="1"/>
    <x:col min="19" max="19" width="54" hidden="0" customWidth="1"/>
    <x:col min="20" max="20" width="70" hidden="0" customWidth="1"/>
    <x:col min="21" max="21" width="22" hidden="0" customWidth="1"/>
  </x:cols>
  <x:sheetData>
    <x:row r="2">
      <x:c r="A2" s="2" t="str">
        <x:v>Предложенный календарь · 14.10.2026–13.10.2027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44" customHeight="1">
      <x:c r="A6" s="8" t="str">
        <x:v>Дата</x:v>
      </x:c>
      <x:c r="B6" s="8" t="str">
        <x:v>День</x:v>
      </x:c>
      <x:c r="C6" s="8" t="str">
        <x:v>Рубрика</x:v>
      </x:c>
      <x:c r="D6" s="8" t="str">
        <x:v>Выбранный YouTube ID</x:v>
      </x:c>
      <x:c r="E6" s="8" t="str">
        <x:v>Название оригинала</x:v>
      </x:c>
      <x:c r="F6" s="8" t="str">
        <x:v>Подборка ID</x:v>
      </x:c>
      <x:c r="G6" s="8" t="str">
        <x:v>Формат</x:v>
      </x:c>
      <x:c r="H6" s="8" t="str">
        <x:v>Уровень — гипотеза</x:v>
      </x:c>
      <x:c r="I6" s="8" t="str">
        <x:v>Полный просмотр, мин</x:v>
      </x:c>
      <x:c r="J6" s="8" t="str">
        <x:v>Учебная сессия, мин — гипотеза</x:v>
      </x:c>
      <x:c r="K6" s="8" t="str">
        <x:v>Готовность</x:v>
      </x:c>
      <x:c r="L6" s="8" t="str">
        <x:v>Резервный YouTube ID</x:v>
      </x:c>
      <x:c r="M6" s="8" t="str">
        <x:v>Название резерва</x:v>
      </x:c>
      <x:c r="N6" s="8" t="str">
        <x:v>Повод / сезонность</x:v>
      </x:c>
      <x:c r="O6" s="8" t="str">
        <x:v>Почему выбрать</x:v>
      </x:c>
      <x:c r="P6" s="8" t="str">
        <x:v>Ссылка на видео</x:v>
      </x:c>
      <x:c r="Q6" s="8" t="str">
        <x:v>Статус редактора</x:v>
      </x:c>
      <x:c r="R6" s="8" t="str">
        <x:v>Заметка редактора</x:v>
      </x:c>
      <x:c r="S6" s="8" t="str">
        <x:v>Источник даты повода</x:v>
      </x:c>
      <x:c r="T6" s="8" t="str">
        <x:v>Правило резерва</x:v>
      </x:c>
      <x:c r="U6" s="8" t="str">
        <x:v>Повторы в календаре</x:v>
      </x:c>
    </x:row>
    <x:row r="7" ht="60" customHeight="1">
      <x:c r="A7" s="16" t="n">
        <x:v>46309</x:v>
      </x:c>
      <x:c r="B7" s="9" t="str">
        <x:v>Ср</x:v>
      </x:c>
      <x:c r="C7" s="10" t="str">
        <x:v>Быт</x:v>
      </x:c>
      <x:c r="D7" s="19" t="str">
        <x:v>rZBWtaihfqE</x:v>
      </x:c>
      <x:c r="E7" s="10" t="str">
        <x:f>IF(D7="","",IF(COUNTIFS('Видео'!$A$7:$A$1508,D7)=1,INDEX('Видео'!$B$7:$B$1508,MATCH(D7,'Видео'!$A$7:$A$1508,0)),"ID не найден"))</x:f>
        <x:v>בואו לאכול איתי עונה 9 | דרום - חלק א' (פרק 1)</x:v>
      </x:c>
      <x:c r="F7" s="9" t="str">
        <x:f>IF(D7="","",IF(COUNTIFS('Видео'!$A$7:$A$1508,D7)=1,INDEX('Видео'!$R$7:$R$1508,MATCH(D7,'Видео'!$A$7:$A$1508,0)),"ID не найден"))</x:f>
        <x:v>C022</x:v>
      </x:c>
      <x:c r="G7" s="9" t="str">
        <x:f>IF(D7="","",IF(COUNTIFS('Видео'!$A$7:$A$1508,D7)=1,INDEX('Видео'!$D$7:$D$1508,MATCH(D7,'Видео'!$A$7:$A$1508,0)),"ID не найден"))</x:f>
        <x:v>Быт</x:v>
      </x:c>
      <x:c r="H7" s="10" t="str">
        <x:f>IF(D7="","",IF(COUNTIFS('Видео'!$A$7:$A$1508,D7)=1,INDEX('Видео'!$F$7:$F$1508,MATCH(D7,'Видео'!$A$7:$A$1508,0)),"ID не найден"))</x:f>
        <x:v>B1–B2 (гипотеза)</x:v>
      </x:c>
      <x:c r="I7" s="18" t="n">
        <x:f>IF(D7="","",IF(COUNTIFS('Видео'!$A$7:$A$1508,D7)=1,INDEX('Видео'!$G$7:$G$1508,MATCH(D7,'Видео'!$A$7:$A$1508,0)),"ID не найден"))</x:f>
        <x:v>30</x:v>
      </x:c>
      <x:c r="J7" s="18" t="n">
        <x:v>10</x:v>
      </x:c>
      <x:c r="K7" s="10" t="str">
        <x:f>IF(D7="","",IF(COUNTIFS('Видео'!$A$7:$A$1508,D7)=1,INDEX('Видео'!$AI$7:$AI$1508,MATCH(D7,'Видео'!$A$7:$A$1508,0)),"ID не найден"))</x:f>
        <x:v>Нужна редактура</x:v>
      </x:c>
      <x:c r="L7" s="19" t="str">
        <x:v>kaVomlL6--M</x:v>
      </x:c>
      <x:c r="M7" s="10" t="str">
        <x:f>IF(L7="","",IF(COUNTIFS('Видео'!$A$7:$A$1508,L7)=1,INDEX('Видео'!$B$7:$B$1508,MATCH(L7,'Видео'!$A$7:$A$1508,0)),"ID не найден"))</x:f>
        <x:v>הקבלן שמעסיק רק יהודים | דוקותיים</x:v>
      </x:c>
      <x:c r="N7" s="10" t="str"/>
      <x:c r="O7" s="10" t="str">
        <x:f>IF(D7="","",IF(COUNTIFS('Видео'!$A$7:$A$1508,D7)=1,INDEX('Видео'!$M$7:$M$1508,MATCH(D7,'Видео'!$A$7:$A$1508,0)),"ID не найден"))</x:f>
        <x:v>Тема: בואו לאכול איתי עונה 9 | דרום - חלק א' (פרק 1). Просмотры в списке выше медианы выборки этого цикла в 2.15 раза. Еда снижает порог входа для широкой аудитории. В одном выпуске встречаются приглашения, оценки, знакомство и бытовые споры.</x:v>
      </x:c>
      <x:c r="P7" s="11" t="str">
        <x:f>IF(D7="","",IF(COUNTIFS('Видео'!$A$7:$A$1508,D7)=1,INDEX('Видео'!$U$7:$U$1508,MATCH(D7,'Видео'!$A$7:$A$1508,0)),"ID не найден"))</x:f>
        <x:v>https://www.youtube.com/watch?v=rZBWtaihfqE</x:v>
      </x:c>
      <x:c r="Q7" s="17" t="str">
        <x:v>Предложено</x:v>
      </x:c>
      <x:c r="R7" s="17" t="str"/>
      <x:c r="S7" s="10" t="str"/>
      <x:c r="T7" s="10" t="str">
        <x:v>Резерв меняет выбор видео; снова проверить повод, аудиторию и все редакторские условия</x:v>
      </x:c>
      <x:c r="U7" s="9" t="str">
        <x:f>IF(D7="","Выбрать видео",IF(COUNTIFS($D$7:$D$371,D7)&gt;1,"Повтор","Без повтора"))</x:f>
        <x:v>Без повтора</x:v>
      </x:c>
    </x:row>
    <x:row r="8" ht="60" customHeight="1">
      <x:c r="A8" s="16" t="n">
        <x:v>46310</x:v>
      </x:c>
      <x:c r="B8" s="9" t="str">
        <x:v>Чт</x:v>
      </x:c>
      <x:c r="C8" s="10" t="str">
        <x:v>Сериал</x:v>
      </x:c>
      <x:c r="D8" s="19" t="str">
        <x:v>-F018872c_s</x:v>
      </x:c>
      <x:c r="E8" s="10" t="str">
        <x:f>IF(D8="","",IF(COUNTIFS('Видео'!$A$7:$A$1508,D8)=1,INDEX('Видео'!$B$7:$B$1508,MATCH(D8,'Видео'!$A$7:$A$1508,0)),"ID не найден"))</x:f>
        <x:v>חזרות - קומדיה (לא) רומנטית 🎭 | פרק 1</x:v>
      </x:c>
      <x:c r="F8" s="9" t="str">
        <x:f>IF(D8="","",IF(COUNTIFS('Видео'!$A$7:$A$1508,D8)=1,INDEX('Видео'!$R$7:$R$1508,MATCH(D8,'Видео'!$A$7:$A$1508,0)),"ID не найден"))</x:f>
        <x:v>C007</x:v>
      </x:c>
      <x:c r="G8" s="9" t="str">
        <x:f>IF(D8="","",IF(COUNTIFS('Видео'!$A$7:$A$1508,D8)=1,INDEX('Видео'!$D$7:$D$1508,MATCH(D8,'Видео'!$A$7:$A$1508,0)),"ID не найден"))</x:f>
        <x:v>Сериал</x:v>
      </x:c>
      <x:c r="H8" s="10" t="str">
        <x:f>IF(D8="","",IF(COUNTIFS('Видео'!$A$7:$A$1508,D8)=1,INDEX('Видео'!$F$7:$F$1508,MATCH(D8,'Видео'!$A$7:$A$1508,0)),"ID не найден"))</x:f>
        <x:v>B2–C1 (гипотеза)</x:v>
      </x:c>
      <x:c r="I8" s="18" t="n">
        <x:f>IF(D8="","",IF(COUNTIFS('Видео'!$A$7:$A$1508,D8)=1,INDEX('Видео'!$G$7:$G$1508,MATCH(D8,'Видео'!$A$7:$A$1508,0)),"ID не найден"))</x:f>
        <x:v>33.2</x:v>
      </x:c>
      <x:c r="J8" s="18" t="n">
        <x:v>10</x:v>
      </x:c>
      <x:c r="K8" s="10" t="str">
        <x:f>IF(D8="","",IF(COUNTIFS('Видео'!$A$7:$A$1508,D8)=1,INDEX('Видео'!$AI$7:$AI$1508,MATCH(D8,'Видео'!$A$7:$A$1508,0)),"ID не найден"))</x:f>
        <x:v>Нужна редактура</x:v>
      </x:c>
      <x:c r="L8" s="19" t="str">
        <x:v>yn6ugzgh_Ps</x:v>
      </x:c>
      <x:c r="M8" s="10" t="str">
        <x:f>IF(L8="","",IF(COUNTIFS('Видео'!$A$7:$A$1508,L8)=1,INDEX('Видео'!$B$7:$B$1508,MATCH(L8,'Видео'!$A$7:$A$1508,0)),"ID не найден"))</x:f>
        <x:v>יורק להבות אש מקליפות פרי הדר</x:v>
      </x:c>
      <x:c r="N8" s="10" t="str"/>
      <x:c r="O8" s="10" t="str">
        <x:f>IF(D8="","",IF(COUNTIFS('Видео'!$A$7:$A$1508,D8)=1,INDEX('Видео'!$M$7:$M$1508,MATCH(D8,'Видео'!$A$7:$A$1508,0)),"ID не найден"))</x:f>
        <x:v>Эпизод 1 в знакомой сюжетной ветке. Просмотры в списке выше медианы выборки этого цикла в 1.54 раза. Современная комедия о театре расширяет каталог за пределы армии и политики. Диалоги подходят для темы работы и личных отношений.</x:v>
      </x:c>
      <x:c r="P8" s="11" t="str">
        <x:f>IF(D8="","",IF(COUNTIFS('Видео'!$A$7:$A$1508,D8)=1,INDEX('Видео'!$U$7:$U$1508,MATCH(D8,'Видео'!$A$7:$A$1508,0)),"ID не найден"))</x:f>
        <x:v>https://www.youtube.com/watch?v=-F018872c_s</x:v>
      </x:c>
      <x:c r="Q8" s="17" t="str">
        <x:v>Предложено</x:v>
      </x:c>
      <x:c r="R8" s="17" t="str"/>
      <x:c r="S8" s="10" t="str"/>
      <x:c r="T8" s="10" t="str">
        <x:v>При недоступной серии приостановить сюжетную ветку; резерв — самостоятельное видео</x:v>
      </x:c>
      <x:c r="U8" s="9" t="str">
        <x:f>IF(D8="","Выбрать видео",IF(COUNTIFS($D$7:$D$371,D8)&gt;1,"Повтор","Без повтора"))</x:f>
        <x:v>Без повтора</x:v>
      </x:c>
    </x:row>
    <x:row r="9" ht="60" customHeight="1">
      <x:c r="A9" s="16" t="n">
        <x:v>46311</x:v>
      </x:c>
      <x:c r="B9" s="9" t="str">
        <x:v>Пт</x:v>
      </x:c>
      <x:c r="C9" s="10" t="str">
        <x:v>История</x:v>
      </x:c>
      <x:c r="D9" s="19" t="str">
        <x:v>y9uUBxdWO7E</x:v>
      </x:c>
      <x:c r="E9" s="10" t="str">
        <x:f>IF(D9="","",IF(COUNTIFS('Видео'!$A$7:$A$1508,D9)=1,INDEX('Видео'!$B$7:$B$1508,MATCH(D9,'Видео'!$A$7:$A$1508,0)),"ID не найден"))</x:f>
        <x:v>העברים | המוחרם: שש תחנות להבנת החרם על ברוך שפינוזה</x:v>
      </x:c>
      <x:c r="F9" s="9" t="str">
        <x:f>IF(D9="","",IF(COUNTIFS('Видео'!$A$7:$A$1508,D9)=1,INDEX('Видео'!$R$7:$R$1508,MATCH(D9,'Видео'!$A$7:$A$1508,0)),"ID не найден"))</x:f>
        <x:v>C028</x:v>
      </x:c>
      <x:c r="G9" s="9" t="str">
        <x:f>IF(D9="","",IF(COUNTIFS('Видео'!$A$7:$A$1508,D9)=1,INDEX('Видео'!$D$7:$D$1508,MATCH(D9,'Видео'!$A$7:$A$1508,0)),"ID не найден"))</x:f>
        <x:v>История</x:v>
      </x:c>
      <x:c r="H9" s="10" t="str">
        <x:f>IF(D9="","",IF(COUNTIFS('Видео'!$A$7:$A$1508,D9)=1,INDEX('Видео'!$F$7:$F$1508,MATCH(D9,'Видео'!$A$7:$A$1508,0)),"ID не найден"))</x:f>
        <x:v>B2–C1 (гипотеза)</x:v>
      </x:c>
      <x:c r="I9" s="18" t="n">
        <x:f>IF(D9="","",IF(COUNTIFS('Видео'!$A$7:$A$1508,D9)=1,INDEX('Видео'!$G$7:$G$1508,MATCH(D9,'Видео'!$A$7:$A$1508,0)),"ID не найден"))</x:f>
        <x:v>53.9</x:v>
      </x:c>
      <x:c r="J9" s="18" t="n">
        <x:v>10</x:v>
      </x:c>
      <x:c r="K9" s="10" t="str">
        <x:f>IF(D9="","",IF(COUNTIFS('Видео'!$A$7:$A$1508,D9)=1,INDEX('Видео'!$AI$7:$AI$1508,MATCH(D9,'Видео'!$A$7:$A$1508,0)),"ID не найден"))</x:f>
        <x:v>Нужна редактура</x:v>
      </x:c>
      <x:c r="L9" s="19" t="str">
        <x:v>9NmWMBsPEaQ</x:v>
      </x:c>
      <x:c r="M9" s="10" t="str">
        <x:f>IF(L9="","",IF(COUNTIFS('Видео'!$A$7:$A$1508,L9)=1,INDEX('Видео'!$B$7:$B$1508,MATCH(L9,'Видео'!$A$7:$A$1508,0)),"ID не найден"))</x:f>
        <x:v>העברים | "החלון הרביעי" - עמוס עוז | כאן דוקו</x:v>
      </x:c>
      <x:c r="N9" s="10" t="str"/>
      <x:c r="O9" s="10" t="str">
        <x:f>IF(D9="","",IF(COUNTIFS('Видео'!$A$7:$A$1508,D9)=1,INDEX('Видео'!$M$7:$M$1508,MATCH(D9,'Видео'!$A$7:$A$1508,0)),"ID не найден"))</x:f>
        <x:v>Тема: העברים | המוחרם: שש תחנות להבנת החרם על ברוך שפינוזה. Просмотры в списке выше медианы выборки этого цикла в 3.0 раза. Биографии писателей дают контекст современной еврейской культуры и литературного иврита.</x:v>
      </x:c>
      <x:c r="P9" s="11" t="str">
        <x:f>IF(D9="","",IF(COUNTIFS('Видео'!$A$7:$A$1508,D9)=1,INDEX('Видео'!$U$7:$U$1508,MATCH(D9,'Видео'!$A$7:$A$1508,0)),"ID не найден"))</x:f>
        <x:v>https://www.youtube.com/watch?v=y9uUBxdWO7E</x:v>
      </x:c>
      <x:c r="Q9" s="17" t="str">
        <x:v>Предложено</x:v>
      </x:c>
      <x:c r="R9" s="17" t="str"/>
      <x:c r="S9" s="10" t="str"/>
      <x:c r="T9" s="10" t="str">
        <x:v>Резерв меняет выбор видео; снова проверить повод, аудиторию и все редакторские условия</x:v>
      </x:c>
      <x:c r="U9" s="9" t="str">
        <x:f>IF(D9="","Выбрать видео",IF(COUNTIFS($D$7:$D$371,D9)&gt;1,"Повтор","Без повтора"))</x:f>
        <x:v>Без повтора</x:v>
      </x:c>
    </x:row>
    <x:row r="10" ht="60" customHeight="1">
      <x:c r="A10" s="16" t="n">
        <x:v>46312</x:v>
      </x:c>
      <x:c r="B10" s="9" t="str">
        <x:v>Сб</x:v>
      </x:c>
      <x:c r="C10" s="10" t="str">
        <x:v>Общество</x:v>
      </x:c>
      <x:c r="D10" s="19" t="str">
        <x:v>6XXGdnmufFE</x:v>
      </x:c>
      <x:c r="E10" s="10" t="str">
        <x:f>IF(D10="","",IF(COUNTIFS('Видео'!$A$7:$A$1508,D10)=1,INDEX('Видео'!$B$7:$B$1508,MATCH(D10,'Видео'!$A$7:$A$1508,0)),"ID не найден"))</x:f>
        <x:v>משפחה בהסעה 🚙 | פרק 1 - בואו נדבר על סקס</x:v>
      </x:c>
      <x:c r="F10" s="9" t="str">
        <x:f>IF(D10="","",IF(COUNTIFS('Видео'!$A$7:$A$1508,D10)=1,INDEX('Видео'!$R$7:$R$1508,MATCH(D10,'Видео'!$A$7:$A$1508,0)),"ID не найден"))</x:f>
        <x:v>C011</x:v>
      </x:c>
      <x:c r="G10" s="9" t="str">
        <x:f>IF(D10="","",IF(COUNTIFS('Видео'!$A$7:$A$1508,D10)=1,INDEX('Видео'!$D$7:$D$1508,MATCH(D10,'Видео'!$A$7:$A$1508,0)),"ID не найден"))</x:f>
        <x:v>Общество</x:v>
      </x:c>
      <x:c r="H10" s="10" t="str">
        <x:f>IF(D10="","",IF(COUNTIFS('Видео'!$A$7:$A$1508,D10)=1,INDEX('Видео'!$F$7:$F$1508,MATCH(D10,'Видео'!$A$7:$A$1508,0)),"ID не найден"))</x:f>
        <x:v>B1–B2 (гипотеза)</x:v>
      </x:c>
      <x:c r="I10" s="18" t="n">
        <x:f>IF(D10="","",IF(COUNTIFS('Видео'!$A$7:$A$1508,D10)=1,INDEX('Видео'!$G$7:$G$1508,MATCH(D10,'Видео'!$A$7:$A$1508,0)),"ID не найден"))</x:f>
        <x:v>25.1</x:v>
      </x:c>
      <x:c r="J10" s="18" t="n">
        <x:v>10</x:v>
      </x:c>
      <x:c r="K10" s="10" t="str">
        <x:f>IF(D10="","",IF(COUNTIFS('Видео'!$A$7:$A$1508,D10)=1,INDEX('Видео'!$AI$7:$AI$1508,MATCH(D10,'Видео'!$A$7:$A$1508,0)),"ID не найден"))</x:f>
        <x:v>Нужна редактура</x:v>
      </x:c>
      <x:c r="L10" s="19" t="str">
        <x:v>KA8X0mOH5fE</x:v>
      </x:c>
      <x:c r="M10" s="10" t="str">
        <x:f>IF(L10="","",IF(COUNTIFS('Видео'!$A$7:$A$1508,L10)=1,INDEX('Видео'!$B$7:$B$1508,MATCH(L10,'Видео'!$A$7:$A$1508,0)),"ID не найден"))</x:f>
        <x:v>כאן מקשיבים: ניצלתי פעמיים בשבת השחורה</x:v>
      </x:c>
      <x:c r="N10" s="10" t="str"/>
      <x:c r="O10" s="10" t="str">
        <x:f>IF(D10="","",IF(COUNTIFS('Видео'!$A$7:$A$1508,D10)=1,INDEX('Видео'!$M$7:$M$1508,MATCH(D10,'Видео'!$A$7:$A$1508,0)),"ID не найден"))</x:f>
        <x:v>Тема: משפחה בהסעה 🚙 | פרק 1 - בואו נדבר על סקס. Просмотры в списке выше медианы выборки этого цикла в 2.12 раза. Разговоры семьи в машине дают естественную смену тем и короткие реплики. Расширяют предложение для родителей и семейного просмотра.</x:v>
      </x:c>
      <x:c r="P10" s="11" t="str">
        <x:f>IF(D10="","",IF(COUNTIFS('Видео'!$A$7:$A$1508,D10)=1,INDEX('Видео'!$U$7:$U$1508,MATCH(D10,'Видео'!$A$7:$A$1508,0)),"ID не найден"))</x:f>
        <x:v>https://www.youtube.com/watch?v=6XXGdnmufFE</x:v>
      </x:c>
      <x:c r="Q10" s="17" t="str">
        <x:v>Предложено</x:v>
      </x:c>
      <x:c r="R10" s="17" t="str"/>
      <x:c r="S10" s="10" t="str"/>
      <x:c r="T10" s="10" t="str">
        <x:v>Резерв меняет выбор видео; снова проверить повод, аудиторию и все редакторские условия</x:v>
      </x:c>
      <x:c r="U10" s="9" t="str">
        <x:f>IF(D10="","Выбрать видео",IF(COUNTIFS($D$7:$D$371,D10)&gt;1,"Повтор","Без повтора"))</x:f>
        <x:v>Без повтора</x:v>
      </x:c>
    </x:row>
    <x:row r="11" ht="60" customHeight="1">
      <x:c r="A11" s="16" t="n">
        <x:v>46313</x:v>
      </x:c>
      <x:c r="B11" s="9" t="str">
        <x:v>Вс</x:v>
      </x:c>
      <x:c r="C11" s="10" t="str">
        <x:v>Сериал</x:v>
      </x:c>
      <x:c r="D11" s="19" t="str">
        <x:v>vPHTo9NsnNI</x:v>
      </x:c>
      <x:c r="E11" s="10" t="str">
        <x:f>IF(D11="","",IF(COUNTIFS('Видео'!$A$7:$A$1508,D11)=1,INDEX('Видео'!$B$7:$B$1508,MATCH(D11,'Видео'!$A$7:$A$1508,0)),"ID не найден"))</x:f>
        <x:v>קופה ראשית עונה 3🛒 | בקבוק בלי פקק - פרק 1</x:v>
      </x:c>
      <x:c r="F11" s="9" t="str">
        <x:f>IF(D11="","",IF(COUNTIFS('Видео'!$A$7:$A$1508,D11)=1,INDEX('Видео'!$R$7:$R$1508,MATCH(D11,'Видео'!$A$7:$A$1508,0)),"ID не найден"))</x:f>
        <x:v>C003</x:v>
      </x:c>
      <x:c r="G11" s="9" t="str">
        <x:f>IF(D11="","",IF(COUNTIFS('Видео'!$A$7:$A$1508,D11)=1,INDEX('Видео'!$D$7:$D$1508,MATCH(D11,'Видео'!$A$7:$A$1508,0)),"ID не найден"))</x:f>
        <x:v>Сериал</x:v>
      </x:c>
      <x:c r="H11" s="10" t="str">
        <x:f>IF(D11="","",IF(COUNTIFS('Видео'!$A$7:$A$1508,D11)=1,INDEX('Видео'!$F$7:$F$1508,MATCH(D11,'Видео'!$A$7:$A$1508,0)),"ID не найден"))</x:f>
        <x:v>B1–B2 (гипотеза)</x:v>
      </x:c>
      <x:c r="I11" s="18" t="n">
        <x:f>IF(D11="","",IF(COUNTIFS('Видео'!$A$7:$A$1508,D11)=1,INDEX('Видео'!$G$7:$G$1508,MATCH(D11,'Видео'!$A$7:$A$1508,0)),"ID не найден"))</x:f>
        <x:v>28.3</x:v>
      </x:c>
      <x:c r="J11" s="18" t="n">
        <x:v>10</x:v>
      </x:c>
      <x:c r="K11" s="10" t="str">
        <x:f>IF(D11="","",IF(COUNTIFS('Видео'!$A$7:$A$1508,D11)=1,INDEX('Видео'!$AI$7:$AI$1508,MATCH(D11,'Видео'!$A$7:$A$1508,0)),"ID не найден"))</x:f>
        <x:v>Нужна редактура</x:v>
      </x:c>
      <x:c r="L11" s="19" t="str">
        <x:v>AHHKmYrkztQ</x:v>
      </x:c>
      <x:c r="M11" s="10" t="str">
        <x:f>IF(L11="","",IF(COUNTIFS('Видео'!$A$7:$A$1508,L11)=1,INDEX('Видео'!$B$7:$B$1508,MATCH(L11,'Видео'!$A$7:$A$1508,0)),"ID не найден"))</x:f>
        <x:v>איך לגרום לאצטרובל להיפתח ולהיסגר?</x:v>
      </x:c>
      <x:c r="N11" s="10" t="str"/>
      <x:c r="O11" s="10" t="str">
        <x:f>IF(D11="","",IF(COUNTIFS('Видео'!$A$7:$A$1508,D11)=1,INDEX('Видео'!$M$7:$M$1508,MATCH(D11,'Видео'!$A$7:$A$1508,0)),"ID не найден"))</x:f>
        <x:v>Эпизод 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1" s="11" t="str">
        <x:f>IF(D11="","",IF(COUNTIFS('Видео'!$A$7:$A$1508,D11)=1,INDEX('Видео'!$U$7:$U$1508,MATCH(D11,'Видео'!$A$7:$A$1508,0)),"ID не найден"))</x:f>
        <x:v>https://www.youtube.com/watch?v=vPHTo9NsnNI</x:v>
      </x:c>
      <x:c r="Q11" s="17" t="str">
        <x:v>Предложено</x:v>
      </x:c>
      <x:c r="R11" s="17" t="str"/>
      <x:c r="S11" s="10" t="str"/>
      <x:c r="T11" s="10" t="str">
        <x:v>При недоступной серии приостановить сюжетную ветку; резерв — самостоятельное видео</x:v>
      </x:c>
      <x:c r="U11" s="9" t="str">
        <x:f>IF(D11="","Выбрать видео",IF(COUNTIFS($D$7:$D$371,D11)&gt;1,"Повтор","Без повтора"))</x:f>
        <x:v>Без повтора</x:v>
      </x:c>
    </x:row>
    <x:row r="12" ht="60" customHeight="1">
      <x:c r="A12" s="16" t="n">
        <x:v>46314</x:v>
      </x:c>
      <x:c r="B12" s="9" t="str">
        <x:v>Пн</x:v>
      </x:c>
      <x:c r="C12" s="10" t="str">
        <x:v>Интервью</x:v>
      </x:c>
      <x:c r="D12" s="19" t="str">
        <x:v>w7Bb_C8GWzI</x:v>
      </x:c>
      <x:c r="E12" s="10" t="str">
        <x:f>IF(D12="","",IF(COUNTIFS('Видео'!$A$7:$A$1508,D12)=1,INDEX('Видео'!$B$7:$B$1508,MATCH(D12,'Видео'!$A$7:$A$1508,0)),"ID не найден"))</x:f>
        <x:v>עונה חדשה 🔥 פגישה עם רוני קובן עונה 11 | אסף רפפורט</x:v>
      </x:c>
      <x:c r="F12" s="9" t="str">
        <x:f>IF(D12="","",IF(COUNTIFS('Видео'!$A$7:$A$1508,D12)=1,INDEX('Видео'!$R$7:$R$1508,MATCH(D12,'Видео'!$A$7:$A$1508,0)),"ID не найден"))</x:f>
        <x:v>C012</x:v>
      </x:c>
      <x:c r="G12" s="9" t="str">
        <x:f>IF(D12="","",IF(COUNTIFS('Видео'!$A$7:$A$1508,D12)=1,INDEX('Видео'!$D$7:$D$1508,MATCH(D12,'Видео'!$A$7:$A$1508,0)),"ID не найден"))</x:f>
        <x:v>Интервью</x:v>
      </x:c>
      <x:c r="H12" s="10" t="str">
        <x:f>IF(D12="","",IF(COUNTIFS('Видео'!$A$7:$A$1508,D12)=1,INDEX('Видео'!$F$7:$F$1508,MATCH(D12,'Видео'!$A$7:$A$1508,0)),"ID не найден"))</x:f>
        <x:v>B2–C1 (гипотеза)</x:v>
      </x:c>
      <x:c r="I12" s="18" t="n">
        <x:f>IF(D12="","",IF(COUNTIFS('Видео'!$A$7:$A$1508,D12)=1,INDEX('Видео'!$G$7:$G$1508,MATCH(D12,'Видео'!$A$7:$A$1508,0)),"ID не найден"))</x:f>
        <x:v>42.7</x:v>
      </x:c>
      <x:c r="J12" s="18" t="n">
        <x:v>10</x:v>
      </x:c>
      <x:c r="K12" s="10" t="str">
        <x:f>IF(D12="","",IF(COUNTIFS('Видео'!$A$7:$A$1508,D12)=1,INDEX('Видео'!$AI$7:$AI$1508,MATCH(D12,'Видео'!$A$7:$A$1508,0)),"ID не найден"))</x:f>
        <x:v>Нужна редактура</x:v>
      </x:c>
      <x:c r="L12" s="19" t="str">
        <x:v>A290EwjT1Xc</x:v>
      </x:c>
      <x:c r="M12" s="10" t="str">
        <x:f>IF(L12="","",IF(COUNTIFS('Видео'!$A$7:$A$1508,L12)=1,INDEX('Видео'!$B$7:$B$1508,MATCH(L12,'Видео'!$A$7:$A$1508,0)),"ID не найден"))</x:f>
        <x:v>שיחה עם עודד הרוש: השר בצלאל סמוטריץ' I התכנית המלאה</x:v>
      </x:c>
      <x:c r="N12" s="10" t="str"/>
      <x:c r="O12" s="10" t="str">
        <x:f>IF(D12="","",IF(COUNTIFS('Видео'!$A$7:$A$1508,D12)=1,INDEX('Видео'!$M$7:$M$1508,MATCH(D12,'Видео'!$A$7:$A$1508,0)),"ID не найден"))</x:f>
        <x:v>Тема / гость: אסף רפפורט.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2" s="11" t="str">
        <x:f>IF(D12="","",IF(COUNTIFS('Видео'!$A$7:$A$1508,D12)=1,INDEX('Видео'!$U$7:$U$1508,MATCH(D12,'Видео'!$A$7:$A$1508,0)),"ID не найден"))</x:f>
        <x:v>https://www.youtube.com/watch?v=w7Bb_C8GWzI</x:v>
      </x:c>
      <x:c r="Q12" s="17" t="str">
        <x:v>Предложено</x:v>
      </x:c>
      <x:c r="R12" s="17" t="str"/>
      <x:c r="S12" s="10" t="str"/>
      <x:c r="T12" s="10" t="str">
        <x:v>Резерв меняет выбор видео; снова проверить повод, аудиторию и все редакторские условия</x:v>
      </x:c>
      <x:c r="U12" s="9" t="str">
        <x:f>IF(D12="","Выбрать видео",IF(COUNTIFS($D$7:$D$371,D12)&gt;1,"Повтор","Без повтора"))</x:f>
        <x:v>Без повтора</x:v>
      </x:c>
    </x:row>
    <x:row r="13" ht="60" customHeight="1">
      <x:c r="A13" s="16" t="n">
        <x:v>46315</x:v>
      </x:c>
      <x:c r="B13" s="9" t="str">
        <x:v>Вт</x:v>
      </x:c>
      <x:c r="C13" s="10" t="str">
        <x:v>Образование</x:v>
      </x:c>
      <x:c r="D13" s="19" t="str">
        <x:v>b--K7OqtGZ8</x:v>
      </x:c>
      <x:c r="E13" s="10" t="str">
        <x:f>IF(D13="","",IF(COUNTIFS('Видео'!$A$7:$A$1508,D13)=1,INDEX('Видео'!$B$7:$B$1508,MATCH(D13,'Видео'!$A$7:$A$1508,0)),"ID не найден"))</x:f>
        <x:v>סדרה תיעודית חדשה על ההייטק הישראלי 🦄 יוניקורנז | פרק 1 - החלום האמריקאי.קום</x:v>
      </x:c>
      <x:c r="F13" s="9" t="str">
        <x:f>IF(D13="","",IF(COUNTIFS('Видео'!$A$7:$A$1508,D13)=1,INDEX('Видео'!$R$7:$R$1508,MATCH(D13,'Видео'!$A$7:$A$1508,0)),"ID не найден"))</x:f>
        <x:v>C034</x:v>
      </x:c>
      <x:c r="G13" s="9" t="str">
        <x:f>IF(D13="","",IF(COUNTIFS('Видео'!$A$7:$A$1508,D13)=1,INDEX('Видео'!$D$7:$D$1508,MATCH(D13,'Видео'!$A$7:$A$1508,0)),"ID не найден"))</x:f>
        <x:v>Образование</x:v>
      </x:c>
      <x:c r="H13" s="10" t="str">
        <x:f>IF(D13="","",IF(COUNTIFS('Видео'!$A$7:$A$1508,D13)=1,INDEX('Видео'!$F$7:$F$1508,MATCH(D13,'Видео'!$A$7:$A$1508,0)),"ID не найден"))</x:f>
        <x:v>B2–C1 (гипотеза)</x:v>
      </x:c>
      <x:c r="I13" s="18" t="n">
        <x:f>IF(D13="","",IF(COUNTIFS('Видео'!$A$7:$A$1508,D13)=1,INDEX('Видео'!$G$7:$G$1508,MATCH(D13,'Видео'!$A$7:$A$1508,0)),"ID не найден"))</x:f>
        <x:v>41.9</x:v>
      </x:c>
      <x:c r="J13" s="18" t="n">
        <x:v>10</x:v>
      </x:c>
      <x:c r="K13" s="10" t="str">
        <x:f>IF(D13="","",IF(COUNTIFS('Видео'!$A$7:$A$1508,D13)=1,INDEX('Видео'!$AI$7:$AI$1508,MATCH(D13,'Видео'!$A$7:$A$1508,0)),"ID не найден"))</x:f>
        <x:v>Нужна редактура</x:v>
      </x:c>
      <x:c r="L13" s="19" t="str">
        <x:v>Sq6Jp9AN3lo</x:v>
      </x:c>
      <x:c r="M13" s="10" t="str">
        <x:f>IF(L13="","",IF(COUNTIFS('Видео'!$A$7:$A$1508,L13)=1,INDEX('Видео'!$B$7:$B$1508,MATCH(L13,'Видео'!$A$7:$A$1508,0)),"ID не найден"))</x:f>
        <x:v>קוויאר ממיץ פטל - מתכון בישול מולקולרי</x:v>
      </x:c>
      <x:c r="N13" s="10" t="str"/>
      <x:c r="O13" s="10" t="str">
        <x:f>IF(D13="","",IF(COUNTIFS('Видео'!$A$7:$A$1508,D13)=1,INDEX('Видео'!$M$7:$M$1508,MATCH(D13,'Видео'!$A$7:$A$1508,0)),"ID не найден"))</x:f>
        <x:v>Тема: סדרה תיעודית חדשה על ההייטק הישראלי 🦄 יוניקורנז | פרק 1 - החלום האמריקאי.קום. Израильский технологический сектор привлекает профессиональную аудиторию. Нужная лексика работы, бизнеса и инноваций.</x:v>
      </x:c>
      <x:c r="P13" s="11" t="str">
        <x:f>IF(D13="","",IF(COUNTIFS('Видео'!$A$7:$A$1508,D13)=1,INDEX('Видео'!$U$7:$U$1508,MATCH(D13,'Видео'!$A$7:$A$1508,0)),"ID не найден"))</x:f>
        <x:v>https://www.youtube.com/watch?v=b--K7OqtGZ8</x:v>
      </x:c>
      <x:c r="Q13" s="17" t="str">
        <x:v>Предложено</x:v>
      </x:c>
      <x:c r="R13" s="17" t="str"/>
      <x:c r="S13" s="10" t="str"/>
      <x:c r="T13" s="10" t="str">
        <x:v>Резерв меняет выбор видео; снова проверить повод, аудиторию и все редакторские условия</x:v>
      </x:c>
      <x:c r="U13" s="9" t="str">
        <x:f>IF(D13="","Выбрать видео",IF(COUNTIFS($D$7:$D$371,D13)&gt;1,"Повтор","Без повтора"))</x:f>
        <x:v>Без повтора</x:v>
      </x:c>
    </x:row>
    <x:row r="14" ht="60" customHeight="1">
      <x:c r="A14" s="16" t="n">
        <x:v>46316</x:v>
      </x:c>
      <x:c r="B14" s="9" t="str">
        <x:v>Ср</x:v>
      </x:c>
      <x:c r="C14" s="10" t="str">
        <x:v>Быт</x:v>
      </x:c>
      <x:c r="D14" s="19" t="str">
        <x:v>PSwhUvmAywg</x:v>
      </x:c>
      <x:c r="E14" s="10" t="str">
        <x:f>IF(D14="","",IF(COUNTIFS('Видео'!$A$7:$A$1508,D14)=1,INDEX('Видео'!$B$7:$B$1508,MATCH(D14,'Видео'!$A$7:$A$1508,0)),"ID не найден"))</x:f>
        <x:v>בואו לאכול איתי עונה 8 | צפון - חלק א' (פרק 1)</x:v>
      </x:c>
      <x:c r="F14" s="9" t="str">
        <x:f>IF(D14="","",IF(COUNTIFS('Видео'!$A$7:$A$1508,D14)=1,INDEX('Видео'!$R$7:$R$1508,MATCH(D14,'Видео'!$A$7:$A$1508,0)),"ID не найден"))</x:f>
        <x:v>C023</x:v>
      </x:c>
      <x:c r="G14" s="9" t="str">
        <x:f>IF(D14="","",IF(COUNTIFS('Видео'!$A$7:$A$1508,D14)=1,INDEX('Видео'!$D$7:$D$1508,MATCH(D14,'Видео'!$A$7:$A$1508,0)),"ID не найден"))</x:f>
        <x:v>Быт</x:v>
      </x:c>
      <x:c r="H14" s="10" t="str">
        <x:f>IF(D14="","",IF(COUNTIFS('Видео'!$A$7:$A$1508,D14)=1,INDEX('Видео'!$F$7:$F$1508,MATCH(D14,'Видео'!$A$7:$A$1508,0)),"ID не найден"))</x:f>
        <x:v>B1–B2 (гипотеза)</x:v>
      </x:c>
      <x:c r="I14" s="18" t="n">
        <x:f>IF(D14="","",IF(COUNTIFS('Видео'!$A$7:$A$1508,D14)=1,INDEX('Видео'!$G$7:$G$1508,MATCH(D14,'Видео'!$A$7:$A$1508,0)),"ID не найден"))</x:f>
        <x:v>29.1</x:v>
      </x:c>
      <x:c r="J14" s="18" t="n">
        <x:v>10</x:v>
      </x:c>
      <x:c r="K14" s="10" t="str">
        <x:f>IF(D14="","",IF(COUNTIFS('Видео'!$A$7:$A$1508,D14)=1,INDEX('Видео'!$AI$7:$AI$1508,MATCH(D14,'Видео'!$A$7:$A$1508,0)),"ID не найден"))</x:f>
        <x:v>Нужна редактура</x:v>
      </x:c>
      <x:c r="L14" s="19" t="str">
        <x:v>ZQw5fpwnbyY</x:v>
      </x:c>
      <x:c r="M14" s="10" t="str">
        <x:f>IF(L14="","",IF(COUNTIFS('Видео'!$A$7:$A$1508,L14)=1,INDEX('Видео'!$B$7:$B$1508,MATCH(L14,'Видео'!$A$7:$A$1508,0)),"ID не найден"))</x:f>
        <x:v>דוקותיים | שחקן השש-בש הכי טוב בארץ לא מאמין במזל</x:v>
      </x:c>
      <x:c r="N14" s="10" t="str"/>
      <x:c r="O14" s="10" t="str">
        <x:f>IF(D14="","",IF(COUNTIFS('Видео'!$A$7:$A$1508,D14)=1,INDEX('Видео'!$M$7:$M$1508,MATCH(D14,'Видео'!$A$7:$A$1508,0)),"ID не найден"))</x:f>
        <x:v>Тема: בואו לאכול איתי עונה 8 | צפון - חלק א' (פרק 1). Просмотры в списке выше медианы выборки этого цикла в 1.74 раза. Еда снижает порог входа для широкой аудитории. В одном выпуске встречаются приглашения, оценки, знакомство и бытовые споры.</x:v>
      </x:c>
      <x:c r="P14" s="11" t="str">
        <x:f>IF(D14="","",IF(COUNTIFS('Видео'!$A$7:$A$1508,D14)=1,INDEX('Видео'!$U$7:$U$1508,MATCH(D14,'Видео'!$A$7:$A$1508,0)),"ID не найден"))</x:f>
        <x:v>https://www.youtube.com/watch?v=PSwhUvmAywg</x:v>
      </x:c>
      <x:c r="Q14" s="17" t="str">
        <x:v>Предложено</x:v>
      </x:c>
      <x:c r="R14" s="17" t="str"/>
      <x:c r="S14" s="10" t="str"/>
      <x:c r="T14" s="10" t="str">
        <x:v>Резерв меняет выбор видео; снова проверить повод, аудиторию и все редакторские условия</x:v>
      </x:c>
      <x:c r="U14" s="9" t="str">
        <x:f>IF(D14="","Выбрать видео",IF(COUNTIFS($D$7:$D$371,D14)&gt;1,"Повтор","Без повтора"))</x:f>
        <x:v>Без повтора</x:v>
      </x:c>
    </x:row>
    <x:row r="15" ht="60" customHeight="1">
      <x:c r="A15" s="16" t="n">
        <x:v>46317</x:v>
      </x:c>
      <x:c r="B15" s="9" t="str">
        <x:v>Чт</x:v>
      </x:c>
      <x:c r="C15" s="10" t="str">
        <x:v>Сериал</x:v>
      </x:c>
      <x:c r="D15" s="19" t="str">
        <x:v>QK2pWvDmN54</x:v>
      </x:c>
      <x:c r="E15" s="10" t="str">
        <x:f>IF(D15="","",IF(COUNTIFS('Видео'!$A$7:$A$1508,D15)=1,INDEX('Видео'!$B$7:$B$1508,MATCH(D15,'Видео'!$A$7:$A$1508,0)),"ID не найден"))</x:f>
        <x:v>חזרות - קומדיה (לא) רומנטית 🎭 | פרק 2</x:v>
      </x:c>
      <x:c r="F15" s="9" t="str">
        <x:f>IF(D15="","",IF(COUNTIFS('Видео'!$A$7:$A$1508,D15)=1,INDEX('Видео'!$R$7:$R$1508,MATCH(D15,'Видео'!$A$7:$A$1508,0)),"ID не найден"))</x:f>
        <x:v>C007</x:v>
      </x:c>
      <x:c r="G15" s="9" t="str">
        <x:f>IF(D15="","",IF(COUNTIFS('Видео'!$A$7:$A$1508,D15)=1,INDEX('Видео'!$D$7:$D$1508,MATCH(D15,'Видео'!$A$7:$A$1508,0)),"ID не найден"))</x:f>
        <x:v>Сериал</x:v>
      </x:c>
      <x:c r="H15" s="10" t="str">
        <x:f>IF(D15="","",IF(COUNTIFS('Видео'!$A$7:$A$1508,D15)=1,INDEX('Видео'!$F$7:$F$1508,MATCH(D15,'Видео'!$A$7:$A$1508,0)),"ID не найден"))</x:f>
        <x:v>B2–C1 (гипотеза)</x:v>
      </x:c>
      <x:c r="I15" s="18" t="n">
        <x:f>IF(D15="","",IF(COUNTIFS('Видео'!$A$7:$A$1508,D15)=1,INDEX('Видео'!$G$7:$G$1508,MATCH(D15,'Видео'!$A$7:$A$1508,0)),"ID не найден"))</x:f>
        <x:v>33.9</x:v>
      </x:c>
      <x:c r="J15" s="18" t="n">
        <x:v>10</x:v>
      </x:c>
      <x:c r="K15" s="10" t="str">
        <x:f>IF(D15="","",IF(COUNTIFS('Видео'!$A$7:$A$1508,D15)=1,INDEX('Видео'!$AI$7:$AI$1508,MATCH(D15,'Видео'!$A$7:$A$1508,0)),"ID не найден"))</x:f>
        <x:v>Нужна редактура</x:v>
      </x:c>
      <x:c r="L15" s="19" t="str">
        <x:v>wYt432rOwWk</x:v>
      </x:c>
      <x:c r="M15" s="10" t="str">
        <x:f>IF(L15="","",IF(COUNTIFS('Видео'!$A$7:$A$1508,L15)=1,INDEX('Видео'!$B$7:$B$1508,MATCH(L15,'Видео'!$A$7:$A$1508,0)),"ID не найден"))</x:f>
        <x:v>איך מכינים סוכריות גומי בבית</x:v>
      </x:c>
      <x:c r="N15" s="10" t="str"/>
      <x:c r="O15" s="10" t="str">
        <x:f>IF(D15="","",IF(COUNTIFS('Видео'!$A$7:$A$1508,D15)=1,INDEX('Видео'!$M$7:$M$1508,MATCH(D15,'Видео'!$A$7:$A$1508,0)),"ID не найден"))</x:f>
        <x:v>Эпизод 2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P15" s="11" t="str">
        <x:f>IF(D15="","",IF(COUNTIFS('Видео'!$A$7:$A$1508,D15)=1,INDEX('Видео'!$U$7:$U$1508,MATCH(D15,'Видео'!$A$7:$A$1508,0)),"ID не найден"))</x:f>
        <x:v>https://www.youtube.com/watch?v=QK2pWvDmN54</x:v>
      </x:c>
      <x:c r="Q15" s="17" t="str">
        <x:v>Предложено</x:v>
      </x:c>
      <x:c r="R15" s="17" t="str"/>
      <x:c r="S15" s="10" t="str"/>
      <x:c r="T15" s="10" t="str">
        <x:v>При недоступной серии приостановить сюжетную ветку; резерв — самостоятельное видео</x:v>
      </x:c>
      <x:c r="U15" s="9" t="str">
        <x:f>IF(D15="","Выбрать видео",IF(COUNTIFS($D$7:$D$371,D15)&gt;1,"Повтор","Без повтора"))</x:f>
        <x:v>Без повтора</x:v>
      </x:c>
    </x:row>
    <x:row r="16" ht="60" customHeight="1">
      <x:c r="A16" s="16" t="n">
        <x:v>46318</x:v>
      </x:c>
      <x:c r="B16" s="9" t="str">
        <x:v>Пт</x:v>
      </x:c>
      <x:c r="C16" s="10" t="str">
        <x:v>Культура</x:v>
      </x:c>
      <x:c r="D16" s="19" t="str">
        <x:v>Ir9EyRTqnLs</x:v>
      </x:c>
      <x:c r="E16" s="10" t="str">
        <x:f>IF(D16="","",IF(COUNTIFS('Видео'!$A$7:$A$1508,D16)=1,INDEX('Видео'!$B$7:$B$1508,MATCH(D16,'Видео'!$A$7:$A$1508,0)),"ID не найден"))</x:f>
        <x:v>סיפורים מהכורסה 🛋️ | על גיל ההתבגרות - פרק 3</x:v>
      </x:c>
      <x:c r="F16" s="9" t="str">
        <x:f>IF(D16="","",IF(COUNTIFS('Видео'!$A$7:$A$1508,D16)=1,INDEX('Видео'!$R$7:$R$1508,MATCH(D16,'Видео'!$A$7:$A$1508,0)),"ID не найден"))</x:f>
        <x:v>C025</x:v>
      </x:c>
      <x:c r="G16" s="9" t="str">
        <x:f>IF(D16="","",IF(COUNTIFS('Видео'!$A$7:$A$1508,D16)=1,INDEX('Видео'!$D$7:$D$1508,MATCH(D16,'Видео'!$A$7:$A$1508,0)),"ID не найден"))</x:f>
        <x:v>Культура</x:v>
      </x:c>
      <x:c r="H16" s="10" t="str">
        <x:f>IF(D16="","",IF(COUNTIFS('Видео'!$A$7:$A$1508,D16)=1,INDEX('Видео'!$F$7:$F$1508,MATCH(D16,'Видео'!$A$7:$A$1508,0)),"ID не найден"))</x:f>
        <x:v>B2–C1 (гипотеза)</x:v>
      </x:c>
      <x:c r="I16" s="18" t="n">
        <x:f>IF(D16="","",IF(COUNTIFS('Видео'!$A$7:$A$1508,D16)=1,INDEX('Видео'!$G$7:$G$1508,MATCH(D16,'Видео'!$A$7:$A$1508,0)),"ID не найден"))</x:f>
        <x:v>29.8</x:v>
      </x:c>
      <x:c r="J16" s="18" t="n">
        <x:v>10</x:v>
      </x:c>
      <x:c r="K16" s="10" t="str">
        <x:f>IF(D16="","",IF(COUNTIFS('Видео'!$A$7:$A$1508,D16)=1,INDEX('Видео'!$AI$7:$AI$1508,MATCH(D16,'Видео'!$A$7:$A$1508,0)),"ID не найден"))</x:f>
        <x:v>Нужна редактура</x:v>
      </x:c>
      <x:c r="L16" s="19" t="str">
        <x:v>bavRqLC4gtk</x:v>
      </x:c>
      <x:c r="M16" s="10" t="str">
        <x:f>IF(L16="","",IF(COUNTIFS('Видео'!$A$7:$A$1508,L16)=1,INDEX('Видео'!$B$7:$B$1508,MATCH(L16,'Видео'!$A$7:$A$1508,0)),"ID не найден"))</x:f>
        <x:v>"התרנגול המקולל" | המסר המיוחד של רבי כלפון משה הכהן</x:v>
      </x:c>
      <x:c r="N16" s="10" t="str"/>
      <x:c r="O16" s="10" t="str">
        <x:f>IF(D16="","",IF(COUNTIFS('Видео'!$A$7:$A$1508,D16)=1,INDEX('Видео'!$M$7:$M$1508,MATCH(D16,'Видео'!$A$7:$A$1508,0)),"ID не найден"))</x:f>
        <x:v>Тема: סיפורים מהכורסה 🛋️ | על גיל ההתבגרות - פרק 3. Просмотры в списке выше медианы выборки этого цикла в 1.5 раза. Короткие личные истории и комики дают материал для пересказа и знакомства с культурными кодами.</x:v>
      </x:c>
      <x:c r="P16" s="11" t="str">
        <x:f>IF(D16="","",IF(COUNTIFS('Видео'!$A$7:$A$1508,D16)=1,INDEX('Видео'!$U$7:$U$1508,MATCH(D16,'Видео'!$A$7:$A$1508,0)),"ID не найден"))</x:f>
        <x:v>https://www.youtube.com/watch?v=Ir9EyRTqnLs</x:v>
      </x:c>
      <x:c r="Q16" s="17" t="str">
        <x:v>Предложено</x:v>
      </x:c>
      <x:c r="R16" s="17" t="str"/>
      <x:c r="S16" s="10" t="str"/>
      <x:c r="T16" s="10" t="str">
        <x:v>Резерв меняет выбор видео; снова проверить повод, аудиторию и все редакторские условия</x:v>
      </x:c>
      <x:c r="U16" s="9" t="str">
        <x:f>IF(D16="","Выбрать видео",IF(COUNTIFS($D$7:$D$371,D16)&gt;1,"Повтор","Без повтора"))</x:f>
        <x:v>Без повтора</x:v>
      </x:c>
    </x:row>
    <x:row r="17" ht="60" customHeight="1">
      <x:c r="A17" s="16" t="n">
        <x:v>46319</x:v>
      </x:c>
      <x:c r="B17" s="9" t="str">
        <x:v>Сб</x:v>
      </x:c>
      <x:c r="C17" s="10" t="str">
        <x:v>Общество</x:v>
      </x:c>
      <x:c r="D17" s="19" t="str">
        <x:v>qUQKnNZTZbA</x:v>
      </x:c>
      <x:c r="E17" s="10" t="str">
        <x:f>IF(D17="","",IF(COUNTIFS('Видео'!$A$7:$A$1508,D17)=1,INDEX('Видео'!$B$7:$B$1508,MATCH(D17,'Видео'!$A$7:$A$1508,0)),"ID не найден"))</x:f>
        <x:v>סליחה על השאלה עונה 4 | הריגה בשוגג</x:v>
      </x:c>
      <x:c r="F17" s="9" t="str">
        <x:f>IF(D17="","",IF(COUNTIFS('Видео'!$A$7:$A$1508,D17)=1,INDEX('Видео'!$R$7:$R$1508,MATCH(D17,'Видео'!$A$7:$A$1508,0)),"ID не найден"))</x:f>
        <x:v>C018</x:v>
      </x:c>
      <x:c r="G17" s="9" t="str">
        <x:f>IF(D17="","",IF(COUNTIFS('Видео'!$A$7:$A$1508,D17)=1,INDEX('Видео'!$D$7:$D$1508,MATCH(D17,'Видео'!$A$7:$A$1508,0)),"ID не найден"))</x:f>
        <x:v>Общество</x:v>
      </x:c>
      <x:c r="H17" s="10" t="str">
        <x:f>IF(D17="","",IF(COUNTIFS('Видео'!$A$7:$A$1508,D17)=1,INDEX('Видео'!$F$7:$F$1508,MATCH(D17,'Видео'!$A$7:$A$1508,0)),"ID не найден"))</x:f>
        <x:v>B1–B2 (гипотеза)</x:v>
      </x:c>
      <x:c r="I17" s="18" t="n">
        <x:f>IF(D17="","",IF(COUNTIFS('Видео'!$A$7:$A$1508,D17)=1,INDEX('Видео'!$G$7:$G$1508,MATCH(D17,'Видео'!$A$7:$A$1508,0)),"ID не найден"))</x:f>
        <x:v>28.5</x:v>
      </x:c>
      <x:c r="J17" s="18" t="n">
        <x:v>10</x:v>
      </x:c>
      <x:c r="K17" s="10" t="str">
        <x:f>IF(D17="","",IF(COUNTIFS('Видео'!$A$7:$A$1508,D17)=1,INDEX('Видео'!$AI$7:$AI$1508,MATCH(D17,'Видео'!$A$7:$A$1508,0)),"ID не найден"))</x:f>
        <x:v>Нужна редактура</x:v>
      </x:c>
      <x:c r="L17" s="19" t="str">
        <x:v>url0STncjA0</x:v>
      </x:c>
      <x:c r="M17" s="10" t="str">
        <x:f>IF(L17="","",IF(COUNTIFS('Видео'!$A$7:$A$1508,L17)=1,INDEX('Видео'!$B$7:$B$1508,MATCH(L17,'Видео'!$A$7:$A$1508,0)),"ID не найден"))</x:f>
        <x:v>התיעודים מחדרי החקירות נחשפים: מה באמת קרה בגן הילדים?</x:v>
      </x:c>
      <x:c r="N17" s="10" t="str"/>
      <x:c r="O17" s="10" t="str">
        <x:f>IF(D17="","",IF(COUNTIFS('Видео'!$A$7:$A$1508,D17)=1,INDEX('Видео'!$M$7:$M$1508,MATCH(D17,'Видео'!$A$7:$A$1508,0)),"ID не найден"))</x:f>
        <x:v>Тема: סליחה על השאלה עונה 4 | הריגה בשוגג. Просмотры в списке выше медианы выборки этого цикла в 4.11 раза. Одинаковый вопрос разным людям позволяет сравнить ответы и акценты. Формат вводит социальные группы через их собственную речь.</x:v>
      </x:c>
      <x:c r="P17" s="11" t="str">
        <x:f>IF(D17="","",IF(COUNTIFS('Видео'!$A$7:$A$1508,D17)=1,INDEX('Видео'!$U$7:$U$1508,MATCH(D17,'Видео'!$A$7:$A$1508,0)),"ID не найден"))</x:f>
        <x:v>https://www.youtube.com/watch?v=qUQKnNZTZbA</x:v>
      </x:c>
      <x:c r="Q17" s="17" t="str">
        <x:v>Предложено</x:v>
      </x:c>
      <x:c r="R17" s="17" t="str"/>
      <x:c r="S17" s="10" t="str"/>
      <x:c r="T17" s="10" t="str">
        <x:v>Резерв меняет выбор видео; снова проверить повод, аудиторию и все редакторские условия</x:v>
      </x:c>
      <x:c r="U17" s="9" t="str">
        <x:f>IF(D17="","Выбрать видео",IF(COUNTIFS($D$7:$D$371,D17)&gt;1,"Повтор","Без повтора"))</x:f>
        <x:v>Без повтора</x:v>
      </x:c>
    </x:row>
    <x:row r="18" ht="60" customHeight="1">
      <x:c r="A18" s="16" t="n">
        <x:v>46320</x:v>
      </x:c>
      <x:c r="B18" s="9" t="str">
        <x:v>Вс</x:v>
      </x:c>
      <x:c r="C18" s="10" t="str">
        <x:v>Сериал</x:v>
      </x:c>
      <x:c r="D18" s="19" t="str">
        <x:v>Er030BPnVl0</x:v>
      </x:c>
      <x:c r="E18" s="10" t="str">
        <x:f>IF(D18="","",IF(COUNTIFS('Видео'!$A$7:$A$1508,D18)=1,INDEX('Видео'!$B$7:$B$1508,MATCH(D18,'Видео'!$A$7:$A$1508,0)),"ID не найден"))</x:f>
        <x:v>קופה ראשית עונה 3🛒 | קוקו וקוקו - פרק 2</x:v>
      </x:c>
      <x:c r="F18" s="9" t="str">
        <x:f>IF(D18="","",IF(COUNTIFS('Видео'!$A$7:$A$1508,D18)=1,INDEX('Видео'!$R$7:$R$1508,MATCH(D18,'Видео'!$A$7:$A$1508,0)),"ID не найден"))</x:f>
        <x:v>C003</x:v>
      </x:c>
      <x:c r="G18" s="9" t="str">
        <x:f>IF(D18="","",IF(COUNTIFS('Видео'!$A$7:$A$1508,D18)=1,INDEX('Видео'!$D$7:$D$1508,MATCH(D18,'Видео'!$A$7:$A$1508,0)),"ID не найден"))</x:f>
        <x:v>Сериал</x:v>
      </x:c>
      <x:c r="H18" s="10" t="str">
        <x:f>IF(D18="","",IF(COUNTIFS('Видео'!$A$7:$A$1508,D18)=1,INDEX('Видео'!$F$7:$F$1508,MATCH(D18,'Видео'!$A$7:$A$1508,0)),"ID не найден"))</x:f>
        <x:v>B1–B2 (гипотеза)</x:v>
      </x:c>
      <x:c r="I18" s="18" t="n">
        <x:f>IF(D18="","",IF(COUNTIFS('Видео'!$A$7:$A$1508,D18)=1,INDEX('Видео'!$G$7:$G$1508,MATCH(D18,'Видео'!$A$7:$A$1508,0)),"ID не найден"))</x:f>
        <x:v>25.2</x:v>
      </x:c>
      <x:c r="J18" s="18" t="n">
        <x:v>10</x:v>
      </x:c>
      <x:c r="K18" s="10" t="str">
        <x:f>IF(D18="","",IF(COUNTIFS('Видео'!$A$7:$A$1508,D18)=1,INDEX('Видео'!$AI$7:$AI$1508,MATCH(D18,'Видео'!$A$7:$A$1508,0)),"ID не найден"))</x:f>
        <x:v>Нужна редактура</x:v>
      </x:c>
      <x:c r="L18" s="19" t="str">
        <x:v>N2pfHZMwXT0</x:v>
      </x:c>
      <x:c r="M18" s="10" t="str">
        <x:f>IF(L18="","",IF(COUNTIFS('Видео'!$A$7:$A$1508,L18)=1,INDEX('Видео'!$B$7:$B$1508,MATCH(L18,'Видео'!$A$7:$A$1508,0)),"ID не найден"))</x:f>
        <x:v>דניאל שואל - לאן הולך הזבל שלנו?</x:v>
      </x:c>
      <x:c r="N18" s="10" t="str"/>
      <x:c r="O18" s="10" t="str">
        <x:f>IF(D18="","",IF(COUNTIFS('Видео'!$A$7:$A$1508,D18)=1,INDEX('Видео'!$M$7:$M$1508,MATCH(D18,'Видео'!$A$7:$A$1508,0)),"ID не найден"))</x:f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8" s="11" t="str">
        <x:f>IF(D18="","",IF(COUNTIFS('Видео'!$A$7:$A$1508,D18)=1,INDEX('Видео'!$U$7:$U$1508,MATCH(D18,'Видео'!$A$7:$A$1508,0)),"ID не найден"))</x:f>
        <x:v>https://www.youtube.com/watch?v=Er030BPnVl0</x:v>
      </x:c>
      <x:c r="Q18" s="17" t="str">
        <x:v>Предложено</x:v>
      </x:c>
      <x:c r="R18" s="17" t="str"/>
      <x:c r="S18" s="10" t="str"/>
      <x:c r="T18" s="10" t="str">
        <x:v>При недоступной серии приостановить сюжетную ветку; резерв — самостоятельное видео</x:v>
      </x:c>
      <x:c r="U18" s="9" t="str">
        <x:f>IF(D18="","Выбрать видео",IF(COUNTIFS($D$7:$D$371,D18)&gt;1,"Повтор","Без повтора"))</x:f>
        <x:v>Без повтора</x:v>
      </x:c>
    </x:row>
    <x:row r="19" ht="60" customHeight="1">
      <x:c r="A19" s="16" t="n">
        <x:v>46321</x:v>
      </x:c>
      <x:c r="B19" s="9" t="str">
        <x:v>Пн</x:v>
      </x:c>
      <x:c r="C19" s="10" t="str">
        <x:v>Интервью</x:v>
      </x:c>
      <x:c r="D19" s="19" t="str">
        <x:v>bYkOcZDBncw</x:v>
      </x:c>
      <x:c r="E19" s="10" t="str">
        <x:f>IF(D19="","",IF(COUNTIFS('Видео'!$A$7:$A$1508,D19)=1,INDEX('Видео'!$B$7:$B$1508,MATCH(D19,'Видео'!$A$7:$A$1508,0)),"ID не найден"))</x:f>
        <x:v>פגישה עם רוני קובן עונה 9 | צבי יחזקאלי</x:v>
      </x:c>
      <x:c r="F19" s="9" t="str">
        <x:f>IF(D19="","",IF(COUNTIFS('Видео'!$A$7:$A$1508,D19)=1,INDEX('Видео'!$R$7:$R$1508,MATCH(D19,'Видео'!$A$7:$A$1508,0)),"ID не найден"))</x:f>
        <x:v>C014</x:v>
      </x:c>
      <x:c r="G19" s="9" t="str">
        <x:f>IF(D19="","",IF(COUNTIFS('Видео'!$A$7:$A$1508,D19)=1,INDEX('Видео'!$D$7:$D$1508,MATCH(D19,'Видео'!$A$7:$A$1508,0)),"ID не найден"))</x:f>
        <x:v>Интервью</x:v>
      </x:c>
      <x:c r="H19" s="10" t="str">
        <x:f>IF(D19="","",IF(COUNTIFS('Видео'!$A$7:$A$1508,D19)=1,INDEX('Видео'!$F$7:$F$1508,MATCH(D19,'Видео'!$A$7:$A$1508,0)),"ID не найден"))</x:f>
        <x:v>B2–C1 (гипотеза)</x:v>
      </x:c>
      <x:c r="I19" s="18" t="n">
        <x:f>IF(D19="","",IF(COUNTIFS('Видео'!$A$7:$A$1508,D19)=1,INDEX('Видео'!$G$7:$G$1508,MATCH(D19,'Видео'!$A$7:$A$1508,0)),"ID не найден"))</x:f>
        <x:v>34.8</x:v>
      </x:c>
      <x:c r="J19" s="18" t="n">
        <x:v>10</x:v>
      </x:c>
      <x:c r="K19" s="10" t="str">
        <x:f>IF(D19="","",IF(COUNTIFS('Видео'!$A$7:$A$1508,D19)=1,INDEX('Видео'!$AI$7:$AI$1508,MATCH(D19,'Видео'!$A$7:$A$1508,0)),"ID не найден"))</x:f>
        <x:v>Нужна редактура</x:v>
      </x:c>
      <x:c r="L19" s="19" t="str">
        <x:v>V4TZoWGTDfI</x:v>
      </x:c>
      <x:c r="M19" s="10" t="str">
        <x:f>IF(L19="","",IF(COUNTIFS('Видео'!$A$7:$A$1508,L19)=1,INDEX('Видео'!$B$7:$B$1508,MATCH(L19,'Видео'!$A$7:$A$1508,0)),"ID не найден"))</x:f>
        <x:v>פגישה עם רוני קובן עונה 9 | מירי רגב</x:v>
      </x:c>
      <x:c r="N19" s="10" t="str"/>
      <x:c r="O19" s="10" t="str">
        <x:f>IF(D19="","",IF(COUNTIFS('Видео'!$A$7:$A$1508,D19)=1,INDEX('Видео'!$M$7:$M$1508,MATCH(D19,'Видео'!$A$7:$A$1508,0)),"ID не найден"))</x:f>
        <x:v>Тема / гость: צבי יחזקאלי. Просмотры в списке выше медианы выборки этого цикла в 3.99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9" s="11" t="str">
        <x:f>IF(D19="","",IF(COUNTIFS('Видео'!$A$7:$A$1508,D19)=1,INDEX('Видео'!$U$7:$U$1508,MATCH(D19,'Видео'!$A$7:$A$1508,0)),"ID не найден"))</x:f>
        <x:v>https://www.youtube.com/watch?v=bYkOcZDBncw</x:v>
      </x:c>
      <x:c r="Q19" s="17" t="str">
        <x:v>Предложено</x:v>
      </x:c>
      <x:c r="R19" s="17" t="str"/>
      <x:c r="S19" s="10" t="str"/>
      <x:c r="T19" s="10" t="str">
        <x:v>Резерв меняет выбор видео; снова проверить повод, аудиторию и все редакторские условия</x:v>
      </x:c>
      <x:c r="U19" s="9" t="str">
        <x:f>IF(D19="","Выбрать видео",IF(COUNTIFS($D$7:$D$371,D19)&gt;1,"Повтор","Без повтора"))</x:f>
        <x:v>Без повтора</x:v>
      </x:c>
    </x:row>
    <x:row r="20" ht="60" customHeight="1">
      <x:c r="A20" s="16" t="n">
        <x:v>46322</x:v>
      </x:c>
      <x:c r="B20" s="9" t="str">
        <x:v>Вт</x:v>
      </x:c>
      <x:c r="C20" s="10" t="str">
        <x:v>Образование</x:v>
      </x:c>
      <x:c r="D20" s="19" t="str">
        <x:v>nKS68JM4Q5Q</x:v>
      </x:c>
      <x:c r="E20" s="10" t="str">
        <x:f>IF(D20="","",IF(COUNTIFS('Видео'!$A$7:$A$1508,D20)=1,INDEX('Видео'!$B$7:$B$1508,MATCH(D20,'Видео'!$A$7:$A$1508,0)),"ID не найден"))</x:f>
        <x:v>מתחת לבלטות עם שאול אמסטרדמסקי | פרק 1 - לקנות או לשכור?</x:v>
      </x:c>
      <x:c r="F20" s="9" t="str">
        <x:f>IF(D20="","",IF(COUNTIFS('Видео'!$A$7:$A$1508,D20)=1,INDEX('Видео'!$R$7:$R$1508,MATCH(D20,'Видео'!$A$7:$A$1508,0)),"ID не найден"))</x:f>
        <x:v>C035</x:v>
      </x:c>
      <x:c r="G20" s="9" t="str">
        <x:f>IF(D20="","",IF(COUNTIFS('Видео'!$A$7:$A$1508,D20)=1,INDEX('Видео'!$D$7:$D$1508,MATCH(D20,'Видео'!$A$7:$A$1508,0)),"ID не найден"))</x:f>
        <x:v>Образование</x:v>
      </x:c>
      <x:c r="H20" s="10" t="str">
        <x:f>IF(D20="","",IF(COUNTIFS('Видео'!$A$7:$A$1508,D20)=1,INDEX('Видео'!$F$7:$F$1508,MATCH(D20,'Видео'!$A$7:$A$1508,0)),"ID не найден"))</x:f>
        <x:v>B2–C1 (гипотеза)</x:v>
      </x:c>
      <x:c r="I20" s="18" t="n">
        <x:f>IF(D20="","",IF(COUNTIFS('Видео'!$A$7:$A$1508,D20)=1,INDEX('Видео'!$G$7:$G$1508,MATCH(D20,'Видео'!$A$7:$A$1508,0)),"ID не найден"))</x:f>
        <x:v>33.4</x:v>
      </x:c>
      <x:c r="J20" s="18" t="n">
        <x:v>10</x:v>
      </x:c>
      <x:c r="K20" s="10" t="str">
        <x:f>IF(D20="","",IF(COUNTIFS('Видео'!$A$7:$A$1508,D20)=1,INDEX('Видео'!$AI$7:$AI$1508,MATCH(D20,'Видео'!$A$7:$A$1508,0)),"ID не найден"))</x:f>
        <x:v>Нужна редактура</x:v>
      </x:c>
      <x:c r="L20" s="19" t="str">
        <x:v>Tdu4-_3Wx4g</x:v>
      </x:c>
      <x:c r="M20" s="10" t="str">
        <x:f>IF(L20="","",IF(COUNTIFS('Видео'!$A$7:$A$1508,L20)=1,INDEX('Видео'!$B$7:$B$1508,MATCH(L20,'Видео'!$A$7:$A$1508,0)),"ID не найден"))</x:f>
        <x:v>הפשרה מהירה יותר בין שני סירים?!</x:v>
      </x:c>
      <x:c r="N20" s="10" t="str"/>
      <x:c r="O20" s="10" t="str">
        <x:f>IF(D20="","",IF(COUNTIFS('Видео'!$A$7:$A$1508,D20)=1,INDEX('Видео'!$M$7:$M$1508,MATCH(D20,'Видео'!$A$7:$A$1508,0)),"ID не найден"))</x:f>
        <x:v>Тема: מתחת לבלטות עם שאול אמסטרדמסקי | פרק 1 - לקנות או לשכור?. Просмотры в списке выше медианы выборки этого цикла в 1.82 раза. Экономические объяснения связывают личные деньги и общественные решения. Это самостоятельная аудитория за пределами сериалов.</x:v>
      </x:c>
      <x:c r="P20" s="11" t="str">
        <x:f>IF(D20="","",IF(COUNTIFS('Видео'!$A$7:$A$1508,D20)=1,INDEX('Видео'!$U$7:$U$1508,MATCH(D20,'Видео'!$A$7:$A$1508,0)),"ID не найден"))</x:f>
        <x:v>https://www.youtube.com/watch?v=nKS68JM4Q5Q</x:v>
      </x:c>
      <x:c r="Q20" s="17" t="str">
        <x:v>Предложено</x:v>
      </x:c>
      <x:c r="R20" s="17" t="str"/>
      <x:c r="S20" s="10" t="str"/>
      <x:c r="T20" s="10" t="str">
        <x:v>Резерв меняет выбор видео; снова проверить повод, аудиторию и все редакторские условия</x:v>
      </x:c>
      <x:c r="U20" s="9" t="str">
        <x:f>IF(D20="","Выбрать видео",IF(COUNTIFS($D$7:$D$371,D20)&gt;1,"Повтор","Без повтора"))</x:f>
        <x:v>Без повтора</x:v>
      </x:c>
    </x:row>
    <x:row r="21" ht="60" customHeight="1">
      <x:c r="A21" s="16" t="n">
        <x:v>46323</x:v>
      </x:c>
      <x:c r="B21" s="9" t="str">
        <x:v>Ср</x:v>
      </x:c>
      <x:c r="C21" s="10" t="str">
        <x:v>Быт</x:v>
      </x:c>
      <x:c r="D21" s="19" t="str">
        <x:v>StWbjB2i1Uw</x:v>
      </x:c>
      <x:c r="E21" s="10" t="str">
        <x:f>IF(D21="","",IF(COUNTIFS('Видео'!$A$7:$A$1508,D21)=1,INDEX('Видео'!$B$7:$B$1508,MATCH(D21,'Видео'!$A$7:$A$1508,0)),"ID не найден"))</x:f>
        <x:v>שום פלפל ושמן זית עונה 2 | אלי יצפאן</x:v>
      </x:c>
      <x:c r="F21" s="9" t="str">
        <x:f>IF(D21="","",IF(COUNTIFS('Видео'!$A$7:$A$1508,D21)=1,INDEX('Видео'!$R$7:$R$1508,MATCH(D21,'Видео'!$A$7:$A$1508,0)),"ID не найден"))</x:f>
        <x:v>C024</x:v>
      </x:c>
      <x:c r="G21" s="9" t="str">
        <x:f>IF(D21="","",IF(COUNTIFS('Видео'!$A$7:$A$1508,D21)=1,INDEX('Видео'!$D$7:$D$1508,MATCH(D21,'Видео'!$A$7:$A$1508,0)),"ID не найден"))</x:f>
        <x:v>Быт</x:v>
      </x:c>
      <x:c r="H21" s="10" t="str">
        <x:f>IF(D21="","",IF(COUNTIFS('Видео'!$A$7:$A$1508,D21)=1,INDEX('Видео'!$F$7:$F$1508,MATCH(D21,'Видео'!$A$7:$A$1508,0)),"ID не найден"))</x:f>
        <x:v>B1–B2 (гипотеза)</x:v>
      </x:c>
      <x:c r="I21" s="18" t="n">
        <x:f>IF(D21="","",IF(COUNTIFS('Видео'!$A$7:$A$1508,D21)=1,INDEX('Видео'!$G$7:$G$1508,MATCH(D21,'Видео'!$A$7:$A$1508,0)),"ID не найден"))</x:f>
        <x:v>40.8</x:v>
      </x:c>
      <x:c r="J21" s="18" t="n">
        <x:v>10</x:v>
      </x:c>
      <x:c r="K21" s="10" t="str">
        <x:f>IF(D21="","",IF(COUNTIFS('Видео'!$A$7:$A$1508,D21)=1,INDEX('Видео'!$AI$7:$AI$1508,MATCH(D21,'Видео'!$A$7:$A$1508,0)),"ID не найден"))</x:f>
        <x:v>Нужна редактура</x:v>
      </x:c>
      <x:c r="L21" s="19" t="str">
        <x:v>hxquqCRIoeo</x:v>
      </x:c>
      <x:c r="M21" s="10" t="str">
        <x:f>IF(L21="","",IF(COUNTIFS('Видео'!$A$7:$A$1508,L21)=1,INDEX('Видео'!$B$7:$B$1508,MATCH(L21,'Видео'!$A$7:$A$1508,0)),"ID не найден"))</x:f>
        <x:v>גלריה לסטלנים 🍀 דוקותיים</x:v>
      </x:c>
      <x:c r="N21" s="10" t="str"/>
      <x:c r="O21" s="10" t="str">
        <x:f>IF(D21="","",IF(COUNTIFS('Видео'!$A$7:$A$1508,D21)=1,INDEX('Видео'!$M$7:$M$1508,MATCH(D21,'Видео'!$A$7:$A$1508,0)),"ID не найден"))</x:f>
        <x:v>Тема: שום פלפל ושמן זית עונה 2 | אלי יצפאן. Просмотры в списке выше медианы выборки этого цикла в 2.41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P21" s="11" t="str">
        <x:f>IF(D21="","",IF(COUNTIFS('Видео'!$A$7:$A$1508,D21)=1,INDEX('Видео'!$U$7:$U$1508,MATCH(D21,'Видео'!$A$7:$A$1508,0)),"ID не найден"))</x:f>
        <x:v>https://www.youtube.com/watch?v=StWbjB2i1Uw</x:v>
      </x:c>
      <x:c r="Q21" s="17" t="str">
        <x:v>Предложено</x:v>
      </x:c>
      <x:c r="R21" s="17" t="str"/>
      <x:c r="S21" s="10" t="str"/>
      <x:c r="T21" s="10" t="str">
        <x:v>Резерв меняет выбор видео; снова проверить повод, аудиторию и все редакторские условия</x:v>
      </x:c>
      <x:c r="U21" s="9" t="str">
        <x:f>IF(D21="","Выбрать видео",IF(COUNTIFS($D$7:$D$371,D21)&gt;1,"Повтор","Без повтора"))</x:f>
        <x:v>Без повтора</x:v>
      </x:c>
    </x:row>
    <x:row r="22" ht="60" customHeight="1">
      <x:c r="A22" s="16" t="n">
        <x:v>46324</x:v>
      </x:c>
      <x:c r="B22" s="9" t="str">
        <x:v>Чт</x:v>
      </x:c>
      <x:c r="C22" s="10" t="str">
        <x:v>Сериал</x:v>
      </x:c>
      <x:c r="D22" s="19" t="str">
        <x:v>AldQ3aLFSNk</x:v>
      </x:c>
      <x:c r="E22" s="10" t="str">
        <x:f>IF(D22="","",IF(COUNTIFS('Видео'!$A$7:$A$1508,D22)=1,INDEX('Видео'!$B$7:$B$1508,MATCH(D22,'Видео'!$A$7:$A$1508,0)),"ID не найден"))</x:f>
        <x:v>חזרות - קומדיה (לא) רומנטית 🎭 | פרק 3</x:v>
      </x:c>
      <x:c r="F22" s="9" t="str">
        <x:f>IF(D22="","",IF(COUNTIFS('Видео'!$A$7:$A$1508,D22)=1,INDEX('Видео'!$R$7:$R$1508,MATCH(D22,'Видео'!$A$7:$A$1508,0)),"ID не найден"))</x:f>
        <x:v>C007</x:v>
      </x:c>
      <x:c r="G22" s="9" t="str">
        <x:f>IF(D22="","",IF(COUNTIFS('Видео'!$A$7:$A$1508,D22)=1,INDEX('Видео'!$D$7:$D$1508,MATCH(D22,'Видео'!$A$7:$A$1508,0)),"ID не найден"))</x:f>
        <x:v>Сериал</x:v>
      </x:c>
      <x:c r="H22" s="10" t="str">
        <x:f>IF(D22="","",IF(COUNTIFS('Видео'!$A$7:$A$1508,D22)=1,INDEX('Видео'!$F$7:$F$1508,MATCH(D22,'Видео'!$A$7:$A$1508,0)),"ID не найден"))</x:f>
        <x:v>B2–C1 (гипотеза)</x:v>
      </x:c>
      <x:c r="I22" s="18" t="n">
        <x:f>IF(D22="","",IF(COUNTIFS('Видео'!$A$7:$A$1508,D22)=1,INDEX('Видео'!$G$7:$G$1508,MATCH(D22,'Видео'!$A$7:$A$1508,0)),"ID не найден"))</x:f>
        <x:v>38</x:v>
      </x:c>
      <x:c r="J22" s="18" t="n">
        <x:v>10</x:v>
      </x:c>
      <x:c r="K22" s="10" t="str">
        <x:f>IF(D22="","",IF(COUNTIFS('Видео'!$A$7:$A$1508,D22)=1,INDEX('Видео'!$AI$7:$AI$1508,MATCH(D22,'Видео'!$A$7:$A$1508,0)),"ID не найден"))</x:f>
        <x:v>Нужна редактура</x:v>
      </x:c>
      <x:c r="L22" s="19" t="str">
        <x:v>rHObsAG24S0</x:v>
      </x:c>
      <x:c r="M22" s="10" t="str">
        <x:f>IF(L22="","",IF(COUNTIFS('Видео'!$A$7:$A$1508,L22)=1,INDEX('Видео'!$B$7:$B$1508,MATCH(L22,'Видео'!$A$7:$A$1508,0)),"ID не найден"))</x:f>
        <x:v>למה כל כך מסובך להגיע לרכבת?🚆 | חיות כיס</x:v>
      </x:c>
      <x:c r="N22" s="10" t="str"/>
      <x:c r="O22" s="10" t="str">
        <x:f>IF(D22="","",IF(COUNTIFS('Видео'!$A$7:$A$1508,D22)=1,INDEX('Видео'!$M$7:$M$1508,MATCH(D22,'Видео'!$A$7:$A$1508,0)),"ID не найден"))</x:f>
        <x:v>Эпизод 3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P22" s="11" t="str">
        <x:f>IF(D22="","",IF(COUNTIFS('Видео'!$A$7:$A$1508,D22)=1,INDEX('Видео'!$U$7:$U$1508,MATCH(D22,'Видео'!$A$7:$A$1508,0)),"ID не найден"))</x:f>
        <x:v>https://www.youtube.com/watch?v=AldQ3aLFSNk</x:v>
      </x:c>
      <x:c r="Q22" s="17" t="str">
        <x:v>Предложено</x:v>
      </x:c>
      <x:c r="R22" s="17" t="str"/>
      <x:c r="S22" s="10" t="str"/>
      <x:c r="T22" s="10" t="str">
        <x:v>При недоступной серии приостановить сюжетную ветку; резерв — самостоятельное видео</x:v>
      </x:c>
      <x:c r="U22" s="9" t="str">
        <x:f>IF(D22="","Выбрать видео",IF(COUNTIFS($D$7:$D$371,D22)&gt;1,"Повтор","Без повтора"))</x:f>
        <x:v>Без повтора</x:v>
      </x:c>
    </x:row>
    <x:row r="23" ht="60" customHeight="1">
      <x:c r="A23" s="16" t="n">
        <x:v>46325</x:v>
      </x:c>
      <x:c r="B23" s="9" t="str">
        <x:v>Пт</x:v>
      </x:c>
      <x:c r="C23" s="10" t="str">
        <x:v>История</x:v>
      </x:c>
      <x:c r="D23" s="19" t="str">
        <x:v>v1AxvCDUcjU</x:v>
      </x:c>
      <x:c r="E23" s="10" t="str">
        <x:f>IF(D23="","",IF(COUNTIFS('Видео'!$A$7:$A$1508,D23)=1,INDEX('Видео'!$B$7:$B$1508,MATCH(D23,'Видео'!$A$7:$A$1508,0)),"ID не найден"))</x:f>
        <x:v>המנדט - הימים בהם שלטו הבריטים בארץ ישראל | פרק 1 - קונפליקט צריך זירה</x:v>
      </x:c>
      <x:c r="F23" s="9" t="str">
        <x:f>IF(D23="","",IF(COUNTIFS('Видео'!$A$7:$A$1508,D23)=1,INDEX('Видео'!$R$7:$R$1508,MATCH(D23,'Видео'!$A$7:$A$1508,0)),"ID не найден"))</x:f>
        <x:v>C029</x:v>
      </x:c>
      <x:c r="G23" s="9" t="str">
        <x:f>IF(D23="","",IF(COUNTIFS('Видео'!$A$7:$A$1508,D23)=1,INDEX('Видео'!$D$7:$D$1508,MATCH(D23,'Видео'!$A$7:$A$1508,0)),"ID не найден"))</x:f>
        <x:v>История</x:v>
      </x:c>
      <x:c r="H23" s="10" t="str">
        <x:f>IF(D23="","",IF(COUNTIFS('Видео'!$A$7:$A$1508,D23)=1,INDEX('Видео'!$F$7:$F$1508,MATCH(D23,'Видео'!$A$7:$A$1508,0)),"ID не найден"))</x:f>
        <x:v>B2–C1 (гипотеза)</x:v>
      </x:c>
      <x:c r="I23" s="18" t="n">
        <x:f>IF(D23="","",IF(COUNTIFS('Видео'!$A$7:$A$1508,D23)=1,INDEX('Видео'!$G$7:$G$1508,MATCH(D23,'Видео'!$A$7:$A$1508,0)),"ID не найден"))</x:f>
        <x:v>55.4</x:v>
      </x:c>
      <x:c r="J23" s="18" t="n">
        <x:v>10</x:v>
      </x:c>
      <x:c r="K23" s="10" t="str">
        <x:f>IF(D23="","",IF(COUNTIFS('Видео'!$A$7:$A$1508,D23)=1,INDEX('Видео'!$AI$7:$AI$1508,MATCH(D23,'Видео'!$A$7:$A$1508,0)),"ID не найден"))</x:f>
        <x:v>Нужна редактура</x:v>
      </x:c>
      <x:c r="L23" s="19" t="str">
        <x:v>R7zVt8XbYXc</x:v>
      </x:c>
      <x:c r="M23" s="10" t="str">
        <x:f>IF(L23="","",IF(COUNTIFS('Видео'!$A$7:$A$1508,L23)=1,INDEX('Видео'!$B$7:$B$1508,MATCH(L23,'Видео'!$A$7:$A$1508,0)),"ID не найден"))</x:f>
        <x:v>בארץ לא להם | שיעור 2 – היה או לא היה? | ד"ר יפעת טהרני</x:v>
      </x:c>
      <x:c r="N23" s="10" t="str"/>
      <x:c r="O23" s="10" t="str">
        <x:f>IF(D23="","",IF(COUNTIFS('Видео'!$A$7:$A$1508,D23)=1,INDEX('Видео'!$M$7:$M$1508,MATCH(D23,'Видео'!$A$7:$A$1508,0)),"ID не найден"))</x:f>
        <x:v>Тема: המנדט - הימים בהם שלטו הבריטים בארץ ישראל | פרק 1 - קונפליקט צריך זירה. Связный документальный цикл помогает понять британский период и предпосылки создания государства.</x:v>
      </x:c>
      <x:c r="P23" s="11" t="str">
        <x:f>IF(D23="","",IF(COUNTIFS('Видео'!$A$7:$A$1508,D23)=1,INDEX('Видео'!$U$7:$U$1508,MATCH(D23,'Видео'!$A$7:$A$1508,0)),"ID не найден"))</x:f>
        <x:v>https://www.youtube.com/watch?v=v1AxvCDUcjU</x:v>
      </x:c>
      <x:c r="Q23" s="17" t="str">
        <x:v>Предложено</x:v>
      </x:c>
      <x:c r="R23" s="17" t="str"/>
      <x:c r="S23" s="10" t="str"/>
      <x:c r="T23" s="10" t="str">
        <x:v>Резерв меняет выбор видео; снова проверить повод, аудиторию и все редакторские условия</x:v>
      </x:c>
      <x:c r="U23" s="9" t="str">
        <x:f>IF(D23="","Выбрать видео",IF(COUNTIFS($D$7:$D$371,D23)&gt;1,"Повтор","Без повтора"))</x:f>
        <x:v>Без повтора</x:v>
      </x:c>
    </x:row>
    <x:row r="24" ht="60" customHeight="1">
      <x:c r="A24" s="16" t="n">
        <x:v>46326</x:v>
      </x:c>
      <x:c r="B24" s="9" t="str">
        <x:v>Сб</x:v>
      </x:c>
      <x:c r="C24" s="10" t="str">
        <x:v>Общество</x:v>
      </x:c>
      <x:c r="D24" s="19" t="str">
        <x:v>D41rWcKGzQk</x:v>
      </x:c>
      <x:c r="E24" s="10" t="str">
        <x:f>IF(D24="","",IF(COUNTIFS('Видео'!$A$7:$A$1508,D24)=1,INDEX('Видео'!$B$7:$B$1508,MATCH(D24,'Видео'!$A$7:$A$1508,0)),"ID не найден"))</x:f>
        <x:v>סליחה על השאלה עונה 3 💙 | רווקות מאוחרת</x:v>
      </x:c>
      <x:c r="F24" s="9" t="str">
        <x:f>IF(D24="","",IF(COUNTIFS('Видео'!$A$7:$A$1508,D24)=1,INDEX('Видео'!$R$7:$R$1508,MATCH(D24,'Видео'!$A$7:$A$1508,0)),"ID не найден"))</x:f>
        <x:v>C019</x:v>
      </x:c>
      <x:c r="G24" s="9" t="str">
        <x:f>IF(D24="","",IF(COUNTIFS('Видео'!$A$7:$A$1508,D24)=1,INDEX('Видео'!$D$7:$D$1508,MATCH(D24,'Видео'!$A$7:$A$1508,0)),"ID не найден"))</x:f>
        <x:v>Общество</x:v>
      </x:c>
      <x:c r="H24" s="10" t="str">
        <x:f>IF(D24="","",IF(COUNTIFS('Видео'!$A$7:$A$1508,D24)=1,INDEX('Видео'!$F$7:$F$1508,MATCH(D24,'Видео'!$A$7:$A$1508,0)),"ID не найден"))</x:f>
        <x:v>B1–B2 (гипотеза)</x:v>
      </x:c>
      <x:c r="I24" s="18" t="n">
        <x:f>IF(D24="","",IF(COUNTIFS('Видео'!$A$7:$A$1508,D24)=1,INDEX('Видео'!$G$7:$G$1508,MATCH(D24,'Видео'!$A$7:$A$1508,0)),"ID не найден"))</x:f>
        <x:v>25</x:v>
      </x:c>
      <x:c r="J24" s="18" t="n">
        <x:v>10</x:v>
      </x:c>
      <x:c r="K24" s="10" t="str">
        <x:f>IF(D24="","",IF(COUNTIFS('Видео'!$A$7:$A$1508,D24)=1,INDEX('Видео'!$AI$7:$AI$1508,MATCH(D24,'Видео'!$A$7:$A$1508,0)),"ID не найден"))</x:f>
        <x:v>Нужна редактура</x:v>
      </x:c>
      <x:c r="L24" s="19" t="str">
        <x:v>1h0LaaWNnTw</x:v>
      </x:c>
      <x:c r="M24" s="10" t="str">
        <x:f>IF(L24="","",IF(COUNTIFS('Видео'!$A$7:$A$1508,L24)=1,INDEX('Видео'!$B$7:$B$1508,MATCH(L24,'Видео'!$A$7:$A$1508,0)),"ID не найден"))</x:f>
        <x:v>בחירתו הגורלית של רבש"צ ניר עוז - שאחריה נאלץ לעזוב לדנמרק</x:v>
      </x:c>
      <x:c r="N24" s="10" t="str"/>
      <x:c r="O24" s="10" t="str">
        <x:f>IF(D24="","",IF(COUNTIFS('Видео'!$A$7:$A$1508,D24)=1,INDEX('Видео'!$M$7:$M$1508,MATCH(D24,'Видео'!$A$7:$A$1508,0)),"ID не найден"))</x:f>
        <x:v>Тема: סליחה על השאלה עונה 3 💙 | רווקות מאוחרת. Просмотры в списке выше медианы выборки этого цикла в 1.92 раза. Одинаковый вопрос разным людям позволяет сравнить ответы и акценты. Формат вводит социальные группы через их собственную речь.</x:v>
      </x:c>
      <x:c r="P24" s="11" t="str">
        <x:f>IF(D24="","",IF(COUNTIFS('Видео'!$A$7:$A$1508,D24)=1,INDEX('Видео'!$U$7:$U$1508,MATCH(D24,'Видео'!$A$7:$A$1508,0)),"ID не найден"))</x:f>
        <x:v>https://www.youtube.com/watch?v=D41rWcKGzQk</x:v>
      </x:c>
      <x:c r="Q24" s="17" t="str">
        <x:v>Предложено</x:v>
      </x:c>
      <x:c r="R24" s="17" t="str"/>
      <x:c r="S24" s="10" t="str"/>
      <x:c r="T24" s="10" t="str">
        <x:v>Резерв меняет выбор видео; снова проверить повод, аудиторию и все редакторские условия</x:v>
      </x:c>
      <x:c r="U24" s="9" t="str">
        <x:f>IF(D24="","Выбрать видео",IF(COUNTIFS($D$7:$D$371,D24)&gt;1,"Повтор","Без повтора"))</x:f>
        <x:v>Без повтора</x:v>
      </x:c>
    </x:row>
    <x:row r="25" ht="60" customHeight="1">
      <x:c r="A25" s="16" t="n">
        <x:v>46327</x:v>
      </x:c>
      <x:c r="B25" s="9" t="str">
        <x:v>Вс</x:v>
      </x:c>
      <x:c r="C25" s="10" t="str">
        <x:v>Сериал</x:v>
      </x:c>
      <x:c r="D25" s="19" t="str">
        <x:v>NsjeEt1ZpqQ</x:v>
      </x:c>
      <x:c r="E25" s="10" t="str">
        <x:f>IF(D25="","",IF(COUNTIFS('Видео'!$A$7:$A$1508,D25)=1,INDEX('Видео'!$B$7:$B$1508,MATCH(D25,'Видео'!$A$7:$A$1508,0)),"ID не найден"))</x:f>
        <x:v>קופה ראשית עונה 3🛒 | 15 דקות - פרק 3</x:v>
      </x:c>
      <x:c r="F25" s="9" t="str">
        <x:f>IF(D25="","",IF(COUNTIFS('Видео'!$A$7:$A$1508,D25)=1,INDEX('Видео'!$R$7:$R$1508,MATCH(D25,'Видео'!$A$7:$A$1508,0)),"ID не найден"))</x:f>
        <x:v>C003</x:v>
      </x:c>
      <x:c r="G25" s="9" t="str">
        <x:f>IF(D25="","",IF(COUNTIFS('Видео'!$A$7:$A$1508,D25)=1,INDEX('Видео'!$D$7:$D$1508,MATCH(D25,'Видео'!$A$7:$A$1508,0)),"ID не найден"))</x:f>
        <x:v>Сериал</x:v>
      </x:c>
      <x:c r="H25" s="10" t="str">
        <x:f>IF(D25="","",IF(COUNTIFS('Видео'!$A$7:$A$1508,D25)=1,INDEX('Видео'!$F$7:$F$1508,MATCH(D25,'Видео'!$A$7:$A$1508,0)),"ID не найден"))</x:f>
        <x:v>B1–B2 (гипотеза)</x:v>
      </x:c>
      <x:c r="I25" s="18" t="n">
        <x:f>IF(D25="","",IF(COUNTIFS('Видео'!$A$7:$A$1508,D25)=1,INDEX('Видео'!$G$7:$G$1508,MATCH(D25,'Видео'!$A$7:$A$1508,0)),"ID не найден"))</x:f>
        <x:v>23.4</x:v>
      </x:c>
      <x:c r="J25" s="18" t="n">
        <x:v>10</x:v>
      </x:c>
      <x:c r="K25" s="10" t="str">
        <x:f>IF(D25="","",IF(COUNTIFS('Видео'!$A$7:$A$1508,D25)=1,INDEX('Видео'!$AI$7:$AI$1508,MATCH(D25,'Видео'!$A$7:$A$1508,0)),"ID не найден"))</x:f>
        <x:v>Нужна редактура</x:v>
      </x:c>
      <x:c r="L25" s="19" t="str">
        <x:v>EyEvRCHGoSw</x:v>
      </x:c>
      <x:c r="M25" s="10" t="str">
        <x:f>IF(L25="","",IF(COUNTIFS('Видео'!$A$7:$A$1508,L25)=1,INDEX('Видео'!$B$7:$B$1508,MATCH(L25,'Видео'!$A$7:$A$1508,0)),"ID не найден"))</x:f>
        <x:v>חיות כיס | לאן נעלמה החמאה? 🍞🔪</x:v>
      </x:c>
      <x:c r="N25" s="10" t="str"/>
      <x:c r="O25" s="10" t="str">
        <x:f>IF(D25="","",IF(COUNTIFS('Видео'!$A$7:$A$1508,D25)=1,INDEX('Видео'!$M$7:$M$1508,MATCH(D25,'Видео'!$A$7:$A$1508,0)),"ID не найден"))</x:f>
        <x:v>Эпизод 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5" s="11" t="str">
        <x:f>IF(D25="","",IF(COUNTIFS('Видео'!$A$7:$A$1508,D25)=1,INDEX('Видео'!$U$7:$U$1508,MATCH(D25,'Видео'!$A$7:$A$1508,0)),"ID не найден"))</x:f>
        <x:v>https://www.youtube.com/watch?v=NsjeEt1ZpqQ</x:v>
      </x:c>
      <x:c r="Q25" s="17" t="str">
        <x:v>Предложено</x:v>
      </x:c>
      <x:c r="R25" s="17" t="str"/>
      <x:c r="S25" s="10" t="str"/>
      <x:c r="T25" s="10" t="str">
        <x:v>При недоступной серии приостановить сюжетную ветку; резерв — самостоятельное видео</x:v>
      </x:c>
      <x:c r="U25" s="9" t="str">
        <x:f>IF(D25="","Выбрать видео",IF(COUNTIFS($D$7:$D$371,D25)&gt;1,"Повтор","Без повтора"))</x:f>
        <x:v>Без повтора</x:v>
      </x:c>
    </x:row>
    <x:row r="26" ht="60" customHeight="1">
      <x:c r="A26" s="16" t="n">
        <x:v>46328</x:v>
      </x:c>
      <x:c r="B26" s="9" t="str">
        <x:v>Пн</x:v>
      </x:c>
      <x:c r="C26" s="10" t="str">
        <x:v>Интервью</x:v>
      </x:c>
      <x:c r="D26" s="19" t="str">
        <x:v>DTPX_UjGOa8</x:v>
      </x:c>
      <x:c r="E26" s="10" t="str">
        <x:f>IF(D26="","",IF(COUNTIFS('Видео'!$A$7:$A$1508,D26)=1,INDEX('Видео'!$B$7:$B$1508,MATCH(D26,'Видео'!$A$7:$A$1508,0)),"ID не найден"))</x:f>
        <x:v>פגישה עם רוני קובן עונה 8 | יוסי כהן</x:v>
      </x:c>
      <x:c r="F26" s="9" t="str">
        <x:f>IF(D26="","",IF(COUNTIFS('Видео'!$A$7:$A$1508,D26)=1,INDEX('Видео'!$R$7:$R$1508,MATCH(D26,'Видео'!$A$7:$A$1508,0)),"ID не найден"))</x:f>
        <x:v>C015</x:v>
      </x:c>
      <x:c r="G26" s="9" t="str">
        <x:f>IF(D26="","",IF(COUNTIFS('Видео'!$A$7:$A$1508,D26)=1,INDEX('Видео'!$D$7:$D$1508,MATCH(D26,'Видео'!$A$7:$A$1508,0)),"ID не найден"))</x:f>
        <x:v>Интервью</x:v>
      </x:c>
      <x:c r="H26" s="10" t="str">
        <x:f>IF(D26="","",IF(COUNTIFS('Видео'!$A$7:$A$1508,D26)=1,INDEX('Видео'!$F$7:$F$1508,MATCH(D26,'Видео'!$A$7:$A$1508,0)),"ID не найден"))</x:f>
        <x:v>B2–C1 (гипотеза)</x:v>
      </x:c>
      <x:c r="I26" s="18" t="n">
        <x:f>IF(D26="","",IF(COUNTIFS('Видео'!$A$7:$A$1508,D26)=1,INDEX('Видео'!$G$7:$G$1508,MATCH(D26,'Видео'!$A$7:$A$1508,0)),"ID не найден"))</x:f>
        <x:v>39.7</x:v>
      </x:c>
      <x:c r="J26" s="18" t="n">
        <x:v>10</x:v>
      </x:c>
      <x:c r="K26" s="10" t="str">
        <x:f>IF(D26="","",IF(COUNTIFS('Видео'!$A$7:$A$1508,D26)=1,INDEX('Видео'!$AI$7:$AI$1508,MATCH(D26,'Видео'!$A$7:$A$1508,0)),"ID не найден"))</x:f>
        <x:v>Нужна редактура</x:v>
      </x:c>
      <x:c r="L26" s="19" t="str">
        <x:v>oINORw9psZ0</x:v>
      </x:c>
      <x:c r="M26" s="10" t="str">
        <x:f>IF(L26="","",IF(COUNTIFS('Видео'!$A$7:$A$1508,L26)=1,INDEX('Видео'!$B$7:$B$1508,MATCH(L26,'Видео'!$A$7:$A$1508,0)),"ID не найден"))</x:f>
        <x:v>פגישה עם רוני קובן עונה 7 | פרק 1 - רשף לוי</x:v>
      </x:c>
      <x:c r="N26" s="10" t="str"/>
      <x:c r="O26" s="10" t="str">
        <x:f>IF(D26="","",IF(COUNTIFS('Видео'!$A$7:$A$1508,D26)=1,INDEX('Видео'!$M$7:$M$1508,MATCH(D26,'Видео'!$A$7:$A$1508,0)),"ID не найден"))</x:f>
        <x:v>Тема / гость: יוסי כהן. Просмотры в списке выше медианы выборки этого цикла в 5.73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26" s="11" t="str">
        <x:f>IF(D26="","",IF(COUNTIFS('Видео'!$A$7:$A$1508,D26)=1,INDEX('Видео'!$U$7:$U$1508,MATCH(D26,'Видео'!$A$7:$A$1508,0)),"ID не найден"))</x:f>
        <x:v>https://www.youtube.com/watch?v=DTPX_UjGOa8</x:v>
      </x:c>
      <x:c r="Q26" s="17" t="str">
        <x:v>Предложено</x:v>
      </x:c>
      <x:c r="R26" s="17" t="str"/>
      <x:c r="S26" s="10" t="str"/>
      <x:c r="T26" s="10" t="str">
        <x:v>Резерв меняет выбор видео; снова проверить повод, аудиторию и все редакторские условия</x:v>
      </x:c>
      <x:c r="U26" s="9" t="str">
        <x:f>IF(D26="","Выбрать видео",IF(COUNTIFS($D$7:$D$371,D26)&gt;1,"Повтор","Без повтора"))</x:f>
        <x:v>Без повтора</x:v>
      </x:c>
    </x:row>
    <x:row r="27" ht="60" customHeight="1">
      <x:c r="A27" s="16" t="n">
        <x:v>46329</x:v>
      </x:c>
      <x:c r="B27" s="9" t="str">
        <x:v>Вт</x:v>
      </x:c>
      <x:c r="C27" s="10" t="str">
        <x:v>Образование</x:v>
      </x:c>
      <x:c r="D27" s="19" t="str">
        <x:v>w2kb1NR1hcg</x:v>
      </x:c>
      <x:c r="E27" s="10" t="str">
        <x:f>IF(D27="","",IF(COUNTIFS('Видео'!$A$7:$A$1508,D27)=1,INDEX('Видео'!$B$7:$B$1508,MATCH(D27,'Видео'!$A$7:$A$1508,0)),"ID не найден"))</x:f>
        <x:v>המרדף עונה 9 | פרק 10 - ספיישל מלון הוטל</x:v>
      </x:c>
      <x:c r="F27" s="9" t="str">
        <x:f>IF(D27="","",IF(COUNTIFS('Видео'!$A$7:$A$1508,D27)=1,INDEX('Видео'!$R$7:$R$1508,MATCH(D27,'Видео'!$A$7:$A$1508,0)),"ID не найден"))</x:f>
        <x:v>C037</x:v>
      </x:c>
      <x:c r="G27" s="9" t="str">
        <x:f>IF(D27="","",IF(COUNTIFS('Видео'!$A$7:$A$1508,D27)=1,INDEX('Видео'!$D$7:$D$1508,MATCH(D27,'Видео'!$A$7:$A$1508,0)),"ID не найден"))</x:f>
        <x:v>Образование</x:v>
      </x:c>
      <x:c r="H27" s="10" t="str">
        <x:f>IF(D27="","",IF(COUNTIFS('Видео'!$A$7:$A$1508,D27)=1,INDEX('Видео'!$F$7:$F$1508,MATCH(D27,'Видео'!$A$7:$A$1508,0)),"ID не найден"))</x:f>
        <x:v>B1–B2 (гипотеза)</x:v>
      </x:c>
      <x:c r="I27" s="18" t="n">
        <x:f>IF(D27="","",IF(COUNTIFS('Видео'!$A$7:$A$1508,D27)=1,INDEX('Видео'!$G$7:$G$1508,MATCH(D27,'Видео'!$A$7:$A$1508,0)),"ID не найден"))</x:f>
        <x:v>54.9</x:v>
      </x:c>
      <x:c r="J27" s="18" t="n">
        <x:v>10</x:v>
      </x:c>
      <x:c r="K27" s="10" t="str">
        <x:f>IF(D27="","",IF(COUNTIFS('Видео'!$A$7:$A$1508,D27)=1,INDEX('Видео'!$AI$7:$AI$1508,MATCH(D27,'Видео'!$A$7:$A$1508,0)),"ID не найден"))</x:f>
        <x:v>Нужна редактура</x:v>
      </x:c>
      <x:c r="L27" s="19" t="str">
        <x:v>sjOTiFo7f7k</x:v>
      </x:c>
      <x:c r="M27" s="10" t="str">
        <x:f>IF(L27="","",IF(COUNTIFS('Видео'!$A$7:$A$1508,L27)=1,INDEX('Видео'!$B$7:$B$1508,MATCH(L27,'Видео'!$A$7:$A$1508,0)),"ID не найден"))</x:f>
        <x:v>חיות כיס | למה אי אפשר לשלם באפליקציה על פיצה? 🍕</x:v>
      </x:c>
      <x:c r="N27" s="10" t="str"/>
      <x:c r="O27" s="10" t="str">
        <x:f>IF(D27="","",IF(COUNTIFS('Видео'!$A$7:$A$1508,D27)=1,INDEX('Видео'!$M$7:$M$1508,MATCH(D27,'Видео'!$A$7:$A$1508,0)),"ID не найден"))</x:f>
        <x:v>Тема: המרדף עונה 9 | פרק 10 - ספיישל מלון הוטל. Просмотры в списке выше медианы выборки этого цикла в 3.75 раза. Викторина предлагает естественный формат проверки понимания и обсуждения ответа.</x:v>
      </x:c>
      <x:c r="P27" s="11" t="str">
        <x:f>IF(D27="","",IF(COUNTIFS('Видео'!$A$7:$A$1508,D27)=1,INDEX('Видео'!$U$7:$U$1508,MATCH(D27,'Видео'!$A$7:$A$1508,0)),"ID не найден"))</x:f>
        <x:v>https://www.youtube.com/watch?v=w2kb1NR1hcg</x:v>
      </x:c>
      <x:c r="Q27" s="17" t="str">
        <x:v>Предложено</x:v>
      </x:c>
      <x:c r="R27" s="17" t="str"/>
      <x:c r="S27" s="10" t="str"/>
      <x:c r="T27" s="10" t="str">
        <x:v>Резерв меняет выбор видео; снова проверить повод, аудиторию и все редакторские условия</x:v>
      </x:c>
      <x:c r="U27" s="9" t="str">
        <x:f>IF(D27="","Выбрать видео",IF(COUNTIFS($D$7:$D$371,D27)&gt;1,"Повтор","Без повтора"))</x:f>
        <x:v>Без повтора</x:v>
      </x:c>
    </x:row>
    <x:row r="28" ht="60" customHeight="1">
      <x:c r="A28" s="16" t="n">
        <x:v>46330</x:v>
      </x:c>
      <x:c r="B28" s="9" t="str">
        <x:v>Ср</x:v>
      </x:c>
      <x:c r="C28" s="10" t="str">
        <x:v>Быт</x:v>
      </x:c>
      <x:c r="D28" s="19" t="str">
        <x:v>i2tTSSGCKJ4</x:v>
      </x:c>
      <x:c r="E28" s="10" t="str">
        <x:f>IF(D28="","",IF(COUNTIFS('Видео'!$A$7:$A$1508,D28)=1,INDEX('Видео'!$B$7:$B$1508,MATCH(D28,'Видео'!$A$7:$A$1508,0)),"ID не найден"))</x:f>
        <x:v>טיול אחרי צבא - סובב ישראל 🚐🇮🇱 | פרק 1 - חנית בחניתה</x:v>
      </x:c>
      <x:c r="F28" s="9" t="str">
        <x:f>IF(D28="","",IF(COUNTIFS('Видео'!$A$7:$A$1508,D28)=1,INDEX('Видео'!$R$7:$R$1508,MATCH(D28,'Видео'!$A$7:$A$1508,0)),"ID не найден"))</x:f>
        <x:v>C038</x:v>
      </x:c>
      <x:c r="G28" s="9" t="str">
        <x:f>IF(D28="","",IF(COUNTIFS('Видео'!$A$7:$A$1508,D28)=1,INDEX('Видео'!$D$7:$D$1508,MATCH(D28,'Видео'!$A$7:$A$1508,0)),"ID не найден"))</x:f>
        <x:v>Быт</x:v>
      </x:c>
      <x:c r="H28" s="10" t="str">
        <x:f>IF(D28="","",IF(COUNTIFS('Видео'!$A$7:$A$1508,D28)=1,INDEX('Видео'!$F$7:$F$1508,MATCH(D28,'Видео'!$A$7:$A$1508,0)),"ID не найден"))</x:f>
        <x:v>B1–B2 (гипотеза)</x:v>
      </x:c>
      <x:c r="I28" s="18" t="n">
        <x:f>IF(D28="","",IF(COUNTIFS('Видео'!$A$7:$A$1508,D28)=1,INDEX('Видео'!$G$7:$G$1508,MATCH(D28,'Видео'!$A$7:$A$1508,0)),"ID не найден"))</x:f>
        <x:v>48.5</x:v>
      </x:c>
      <x:c r="J28" s="18" t="n">
        <x:v>10</x:v>
      </x:c>
      <x:c r="K28" s="10" t="str">
        <x:f>IF(D28="","",IF(COUNTIFS('Видео'!$A$7:$A$1508,D28)=1,INDEX('Видео'!$AI$7:$AI$1508,MATCH(D28,'Видео'!$A$7:$A$1508,0)),"ID не найден"))</x:f>
        <x:v>Нужна редактура</x:v>
      </x:c>
      <x:c r="L28" s="19" t="str">
        <x:v>sog03AOKRj4</x:v>
      </x:c>
      <x:c r="M28" s="10" t="str">
        <x:f>IF(L28="","",IF(COUNTIFS('Видео'!$A$7:$A$1508,L28)=1,INDEX('Видео'!$B$7:$B$1508,MATCH(L28,'Видео'!$A$7:$A$1508,0)),"ID не найден"))</x:f>
        <x:v>דוקותיים | איתי אשר נכנס עם הלוחמים לעזה</x:v>
      </x:c>
      <x:c r="N28" s="10" t="str"/>
      <x:c r="O28" s="10" t="str">
        <x:f>IF(D28="","",IF(COUNTIFS('Видео'!$A$7:$A$1508,D28)=1,INDEX('Видео'!$M$7:$M$1508,MATCH(D28,'Видео'!$A$7:$A$1508,0)),"ID не найден"))</x:f>
        <x:v>Тема: טיול אחרי צבא - סובב ישראל 🚐🇮🇱 | פרק 1 - חנית בחניתה. Просмотры в списке выше медианы выборки этого цикла в 2.3 раза. Маршрут по стране помогает связывать язык с местами и планами путешествия. Визуальные подсказки облегчают понимание.</x:v>
      </x:c>
      <x:c r="P28" s="11" t="str">
        <x:f>IF(D28="","",IF(COUNTIFS('Видео'!$A$7:$A$1508,D28)=1,INDEX('Видео'!$U$7:$U$1508,MATCH(D28,'Видео'!$A$7:$A$1508,0)),"ID не найден"))</x:f>
        <x:v>https://www.youtube.com/watch?v=i2tTSSGCKJ4</x:v>
      </x:c>
      <x:c r="Q28" s="17" t="str">
        <x:v>Предложено</x:v>
      </x:c>
      <x:c r="R28" s="17" t="str"/>
      <x:c r="S28" s="10" t="str"/>
      <x:c r="T28" s="10" t="str">
        <x:v>Резерв меняет выбор видео; снова проверить повод, аудиторию и все редакторские условия</x:v>
      </x:c>
      <x:c r="U28" s="9" t="str">
        <x:f>IF(D28="","Выбрать видео",IF(COUNTIFS($D$7:$D$371,D28)&gt;1,"Повтор","Без повтора"))</x:f>
        <x:v>Без повтора</x:v>
      </x:c>
    </x:row>
    <x:row r="29" ht="60" customHeight="1">
      <x:c r="A29" s="16" t="n">
        <x:v>46331</x:v>
      </x:c>
      <x:c r="B29" s="9" t="str">
        <x:v>Чт</x:v>
      </x:c>
      <x:c r="C29" s="10" t="str">
        <x:v>Сериал</x:v>
      </x:c>
      <x:c r="D29" s="19" t="str">
        <x:v>xA2hLKqexZo</x:v>
      </x:c>
      <x:c r="E29" s="10" t="str">
        <x:f>IF(D29="","",IF(COUNTIFS('Видео'!$A$7:$A$1508,D29)=1,INDEX('Видео'!$B$7:$B$1508,MATCH(D29,'Видео'!$A$7:$A$1508,0)),"ID не найден"))</x:f>
        <x:v>חזרות - קומדיה (לא) רומנטית 🎭 | פרק 4</x:v>
      </x:c>
      <x:c r="F29" s="9" t="str">
        <x:f>IF(D29="","",IF(COUNTIFS('Видео'!$A$7:$A$1508,D29)=1,INDEX('Видео'!$R$7:$R$1508,MATCH(D29,'Видео'!$A$7:$A$1508,0)),"ID не найден"))</x:f>
        <x:v>C007</x:v>
      </x:c>
      <x:c r="G29" s="9" t="str">
        <x:f>IF(D29="","",IF(COUNTIFS('Видео'!$A$7:$A$1508,D29)=1,INDEX('Видео'!$D$7:$D$1508,MATCH(D29,'Видео'!$A$7:$A$1508,0)),"ID не найден"))</x:f>
        <x:v>Сериал</x:v>
      </x:c>
      <x:c r="H29" s="10" t="str">
        <x:f>IF(D29="","",IF(COUNTIFS('Видео'!$A$7:$A$1508,D29)=1,INDEX('Видео'!$F$7:$F$1508,MATCH(D29,'Видео'!$A$7:$A$1508,0)),"ID не найден"))</x:f>
        <x:v>B2–C1 (гипотеза)</x:v>
      </x:c>
      <x:c r="I29" s="18" t="n">
        <x:f>IF(D29="","",IF(COUNTIFS('Видео'!$A$7:$A$1508,D29)=1,INDEX('Видео'!$G$7:$G$1508,MATCH(D29,'Видео'!$A$7:$A$1508,0)),"ID не найден"))</x:f>
        <x:v>34.4</x:v>
      </x:c>
      <x:c r="J29" s="18" t="n">
        <x:v>10</x:v>
      </x:c>
      <x:c r="K29" s="10" t="str">
        <x:f>IF(D29="","",IF(COUNTIFS('Видео'!$A$7:$A$1508,D29)=1,INDEX('Видео'!$AI$7:$AI$1508,MATCH(D29,'Видео'!$A$7:$A$1508,0)),"ID не найден"))</x:f>
        <x:v>Нужна редактура</x:v>
      </x:c>
      <x:c r="L29" s="19" t="str">
        <x:v>T7UsSWc7ViY</x:v>
      </x:c>
      <x:c r="M29" s="10" t="str">
        <x:f>IF(L29="","",IF(COUNTIFS('Видео'!$A$7:$A$1508,L29)=1,INDEX('Видео'!$B$7:$B$1508,MATCH(L29,'Видео'!$A$7:$A$1508,0)),"ID не найден"))</x:f>
        <x:v>איך לפוצץ בלון עם תפוז</x:v>
      </x:c>
      <x:c r="N29" s="10" t="str"/>
      <x:c r="O29" s="10" t="str">
        <x:f>IF(D29="","",IF(COUNTIFS('Видео'!$A$7:$A$1508,D29)=1,INDEX('Видео'!$M$7:$M$1508,MATCH(D29,'Видео'!$A$7:$A$1508,0)),"ID не найден"))</x:f>
        <x:v>Эпизод 4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P29" s="11" t="str">
        <x:f>IF(D29="","",IF(COUNTIFS('Видео'!$A$7:$A$1508,D29)=1,INDEX('Видео'!$U$7:$U$1508,MATCH(D29,'Видео'!$A$7:$A$1508,0)),"ID не найден"))</x:f>
        <x:v>https://www.youtube.com/watch?v=xA2hLKqexZo</x:v>
      </x:c>
      <x:c r="Q29" s="17" t="str">
        <x:v>Предложено</x:v>
      </x:c>
      <x:c r="R29" s="17" t="str"/>
      <x:c r="S29" s="10" t="str"/>
      <x:c r="T29" s="10" t="str">
        <x:v>При недоступной серии приостановить сюжетную ветку; резерв — самостоятельное видео</x:v>
      </x:c>
      <x:c r="U29" s="9" t="str">
        <x:f>IF(D29="","Выбрать видео",IF(COUNTIFS($D$7:$D$371,D29)&gt;1,"Повтор","Без повтора"))</x:f>
        <x:v>Без повтора</x:v>
      </x:c>
    </x:row>
    <x:row r="30" ht="60" customHeight="1">
      <x:c r="A30" s="16" t="n">
        <x:v>46332</x:v>
      </x:c>
      <x:c r="B30" s="9" t="str">
        <x:v>Пт</x:v>
      </x:c>
      <x:c r="C30" s="10" t="str">
        <x:v>Культура</x:v>
      </x:c>
      <x:c r="D30" s="19" t="str">
        <x:v>MyM2tHGz4Rc</x:v>
      </x:c>
      <x:c r="E30" s="10" t="str">
        <x:f>IF(D30="","",IF(COUNTIFS('Видео'!$A$7:$A$1508,D30)=1,INDEX('Видео'!$B$7:$B$1508,MATCH(D30,'Видео'!$A$7:$A$1508,0)),"ID не найден"))</x:f>
        <x:v>היהודים באים - פרק 1 | כאן 11 לשעבר רשות השידור</x:v>
      </x:c>
      <x:c r="F30" s="9" t="str">
        <x:f>IF(D30="","",IF(COUNTIFS('Видео'!$A$7:$A$1508,D30)=1,INDEX('Видео'!$R$7:$R$1508,MATCH(D30,'Видео'!$A$7:$A$1508,0)),"ID не найден"))</x:f>
        <x:v>C026</x:v>
      </x:c>
      <x:c r="G30" s="9" t="str">
        <x:f>IF(D30="","",IF(COUNTIFS('Видео'!$A$7:$A$1508,D30)=1,INDEX('Видео'!$D$7:$D$1508,MATCH(D30,'Видео'!$A$7:$A$1508,0)),"ID не найден"))</x:f>
        <x:v>Культура</x:v>
      </x:c>
      <x:c r="H30" s="10" t="str">
        <x:f>IF(D30="","",IF(COUNTIFS('Видео'!$A$7:$A$1508,D30)=1,INDEX('Видео'!$F$7:$F$1508,MATCH(D30,'Видео'!$A$7:$A$1508,0)),"ID не найден"))</x:f>
        <x:v>B2–C1 (гипотеза)</x:v>
      </x:c>
      <x:c r="I30" s="18" t="n">
        <x:f>IF(D30="","",IF(COUNTIFS('Видео'!$A$7:$A$1508,D30)=1,INDEX('Видео'!$G$7:$G$1508,MATCH(D30,'Видео'!$A$7:$A$1508,0)),"ID не найден"))</x:f>
        <x:v>23.6</x:v>
      </x:c>
      <x:c r="J30" s="18" t="n">
        <x:v>10</x:v>
      </x:c>
      <x:c r="K30" s="10" t="str">
        <x:f>IF(D30="","",IF(COUNTIFS('Видео'!$A$7:$A$1508,D30)=1,INDEX('Видео'!$AI$7:$AI$1508,MATCH(D30,'Видео'!$A$7:$A$1508,0)),"ID не найден"))</x:f>
        <x:v>Нужна редактура</x:v>
      </x:c>
      <x:c r="L30" s="19" t="str">
        <x:v>6SQq_O1eeio</x:v>
      </x:c>
      <x:c r="M30" s="10" t="str">
        <x:f>IF(L30="","",IF(COUNTIFS('Видео'!$A$7:$A$1508,L30)=1,INDEX('Видео'!$B$7:$B$1508,MATCH(L30,'Видео'!$A$7:$A$1508,0)),"ID не найден"))</x:f>
        <x:v>שיר אחד 🎤 עיבוד טלוויזיוני להסכת | מוניקה סקס - כל החברה</x:v>
      </x:c>
      <x:c r="N30" s="10" t="str"/>
      <x:c r="O30" s="10" t="str">
        <x:f>IF(D30="","",IF(COUNTIFS('Видео'!$A$7:$A$1508,D30)=1,INDEX('Видео'!$M$7:$M$1508,MATCH(D30,'Видео'!$A$7:$A$1508,0)),"ID не найден"))</x:f>
        <x:v>Тема: היהודים באים - פרק 1 | כאן 11 לשעבר רשות השידור. Просмотры в списке выше медианы выборки этого цикла в 1.76 раза.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P30" s="11" t="str">
        <x:f>IF(D30="","",IF(COUNTIFS('Видео'!$A$7:$A$1508,D30)=1,INDEX('Видео'!$U$7:$U$1508,MATCH(D30,'Видео'!$A$7:$A$1508,0)),"ID не найден"))</x:f>
        <x:v>https://www.youtube.com/watch?v=MyM2tHGz4Rc</x:v>
      </x:c>
      <x:c r="Q30" s="17" t="str">
        <x:v>Предложено</x:v>
      </x:c>
      <x:c r="R30" s="17" t="str"/>
      <x:c r="S30" s="10" t="str"/>
      <x:c r="T30" s="10" t="str">
        <x:v>Резерв меняет выбор видео; снова проверить повод, аудиторию и все редакторские условия</x:v>
      </x:c>
      <x:c r="U30" s="9" t="str">
        <x:f>IF(D30="","Выбрать видео",IF(COUNTIFS($D$7:$D$371,D30)&gt;1,"Повтор","Без повтора"))</x:f>
        <x:v>Без повтора</x:v>
      </x:c>
    </x:row>
    <x:row r="31" ht="60" customHeight="1">
      <x:c r="A31" s="16" t="n">
        <x:v>46333</x:v>
      </x:c>
      <x:c r="B31" s="9" t="str">
        <x:v>Сб</x:v>
      </x:c>
      <x:c r="C31" s="10" t="str">
        <x:v>Память</x:v>
      </x:c>
      <x:c r="D31" s="19" t="str">
        <x:v>XW4PDlJ7-K8</x:v>
      </x:c>
      <x:c r="E31" s="10" t="str">
        <x:f>IF(D31="","",IF(COUNTIFS('Видео'!$A$7:$A$1508,D31)=1,INDEX('Видео'!$B$7:$B$1508,MATCH(D31,'Видео'!$A$7:$A$1508,0)),"ID не найден"))</x:f>
        <x:v>כפר עזה - 95% גן עדן | פרק 2 - עת לקום</x:v>
      </x:c>
      <x:c r="F31" s="9" t="str">
        <x:f>IF(D31="","",IF(COUNTIFS('Видео'!$A$7:$A$1508,D31)=1,INDEX('Видео'!$R$7:$R$1508,MATCH(D31,'Видео'!$A$7:$A$1508,0)),"ID не найден"))</x:f>
        <x:v>C041</x:v>
      </x:c>
      <x:c r="G31" s="9" t="str">
        <x:f>IF(D31="","",IF(COUNTIFS('Видео'!$A$7:$A$1508,D31)=1,INDEX('Видео'!$D$7:$D$1508,MATCH(D31,'Видео'!$A$7:$A$1508,0)),"ID не найден"))</x:f>
        <x:v>Память</x:v>
      </x:c>
      <x:c r="H31" s="10" t="str">
        <x:f>IF(D31="","",IF(COUNTIFS('Видео'!$A$7:$A$1508,D31)=1,INDEX('Видео'!$F$7:$F$1508,MATCH(D31,'Видео'!$A$7:$A$1508,0)),"ID не найден"))</x:f>
        <x:v>B2–C1 (гипотеза)</x:v>
      </x:c>
      <x:c r="I31" s="18" t="n">
        <x:f>IF(D31="","",IF(COUNTIFS('Видео'!$A$7:$A$1508,D31)=1,INDEX('Видео'!$G$7:$G$1508,MATCH(D31,'Видео'!$A$7:$A$1508,0)),"ID не найден"))</x:f>
        <x:v>56.4</x:v>
      </x:c>
      <x:c r="J31" s="18" t="n">
        <x:v>10</x:v>
      </x:c>
      <x:c r="K31" s="10" t="str">
        <x:f>IF(D31="","",IF(COUNTIFS('Видео'!$A$7:$A$1508,D31)=1,INDEX('Видео'!$AI$7:$AI$1508,MATCH(D31,'Видео'!$A$7:$A$1508,0)),"ID не найден"))</x:f>
        <x:v>Нужна редактура</x:v>
      </x:c>
      <x:c r="L31" s="19" t="str">
        <x:v>Py9d_aB8cxc</x:v>
      </x:c>
      <x:c r="M31" s="10" t="str">
        <x:f>IF(L31="","",IF(COUNTIFS('Видео'!$A$7:$A$1508,L31)=1,INDEX('Видео'!$B$7:$B$1508,MATCH(L31,'Видео'!$A$7:$A$1508,0)),"ID не найден"))</x:f>
        <x:v>שאלות שרצינו לשאול – שיחות עם ניצולי שואה. פרק רביעי: ילדים בשואה</x:v>
      </x:c>
      <x:c r="N31" s="10" t="str">
        <x:v>Ежемесячная добровольная рубрика памяти 7 октября</x:v>
      </x:c>
      <x:c r="O31" s="10" t="str">
        <x:f>IF(D31="","",IF(COUNTIFS('Видео'!$A$7:$A$1508,D31)=1,INDEX('Видео'!$M$7:$M$1508,MATCH(D31,'Видео'!$A$7:$A$1508,0)),"ID не найден"))</x:f>
        <x:v>Тема: כפר עזה - 95% גן עדן | פרק 2 - עת לקום. История конкретного сообщества сохраняет человеческий масштаб трагедии.</x:v>
      </x:c>
      <x:c r="P31" s="11" t="str">
        <x:f>IF(D31="","",IF(COUNTIFS('Видео'!$A$7:$A$1508,D31)=1,INDEX('Видео'!$U$7:$U$1508,MATCH(D31,'Видео'!$A$7:$A$1508,0)),"ID не найден"))</x:f>
        <x:v>https://www.youtube.com/watch?v=XW4PDlJ7-K8</x:v>
      </x:c>
      <x:c r="Q31" s="17" t="str">
        <x:v>Предложено</x:v>
      </x:c>
      <x:c r="R31" s="17" t="str"/>
      <x:c r="S31" s="10" t="str">
        <x:v>Редакционная периодичность, не памятная дата</x:v>
      </x:c>
      <x:c r="T31" s="10" t="str">
        <x:v>Резерв меняет выбор видео; снова проверить повод, аудиторию и все редакторские условия</x:v>
      </x:c>
      <x:c r="U31" s="9" t="str">
        <x:f>IF(D31="","Выбрать видео",IF(COUNTIFS($D$7:$D$371,D31)&gt;1,"Повтор","Без повтора"))</x:f>
        <x:v>Без повтора</x:v>
      </x:c>
    </x:row>
    <x:row r="32" ht="60" customHeight="1">
      <x:c r="A32" s="16" t="n">
        <x:v>46334</x:v>
      </x:c>
      <x:c r="B32" s="9" t="str">
        <x:v>Вс</x:v>
      </x:c>
      <x:c r="C32" s="10" t="str">
        <x:v>Сериал</x:v>
      </x:c>
      <x:c r="D32" s="19" t="str">
        <x:v>SJhz7KFE3Hg</x:v>
      </x:c>
      <x:c r="E32" s="10" t="str">
        <x:f>IF(D32="","",IF(COUNTIFS('Видео'!$A$7:$A$1508,D32)=1,INDEX('Видео'!$B$7:$B$1508,MATCH(D32,'Видео'!$A$7:$A$1508,0)),"ID не найден"))</x:f>
        <x:v>קופה ראשית עונה 3🛒 | יומולדת בסופר - פרק 4</x:v>
      </x:c>
      <x:c r="F32" s="9" t="str">
        <x:f>IF(D32="","",IF(COUNTIFS('Видео'!$A$7:$A$1508,D32)=1,INDEX('Видео'!$R$7:$R$1508,MATCH(D32,'Видео'!$A$7:$A$1508,0)),"ID не найден"))</x:f>
        <x:v>C003</x:v>
      </x:c>
      <x:c r="G32" s="9" t="str">
        <x:f>IF(D32="","",IF(COUNTIFS('Видео'!$A$7:$A$1508,D32)=1,INDEX('Видео'!$D$7:$D$1508,MATCH(D32,'Видео'!$A$7:$A$1508,0)),"ID не найден"))</x:f>
        <x:v>Сериал</x:v>
      </x:c>
      <x:c r="H32" s="10" t="str">
        <x:f>IF(D32="","",IF(COUNTIFS('Видео'!$A$7:$A$1508,D32)=1,INDEX('Видео'!$F$7:$F$1508,MATCH(D32,'Видео'!$A$7:$A$1508,0)),"ID не найден"))</x:f>
        <x:v>B1–B2 (гипотеза)</x:v>
      </x:c>
      <x:c r="I32" s="18" t="n">
        <x:f>IF(D32="","",IF(COUNTIFS('Видео'!$A$7:$A$1508,D32)=1,INDEX('Видео'!$G$7:$G$1508,MATCH(D32,'Видео'!$A$7:$A$1508,0)),"ID не найден"))</x:f>
        <x:v>24.9</x:v>
      </x:c>
      <x:c r="J32" s="18" t="n">
        <x:v>10</x:v>
      </x:c>
      <x:c r="K32" s="10" t="str">
        <x:f>IF(D32="","",IF(COUNTIFS('Видео'!$A$7:$A$1508,D32)=1,INDEX('Видео'!$AI$7:$AI$1508,MATCH(D32,'Видео'!$A$7:$A$1508,0)),"ID не найден"))</x:f>
        <x:v>Нужна редактура</x:v>
      </x:c>
      <x:c r="L32" s="19" t="str">
        <x:v>M14eGtNKWXo</x:v>
      </x:c>
      <x:c r="M32" s="10" t="str">
        <x:f>IF(L32="","",IF(COUNTIFS('Видео'!$A$7:$A$1508,L32)=1,INDEX('Видео'!$B$7:$B$1508,MATCH(L32,'Видео'!$A$7:$A$1508,0)),"ID не найден"))</x:f>
        <x:v>איך אופים לחם בשקית?</x:v>
      </x:c>
      <x:c r="N32" s="10" t="str"/>
      <x:c r="O32" s="10" t="str">
        <x:f>IF(D32="","",IF(COUNTIFS('Видео'!$A$7:$A$1508,D32)=1,INDEX('Видео'!$M$7:$M$1508,MATCH(D32,'Видео'!$A$7:$A$1508,0)),"ID не найден"))</x:f>
        <x:v>Эпизод 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2" s="11" t="str">
        <x:f>IF(D32="","",IF(COUNTIFS('Видео'!$A$7:$A$1508,D32)=1,INDEX('Видео'!$U$7:$U$1508,MATCH(D32,'Видео'!$A$7:$A$1508,0)),"ID не найден"))</x:f>
        <x:v>https://www.youtube.com/watch?v=SJhz7KFE3Hg</x:v>
      </x:c>
      <x:c r="Q32" s="17" t="str">
        <x:v>Предложено</x:v>
      </x:c>
      <x:c r="R32" s="17" t="str"/>
      <x:c r="S32" s="10" t="str"/>
      <x:c r="T32" s="10" t="str">
        <x:v>При недоступной серии приостановить сюжетную ветку; резерв — самостоятельное видео</x:v>
      </x:c>
      <x:c r="U32" s="9" t="str">
        <x:f>IF(D32="","Выбрать видео",IF(COUNTIFS($D$7:$D$371,D32)&gt;1,"Повтор","Без повтора"))</x:f>
        <x:v>Без повтора</x:v>
      </x:c>
    </x:row>
    <x:row r="33" ht="60" customHeight="1">
      <x:c r="A33" s="16" t="n">
        <x:v>46335</x:v>
      </x:c>
      <x:c r="B33" s="9" t="str">
        <x:v>Пн</x:v>
      </x:c>
      <x:c r="C33" s="10" t="str">
        <x:v>История</x:v>
      </x:c>
      <x:c r="D33" s="19" t="str">
        <x:v>3te51oqLUos</x:v>
      </x:c>
      <x:c r="E33" s="10" t="str">
        <x:f>IF(D33="","",IF(COUNTIFS('Видео'!$A$7:$A$1508,D33)=1,INDEX('Видео'!$B$7:$B$1508,MATCH(D33,'Видео'!$A$7:$A$1508,0)),"ID не найден"))</x:f>
        <x:v>ירוסלם | פרק 1</x:v>
      </x:c>
      <x:c r="F33" s="9" t="str">
        <x:f>IF(D33="","",IF(COUNTIFS('Видео'!$A$7:$A$1508,D33)=1,INDEX('Видео'!$R$7:$R$1508,MATCH(D33,'Видео'!$A$7:$A$1508,0)),"ID не найден"))</x:f>
        <x:v>C032</x:v>
      </x:c>
      <x:c r="G33" s="9" t="str">
        <x:f>IF(D33="","",IF(COUNTIFS('Видео'!$A$7:$A$1508,D33)=1,INDEX('Видео'!$D$7:$D$1508,MATCH(D33,'Видео'!$A$7:$A$1508,0)),"ID не найден"))</x:f>
        <x:v>История</x:v>
      </x:c>
      <x:c r="H33" s="10" t="str">
        <x:f>IF(D33="","",IF(COUNTIFS('Видео'!$A$7:$A$1508,D33)=1,INDEX('Видео'!$F$7:$F$1508,MATCH(D33,'Видео'!$A$7:$A$1508,0)),"ID не найден"))</x:f>
        <x:v>B2–C1 (гипотеза)</x:v>
      </x:c>
      <x:c r="I33" s="18" t="n">
        <x:f>IF(D33="","",IF(COUNTIFS('Видео'!$A$7:$A$1508,D33)=1,INDEX('Видео'!$G$7:$G$1508,MATCH(D33,'Видео'!$A$7:$A$1508,0)),"ID не найден"))</x:f>
        <x:v>57</x:v>
      </x:c>
      <x:c r="J33" s="18" t="n">
        <x:v>10</x:v>
      </x:c>
      <x:c r="K33" s="10" t="str">
        <x:f>IF(D33="","",IF(COUNTIFS('Видео'!$A$7:$A$1508,D33)=1,INDEX('Видео'!$AI$7:$AI$1508,MATCH(D33,'Видео'!$A$7:$A$1508,0)),"ID не найден"))</x:f>
        <x:v>Нужна редактура</x:v>
      </x:c>
      <x:c r="L33" s="19" t="str">
        <x:v>Z3vVhd42Ct4</x:v>
      </x:c>
      <x:c r="M33" s="10" t="str">
        <x:f>IF(L33="","",IF(COUNTIFS('Видео'!$A$7:$A$1508,L33)=1,INDEX('Видео'!$B$7:$B$1508,MATCH(L33,'Видео'!$A$7:$A$1508,0)),"ID не найден"))</x:f>
        <x:v>העברים | דיוקנו של קרל מרקס, האקטיביסט הגדול מכולם</x:v>
      </x:c>
      <x:c r="N33" s="10" t="str">
        <x:v>Сигд: знакомство с эфиопской общиной</x:v>
      </x:c>
      <x:c r="O33" s="10" t="str">
        <x:f>IF(D33="","",IF(COUNTIFS('Видео'!$A$7:$A$1508,D33)=1,INDEX('Видео'!$M$7:$M$1508,MATCH(D33,'Видео'!$A$7:$A$1508,0)),"ID не найден"))</x:f>
        <x:v>Тема: ירוסלם | פרק 1. Просмотры в списке выше медианы выборки этого цикла в 2.42 раза. История эфиопской общины расширяет представление об алие и опыте интеграции.</x:v>
      </x:c>
      <x:c r="P33" s="11" t="str">
        <x:f>IF(D33="","",IF(COUNTIFS('Видео'!$A$7:$A$1508,D33)=1,INDEX('Видео'!$U$7:$U$1508,MATCH(D33,'Видео'!$A$7:$A$1508,0)),"ID не найден"))</x:f>
        <x:v>https://www.youtube.com/watch?v=3te51oqLUos</x:v>
      </x:c>
      <x:c r="Q33" s="17" t="str">
        <x:v>Предложено</x:v>
      </x:c>
      <x:c r="R33" s="17" t="str"/>
      <x:c r="S33" s="10" t="str">
        <x:v>https://www.hebcal.com/holidays/2026?i=on</x:v>
      </x:c>
      <x:c r="T33" s="10" t="str">
        <x:v>Резерв меняет выбор видео; снова проверить повод, аудиторию и все редакторские условия</x:v>
      </x:c>
      <x:c r="U33" s="9" t="str">
        <x:f>IF(D33="","Выбрать видео",IF(COUNTIFS($D$7:$D$371,D33)&gt;1,"Повтор","Без повтора"))</x:f>
        <x:v>Без повтора</x:v>
      </x:c>
    </x:row>
    <x:row r="34" ht="60" customHeight="1">
      <x:c r="A34" s="16" t="n">
        <x:v>46336</x:v>
      </x:c>
      <x:c r="B34" s="9" t="str">
        <x:v>Вт</x:v>
      </x:c>
      <x:c r="C34" s="10" t="str">
        <x:v>Память</x:v>
      </x:c>
      <x:c r="D34" s="19" t="str">
        <x:v>WfxpxC2-wyY</x:v>
      </x:c>
      <x:c r="E34" s="10" t="str">
        <x:f>IF(D34="","",IF(COUNTIFS('Видео'!$A$7:$A$1508,D34)=1,INDEX('Видео'!$B$7:$B$1508,MATCH(D34,'Видео'!$A$7:$A$1508,0)),"ID не найден"))</x:f>
        <x:v>בעקבות 'התחנה הקטנה טרבלינקה' – מתוך 'עושים זיכרון' : הפודקאסט של יד ושם</x:v>
      </x:c>
      <x:c r="F34" s="9" t="str">
        <x:f>IF(D34="","",IF(COUNTIFS('Видео'!$A$7:$A$1508,D34)=1,INDEX('Видео'!$R$7:$R$1508,MATCH(D34,'Видео'!$A$7:$A$1508,0)),"ID не найден"))</x:f>
        <x:v>C076</x:v>
      </x:c>
      <x:c r="G34" s="9" t="str">
        <x:f>IF(D34="","",IF(COUNTIFS('Видео'!$A$7:$A$1508,D34)=1,INDEX('Видео'!$D$7:$D$1508,MATCH(D34,'Видео'!$A$7:$A$1508,0)),"ID не найден"))</x:f>
        <x:v>Память</x:v>
      </x:c>
      <x:c r="H34" s="10" t="str">
        <x:f>IF(D34="","",IF(COUNTIFS('Видео'!$A$7:$A$1508,D34)=1,INDEX('Видео'!$F$7:$F$1508,MATCH(D34,'Видео'!$A$7:$A$1508,0)),"ID не найден"))</x:f>
        <x:v>B2–C1 (гипотеза)</x:v>
      </x:c>
      <x:c r="I34" s="18" t="n">
        <x:f>IF(D34="","",IF(COUNTIFS('Видео'!$A$7:$A$1508,D34)=1,INDEX('Видео'!$G$7:$G$1508,MATCH(D34,'Видео'!$A$7:$A$1508,0)),"ID не найден"))</x:f>
        <x:v>37.2</x:v>
      </x:c>
      <x:c r="J34" s="18" t="n">
        <x:v>10</x:v>
      </x:c>
      <x:c r="K34" s="10" t="str">
        <x:f>IF(D34="","",IF(COUNTIFS('Видео'!$A$7:$A$1508,D34)=1,INDEX('Видео'!$AI$7:$AI$1508,MATCH(D34,'Видео'!$A$7:$A$1508,0)),"ID не найден"))</x:f>
        <x:v>Нужна редактура</x:v>
      </x:c>
      <x:c r="L34" s="19" t="str">
        <x:v>iqVzU2GXLTI</x:v>
      </x:c>
      <x:c r="M34" s="10" t="str">
        <x:f>IF(L34="","",IF(COUNTIFS('Видео'!$A$7:$A$1508,L34)=1,INDEX('Видео'!$B$7:$B$1508,MATCH(L34,'Видео'!$A$7:$A$1508,0)),"ID не найден"))</x:f>
        <x:v>יהודי צפון אפריקה תחת משטר וישי |גורלן של קהילות יהודיות בשואה</x:v>
      </x:c>
      <x:c r="N34" s="10" t="str">
        <x:v>После памятной ночи 9–10 ноября: история Шоа</x:v>
      </x:c>
      <x:c r="O34" s="10" t="str">
        <x:f>IF(D34="","",IF(COUNTIFS('Видео'!$A$7:$A$1508,D34)=1,INDEX('Видео'!$M$7:$M$1508,MATCH(D34,'Видео'!$A$7:$A$1508,0)),"ID не найден"))</x:f>
        <x:v>Тема: בעקבות 'התחנה הקטנה טרבלינקה' – מתוך 'עושים זיכרון' : הפודקאסט של יד ושם. Музейный подкаст соединяет историческую тему и связную речь. Аудиоформат полезен любителям длинного слушания.</x:v>
      </x:c>
      <x:c r="P34" s="11" t="str">
        <x:f>IF(D34="","",IF(COUNTIFS('Видео'!$A$7:$A$1508,D34)=1,INDEX('Видео'!$U$7:$U$1508,MATCH(D34,'Видео'!$A$7:$A$1508,0)),"ID не найден"))</x:f>
        <x:v>https://www.youtube.com/watch?v=WfxpxC2-wyY</x:v>
      </x:c>
      <x:c r="Q34" s="17" t="str">
        <x:v>Предложено</x:v>
      </x:c>
      <x:c r="R34" s="17" t="str"/>
      <x:c r="S34" s="10" t="str">
        <x:v>Редакционный гражданский календарь</x:v>
      </x:c>
      <x:c r="T34" s="10" t="str">
        <x:v>Резерв меняет выбор видео; снова проверить повод, аудиторию и все редакторские условия</x:v>
      </x:c>
      <x:c r="U34" s="9" t="str">
        <x:f>IF(D34="","Выбрать видео",IF(COUNTIFS($D$7:$D$371,D34)&gt;1,"Повтор","Без повтора"))</x:f>
        <x:v>Без повтора</x:v>
      </x:c>
    </x:row>
    <x:row r="35" ht="60" customHeight="1">
      <x:c r="A35" s="16" t="n">
        <x:v>46337</x:v>
      </x:c>
      <x:c r="B35" s="9" t="str">
        <x:v>Ср</x:v>
      </x:c>
      <x:c r="C35" s="10" t="str">
        <x:v>Быт</x:v>
      </x:c>
      <x:c r="D35" s="19" t="str">
        <x:v>DmOkeAgiC6s</x:v>
      </x:c>
      <x:c r="E35" s="10" t="str">
        <x:f>IF(D35="","",IF(COUNTIFS('Видео'!$A$7:$A$1508,D35)=1,INDEX('Видео'!$B$7:$B$1508,MATCH(D35,'Видео'!$A$7:$A$1508,0)),"ID не найден"))</x:f>
        <x:v>ליגה ג' ⚽ | הליגה האחרונה - פרק 1</x:v>
      </x:c>
      <x:c r="F35" s="9" t="str">
        <x:f>IF(D35="","",IF(COUNTIFS('Видео'!$A$7:$A$1508,D35)=1,INDEX('Видео'!$R$7:$R$1508,MATCH(D35,'Видео'!$A$7:$A$1508,0)),"ID не найден"))</x:f>
        <x:v>C039</x:v>
      </x:c>
      <x:c r="G35" s="9" t="str">
        <x:f>IF(D35="","",IF(COUNTIFS('Видео'!$A$7:$A$1508,D35)=1,INDEX('Видео'!$D$7:$D$1508,MATCH(D35,'Видео'!$A$7:$A$1508,0)),"ID не найден"))</x:f>
        <x:v>Быт</x:v>
      </x:c>
      <x:c r="H35" s="10" t="str">
        <x:f>IF(D35="","",IF(COUNTIFS('Видео'!$A$7:$A$1508,D35)=1,INDEX('Видео'!$F$7:$F$1508,MATCH(D35,'Видео'!$A$7:$A$1508,0)),"ID не найден"))</x:f>
        <x:v>B2–C1 (гипотеза)</x:v>
      </x:c>
      <x:c r="I35" s="18" t="n">
        <x:f>IF(D35="","",IF(COUNTIFS('Видео'!$A$7:$A$1508,D35)=1,INDEX('Видео'!$G$7:$G$1508,MATCH(D35,'Видео'!$A$7:$A$1508,0)),"ID не найден"))</x:f>
        <x:v>42.3</x:v>
      </x:c>
      <x:c r="J35" s="18" t="n">
        <x:v>10</x:v>
      </x:c>
      <x:c r="K35" s="10" t="str">
        <x:f>IF(D35="","",IF(COUNTIFS('Видео'!$A$7:$A$1508,D35)=1,INDEX('Видео'!$AI$7:$AI$1508,MATCH(D35,'Видео'!$A$7:$A$1508,0)),"ID не найден"))</x:f>
        <x:v>Нужна редактура</x:v>
      </x:c>
      <x:c r="L35" s="19" t="str">
        <x:v>TBvFftSefAQ</x:v>
      </x:c>
      <x:c r="M35" s="10" t="str">
        <x:f>IF(L35="","",IF(COUNTIFS('Видео'!$A$7:$A$1508,L35)=1,INDEX('Видео'!$B$7:$B$1508,MATCH(L35,'Видео'!$A$7:$A$1508,0)),"ID не найден"))</x:f>
        <x:v>דוקותיים | פרק שלא תצליחו להוריד ממנו את העיניים</x:v>
      </x:c>
      <x:c r="N35" s="10" t="str"/>
      <x:c r="O35" s="10" t="str">
        <x:f>IF(D35="","",IF(COUNTIFS('Видео'!$A$7:$A$1508,D35)=1,INDEX('Видео'!$M$7:$M$1508,MATCH(D35,'Видео'!$A$7:$A$1508,0)),"ID не найден"))</x:f>
        <x:v>Тема: ליגה ג' ⚽ | הליגה האחרונה - פרק 1. Просмотры в списке выше медианы выборки этого цикла в 1.77 раза. Любительский футбол показывает местные сообщества вне привычного образа Тель-Авива.</x:v>
      </x:c>
      <x:c r="P35" s="11" t="str">
        <x:f>IF(D35="","",IF(COUNTIFS('Видео'!$A$7:$A$1508,D35)=1,INDEX('Видео'!$U$7:$U$1508,MATCH(D35,'Видео'!$A$7:$A$1508,0)),"ID не найден"))</x:f>
        <x:v>https://www.youtube.com/watch?v=DmOkeAgiC6s</x:v>
      </x:c>
      <x:c r="Q35" s="17" t="str">
        <x:v>Предложено</x:v>
      </x:c>
      <x:c r="R35" s="17" t="str"/>
      <x:c r="S35" s="10" t="str"/>
      <x:c r="T35" s="10" t="str">
        <x:v>Резерв меняет выбор видео; снова проверить повод, аудиторию и все редакторские условия</x:v>
      </x:c>
      <x:c r="U35" s="9" t="str">
        <x:f>IF(D35="","Выбрать видео",IF(COUNTIFS($D$7:$D$371,D35)&gt;1,"Повтор","Без повтора"))</x:f>
        <x:v>Без повтора</x:v>
      </x:c>
    </x:row>
    <x:row r="36" ht="60" customHeight="1">
      <x:c r="A36" s="16" t="n">
        <x:v>46338</x:v>
      </x:c>
      <x:c r="B36" s="9" t="str">
        <x:v>Чт</x:v>
      </x:c>
      <x:c r="C36" s="10" t="str">
        <x:v>Сериал</x:v>
      </x:c>
      <x:c r="D36" s="19" t="str">
        <x:v>IQ6nFrwrFGs</x:v>
      </x:c>
      <x:c r="E36" s="10" t="str">
        <x:f>IF(D36="","",IF(COUNTIFS('Видео'!$A$7:$A$1508,D36)=1,INDEX('Видео'!$B$7:$B$1508,MATCH(D36,'Видео'!$A$7:$A$1508,0)),"ID не найден"))</x:f>
        <x:v>חזרות - קומדיה (לא) רומנטית 🎭 | פרק 5</x:v>
      </x:c>
      <x:c r="F36" s="9" t="str">
        <x:f>IF(D36="","",IF(COUNTIFS('Видео'!$A$7:$A$1508,D36)=1,INDEX('Видео'!$R$7:$R$1508,MATCH(D36,'Видео'!$A$7:$A$1508,0)),"ID не найден"))</x:f>
        <x:v>C007</x:v>
      </x:c>
      <x:c r="G36" s="9" t="str">
        <x:f>IF(D36="","",IF(COUNTIFS('Видео'!$A$7:$A$1508,D36)=1,INDEX('Видео'!$D$7:$D$1508,MATCH(D36,'Видео'!$A$7:$A$1508,0)),"ID не найден"))</x:f>
        <x:v>Сериал</x:v>
      </x:c>
      <x:c r="H36" s="10" t="str">
        <x:f>IF(D36="","",IF(COUNTIFS('Видео'!$A$7:$A$1508,D36)=1,INDEX('Видео'!$F$7:$F$1508,MATCH(D36,'Видео'!$A$7:$A$1508,0)),"ID не найден"))</x:f>
        <x:v>B2–C1 (гипотеза)</x:v>
      </x:c>
      <x:c r="I36" s="18" t="n">
        <x:f>IF(D36="","",IF(COUNTIFS('Видео'!$A$7:$A$1508,D36)=1,INDEX('Видео'!$G$7:$G$1508,MATCH(D36,'Видео'!$A$7:$A$1508,0)),"ID не найден"))</x:f>
        <x:v>35.5</x:v>
      </x:c>
      <x:c r="J36" s="18" t="n">
        <x:v>10</x:v>
      </x:c>
      <x:c r="K36" s="10" t="str">
        <x:f>IF(D36="","",IF(COUNTIFS('Видео'!$A$7:$A$1508,D36)=1,INDEX('Видео'!$AI$7:$AI$1508,MATCH(D36,'Видео'!$A$7:$A$1508,0)),"ID не найден"))</x:f>
        <x:v>Нужна редактура</x:v>
      </x:c>
      <x:c r="L36" s="19" t="str">
        <x:v>e5M5nw3lX7E</x:v>
      </x:c>
      <x:c r="M36" s="10" t="str">
        <x:f>IF(L36="","",IF(COUNTIFS('Видео'!$A$7:$A$1508,L36)=1,INDEX('Видео'!$B$7:$B$1508,MATCH(L36,'Видео'!$A$7:$A$1508,0)),"ID не найден"))</x:f>
        <x:v>מה מהירות הסיבוב של ספינר?</x:v>
      </x:c>
      <x:c r="N36" s="10" t="str"/>
      <x:c r="O36" s="10" t="str">
        <x:f>IF(D36="","",IF(COUNTIFS('Видео'!$A$7:$A$1508,D36)=1,INDEX('Видео'!$M$7:$M$1508,MATCH(D36,'Видео'!$A$7:$A$1508,0)),"ID не найден"))</x:f>
        <x:v>Эпизод 5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P36" s="11" t="str">
        <x:f>IF(D36="","",IF(COUNTIFS('Видео'!$A$7:$A$1508,D36)=1,INDEX('Видео'!$U$7:$U$1508,MATCH(D36,'Видео'!$A$7:$A$1508,0)),"ID не найден"))</x:f>
        <x:v>https://www.youtube.com/watch?v=IQ6nFrwrFGs</x:v>
      </x:c>
      <x:c r="Q36" s="17" t="str">
        <x:v>Предложено</x:v>
      </x:c>
      <x:c r="R36" s="17" t="str"/>
      <x:c r="S36" s="10" t="str"/>
      <x:c r="T36" s="10" t="str">
        <x:v>При недоступной серии приостановить сюжетную ветку; резерв — самостоятельное видео</x:v>
      </x:c>
      <x:c r="U36" s="9" t="str">
        <x:f>IF(D36="","Выбрать видео",IF(COUNTIFS($D$7:$D$371,D36)&gt;1,"Повтор","Без повтора"))</x:f>
        <x:v>Без повтора</x:v>
      </x:c>
    </x:row>
    <x:row r="37" ht="60" customHeight="1">
      <x:c r="A37" s="16" t="n">
        <x:v>46339</x:v>
      </x:c>
      <x:c r="B37" s="9" t="str">
        <x:v>Пт</x:v>
      </x:c>
      <x:c r="C37" s="10" t="str">
        <x:v>История</x:v>
      </x:c>
      <x:c r="D37" s="19" t="str">
        <x:v>iOWE2Bsi5-8</x:v>
      </x:c>
      <x:c r="E37" s="10" t="str">
        <x:f>IF(D37="","",IF(COUNTIFS('Видео'!$A$7:$A$1508,D37)=1,INDEX('Видео'!$B$7:$B$1508,MATCH(D37,'Видео'!$A$7:$A$1508,0)),"ID не найден"))</x:f>
        <x:v>והארץ הייתה תוהו ובוהו - תולדות ארץ ישראל | פרק 5: ממלכות לגלות [HD]</x:v>
      </x:c>
      <x:c r="F37" s="9" t="str">
        <x:f>IF(D37="","",IF(COUNTIFS('Видео'!$A$7:$A$1508,D37)=1,INDEX('Видео'!$R$7:$R$1508,MATCH(D37,'Видео'!$A$7:$A$1508,0)),"ID не найден"))</x:f>
        <x:v>C031</x:v>
      </x:c>
      <x:c r="G37" s="9" t="str">
        <x:f>IF(D37="","",IF(COUNTIFS('Видео'!$A$7:$A$1508,D37)=1,INDEX('Видео'!$D$7:$D$1508,MATCH(D37,'Видео'!$A$7:$A$1508,0)),"ID не найден"))</x:f>
        <x:v>История</x:v>
      </x:c>
      <x:c r="H37" s="10" t="str">
        <x:f>IF(D37="","",IF(COUNTIFS('Видео'!$A$7:$A$1508,D37)=1,INDEX('Видео'!$F$7:$F$1508,MATCH(D37,'Видео'!$A$7:$A$1508,0)),"ID не найден"))</x:f>
        <x:v>B2–C1 (гипотеза)</x:v>
      </x:c>
      <x:c r="I37" s="18" t="n">
        <x:f>IF(D37="","",IF(COUNTIFS('Видео'!$A$7:$A$1508,D37)=1,INDEX('Видео'!$G$7:$G$1508,MATCH(D37,'Видео'!$A$7:$A$1508,0)),"ID не найден"))</x:f>
        <x:v>58.4</x:v>
      </x:c>
      <x:c r="J37" s="18" t="n">
        <x:v>10</x:v>
      </x:c>
      <x:c r="K37" s="10" t="str">
        <x:f>IF(D37="","",IF(COUNTIFS('Видео'!$A$7:$A$1508,D37)=1,INDEX('Видео'!$AI$7:$AI$1508,MATCH(D37,'Видео'!$A$7:$A$1508,0)),"ID не найден"))</x:f>
        <x:v>Нужна редактура</x:v>
      </x:c>
      <x:c r="L37" s="19" t="str">
        <x:v>h7l8Mxfg8bY</x:v>
      </x:c>
      <x:c r="M37" s="10" t="str">
        <x:f>IF(L37="","",IF(COUNTIFS('Видео'!$A$7:$A$1508,L37)=1,INDEX('Видео'!$B$7:$B$1508,MATCH(L37,'Видео'!$A$7:$A$1508,0)),"ID не найден"))</x:f>
        <x:v>העברים  | "לבדתי" - מרים ילן שטקליס | כאן דוקו</x:v>
      </x:c>
      <x:c r="N37" s="10" t="str"/>
      <x:c r="O37" s="10" t="str">
        <x:f>IF(D37="","",IF(COUNTIFS('Видео'!$A$7:$A$1508,D37)=1,INDEX('Видео'!$M$7:$M$1508,MATCH(D37,'Видео'!$A$7:$A$1508,0)),"ID не найден"))</x:f>
        <x:v>Тема: והארץ הייתה תוהו ובוהו - תולדות ארץ ישראל | פרק 5: ממלכות לגלות [HD]. Цикл расширяет фокус от современной политики до многовековой истории страны. Визуальные материалы поддерживают понимание.</x:v>
      </x:c>
      <x:c r="P37" s="11" t="str">
        <x:f>IF(D37="","",IF(COUNTIFS('Видео'!$A$7:$A$1508,D37)=1,INDEX('Видео'!$U$7:$U$1508,MATCH(D37,'Видео'!$A$7:$A$1508,0)),"ID не найден"))</x:f>
        <x:v>https://www.youtube.com/watch?v=iOWE2Bsi5-8</x:v>
      </x:c>
      <x:c r="Q37" s="17" t="str">
        <x:v>Предложено</x:v>
      </x:c>
      <x:c r="R37" s="17" t="str"/>
      <x:c r="S37" s="10" t="str"/>
      <x:c r="T37" s="10" t="str">
        <x:v>Резерв меняет выбор видео; снова проверить повод, аудиторию и все редакторские условия</x:v>
      </x:c>
      <x:c r="U37" s="9" t="str">
        <x:f>IF(D37="","Выбрать видео",IF(COUNTIFS($D$7:$D$371,D37)&gt;1,"Повтор","Без повтора"))</x:f>
        <x:v>Без повтора</x:v>
      </x:c>
    </x:row>
    <x:row r="38" ht="60" customHeight="1">
      <x:c r="A38" s="16" t="n">
        <x:v>46340</x:v>
      </x:c>
      <x:c r="B38" s="9" t="str">
        <x:v>Сб</x:v>
      </x:c>
      <x:c r="C38" s="10" t="str">
        <x:v>Общество</x:v>
      </x:c>
      <x:c r="D38" s="19" t="str">
        <x:v>p4tiyxrKvl0</x:v>
      </x:c>
      <x:c r="E38" s="10" t="str">
        <x:f>IF(D38="","",IF(COUNTIFS('Видео'!$A$7:$A$1508,D38)=1,INDEX('Видео'!$B$7:$B$1508,MATCH(D38,'Видео'!$A$7:$A$1508,0)),"ID не найден"))</x:f>
        <x:v>סליחה על השאלה עונה 2 | אנשים שהותקפו מינית</x:v>
      </x:c>
      <x:c r="F38" s="9" t="str">
        <x:f>IF(D38="","",IF(COUNTIFS('Видео'!$A$7:$A$1508,D38)=1,INDEX('Видео'!$R$7:$R$1508,MATCH(D38,'Видео'!$A$7:$A$1508,0)),"ID не найден"))</x:f>
        <x:v>C020</x:v>
      </x:c>
      <x:c r="G38" s="9" t="str">
        <x:f>IF(D38="","",IF(COUNTIFS('Видео'!$A$7:$A$1508,D38)=1,INDEX('Видео'!$D$7:$D$1508,MATCH(D38,'Видео'!$A$7:$A$1508,0)),"ID не найден"))</x:f>
        <x:v>Общество</x:v>
      </x:c>
      <x:c r="H38" s="10" t="str">
        <x:f>IF(D38="","",IF(COUNTIFS('Видео'!$A$7:$A$1508,D38)=1,INDEX('Видео'!$F$7:$F$1508,MATCH(D38,'Видео'!$A$7:$A$1508,0)),"ID не найден"))</x:f>
        <x:v>B1–B2 (гипотеза)</x:v>
      </x:c>
      <x:c r="I38" s="18" t="n">
        <x:f>IF(D38="","",IF(COUNTIFS('Видео'!$A$7:$A$1508,D38)=1,INDEX('Видео'!$G$7:$G$1508,MATCH(D38,'Видео'!$A$7:$A$1508,0)),"ID не найден"))</x:f>
        <x:v>33.1</x:v>
      </x:c>
      <x:c r="J38" s="18" t="n">
        <x:v>10</x:v>
      </x:c>
      <x:c r="K38" s="10" t="str">
        <x:f>IF(D38="","",IF(COUNTIFS('Видео'!$A$7:$A$1508,D38)=1,INDEX('Видео'!$AI$7:$AI$1508,MATCH(D38,'Видео'!$A$7:$A$1508,0)),"ID не найден"))</x:f>
        <x:v>Нужна редактура</x:v>
      </x:c>
      <x:c r="L38" s="19" t="str">
        <x:v>1ctYSRJw31Q</x:v>
      </x:c>
      <x:c r="M38" s="10" t="str">
        <x:f>IF(L38="","",IF(COUNTIFS('Видео'!$A$7:$A$1508,L38)=1,INDEX('Видео'!$B$7:$B$1508,MATCH(L38,'Видео'!$A$7:$A$1508,0)),"ID не найден"))</x:f>
        <x:v>תיעוד בלעדי: כך פועלת יחידת העילית של פיקוד העורף במהלך המבצע</x:v>
      </x:c>
      <x:c r="N38" s="10" t="str"/>
      <x:c r="O38" s="10" t="str">
        <x:f>IF(D38="","",IF(COUNTIFS('Видео'!$A$7:$A$1508,D38)=1,INDEX('Видео'!$M$7:$M$1508,MATCH(D38,'Видео'!$A$7:$A$1508,0)),"ID не найден"))</x:f>
        <x:v>Тема: סליחה על השאלה עונה 2 | אנשים שהותקפו מינית. Просмотры в списке выше медианы выборки этого цикла в 1.73 раза. Одинаковый вопрос разным людям позволяет сравнить ответы и акценты. Формат вводит социальные группы через их собственную речь.</x:v>
      </x:c>
      <x:c r="P38" s="11" t="str">
        <x:f>IF(D38="","",IF(COUNTIFS('Видео'!$A$7:$A$1508,D38)=1,INDEX('Видео'!$U$7:$U$1508,MATCH(D38,'Видео'!$A$7:$A$1508,0)),"ID не найден"))</x:f>
        <x:v>https://www.youtube.com/watch?v=p4tiyxrKvl0</x:v>
      </x:c>
      <x:c r="Q38" s="17" t="str">
        <x:v>Предложено</x:v>
      </x:c>
      <x:c r="R38" s="17" t="str"/>
      <x:c r="S38" s="10" t="str"/>
      <x:c r="T38" s="10" t="str">
        <x:v>Резерв меняет выбор видео; снова проверить повод, аудиторию и все редакторские условия</x:v>
      </x:c>
      <x:c r="U38" s="9" t="str">
        <x:f>IF(D38="","Выбрать видео",IF(COUNTIFS($D$7:$D$371,D38)&gt;1,"Повтор","Без повтора"))</x:f>
        <x:v>Без повтора</x:v>
      </x:c>
    </x:row>
    <x:row r="39" ht="60" customHeight="1">
      <x:c r="A39" s="16" t="n">
        <x:v>46341</x:v>
      </x:c>
      <x:c r="B39" s="9" t="str">
        <x:v>Вс</x:v>
      </x:c>
      <x:c r="C39" s="10" t="str">
        <x:v>Сериал</x:v>
      </x:c>
      <x:c r="D39" s="19" t="str">
        <x:v>gnAyOSwMjEw</x:v>
      </x:c>
      <x:c r="E39" s="10" t="str">
        <x:f>IF(D39="","",IF(COUNTIFS('Видео'!$A$7:$A$1508,D39)=1,INDEX('Видео'!$B$7:$B$1508,MATCH(D39,'Видео'!$A$7:$A$1508,0)),"ID не найден"))</x:f>
        <x:v>קופה ראשית עונה 3🛒 | כוכבה היפה - פרק 5</x:v>
      </x:c>
      <x:c r="F39" s="9" t="str">
        <x:f>IF(D39="","",IF(COUNTIFS('Видео'!$A$7:$A$1508,D39)=1,INDEX('Видео'!$R$7:$R$1508,MATCH(D39,'Видео'!$A$7:$A$1508,0)),"ID не найден"))</x:f>
        <x:v>C003</x:v>
      </x:c>
      <x:c r="G39" s="9" t="str">
        <x:f>IF(D39="","",IF(COUNTIFS('Видео'!$A$7:$A$1508,D39)=1,INDEX('Видео'!$D$7:$D$1508,MATCH(D39,'Видео'!$A$7:$A$1508,0)),"ID не найден"))</x:f>
        <x:v>Сериал</x:v>
      </x:c>
      <x:c r="H39" s="10" t="str">
        <x:f>IF(D39="","",IF(COUNTIFS('Видео'!$A$7:$A$1508,D39)=1,INDEX('Видео'!$F$7:$F$1508,MATCH(D39,'Видео'!$A$7:$A$1508,0)),"ID не найден"))</x:f>
        <x:v>B1–B2 (гипотеза)</x:v>
      </x:c>
      <x:c r="I39" s="18" t="n">
        <x:f>IF(D39="","",IF(COUNTIFS('Видео'!$A$7:$A$1508,D39)=1,INDEX('Видео'!$G$7:$G$1508,MATCH(D39,'Видео'!$A$7:$A$1508,0)),"ID не найден"))</x:f>
        <x:v>24.6</x:v>
      </x:c>
      <x:c r="J39" s="18" t="n">
        <x:v>10</x:v>
      </x:c>
      <x:c r="K39" s="10" t="str">
        <x:f>IF(D39="","",IF(COUNTIFS('Видео'!$A$7:$A$1508,D39)=1,INDEX('Видео'!$AI$7:$AI$1508,MATCH(D39,'Видео'!$A$7:$A$1508,0)),"ID не найден"))</x:f>
        <x:v>Нужна редактура</x:v>
      </x:c>
      <x:c r="L39" s="19" t="str">
        <x:v>rR7oJNdoKeY</x:v>
      </x:c>
      <x:c r="M39" s="10" t="str">
        <x:f>IF(L39="","",IF(COUNTIFS('Видео'!$A$7:$A$1508,L39)=1,INDEX('Видео'!$B$7:$B$1508,MATCH(L39,'Видео'!$A$7:$A$1508,0)),"ID не найден"))</x:f>
        <x:v>חיות כיס | למה עדיין יש מדבקות מחיר על המוצרים בסופרמרקט? 🛒</x:v>
      </x:c>
      <x:c r="N39" s="10" t="str"/>
      <x:c r="O39" s="10" t="str">
        <x:f>IF(D39="","",IF(COUNTIFS('Видео'!$A$7:$A$1508,D39)=1,INDEX('Видео'!$M$7:$M$1508,MATCH(D39,'Видео'!$A$7:$A$1508,0)),"ID не найден"))</x:f>
        <x:v>Эпизод 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9" s="11" t="str">
        <x:f>IF(D39="","",IF(COUNTIFS('Видео'!$A$7:$A$1508,D39)=1,INDEX('Видео'!$U$7:$U$1508,MATCH(D39,'Видео'!$A$7:$A$1508,0)),"ID не найден"))</x:f>
        <x:v>https://www.youtube.com/watch?v=gnAyOSwMjEw</x:v>
      </x:c>
      <x:c r="Q39" s="17" t="str">
        <x:v>Предложено</x:v>
      </x:c>
      <x:c r="R39" s="17" t="str"/>
      <x:c r="S39" s="10" t="str"/>
      <x:c r="T39" s="10" t="str">
        <x:v>При недоступной серии приостановить сюжетную ветку; резерв — самостоятельное видео</x:v>
      </x:c>
      <x:c r="U39" s="9" t="str">
        <x:f>IF(D39="","Выбрать видео",IF(COUNTIFS($D$7:$D$371,D39)&gt;1,"Повтор","Без повтора"))</x:f>
        <x:v>Без повтора</x:v>
      </x:c>
    </x:row>
    <x:row r="40" ht="60" customHeight="1">
      <x:c r="A40" s="16" t="n">
        <x:v>46342</x:v>
      </x:c>
      <x:c r="B40" s="9" t="str">
        <x:v>Пн</x:v>
      </x:c>
      <x:c r="C40" s="10" t="str">
        <x:v>Интервью</x:v>
      </x:c>
      <x:c r="D40" s="19" t="str">
        <x:v>FKZ1sPzvFjU</x:v>
      </x:c>
      <x:c r="E40" s="10" t="str">
        <x:f>IF(D40="","",IF(COUNTIFS('Видео'!$A$7:$A$1508,D40)=1,INDEX('Видео'!$B$7:$B$1508,MATCH(D40,'Видео'!$A$7:$A$1508,0)),"ID не найден"))</x:f>
        <x:v>פגישה עם רוני קובן עונה 7 | פרק 7 - אדיר מילר</x:v>
      </x:c>
      <x:c r="F40" s="9" t="str">
        <x:f>IF(D40="","",IF(COUNTIFS('Видео'!$A$7:$A$1508,D40)=1,INDEX('Видео'!$R$7:$R$1508,MATCH(D40,'Видео'!$A$7:$A$1508,0)),"ID не найден"))</x:f>
        <x:v>C016</x:v>
      </x:c>
      <x:c r="G40" s="9" t="str">
        <x:f>IF(D40="","",IF(COUNTIFS('Видео'!$A$7:$A$1508,D40)=1,INDEX('Видео'!$D$7:$D$1508,MATCH(D40,'Видео'!$A$7:$A$1508,0)),"ID не найден"))</x:f>
        <x:v>Интервью</x:v>
      </x:c>
      <x:c r="H40" s="10" t="str">
        <x:f>IF(D40="","",IF(COUNTIFS('Видео'!$A$7:$A$1508,D40)=1,INDEX('Видео'!$F$7:$F$1508,MATCH(D40,'Видео'!$A$7:$A$1508,0)),"ID не найден"))</x:f>
        <x:v>B2–C1 (гипотеза)</x:v>
      </x:c>
      <x:c r="I40" s="18" t="n">
        <x:f>IF(D40="","",IF(COUNTIFS('Видео'!$A$7:$A$1508,D40)=1,INDEX('Видео'!$G$7:$G$1508,MATCH(D40,'Видео'!$A$7:$A$1508,0)),"ID не найден"))</x:f>
        <x:v>30</x:v>
      </x:c>
      <x:c r="J40" s="18" t="n">
        <x:v>10</x:v>
      </x:c>
      <x:c r="K40" s="10" t="str">
        <x:f>IF(D40="","",IF(COUNTIFS('Видео'!$A$7:$A$1508,D40)=1,INDEX('Видео'!$AI$7:$AI$1508,MATCH(D40,'Видео'!$A$7:$A$1508,0)),"ID не найден"))</x:f>
        <x:v>Нужна редактура</x:v>
      </x:c>
      <x:c r="L40" s="19" t="str">
        <x:v>BgOpUUCJ0pg</x:v>
      </x:c>
      <x:c r="M40" s="10" t="str">
        <x:f>IF(L40="","",IF(COUNTIFS('Видео'!$A$7:$A$1508,L40)=1,INDEX('Видео'!$B$7:$B$1508,MATCH(L40,'Видео'!$A$7:$A$1508,0)),"ID не найден"))</x:f>
        <x:v>השר לשעבר יעקב מרגי חושף את מאמצי המפלגות החרדיות לקידום חוק גיוס</x:v>
      </x:c>
      <x:c r="N40" s="10" t="str"/>
      <x:c r="O40" s="10" t="str">
        <x:f>IF(D40="","",IF(COUNTIFS('Видео'!$A$7:$A$1508,D40)=1,INDEX('Видео'!$M$7:$M$1508,MATCH(D40,'Видео'!$A$7:$A$1508,0)),"ID не найден"))</x:f>
        <x:v>Тема / гость: פרק 7 - אדיר מילר. Просмотры в списке выше медианы выборки этого цикла в 7.27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40" s="11" t="str">
        <x:f>IF(D40="","",IF(COUNTIFS('Видео'!$A$7:$A$1508,D40)=1,INDEX('Видео'!$U$7:$U$1508,MATCH(D40,'Видео'!$A$7:$A$1508,0)),"ID не найден"))</x:f>
        <x:v>https://www.youtube.com/watch?v=FKZ1sPzvFjU</x:v>
      </x:c>
      <x:c r="Q40" s="17" t="str">
        <x:v>Предложено</x:v>
      </x:c>
      <x:c r="R40" s="17" t="str"/>
      <x:c r="S40" s="10" t="str"/>
      <x:c r="T40" s="10" t="str">
        <x:v>Резерв меняет выбор видео; снова проверить повод, аудиторию и все редакторские условия</x:v>
      </x:c>
      <x:c r="U40" s="9" t="str">
        <x:f>IF(D40="","Выбрать видео",IF(COUNTIFS($D$7:$D$371,D40)&gt;1,"Повтор","Без повтора"))</x:f>
        <x:v>Без повтора</x:v>
      </x:c>
    </x:row>
    <x:row r="41" ht="60" customHeight="1">
      <x:c r="A41" s="16" t="n">
        <x:v>46343</x:v>
      </x:c>
      <x:c r="B41" s="9" t="str">
        <x:v>Вт</x:v>
      </x:c>
      <x:c r="C41" s="10" t="str">
        <x:v>Образование</x:v>
      </x:c>
      <x:c r="D41" s="19" t="str">
        <x:v>39eRcn-QXd0</x:v>
      </x:c>
      <x:c r="E41" s="10" t="str">
        <x:f>IF(D41="","",IF(COUNTIFS('Видео'!$A$7:$A$1508,D41)=1,INDEX('Видео'!$B$7:$B$1508,MATCH(D41,'Видео'!$A$7:$A$1508,0)),"ID не найден"))</x:f>
        <x:v>כמה פיפי יש בבריכות השחייה שלנו (ומה הכלור עושה לו)? | כאן סקרנים</x:v>
      </x:c>
      <x:c r="F41" s="9" t="str">
        <x:f>IF(D41="","",IF(COUNTIFS('Видео'!$A$7:$A$1508,D41)=1,INDEX('Видео'!$R$7:$R$1508,MATCH(D41,'Видео'!$A$7:$A$1508,0)),"ID не найден"))</x:f>
        <x:v>C044</x:v>
      </x:c>
      <x:c r="G41" s="9" t="str">
        <x:f>IF(D41="","",IF(COUNTIFS('Видео'!$A$7:$A$1508,D41)=1,INDEX('Видео'!$D$7:$D$1508,MATCH(D41,'Видео'!$A$7:$A$1508,0)),"ID не найден"))</x:f>
        <x:v>Образование</x:v>
      </x:c>
      <x:c r="H41" s="10" t="str">
        <x:f>IF(D41="","",IF(COUNTIFS('Видео'!$A$7:$A$1508,D41)=1,INDEX('Видео'!$F$7:$F$1508,MATCH(D41,'Видео'!$A$7:$A$1508,0)),"ID не найден"))</x:f>
        <x:v>B1–B2 (гипотеза)</x:v>
      </x:c>
      <x:c r="I41" s="18" t="n">
        <x:f>IF(D41="","",IF(COUNTIFS('Видео'!$A$7:$A$1508,D41)=1,INDEX('Видео'!$G$7:$G$1508,MATCH(D41,'Видео'!$A$7:$A$1508,0)),"ID не найден"))</x:f>
        <x:v>8.5</x:v>
      </x:c>
      <x:c r="J41" s="18" t="n">
        <x:v>5</x:v>
      </x:c>
      <x:c r="K41" s="10" t="str">
        <x:f>IF(D41="","",IF(COUNTIFS('Видео'!$A$7:$A$1508,D41)=1,INDEX('Видео'!$AI$7:$AI$1508,MATCH(D41,'Видео'!$A$7:$A$1508,0)),"ID не найден"))</x:f>
        <x:v>Нужна редактура</x:v>
      </x:c>
      <x:c r="L41" s="19" t="str">
        <x:v>iIK6ITrCHlw</x:v>
      </x:c>
      <x:c r="M41" s="10" t="str">
        <x:f>IF(L41="","",IF(COUNTIFS('Видео'!$A$7:$A$1508,L41)=1,INDEX('Видео'!$B$7:$B$1508,MATCH(L41,'Видео'!$A$7:$A$1508,0)),"ID не найден"))</x:f>
        <x:v>מי החליט שאנחנו חייבות ללכת עם חזייה? | כאן מסבירים</x:v>
      </x:c>
      <x:c r="N41" s="10" t="str"/>
      <x:c r="O41" s="10" t="str">
        <x:f>IF(D41="","",IF(COUNTIFS('Видео'!$A$7:$A$1508,D41)=1,INDEX('Видео'!$M$7:$M$1508,MATCH(D41,'Видео'!$A$7:$A$1508,0)),"ID не найден"))</x:f>
        <x:v>Завершённый короткий просмотр около 9 мин. Просмотры в списке выше медианы выборки этого цикла в 2.72 раза. Один понятный вопрос даёт завершённый короткий выпуск и повод поделиться им.</x:v>
      </x:c>
      <x:c r="P41" s="11" t="str">
        <x:f>IF(D41="","",IF(COUNTIFS('Видео'!$A$7:$A$1508,D41)=1,INDEX('Видео'!$U$7:$U$1508,MATCH(D41,'Видео'!$A$7:$A$1508,0)),"ID не найден"))</x:f>
        <x:v>https://www.youtube.com/watch?v=39eRcn-QXd0</x:v>
      </x:c>
      <x:c r="Q41" s="17" t="str">
        <x:v>Предложено</x:v>
      </x:c>
      <x:c r="R41" s="17" t="str"/>
      <x:c r="S41" s="10" t="str"/>
      <x:c r="T41" s="10" t="str">
        <x:v>Резерв меняет выбор видео; снова проверить повод, аудиторию и все редакторские условия</x:v>
      </x:c>
      <x:c r="U41" s="9" t="str">
        <x:f>IF(D41="","Выбрать видео",IF(COUNTIFS($D$7:$D$371,D41)&gt;1,"Повтор","Без повтора"))</x:f>
        <x:v>Без повтора</x:v>
      </x:c>
    </x:row>
    <x:row r="42" ht="60" customHeight="1">
      <x:c r="A42" s="16" t="n">
        <x:v>46344</x:v>
      </x:c>
      <x:c r="B42" s="9" t="str">
        <x:v>Ср</x:v>
      </x:c>
      <x:c r="C42" s="10" t="str">
        <x:v>Быт</x:v>
      </x:c>
      <x:c r="D42" s="19" t="str">
        <x:v>xXXVQY6hWYg</x:v>
      </x:c>
      <x:c r="E42" s="10" t="str">
        <x:f>IF(D42="","",IF(COUNTIFS('Видео'!$A$7:$A$1508,D42)=1,INDEX('Видео'!$B$7:$B$1508,MATCH(D42,'Видео'!$A$7:$A$1508,0)),"ID не найден"))</x:f>
        <x:v>דוקותיים | שלו מעצב נעליים יחודיות לאנשים מיוחדים</x:v>
      </x:c>
      <x:c r="F42" s="9" t="str">
        <x:f>IF(D42="","",IF(COUNTIFS('Видео'!$A$7:$A$1508,D42)=1,INDEX('Видео'!$R$7:$R$1508,MATCH(D42,'Видео'!$A$7:$A$1508,0)),"ID не найден"))</x:f>
        <x:v>C043</x:v>
      </x:c>
      <x:c r="G42" s="9" t="str">
        <x:f>IF(D42="","",IF(COUNTIFS('Видео'!$A$7:$A$1508,D42)=1,INDEX('Видео'!$D$7:$D$1508,MATCH(D42,'Видео'!$A$7:$A$1508,0)),"ID не найден"))</x:f>
        <x:v>Быт</x:v>
      </x:c>
      <x:c r="H42" s="10" t="str">
        <x:f>IF(D42="","",IF(COUNTIFS('Видео'!$A$7:$A$1508,D42)=1,INDEX('Видео'!$F$7:$F$1508,MATCH(D42,'Видео'!$A$7:$A$1508,0)),"ID не найден"))</x:f>
        <x:v>B1–B2 (гипотеза)</x:v>
      </x:c>
      <x:c r="I42" s="18" t="n">
        <x:f>IF(D42="","",IF(COUNTIFS('Видео'!$A$7:$A$1508,D42)=1,INDEX('Видео'!$G$7:$G$1508,MATCH(D42,'Видео'!$A$7:$A$1508,0)),"ID не найден"))</x:f>
        <x:v>6.1</x:v>
      </x:c>
      <x:c r="J42" s="18" t="n">
        <x:v>5</x:v>
      </x:c>
      <x:c r="K42" s="10" t="str">
        <x:f>IF(D42="","",IF(COUNTIFS('Видео'!$A$7:$A$1508,D42)=1,INDEX('Видео'!$AI$7:$AI$1508,MATCH(D42,'Видео'!$A$7:$A$1508,0)),"ID не найден"))</x:f>
        <x:v>Нужна редактура</x:v>
      </x:c>
      <x:c r="L42" s="19" t="str">
        <x:v>oh35XR43-dQ</x:v>
      </x:c>
      <x:c r="M42" s="10" t="str">
        <x:f>IF(L42="","",IF(COUNTIFS('Видео'!$A$7:$A$1508,L42)=1,INDEX('Видео'!$B$7:$B$1508,MATCH(L42,'Видео'!$A$7:$A$1508,0)),"ID не найден"))</x:f>
        <x:v>דוקותיים עם ילדי ניר עוז: “מרוב פחד פתאום אין לך בכי. צרחתי תעזרו לי”</x:v>
      </x:c>
      <x:c r="N42" s="10" t="str"/>
      <x:c r="O42" s="10" t="str">
        <x:f>IF(D42="","",IF(COUNTIFS('Видео'!$A$7:$A$1508,D42)=1,INDEX('Видео'!$M$7:$M$1508,MATCH(D42,'Видео'!$A$7:$A$1508,0)),"ID не найден"))</x:f>
        <x:v>Завершённый короткий просмотр около 6 мин. Просмотры в списке выше медианы выборки этого цикла в 7.69 раза. Короткая история реального человека подходит для ежедневной привычки. Разные профессии и места расширяют взгляд на страну.</x:v>
      </x:c>
      <x:c r="P42" s="11" t="str">
        <x:f>IF(D42="","",IF(COUNTIFS('Видео'!$A$7:$A$1508,D42)=1,INDEX('Видео'!$U$7:$U$1508,MATCH(D42,'Видео'!$A$7:$A$1508,0)),"ID не найден"))</x:f>
        <x:v>https://www.youtube.com/watch?v=xXXVQY6hWYg</x:v>
      </x:c>
      <x:c r="Q42" s="17" t="str">
        <x:v>Предложено</x:v>
      </x:c>
      <x:c r="R42" s="17" t="str"/>
      <x:c r="S42" s="10" t="str"/>
      <x:c r="T42" s="10" t="str">
        <x:v>Резерв меняет выбор видео; снова проверить повод, аудиторию и все редакторские условия</x:v>
      </x:c>
      <x:c r="U42" s="9" t="str">
        <x:f>IF(D42="","Выбрать видео",IF(COUNTIFS($D$7:$D$371,D42)&gt;1,"Повтор","Без повтора"))</x:f>
        <x:v>Без повтора</x:v>
      </x:c>
    </x:row>
    <x:row r="43" ht="60" customHeight="1">
      <x:c r="A43" s="16" t="n">
        <x:v>46345</x:v>
      </x:c>
      <x:c r="B43" s="9" t="str">
        <x:v>Чт</x:v>
      </x:c>
      <x:c r="C43" s="10" t="str">
        <x:v>Сериал</x:v>
      </x:c>
      <x:c r="D43" s="19" t="str">
        <x:v>5bSvefuTRrA</x:v>
      </x:c>
      <x:c r="E43" s="10" t="str">
        <x:f>IF(D43="","",IF(COUNTIFS('Видео'!$A$7:$A$1508,D43)=1,INDEX('Видео'!$B$7:$B$1508,MATCH(D43,'Видео'!$A$7:$A$1508,0)),"ID не найден"))</x:f>
        <x:v>חזרות - קומדיה (לא) רומנטית 🎭 | פרק 6</x:v>
      </x:c>
      <x:c r="F43" s="9" t="str">
        <x:f>IF(D43="","",IF(COUNTIFS('Видео'!$A$7:$A$1508,D43)=1,INDEX('Видео'!$R$7:$R$1508,MATCH(D43,'Видео'!$A$7:$A$1508,0)),"ID не найден"))</x:f>
        <x:v>C007</x:v>
      </x:c>
      <x:c r="G43" s="9" t="str">
        <x:f>IF(D43="","",IF(COUNTIFS('Видео'!$A$7:$A$1508,D43)=1,INDEX('Видео'!$D$7:$D$1508,MATCH(D43,'Видео'!$A$7:$A$1508,0)),"ID не найден"))</x:f>
        <x:v>Сериал</x:v>
      </x:c>
      <x:c r="H43" s="10" t="str">
        <x:f>IF(D43="","",IF(COUNTIFS('Видео'!$A$7:$A$1508,D43)=1,INDEX('Видео'!$F$7:$F$1508,MATCH(D43,'Видео'!$A$7:$A$1508,0)),"ID не найден"))</x:f>
        <x:v>B2–C1 (гипотеза)</x:v>
      </x:c>
      <x:c r="I43" s="18" t="n">
        <x:f>IF(D43="","",IF(COUNTIFS('Видео'!$A$7:$A$1508,D43)=1,INDEX('Видео'!$G$7:$G$1508,MATCH(D43,'Видео'!$A$7:$A$1508,0)),"ID не найден"))</x:f>
        <x:v>33.6</x:v>
      </x:c>
      <x:c r="J43" s="18" t="n">
        <x:v>10</x:v>
      </x:c>
      <x:c r="K43" s="10" t="str">
        <x:f>IF(D43="","",IF(COUNTIFS('Видео'!$A$7:$A$1508,D43)=1,INDEX('Видео'!$AI$7:$AI$1508,MATCH(D43,'Видео'!$A$7:$A$1508,0)),"ID не найден"))</x:f>
        <x:v>Нужна редактура</x:v>
      </x:c>
      <x:c r="L43" s="19" t="str">
        <x:v>VuAOzgOP3ts</x:v>
      </x:c>
      <x:c r="M43" s="10" t="str">
        <x:f>IF(L43="","",IF(COUNTIFS('Видео'!$A$7:$A$1508,L43)=1,INDEX('Видео'!$B$7:$B$1508,MATCH(L43,'Видео'!$A$7:$A$1508,0)),"ID не найден"))</x:f>
        <x:v>איך ומתי הומצאו שמות המשפחה שלנו? | כאן סקרנים</x:v>
      </x:c>
      <x:c r="N43" s="10" t="str"/>
      <x:c r="O43" s="10" t="str">
        <x:f>IF(D43="","",IF(COUNTIFS('Видео'!$A$7:$A$1508,D43)=1,INDEX('Видео'!$M$7:$M$1508,MATCH(D43,'Видео'!$A$7:$A$1508,0)),"ID не найден"))</x:f>
        <x:v>Эпизод 6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P43" s="11" t="str">
        <x:f>IF(D43="","",IF(COUNTIFS('Видео'!$A$7:$A$1508,D43)=1,INDEX('Видео'!$U$7:$U$1508,MATCH(D43,'Видео'!$A$7:$A$1508,0)),"ID не найден"))</x:f>
        <x:v>https://www.youtube.com/watch?v=5bSvefuTRrA</x:v>
      </x:c>
      <x:c r="Q43" s="17" t="str">
        <x:v>Предложено</x:v>
      </x:c>
      <x:c r="R43" s="17" t="str"/>
      <x:c r="S43" s="10" t="str"/>
      <x:c r="T43" s="10" t="str">
        <x:v>При недоступной серии приостановить сюжетную ветку; резерв — самостоятельное видео</x:v>
      </x:c>
      <x:c r="U43" s="9" t="str">
        <x:f>IF(D43="","Выбрать видео",IF(COUNTIFS($D$7:$D$371,D43)&gt;1,"Повтор","Без повтора"))</x:f>
        <x:v>Без повтора</x:v>
      </x:c>
    </x:row>
    <x:row r="44" ht="60" customHeight="1">
      <x:c r="A44" s="16" t="n">
        <x:v>46346</x:v>
      </x:c>
      <x:c r="B44" s="9" t="str">
        <x:v>Пт</x:v>
      </x:c>
      <x:c r="C44" s="10" t="str">
        <x:v>Культура</x:v>
      </x:c>
      <x:c r="D44" s="19" t="str">
        <x:v>vddNZE2tK2s</x:v>
      </x:c>
      <x:c r="E44" s="10" t="str">
        <x:f>IF(D44="","",IF(COUNTIFS('Видео'!$A$7:$A$1508,D44)=1,INDEX('Видео'!$B$7:$B$1508,MATCH(D44,'Видео'!$A$7:$A$1508,0)),"ID не найден"))</x:f>
        <x:v>שיר אחד 🎤 עיבוד טלוויזיוני להסכת | רביד פלוטניק - חסידה צחורה</x:v>
      </x:c>
      <x:c r="F44" s="9" t="str">
        <x:f>IF(D44="","",IF(COUNTIFS('Видео'!$A$7:$A$1508,D44)=1,INDEX('Видео'!$R$7:$R$1508,MATCH(D44,'Видео'!$A$7:$A$1508,0)),"ID не найден"))</x:f>
        <x:v>C027</x:v>
      </x:c>
      <x:c r="G44" s="9" t="str">
        <x:f>IF(D44="","",IF(COUNTIFS('Видео'!$A$7:$A$1508,D44)=1,INDEX('Видео'!$D$7:$D$1508,MATCH(D44,'Видео'!$A$7:$A$1508,0)),"ID не найден"))</x:f>
        <x:v>Культура</x:v>
      </x:c>
      <x:c r="H44" s="10" t="str">
        <x:f>IF(D44="","",IF(COUNTIFS('Видео'!$A$7:$A$1508,D44)=1,INDEX('Видео'!$F$7:$F$1508,MATCH(D44,'Видео'!$A$7:$A$1508,0)),"ID не найден"))</x:f>
        <x:v>B1–B2 (гипотеза)</x:v>
      </x:c>
      <x:c r="I44" s="18" t="n">
        <x:f>IF(D44="","",IF(COUNTIFS('Видео'!$A$7:$A$1508,D44)=1,INDEX('Видео'!$G$7:$G$1508,MATCH(D44,'Видео'!$A$7:$A$1508,0)),"ID не найден"))</x:f>
        <x:v>27.5</x:v>
      </x:c>
      <x:c r="J44" s="18" t="n">
        <x:v>10</x:v>
      </x:c>
      <x:c r="K44" s="10" t="str">
        <x:f>IF(D44="","",IF(COUNTIFS('Видео'!$A$7:$A$1508,D44)=1,INDEX('Видео'!$AI$7:$AI$1508,MATCH(D44,'Видео'!$A$7:$A$1508,0)),"ID не найден"))</x:f>
        <x:v>Нужна редактура</x:v>
      </x:c>
      <x:c r="L44" s="19" t="str">
        <x:v>soCrpbQQzwU</x:v>
      </x:c>
      <x:c r="M44" s="10" t="str">
        <x:f>IF(L44="","",IF(COUNTIFS('Видео'!$A$7:$A$1508,L44)=1,INDEX('Видео'!$B$7:$B$1508,MATCH(L44,'Видео'!$A$7:$A$1508,0)),"ID не найден"))</x:f>
        <x:v>הבן איש חי נשאל שאלה ואז הלך לעשות דבר מיוחד | צפו בסיפור</x:v>
      </x:c>
      <x:c r="N44" s="10" t="str"/>
      <x:c r="O44" s="10" t="str">
        <x:f>IF(D44="","",IF(COUNTIFS('Видео'!$A$7:$A$1508,D44)=1,INDEX('Видео'!$M$7:$M$1508,MATCH(D44,'Видео'!$A$7:$A$1508,0)),"ID не найден"))</x:f>
        <x:v>Тема: שיר אחד 🎤 עיבוד טלוויזיוני להסכת | רביד פלוטניק - חסידה צחורה. Просмотры в списке выше медианы выборки этого цикла в 4.72 раза. История одной песни связывает музыку, биографию и эпоху. Подходит зрителям, которым политическая повестка менее интересна.</x:v>
      </x:c>
      <x:c r="P44" s="11" t="str">
        <x:f>IF(D44="","",IF(COUNTIFS('Видео'!$A$7:$A$1508,D44)=1,INDEX('Видео'!$U$7:$U$1508,MATCH(D44,'Видео'!$A$7:$A$1508,0)),"ID не найден"))</x:f>
        <x:v>https://www.youtube.com/watch?v=vddNZE2tK2s</x:v>
      </x:c>
      <x:c r="Q44" s="17" t="str">
        <x:v>Предложено</x:v>
      </x:c>
      <x:c r="R44" s="17" t="str"/>
      <x:c r="S44" s="10" t="str"/>
      <x:c r="T44" s="10" t="str">
        <x:v>Резерв меняет выбор видео; снова проверить повод, аудиторию и все редакторские условия</x:v>
      </x:c>
      <x:c r="U44" s="9" t="str">
        <x:f>IF(D44="","Выбрать видео",IF(COUNTIFS($D$7:$D$371,D44)&gt;1,"Повтор","Без повтора"))</x:f>
        <x:v>Без повтора</x:v>
      </x:c>
    </x:row>
    <x:row r="45" ht="60" customHeight="1">
      <x:c r="A45" s="16" t="n">
        <x:v>46347</x:v>
      </x:c>
      <x:c r="B45" s="9" t="str">
        <x:v>Сб</x:v>
      </x:c>
      <x:c r="C45" s="10" t="str">
        <x:v>Общество</x:v>
      </x:c>
      <x:c r="D45" s="19" t="str">
        <x:v>7CcyeaBPdMk</x:v>
      </x:c>
      <x:c r="E45" s="10" t="str">
        <x:f>IF(D45="","",IF(COUNTIFS('Видео'!$A$7:$A$1508,D45)=1,INDEX('Видео'!$B$7:$B$1508,MATCH(D45,'Видео'!$A$7:$A$1508,0)),"ID не найден"))</x:f>
        <x:v>סליחה על השאלה | בני נוער</x:v>
      </x:c>
      <x:c r="F45" s="9" t="str">
        <x:f>IF(D45="","",IF(COUNTIFS('Видео'!$A$7:$A$1508,D45)=1,INDEX('Видео'!$R$7:$R$1508,MATCH(D45,'Видео'!$A$7:$A$1508,0)),"ID не найден"))</x:f>
        <x:v>C021</x:v>
      </x:c>
      <x:c r="G45" s="9" t="str">
        <x:f>IF(D45="","",IF(COUNTIFS('Видео'!$A$7:$A$1508,D45)=1,INDEX('Видео'!$D$7:$D$1508,MATCH(D45,'Видео'!$A$7:$A$1508,0)),"ID не найден"))</x:f>
        <x:v>Общество</x:v>
      </x:c>
      <x:c r="H45" s="10" t="str">
        <x:f>IF(D45="","",IF(COUNTIFS('Видео'!$A$7:$A$1508,D45)=1,INDEX('Видео'!$F$7:$F$1508,MATCH(D45,'Видео'!$A$7:$A$1508,0)),"ID не найден"))</x:f>
        <x:v>B1–B2 (гипотеза)</x:v>
      </x:c>
      <x:c r="I45" s="18" t="n">
        <x:f>IF(D45="","",IF(COUNTIFS('Видео'!$A$7:$A$1508,D45)=1,INDEX('Видео'!$G$7:$G$1508,MATCH(D45,'Видео'!$A$7:$A$1508,0)),"ID не найден"))</x:f>
        <x:v>25.6</x:v>
      </x:c>
      <x:c r="J45" s="18" t="n">
        <x:v>10</x:v>
      </x:c>
      <x:c r="K45" s="10" t="str">
        <x:f>IF(D45="","",IF(COUNTIFS('Видео'!$A$7:$A$1508,D45)=1,INDEX('Видео'!$AI$7:$AI$1508,MATCH(D45,'Видео'!$A$7:$A$1508,0)),"ID не найден"))</x:f>
        <x:v>Нужна редактура</x:v>
      </x:c>
      <x:c r="L45" s="19" t="str">
        <x:v>9XGz8KqonXw</x:v>
      </x:c>
      <x:c r="M45" s="10" t="str">
        <x:f>IF(L45="","",IF(COUNTIFS('Видео'!$A$7:$A$1508,L45)=1,INDEX('Видео'!$B$7:$B$1508,MATCH(L45,'Видео'!$A$7:$A$1508,0)),"ID не найден"))</x:f>
        <x:v>הסודות של בן גביר | מה באמת חושב השר על כלי התקשורת?</x:v>
      </x:c>
      <x:c r="N45" s="10" t="str"/>
      <x:c r="O45" s="10" t="str">
        <x:f>IF(D45="","",IF(COUNTIFS('Видео'!$A$7:$A$1508,D45)=1,INDEX('Видео'!$M$7:$M$1508,MATCH(D45,'Видео'!$A$7:$A$1508,0)),"ID не найден"))</x:f>
        <x:v>Тема: סליחה על השאלה | בני נוער. Просмотры в списке выше медианы выборки этого цикла в 2.24 раза. Одинаковый вопрос разным людям позволяет сравнить ответы и акценты. Формат вводит социальные группы через их собственную речь.</x:v>
      </x:c>
      <x:c r="P45" s="11" t="str">
        <x:f>IF(D45="","",IF(COUNTIFS('Видео'!$A$7:$A$1508,D45)=1,INDEX('Видео'!$U$7:$U$1508,MATCH(D45,'Видео'!$A$7:$A$1508,0)),"ID не найден"))</x:f>
        <x:v>https://www.youtube.com/watch?v=7CcyeaBPdMk</x:v>
      </x:c>
      <x:c r="Q45" s="17" t="str">
        <x:v>Предложено</x:v>
      </x:c>
      <x:c r="R45" s="17" t="str"/>
      <x:c r="S45" s="10" t="str"/>
      <x:c r="T45" s="10" t="str">
        <x:v>Резерв меняет выбор видео; снова проверить повод, аудиторию и все редакторские условия</x:v>
      </x:c>
      <x:c r="U45" s="9" t="str">
        <x:f>IF(D45="","Выбрать видео",IF(COUNTIFS($D$7:$D$371,D45)&gt;1,"Повтор","Без повтора"))</x:f>
        <x:v>Без повтора</x:v>
      </x:c>
    </x:row>
    <x:row r="46" ht="60" customHeight="1">
      <x:c r="A46" s="16" t="n">
        <x:v>46348</x:v>
      </x:c>
      <x:c r="B46" s="9" t="str">
        <x:v>Вс</x:v>
      </x:c>
      <x:c r="C46" s="10" t="str">
        <x:v>Сериал</x:v>
      </x:c>
      <x:c r="D46" s="19" t="str">
        <x:v>3_p3Q293u44</x:v>
      </x:c>
      <x:c r="E46" s="10" t="str">
        <x:f>IF(D46="","",IF(COUNTIFS('Видео'!$A$7:$A$1508,D46)=1,INDEX('Видео'!$B$7:$B$1508,MATCH(D46,'Видео'!$A$7:$A$1508,0)),"ID не найден"))</x:f>
        <x:v>קופה ראשית עונה 3🛒 | יולנדה - פרק 6</x:v>
      </x:c>
      <x:c r="F46" s="9" t="str">
        <x:f>IF(D46="","",IF(COUNTIFS('Видео'!$A$7:$A$1508,D46)=1,INDEX('Видео'!$R$7:$R$1508,MATCH(D46,'Видео'!$A$7:$A$1508,0)),"ID не найден"))</x:f>
        <x:v>C003</x:v>
      </x:c>
      <x:c r="G46" s="9" t="str">
        <x:f>IF(D46="","",IF(COUNTIFS('Видео'!$A$7:$A$1508,D46)=1,INDEX('Видео'!$D$7:$D$1508,MATCH(D46,'Видео'!$A$7:$A$1508,0)),"ID не найден"))</x:f>
        <x:v>Сериал</x:v>
      </x:c>
      <x:c r="H46" s="10" t="str">
        <x:f>IF(D46="","",IF(COUNTIFS('Видео'!$A$7:$A$1508,D46)=1,INDEX('Видео'!$F$7:$F$1508,MATCH(D46,'Видео'!$A$7:$A$1508,0)),"ID не найден"))</x:f>
        <x:v>B1–B2 (гипотеза)</x:v>
      </x:c>
      <x:c r="I46" s="18" t="n">
        <x:f>IF(D46="","",IF(COUNTIFS('Видео'!$A$7:$A$1508,D46)=1,INDEX('Видео'!$G$7:$G$1508,MATCH(D46,'Видео'!$A$7:$A$1508,0)),"ID не найден"))</x:f>
        <x:v>26.7</x:v>
      </x:c>
      <x:c r="J46" s="18" t="n">
        <x:v>10</x:v>
      </x:c>
      <x:c r="K46" s="10" t="str">
        <x:f>IF(D46="","",IF(COUNTIFS('Видео'!$A$7:$A$1508,D46)=1,INDEX('Видео'!$AI$7:$AI$1508,MATCH(D46,'Видео'!$A$7:$A$1508,0)),"ID не найден"))</x:f>
        <x:v>Нужна редактура</x:v>
      </x:c>
      <x:c r="L46" s="19" t="str">
        <x:v>Yqi0PmB8EnQ</x:v>
      </x:c>
      <x:c r="M46" s="10" t="str">
        <x:f>IF(L46="","",IF(COUNTIFS('Видео'!$A$7:$A$1508,L46)=1,INDEX('Видео'!$B$7:$B$1508,MATCH(L46,'Видео'!$A$7:$A$1508,0)),"ID не найден"))</x:f>
        <x:v>"בארץ אין הרבה קטועים כמוני" | דוקותיים: יומן מלחמה</x:v>
      </x:c>
      <x:c r="N46" s="10" t="str"/>
      <x:c r="O46" s="10" t="str">
        <x:f>IF(D46="","",IF(COUNTIFS('Видео'!$A$7:$A$1508,D46)=1,INDEX('Видео'!$M$7:$M$1508,MATCH(D46,'Видео'!$A$7:$A$1508,0)),"ID не найден"))</x:f>
        <x:v>Эпизод 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46" s="11" t="str">
        <x:f>IF(D46="","",IF(COUNTIFS('Видео'!$A$7:$A$1508,D46)=1,INDEX('Видео'!$U$7:$U$1508,MATCH(D46,'Видео'!$A$7:$A$1508,0)),"ID не найден"))</x:f>
        <x:v>https://www.youtube.com/watch?v=3_p3Q293u44</x:v>
      </x:c>
      <x:c r="Q46" s="17" t="str">
        <x:v>Предложено</x:v>
      </x:c>
      <x:c r="R46" s="17" t="str"/>
      <x:c r="S46" s="10" t="str"/>
      <x:c r="T46" s="10" t="str">
        <x:v>При недоступной серии приостановить сюжетную ветку; резерв — самостоятельное видео</x:v>
      </x:c>
      <x:c r="U46" s="9" t="str">
        <x:f>IF(D46="","Выбрать видео",IF(COUNTIFS($D$7:$D$371,D46)&gt;1,"Повтор","Без повтора"))</x:f>
        <x:v>Без повтора</x:v>
      </x:c>
    </x:row>
    <x:row r="47" ht="60" customHeight="1">
      <x:c r="A47" s="16" t="n">
        <x:v>46349</x:v>
      </x:c>
      <x:c r="B47" s="9" t="str">
        <x:v>Пн</x:v>
      </x:c>
      <x:c r="C47" s="10" t="str">
        <x:v>Интервью</x:v>
      </x:c>
      <x:c r="D47" s="19" t="str">
        <x:v>syoDFvQbWNc</x:v>
      </x:c>
      <x:c r="E47" s="10" t="str">
        <x:f>IF(D47="","",IF(COUNTIFS('Видео'!$A$7:$A$1508,D47)=1,INDEX('Видео'!$B$7:$B$1508,MATCH(D47,'Видео'!$A$7:$A$1508,0)),"ID не найден"))</x:f>
        <x:v>פגישה עם רוני קובן עונה 6 | פרק 9 - נינט טייב</x:v>
      </x:c>
      <x:c r="F47" s="9" t="str">
        <x:f>IF(D47="","",IF(COUNTIFS('Видео'!$A$7:$A$1508,D47)=1,INDEX('Видео'!$R$7:$R$1508,MATCH(D47,'Видео'!$A$7:$A$1508,0)),"ID не найден"))</x:f>
        <x:v>C017</x:v>
      </x:c>
      <x:c r="G47" s="9" t="str">
        <x:f>IF(D47="","",IF(COUNTIFS('Видео'!$A$7:$A$1508,D47)=1,INDEX('Видео'!$D$7:$D$1508,MATCH(D47,'Видео'!$A$7:$A$1508,0)),"ID не найден"))</x:f>
        <x:v>Интервью</x:v>
      </x:c>
      <x:c r="H47" s="10" t="str">
        <x:f>IF(D47="","",IF(COUNTIFS('Видео'!$A$7:$A$1508,D47)=1,INDEX('Видео'!$F$7:$F$1508,MATCH(D47,'Видео'!$A$7:$A$1508,0)),"ID не найден"))</x:f>
        <x:v>B2–C1 (гипотеза)</x:v>
      </x:c>
      <x:c r="I47" s="18" t="n">
        <x:f>IF(D47="","",IF(COUNTIFS('Видео'!$A$7:$A$1508,D47)=1,INDEX('Видео'!$G$7:$G$1508,MATCH(D47,'Видео'!$A$7:$A$1508,0)),"ID не найден"))</x:f>
        <x:v>32.8</x:v>
      </x:c>
      <x:c r="J47" s="18" t="n">
        <x:v>10</x:v>
      </x:c>
      <x:c r="K47" s="10" t="str">
        <x:f>IF(D47="","",IF(COUNTIFS('Видео'!$A$7:$A$1508,D47)=1,INDEX('Видео'!$AI$7:$AI$1508,MATCH(D47,'Видео'!$A$7:$A$1508,0)),"ID не найден"))</x:f>
        <x:v>Нужна редактура</x:v>
      </x:c>
      <x:c r="L47" s="19" t="str">
        <x:v>K27UM4gBvjI</x:v>
      </x:c>
      <x:c r="M47" s="10" t="str">
        <x:f>IF(L47="","",IF(COUNTIFS('Видео'!$A$7:$A$1508,L47)=1,INDEX('Видео'!$B$7:$B$1508,MATCH(L47,'Видео'!$A$7:$A$1508,0)),"ID не найден"))</x:f>
        <x:v>שיחה עם עודד הרוש: - ישי ריבו I התכנית המלאה</x:v>
      </x:c>
      <x:c r="N47" s="10" t="str"/>
      <x:c r="O47" s="10" t="str">
        <x:f>IF(D47="","",IF(COUNTIFS('Видео'!$A$7:$A$1508,D47)=1,INDEX('Видео'!$M$7:$M$1508,MATCH(D47,'Видео'!$A$7:$A$1508,0)),"ID не найден"))</x:f>
        <x:v>Тема / гость: פרק 9 - נינט טייב. Просмотры в списке выше медианы выборки этого цикла в 8.32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47" s="11" t="str">
        <x:f>IF(D47="","",IF(COUNTIFS('Видео'!$A$7:$A$1508,D47)=1,INDEX('Видео'!$U$7:$U$1508,MATCH(D47,'Видео'!$A$7:$A$1508,0)),"ID не найден"))</x:f>
        <x:v>https://www.youtube.com/watch?v=syoDFvQbWNc</x:v>
      </x:c>
      <x:c r="Q47" s="17" t="str">
        <x:v>Предложено</x:v>
      </x:c>
      <x:c r="R47" s="17" t="str"/>
      <x:c r="S47" s="10" t="str"/>
      <x:c r="T47" s="10" t="str">
        <x:v>Резерв меняет выбор видео; снова проверить повод, аудиторию и все редакторские условия</x:v>
      </x:c>
      <x:c r="U47" s="9" t="str">
        <x:f>IF(D47="","Выбрать видео",IF(COUNTIFS($D$7:$D$371,D47)&gt;1,"Повтор","Без повтора"))</x:f>
        <x:v>Без повтора</x:v>
      </x:c>
    </x:row>
    <x:row r="48" ht="60" customHeight="1">
      <x:c r="A48" s="16" t="n">
        <x:v>46350</x:v>
      </x:c>
      <x:c r="B48" s="9" t="str">
        <x:v>Вт</x:v>
      </x:c>
      <x:c r="C48" s="10" t="str">
        <x:v>Образование</x:v>
      </x:c>
      <x:c r="D48" s="19" t="str">
        <x:v>QZqEJFJIWSA</x:v>
      </x:c>
      <x:c r="E48" s="10" t="str">
        <x:f>IF(D48="","",IF(COUNTIFS('Видео'!$A$7:$A$1508,D48)=1,INDEX('Видео'!$B$7:$B$1508,MATCH(D48,'Видео'!$A$7:$A$1508,0)),"ID не найден"))</x:f>
        <x:v>גיחה לאיראן מצריכה כמויות עצומות של דלק סילוני, אז איך מתדלקים בתנאים עוינים?</x:v>
      </x:c>
      <x:c r="F48" s="9" t="str">
        <x:f>IF(D48="","",IF(COUNTIFS('Видео'!$A$7:$A$1508,D48)=1,INDEX('Видео'!$R$7:$R$1508,MATCH(D48,'Видео'!$A$7:$A$1508,0)),"ID не найден"))</x:f>
        <x:v>C045</x:v>
      </x:c>
      <x:c r="G48" s="9" t="str">
        <x:f>IF(D48="","",IF(COUNTIFS('Видео'!$A$7:$A$1508,D48)=1,INDEX('Видео'!$D$7:$D$1508,MATCH(D48,'Видео'!$A$7:$A$1508,0)),"ID не найден"))</x:f>
        <x:v>Образование</x:v>
      </x:c>
      <x:c r="H48" s="10" t="str">
        <x:f>IF(D48="","",IF(COUNTIFS('Видео'!$A$7:$A$1508,D48)=1,INDEX('Видео'!$F$7:$F$1508,MATCH(D48,'Видео'!$A$7:$A$1508,0)),"ID не найден"))</x:f>
        <x:v>B1–B2 (гипотеза)</x:v>
      </x:c>
      <x:c r="I48" s="18" t="n">
        <x:f>IF(D48="","",IF(COUNTIFS('Видео'!$A$7:$A$1508,D48)=1,INDEX('Видео'!$G$7:$G$1508,MATCH(D48,'Видео'!$A$7:$A$1508,0)),"ID не найден"))</x:f>
        <x:v>1.6</x:v>
      </x:c>
      <x:c r="J48" s="18" t="n">
        <x:v>5</x:v>
      </x:c>
      <x:c r="K48" s="10" t="str">
        <x:f>IF(D48="","",IF(COUNTIFS('Видео'!$A$7:$A$1508,D48)=1,INDEX('Видео'!$AI$7:$AI$1508,MATCH(D48,'Видео'!$A$7:$A$1508,0)),"ID не найден"))</x:f>
        <x:v>Нужна редактура</x:v>
      </x:c>
      <x:c r="L48" s="19" t="str">
        <x:v>FTDWNhaRiKQ</x:v>
      </x:c>
      <x:c r="M48" s="10" t="str">
        <x:f>IF(L48="","",IF(COUNTIFS('Видео'!$A$7:$A$1508,L48)=1,INDEX('Видео'!$B$7:$B$1508,MATCH(L48,'Видео'!$A$7:$A$1508,0)),"ID не найден"))</x:f>
        <x:v>למה יש כל כך הרבה סוגי שקעים בעולם? | כאן סקרנים</x:v>
      </x:c>
      <x:c r="N48" s="10" t="str"/>
      <x:c r="O48" s="10" t="str">
        <x:f>IF(D48="","",IF(COUNTIFS('Видео'!$A$7:$A$1508,D48)=1,INDEX('Видео'!$M$7:$M$1508,MATCH(D48,'Видео'!$A$7:$A$1508,0)),"ID не найден"))</x:f>
        <x:v>Завершённый короткий просмотр около 2 мин. Просмотры в списке выше медианы выборки этого цикла в 9.97 раза. Объясняющий формат снижает порог входа в незнакомые институты и общественные темы.</x:v>
      </x:c>
      <x:c r="P48" s="11" t="str">
        <x:f>IF(D48="","",IF(COUNTIFS('Видео'!$A$7:$A$1508,D48)=1,INDEX('Видео'!$U$7:$U$1508,MATCH(D48,'Видео'!$A$7:$A$1508,0)),"ID не найден"))</x:f>
        <x:v>https://www.youtube.com/watch?v=QZqEJFJIWSA</x:v>
      </x:c>
      <x:c r="Q48" s="17" t="str">
        <x:v>Предложено</x:v>
      </x:c>
      <x:c r="R48" s="17" t="str"/>
      <x:c r="S48" s="10" t="str"/>
      <x:c r="T48" s="10" t="str">
        <x:v>Резерв меняет выбор видео; снова проверить повод, аудиторию и все редакторские условия</x:v>
      </x:c>
      <x:c r="U48" s="9" t="str">
        <x:f>IF(D48="","Выбрать видео",IF(COUNTIFS($D$7:$D$371,D48)&gt;1,"Повтор","Без повтора"))</x:f>
        <x:v>Без повтора</x:v>
      </x:c>
    </x:row>
    <x:row r="49" ht="60" customHeight="1">
      <x:c r="A49" s="16" t="n">
        <x:v>46351</x:v>
      </x:c>
      <x:c r="B49" s="9" t="str">
        <x:v>Ср</x:v>
      </x:c>
      <x:c r="C49" s="10" t="str">
        <x:v>Быт</x:v>
      </x:c>
      <x:c r="D49" s="19" t="str">
        <x:v>6ba7KJ9a1Co</x:v>
      </x:c>
      <x:c r="E49" s="10" t="str">
        <x:f>IF(D49="","",IF(COUNTIFS('Видео'!$A$7:$A$1508,D49)=1,INDEX('Видео'!$B$7:$B$1508,MATCH(D49,'Видео'!$A$7:$A$1508,0)),"ID не найден"))</x:f>
        <x:v>איך הגְרוּש של מר קראב מבוב ספוג הגיע לאילת?</x:v>
      </x:c>
      <x:c r="F49" s="9" t="str">
        <x:f>IF(D49="","",IF(COUNTIFS('Видео'!$A$7:$A$1508,D49)=1,INDEX('Видео'!$R$7:$R$1508,MATCH(D49,'Видео'!$A$7:$A$1508,0)),"ID не найден"))</x:f>
        <x:v>C047</x:v>
      </x:c>
      <x:c r="G49" s="9" t="str">
        <x:f>IF(D49="","",IF(COUNTIFS('Видео'!$A$7:$A$1508,D49)=1,INDEX('Видео'!$D$7:$D$1508,MATCH(D49,'Видео'!$A$7:$A$1508,0)),"ID не найден"))</x:f>
        <x:v>Быт</x:v>
      </x:c>
      <x:c r="H49" s="10" t="str">
        <x:f>IF(D49="","",IF(COUNTIFS('Видео'!$A$7:$A$1508,D49)=1,INDEX('Видео'!$F$7:$F$1508,MATCH(D49,'Видео'!$A$7:$A$1508,0)),"ID не найден"))</x:f>
        <x:v>B1–B2 (гипотеза)</x:v>
      </x:c>
      <x:c r="I49" s="18" t="n">
        <x:f>IF(D49="","",IF(COUNTIFS('Видео'!$A$7:$A$1508,D49)=1,INDEX('Видео'!$G$7:$G$1508,MATCH(D49,'Видео'!$A$7:$A$1508,0)),"ID не найден"))</x:f>
        <x:v>1.6</x:v>
      </x:c>
      <x:c r="J49" s="18" t="n">
        <x:v>5</x:v>
      </x:c>
      <x:c r="K49" s="10" t="str">
        <x:f>IF(D49="","",IF(COUNTIFS('Видео'!$A$7:$A$1508,D49)=1,INDEX('Видео'!$AI$7:$AI$1508,MATCH(D49,'Видео'!$A$7:$A$1508,0)),"ID не найден"))</x:f>
        <x:v>Нужна редактура</x:v>
      </x:c>
      <x:c r="L49" s="19" t="str">
        <x:v>r6of3OLgiGw</x:v>
      </x:c>
      <x:c r="M49" s="10" t="str">
        <x:f>IF(L49="","",IF(COUNTIFS('Видео'!$A$7:$A$1508,L49)=1,INDEX('Видео'!$B$7:$B$1508,MATCH(L49,'Видео'!$A$7:$A$1508,0)),"ID не найден"))</x:f>
        <x:v>טופאני בא מהודו כדי להחליף את הפועלים הפלסטינים: "ישראל יפה, כל האנשים מחייכים" | דוקותיים</x:v>
      </x:c>
      <x:c r="N49" s="10" t="str"/>
      <x:c r="O49" s="10" t="str">
        <x:f>IF(D49="","",IF(COUNTIFS('Видео'!$A$7:$A$1508,D49)=1,INDEX('Видео'!$M$7:$M$1508,MATCH(D49,'Видео'!$A$7:$A$1508,0)),"ID не найден"))</x:f>
        <x:v>Завершённый короткий просмотр около 2 мин. Просмотры в списке выше медианы выборки этого цикла в 2.62 раза. Короткие истории мест помогают освоить страну через реальные маршруты и городскую среду.</x:v>
      </x:c>
      <x:c r="P49" s="11" t="str">
        <x:f>IF(D49="","",IF(COUNTIFS('Видео'!$A$7:$A$1508,D49)=1,INDEX('Видео'!$U$7:$U$1508,MATCH(D49,'Видео'!$A$7:$A$1508,0)),"ID не найден"))</x:f>
        <x:v>https://www.youtube.com/watch?v=6ba7KJ9a1Co</x:v>
      </x:c>
      <x:c r="Q49" s="17" t="str">
        <x:v>Предложено</x:v>
      </x:c>
      <x:c r="R49" s="17" t="str"/>
      <x:c r="S49" s="10" t="str"/>
      <x:c r="T49" s="10" t="str">
        <x:v>Резерв меняет выбор видео; снова проверить повод, аудиторию и все редакторские условия</x:v>
      </x:c>
      <x:c r="U49" s="9" t="str">
        <x:f>IF(D49="","Выбрать видео",IF(COUNTIFS($D$7:$D$371,D49)&gt;1,"Повтор","Без повтора"))</x:f>
        <x:v>Без повтора</x:v>
      </x:c>
    </x:row>
    <x:row r="50" ht="60" customHeight="1">
      <x:c r="A50" s="16" t="n">
        <x:v>46352</x:v>
      </x:c>
      <x:c r="B50" s="9" t="str">
        <x:v>Чт</x:v>
      </x:c>
      <x:c r="C50" s="10" t="str">
        <x:v>Сериал</x:v>
      </x:c>
      <x:c r="D50" s="19" t="str">
        <x:v>nUhZQs9wJAU</x:v>
      </x:c>
      <x:c r="E50" s="10" t="str">
        <x:f>IF(D50="","",IF(COUNTIFS('Видео'!$A$7:$A$1508,D50)=1,INDEX('Видео'!$B$7:$B$1508,MATCH(D50,'Видео'!$A$7:$A$1508,0)),"ID не найден"))</x:f>
        <x:v>חזרות - קומדיה (לא) רומנטית 🎭 | פרק 7</x:v>
      </x:c>
      <x:c r="F50" s="9" t="str">
        <x:f>IF(D50="","",IF(COUNTIFS('Видео'!$A$7:$A$1508,D50)=1,INDEX('Видео'!$R$7:$R$1508,MATCH(D50,'Видео'!$A$7:$A$1508,0)),"ID не найден"))</x:f>
        <x:v>C007</x:v>
      </x:c>
      <x:c r="G50" s="9" t="str">
        <x:f>IF(D50="","",IF(COUNTIFS('Видео'!$A$7:$A$1508,D50)=1,INDEX('Видео'!$D$7:$D$1508,MATCH(D50,'Видео'!$A$7:$A$1508,0)),"ID не найден"))</x:f>
        <x:v>Сериал</x:v>
      </x:c>
      <x:c r="H50" s="10" t="str">
        <x:f>IF(D50="","",IF(COUNTIFS('Видео'!$A$7:$A$1508,D50)=1,INDEX('Видео'!$F$7:$F$1508,MATCH(D50,'Видео'!$A$7:$A$1508,0)),"ID не найден"))</x:f>
        <x:v>B2–C1 (гипотеза)</x:v>
      </x:c>
      <x:c r="I50" s="18" t="n">
        <x:f>IF(D50="","",IF(COUNTIFS('Видео'!$A$7:$A$1508,D50)=1,INDEX('Видео'!$G$7:$G$1508,MATCH(D50,'Видео'!$A$7:$A$1508,0)),"ID не найден"))</x:f>
        <x:v>36.3</x:v>
      </x:c>
      <x:c r="J50" s="18" t="n">
        <x:v>10</x:v>
      </x:c>
      <x:c r="K50" s="10" t="str">
        <x:f>IF(D50="","",IF(COUNTIFS('Видео'!$A$7:$A$1508,D50)=1,INDEX('Видео'!$AI$7:$AI$1508,MATCH(D50,'Видео'!$A$7:$A$1508,0)),"ID не найден"))</x:f>
        <x:v>Нужна редактура</x:v>
      </x:c>
      <x:c r="L50" s="19" t="str">
        <x:v>jvoM6FfX07U</x:v>
      </x:c>
      <x:c r="M50" s="10" t="str">
        <x:f>IF(L50="","",IF(COUNTIFS('Видео'!$A$7:$A$1508,L50)=1,INDEX('Видео'!$B$7:$B$1508,MATCH(L50,'Видео'!$A$7:$A$1508,0)),"ID не найден"))</x:f>
        <x:v>איך נולדה מנת הקרב של צה"ל? 🥫 | כאן סקרנים</x:v>
      </x:c>
      <x:c r="N50" s="10" t="str"/>
      <x:c r="O50" s="10" t="str">
        <x:f>IF(D50="","",IF(COUNTIFS('Видео'!$A$7:$A$1508,D50)=1,INDEX('Видео'!$M$7:$M$1508,MATCH(D50,'Видео'!$A$7:$A$1508,0)),"ID не найден"))</x:f>
        <x:v>Эпизод 7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P50" s="11" t="str">
        <x:f>IF(D50="","",IF(COUNTIFS('Видео'!$A$7:$A$1508,D50)=1,INDEX('Видео'!$U$7:$U$1508,MATCH(D50,'Видео'!$A$7:$A$1508,0)),"ID не найден"))</x:f>
        <x:v>https://www.youtube.com/watch?v=nUhZQs9wJAU</x:v>
      </x:c>
      <x:c r="Q50" s="17" t="str">
        <x:v>Предложено</x:v>
      </x:c>
      <x:c r="R50" s="17" t="str"/>
      <x:c r="S50" s="10" t="str"/>
      <x:c r="T50" s="10" t="str">
        <x:v>При недоступной серии приостановить сюжетную ветку; резерв — самостоятельное видео</x:v>
      </x:c>
      <x:c r="U50" s="9" t="str">
        <x:f>IF(D50="","Выбрать видео",IF(COUNTIFS($D$7:$D$371,D50)&gt;1,"Повтор","Без повтора"))</x:f>
        <x:v>Без повтора</x:v>
      </x:c>
    </x:row>
    <x:row r="51" ht="60" customHeight="1">
      <x:c r="A51" s="16" t="n">
        <x:v>46353</x:v>
      </x:c>
      <x:c r="B51" s="9" t="str">
        <x:v>Пт</x:v>
      </x:c>
      <x:c r="C51" s="10" t="str">
        <x:v>История</x:v>
      </x:c>
      <x:c r="D51" s="19" t="str">
        <x:v>5BszTBOrrcM</x:v>
      </x:c>
      <x:c r="E51" s="10" t="str">
        <x:f>IF(D51="","",IF(COUNTIFS('Видео'!$A$7:$A$1508,D51)=1,INDEX('Видео'!$B$7:$B$1508,MATCH(D51,'Видео'!$A$7:$A$1508,0)),"ID не найден"))</x:f>
        <x:v>עושים לביתנו 💸 | חלומות באוויר - פרק 4</x:v>
      </x:c>
      <x:c r="F51" s="9" t="str">
        <x:f>IF(D51="","",IF(COUNTIFS('Видео'!$A$7:$A$1508,D51)=1,INDEX('Видео'!$R$7:$R$1508,MATCH(D51,'Видео'!$A$7:$A$1508,0)),"ID не найден"))</x:f>
        <x:v>C036</x:v>
      </x:c>
      <x:c r="G51" s="9" t="str">
        <x:f>IF(D51="","",IF(COUNTIFS('Видео'!$A$7:$A$1508,D51)=1,INDEX('Видео'!$D$7:$D$1508,MATCH(D51,'Видео'!$A$7:$A$1508,0)),"ID не найден"))</x:f>
        <x:v>История</x:v>
      </x:c>
      <x:c r="H51" s="10" t="str">
        <x:f>IF(D51="","",IF(COUNTIFS('Видео'!$A$7:$A$1508,D51)=1,INDEX('Видео'!$F$7:$F$1508,MATCH(D51,'Видео'!$A$7:$A$1508,0)),"ID не найден"))</x:f>
        <x:v>B2–C1 (гипотеза)</x:v>
      </x:c>
      <x:c r="I51" s="18" t="n">
        <x:f>IF(D51="","",IF(COUNTIFS('Видео'!$A$7:$A$1508,D51)=1,INDEX('Видео'!$G$7:$G$1508,MATCH(D51,'Видео'!$A$7:$A$1508,0)),"ID не найден"))</x:f>
        <x:v>51.3</x:v>
      </x:c>
      <x:c r="J51" s="18" t="n">
        <x:v>10</x:v>
      </x:c>
      <x:c r="K51" s="10" t="str">
        <x:f>IF(D51="","",IF(COUNTIFS('Видео'!$A$7:$A$1508,D51)=1,INDEX('Видео'!$AI$7:$AI$1508,MATCH(D51,'Видео'!$A$7:$A$1508,0)),"ID не найден"))</x:f>
        <x:v>Нужна редактура</x:v>
      </x:c>
      <x:c r="L51" s="19" t="str">
        <x:v>wvmohv3Af-E</x:v>
      </x:c>
      <x:c r="M51" s="10" t="str">
        <x:f>IF(L51="","",IF(COUNTIFS('Видео'!$A$7:$A$1508,L51)=1,INDEX('Видео'!$B$7:$B$1508,MATCH(L51,'Видео'!$A$7:$A$1508,0)),"ID не найден"))</x:f>
        <x:v>והארץ הייתה תוהו ובוהו - תולדות ארץ ישראל | פרק 4: מעצמה אזורית [HD]</x:v>
      </x:c>
      <x:c r="N51" s="10" t="str"/>
      <x:c r="O51" s="10" t="str">
        <x:f>IF(D51="","",IF(COUNTIFS('Видео'!$A$7:$A$1508,D51)=1,INDEX('Видео'!$M$7:$M$1508,MATCH(D51,'Видео'!$A$7:$A$1508,0)),"ID не найден"))</x:f>
        <x:v>Тема: עושים לביתנו 💸 | חלומות באוויר - פרק 4. Просмотры в списке выше медианы выборки этого цикла в 2.61 раза. История экономических решений объясняет различия в образе жизни и институтах страны.</x:v>
      </x:c>
      <x:c r="P51" s="11" t="str">
        <x:f>IF(D51="","",IF(COUNTIFS('Видео'!$A$7:$A$1508,D51)=1,INDEX('Видео'!$U$7:$U$1508,MATCH(D51,'Видео'!$A$7:$A$1508,0)),"ID не найден"))</x:f>
        <x:v>https://www.youtube.com/watch?v=5BszTBOrrcM</x:v>
      </x:c>
      <x:c r="Q51" s="17" t="str">
        <x:v>Предложено</x:v>
      </x:c>
      <x:c r="R51" s="17" t="str"/>
      <x:c r="S51" s="10" t="str"/>
      <x:c r="T51" s="10" t="str">
        <x:v>Резерв меняет выбор видео; снова проверить повод, аудиторию и все редакторские условия</x:v>
      </x:c>
      <x:c r="U51" s="9" t="str">
        <x:f>IF(D51="","Выбрать видео",IF(COUNTIFS($D$7:$D$371,D51)&gt;1,"Повтор","Без повтора"))</x:f>
        <x:v>Без повтора</x:v>
      </x:c>
    </x:row>
    <x:row r="52" ht="60" customHeight="1">
      <x:c r="A52" s="16" t="n">
        <x:v>46354</x:v>
      </x:c>
      <x:c r="B52" s="9" t="str">
        <x:v>Сб</x:v>
      </x:c>
      <x:c r="C52" s="10" t="str">
        <x:v>Общество</x:v>
      </x:c>
      <x:c r="D52" s="19" t="str">
        <x:v>3ugu16D1Eng</x:v>
      </x:c>
      <x:c r="E52" s="10" t="str">
        <x:f>IF(D52="","",IF(COUNTIFS('Видео'!$A$7:$A$1508,D52)=1,INDEX('Видео'!$B$7:$B$1508,MATCH(D52,'Видео'!$A$7:$A$1508,0)),"ID не найден"))</x:f>
        <x:v>נייעס 📰 | זכות הציבור שלא לדעת - פרק 1</x:v>
      </x:c>
      <x:c r="F52" s="9" t="str">
        <x:f>IF(D52="","",IF(COUNTIFS('Видео'!$A$7:$A$1508,D52)=1,INDEX('Видео'!$R$7:$R$1508,MATCH(D52,'Видео'!$A$7:$A$1508,0)),"ID не найден"))</x:f>
        <x:v>C033</x:v>
      </x:c>
      <x:c r="G52" s="9" t="str">
        <x:f>IF(D52="","",IF(COUNTIFS('Видео'!$A$7:$A$1508,D52)=1,INDEX('Видео'!$D$7:$D$1508,MATCH(D52,'Видео'!$A$7:$A$1508,0)),"ID не найден"))</x:f>
        <x:v>Общество</x:v>
      </x:c>
      <x:c r="H52" s="10" t="str">
        <x:f>IF(D52="","",IF(COUNTIFS('Видео'!$A$7:$A$1508,D52)=1,INDEX('Видео'!$F$7:$F$1508,MATCH(D52,'Видео'!$A$7:$A$1508,0)),"ID не найден"))</x:f>
        <x:v>B2–C1 (гипотеза)</x:v>
      </x:c>
      <x:c r="I52" s="18" t="n">
        <x:f>IF(D52="","",IF(COUNTIFS('Видео'!$A$7:$A$1508,D52)=1,INDEX('Видео'!$G$7:$G$1508,MATCH(D52,'Видео'!$A$7:$A$1508,0)),"ID не найден"))</x:f>
        <x:v>46.3</x:v>
      </x:c>
      <x:c r="J52" s="18" t="n">
        <x:v>10</x:v>
      </x:c>
      <x:c r="K52" s="10" t="str">
        <x:f>IF(D52="","",IF(COUNTIFS('Видео'!$A$7:$A$1508,D52)=1,INDEX('Видео'!$AI$7:$AI$1508,MATCH(D52,'Видео'!$A$7:$A$1508,0)),"ID не найден"))</x:f>
        <x:v>Нужна редактура</x:v>
      </x:c>
      <x:c r="L52" s="19" t="str">
        <x:v>muMZ9RmCFIo</x:v>
      </x:c>
      <x:c r="M52" s="10" t="str">
        <x:f>IF(L52="","",IF(COUNTIFS('Видео'!$A$7:$A$1508,L52)=1,INDEX('Видео'!$B$7:$B$1508,MATCH(L52,'Видео'!$A$7:$A$1508,0)),"ID не найден"))</x:f>
        <x:v>כאן מקשיבים: מהבת שלי נשארו שלוש שיניים</x:v>
      </x:c>
      <x:c r="N52" s="10" t="str"/>
      <x:c r="O52" s="10" t="str">
        <x:f>IF(D52="","",IF(COUNTIFS('Видео'!$A$7:$A$1508,D52)=1,INDEX('Видео'!$M$7:$M$1508,MATCH(D52,'Видео'!$A$7:$A$1508,0)),"ID не найден"))</x:f>
        <x:v>Тема: נייעס 📰 | זכות הציבור שלא לדעת - פרק 1. Просмотры в списке выше медианы выборки этого цикла в 1.61 раза. Медиа внутри харедим дают вход в часто незнакомую культурную среду и лексику.</x:v>
      </x:c>
      <x:c r="P52" s="11" t="str">
        <x:f>IF(D52="","",IF(COUNTIFS('Видео'!$A$7:$A$1508,D52)=1,INDEX('Видео'!$U$7:$U$1508,MATCH(D52,'Видео'!$A$7:$A$1508,0)),"ID не найден"))</x:f>
        <x:v>https://www.youtube.com/watch?v=3ugu16D1Eng</x:v>
      </x:c>
      <x:c r="Q52" s="17" t="str">
        <x:v>Предложено</x:v>
      </x:c>
      <x:c r="R52" s="17" t="str"/>
      <x:c r="S52" s="10" t="str"/>
      <x:c r="T52" s="10" t="str">
        <x:v>Резерв меняет выбор видео; снова проверить повод, аудиторию и все редакторские условия</x:v>
      </x:c>
      <x:c r="U52" s="9" t="str">
        <x:f>IF(D52="","Выбрать видео",IF(COUNTIFS($D$7:$D$371,D52)&gt;1,"Повтор","Без повтора"))</x:f>
        <x:v>Без повтора</x:v>
      </x:c>
    </x:row>
    <x:row r="53" ht="60" customHeight="1">
      <x:c r="A53" s="16" t="n">
        <x:v>46355</x:v>
      </x:c>
      <x:c r="B53" s="9" t="str">
        <x:v>Вс</x:v>
      </x:c>
      <x:c r="C53" s="10" t="str">
        <x:v>Сериал</x:v>
      </x:c>
      <x:c r="D53" s="19" t="str">
        <x:v>82jdHBw1pEE</x:v>
      </x:c>
      <x:c r="E53" s="10" t="str">
        <x:f>IF(D53="","",IF(COUNTIFS('Видео'!$A$7:$A$1508,D53)=1,INDEX('Видео'!$B$7:$B$1508,MATCH(D53,'Видео'!$A$7:$A$1508,0)),"ID не найден"))</x:f>
        <x:v>קופה ראשית עונה 3🛒 | הפצוע המולדבי - פרק 7</x:v>
      </x:c>
      <x:c r="F53" s="9" t="str">
        <x:f>IF(D53="","",IF(COUNTIFS('Видео'!$A$7:$A$1508,D53)=1,INDEX('Видео'!$R$7:$R$1508,MATCH(D53,'Видео'!$A$7:$A$1508,0)),"ID не найден"))</x:f>
        <x:v>C003</x:v>
      </x:c>
      <x:c r="G53" s="9" t="str">
        <x:f>IF(D53="","",IF(COUNTIFS('Видео'!$A$7:$A$1508,D53)=1,INDEX('Видео'!$D$7:$D$1508,MATCH(D53,'Видео'!$A$7:$A$1508,0)),"ID не найден"))</x:f>
        <x:v>Сериал</x:v>
      </x:c>
      <x:c r="H53" s="10" t="str">
        <x:f>IF(D53="","",IF(COUNTIFS('Видео'!$A$7:$A$1508,D53)=1,INDEX('Видео'!$F$7:$F$1508,MATCH(D53,'Видео'!$A$7:$A$1508,0)),"ID не найден"))</x:f>
        <x:v>B1–B2 (гипотеза)</x:v>
      </x:c>
      <x:c r="I53" s="18" t="n">
        <x:f>IF(D53="","",IF(COUNTIFS('Видео'!$A$7:$A$1508,D53)=1,INDEX('Видео'!$G$7:$G$1508,MATCH(D53,'Видео'!$A$7:$A$1508,0)),"ID не найден"))</x:f>
        <x:v>23.8</x:v>
      </x:c>
      <x:c r="J53" s="18" t="n">
        <x:v>10</x:v>
      </x:c>
      <x:c r="K53" s="10" t="str">
        <x:f>IF(D53="","",IF(COUNTIFS('Видео'!$A$7:$A$1508,D53)=1,INDEX('Видео'!$AI$7:$AI$1508,MATCH(D53,'Видео'!$A$7:$A$1508,0)),"ID не найден"))</x:f>
        <x:v>Нужна редактура</x:v>
      </x:c>
      <x:c r="L53" s="19" t="str">
        <x:v>dsNxsE6tfnk</x:v>
      </x:c>
      <x:c r="M53" s="10" t="str">
        <x:f>IF(L53="","",IF(COUNTIFS('Видео'!$A$7:$A$1508,L53)=1,INDEX('Видео'!$B$7:$B$1508,MATCH(L53,'Видео'!$A$7:$A$1508,0)),"ID не найден"))</x:f>
        <x:v>דוקותיים | לב הוא ראש העיר של מידברן</x:v>
      </x:c>
      <x:c r="N53" s="10" t="str"/>
      <x:c r="O53" s="10" t="str">
        <x:f>IF(D53="","",IF(COUNTIFS('Видео'!$A$7:$A$1508,D53)=1,INDEX('Видео'!$M$7:$M$1508,MATCH(D53,'Видео'!$A$7:$A$1508,0)),"ID не найден"))</x:f>
        <x:v>Эпизод 7 в знакомой сюжетной ветке. Просмотры в списке выше медианы выборки этого цикла в 1.58 раза.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53" s="11" t="str">
        <x:f>IF(D53="","",IF(COUNTIFS('Видео'!$A$7:$A$1508,D53)=1,INDEX('Видео'!$U$7:$U$1508,MATCH(D53,'Видео'!$A$7:$A$1508,0)),"ID не найден"))</x:f>
        <x:v>https://www.youtube.com/watch?v=82jdHBw1pEE</x:v>
      </x:c>
      <x:c r="Q53" s="17" t="str">
        <x:v>Предложено</x:v>
      </x:c>
      <x:c r="R53" s="17" t="str"/>
      <x:c r="S53" s="10" t="str"/>
      <x:c r="T53" s="10" t="str">
        <x:v>При недоступной серии приостановить сюжетную ветку; резерв — самостоятельное видео</x:v>
      </x:c>
      <x:c r="U53" s="9" t="str">
        <x:f>IF(D53="","Выбрать видео",IF(COUNTIFS($D$7:$D$371,D53)&gt;1,"Повтор","Без повтора"))</x:f>
        <x:v>Без повтора</x:v>
      </x:c>
    </x:row>
    <x:row r="54" ht="60" customHeight="1">
      <x:c r="A54" s="16" t="n">
        <x:v>46356</x:v>
      </x:c>
      <x:c r="B54" s="9" t="str">
        <x:v>Пн</x:v>
      </x:c>
      <x:c r="C54" s="10" t="str">
        <x:v>Интервью</x:v>
      </x:c>
      <x:c r="D54" s="19" t="str">
        <x:v>Wxzu2Ky6UCE</x:v>
      </x:c>
      <x:c r="E54" s="10" t="str">
        <x:f>IF(D54="","",IF(COUNTIFS('Видео'!$A$7:$A$1508,D54)=1,INDEX('Видео'!$B$7:$B$1508,MATCH(D54,'Видео'!$A$7:$A$1508,0)),"ID не найден"))</x:f>
        <x:v>מוטי בבצ'יק על חוק הגיוס שהובטח לו שיקודם בראשית ימיה של הממשלה</x:v>
      </x:c>
      <x:c r="F54" s="9" t="str">
        <x:f>IF(D54="","",IF(COUNTIFS('Видео'!$A$7:$A$1508,D54)=1,INDEX('Видео'!$R$7:$R$1508,MATCH(D54,'Видео'!$A$7:$A$1508,0)),"ID не найден"))</x:f>
        <x:v>C082</x:v>
      </x:c>
      <x:c r="G54" s="9" t="str">
        <x:f>IF(D54="","",IF(COUNTIFS('Видео'!$A$7:$A$1508,D54)=1,INDEX('Видео'!$D$7:$D$1508,MATCH(D54,'Видео'!$A$7:$A$1508,0)),"ID не найден"))</x:f>
        <x:v>Интервью</x:v>
      </x:c>
      <x:c r="H54" s="10" t="str">
        <x:f>IF(D54="","",IF(COUNTIFS('Видео'!$A$7:$A$1508,D54)=1,INDEX('Видео'!$F$7:$F$1508,MATCH(D54,'Видео'!$A$7:$A$1508,0)),"ID не найден"))</x:f>
        <x:v>B2–C1 (гипотеза)</x:v>
      </x:c>
      <x:c r="I54" s="18" t="n">
        <x:f>IF(D54="","",IF(COUNTIFS('Видео'!$A$7:$A$1508,D54)=1,INDEX('Видео'!$G$7:$G$1508,MATCH(D54,'Видео'!$A$7:$A$1508,0)),"ID не найден"))</x:f>
        <x:v>1.4</x:v>
      </x:c>
      <x:c r="J54" s="18" t="n">
        <x:v>5</x:v>
      </x:c>
      <x:c r="K54" s="10" t="str">
        <x:f>IF(D54="","",IF(COUNTIFS('Видео'!$A$7:$A$1508,D54)=1,INDEX('Видео'!$AI$7:$AI$1508,MATCH(D54,'Видео'!$A$7:$A$1508,0)),"ID не найден"))</x:f>
        <x:v>Нужна редактура</x:v>
      </x:c>
      <x:c r="L54" s="19" t="str">
        <x:v>LALCZFkvxfk</x:v>
      </x:c>
      <x:c r="M54" s="10" t="str">
        <x:f>IF(L54="","",IF(COUNTIFS('Видео'!$A$7:$A$1508,L54)=1,INDEX('Видео'!$B$7:$B$1508,MATCH(L54,'Видео'!$A$7:$A$1508,0)),"ID не найден"))</x:f>
        <x:v>שיחה עם עודד הרוש: - יעקב ברדוגו I התכנית המלאה</x:v>
      </x:c>
      <x:c r="N54" s="10" t="str"/>
      <x:c r="O54" s="10" t="str">
        <x:f>IF(D54="","",IF(COUNTIFS('Видео'!$A$7:$A$1508,D54)=1,INDEX('Видео'!$M$7:$M$1508,MATCH(D54,'Видео'!$A$7:$A$1508,0)),"ID не найден"))</x:f>
        <x:v>Тема / гость: מוטי בבצ'יק על חוק הגיוס שהובטח לו שיקודם בראשית ימיה של הממשלה. Просмотры в списке выше медианы выборки этого цикла в 3.42 раза. Дополняет биографические интервью другим ведущим и кругом гостей.</x:v>
      </x:c>
      <x:c r="P54" s="11" t="str">
        <x:f>IF(D54="","",IF(COUNTIFS('Видео'!$A$7:$A$1508,D54)=1,INDEX('Видео'!$U$7:$U$1508,MATCH(D54,'Видео'!$A$7:$A$1508,0)),"ID не найден"))</x:f>
        <x:v>https://www.youtube.com/watch?v=Wxzu2Ky6UCE</x:v>
      </x:c>
      <x:c r="Q54" s="17" t="str">
        <x:v>Предложено</x:v>
      </x:c>
      <x:c r="R54" s="17" t="str"/>
      <x:c r="S54" s="10" t="str"/>
      <x:c r="T54" s="10" t="str">
        <x:v>Резерв меняет выбор видео; снова проверить повод, аудиторию и все редакторские условия</x:v>
      </x:c>
      <x:c r="U54" s="9" t="str">
        <x:f>IF(D54="","Выбрать видео",IF(COUNTIFS($D$7:$D$371,D54)&gt;1,"Повтор","Без повтора"))</x:f>
        <x:v>Без повтора</x:v>
      </x:c>
    </x:row>
    <x:row r="55" ht="60" customHeight="1">
      <x:c r="A55" s="16" t="n">
        <x:v>46357</x:v>
      </x:c>
      <x:c r="B55" s="9" t="str">
        <x:v>Вт</x:v>
      </x:c>
      <x:c r="C55" s="10" t="str">
        <x:v>Образование</x:v>
      </x:c>
      <x:c r="D55" s="19" t="str">
        <x:v>expZhAuj8Ro</x:v>
      </x:c>
      <x:c r="E55" s="10" t="str">
        <x:f>IF(D55="","",IF(COUNTIFS('Видео'!$A$7:$A$1508,D55)=1,INDEX('Видео'!$B$7:$B$1508,MATCH(D55,'Видео'!$A$7:$A$1508,0)),"ID не найден"))</x:f>
        <x:v>"קיבלתי 35,000 שקל על סרטון של דקה״ | חיות כיס</x:v>
      </x:c>
      <x:c r="F55" s="9" t="str">
        <x:f>IF(D55="","",IF(COUNTIFS('Видео'!$A$7:$A$1508,D55)=1,INDEX('Видео'!$R$7:$R$1508,MATCH(D55,'Видео'!$A$7:$A$1508,0)),"ID не найден"))</x:f>
        <x:v>C049</x:v>
      </x:c>
      <x:c r="G55" s="9" t="str">
        <x:f>IF(D55="","",IF(COUNTIFS('Видео'!$A$7:$A$1508,D55)=1,INDEX('Видео'!$D$7:$D$1508,MATCH(D55,'Видео'!$A$7:$A$1508,0)),"ID не найден"))</x:f>
        <x:v>Образование</x:v>
      </x:c>
      <x:c r="H55" s="10" t="str">
        <x:f>IF(D55="","",IF(COUNTIFS('Видео'!$A$7:$A$1508,D55)=1,INDEX('Видео'!$F$7:$F$1508,MATCH(D55,'Видео'!$A$7:$A$1508,0)),"ID не найден"))</x:f>
        <x:v>B1–B2 (гипотеза)</x:v>
      </x:c>
      <x:c r="I55" s="18" t="n">
        <x:f>IF(D55="","",IF(COUNTIFS('Видео'!$A$7:$A$1508,D55)=1,INDEX('Видео'!$G$7:$G$1508,MATCH(D55,'Видео'!$A$7:$A$1508,0)),"ID не найден"))</x:f>
        <x:v>11.2</x:v>
      </x:c>
      <x:c r="J55" s="18" t="n">
        <x:v>10</x:v>
      </x:c>
      <x:c r="K55" s="10" t="str">
        <x:f>IF(D55="","",IF(COUNTIFS('Видео'!$A$7:$A$1508,D55)=1,INDEX('Видео'!$AI$7:$AI$1508,MATCH(D55,'Видео'!$A$7:$A$1508,0)),"ID не найден"))</x:f>
        <x:v>Нужна редактура</x:v>
      </x:c>
      <x:c r="L55" s="19" t="str">
        <x:v>GK5V7DCHi-0</x:v>
      </x:c>
      <x:c r="M55" s="10" t="str">
        <x:f>IF(L55="","",IF(COUNTIFS('Видео'!$A$7:$A$1508,L55)=1,INDEX('Видео'!$B$7:$B$1508,MATCH(L55,'Видео'!$A$7:$A$1508,0)),"ID не найден"))</x:f>
        <x:v>מתי נשים התחילו להסיר שיער? | כאן מסבירים</x:v>
      </x:c>
      <x:c r="N55" s="10" t="str"/>
      <x:c r="O55" s="10" t="str">
        <x:f>IF(D55="","",IF(COUNTIFS('Видео'!$A$7:$A$1508,D55)=1,INDEX('Видео'!$M$7:$M$1508,MATCH(D55,'Видео'!$A$7:$A$1508,0)),"ID не найден"))</x:f>
        <x:v>Тема: "קיבלתי 35,000 שקל על סרטון של דקה״ | חיות כיס. Просмотры в списке выше медианы выборки этого цикла в 5.75 раза. Экономика через бытовой вопрос полезна зрителю с практической мотивацией.</x:v>
      </x:c>
      <x:c r="P55" s="11" t="str">
        <x:f>IF(D55="","",IF(COUNTIFS('Видео'!$A$7:$A$1508,D55)=1,INDEX('Видео'!$U$7:$U$1508,MATCH(D55,'Видео'!$A$7:$A$1508,0)),"ID не найден"))</x:f>
        <x:v>https://www.youtube.com/watch?v=expZhAuj8Ro</x:v>
      </x:c>
      <x:c r="Q55" s="17" t="str">
        <x:v>Предложено</x:v>
      </x:c>
      <x:c r="R55" s="17" t="str"/>
      <x:c r="S55" s="10" t="str"/>
      <x:c r="T55" s="10" t="str">
        <x:v>Резерв меняет выбор видео; снова проверить повод, аудиторию и все редакторские условия</x:v>
      </x:c>
      <x:c r="U55" s="9" t="str">
        <x:f>IF(D55="","Выбрать видео",IF(COUNTIFS($D$7:$D$371,D55)&gt;1,"Повтор","Без повтора"))</x:f>
        <x:v>Без повтора</x:v>
      </x:c>
    </x:row>
    <x:row r="56" ht="60" customHeight="1">
      <x:c r="A56" s="16" t="n">
        <x:v>46358</x:v>
      </x:c>
      <x:c r="B56" s="9" t="str">
        <x:v>Ср</x:v>
      </x:c>
      <x:c r="C56" s="10" t="str">
        <x:v>Быт</x:v>
      </x:c>
      <x:c r="D56" s="19" t="str">
        <x:v>BIFJ_rhbuYI</x:v>
      </x:c>
      <x:c r="E56" s="10" t="str">
        <x:f>IF(D56="","",IF(COUNTIFS('Видео'!$A$7:$A$1508,D56)=1,INDEX('Видео'!$B$7:$B$1508,MATCH(D56,'Видео'!$A$7:$A$1508,0)),"ID не найден"))</x:f>
        <x:v>נוסעים עירומים וחיתולים מלוכלכים: הדייל שלא מפחד מטיסות שוקולד | זום אין</x:v>
      </x:c>
      <x:c r="F56" s="9" t="str">
        <x:f>IF(D56="","",IF(COUNTIFS('Видео'!$A$7:$A$1508,D56)=1,INDEX('Видео'!$R$7:$R$1508,MATCH(D56,'Видео'!$A$7:$A$1508,0)),"ID не найден"))</x:f>
        <x:v>C048</x:v>
      </x:c>
      <x:c r="G56" s="9" t="str">
        <x:f>IF(D56="","",IF(COUNTIFS('Видео'!$A$7:$A$1508,D56)=1,INDEX('Видео'!$D$7:$D$1508,MATCH(D56,'Видео'!$A$7:$A$1508,0)),"ID не найден"))</x:f>
        <x:v>Быт</x:v>
      </x:c>
      <x:c r="H56" s="10" t="str">
        <x:f>IF(D56="","",IF(COUNTIFS('Видео'!$A$7:$A$1508,D56)=1,INDEX('Видео'!$F$7:$F$1508,MATCH(D56,'Видео'!$A$7:$A$1508,0)),"ID не найден"))</x:f>
        <x:v>B1–B2 (гипотеза)</x:v>
      </x:c>
      <x:c r="I56" s="18" t="n">
        <x:f>IF(D56="","",IF(COUNTIFS('Видео'!$A$7:$A$1508,D56)=1,INDEX('Видео'!$G$7:$G$1508,MATCH(D56,'Видео'!$A$7:$A$1508,0)),"ID не найден"))</x:f>
        <x:v>7</x:v>
      </x:c>
      <x:c r="J56" s="18" t="n">
        <x:v>5</x:v>
      </x:c>
      <x:c r="K56" s="10" t="str">
        <x:f>IF(D56="","",IF(COUNTIFS('Видео'!$A$7:$A$1508,D56)=1,INDEX('Видео'!$AI$7:$AI$1508,MATCH(D56,'Видео'!$A$7:$A$1508,0)),"ID не найден"))</x:f>
        <x:v>Нужна редактура</x:v>
      </x:c>
      <x:c r="L56" s="19" t="str">
        <x:v>TIS_ksWRLuQ</x:v>
      </x:c>
      <x:c r="M56" s="10" t="str">
        <x:f>IF(L56="","",IF(COUNTIFS('Видео'!$A$7:$A$1508,L56)=1,INDEX('Видео'!$B$7:$B$1508,MATCH(L56,'Видео'!$A$7:$A$1508,0)),"ID не найден"))</x:f>
        <x:v>התצפיתניות מהחמ"ל בעוטף עזה מרגישות שעכשיו לוקחים אותן יותר ברצינות | דוקותיים</x:v>
      </x:c>
      <x:c r="N56" s="10" t="str"/>
      <x:c r="O56" s="10" t="str">
        <x:f>IF(D56="","",IF(COUNTIFS('Видео'!$A$7:$A$1508,D56)=1,INDEX('Видео'!$M$7:$M$1508,MATCH(D56,'Видео'!$A$7:$A$1508,0)),"ID не найден"))</x:f>
        <x:v>Завершённый короткий просмотр около 7 мин. Просмотры в списке выше медианы выборки этого цикла в 3.73 раза. День в жизни специалиста связывает язык с конкретными действиями и рабочей средой.</x:v>
      </x:c>
      <x:c r="P56" s="11" t="str">
        <x:f>IF(D56="","",IF(COUNTIFS('Видео'!$A$7:$A$1508,D56)=1,INDEX('Видео'!$U$7:$U$1508,MATCH(D56,'Видео'!$A$7:$A$1508,0)),"ID не найден"))</x:f>
        <x:v>https://www.youtube.com/watch?v=BIFJ_rhbuYI</x:v>
      </x:c>
      <x:c r="Q56" s="17" t="str">
        <x:v>Предложено</x:v>
      </x:c>
      <x:c r="R56" s="17" t="str"/>
      <x:c r="S56" s="10" t="str"/>
      <x:c r="T56" s="10" t="str">
        <x:v>Резерв меняет выбор видео; снова проверить повод, аудиторию и все редакторские условия</x:v>
      </x:c>
      <x:c r="U56" s="9" t="str">
        <x:f>IF(D56="","Выбрать видео",IF(COUNTIFS($D$7:$D$371,D56)&gt;1,"Повтор","Без повтора"))</x:f>
        <x:v>Без повтора</x:v>
      </x:c>
    </x:row>
    <x:row r="57" ht="60" customHeight="1">
      <x:c r="A57" s="16" t="n">
        <x:v>46359</x:v>
      </x:c>
      <x:c r="B57" s="9" t="str">
        <x:v>Чт</x:v>
      </x:c>
      <x:c r="C57" s="10" t="str">
        <x:v>Сериал</x:v>
      </x:c>
      <x:c r="D57" s="19" t="str">
        <x:v>RIpBU0CmaMw</x:v>
      </x:c>
      <x:c r="E57" s="10" t="str">
        <x:f>IF(D57="","",IF(COUNTIFS('Видео'!$A$7:$A$1508,D57)=1,INDEX('Видео'!$B$7:$B$1508,MATCH(D57,'Видео'!$A$7:$A$1508,0)),"ID не найден"))</x:f>
        <x:v>חזרות - קומדיה (לא) רומנטית 🎭 | פרק 8</x:v>
      </x:c>
      <x:c r="F57" s="9" t="str">
        <x:f>IF(D57="","",IF(COUNTIFS('Видео'!$A$7:$A$1508,D57)=1,INDEX('Видео'!$R$7:$R$1508,MATCH(D57,'Видео'!$A$7:$A$1508,0)),"ID не найден"))</x:f>
        <x:v>C007</x:v>
      </x:c>
      <x:c r="G57" s="9" t="str">
        <x:f>IF(D57="","",IF(COUNTIFS('Видео'!$A$7:$A$1508,D57)=1,INDEX('Видео'!$D$7:$D$1508,MATCH(D57,'Видео'!$A$7:$A$1508,0)),"ID не найден"))</x:f>
        <x:v>Сериал</x:v>
      </x:c>
      <x:c r="H57" s="10" t="str">
        <x:f>IF(D57="","",IF(COUNTIFS('Видео'!$A$7:$A$1508,D57)=1,INDEX('Видео'!$F$7:$F$1508,MATCH(D57,'Видео'!$A$7:$A$1508,0)),"ID не найден"))</x:f>
        <x:v>B2–C1 (гипотеза)</x:v>
      </x:c>
      <x:c r="I57" s="18" t="n">
        <x:f>IF(D57="","",IF(COUNTIFS('Видео'!$A$7:$A$1508,D57)=1,INDEX('Видео'!$G$7:$G$1508,MATCH(D57,'Видео'!$A$7:$A$1508,0)),"ID не найден"))</x:f>
        <x:v>33</x:v>
      </x:c>
      <x:c r="J57" s="18" t="n">
        <x:v>10</x:v>
      </x:c>
      <x:c r="K57" s="10" t="str">
        <x:f>IF(D57="","",IF(COUNTIFS('Видео'!$A$7:$A$1508,D57)=1,INDEX('Видео'!$AI$7:$AI$1508,MATCH(D57,'Видео'!$A$7:$A$1508,0)),"ID не найден"))</x:f>
        <x:v>Нужна редактура</x:v>
      </x:c>
      <x:c r="L57" s="19" t="str">
        <x:v>1XUuxBsZ55A</x:v>
      </x:c>
      <x:c r="M57" s="10" t="str">
        <x:f>IF(L57="","",IF(COUNTIFS('Видео'!$A$7:$A$1508,L57)=1,INDEX('Видео'!$B$7:$B$1508,MATCH(L57,'Видео'!$A$7:$A$1508,0)),"ID не найден"))</x:f>
        <x:v>חיות כיס | למה המורים בישראל לא מספיק טובים? 📚</x:v>
      </x:c>
      <x:c r="N57" s="10" t="str"/>
      <x:c r="O57" s="10" t="str">
        <x:f>IF(D57="","",IF(COUNTIFS('Видео'!$A$7:$A$1508,D57)=1,INDEX('Видео'!$M$7:$M$1508,MATCH(D57,'Видео'!$A$7:$A$1508,0)),"ID не найден"))</x:f>
        <x:v>Эпизод 8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P57" s="11" t="str">
        <x:f>IF(D57="","",IF(COUNTIFS('Видео'!$A$7:$A$1508,D57)=1,INDEX('Видео'!$U$7:$U$1508,MATCH(D57,'Видео'!$A$7:$A$1508,0)),"ID не найден"))</x:f>
        <x:v>https://www.youtube.com/watch?v=RIpBU0CmaMw</x:v>
      </x:c>
      <x:c r="Q57" s="17" t="str">
        <x:v>Предложено</x:v>
      </x:c>
      <x:c r="R57" s="17" t="str"/>
      <x:c r="S57" s="10" t="str"/>
      <x:c r="T57" s="10" t="str">
        <x:v>При недоступной серии приостановить сюжетную ветку; резерв — самостоятельное видео</x:v>
      </x:c>
      <x:c r="U57" s="9" t="str">
        <x:f>IF(D57="","Выбрать видео",IF(COUNTIFS($D$7:$D$371,D57)&gt;1,"Повтор","Без повтора"))</x:f>
        <x:v>Без повтора</x:v>
      </x:c>
    </x:row>
    <x:row r="58" ht="60" customHeight="1">
      <x:c r="A58" s="16" t="n">
        <x:v>46360</x:v>
      </x:c>
      <x:c r="B58" s="9" t="str">
        <x:v>Пт</x:v>
      </x:c>
      <x:c r="C58" s="10" t="str">
        <x:v>Образование</x:v>
      </x:c>
      <x:c r="D58" s="19" t="str">
        <x:v>TqKeggecIn0</x:v>
      </x:c>
      <x:c r="E58" s="10" t="str">
        <x:f>IF(D58="","",IF(COUNTIFS('Видео'!$A$7:$A$1508,D58)=1,INDEX('Видео'!$B$7:$B$1508,MATCH(D58,'Видео'!$A$7:$A$1508,0)),"ID не найден"))</x:f>
        <x:v>סביבון מתהפך מביצה קשה</x:v>
      </x:c>
      <x:c r="F58" s="9" t="str">
        <x:f>IF(D58="","",IF(COUNTIFS('Видео'!$A$7:$A$1508,D58)=1,INDEX('Видео'!$R$7:$R$1508,MATCH(D58,'Видео'!$A$7:$A$1508,0)),"ID не найден"))</x:f>
        <x:v>C090</x:v>
      </x:c>
      <x:c r="G58" s="9" t="str">
        <x:f>IF(D58="","",IF(COUNTIFS('Видео'!$A$7:$A$1508,D58)=1,INDEX('Видео'!$D$7:$D$1508,MATCH(D58,'Видео'!$A$7:$A$1508,0)),"ID не найден"))</x:f>
        <x:v>Образование</x:v>
      </x:c>
      <x:c r="H58" s="10" t="str">
        <x:f>IF(D58="","",IF(COUNTIFS('Видео'!$A$7:$A$1508,D58)=1,INDEX('Видео'!$F$7:$F$1508,MATCH(D58,'Видео'!$A$7:$A$1508,0)),"ID не найден"))</x:f>
        <x:v>B1–B2 (гипотеза)</x:v>
      </x:c>
      <x:c r="I58" s="18" t="n">
        <x:f>IF(D58="","",IF(COUNTIFS('Видео'!$A$7:$A$1508,D58)=1,INDEX('Видео'!$G$7:$G$1508,MATCH(D58,'Видео'!$A$7:$A$1508,0)),"ID не найден"))</x:f>
        <x:v>2.2</x:v>
      </x:c>
      <x:c r="J58" s="18" t="n">
        <x:v>5</x:v>
      </x:c>
      <x:c r="K58" s="10" t="str">
        <x:f>IF(D58="","",IF(COUNTIFS('Видео'!$A$7:$A$1508,D58)=1,INDEX('Видео'!$AI$7:$AI$1508,MATCH(D58,'Видео'!$A$7:$A$1508,0)),"ID не найден"))</x:f>
        <x:v>Нужна редактура</x:v>
      </x:c>
      <x:c r="L58" s="19" t="str">
        <x:v>dDI8pcv46TM</x:v>
      </x:c>
      <x:c r="M58" s="10" t="str">
        <x:f>IF(L58="","",IF(COUNTIFS('Видео'!$A$7:$A$1508,L58)=1,INDEX('Видео'!$B$7:$B$1508,MATCH(L58,'Видео'!$A$7:$A$1508,0)),"ID не найден"))</x:f>
        <x:v>ספגטי משוקו - מתכון בישול מולקולרי</x:v>
      </x:c>
      <x:c r="N58" s="10" t="str">
        <x:v>Ханука начинается вечером: наука о вращающемся волчке</x:v>
      </x:c>
      <x:c r="O58" s="10" t="str">
        <x:f>IF(D58="","",IF(COUNTIFS('Видео'!$A$7:$A$1508,D58)=1,INDEX('Видео'!$M$7:$M$1508,MATCH(D58,'Видео'!$A$7:$A$1508,0)),"ID не найден"))</x:f>
        <x:v>Завершённый короткий просмотр около 2 мин. Научные сюжеты, отобранные издателем к Хануке, дают сезонный вход через демонстрацию и удивление.</x:v>
      </x:c>
      <x:c r="P58" s="11" t="str">
        <x:f>IF(D58="","",IF(COUNTIFS('Видео'!$A$7:$A$1508,D58)=1,INDEX('Видео'!$U$7:$U$1508,MATCH(D58,'Видео'!$A$7:$A$1508,0)),"ID не найден"))</x:f>
        <x:v>https://www.youtube.com/watch?v=TqKeggecIn0</x:v>
      </x:c>
      <x:c r="Q58" s="17" t="str">
        <x:v>Предложено</x:v>
      </x:c>
      <x:c r="R58" s="17" t="str"/>
      <x:c r="S58" s="10" t="str">
        <x:v>https://www.hebcal.com/holidays/2026?i=on</x:v>
      </x:c>
      <x:c r="T58" s="10" t="str">
        <x:v>Резерв меняет выбор видео; снова проверить повод, аудиторию и все редакторские условия</x:v>
      </x:c>
      <x:c r="U58" s="9" t="str">
        <x:f>IF(D58="","Выбрать видео",IF(COUNTIFS($D$7:$D$371,D58)&gt;1,"Повтор","Без повтора"))</x:f>
        <x:v>Без повтора</x:v>
      </x:c>
    </x:row>
    <x:row r="59" ht="60" customHeight="1">
      <x:c r="A59" s="16" t="n">
        <x:v>46361</x:v>
      </x:c>
      <x:c r="B59" s="9" t="str">
        <x:v>Сб</x:v>
      </x:c>
      <x:c r="C59" s="10" t="str">
        <x:v>Память</x:v>
      </x:c>
      <x:c r="D59" s="19" t="str">
        <x:v>VEm1Lm85cMo</x:v>
      </x:c>
      <x:c r="E59" s="10" t="str">
        <x:f>IF(D59="","",IF(COUNTIFS('Видео'!$A$7:$A$1508,D59)=1,INDEX('Видео'!$B$7:$B$1508,MATCH(D59,'Видео'!$A$7:$A$1508,0)),"ID не найден"))</x:f>
        <x:v>חוץ. יום. שבת - סרטי דוקו של יוצרים צעירים מהעוטף על ה-7.10 | לברוח מגן עדן - סרטה של שני כהן</x:v>
      </x:c>
      <x:c r="F59" s="9" t="str">
        <x:f>IF(D59="","",IF(COUNTIFS('Видео'!$A$7:$A$1508,D59)=1,INDEX('Видео'!$R$7:$R$1508,MATCH(D59,'Видео'!$A$7:$A$1508,0)),"ID не найден"))</x:f>
        <x:v>C042</x:v>
      </x:c>
      <x:c r="G59" s="9" t="str">
        <x:f>IF(D59="","",IF(COUNTIFS('Видео'!$A$7:$A$1508,D59)=1,INDEX('Видео'!$D$7:$D$1508,MATCH(D59,'Видео'!$A$7:$A$1508,0)),"ID не найден"))</x:f>
        <x:v>Память</x:v>
      </x:c>
      <x:c r="H59" s="10" t="str">
        <x:f>IF(D59="","",IF(COUNTIFS('Видео'!$A$7:$A$1508,D59)=1,INDEX('Видео'!$F$7:$F$1508,MATCH(D59,'Видео'!$A$7:$A$1508,0)),"ID не найден"))</x:f>
        <x:v>B2–C1 (гипотеза)</x:v>
      </x:c>
      <x:c r="I59" s="18" t="n">
        <x:f>IF(D59="","",IF(COUNTIFS('Видео'!$A$7:$A$1508,D59)=1,INDEX('Видео'!$G$7:$G$1508,MATCH(D59,'Видео'!$A$7:$A$1508,0)),"ID не найден"))</x:f>
        <x:v>14.1</x:v>
      </x:c>
      <x:c r="J59" s="18" t="n">
        <x:v>10</x:v>
      </x:c>
      <x:c r="K59" s="10" t="str">
        <x:f>IF(D59="","",IF(COUNTIFS('Видео'!$A$7:$A$1508,D59)=1,INDEX('Видео'!$AI$7:$AI$1508,MATCH(D59,'Видео'!$A$7:$A$1508,0)),"ID не найден"))</x:f>
        <x:v>Нужна редактура</x:v>
      </x:c>
      <x:c r="L59" s="19" t="str">
        <x:v>8sMM_8DDxis</x:v>
      </x:c>
      <x:c r="M59" s="10" t="str">
        <x:f>IF(L59="","",IF(COUNTIFS('Видео'!$A$7:$A$1508,L59)=1,INDEX('Видео'!$B$7:$B$1508,MATCH(L59,'Видео'!$A$7:$A$1508,0)),"ID не найден"))</x:f>
        <x:v>שאלות שרצינו לשאול – שיחות עם ניצולי שואה. פרק שביעי: האם אפשר להשתחרר מאושוויץ?</x:v>
      </x:c>
      <x:c r="N59" s="10" t="str">
        <x:v>Ежемесячная добровольная рубрика памяти 7 октября</x:v>
      </x:c>
      <x:c r="O59" s="10" t="str">
        <x:f>IF(D59="","",IF(COUNTIFS('Видео'!$A$7:$A$1508,D59)=1,INDEX('Видео'!$M$7:$M$1508,MATCH(D59,'Видео'!$A$7:$A$1508,0)),"ID не найден"))</x:f>
        <x:v>Тема: חוץ. יום. שבת - סרטי דוקו של יוצרים צעירים מהעוטף על ה-7.10 | לברוח מגן עדן - סרטה של שני כהן. Просмотры в списке выше медианы выборки этого цикла в 3.1 раза. Взгляд молодых авторов добавляет личную перспективу к журналистским реконструкциям.</x:v>
      </x:c>
      <x:c r="P59" s="11" t="str">
        <x:f>IF(D59="","",IF(COUNTIFS('Видео'!$A$7:$A$1508,D59)=1,INDEX('Видео'!$U$7:$U$1508,MATCH(D59,'Видео'!$A$7:$A$1508,0)),"ID не найден"))</x:f>
        <x:v>https://www.youtube.com/watch?v=VEm1Lm85cMo</x:v>
      </x:c>
      <x:c r="Q59" s="17" t="str">
        <x:v>Предложено</x:v>
      </x:c>
      <x:c r="R59" s="17" t="str"/>
      <x:c r="S59" s="10" t="str">
        <x:v>Редакционная периодичность, не памятная дата</x:v>
      </x:c>
      <x:c r="T59" s="10" t="str">
        <x:v>Резерв меняет выбор видео; снова проверить повод, аудиторию и все редакторские условия</x:v>
      </x:c>
      <x:c r="U59" s="9" t="str">
        <x:f>IF(D59="","Выбрать видео",IF(COUNTIFS($D$7:$D$371,D59)&gt;1,"Повтор","Без повтора"))</x:f>
        <x:v>Без повтора</x:v>
      </x:c>
    </x:row>
    <x:row r="60" ht="60" customHeight="1">
      <x:c r="A60" s="16" t="n">
        <x:v>46362</x:v>
      </x:c>
      <x:c r="B60" s="9" t="str">
        <x:v>Вс</x:v>
      </x:c>
      <x:c r="C60" s="10" t="str">
        <x:v>Сериал</x:v>
      </x:c>
      <x:c r="D60" s="19" t="str">
        <x:v>fwIN1UESTcc</x:v>
      </x:c>
      <x:c r="E60" s="10" t="str">
        <x:f>IF(D60="","",IF(COUNTIFS('Видео'!$A$7:$A$1508,D60)=1,INDEX('Видео'!$B$7:$B$1508,MATCH(D60,'Видео'!$A$7:$A$1508,0)),"ID не найден"))</x:f>
        <x:v>קופה ראשית עונה 3🛒 | סלסילות - פרק 8</x:v>
      </x:c>
      <x:c r="F60" s="9" t="str">
        <x:f>IF(D60="","",IF(COUNTIFS('Видео'!$A$7:$A$1508,D60)=1,INDEX('Видео'!$R$7:$R$1508,MATCH(D60,'Видео'!$A$7:$A$1508,0)),"ID не найден"))</x:f>
        <x:v>C003</x:v>
      </x:c>
      <x:c r="G60" s="9" t="str">
        <x:f>IF(D60="","",IF(COUNTIFS('Видео'!$A$7:$A$1508,D60)=1,INDEX('Видео'!$D$7:$D$1508,MATCH(D60,'Видео'!$A$7:$A$1508,0)),"ID не найден"))</x:f>
        <x:v>Сериал</x:v>
      </x:c>
      <x:c r="H60" s="10" t="str">
        <x:f>IF(D60="","",IF(COUNTIFS('Видео'!$A$7:$A$1508,D60)=1,INDEX('Видео'!$F$7:$F$1508,MATCH(D60,'Видео'!$A$7:$A$1508,0)),"ID не найден"))</x:f>
        <x:v>B1–B2 (гипотеза)</x:v>
      </x:c>
      <x:c r="I60" s="18" t="n">
        <x:f>IF(D60="","",IF(COUNTIFS('Видео'!$A$7:$A$1508,D60)=1,INDEX('Видео'!$G$7:$G$1508,MATCH(D60,'Видео'!$A$7:$A$1508,0)),"ID не найден"))</x:f>
        <x:v>24.8</x:v>
      </x:c>
      <x:c r="J60" s="18" t="n">
        <x:v>10</x:v>
      </x:c>
      <x:c r="K60" s="10" t="str">
        <x:f>IF(D60="","",IF(COUNTIFS('Видео'!$A$7:$A$1508,D60)=1,INDEX('Видео'!$AI$7:$AI$1508,MATCH(D60,'Видео'!$A$7:$A$1508,0)),"ID не найден"))</x:f>
        <x:v>Нужна редактура</x:v>
      </x:c>
      <x:c r="L60" s="19" t="str">
        <x:v>5n92Ev-wwTA</x:v>
      </x:c>
      <x:c r="M60" s="10" t="str">
        <x:f>IF(L60="","",IF(COUNTIFS('Видео'!$A$7:$A$1508,L60)=1,INDEX('Видео'!$B$7:$B$1508,MATCH(L60,'Видео'!$A$7:$A$1508,0)),"ID не найден"))</x:f>
        <x:v>חיות כיס | למה העובדים בישראל לא יעילים? 🔋</x:v>
      </x:c>
      <x:c r="N60" s="10" t="str"/>
      <x:c r="O60" s="10" t="str">
        <x:f>IF(D60="","",IF(COUNTIFS('Видео'!$A$7:$A$1508,D60)=1,INDEX('Видео'!$M$7:$M$1508,MATCH(D60,'Видео'!$A$7:$A$1508,0)),"ID не найден"))</x:f>
        <x:v>Эпизод 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60" s="11" t="str">
        <x:f>IF(D60="","",IF(COUNTIFS('Видео'!$A$7:$A$1508,D60)=1,INDEX('Видео'!$U$7:$U$1508,MATCH(D60,'Видео'!$A$7:$A$1508,0)),"ID не найден"))</x:f>
        <x:v>https://www.youtube.com/watch?v=fwIN1UESTcc</x:v>
      </x:c>
      <x:c r="Q60" s="17" t="str">
        <x:v>Предложено</x:v>
      </x:c>
      <x:c r="R60" s="17" t="str"/>
      <x:c r="S60" s="10" t="str"/>
      <x:c r="T60" s="10" t="str">
        <x:v>При недоступной серии приостановить сюжетную ветку; резерв — самостоятельное видео</x:v>
      </x:c>
      <x:c r="U60" s="9" t="str">
        <x:f>IF(D60="","Выбрать видео",IF(COUNTIFS($D$7:$D$371,D60)&gt;1,"Повтор","Без повтора"))</x:f>
        <x:v>Без повтора</x:v>
      </x:c>
    </x:row>
    <x:row r="61" ht="60" customHeight="1">
      <x:c r="A61" s="16" t="n">
        <x:v>46363</x:v>
      </x:c>
      <x:c r="B61" s="9" t="str">
        <x:v>Пн</x:v>
      </x:c>
      <x:c r="C61" s="10" t="str">
        <x:v>Интервью</x:v>
      </x:c>
      <x:c r="D61" s="19" t="str">
        <x:v>7DGT1v2iyOY</x:v>
      </x:c>
      <x:c r="E61" s="10" t="str">
        <x:f>IF(D61="","",IF(COUNTIFS('Видео'!$A$7:$A$1508,D61)=1,INDEX('Видео'!$B$7:$B$1508,MATCH(D61,'Видео'!$A$7:$A$1508,0)),"ID не найден"))</x:f>
        <x:v>הצומת | המוסד כפי שלא הכרתם - שיחה עם אבנר אברהם</x:v>
      </x:c>
      <x:c r="F61" s="9" t="str">
        <x:f>IF(D61="","",IF(COUNTIFS('Видео'!$A$7:$A$1508,D61)=1,INDEX('Видео'!$R$7:$R$1508,MATCH(D61,'Видео'!$A$7:$A$1508,0)),"ID не найден"))</x:f>
        <x:v>C086</x:v>
      </x:c>
      <x:c r="G61" s="9" t="str">
        <x:f>IF(D61="","",IF(COUNTIFS('Видео'!$A$7:$A$1508,D61)=1,INDEX('Видео'!$D$7:$D$1508,MATCH(D61,'Видео'!$A$7:$A$1508,0)),"ID не найден"))</x:f>
        <x:v>Интервью</x:v>
      </x:c>
      <x:c r="H61" s="10" t="str">
        <x:f>IF(D61="","",IF(COUNTIFS('Видео'!$A$7:$A$1508,D61)=1,INDEX('Видео'!$F$7:$F$1508,MATCH(D61,'Видео'!$A$7:$A$1508,0)),"ID не найден"))</x:f>
        <x:v>B2–C1 (гипотеза)</x:v>
      </x:c>
      <x:c r="I61" s="18" t="n">
        <x:f>IF(D61="","",IF(COUNTIFS('Видео'!$A$7:$A$1508,D61)=1,INDEX('Видео'!$G$7:$G$1508,MATCH(D61,'Видео'!$A$7:$A$1508,0)),"ID не найден"))</x:f>
        <x:v>63.9</x:v>
      </x:c>
      <x:c r="J61" s="18" t="n">
        <x:v>10</x:v>
      </x:c>
      <x:c r="K61" s="10" t="str">
        <x:f>IF(D61="","",IF(COUNTIFS('Видео'!$A$7:$A$1508,D61)=1,INDEX('Видео'!$AI$7:$AI$1508,MATCH(D61,'Видео'!$A$7:$A$1508,0)),"ID не найден"))</x:f>
        <x:v>Нужна редактура</x:v>
      </x:c>
      <x:c r="L61" s="19" t="str">
        <x:v>LY_hDTTMQzE</x:v>
      </x:c>
      <x:c r="M61" s="10" t="str">
        <x:f>IF(L61="","",IF(COUNTIFS('Видео'!$A$7:$A$1508,L61)=1,INDEX('Видео'!$B$7:$B$1508,MATCH(L61,'Видео'!$A$7:$A$1508,0)),"ID не найден"))</x:f>
        <x:v>פגישה עם רוני קובן עונה 7 | פרק 19 - אמיר אוחנה</x:v>
      </x:c>
      <x:c r="N61" s="10" t="str"/>
      <x:c r="O61" s="10" t="str">
        <x:f>IF(D61="","",IF(COUNTIFS('Видео'!$A$7:$A$1508,D61)=1,INDEX('Видео'!$M$7:$M$1508,MATCH(D61,'Видео'!$A$7:$A$1508,0)),"ID не найден"))</x:f>
        <x:v>Тема / гость: המוסד כפי שלא הכרתם - שיחה עם אבנר אברהם. Просмотры в списке выше медианы выборки этого цикла в 3.33 раза. Связь с уже выбранным владельцем источником. Длинные разговоры дают разные профессиональные и общественные биографии.</x:v>
      </x:c>
      <x:c r="P61" s="11" t="str">
        <x:f>IF(D61="","",IF(COUNTIFS('Видео'!$A$7:$A$1508,D61)=1,INDEX('Видео'!$U$7:$U$1508,MATCH(D61,'Видео'!$A$7:$A$1508,0)),"ID не найден"))</x:f>
        <x:v>https://www.youtube.com/watch?v=7DGT1v2iyOY</x:v>
      </x:c>
      <x:c r="Q61" s="17" t="str">
        <x:v>Предложено</x:v>
      </x:c>
      <x:c r="R61" s="17" t="str"/>
      <x:c r="S61" s="10" t="str"/>
      <x:c r="T61" s="10" t="str">
        <x:v>Резерв меняет выбор видео; снова проверить повод, аудиторию и все редакторские условия</x:v>
      </x:c>
      <x:c r="U61" s="9" t="str">
        <x:f>IF(D61="","Выбрать видео",IF(COUNTIFS($D$7:$D$371,D61)&gt;1,"Повтор","Без повтора"))</x:f>
        <x:v>Без повтора</x:v>
      </x:c>
    </x:row>
    <x:row r="62" ht="60" customHeight="1">
      <x:c r="A62" s="16" t="n">
        <x:v>46364</x:v>
      </x:c>
      <x:c r="B62" s="9" t="str">
        <x:v>Вт</x:v>
      </x:c>
      <x:c r="C62" s="10" t="str">
        <x:v>Образование</x:v>
      </x:c>
      <x:c r="D62" s="19" t="str">
        <x:v>Ec6VYSMuZK0</x:v>
      </x:c>
      <x:c r="E62" s="10" t="str">
        <x:f>IF(D62="","",IF(COUNTIFS('Видео'!$A$7:$A$1508,D62)=1,INDEX('Видео'!$B$7:$B$1508,MATCH(D62,'Видео'!$A$7:$A$1508,0)),"ID не найден"))</x:f>
        <x:v>איך מקררים ערים? | הכל סביבה</x:v>
      </x:c>
      <x:c r="F62" s="9" t="str">
        <x:f>IF(D62="","",IF(COUNTIFS('Видео'!$A$7:$A$1508,D62)=1,INDEX('Видео'!$R$7:$R$1508,MATCH(D62,'Видео'!$A$7:$A$1508,0)),"ID не найден"))</x:f>
        <x:v>C050</x:v>
      </x:c>
      <x:c r="G62" s="9" t="str">
        <x:f>IF(D62="","",IF(COUNTIFS('Видео'!$A$7:$A$1508,D62)=1,INDEX('Видео'!$D$7:$D$1508,MATCH(D62,'Видео'!$A$7:$A$1508,0)),"ID не найден"))</x:f>
        <x:v>Образование</x:v>
      </x:c>
      <x:c r="H62" s="10" t="str">
        <x:f>IF(D62="","",IF(COUNTIFS('Видео'!$A$7:$A$1508,D62)=1,INDEX('Видео'!$F$7:$F$1508,MATCH(D62,'Видео'!$A$7:$A$1508,0)),"ID не найден"))</x:f>
        <x:v>B1–B2 (гипотеза)</x:v>
      </x:c>
      <x:c r="I62" s="18" t="n">
        <x:f>IF(D62="","",IF(COUNTIFS('Видео'!$A$7:$A$1508,D62)=1,INDEX('Видео'!$G$7:$G$1508,MATCH(D62,'Видео'!$A$7:$A$1508,0)),"ID не найден"))</x:f>
        <x:v>8.7</x:v>
      </x:c>
      <x:c r="J62" s="18" t="n">
        <x:v>5</x:v>
      </x:c>
      <x:c r="K62" s="10" t="str">
        <x:f>IF(D62="","",IF(COUNTIFS('Видео'!$A$7:$A$1508,D62)=1,INDEX('Видео'!$AI$7:$AI$1508,MATCH(D62,'Видео'!$A$7:$A$1508,0)),"ID не найден"))</x:f>
        <x:v>Нужна редактура</x:v>
      </x:c>
      <x:c r="L62" s="19" t="str">
        <x:v>AsDlsTxRtkM</x:v>
      </x:c>
      <x:c r="M62" s="10" t="str">
        <x:f>IF(L62="","",IF(COUNTIFS('Видео'!$A$7:$A$1508,L62)=1,INDEX('Видео'!$B$7:$B$1508,MATCH(L62,'Видео'!$A$7:$A$1508,0)),"ID не найден"))</x:f>
        <x:v>דניאל שואל - איזה חיות בר גרות בעיר?</x:v>
      </x:c>
      <x:c r="N62" s="10" t="str"/>
      <x:c r="O62" s="10" t="str">
        <x:f>IF(D62="","",IF(COUNTIFS('Видео'!$A$7:$A$1508,D62)=1,INDEX('Видео'!$M$7:$M$1508,MATCH(D62,'Видео'!$A$7:$A$1508,0)),"ID не найден"))</x:f>
        <x:v>Завершённый короткий просмотр около 9 мин. Просмотры в списке выше медианы выборки этого цикла в 1.73 раза. Экология вводит темы за пределами истории и политики и даёт визуально понятные объяснения.</x:v>
      </x:c>
      <x:c r="P62" s="11" t="str">
        <x:f>IF(D62="","",IF(COUNTIFS('Видео'!$A$7:$A$1508,D62)=1,INDEX('Видео'!$U$7:$U$1508,MATCH(D62,'Видео'!$A$7:$A$1508,0)),"ID не найден"))</x:f>
        <x:v>https://www.youtube.com/watch?v=Ec6VYSMuZK0</x:v>
      </x:c>
      <x:c r="Q62" s="17" t="str">
        <x:v>Предложено</x:v>
      </x:c>
      <x:c r="R62" s="17" t="str"/>
      <x:c r="S62" s="10" t="str"/>
      <x:c r="T62" s="10" t="str">
        <x:v>Резерв меняет выбор видео; снова проверить повод, аудиторию и все редакторские условия</x:v>
      </x:c>
      <x:c r="U62" s="9" t="str">
        <x:f>IF(D62="","Выбрать видео",IF(COUNTIFS($D$7:$D$371,D62)&gt;1,"Повтор","Без повтора"))</x:f>
        <x:v>Без повтора</x:v>
      </x:c>
    </x:row>
    <x:row r="63" ht="60" customHeight="1">
      <x:c r="A63" s="16" t="n">
        <x:v>46365</x:v>
      </x:c>
      <x:c r="B63" s="9" t="str">
        <x:v>Ср</x:v>
      </x:c>
      <x:c r="C63" s="10" t="str">
        <x:v>Быт</x:v>
      </x:c>
      <x:c r="D63" s="19" t="str">
        <x:v>ce1pKgHoRjQ</x:v>
      </x:c>
      <x:c r="E63" s="10" t="str">
        <x:f>IF(D63="","",IF(COUNTIFS('Видео'!$A$7:$A$1508,D63)=1,INDEX('Видео'!$B$7:$B$1508,MATCH(D63,'Видео'!$A$7:$A$1508,0)),"ID не найден"))</x:f>
        <x:v>להיות מנכ"ל של חברת הייטק בגיל 23 | דוקותיים tech</x:v>
      </x:c>
      <x:c r="F63" s="9" t="str">
        <x:f>IF(D63="","",IF(COUNTIFS('Видео'!$A$7:$A$1508,D63)=1,INDEX('Видео'!$R$7:$R$1508,MATCH(D63,'Видео'!$A$7:$A$1508,0)),"ID не найден"))</x:f>
        <x:v>C051</x:v>
      </x:c>
      <x:c r="G63" s="9" t="str">
        <x:f>IF(D63="","",IF(COUNTIFS('Видео'!$A$7:$A$1508,D63)=1,INDEX('Видео'!$D$7:$D$1508,MATCH(D63,'Видео'!$A$7:$A$1508,0)),"ID не найден"))</x:f>
        <x:v>Быт</x:v>
      </x:c>
      <x:c r="H63" s="10" t="str">
        <x:f>IF(D63="","",IF(COUNTIFS('Видео'!$A$7:$A$1508,D63)=1,INDEX('Видео'!$F$7:$F$1508,MATCH(D63,'Видео'!$A$7:$A$1508,0)),"ID не найден"))</x:f>
        <x:v>B1–B2 (гипотеза)</x:v>
      </x:c>
      <x:c r="I63" s="18" t="n">
        <x:f>IF(D63="","",IF(COUNTIFS('Видео'!$A$7:$A$1508,D63)=1,INDEX('Видео'!$G$7:$G$1508,MATCH(D63,'Видео'!$A$7:$A$1508,0)),"ID не найден"))</x:f>
        <x:v>6.7</x:v>
      </x:c>
      <x:c r="J63" s="18" t="n">
        <x:v>5</x:v>
      </x:c>
      <x:c r="K63" s="10" t="str">
        <x:f>IF(D63="","",IF(COUNTIFS('Видео'!$A$7:$A$1508,D63)=1,INDEX('Видео'!$AI$7:$AI$1508,MATCH(D63,'Видео'!$A$7:$A$1508,0)),"ID не найден"))</x:f>
        <x:v>Нужна редактура</x:v>
      </x:c>
      <x:c r="L63" s="19" t="str">
        <x:v>i8WhAsUQ1Ic</x:v>
      </x:c>
      <x:c r="M63" s="10" t="str">
        <x:f>IF(L63="","",IF(COUNTIFS('Видео'!$A$7:$A$1508,L63)=1,INDEX('Видео'!$B$7:$B$1508,MATCH(L63,'Видео'!$A$7:$A$1508,0)),"ID не найден"))</x:f>
        <x:v>"איפה שאתה הולך, יש הרואין בירושלים" | דוקותיים עם המלאכית של המכורים בעיר הקודש</x:v>
      </x:c>
      <x:c r="N63" s="10" t="str"/>
      <x:c r="O63" s="10" t="str">
        <x:f>IF(D63="","",IF(COUNTIFS('Видео'!$A$7:$A$1508,D63)=1,INDEX('Видео'!$M$7:$M$1508,MATCH(D63,'Видео'!$A$7:$A$1508,0)),"ID не найден"))</x:f>
        <x:v>Завершённый короткий просмотр около 7 мин. Просмотры в списке выше медианы выборки этого цикла в 2.61 раза. Человеческая история в технологической среде соединяет профессиональный интерес и короткий формат.</x:v>
      </x:c>
      <x:c r="P63" s="11" t="str">
        <x:f>IF(D63="","",IF(COUNTIFS('Видео'!$A$7:$A$1508,D63)=1,INDEX('Видео'!$U$7:$U$1508,MATCH(D63,'Видео'!$A$7:$A$1508,0)),"ID не найден"))</x:f>
        <x:v>https://www.youtube.com/watch?v=ce1pKgHoRjQ</x:v>
      </x:c>
      <x:c r="Q63" s="17" t="str">
        <x:v>Предложено</x:v>
      </x:c>
      <x:c r="R63" s="17" t="str"/>
      <x:c r="S63" s="10" t="str"/>
      <x:c r="T63" s="10" t="str">
        <x:v>Резерв меняет выбор видео; снова проверить повод, аудиторию и все редакторские условия</x:v>
      </x:c>
      <x:c r="U63" s="9" t="str">
        <x:f>IF(D63="","Выбрать видео",IF(COUNTIFS($D$7:$D$371,D63)&gt;1,"Повтор","Без повтора"))</x:f>
        <x:v>Без повтора</x:v>
      </x:c>
    </x:row>
    <x:row r="64" ht="60" customHeight="1">
      <x:c r="A64" s="16" t="n">
        <x:v>46366</x:v>
      </x:c>
      <x:c r="B64" s="9" t="str">
        <x:v>Чт</x:v>
      </x:c>
      <x:c r="C64" s="10" t="str">
        <x:v>Сериал</x:v>
      </x:c>
      <x:c r="D64" s="19" t="str">
        <x:v>-kmYuFXqNRE</x:v>
      </x:c>
      <x:c r="E64" s="10" t="str">
        <x:f>IF(D64="","",IF(COUNTIFS('Видео'!$A$7:$A$1508,D64)=1,INDEX('Видео'!$B$7:$B$1508,MATCH(D64,'Видео'!$A$7:$A$1508,0)),"ID не найден"))</x:f>
        <x:v>חזרות - קומדיה (לא) רומנטית 🎭 | פרק 9</x:v>
      </x:c>
      <x:c r="F64" s="9" t="str">
        <x:f>IF(D64="","",IF(COUNTIFS('Видео'!$A$7:$A$1508,D64)=1,INDEX('Видео'!$R$7:$R$1508,MATCH(D64,'Видео'!$A$7:$A$1508,0)),"ID не найден"))</x:f>
        <x:v>C007</x:v>
      </x:c>
      <x:c r="G64" s="9" t="str">
        <x:f>IF(D64="","",IF(COUNTIFS('Видео'!$A$7:$A$1508,D64)=1,INDEX('Видео'!$D$7:$D$1508,MATCH(D64,'Видео'!$A$7:$A$1508,0)),"ID не найден"))</x:f>
        <x:v>Сериал</x:v>
      </x:c>
      <x:c r="H64" s="10" t="str">
        <x:f>IF(D64="","",IF(COUNTIFS('Видео'!$A$7:$A$1508,D64)=1,INDEX('Видео'!$F$7:$F$1508,MATCH(D64,'Видео'!$A$7:$A$1508,0)),"ID не найден"))</x:f>
        <x:v>B2–C1 (гипотеза)</x:v>
      </x:c>
      <x:c r="I64" s="18" t="n">
        <x:f>IF(D64="","",IF(COUNTIFS('Видео'!$A$7:$A$1508,D64)=1,INDEX('Видео'!$G$7:$G$1508,MATCH(D64,'Видео'!$A$7:$A$1508,0)),"ID не найден"))</x:f>
        <x:v>32.2</x:v>
      </x:c>
      <x:c r="J64" s="18" t="n">
        <x:v>10</x:v>
      </x:c>
      <x:c r="K64" s="10" t="str">
        <x:f>IF(D64="","",IF(COUNTIFS('Видео'!$A$7:$A$1508,D64)=1,INDEX('Видео'!$AI$7:$AI$1508,MATCH(D64,'Видео'!$A$7:$A$1508,0)),"ID не найден"))</x:f>
        <x:v>Нужна редактура</x:v>
      </x:c>
      <x:c r="L64" s="19" t="str">
        <x:v>g5bbWEuUUVs</x:v>
      </x:c>
      <x:c r="M64" s="10" t="str">
        <x:f>IF(L64="","",IF(COUNTIFS('Видео'!$A$7:$A$1508,L64)=1,INDEX('Видео'!$B$7:$B$1508,MATCH(L64,'Видео'!$A$7:$A$1508,0)),"ID не найден"))</x:f>
        <x:v>כאן מסבירים | מה גורם ליום שיער רע?</x:v>
      </x:c>
      <x:c r="N64" s="10" t="str"/>
      <x:c r="O64" s="10" t="str">
        <x:f>IF(D64="","",IF(COUNTIFS('Видео'!$A$7:$A$1508,D64)=1,INDEX('Видео'!$M$7:$M$1508,MATCH(D64,'Видео'!$A$7:$A$1508,0)),"ID не найден"))</x:f>
        <x:v>Эпизод 9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P64" s="11" t="str">
        <x:f>IF(D64="","",IF(COUNTIFS('Видео'!$A$7:$A$1508,D64)=1,INDEX('Видео'!$U$7:$U$1508,MATCH(D64,'Видео'!$A$7:$A$1508,0)),"ID не найден"))</x:f>
        <x:v>https://www.youtube.com/watch?v=-kmYuFXqNRE</x:v>
      </x:c>
      <x:c r="Q64" s="17" t="str">
        <x:v>Предложено</x:v>
      </x:c>
      <x:c r="R64" s="17" t="str"/>
      <x:c r="S64" s="10" t="str"/>
      <x:c r="T64" s="10" t="str">
        <x:v>При недоступной серии приостановить сюжетную ветку; резерв — самостоятельное видео</x:v>
      </x:c>
      <x:c r="U64" s="9" t="str">
        <x:f>IF(D64="","Выбрать видео",IF(COUNTIFS($D$7:$D$371,D64)&gt;1,"Повтор","Без повтора"))</x:f>
        <x:v>Без повтора</x:v>
      </x:c>
    </x:row>
    <x:row r="65" ht="60" customHeight="1">
      <x:c r="A65" s="16" t="n">
        <x:v>46367</x:v>
      </x:c>
      <x:c r="B65" s="9" t="str">
        <x:v>Пт</x:v>
      </x:c>
      <x:c r="C65" s="10" t="str">
        <x:v>История</x:v>
      </x:c>
      <x:c r="D65" s="19" t="str">
        <x:v>Bjc8CZ2D77Q</x:v>
      </x:c>
      <x:c r="E65" s="10" t="str">
        <x:f>IF(D65="","",IF(COUNTIFS('Видео'!$A$7:$A$1508,D65)=1,INDEX('Видео'!$B$7:$B$1508,MATCH(D65,'Видео'!$A$7:$A$1508,0)),"ID не найден"))</x:f>
        <x:v>בחזרה למצרים | שיעור 1 – הגעת היהודים למצרים | פרופ' נח חכם</x:v>
      </x:c>
      <x:c r="F65" s="9" t="str">
        <x:f>IF(D65="","",IF(COUNTIFS('Видео'!$A$7:$A$1508,D65)=1,INDEX('Видео'!$R$7:$R$1508,MATCH(D65,'Видео'!$A$7:$A$1508,0)),"ID не найден"))</x:f>
        <x:v>C066</x:v>
      </x:c>
      <x:c r="G65" s="9" t="str">
        <x:f>IF(D65="","",IF(COUNTIFS('Видео'!$A$7:$A$1508,D65)=1,INDEX('Видео'!$D$7:$D$1508,MATCH(D65,'Видео'!$A$7:$A$1508,0)),"ID не найден"))</x:f>
        <x:v>История</x:v>
      </x:c>
      <x:c r="H65" s="10" t="str">
        <x:f>IF(D65="","",IF(COUNTIFS('Видео'!$A$7:$A$1508,D65)=1,INDEX('Видео'!$F$7:$F$1508,MATCH(D65,'Видео'!$A$7:$A$1508,0)),"ID не найден"))</x:f>
        <x:v>B2–C1 (гипотеза)</x:v>
      </x:c>
      <x:c r="I65" s="18" t="n">
        <x:f>IF(D65="","",IF(COUNTIFS('Видео'!$A$7:$A$1508,D65)=1,INDEX('Видео'!$G$7:$G$1508,MATCH(D65,'Видео'!$A$7:$A$1508,0)),"ID не найден"))</x:f>
        <x:v>36.7</x:v>
      </x:c>
      <x:c r="J65" s="18" t="n">
        <x:v>10</x:v>
      </x:c>
      <x:c r="K65" s="10" t="str">
        <x:f>IF(D65="","",IF(COUNTIFS('Видео'!$A$7:$A$1508,D65)=1,INDEX('Видео'!$AI$7:$AI$1508,MATCH(D65,'Видео'!$A$7:$A$1508,0)),"ID не найден"))</x:f>
        <x:v>Нужна редактура</x:v>
      </x:c>
      <x:c r="L65" s="19" t="str">
        <x:v>VhXnhMtUg8U</x:v>
      </x:c>
      <x:c r="M65" s="10" t="str">
        <x:f>IF(L65="","",IF(COUNTIFS('Видео'!$A$7:$A$1508,L65)=1,INDEX('Видео'!$B$7:$B$1508,MATCH(L65,'Видео'!$A$7:$A$1508,0)),"ID не найден"))</x:f>
        <x:v>ריצוי, מחילה וכשלון אצל חז"ל | שיעור 3 – סיפורי סליחה | ד"ר איתי מרינברג-מיליקובסקי</x:v>
      </x:c>
      <x:c r="N65" s="10" t="str"/>
      <x:c r="O65" s="10" t="str">
        <x:f>IF(D65="","",IF(COUNTIFS('Видео'!$A$7:$A$1508,D65)=1,INDEX('Видео'!$M$7:$M$1508,MATCH(D65,'Видео'!$A$7:$A$1508,0)),"ID не найден"))</x:f>
        <x:v>Тема: בחזרה למצרים | שיעור 1 – הגעת היהודים למצרים | פרופ' נח חכם. Просмотры в списке выше медианы выборки этого цикла в 1.78 раза. Египетская еврейская история расширяет каталог за пределы европейского опыта.</x:v>
      </x:c>
      <x:c r="P65" s="11" t="str">
        <x:f>IF(D65="","",IF(COUNTIFS('Видео'!$A$7:$A$1508,D65)=1,INDEX('Видео'!$U$7:$U$1508,MATCH(D65,'Видео'!$A$7:$A$1508,0)),"ID не найден"))</x:f>
        <x:v>https://www.youtube.com/watch?v=Bjc8CZ2D77Q</x:v>
      </x:c>
      <x:c r="Q65" s="17" t="str">
        <x:v>Предложено</x:v>
      </x:c>
      <x:c r="R65" s="17" t="str"/>
      <x:c r="S65" s="10" t="str"/>
      <x:c r="T65" s="10" t="str">
        <x:v>Резерв меняет выбор видео; снова проверить повод, аудиторию и все редакторские условия</x:v>
      </x:c>
      <x:c r="U65" s="9" t="str">
        <x:f>IF(D65="","Выбрать видео",IF(COUNTIFS($D$7:$D$371,D65)&gt;1,"Повтор","Без повтора"))</x:f>
        <x:v>Без повтора</x:v>
      </x:c>
    </x:row>
    <x:row r="66" ht="60" customHeight="1">
      <x:c r="A66" s="16" t="n">
        <x:v>46368</x:v>
      </x:c>
      <x:c r="B66" s="9" t="str">
        <x:v>Сб</x:v>
      </x:c>
      <x:c r="C66" s="10" t="str">
        <x:v>Общество</x:v>
      </x:c>
      <x:c r="D66" s="19" t="str">
        <x:v>J-Kk_das1jc</x:v>
      </x:c>
      <x:c r="E66" s="10" t="str">
        <x:f>IF(D66="","",IF(COUNTIFS('Видео'!$A$7:$A$1508,D66)=1,INDEX('Видео'!$B$7:$B$1508,MATCH(D66,'Видео'!$A$7:$A$1508,0)),"ID не найден"))</x:f>
        <x:v>זמן אמת עונה 9 | פרק 2 - 10 ימים בספטמבר: כך חיסלנו את נסראללה</x:v>
      </x:c>
      <x:c r="F66" s="9" t="str">
        <x:f>IF(D66="","",IF(COUNTIFS('Видео'!$A$7:$A$1508,D66)=1,INDEX('Видео'!$R$7:$R$1508,MATCH(D66,'Видео'!$A$7:$A$1508,0)),"ID не найден"))</x:f>
        <x:v>C040</x:v>
      </x:c>
      <x:c r="G66" s="9" t="str">
        <x:f>IF(D66="","",IF(COUNTIFS('Видео'!$A$7:$A$1508,D66)=1,INDEX('Видео'!$D$7:$D$1508,MATCH(D66,'Видео'!$A$7:$A$1508,0)),"ID не найден"))</x:f>
        <x:v>Общество</x:v>
      </x:c>
      <x:c r="H66" s="10" t="str">
        <x:f>IF(D66="","",IF(COUNTIFS('Видео'!$A$7:$A$1508,D66)=1,INDEX('Видео'!$F$7:$F$1508,MATCH(D66,'Видео'!$A$7:$A$1508,0)),"ID не найден"))</x:f>
        <x:v>B2–C1 (гипотеза)</x:v>
      </x:c>
      <x:c r="I66" s="18" t="n">
        <x:f>IF(D66="","",IF(COUNTIFS('Видео'!$A$7:$A$1508,D66)=1,INDEX('Видео'!$G$7:$G$1508,MATCH(D66,'Видео'!$A$7:$A$1508,0)),"ID не найден"))</x:f>
        <x:v>57.8</x:v>
      </x:c>
      <x:c r="J66" s="18" t="n">
        <x:v>10</x:v>
      </x:c>
      <x:c r="K66" s="10" t="str">
        <x:f>IF(D66="","",IF(COUNTIFS('Видео'!$A$7:$A$1508,D66)=1,INDEX('Видео'!$AI$7:$AI$1508,MATCH(D66,'Видео'!$A$7:$A$1508,0)),"ID не найден"))</x:f>
        <x:v>Нужна редактура</x:v>
      </x:c>
      <x:c r="L66" s="19" t="str">
        <x:v>JpMPLPDvAVo</x:v>
      </x:c>
      <x:c r="M66" s="10" t="str">
        <x:f>IF(L66="","",IF(COUNTIFS('Видео'!$A$7:$A$1508,L66)=1,INDEX('Видео'!$B$7:$B$1508,MATCH(L66,'Видео'!$A$7:$A$1508,0)),"ID не найден"))</x:f>
        <x:v>כאן מקשיבים: פגשתי את הנייה בחדר הלידה</x:v>
      </x:c>
      <x:c r="N66" s="10" t="str"/>
      <x:c r="O66" s="10" t="str">
        <x:f>IF(D66="","",IF(COUNTIFS('Видео'!$A$7:$A$1508,D66)=1,INDEX('Видео'!$M$7:$M$1508,MATCH(D66,'Видео'!$A$7:$A$1508,0)),"ID не найден"))</x:f>
        <x:v>Тема: זמן אמת עונה 9 | פרק 2 - 10 ימים בספטמבר: כך חיסלנו את נסראללה. Просмотры в списке выше медианы выборки этого цикла в 4.87 раза. Расследования привлекают любителей документального жанра и дают материал для критического чтения медиа.</x:v>
      </x:c>
      <x:c r="P66" s="11" t="str">
        <x:f>IF(D66="","",IF(COUNTIFS('Видео'!$A$7:$A$1508,D66)=1,INDEX('Видео'!$U$7:$U$1508,MATCH(D66,'Видео'!$A$7:$A$1508,0)),"ID не найден"))</x:f>
        <x:v>https://www.youtube.com/watch?v=J-Kk_das1jc</x:v>
      </x:c>
      <x:c r="Q66" s="17" t="str">
        <x:v>Предложено</x:v>
      </x:c>
      <x:c r="R66" s="17" t="str"/>
      <x:c r="S66" s="10" t="str"/>
      <x:c r="T66" s="10" t="str">
        <x:v>Резерв меняет выбор видео; снова проверить повод, аудиторию и все редакторские условия</x:v>
      </x:c>
      <x:c r="U66" s="9" t="str">
        <x:f>IF(D66="","Выбрать видео",IF(COUNTIFS($D$7:$D$371,D66)&gt;1,"Повтор","Без повтора"))</x:f>
        <x:v>Без повтора</x:v>
      </x:c>
    </x:row>
    <x:row r="67" ht="60" customHeight="1">
      <x:c r="A67" s="16" t="n">
        <x:v>46369</x:v>
      </x:c>
      <x:c r="B67" s="9" t="str">
        <x:v>Вс</x:v>
      </x:c>
      <x:c r="C67" s="10" t="str">
        <x:v>Сериал</x:v>
      </x:c>
      <x:c r="D67" s="19" t="str">
        <x:v>ii_P3Hc8AJo</x:v>
      </x:c>
      <x:c r="E67" s="10" t="str">
        <x:f>IF(D67="","",IF(COUNTIFS('Видео'!$A$7:$A$1508,D67)=1,INDEX('Видео'!$B$7:$B$1508,MATCH(D67,'Видео'!$A$7:$A$1508,0)),"ID не найден"))</x:f>
        <x:v>קופה ראשית עונה 3🛒 | עוד שישי בסופר - פרק 9</x:v>
      </x:c>
      <x:c r="F67" s="9" t="str">
        <x:f>IF(D67="","",IF(COUNTIFS('Видео'!$A$7:$A$1508,D67)=1,INDEX('Видео'!$R$7:$R$1508,MATCH(D67,'Видео'!$A$7:$A$1508,0)),"ID не найден"))</x:f>
        <x:v>C003</x:v>
      </x:c>
      <x:c r="G67" s="9" t="str">
        <x:f>IF(D67="","",IF(COUNTIFS('Видео'!$A$7:$A$1508,D67)=1,INDEX('Видео'!$D$7:$D$1508,MATCH(D67,'Видео'!$A$7:$A$1508,0)),"ID не найден"))</x:f>
        <x:v>Сериал</x:v>
      </x:c>
      <x:c r="H67" s="10" t="str">
        <x:f>IF(D67="","",IF(COUNTIFS('Видео'!$A$7:$A$1508,D67)=1,INDEX('Видео'!$F$7:$F$1508,MATCH(D67,'Видео'!$A$7:$A$1508,0)),"ID не найден"))</x:f>
        <x:v>B1–B2 (гипотеза)</x:v>
      </x:c>
      <x:c r="I67" s="18" t="n">
        <x:f>IF(D67="","",IF(COUNTIFS('Видео'!$A$7:$A$1508,D67)=1,INDEX('Видео'!$G$7:$G$1508,MATCH(D67,'Видео'!$A$7:$A$1508,0)),"ID не найден"))</x:f>
        <x:v>23.5</x:v>
      </x:c>
      <x:c r="J67" s="18" t="n">
        <x:v>10</x:v>
      </x:c>
      <x:c r="K67" s="10" t="str">
        <x:f>IF(D67="","",IF(COUNTIFS('Видео'!$A$7:$A$1508,D67)=1,INDEX('Видео'!$AI$7:$AI$1508,MATCH(D67,'Видео'!$A$7:$A$1508,0)),"ID не найден"))</x:f>
        <x:v>Нужна редактура</x:v>
      </x:c>
      <x:c r="L67" s="19" t="str">
        <x:v>4dQ311Bd8ZY</x:v>
      </x:c>
      <x:c r="M67" s="10" t="str">
        <x:f>IF(L67="","",IF(COUNTIFS('Видео'!$A$7:$A$1508,L67)=1,INDEX('Видео'!$B$7:$B$1508,MATCH(L67,'Видео'!$A$7:$A$1508,0)),"ID не найден"))</x:f>
        <x:v>דוקותיים | סבא ג'פטו הישראלי: עזרא, בן 95, מייצר צעצועים מעץ</x:v>
      </x:c>
      <x:c r="N67" s="10" t="str"/>
      <x:c r="O67" s="10" t="str">
        <x:f>IF(D67="","",IF(COUNTIFS('Видео'!$A$7:$A$1508,D67)=1,INDEX('Видео'!$M$7:$M$1508,MATCH(D67,'Видео'!$A$7:$A$1508,0)),"ID не найден"))</x:f>
        <x:v>Эпизод 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67" s="11" t="str">
        <x:f>IF(D67="","",IF(COUNTIFS('Видео'!$A$7:$A$1508,D67)=1,INDEX('Видео'!$U$7:$U$1508,MATCH(D67,'Видео'!$A$7:$A$1508,0)),"ID не найден"))</x:f>
        <x:v>https://www.youtube.com/watch?v=ii_P3Hc8AJo</x:v>
      </x:c>
      <x:c r="Q67" s="17" t="str">
        <x:v>Предложено</x:v>
      </x:c>
      <x:c r="R67" s="17" t="str"/>
      <x:c r="S67" s="10" t="str"/>
      <x:c r="T67" s="10" t="str">
        <x:v>При недоступной серии приостановить сюжетную ветку; резерв — самостоятельное видео</x:v>
      </x:c>
      <x:c r="U67" s="9" t="str">
        <x:f>IF(D67="","Выбрать видео",IF(COUNTIFS($D$7:$D$371,D67)&gt;1,"Повтор","Без повтора"))</x:f>
        <x:v>Без повтора</x:v>
      </x:c>
    </x:row>
    <x:row r="68" ht="60" customHeight="1">
      <x:c r="A68" s="16" t="n">
        <x:v>46370</x:v>
      </x:c>
      <x:c r="B68" s="9" t="str">
        <x:v>Пн</x:v>
      </x:c>
      <x:c r="C68" s="10" t="str">
        <x:v>Интервью</x:v>
      </x:c>
      <x:c r="D68" s="19" t="str">
        <x:v>k3ujCFEpcXs</x:v>
      </x:c>
      <x:c r="E68" s="10" t="str">
        <x:f>IF(D68="","",IF(COUNTIFS('Видео'!$A$7:$A$1508,D68)=1,INDEX('Видео'!$B$7:$B$1508,MATCH(D68,'Видео'!$A$7:$A$1508,0)),"ID не найден"))</x:f>
        <x:v>7 באוקטובר שינה הכל. שומר סף 394 עם אורטל בן דיין</x:v>
      </x:c>
      <x:c r="F68" s="9" t="str">
        <x:f>IF(D68="","",IF(COUNTIFS('Видео'!$A$7:$A$1508,D68)=1,INDEX('Видео'!$R$7:$R$1508,MATCH(D68,'Видео'!$A$7:$A$1508,0)),"ID не найден"))</x:f>
        <x:v>C087</x:v>
      </x:c>
      <x:c r="G68" s="9" t="str">
        <x:f>IF(D68="","",IF(COUNTIFS('Видео'!$A$7:$A$1508,D68)=1,INDEX('Видео'!$D$7:$D$1508,MATCH(D68,'Видео'!$A$7:$A$1508,0)),"ID не найден"))</x:f>
        <x:v>Интервью</x:v>
      </x:c>
      <x:c r="H68" s="10" t="str">
        <x:f>IF(D68="","",IF(COUNTIFS('Видео'!$A$7:$A$1508,D68)=1,INDEX('Видео'!$F$7:$F$1508,MATCH(D68,'Видео'!$A$7:$A$1508,0)),"ID не найден"))</x:f>
        <x:v>B2–C1 (гипотеза)</x:v>
      </x:c>
      <x:c r="I68" s="18" t="n">
        <x:f>IF(D68="","",IF(COUNTIFS('Видео'!$A$7:$A$1508,D68)=1,INDEX('Видео'!$G$7:$G$1508,MATCH(D68,'Видео'!$A$7:$A$1508,0)),"ID не найден"))</x:f>
        <x:v>62.7</x:v>
      </x:c>
      <x:c r="J68" s="18" t="n">
        <x:v>10</x:v>
      </x:c>
      <x:c r="K68" s="10" t="str">
        <x:f>IF(D68="","",IF(COUNTIFS('Видео'!$A$7:$A$1508,D68)=1,INDEX('Видео'!$AI$7:$AI$1508,MATCH(D68,'Видео'!$A$7:$A$1508,0)),"ID не найден"))</x:f>
        <x:v>Нужна редактура</x:v>
      </x:c>
      <x:c r="L68" s="19" t="str">
        <x:v>qQfVfm8e3Qg</x:v>
      </x:c>
      <x:c r="M68" s="10" t="str">
        <x:f>IF(L68="","",IF(COUNTIFS('Видео'!$A$7:$A$1508,L68)=1,INDEX('Видео'!$B$7:$B$1508,MATCH(L68,'Видео'!$A$7:$A$1508,0)),"ID не найден"))</x:f>
        <x:v>הצומת | אמת מהחזית - יצחק בריק על העתיד הביטחוני של ישראל</x:v>
      </x:c>
      <x:c r="N68" s="10" t="str"/>
      <x:c r="O68" s="10" t="str">
        <x:f>IF(D68="","",IF(COUNTIFS('Видео'!$A$7:$A$1508,D68)=1,INDEX('Видео'!$M$7:$M$1508,MATCH(D68,'Видео'!$A$7:$A$1508,0)),"ID не найден"))</x:f>
        <x:v>Тема / гость: 7 באוקטובר שינה הכל. שומר סף 394 עם אורטל בן דיין. Просмотры в списке выше медианы выборки этого цикла в 2.3 раза. Источник для аудитории общественных дебатов; полезен при явной атрибуции позиции ведущего и гостя.</x:v>
      </x:c>
      <x:c r="P68" s="11" t="str">
        <x:f>IF(D68="","",IF(COUNTIFS('Видео'!$A$7:$A$1508,D68)=1,INDEX('Видео'!$U$7:$U$1508,MATCH(D68,'Видео'!$A$7:$A$1508,0)),"ID не найден"))</x:f>
        <x:v>https://www.youtube.com/watch?v=k3ujCFEpcXs</x:v>
      </x:c>
      <x:c r="Q68" s="17" t="str">
        <x:v>Предложено</x:v>
      </x:c>
      <x:c r="R68" s="17" t="str"/>
      <x:c r="S68" s="10" t="str"/>
      <x:c r="T68" s="10" t="str">
        <x:v>Резерв меняет выбор видео; снова проверить повод, аудиторию и все редакторские условия</x:v>
      </x:c>
      <x:c r="U68" s="9" t="str">
        <x:f>IF(D68="","Выбрать видео",IF(COUNTIFS($D$7:$D$371,D68)&gt;1,"Повтор","Без повтора"))</x:f>
        <x:v>Без повтора</x:v>
      </x:c>
    </x:row>
    <x:row r="69" ht="60" customHeight="1">
      <x:c r="A69" s="16" t="n">
        <x:v>46371</x:v>
      </x:c>
      <x:c r="B69" s="9" t="str">
        <x:v>Вт</x:v>
      </x:c>
      <x:c r="C69" s="10" t="str">
        <x:v>Образование</x:v>
      </x:c>
      <x:c r="D69" s="19" t="str">
        <x:v>aRAO5sUkwJo</x:v>
      </x:c>
      <x:c r="E69" s="10" t="str">
        <x:f>IF(D69="","",IF(COUNTIFS('Видео'!$A$7:$A$1508,D69)=1,INDEX('Видео'!$B$7:$B$1508,MATCH(D69,'Видео'!$A$7:$A$1508,0)),"ID не найден"))</x:f>
        <x:v>גלילאו עונה 9 | מה גודלה של הפיצה הגדולה בעולם? 🍕</x:v>
      </x:c>
      <x:c r="F69" s="9" t="str">
        <x:f>IF(D69="","",IF(COUNTIFS('Видео'!$A$7:$A$1508,D69)=1,INDEX('Видео'!$R$7:$R$1508,MATCH(D69,'Видео'!$A$7:$A$1508,0)),"ID не найден"))</x:f>
        <x:v>C056</x:v>
      </x:c>
      <x:c r="G69" s="9" t="str">
        <x:f>IF(D69="","",IF(COUNTIFS('Видео'!$A$7:$A$1508,D69)=1,INDEX('Видео'!$D$7:$D$1508,MATCH(D69,'Видео'!$A$7:$A$1508,0)),"ID не найден"))</x:f>
        <x:v>Образование</x:v>
      </x:c>
      <x:c r="H69" s="10" t="str">
        <x:f>IF(D69="","",IF(COUNTIFS('Видео'!$A$7:$A$1508,D69)=1,INDEX('Видео'!$F$7:$F$1508,MATCH(D69,'Видео'!$A$7:$A$1508,0)),"ID не найден"))</x:f>
        <x:v>B1–B2 (гипотеза)</x:v>
      </x:c>
      <x:c r="I69" s="18" t="n">
        <x:f>IF(D69="","",IF(COUNTIFS('Видео'!$A$7:$A$1508,D69)=1,INDEX('Видео'!$G$7:$G$1508,MATCH(D69,'Видео'!$A$7:$A$1508,0)),"ID не найден"))</x:f>
        <x:v>24.8</x:v>
      </x:c>
      <x:c r="J69" s="18" t="n">
        <x:v>10</x:v>
      </x:c>
      <x:c r="K69" s="10" t="str">
        <x:f>IF(D69="","",IF(COUNTIFS('Видео'!$A$7:$A$1508,D69)=1,INDEX('Видео'!$AI$7:$AI$1508,MATCH(D69,'Видео'!$A$7:$A$1508,0)),"ID не найден"))</x:f>
        <x:v>Нужна редактура</x:v>
      </x:c>
      <x:c r="L69" s="19" t="str">
        <x:v>92cQfMB0TCM</x:v>
      </x:c>
      <x:c r="M69" s="10" t="str">
        <x:f>IF(L69="","",IF(COUNTIFS('Видео'!$A$7:$A$1508,L69)=1,INDEX('Видео'!$B$7:$B$1508,MATCH(L69,'Видео'!$A$7:$A$1508,0)),"ID не найден"))</x:f>
        <x:v>גלילאו עונה 9 | המבורגר מודפס זה טעים? 🍔</x:v>
      </x:c>
      <x:c r="N69" s="10" t="str"/>
      <x:c r="O69" s="10" t="str">
        <x:f>IF(D69="","",IF(COUNTIFS('Видео'!$A$7:$A$1508,D69)=1,INDEX('Видео'!$M$7:$M$1508,MATCH(D69,'Видео'!$A$7:$A$1508,0)),"ID не найден"))</x:f>
        <x:v>Тема: גלילאו עונה 9 | מה גודלה של הפיצה הגדולה בעולם? 🍕. Просмотры в списке выше медианы выборки этого цикла в 3.89 раза. Ведущий и визуальные демонстрации помогают понимать новые слова. Формат подходит любителям научно-популярного видео.</x:v>
      </x:c>
      <x:c r="P69" s="11" t="str">
        <x:f>IF(D69="","",IF(COUNTIFS('Видео'!$A$7:$A$1508,D69)=1,INDEX('Видео'!$U$7:$U$1508,MATCH(D69,'Видео'!$A$7:$A$1508,0)),"ID не найден"))</x:f>
        <x:v>https://www.youtube.com/watch?v=aRAO5sUkwJo</x:v>
      </x:c>
      <x:c r="Q69" s="17" t="str">
        <x:v>Предложено</x:v>
      </x:c>
      <x:c r="R69" s="17" t="str"/>
      <x:c r="S69" s="10" t="str"/>
      <x:c r="T69" s="10" t="str">
        <x:v>Резерв меняет выбор видео; снова проверить повод, аудиторию и все редакторские условия</x:v>
      </x:c>
      <x:c r="U69" s="9" t="str">
        <x:f>IF(D69="","Выбрать видео",IF(COUNTIFS($D$7:$D$371,D69)&gt;1,"Повтор","Без повтора"))</x:f>
        <x:v>Без повтора</x:v>
      </x:c>
    </x:row>
    <x:row r="70" ht="60" customHeight="1">
      <x:c r="A70" s="16" t="n">
        <x:v>46372</x:v>
      </x:c>
      <x:c r="B70" s="9" t="str">
        <x:v>Ср</x:v>
      </x:c>
      <x:c r="C70" s="10" t="str">
        <x:v>Быт</x:v>
      </x:c>
      <x:c r="D70" s="19" t="str">
        <x:v>BPUc2C7fxS4</x:v>
      </x:c>
      <x:c r="E70" s="10" t="str">
        <x:f>IF(D70="","",IF(COUNTIFS('Видео'!$A$7:$A$1508,D70)=1,INDEX('Видео'!$B$7:$B$1508,MATCH(D70,'Видео'!$A$7:$A$1508,0)),"ID не найден"))</x:f>
        <x:v>בואו לאכול איתי עונה 9 | חיפה - חלק א' (פרק 21)</x:v>
      </x:c>
      <x:c r="F70" s="9" t="str">
        <x:f>IF(D70="","",IF(COUNTIFS('Видео'!$A$7:$A$1508,D70)=1,INDEX('Видео'!$R$7:$R$1508,MATCH(D70,'Видео'!$A$7:$A$1508,0)),"ID не найден"))</x:f>
        <x:v>C022</x:v>
      </x:c>
      <x:c r="G70" s="9" t="str">
        <x:f>IF(D70="","",IF(COUNTIFS('Видео'!$A$7:$A$1508,D70)=1,INDEX('Видео'!$D$7:$D$1508,MATCH(D70,'Видео'!$A$7:$A$1508,0)),"ID не найден"))</x:f>
        <x:v>Быт</x:v>
      </x:c>
      <x:c r="H70" s="10" t="str">
        <x:f>IF(D70="","",IF(COUNTIFS('Видео'!$A$7:$A$1508,D70)=1,INDEX('Видео'!$F$7:$F$1508,MATCH(D70,'Видео'!$A$7:$A$1508,0)),"ID не найден"))</x:f>
        <x:v>B1–B2 (гипотеза)</x:v>
      </x:c>
      <x:c r="I70" s="18" t="n">
        <x:f>IF(D70="","",IF(COUNTIFS('Видео'!$A$7:$A$1508,D70)=1,INDEX('Видео'!$G$7:$G$1508,MATCH(D70,'Видео'!$A$7:$A$1508,0)),"ID не найден"))</x:f>
        <x:v>29.4</x:v>
      </x:c>
      <x:c r="J70" s="18" t="n">
        <x:v>10</x:v>
      </x:c>
      <x:c r="K70" s="10" t="str">
        <x:f>IF(D70="","",IF(COUNTIFS('Видео'!$A$7:$A$1508,D70)=1,INDEX('Видео'!$AI$7:$AI$1508,MATCH(D70,'Видео'!$A$7:$A$1508,0)),"ID не найден"))</x:f>
        <x:v>Нужна редактура</x:v>
      </x:c>
      <x:c r="L70" s="19" t="str">
        <x:v>TWPoCbVQI38</x:v>
      </x:c>
      <x:c r="M70" s="10" t="str">
        <x:f>IF(L70="","",IF(COUNTIFS('Видео'!$A$7:$A$1508,L70)=1,INDEX('Видео'!$B$7:$B$1508,MATCH(L70,'Видео'!$A$7:$A$1508,0)),"ID не найден"))</x:f>
        <x:v>דוקותיים: הגולש היחיד בעוטף עזה</x:v>
      </x:c>
      <x:c r="N70" s="10" t="str"/>
      <x:c r="O70" s="10" t="str">
        <x:f>IF(D70="","",IF(COUNTIFS('Видео'!$A$7:$A$1508,D70)=1,INDEX('Видео'!$M$7:$M$1508,MATCH(D70,'Видео'!$A$7:$A$1508,0)),"ID не найден"))</x:f>
        <x:v>Тема: בואו לאכול איתי עונה 9 | חיפה - חלק א' (פרק 21). Просмотры в списке выше медианы выборки этого цикла в 1.57 раза. Еда снижает порог входа для широкой аудитории. В одном выпуске встречаются приглашения, оценки, знакомство и бытовые споры.</x:v>
      </x:c>
      <x:c r="P70" s="11" t="str">
        <x:f>IF(D70="","",IF(COUNTIFS('Видео'!$A$7:$A$1508,D70)=1,INDEX('Видео'!$U$7:$U$1508,MATCH(D70,'Видео'!$A$7:$A$1508,0)),"ID не найден"))</x:f>
        <x:v>https://www.youtube.com/watch?v=BPUc2C7fxS4</x:v>
      </x:c>
      <x:c r="Q70" s="17" t="str">
        <x:v>Предложено</x:v>
      </x:c>
      <x:c r="R70" s="17" t="str"/>
      <x:c r="S70" s="10" t="str"/>
      <x:c r="T70" s="10" t="str">
        <x:v>Резерв меняет выбор видео; снова проверить повод, аудиторию и все редакторские условия</x:v>
      </x:c>
      <x:c r="U70" s="9" t="str">
        <x:f>IF(D70="","Выбрать видео",IF(COUNTIFS($D$7:$D$371,D70)&gt;1,"Повтор","Без повтора"))</x:f>
        <x:v>Без повтора</x:v>
      </x:c>
    </x:row>
    <x:row r="71" ht="60" customHeight="1">
      <x:c r="A71" s="16" t="n">
        <x:v>46373</x:v>
      </x:c>
      <x:c r="B71" s="9" t="str">
        <x:v>Чт</x:v>
      </x:c>
      <x:c r="C71" s="10" t="str">
        <x:v>Сериал</x:v>
      </x:c>
      <x:c r="D71" s="19" t="str">
        <x:v>4xxZXpPP28w</x:v>
      </x:c>
      <x:c r="E71" s="10" t="str">
        <x:f>IF(D71="","",IF(COUNTIFS('Видео'!$A$7:$A$1508,D71)=1,INDEX('Видео'!$B$7:$B$1508,MATCH(D71,'Видео'!$A$7:$A$1508,0)),"ID не найден"))</x:f>
        <x:v>חזרות - קומדיה (לא) רומנטית 🎭 | פרק 10 - פרק הסיום!</x:v>
      </x:c>
      <x:c r="F71" s="9" t="str">
        <x:f>IF(D71="","",IF(COUNTIFS('Видео'!$A$7:$A$1508,D71)=1,INDEX('Видео'!$R$7:$R$1508,MATCH(D71,'Видео'!$A$7:$A$1508,0)),"ID не найден"))</x:f>
        <x:v>C007</x:v>
      </x:c>
      <x:c r="G71" s="9" t="str">
        <x:f>IF(D71="","",IF(COUNTIFS('Видео'!$A$7:$A$1508,D71)=1,INDEX('Видео'!$D$7:$D$1508,MATCH(D71,'Видео'!$A$7:$A$1508,0)),"ID не найден"))</x:f>
        <x:v>Сериал</x:v>
      </x:c>
      <x:c r="H71" s="10" t="str">
        <x:f>IF(D71="","",IF(COUNTIFS('Видео'!$A$7:$A$1508,D71)=1,INDEX('Видео'!$F$7:$F$1508,MATCH(D71,'Видео'!$A$7:$A$1508,0)),"ID не найден"))</x:f>
        <x:v>B2–C1 (гипотеза)</x:v>
      </x:c>
      <x:c r="I71" s="18" t="n">
        <x:f>IF(D71="","",IF(COUNTIFS('Видео'!$A$7:$A$1508,D71)=1,INDEX('Видео'!$G$7:$G$1508,MATCH(D71,'Видео'!$A$7:$A$1508,0)),"ID не найден"))</x:f>
        <x:v>40.5</x:v>
      </x:c>
      <x:c r="J71" s="18" t="n">
        <x:v>10</x:v>
      </x:c>
      <x:c r="K71" s="10" t="str">
        <x:f>IF(D71="","",IF(COUNTIFS('Видео'!$A$7:$A$1508,D71)=1,INDEX('Видео'!$AI$7:$AI$1508,MATCH(D71,'Видео'!$A$7:$A$1508,0)),"ID не найден"))</x:f>
        <x:v>Нужна редактура</x:v>
      </x:c>
      <x:c r="L71" s="19" t="str">
        <x:v>E7GTCvJdO-M</x:v>
      </x:c>
      <x:c r="M71" s="10" t="str">
        <x:f>IF(L71="","",IF(COUNTIFS('Видео'!$A$7:$A$1508,L71)=1,INDEX('Видео'!$B$7:$B$1508,MATCH(L71,'Видео'!$A$7:$A$1508,0)),"ID не найден"))</x:f>
        <x:v>בידה צרפתי ושירותים בלי נייר ביפן: למה אנחנו ממשיכים להשתמש בנייר טואלט? | כאן קורונה</x:v>
      </x:c>
      <x:c r="N71" s="10" t="str"/>
      <x:c r="O71" s="10" t="str">
        <x:f>IF(D71="","",IF(COUNTIFS('Видео'!$A$7:$A$1508,D71)=1,INDEX('Видео'!$M$7:$M$1508,MATCH(D71,'Видео'!$A$7:$A$1508,0)),"ID не найден"))</x:f>
        <x:v>Эпизод 10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P71" s="11" t="str">
        <x:f>IF(D71="","",IF(COUNTIFS('Видео'!$A$7:$A$1508,D71)=1,INDEX('Видео'!$U$7:$U$1508,MATCH(D71,'Видео'!$A$7:$A$1508,0)),"ID не найден"))</x:f>
        <x:v>https://www.youtube.com/watch?v=4xxZXpPP28w</x:v>
      </x:c>
      <x:c r="Q71" s="17" t="str">
        <x:v>Предложено</x:v>
      </x:c>
      <x:c r="R71" s="17" t="str"/>
      <x:c r="S71" s="10" t="str"/>
      <x:c r="T71" s="10" t="str">
        <x:v>При недоступной серии приостановить сюжетную ветку; резерв — самостоятельное видео</x:v>
      </x:c>
      <x:c r="U71" s="9" t="str">
        <x:f>IF(D71="","Выбрать видео",IF(COUNTIFS($D$7:$D$371,D71)&gt;1,"Повтор","Без повтора"))</x:f>
        <x:v>Без повтора</x:v>
      </x:c>
    </x:row>
    <x:row r="72" ht="60" customHeight="1">
      <x:c r="A72" s="16" t="n">
        <x:v>46374</x:v>
      </x:c>
      <x:c r="B72" s="9" t="str">
        <x:v>Пт</x:v>
      </x:c>
      <x:c r="C72" s="10" t="str">
        <x:v>Культура</x:v>
      </x:c>
      <x:c r="D72" s="19" t="str">
        <x:v>scex8aIHQRo</x:v>
      </x:c>
      <x:c r="E72" s="10" t="str">
        <x:f>IF(D72="","",IF(COUNTIFS('Видео'!$A$7:$A$1508,D72)=1,INDEX('Видео'!$B$7:$B$1508,MATCH(D72,'Видео'!$A$7:$A$1508,0)),"ID не найден"))</x:f>
        <x:v>עלמה זהר - מיגל (לייב על בימת בית אבי חי)</x:v>
      </x:c>
      <x:c r="F72" s="9" t="str">
        <x:f>IF(D72="","",IF(COUNTIFS('Видео'!$A$7:$A$1508,D72)=1,INDEX('Видео'!$R$7:$R$1508,MATCH(D72,'Видео'!$A$7:$A$1508,0)),"ID не найден"))</x:f>
        <x:v>C075</x:v>
      </x:c>
      <x:c r="G72" s="9" t="str">
        <x:f>IF(D72="","",IF(COUNTIFS('Видео'!$A$7:$A$1508,D72)=1,INDEX('Видео'!$D$7:$D$1508,MATCH(D72,'Видео'!$A$7:$A$1508,0)),"ID не найден"))</x:f>
        <x:v>Культура</x:v>
      </x:c>
      <x:c r="H72" s="10" t="str">
        <x:f>IF(D72="","",IF(COUNTIFS('Видео'!$A$7:$A$1508,D72)=1,INDEX('Видео'!$F$7:$F$1508,MATCH(D72,'Видео'!$A$7:$A$1508,0)),"ID не найден"))</x:f>
        <x:v>B2–C1 (гипотеза)</x:v>
      </x:c>
      <x:c r="I72" s="18" t="n">
        <x:f>IF(D72="","",IF(COUNTIFS('Видео'!$A$7:$A$1508,D72)=1,INDEX('Видео'!$G$7:$G$1508,MATCH(D72,'Видео'!$A$7:$A$1508,0)),"ID не найден"))</x:f>
        <x:v>4.9</x:v>
      </x:c>
      <x:c r="J72" s="18" t="n">
        <x:v>5</x:v>
      </x:c>
      <x:c r="K72" s="10" t="str">
        <x:f>IF(D72="","",IF(COUNTIFS('Видео'!$A$7:$A$1508,D72)=1,INDEX('Видео'!$AI$7:$AI$1508,MATCH(D72,'Видео'!$A$7:$A$1508,0)),"ID не найден"))</x:f>
        <x:v>Нужна редактура</x:v>
      </x:c>
      <x:c r="L72" s="19" t="str">
        <x:v>mrsF9iDOGRM</x:v>
      </x:c>
      <x:c r="M72" s="10" t="str">
        <x:f>IF(L72="","",IF(COUNTIFS('Видео'!$A$7:$A$1508,L72)=1,INDEX('Видео'!$B$7:$B$1508,MATCH(L72,'Видео'!$A$7:$A$1508,0)),"ID не найден"))</x:f>
        <x:v>שיר אחד 🎤 עיבוד טלוויזיוני להסכת | קורין אלאל - זן נדיר</x:v>
      </x:c>
      <x:c r="N72" s="10" t="str"/>
      <x:c r="O72" s="10" t="str">
        <x:f>IF(D72="","",IF(COUNTIFS('Видео'!$A$7:$A$1508,D72)=1,INDEX('Видео'!$M$7:$M$1508,MATCH(D72,'Видео'!$A$7:$A$1508,0)),"ID не найден"))</x:f>
        <x:v>Завершённый короткий просмотр около 5 мин. Просмотры в списке выше медианы выборки этого цикла в 562.5 раза. Разговор о музыке и детстве создаёт вход через культурную близость и биографию.</x:v>
      </x:c>
      <x:c r="P72" s="11" t="str">
        <x:f>IF(D72="","",IF(COUNTIFS('Видео'!$A$7:$A$1508,D72)=1,INDEX('Видео'!$U$7:$U$1508,MATCH(D72,'Видео'!$A$7:$A$1508,0)),"ID не найден"))</x:f>
        <x:v>https://www.youtube.com/watch?v=scex8aIHQRo</x:v>
      </x:c>
      <x:c r="Q72" s="17" t="str">
        <x:v>Предложено</x:v>
      </x:c>
      <x:c r="R72" s="17" t="str"/>
      <x:c r="S72" s="10" t="str"/>
      <x:c r="T72" s="10" t="str">
        <x:v>Резерв меняет выбор видео; снова проверить повод, аудиторию и все редакторские условия</x:v>
      </x:c>
      <x:c r="U72" s="9" t="str">
        <x:f>IF(D72="","Выбрать видео",IF(COUNTIFS($D$7:$D$371,D72)&gt;1,"Повтор","Без повтора"))</x:f>
        <x:v>Без повтора</x:v>
      </x:c>
    </x:row>
    <x:row r="73" ht="60" customHeight="1">
      <x:c r="A73" s="16" t="n">
        <x:v>46375</x:v>
      </x:c>
      <x:c r="B73" s="9" t="str">
        <x:v>Сб</x:v>
      </x:c>
      <x:c r="C73" s="10" t="str">
        <x:v>Общество</x:v>
      </x:c>
      <x:c r="D73" s="19" t="str">
        <x:v>FsjPGZO57lI</x:v>
      </x:c>
      <x:c r="E73" s="10" t="str">
        <x:f>IF(D73="","",IF(COUNTIFS('Видео'!$A$7:$A$1508,D73)=1,INDEX('Видео'!$B$7:$B$1508,MATCH(D73,'Видео'!$A$7:$A$1508,0)),"ID не найден"))</x:f>
        <x:v>כאן מקשיבים: "סבא שלי חשב שאני מנכ"לית אבל הייתי זונה"</x:v>
      </x:c>
      <x:c r="F73" s="9" t="str">
        <x:f>IF(D73="","",IF(COUNTIFS('Видео'!$A$7:$A$1508,D73)=1,INDEX('Видео'!$R$7:$R$1508,MATCH(D73,'Видео'!$A$7:$A$1508,0)),"ID не найден"))</x:f>
        <x:v>C046</x:v>
      </x:c>
      <x:c r="G73" s="9" t="str">
        <x:f>IF(D73="","",IF(COUNTIFS('Видео'!$A$7:$A$1508,D73)=1,INDEX('Видео'!$D$7:$D$1508,MATCH(D73,'Видео'!$A$7:$A$1508,0)),"ID не найден"))</x:f>
        <x:v>Общество</x:v>
      </x:c>
      <x:c r="H73" s="10" t="str">
        <x:f>IF(D73="","",IF(COUNTIFS('Видео'!$A$7:$A$1508,D73)=1,INDEX('Видео'!$F$7:$F$1508,MATCH(D73,'Видео'!$A$7:$A$1508,0)),"ID не найден"))</x:f>
        <x:v>B1–B2 (гипотеза)</x:v>
      </x:c>
      <x:c r="I73" s="18" t="n">
        <x:f>IF(D73="","",IF(COUNTIFS('Видео'!$A$7:$A$1508,D73)=1,INDEX('Видео'!$G$7:$G$1508,MATCH(D73,'Видео'!$A$7:$A$1508,0)),"ID не найден"))</x:f>
        <x:v>15</x:v>
      </x:c>
      <x:c r="J73" s="18" t="n">
        <x:v>10</x:v>
      </x:c>
      <x:c r="K73" s="10" t="str">
        <x:f>IF(D73="","",IF(COUNTIFS('Видео'!$A$7:$A$1508,D73)=1,INDEX('Видео'!$AI$7:$AI$1508,MATCH(D73,'Видео'!$A$7:$A$1508,0)),"ID не найден"))</x:f>
        <x:v>Нужна редактура</x:v>
      </x:c>
      <x:c r="L73" s="19" t="str">
        <x:v>Ik9Om__KJeA</x:v>
      </x:c>
      <x:c r="M73" s="10" t="str">
        <x:f>IF(L73="","",IF(COUNTIFS('Видео'!$A$7:$A$1508,L73)=1,INDEX('Видео'!$B$7:$B$1508,MATCH(L73,'Видео'!$A$7:$A$1508,0)),"ID не найден"))</x:f>
        <x:v>כאן מקשיבים: החלטנו לעבור לתאילנד</x:v>
      </x:c>
      <x:c r="N73" s="10" t="str"/>
      <x:c r="O73" s="10" t="str">
        <x:f>IF(D73="","",IF(COUNTIFS('Видео'!$A$7:$A$1508,D73)=1,INDEX('Видео'!$M$7:$M$1508,MATCH(D73,'Видео'!$A$7:$A$1508,0)),"ID не найден"))</x:f>
        <x:v>Тема: כאן מקשיבים: "סבא שלי חשב שאני מנכ"לית אבל הייתי זונה". Просмотры в списке выше медианы выборки этого цикла в 19.02 раза. Личный монолог позволяет сосредоточиться на одном голосе и эмоциональной лексике.</x:v>
      </x:c>
      <x:c r="P73" s="11" t="str">
        <x:f>IF(D73="","",IF(COUNTIFS('Видео'!$A$7:$A$1508,D73)=1,INDEX('Видео'!$U$7:$U$1508,MATCH(D73,'Видео'!$A$7:$A$1508,0)),"ID не найден"))</x:f>
        <x:v>https://www.youtube.com/watch?v=FsjPGZO57lI</x:v>
      </x:c>
      <x:c r="Q73" s="17" t="str">
        <x:v>Предложено</x:v>
      </x:c>
      <x:c r="R73" s="17" t="str"/>
      <x:c r="S73" s="10" t="str"/>
      <x:c r="T73" s="10" t="str">
        <x:v>Резерв меняет выбор видео; снова проверить повод, аудиторию и все редакторские условия</x:v>
      </x:c>
      <x:c r="U73" s="9" t="str">
        <x:f>IF(D73="","Выбрать видео",IF(COUNTIFS($D$7:$D$371,D73)&gt;1,"Повтор","Без повтора"))</x:f>
        <x:v>Без повтора</x:v>
      </x:c>
    </x:row>
    <x:row r="74" ht="60" customHeight="1">
      <x:c r="A74" s="16" t="n">
        <x:v>46376</x:v>
      </x:c>
      <x:c r="B74" s="9" t="str">
        <x:v>Вс</x:v>
      </x:c>
      <x:c r="C74" s="10" t="str">
        <x:v>Сериал</x:v>
      </x:c>
      <x:c r="D74" s="19" t="str">
        <x:v>3RkC309_Ako</x:v>
      </x:c>
      <x:c r="E74" s="10" t="str">
        <x:f>IF(D74="","",IF(COUNTIFS('Видео'!$A$7:$A$1508,D74)=1,INDEX('Видео'!$B$7:$B$1508,MATCH(D74,'Видео'!$A$7:$A$1508,0)),"ID не найден"))</x:f>
        <x:v>קופה ראשית עונה 3🛒 | סרגיי פלאץ׳ - פרק 10</x:v>
      </x:c>
      <x:c r="F74" s="9" t="str">
        <x:f>IF(D74="","",IF(COUNTIFS('Видео'!$A$7:$A$1508,D74)=1,INDEX('Видео'!$R$7:$R$1508,MATCH(D74,'Видео'!$A$7:$A$1508,0)),"ID не найден"))</x:f>
        <x:v>C003</x:v>
      </x:c>
      <x:c r="G74" s="9" t="str">
        <x:f>IF(D74="","",IF(COUNTIFS('Видео'!$A$7:$A$1508,D74)=1,INDEX('Видео'!$D$7:$D$1508,MATCH(D74,'Видео'!$A$7:$A$1508,0)),"ID не найден"))</x:f>
        <x:v>Сериал</x:v>
      </x:c>
      <x:c r="H74" s="10" t="str">
        <x:f>IF(D74="","",IF(COUNTIFS('Видео'!$A$7:$A$1508,D74)=1,INDEX('Видео'!$F$7:$F$1508,MATCH(D74,'Видео'!$A$7:$A$1508,0)),"ID не найден"))</x:f>
        <x:v>B1–B2 (гипотеза)</x:v>
      </x:c>
      <x:c r="I74" s="18" t="n">
        <x:f>IF(D74="","",IF(COUNTIFS('Видео'!$A$7:$A$1508,D74)=1,INDEX('Видео'!$G$7:$G$1508,MATCH(D74,'Видео'!$A$7:$A$1508,0)),"ID не найден"))</x:f>
        <x:v>26.2</x:v>
      </x:c>
      <x:c r="J74" s="18" t="n">
        <x:v>10</x:v>
      </x:c>
      <x:c r="K74" s="10" t="str">
        <x:f>IF(D74="","",IF(COUNTIFS('Видео'!$A$7:$A$1508,D74)=1,INDEX('Видео'!$AI$7:$AI$1508,MATCH(D74,'Видео'!$A$7:$A$1508,0)),"ID не найден"))</x:f>
        <x:v>Нужна редактура</x:v>
      </x:c>
      <x:c r="L74" s="19" t="str">
        <x:v>FjmvcwUNGjY</x:v>
      </x:c>
      <x:c r="M74" s="10" t="str">
        <x:f>IF(L74="","",IF(COUNTIFS('Видео'!$A$7:$A$1508,L74)=1,INDEX('Видео'!$B$7:$B$1508,MATCH(L74,'Видео'!$A$7:$A$1508,0)),"ID не найден"))</x:f>
        <x:v>כאן מסבירים | האם אפשר לשמוע צבעים?</x:v>
      </x:c>
      <x:c r="N74" s="10" t="str"/>
      <x:c r="O74" s="10" t="str">
        <x:f>IF(D74="","",IF(COUNTIFS('Видео'!$A$7:$A$1508,D74)=1,INDEX('Видео'!$M$7:$M$1508,MATCH(D74,'Видео'!$A$7:$A$1508,0)),"ID не найден"))</x:f>
        <x:v>Эпизод 10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74" s="11" t="str">
        <x:f>IF(D74="","",IF(COUNTIFS('Видео'!$A$7:$A$1508,D74)=1,INDEX('Видео'!$U$7:$U$1508,MATCH(D74,'Видео'!$A$7:$A$1508,0)),"ID не найден"))</x:f>
        <x:v>https://www.youtube.com/watch?v=3RkC309_Ako</x:v>
      </x:c>
      <x:c r="Q74" s="17" t="str">
        <x:v>Предложено</x:v>
      </x:c>
      <x:c r="R74" s="17" t="str"/>
      <x:c r="S74" s="10" t="str"/>
      <x:c r="T74" s="10" t="str">
        <x:v>При недоступной серии приостановить сюжетную ветку; резерв — самостоятельное видео</x:v>
      </x:c>
      <x:c r="U74" s="9" t="str">
        <x:f>IF(D74="","Выбрать видео",IF(COUNTIFS($D$7:$D$371,D74)&gt;1,"Повтор","Без повтора"))</x:f>
        <x:v>Без повтора</x:v>
      </x:c>
    </x:row>
    <x:row r="75" ht="60" customHeight="1">
      <x:c r="A75" s="16" t="n">
        <x:v>46377</x:v>
      </x:c>
      <x:c r="B75" s="9" t="str">
        <x:v>Пн</x:v>
      </x:c>
      <x:c r="C75" s="10" t="str">
        <x:v>Интервью</x:v>
      </x:c>
      <x:c r="D75" s="19" t="str">
        <x:v>E78x7xLUM18</x:v>
      </x:c>
      <x:c r="E75" s="10" t="str">
        <x:f>IF(D75="","",IF(COUNTIFS('Видео'!$A$7:$A$1508,D75)=1,INDEX('Видео'!$B$7:$B$1508,MATCH(D75,'Видео'!$A$7:$A$1508,0)),"ID не найден"))</x:f>
        <x:v>האמת על האחים המוסלמים, פרק 1: יסודות האסלאם – עם ד״ר אפרים ברק</x:v>
      </x:c>
      <x:c r="F75" s="9" t="str">
        <x:f>IF(D75="","",IF(COUNTIFS('Видео'!$A$7:$A$1508,D75)=1,INDEX('Видео'!$R$7:$R$1508,MATCH(D75,'Видео'!$A$7:$A$1508,0)),"ID не найден"))</x:f>
        <x:v>C088</x:v>
      </x:c>
      <x:c r="G75" s="9" t="str">
        <x:f>IF(D75="","",IF(COUNTIFS('Видео'!$A$7:$A$1508,D75)=1,INDEX('Видео'!$D$7:$D$1508,MATCH(D75,'Видео'!$A$7:$A$1508,0)),"ID не найден"))</x:f>
        <x:v>Интервью</x:v>
      </x:c>
      <x:c r="H75" s="10" t="str">
        <x:f>IF(D75="","",IF(COUNTIFS('Видео'!$A$7:$A$1508,D75)=1,INDEX('Видео'!$F$7:$F$1508,MATCH(D75,'Видео'!$A$7:$A$1508,0)),"ID не найден"))</x:f>
        <x:v>B2–C1 (гипотеза)</x:v>
      </x:c>
      <x:c r="I75" s="18" t="n">
        <x:f>IF(D75="","",IF(COUNTIFS('Видео'!$A$7:$A$1508,D75)=1,INDEX('Видео'!$G$7:$G$1508,MATCH(D75,'Видео'!$A$7:$A$1508,0)),"ID не найден"))</x:f>
        <x:v>90.6</x:v>
      </x:c>
      <x:c r="J75" s="18" t="n">
        <x:v>10</x:v>
      </x:c>
      <x:c r="K75" s="10" t="str">
        <x:f>IF(D75="","",IF(COUNTIFS('Видео'!$A$7:$A$1508,D75)=1,INDEX('Видео'!$AI$7:$AI$1508,MATCH(D75,'Видео'!$A$7:$A$1508,0)),"ID не найден"))</x:f>
        <x:v>Нужна редактура</x:v>
      </x:c>
      <x:c r="L75" s="19" t="str">
        <x:v>4ToGRLfmps8</x:v>
      </x:c>
      <x:c r="M75" s="10" t="str">
        <x:f>IF(L75="","",IF(COUNTIFS('Видео'!$A$7:$A$1508,L75)=1,INDEX('Видео'!$B$7:$B$1508,MATCH(L75,'Видео'!$A$7:$A$1508,0)),"ID не найден"))</x:f>
        <x:v>הצומת | מפקד 504 לשעבר מדבר - תא״ל במיל׳ גדי זוהר</x:v>
      </x:c>
      <x:c r="N75" s="10" t="str"/>
      <x:c r="O75" s="10" t="str">
        <x:f>IF(D75="","",IF(COUNTIFS('Видео'!$A$7:$A$1508,D75)=1,INDEX('Видео'!$M$7:$M$1508,MATCH(D75,'Видео'!$A$7:$A$1508,0)),"ID не найден"))</x:f>
        <x:v>Тема / гость: האמת על האחים המוסלמים, פרק 1: יסודות האסלאם – עם ד״ר אפרים ברק. Просмотры в списке выше медианы выборки этого цикла в 12.81 раза. Дополнительная перспектива в общественной дискуссии. Включать по конкретной теме и гостю, а не по одной популярности.</x:v>
      </x:c>
      <x:c r="P75" s="11" t="str">
        <x:f>IF(D75="","",IF(COUNTIFS('Видео'!$A$7:$A$1508,D75)=1,INDEX('Видео'!$U$7:$U$1508,MATCH(D75,'Видео'!$A$7:$A$1508,0)),"ID не найден"))</x:f>
        <x:v>https://www.youtube.com/watch?v=E78x7xLUM18</x:v>
      </x:c>
      <x:c r="Q75" s="17" t="str">
        <x:v>Предложено</x:v>
      </x:c>
      <x:c r="R75" s="17" t="str"/>
      <x:c r="S75" s="10" t="str"/>
      <x:c r="T75" s="10" t="str">
        <x:v>Резерв меняет выбор видео; снова проверить повод, аудиторию и все редакторские условия</x:v>
      </x:c>
      <x:c r="U75" s="9" t="str">
        <x:f>IF(D75="","Выбрать видео",IF(COUNTIFS($D$7:$D$371,D75)&gt;1,"Повтор","Без повтора"))</x:f>
        <x:v>Без повтора</x:v>
      </x:c>
    </x:row>
    <x:row r="76" ht="60" customHeight="1">
      <x:c r="A76" s="16" t="n">
        <x:v>46378</x:v>
      </x:c>
      <x:c r="B76" s="9" t="str">
        <x:v>Вт</x:v>
      </x:c>
      <x:c r="C76" s="10" t="str">
        <x:v>Образование</x:v>
      </x:c>
      <x:c r="D76" s="19" t="str">
        <x:v>wMMTH_DWElc</x:v>
      </x:c>
      <x:c r="E76" s="10" t="str">
        <x:f>IF(D76="","",IF(COUNTIFS('Видео'!$A$7:$A$1508,D76)=1,INDEX('Видео'!$B$7:$B$1508,MATCH(D76,'Видео'!$A$7:$A$1508,0)),"ID не найден"))</x:f>
        <x:v>פרפר נחמד 🦋 | פרק 2 - על טעם ועל ריח</x:v>
      </x:c>
      <x:c r="F76" s="9" t="str">
        <x:f>IF(D76="","",IF(COUNTIFS('Видео'!$A$7:$A$1508,D76)=1,INDEX('Видео'!$R$7:$R$1508,MATCH(D76,'Видео'!$A$7:$A$1508,0)),"ID не найден"))</x:f>
        <x:v>C058</x:v>
      </x:c>
      <x:c r="G76" s="9" t="str">
        <x:f>IF(D76="","",IF(COUNTIFS('Видео'!$A$7:$A$1508,D76)=1,INDEX('Видео'!$D$7:$D$1508,MATCH(D76,'Видео'!$A$7:$A$1508,0)),"ID не найден"))</x:f>
        <x:v>Образование</x:v>
      </x:c>
      <x:c r="H76" s="10" t="str">
        <x:f>IF(D76="","",IF(COUNTIFS('Видео'!$A$7:$A$1508,D76)=1,INDEX('Видео'!$F$7:$F$1508,MATCH(D76,'Видео'!$A$7:$A$1508,0)),"ID не найден"))</x:f>
        <x:v>A1–A2 (гипотеза)</x:v>
      </x:c>
      <x:c r="I76" s="18" t="n">
        <x:f>IF(D76="","",IF(COUNTIFS('Видео'!$A$7:$A$1508,D76)=1,INDEX('Видео'!$G$7:$G$1508,MATCH(D76,'Видео'!$A$7:$A$1508,0)),"ID не найден"))</x:f>
        <x:v>23.2</x:v>
      </x:c>
      <x:c r="J76" s="18" t="n">
        <x:v>10</x:v>
      </x:c>
      <x:c r="K76" s="10" t="str">
        <x:f>IF(D76="","",IF(COUNTIFS('Видео'!$A$7:$A$1508,D76)=1,INDEX('Видео'!$AI$7:$AI$1508,MATCH(D76,'Видео'!$A$7:$A$1508,0)),"ID не найден"))</x:f>
        <x:v>Нужна редактура</x:v>
      </x:c>
      <x:c r="L76" s="19" t="str">
        <x:v>WGW4mIfjijk</x:v>
      </x:c>
      <x:c r="M76" s="10" t="str">
        <x:f>IF(L76="","",IF(COUNTIFS('Видео'!$A$7:$A$1508,L76)=1,INDEX('Видео'!$B$7:$B$1508,MATCH(L76,'Видео'!$A$7:$A$1508,0)),"ID не найден"))</x:f>
        <x:v>בקמח חיטה אין גלוטן?</x:v>
      </x:c>
      <x:c r="N76" s="10" t="str"/>
      <x:c r="O76" s="10" t="str">
        <x:f>IF(D76="","",IF(COUNTIFS('Видео'!$A$7:$A$1508,D76)=1,INDEX('Видео'!$M$7:$M$1508,MATCH(D76,'Видео'!$A$7:$A$1508,0)),"ID не найден"))</x:f>
        <x:v>Тема: פרפר נחמד 🦋 | פרק 2 - על טעם ועל ריח. Просмотры в списке выше медианы выборки этого цикла в 2.46 раза. Повторы, песенки и визуальные действия подходят для семейного входа в язык. Взрослым предлагать как отдельную опцию.</x:v>
      </x:c>
      <x:c r="P76" s="11" t="str">
        <x:f>IF(D76="","",IF(COUNTIFS('Видео'!$A$7:$A$1508,D76)=1,INDEX('Видео'!$U$7:$U$1508,MATCH(D76,'Видео'!$A$7:$A$1508,0)),"ID не найден"))</x:f>
        <x:v>https://www.youtube.com/watch?v=wMMTH_DWElc</x:v>
      </x:c>
      <x:c r="Q76" s="17" t="str">
        <x:v>Предложено</x:v>
      </x:c>
      <x:c r="R76" s="17" t="str"/>
      <x:c r="S76" s="10" t="str"/>
      <x:c r="T76" s="10" t="str">
        <x:v>Резерв меняет выбор видео; снова проверить повод, аудиторию и все редакторские условия</x:v>
      </x:c>
      <x:c r="U76" s="9" t="str">
        <x:f>IF(D76="","Выбрать видео",IF(COUNTIFS($D$7:$D$371,D76)&gt;1,"Повтор","Без повтора"))</x:f>
        <x:v>Без повтора</x:v>
      </x:c>
    </x:row>
    <x:row r="77" ht="60" customHeight="1">
      <x:c r="A77" s="16" t="n">
        <x:v>46379</x:v>
      </x:c>
      <x:c r="B77" s="9" t="str">
        <x:v>Ср</x:v>
      </x:c>
      <x:c r="C77" s="10" t="str">
        <x:v>Быт</x:v>
      </x:c>
      <x:c r="D77" s="19" t="str">
        <x:v>iOoe-WvOfQ4</x:v>
      </x:c>
      <x:c r="E77" s="10" t="str">
        <x:f>IF(D77="","",IF(COUNTIFS('Видео'!$A$7:$A$1508,D77)=1,INDEX('Видео'!$B$7:$B$1508,MATCH(D77,'Видео'!$A$7:$A$1508,0)),"ID не найден"))</x:f>
        <x:v>בואו לאכול איתי עונה 8 | דרום - חלק א' (פרק 11)</x:v>
      </x:c>
      <x:c r="F77" s="9" t="str">
        <x:f>IF(D77="","",IF(COUNTIFS('Видео'!$A$7:$A$1508,D77)=1,INDEX('Видео'!$R$7:$R$1508,MATCH(D77,'Видео'!$A$7:$A$1508,0)),"ID не найден"))</x:f>
        <x:v>C023</x:v>
      </x:c>
      <x:c r="G77" s="9" t="str">
        <x:f>IF(D77="","",IF(COUNTIFS('Видео'!$A$7:$A$1508,D77)=1,INDEX('Видео'!$D$7:$D$1508,MATCH(D77,'Видео'!$A$7:$A$1508,0)),"ID не найден"))</x:f>
        <x:v>Быт</x:v>
      </x:c>
      <x:c r="H77" s="10" t="str">
        <x:f>IF(D77="","",IF(COUNTIFS('Видео'!$A$7:$A$1508,D77)=1,INDEX('Видео'!$F$7:$F$1508,MATCH(D77,'Видео'!$A$7:$A$1508,0)),"ID не найден"))</x:f>
        <x:v>B1–B2 (гипотеза)</x:v>
      </x:c>
      <x:c r="I77" s="18" t="n">
        <x:f>IF(D77="","",IF(COUNTIFS('Видео'!$A$7:$A$1508,D77)=1,INDEX('Видео'!$G$7:$G$1508,MATCH(D77,'Видео'!$A$7:$A$1508,0)),"ID не найден"))</x:f>
        <x:v>27.6</x:v>
      </x:c>
      <x:c r="J77" s="18" t="n">
        <x:v>10</x:v>
      </x:c>
      <x:c r="K77" s="10" t="str">
        <x:f>IF(D77="","",IF(COUNTIFS('Видео'!$A$7:$A$1508,D77)=1,INDEX('Видео'!$AI$7:$AI$1508,MATCH(D77,'Видео'!$A$7:$A$1508,0)),"ID не найден"))</x:f>
        <x:v>Нужна редактура</x:v>
      </x:c>
      <x:c r="L77" s="19" t="str">
        <x:v>eJRipXwLmIY</x:v>
      </x:c>
      <x:c r="M77" s="10" t="str">
        <x:f>IF(L77="","",IF(COUNTIFS('Видео'!$A$7:$A$1508,L77)=1,INDEX('Видео'!$B$7:$B$1508,MATCH(L77,'Видео'!$A$7:$A$1508,0)),"ID не найден"))</x:f>
        <x:v>בדרך לעזה עוצרים אצל קובי | דוקותיים</x:v>
      </x:c>
      <x:c r="N77" s="10" t="str"/>
      <x:c r="O77" s="10" t="str">
        <x:f>IF(D77="","",IF(COUNTIFS('Видео'!$A$7:$A$1508,D77)=1,INDEX('Видео'!$M$7:$M$1508,MATCH(D77,'Видео'!$A$7:$A$1508,0)),"ID не найден"))</x:f>
        <x:v>Тема: בואו לאכול איתי עונה 8 | דרום - חלק א' (פרק 11). Просмотры в списке выше медианы выборки этого цикла в 1.53 раза. Еда снижает порог входа для широкой аудитории. В одном выпуске встречаются приглашения, оценки, знакомство и бытовые споры.</x:v>
      </x:c>
      <x:c r="P77" s="11" t="str">
        <x:f>IF(D77="","",IF(COUNTIFS('Видео'!$A$7:$A$1508,D77)=1,INDEX('Видео'!$U$7:$U$1508,MATCH(D77,'Видео'!$A$7:$A$1508,0)),"ID не найден"))</x:f>
        <x:v>https://www.youtube.com/watch?v=iOoe-WvOfQ4</x:v>
      </x:c>
      <x:c r="Q77" s="17" t="str">
        <x:v>Предложено</x:v>
      </x:c>
      <x:c r="R77" s="17" t="str"/>
      <x:c r="S77" s="10" t="str"/>
      <x:c r="T77" s="10" t="str">
        <x:v>Резерв меняет выбор видео; снова проверить повод, аудиторию и все редакторские условия</x:v>
      </x:c>
      <x:c r="U77" s="9" t="str">
        <x:f>IF(D77="","Выбрать видео",IF(COUNTIFS($D$7:$D$371,D77)&gt;1,"Повтор","Без повтора"))</x:f>
        <x:v>Без повтора</x:v>
      </x:c>
    </x:row>
    <x:row r="78" ht="60" customHeight="1">
      <x:c r="A78" s="16" t="n">
        <x:v>46380</x:v>
      </x:c>
      <x:c r="B78" s="9" t="str">
        <x:v>Чт</x:v>
      </x:c>
      <x:c r="C78" s="10" t="str">
        <x:v>Сериал</x:v>
      </x:c>
      <x:c r="D78" s="19" t="str">
        <x:v>fSiYNiCuZiA</x:v>
      </x:c>
      <x:c r="E78" s="10" t="str">
        <x:f>IF(D78="","",IF(COUNTIFS('Видео'!$A$7:$A$1508,D78)=1,INDEX('Видео'!$B$7:$B$1508,MATCH(D78,'Видео'!$A$7:$A$1508,0)),"ID не найден"))</x:f>
        <x:v>המפקדת 📋 | פרק 1 - עיניים אליי! 🔥</x:v>
      </x:c>
      <x:c r="F78" s="9" t="str">
        <x:f>IF(D78="","",IF(COUNTIFS('Видео'!$A$7:$A$1508,D78)=1,INDEX('Видео'!$R$7:$R$1508,MATCH(D78,'Видео'!$A$7:$A$1508,0)),"ID не найден"))</x:f>
        <x:v>C005</x:v>
      </x:c>
      <x:c r="G78" s="9" t="str">
        <x:f>IF(D78="","",IF(COUNTIFS('Видео'!$A$7:$A$1508,D78)=1,INDEX('Видео'!$D$7:$D$1508,MATCH(D78,'Видео'!$A$7:$A$1508,0)),"ID не найден"))</x:f>
        <x:v>Сериал</x:v>
      </x:c>
      <x:c r="H78" s="10" t="str">
        <x:f>IF(D78="","",IF(COUNTIFS('Видео'!$A$7:$A$1508,D78)=1,INDEX('Видео'!$F$7:$F$1508,MATCH(D78,'Видео'!$A$7:$A$1508,0)),"ID не найден"))</x:f>
        <x:v>B2–C1 (гипотеза)</x:v>
      </x:c>
      <x:c r="I78" s="18" t="n">
        <x:f>IF(D78="","",IF(COUNTIFS('Видео'!$A$7:$A$1508,D78)=1,INDEX('Видео'!$G$7:$G$1508,MATCH(D78,'Видео'!$A$7:$A$1508,0)),"ID не найден"))</x:f>
        <x:v>33.7</x:v>
      </x:c>
      <x:c r="J78" s="18" t="n">
        <x:v>10</x:v>
      </x:c>
      <x:c r="K78" s="10" t="str">
        <x:f>IF(D78="","",IF(COUNTIFS('Видео'!$A$7:$A$1508,D78)=1,INDEX('Видео'!$AI$7:$AI$1508,MATCH(D78,'Видео'!$A$7:$A$1508,0)),"ID не найден"))</x:f>
        <x:v>Нужна редактура</x:v>
      </x:c>
      <x:c r="L78" s="19" t="str">
        <x:v>FVYKigw-1hY</x:v>
      </x:c>
      <x:c r="M78" s="10" t="str">
        <x:f>IF(L78="","",IF(COUNTIFS('Видео'!$A$7:$A$1508,L78)=1,INDEX('Видео'!$B$7:$B$1508,MATCH(L78,'Видео'!$A$7:$A$1508,0)),"ID не найден"))</x:f>
        <x:v>למה שכונות בישראל נראות אותו הדבר? | כאן סקרנים</x:v>
      </x:c>
      <x:c r="N78" s="10" t="str"/>
      <x:c r="O78" s="10" t="str">
        <x:f>IF(D78="","",IF(COUNTIFS('Видео'!$A$7:$A$1508,D78)=1,INDEX('Видео'!$M$7:$M$1508,MATCH(D78,'Видео'!$A$7:$A$1508,0)),"ID не найден"))</x:f>
        <x:v>Эпизод 1 в знакомой сюжетной ветке. Просмотры в списке выше медианы выборки этого цикла в 1.61 раза. Армейская повседневность объясняет важный пласт израильских шуток и разговоров. Серийный сюжет поддерживает длительный просмотр.</x:v>
      </x:c>
      <x:c r="P78" s="11" t="str">
        <x:f>IF(D78="","",IF(COUNTIFS('Видео'!$A$7:$A$1508,D78)=1,INDEX('Видео'!$U$7:$U$1508,MATCH(D78,'Видео'!$A$7:$A$1508,0)),"ID не найден"))</x:f>
        <x:v>https://www.youtube.com/watch?v=fSiYNiCuZiA</x:v>
      </x:c>
      <x:c r="Q78" s="17" t="str">
        <x:v>Предложено</x:v>
      </x:c>
      <x:c r="R78" s="17" t="str"/>
      <x:c r="S78" s="10" t="str"/>
      <x:c r="T78" s="10" t="str">
        <x:v>При недоступной серии приостановить сюжетную ветку; резерв — самостоятельное видео</x:v>
      </x:c>
      <x:c r="U78" s="9" t="str">
        <x:f>IF(D78="","Выбрать видео",IF(COUNTIFS($D$7:$D$371,D78)&gt;1,"Повтор","Без повтора"))</x:f>
        <x:v>Без повтора</x:v>
      </x:c>
    </x:row>
    <x:row r="79" ht="60" customHeight="1">
      <x:c r="A79" s="16" t="n">
        <x:v>46381</x:v>
      </x:c>
      <x:c r="B79" s="9" t="str">
        <x:v>Пт</x:v>
      </x:c>
      <x:c r="C79" s="10" t="str">
        <x:v>История</x:v>
      </x:c>
      <x:c r="D79" s="19" t="str">
        <x:v>W_h-xV7Xabs</x:v>
      </x:c>
      <x:c r="E79" s="10" t="str">
        <x:f>IF(D79="","",IF(COUNTIFS('Видео'!$A$7:$A$1508,D79)=1,INDEX('Видео'!$B$7:$B$1508,MATCH(D79,'Видео'!$A$7:$A$1508,0)),"ID не найден"))</x:f>
        <x:v>דיואן יהודי תימן | שיעור 1 - היסטוריה | ד"ר תום פוגל</x:v>
      </x:c>
      <x:c r="F79" s="9" t="str">
        <x:f>IF(D79="","",IF(COUNTIFS('Видео'!$A$7:$A$1508,D79)=1,INDEX('Видео'!$R$7:$R$1508,MATCH(D79,'Видео'!$A$7:$A$1508,0)),"ID не найден"))</x:f>
        <x:v>C067</x:v>
      </x:c>
      <x:c r="G79" s="9" t="str">
        <x:f>IF(D79="","",IF(COUNTIFS('Видео'!$A$7:$A$1508,D79)=1,INDEX('Видео'!$D$7:$D$1508,MATCH(D79,'Видео'!$A$7:$A$1508,0)),"ID не найден"))</x:f>
        <x:v>История</x:v>
      </x:c>
      <x:c r="H79" s="10" t="str">
        <x:f>IF(D79="","",IF(COUNTIFS('Видео'!$A$7:$A$1508,D79)=1,INDEX('Видео'!$F$7:$F$1508,MATCH(D79,'Видео'!$A$7:$A$1508,0)),"ID не найден"))</x:f>
        <x:v>B2–C1 (гипотеза)</x:v>
      </x:c>
      <x:c r="I79" s="18" t="n">
        <x:f>IF(D79="","",IF(COUNTIFS('Видео'!$A$7:$A$1508,D79)=1,INDEX('Видео'!$G$7:$G$1508,MATCH(D79,'Видео'!$A$7:$A$1508,0)),"ID не найден"))</x:f>
        <x:v>39.9</x:v>
      </x:c>
      <x:c r="J79" s="18" t="n">
        <x:v>10</x:v>
      </x:c>
      <x:c r="K79" s="10" t="str">
        <x:f>IF(D79="","",IF(COUNTIFS('Видео'!$A$7:$A$1508,D79)=1,INDEX('Видео'!$AI$7:$AI$1508,MATCH(D79,'Видео'!$A$7:$A$1508,0)),"ID не найден"))</x:f>
        <x:v>Нужна редактура</x:v>
      </x:c>
      <x:c r="L79" s="19" t="str">
        <x:v>UK32fMg3oGs</x:v>
      </x:c>
      <x:c r="M79" s="10" t="str">
        <x:f>IF(L79="","",IF(COUNTIFS('Видео'!$A$7:$A$1508,L79)=1,INDEX('Видео'!$B$7:$B$1508,MATCH(L79,'Видео'!$A$7:$A$1508,0)),"ID не найден"))</x:f>
        <x:v>העברים | "מלך היהודים" - ביאליק | כאן דוקו</x:v>
      </x:c>
      <x:c r="N79" s="10" t="str"/>
      <x:c r="O79" s="10" t="str">
        <x:f>IF(D79="","",IF(COUNTIFS('Видео'!$A$7:$A$1508,D79)=1,INDEX('Видео'!$M$7:$M$1508,MATCH(D79,'Видео'!$A$7:$A$1508,0)),"ID не найден"))</x:f>
        <x:v>Тема: דיואן יהודי תימן | שיעור 1 - היסטוריה | ד"ר תום פוגל. Просмотры в списке выше медианы выборки этого цикла в 3.56 раза. Йеменская традиция показывает разнообразие еврейской культуры.</x:v>
      </x:c>
      <x:c r="P79" s="11" t="str">
        <x:f>IF(D79="","",IF(COUNTIFS('Видео'!$A$7:$A$1508,D79)=1,INDEX('Видео'!$U$7:$U$1508,MATCH(D79,'Видео'!$A$7:$A$1508,0)),"ID не найден"))</x:f>
        <x:v>https://www.youtube.com/watch?v=W_h-xV7Xabs</x:v>
      </x:c>
      <x:c r="Q79" s="17" t="str">
        <x:v>Предложено</x:v>
      </x:c>
      <x:c r="R79" s="17" t="str"/>
      <x:c r="S79" s="10" t="str"/>
      <x:c r="T79" s="10" t="str">
        <x:v>Резерв меняет выбор видео; снова проверить повод, аудиторию и все редакторские условия</x:v>
      </x:c>
      <x:c r="U79" s="9" t="str">
        <x:f>IF(D79="","Выбрать видео",IF(COUNTIFS($D$7:$D$371,D79)&gt;1,"Повтор","Без повтора"))</x:f>
        <x:v>Без повтора</x:v>
      </x:c>
    </x:row>
    <x:row r="80" ht="60" customHeight="1">
      <x:c r="A80" s="16" t="n">
        <x:v>46382</x:v>
      </x:c>
      <x:c r="B80" s="9" t="str">
        <x:v>Сб</x:v>
      </x:c>
      <x:c r="C80" s="10" t="str">
        <x:v>Общество</x:v>
      </x:c>
      <x:c r="D80" s="19" t="str">
        <x:v>scbX6eT1eGA</x:v>
      </x:c>
      <x:c r="E80" s="10" t="str">
        <x:f>IF(D80="","",IF(COUNTIFS('Видео'!$A$7:$A$1508,D80)=1,INDEX('Видео'!$B$7:$B$1508,MATCH(D80,'Видео'!$A$7:$A$1508,0)),"ID не найден"))</x:f>
        <x:v>סליחה על השאלה ילדים 3 | ילדים של מפורסמים</x:v>
      </x:c>
      <x:c r="F80" s="9" t="str">
        <x:f>IF(D80="","",IF(COUNTIFS('Видео'!$A$7:$A$1508,D80)=1,INDEX('Видео'!$R$7:$R$1508,MATCH(D80,'Видео'!$A$7:$A$1508,0)),"ID не найден"))</x:f>
        <x:v>C057</x:v>
      </x:c>
      <x:c r="G80" s="9" t="str">
        <x:f>IF(D80="","",IF(COUNTIFS('Видео'!$A$7:$A$1508,D80)=1,INDEX('Видео'!$D$7:$D$1508,MATCH(D80,'Видео'!$A$7:$A$1508,0)),"ID не найден"))</x:f>
        <x:v>Общество</x:v>
      </x:c>
      <x:c r="H80" s="10" t="str">
        <x:f>IF(D80="","",IF(COUNTIFS('Видео'!$A$7:$A$1508,D80)=1,INDEX('Видео'!$F$7:$F$1508,MATCH(D80,'Видео'!$A$7:$A$1508,0)),"ID не найден"))</x:f>
        <x:v>B1–B2 (гипотеза)</x:v>
      </x:c>
      <x:c r="I80" s="18" t="n">
        <x:f>IF(D80="","",IF(COUNTIFS('Видео'!$A$7:$A$1508,D80)=1,INDEX('Видео'!$G$7:$G$1508,MATCH(D80,'Видео'!$A$7:$A$1508,0)),"ID не найден"))</x:f>
        <x:v>17</x:v>
      </x:c>
      <x:c r="J80" s="18" t="n">
        <x:v>10</x:v>
      </x:c>
      <x:c r="K80" s="10" t="str">
        <x:f>IF(D80="","",IF(COUNTIFS('Видео'!$A$7:$A$1508,D80)=1,INDEX('Видео'!$AI$7:$AI$1508,MATCH(D80,'Видео'!$A$7:$A$1508,0)),"ID не найден"))</x:f>
        <x:v>Нужна редактура</x:v>
      </x:c>
      <x:c r="L80" s="19" t="str">
        <x:v>0B0DP1KqqRQ</x:v>
      </x:c>
      <x:c r="M80" s="10" t="str">
        <x:f>IF(L80="","",IF(COUNTIFS('Видео'!$A$7:$A$1508,L80)=1,INDEX('Видео'!$B$7:$B$1508,MATCH(L80,'Видео'!$A$7:$A$1508,0)),"ID не найден"))</x:f>
        <x:v>"התביישתי שיגידו ששחר חסון המצליח חי עם אחות משוגעת" | כאן מקשיבים לשמרית חסון</x:v>
      </x:c>
      <x:c r="N80" s="10" t="str"/>
      <x:c r="O80" s="10" t="str">
        <x:f>IF(D80="","",IF(COUNTIFS('Видео'!$A$7:$A$1508,D80)=1,INDEX('Видео'!$M$7:$M$1508,MATCH(D80,'Видео'!$A$7:$A$1508,0)),"ID не найден"))</x:f>
        <x:v>Тема: סליחה על השאלה ילדים 3 | ילדים של מפורסמים. Просмотры в списке выше медианы выборки этого цикла в 3.41 раза. Ответы детей дают отдельную перспективу на социальные темы и школьную жизнь.</x:v>
      </x:c>
      <x:c r="P80" s="11" t="str">
        <x:f>IF(D80="","",IF(COUNTIFS('Видео'!$A$7:$A$1508,D80)=1,INDEX('Видео'!$U$7:$U$1508,MATCH(D80,'Видео'!$A$7:$A$1508,0)),"ID не найден"))</x:f>
        <x:v>https://www.youtube.com/watch?v=scbX6eT1eGA</x:v>
      </x:c>
      <x:c r="Q80" s="17" t="str">
        <x:v>Предложено</x:v>
      </x:c>
      <x:c r="R80" s="17" t="str"/>
      <x:c r="S80" s="10" t="str"/>
      <x:c r="T80" s="10" t="str">
        <x:v>Резерв меняет выбор видео; снова проверить повод, аудиторию и все редакторские условия</x:v>
      </x:c>
      <x:c r="U80" s="9" t="str">
        <x:f>IF(D80="","Выбрать видео",IF(COUNTIFS($D$7:$D$371,D80)&gt;1,"Повтор","Без повтора"))</x:f>
        <x:v>Без повтора</x:v>
      </x:c>
    </x:row>
    <x:row r="81" ht="60" customHeight="1">
      <x:c r="A81" s="16" t="n">
        <x:v>46383</x:v>
      </x:c>
      <x:c r="B81" s="9" t="str">
        <x:v>Вс</x:v>
      </x:c>
      <x:c r="C81" s="10" t="str">
        <x:v>Сериал</x:v>
      </x:c>
      <x:c r="D81" s="19" t="str">
        <x:v>FMk5wxwdkQc</x:v>
      </x:c>
      <x:c r="E81" s="10" t="str">
        <x:f>IF(D81="","",IF(COUNTIFS('Видео'!$A$7:$A$1508,D81)=1,INDEX('Видео'!$B$7:$B$1508,MATCH(D81,'Видео'!$A$7:$A$1508,0)),"ID не найден"))</x:f>
        <x:v>קופה ראשית עונה 3🛒 | אמא של טיטינסקי - פרק 11</x:v>
      </x:c>
      <x:c r="F81" s="9" t="str">
        <x:f>IF(D81="","",IF(COUNTIFS('Видео'!$A$7:$A$1508,D81)=1,INDEX('Видео'!$R$7:$R$1508,MATCH(D81,'Видео'!$A$7:$A$1508,0)),"ID не найден"))</x:f>
        <x:v>C003</x:v>
      </x:c>
      <x:c r="G81" s="9" t="str">
        <x:f>IF(D81="","",IF(COUNTIFS('Видео'!$A$7:$A$1508,D81)=1,INDEX('Видео'!$D$7:$D$1508,MATCH(D81,'Видео'!$A$7:$A$1508,0)),"ID не найден"))</x:f>
        <x:v>Сериал</x:v>
      </x:c>
      <x:c r="H81" s="10" t="str">
        <x:f>IF(D81="","",IF(COUNTIFS('Видео'!$A$7:$A$1508,D81)=1,INDEX('Видео'!$F$7:$F$1508,MATCH(D81,'Видео'!$A$7:$A$1508,0)),"ID не найден"))</x:f>
        <x:v>B1–B2 (гипотеза)</x:v>
      </x:c>
      <x:c r="I81" s="18" t="n">
        <x:f>IF(D81="","",IF(COUNTIFS('Видео'!$A$7:$A$1508,D81)=1,INDEX('Видео'!$G$7:$G$1508,MATCH(D81,'Видео'!$A$7:$A$1508,0)),"ID не найден"))</x:f>
        <x:v>24.8</x:v>
      </x:c>
      <x:c r="J81" s="18" t="n">
        <x:v>10</x:v>
      </x:c>
      <x:c r="K81" s="10" t="str">
        <x:f>IF(D81="","",IF(COUNTIFS('Видео'!$A$7:$A$1508,D81)=1,INDEX('Видео'!$AI$7:$AI$1508,MATCH(D81,'Видео'!$A$7:$A$1508,0)),"ID не найден"))</x:f>
        <x:v>Нужна редактура</x:v>
      </x:c>
      <x:c r="L81" s="19" t="str">
        <x:v>QqfcVd_9Z_Y</x:v>
      </x:c>
      <x:c r="M81" s="10" t="str">
        <x:f>IF(L81="","",IF(COUNTIFS('Видео'!$A$7:$A$1508,L81)=1,INDEX('Видео'!$B$7:$B$1508,MATCH(L81,'Видео'!$A$7:$A$1508,0)),"ID не найден"))</x:f>
        <x:v>דניאל שואל - איזה טעם יש לג'וק?</x:v>
      </x:c>
      <x:c r="N81" s="10" t="str"/>
      <x:c r="O81" s="10" t="str">
        <x:f>IF(D81="","",IF(COUNTIFS('Видео'!$A$7:$A$1508,D81)=1,INDEX('Видео'!$M$7:$M$1508,MATCH(D81,'Видео'!$A$7:$A$1508,0)),"ID не найден"))</x:f>
        <x:v>Эпизод 11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81" s="11" t="str">
        <x:f>IF(D81="","",IF(COUNTIFS('Видео'!$A$7:$A$1508,D81)=1,INDEX('Видео'!$U$7:$U$1508,MATCH(D81,'Видео'!$A$7:$A$1508,0)),"ID не найден"))</x:f>
        <x:v>https://www.youtube.com/watch?v=FMk5wxwdkQc</x:v>
      </x:c>
      <x:c r="Q81" s="17" t="str">
        <x:v>Предложено</x:v>
      </x:c>
      <x:c r="R81" s="17" t="str"/>
      <x:c r="S81" s="10" t="str"/>
      <x:c r="T81" s="10" t="str">
        <x:v>При недоступной серии приостановить сюжетную ветку; резерв — самостоятельное видео</x:v>
      </x:c>
      <x:c r="U81" s="9" t="str">
        <x:f>IF(D81="","Выбрать видео",IF(COUNTIFS($D$7:$D$371,D81)&gt;1,"Повтор","Без повтора"))</x:f>
        <x:v>Без повтора</x:v>
      </x:c>
    </x:row>
    <x:row r="82" ht="60" customHeight="1">
      <x:c r="A82" s="16" t="n">
        <x:v>46384</x:v>
      </x:c>
      <x:c r="B82" s="9" t="str">
        <x:v>Пн</x:v>
      </x:c>
      <x:c r="C82" s="10" t="str">
        <x:v>Интервью</x:v>
      </x:c>
      <x:c r="D82" s="19" t="str">
        <x:v>m0A3J3dW2Yk</x:v>
      </x:c>
      <x:c r="E82" s="10" t="str">
        <x:f>IF(D82="","",IF(COUNTIFS('Видео'!$A$7:$A$1508,D82)=1,INDEX('Видео'!$B$7:$B$1508,MATCH(D82,'Видео'!$A$7:$A$1508,0)),"ID не найден"))</x:f>
        <x:v>פגישה עם רוני קובן עונה 11 | נפתלי בנט</x:v>
      </x:c>
      <x:c r="F82" s="9" t="str">
        <x:f>IF(D82="","",IF(COUNTIFS('Видео'!$A$7:$A$1508,D82)=1,INDEX('Видео'!$R$7:$R$1508,MATCH(D82,'Видео'!$A$7:$A$1508,0)),"ID не найден"))</x:f>
        <x:v>C012</x:v>
      </x:c>
      <x:c r="G82" s="9" t="str">
        <x:f>IF(D82="","",IF(COUNTIFS('Видео'!$A$7:$A$1508,D82)=1,INDEX('Видео'!$D$7:$D$1508,MATCH(D82,'Видео'!$A$7:$A$1508,0)),"ID не найден"))</x:f>
        <x:v>Интервью</x:v>
      </x:c>
      <x:c r="H82" s="10" t="str">
        <x:f>IF(D82="","",IF(COUNTIFS('Видео'!$A$7:$A$1508,D82)=1,INDEX('Видео'!$F$7:$F$1508,MATCH(D82,'Видео'!$A$7:$A$1508,0)),"ID не найден"))</x:f>
        <x:v>B2–C1 (гипотеза)</x:v>
      </x:c>
      <x:c r="I82" s="18" t="n">
        <x:f>IF(D82="","",IF(COUNTIFS('Видео'!$A$7:$A$1508,D82)=1,INDEX('Видео'!$G$7:$G$1508,MATCH(D82,'Видео'!$A$7:$A$1508,0)),"ID не найден"))</x:f>
        <x:v>39.5</x:v>
      </x:c>
      <x:c r="J82" s="18" t="n">
        <x:v>10</x:v>
      </x:c>
      <x:c r="K82" s="10" t="str">
        <x:f>IF(D82="","",IF(COUNTIFS('Видео'!$A$7:$A$1508,D82)=1,INDEX('Видео'!$AI$7:$AI$1508,MATCH(D82,'Видео'!$A$7:$A$1508,0)),"ID не найден"))</x:f>
        <x:v>Нужна редактура</x:v>
      </x:c>
      <x:c r="L82" s="19" t="str">
        <x:v>KOZNmE-C1fQ</x:v>
      </x:c>
      <x:c r="M82" s="10" t="str">
        <x:f>IF(L82="","",IF(COUNTIFS('Видео'!$A$7:$A$1508,L82)=1,INDEX('Видео'!$B$7:$B$1508,MATCH(L82,'Видео'!$A$7:$A$1508,0)),"ID не найден"))</x:f>
        <x:v>"עד היום זה פצע אצלי, גירשת אותי מהבית שלי": יעקב ברדוגו פותח הכל</x:v>
      </x:c>
      <x:c r="N82" s="10" t="str"/>
      <x:c r="O82" s="10" t="str">
        <x:f>IF(D82="","",IF(COUNTIFS('Видео'!$A$7:$A$1508,D82)=1,INDEX('Видео'!$M$7:$M$1508,MATCH(D82,'Видео'!$A$7:$A$1508,0)),"ID не найден"))</x:f>
        <x:v>Тема / гость: נפתלי בנט.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82" s="11" t="str">
        <x:f>IF(D82="","",IF(COUNTIFS('Видео'!$A$7:$A$1508,D82)=1,INDEX('Видео'!$U$7:$U$1508,MATCH(D82,'Видео'!$A$7:$A$1508,0)),"ID не найден"))</x:f>
        <x:v>https://www.youtube.com/watch?v=m0A3J3dW2Yk</x:v>
      </x:c>
      <x:c r="Q82" s="17" t="str">
        <x:v>Предложено</x:v>
      </x:c>
      <x:c r="R82" s="17" t="str"/>
      <x:c r="S82" s="10" t="str"/>
      <x:c r="T82" s="10" t="str">
        <x:v>Резерв меняет выбор видео; снова проверить повод, аудиторию и все редакторские условия</x:v>
      </x:c>
      <x:c r="U82" s="9" t="str">
        <x:f>IF(D82="","Выбрать видео",IF(COUNTIFS($D$7:$D$371,D82)&gt;1,"Повтор","Без повтора"))</x:f>
        <x:v>Без повтора</x:v>
      </x:c>
    </x:row>
    <x:row r="83" ht="60" customHeight="1">
      <x:c r="A83" s="16" t="n">
        <x:v>46385</x:v>
      </x:c>
      <x:c r="B83" s="9" t="str">
        <x:v>Вт</x:v>
      </x:c>
      <x:c r="C83" s="10" t="str">
        <x:v>Образование</x:v>
      </x:c>
      <x:c r="D83" s="19" t="str">
        <x:v>ekqdEnbjX0Q</x:v>
      </x:c>
      <x:c r="E83" s="10" t="str">
        <x:f>IF(D83="","",IF(COUNTIFS('Видео'!$A$7:$A$1508,D83)=1,INDEX('Видео'!$B$7:$B$1508,MATCH(D83,'Видео'!$A$7:$A$1508,0)),"ID не найден"))</x:f>
        <x:v>חומרים דוחי יתושים</x:v>
      </x:c>
      <x:c r="F83" s="9" t="str">
        <x:f>IF(D83="","",IF(COUNTIFS('Видео'!$A$7:$A$1508,D83)=1,INDEX('Видео'!$R$7:$R$1508,MATCH(D83,'Видео'!$A$7:$A$1508,0)),"ID не найден"))</x:f>
        <x:v>C059</x:v>
      </x:c>
      <x:c r="G83" s="9" t="str">
        <x:f>IF(D83="","",IF(COUNTIFS('Видео'!$A$7:$A$1508,D83)=1,INDEX('Видео'!$D$7:$D$1508,MATCH(D83,'Видео'!$A$7:$A$1508,0)),"ID не найден"))</x:f>
        <x:v>Образование</x:v>
      </x:c>
      <x:c r="H83" s="10" t="str">
        <x:f>IF(D83="","",IF(COUNTIFS('Видео'!$A$7:$A$1508,D83)=1,INDEX('Видео'!$F$7:$F$1508,MATCH(D83,'Видео'!$A$7:$A$1508,0)),"ID не найден"))</x:f>
        <x:v>B1–B2 (гипотеза)</x:v>
      </x:c>
      <x:c r="I83" s="18" t="n">
        <x:f>IF(D83="","",IF(COUNTIFS('Видео'!$A$7:$A$1508,D83)=1,INDEX('Видео'!$G$7:$G$1508,MATCH(D83,'Видео'!$A$7:$A$1508,0)),"ID не найден"))</x:f>
        <x:v>2</x:v>
      </x:c>
      <x:c r="J83" s="18" t="n">
        <x:v>5</x:v>
      </x:c>
      <x:c r="K83" s="10" t="str">
        <x:f>IF(D83="","",IF(COUNTIFS('Видео'!$A$7:$A$1508,D83)=1,INDEX('Видео'!$AI$7:$AI$1508,MATCH(D83,'Видео'!$A$7:$A$1508,0)),"ID не найден"))</x:f>
        <x:v>Нужна редактура</x:v>
      </x:c>
      <x:c r="L83" s="19" t="str">
        <x:v>dZS5nf-yOtg</x:v>
      </x:c>
      <x:c r="M83" s="10" t="str">
        <x:f>IF(L83="","",IF(COUNTIFS('Видео'!$A$7:$A$1508,L83)=1,INDEX('Видео'!$B$7:$B$1508,MATCH(L83,'Видео'!$A$7:$A$1508,0)),"ID не найден"))</x:f>
        <x:v>כת השטן בישראל - היה או לא היה? | כאן סקרנים</x:v>
      </x:c>
      <x:c r="N83" s="10" t="str"/>
      <x:c r="O83" s="10" t="str">
        <x:f>IF(D83="","",IF(COUNTIFS('Видео'!$A$7:$A$1508,D83)=1,INDEX('Видео'!$M$7:$M$1508,MATCH(D83,'Видео'!$A$7:$A$1508,0)),"ID не найден"))</x:f>
        <x:v>Завершённый короткий просмотр около 2 мин. Просмотры в списке выше медианы выборки этого цикла в 2.83 раза. Научный ответ на конкретный вопрос даёт завершённый материал на короткую сессию.</x:v>
      </x:c>
      <x:c r="P83" s="11" t="str">
        <x:f>IF(D83="","",IF(COUNTIFS('Видео'!$A$7:$A$1508,D83)=1,INDEX('Видео'!$U$7:$U$1508,MATCH(D83,'Видео'!$A$7:$A$1508,0)),"ID не найден"))</x:f>
        <x:v>https://www.youtube.com/watch?v=ekqdEnbjX0Q</x:v>
      </x:c>
      <x:c r="Q83" s="17" t="str">
        <x:v>Предложено</x:v>
      </x:c>
      <x:c r="R83" s="17" t="str"/>
      <x:c r="S83" s="10" t="str"/>
      <x:c r="T83" s="10" t="str">
        <x:v>Резерв меняет выбор видео; снова проверить повод, аудиторию и все редакторские условия</x:v>
      </x:c>
      <x:c r="U83" s="9" t="str">
        <x:f>IF(D83="","Выбрать видео",IF(COUNTIFS($D$7:$D$371,D83)&gt;1,"Повтор","Без повтора"))</x:f>
        <x:v>Без повтора</x:v>
      </x:c>
    </x:row>
    <x:row r="84" ht="60" customHeight="1">
      <x:c r="A84" s="16" t="n">
        <x:v>46386</x:v>
      </x:c>
      <x:c r="B84" s="9" t="str">
        <x:v>Ср</x:v>
      </x:c>
      <x:c r="C84" s="10" t="str">
        <x:v>Быт</x:v>
      </x:c>
      <x:c r="D84" s="19" t="str">
        <x:v>8S5rgP1sHNo</x:v>
      </x:c>
      <x:c r="E84" s="10" t="str">
        <x:f>IF(D84="","",IF(COUNTIFS('Видео'!$A$7:$A$1508,D84)=1,INDEX('Видео'!$B$7:$B$1508,MATCH(D84,'Видео'!$A$7:$A$1508,0)),"ID не найден"))</x:f>
        <x:v>שום פלפל ושמן זית עונה 3 | דניאל כהן</x:v>
      </x:c>
      <x:c r="F84" s="9" t="str">
        <x:f>IF(D84="","",IF(COUNTIFS('Видео'!$A$7:$A$1508,D84)=1,INDEX('Видео'!$R$7:$R$1508,MATCH(D84,'Видео'!$A$7:$A$1508,0)),"ID не найден"))</x:f>
        <x:v>C024</x:v>
      </x:c>
      <x:c r="G84" s="9" t="str">
        <x:f>IF(D84="","",IF(COUNTIFS('Видео'!$A$7:$A$1508,D84)=1,INDEX('Видео'!$D$7:$D$1508,MATCH(D84,'Видео'!$A$7:$A$1508,0)),"ID не найден"))</x:f>
        <x:v>Быт</x:v>
      </x:c>
      <x:c r="H84" s="10" t="str">
        <x:f>IF(D84="","",IF(COUNTIFS('Видео'!$A$7:$A$1508,D84)=1,INDEX('Видео'!$F$7:$F$1508,MATCH(D84,'Видео'!$A$7:$A$1508,0)),"ID не найден"))</x:f>
        <x:v>B1–B2 (гипотеза)</x:v>
      </x:c>
      <x:c r="I84" s="18" t="n">
        <x:f>IF(D84="","",IF(COUNTIFS('Видео'!$A$7:$A$1508,D84)=1,INDEX('Видео'!$G$7:$G$1508,MATCH(D84,'Видео'!$A$7:$A$1508,0)),"ID не найден"))</x:f>
        <x:v>41.2</x:v>
      </x:c>
      <x:c r="J84" s="18" t="n">
        <x:v>10</x:v>
      </x:c>
      <x:c r="K84" s="10" t="str">
        <x:f>IF(D84="","",IF(COUNTIFS('Видео'!$A$7:$A$1508,D84)=1,INDEX('Видео'!$AI$7:$AI$1508,MATCH(D84,'Видео'!$A$7:$A$1508,0)),"ID не найден"))</x:f>
        <x:v>Нужна редактура</x:v>
      </x:c>
      <x:c r="L84" s="19" t="str">
        <x:v>bvitknnGl7g</x:v>
      </x:c>
      <x:c r="M84" s="10" t="str">
        <x:f>IF(L84="","",IF(COUNTIFS('Видео'!$A$7:$A$1508,L84)=1,INDEX('Видео'!$B$7:$B$1508,MATCH(L84,'Видео'!$A$7:$A$1508,0)),"ID не найден"))</x:f>
        <x:v>"מאז תחילת המלחמה יש יותר הומלסים ברחובות" | דוקותיים בבית תמחוי בתל אביב</x:v>
      </x:c>
      <x:c r="N84" s="10" t="str"/>
      <x:c r="O84" s="10" t="str">
        <x:f>IF(D84="","",IF(COUNTIFS('Видео'!$A$7:$A$1508,D84)=1,INDEX('Видео'!$M$7:$M$1508,MATCH(D84,'Видео'!$A$7:$A$1508,0)),"ID не найден"))</x:f>
        <x:v>Тема: שום פלפל ושמן זית עונה 3 | דניאל כהן. Просмотры в списке выше медианы выборки этого цикла в 1.88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P84" s="11" t="str">
        <x:f>IF(D84="","",IF(COUNTIFS('Видео'!$A$7:$A$1508,D84)=1,INDEX('Видео'!$U$7:$U$1508,MATCH(D84,'Видео'!$A$7:$A$1508,0)),"ID не найден"))</x:f>
        <x:v>https://www.youtube.com/watch?v=8S5rgP1sHNo</x:v>
      </x:c>
      <x:c r="Q84" s="17" t="str">
        <x:v>Предложено</x:v>
      </x:c>
      <x:c r="R84" s="17" t="str"/>
      <x:c r="S84" s="10" t="str"/>
      <x:c r="T84" s="10" t="str">
        <x:v>Резерв меняет выбор видео; снова проверить повод, аудиторию и все редакторские условия</x:v>
      </x:c>
      <x:c r="U84" s="9" t="str">
        <x:f>IF(D84="","Выбрать видео",IF(COUNTIFS($D$7:$D$371,D84)&gt;1,"Повтор","Без повтора"))</x:f>
        <x:v>Без повтора</x:v>
      </x:c>
    </x:row>
    <x:row r="85" ht="60" customHeight="1">
      <x:c r="A85" s="16" t="n">
        <x:v>46387</x:v>
      </x:c>
      <x:c r="B85" s="9" t="str">
        <x:v>Чт</x:v>
      </x:c>
      <x:c r="C85" s="10" t="str">
        <x:v>История</x:v>
      </x:c>
      <x:c r="D85" s="19" t="str">
        <x:v>JkTBsaEseDg</x:v>
      </x:c>
      <x:c r="E85" s="10" t="str">
        <x:f>IF(D85="","",IF(COUNTIFS('Видео'!$A$7:$A$1508,D85)=1,INDEX('Видео'!$B$7:$B$1508,MATCH(D85,'Видео'!$A$7:$A$1508,0)),"ID не найден"))</x:f>
        <x:v>תולדות העברית דרך האטימולוגיה | שיעור 1 - מפרוטו שמית לעברית המקראית | אילון גלעד</x:v>
      </x:c>
      <x:c r="F85" s="9" t="str">
        <x:f>IF(D85="","",IF(COUNTIFS('Видео'!$A$7:$A$1508,D85)=1,INDEX('Видео'!$R$7:$R$1508,MATCH(D85,'Видео'!$A$7:$A$1508,0)),"ID не найден"))</x:f>
        <x:v>C065</x:v>
      </x:c>
      <x:c r="G85" s="9" t="str">
        <x:f>IF(D85="","",IF(COUNTIFS('Видео'!$A$7:$A$1508,D85)=1,INDEX('Видео'!$D$7:$D$1508,MATCH(D85,'Видео'!$A$7:$A$1508,0)),"ID не найден"))</x:f>
        <x:v>История</x:v>
      </x:c>
      <x:c r="H85" s="10" t="str">
        <x:f>IF(D85="","",IF(COUNTIFS('Видео'!$A$7:$A$1508,D85)=1,INDEX('Видео'!$F$7:$F$1508,MATCH(D85,'Видео'!$A$7:$A$1508,0)),"ID не найден"))</x:f>
        <x:v>B2–C1 (гипотеза)</x:v>
      </x:c>
      <x:c r="I85" s="18" t="n">
        <x:f>IF(D85="","",IF(COUNTIFS('Видео'!$A$7:$A$1508,D85)=1,INDEX('Видео'!$G$7:$G$1508,MATCH(D85,'Видео'!$A$7:$A$1508,0)),"ID не найден"))</x:f>
        <x:v>35.9</x:v>
      </x:c>
      <x:c r="J85" s="18" t="n">
        <x:v>10</x:v>
      </x:c>
      <x:c r="K85" s="10" t="str">
        <x:f>IF(D85="","",IF(COUNTIFS('Видео'!$A$7:$A$1508,D85)=1,INDEX('Видео'!$AI$7:$AI$1508,MATCH(D85,'Видео'!$A$7:$A$1508,0)),"ID не найден"))</x:f>
        <x:v>Нужна редактура</x:v>
      </x:c>
      <x:c r="L85" s="19" t="str">
        <x:v>0NoPgcB59mk</x:v>
      </x:c>
      <x:c r="M85" s="10" t="str">
        <x:f>IF(L85="","",IF(COUNTIFS('Видео'!$A$7:$A$1508,L85)=1,INDEX('Видео'!$B$7:$B$1508,MATCH(L85,'Видео'!$A$7:$A$1508,0)),"ID не найден"))</x:f>
        <x:v>והארץ הייתה תוהו ובוהו - תולדות ארץ ישראל | פרק 15: מזרח תיכון חדש [HD]</x:v>
      </x:c>
      <x:c r="N85" s="10" t="str">
        <x:v>День иврита: история слов</x:v>
      </x:c>
      <x:c r="O85" s="10" t="str">
        <x:f>IF(D85="","",IF(COUNTIFS('Видео'!$A$7:$A$1508,D85)=1,INDEX('Видео'!$M$7:$M$1508,MATCH(D85,'Видео'!$A$7:$A$1508,0)),"ID не найден"))</x:f>
        <x:v>Тема: תולדות העברית דרך האטימולוגיה | שיעור 1 - מפרוטו שמית לעברית המקראית | אילון גלעד. Просмотры в списке выше медианы выборки этого цикла в 2.67 раза. Этимология связывает слово с историей культуры и даёт прямую ценность изучающим язык.</x:v>
      </x:c>
      <x:c r="P85" s="11" t="str">
        <x:f>IF(D85="","",IF(COUNTIFS('Видео'!$A$7:$A$1508,D85)=1,INDEX('Видео'!$U$7:$U$1508,MATCH(D85,'Видео'!$A$7:$A$1508,0)),"ID не найден"))</x:f>
        <x:v>https://www.youtube.com/watch?v=JkTBsaEseDg</x:v>
      </x:c>
      <x:c r="Q85" s="17" t="str">
        <x:v>Предложено</x:v>
      </x:c>
      <x:c r="R85" s="17" t="str"/>
      <x:c r="S85" s="10" t="str">
        <x:v>https://www.hebcal.com/holidays/2026?i=on</x:v>
      </x:c>
      <x:c r="T85" s="10" t="str">
        <x:v>Резерв меняет выбор видео; снова проверить повод, аудиторию и все редакторские условия</x:v>
      </x:c>
      <x:c r="U85" s="9" t="str">
        <x:f>IF(D85="","Выбрать видео",IF(COUNTIFS($D$7:$D$371,D85)&gt;1,"Повтор","Без повтора"))</x:f>
        <x:v>Без повтора</x:v>
      </x:c>
    </x:row>
    <x:row r="86" ht="60" customHeight="1">
      <x:c r="A86" s="16" t="n">
        <x:v>46388</x:v>
      </x:c>
      <x:c r="B86" s="9" t="str">
        <x:v>Пт</x:v>
      </x:c>
      <x:c r="C86" s="10" t="str">
        <x:v>Культура</x:v>
      </x:c>
      <x:c r="D86" s="19" t="str">
        <x:v>NvMI5MOzlTQ</x:v>
      </x:c>
      <x:c r="E86" s="10" t="str">
        <x:f>IF(D86="","",IF(COUNTIFS('Видео'!$A$7:$A$1508,D86)=1,INDEX('Видео'!$B$7:$B$1508,MATCH(D86,'Видео'!$A$7:$A$1508,0)),"ID не найден"))</x:f>
        <x:v>המלך, החלום ואלף זהובים: המשל המיוחד שסיפר הבן איש חי</x:v>
      </x:c>
      <x:c r="F86" s="9" t="str">
        <x:f>IF(D86="","",IF(COUNTIFS('Видео'!$A$7:$A$1508,D86)=1,INDEX('Видео'!$R$7:$R$1508,MATCH(D86,'Видео'!$A$7:$A$1508,0)),"ID не найден"))</x:f>
        <x:v>C085</x:v>
      </x:c>
      <x:c r="G86" s="9" t="str">
        <x:f>IF(D86="","",IF(COUNTIFS('Видео'!$A$7:$A$1508,D86)=1,INDEX('Видео'!$D$7:$D$1508,MATCH(D86,'Видео'!$A$7:$A$1508,0)),"ID не найден"))</x:f>
        <x:v>Культура</x:v>
      </x:c>
      <x:c r="H86" s="10" t="str">
        <x:f>IF(D86="","",IF(COUNTIFS('Видео'!$A$7:$A$1508,D86)=1,INDEX('Видео'!$F$7:$F$1508,MATCH(D86,'Видео'!$A$7:$A$1508,0)),"ID не найден"))</x:f>
        <x:v>B1–B2 (гипотеза)</x:v>
      </x:c>
      <x:c r="I86" s="18" t="n">
        <x:f>IF(D86="","",IF(COUNTIFS('Видео'!$A$7:$A$1508,D86)=1,INDEX('Видео'!$G$7:$G$1508,MATCH(D86,'Видео'!$A$7:$A$1508,0)),"ID не найден"))</x:f>
        <x:v>1.3</x:v>
      </x:c>
      <x:c r="J86" s="18" t="n">
        <x:v>5</x:v>
      </x:c>
      <x:c r="K86" s="10" t="str">
        <x:f>IF(D86="","",IF(COUNTIFS('Видео'!$A$7:$A$1508,D86)=1,INDEX('Видео'!$AI$7:$AI$1508,MATCH(D86,'Видео'!$A$7:$A$1508,0)),"ID не найден"))</x:f>
        <x:v>Нужна редактура</x:v>
      </x:c>
      <x:c r="L86" s="19" t="str">
        <x:v>Qr0d3EoeSKo</x:v>
      </x:c>
      <x:c r="M86" s="10" t="str">
        <x:f>IF(L86="","",IF(COUNTIFS('Видео'!$A$7:$A$1508,L86)=1,INDEX('Видео'!$B$7:$B$1508,MATCH(L86,'Видео'!$A$7:$A$1508,0)),"ID не найден"))</x:f>
        <x:v>שיר אחד 🎤 עיבוד טלוויזיוני להסכת | בועז שרעבי - לתת - פרק אחרון לעונה</x:v>
      </x:c>
      <x:c r="N86" s="10" t="str"/>
      <x:c r="O86" s="10" t="str">
        <x:f>IF(D86="","",IF(COUNTIFS('Видео'!$A$7:$A$1508,D86)=1,INDEX('Видео'!$M$7:$M$1508,MATCH(D86,'Видео'!$A$7:$A$1508,0)),"ID не найден"))</x:f>
        <x:v>Завершённый короткий просмотр около 1 мин. Просмотры в списке выше медианы выборки этого цикла в 2.58 раза. Истории мудрецов Востока расширяют предложение для традиционно ориентированных зрителей.</x:v>
      </x:c>
      <x:c r="P86" s="11" t="str">
        <x:f>IF(D86="","",IF(COUNTIFS('Видео'!$A$7:$A$1508,D86)=1,INDEX('Видео'!$U$7:$U$1508,MATCH(D86,'Видео'!$A$7:$A$1508,0)),"ID не найден"))</x:f>
        <x:v>https://www.youtube.com/watch?v=NvMI5MOzlTQ</x:v>
      </x:c>
      <x:c r="Q86" s="17" t="str">
        <x:v>Предложено</x:v>
      </x:c>
      <x:c r="R86" s="17" t="str"/>
      <x:c r="S86" s="10" t="str"/>
      <x:c r="T86" s="10" t="str">
        <x:v>Резерв меняет выбор видео; снова проверить повод, аудиторию и все редакторские условия</x:v>
      </x:c>
      <x:c r="U86" s="9" t="str">
        <x:f>IF(D86="","Выбрать видео",IF(COUNTIFS($D$7:$D$371,D86)&gt;1,"Повтор","Без повтора"))</x:f>
        <x:v>Без повтора</x:v>
      </x:c>
    </x:row>
    <x:row r="87" ht="60" customHeight="1">
      <x:c r="A87" s="16" t="n">
        <x:v>46389</x:v>
      </x:c>
      <x:c r="B87" s="9" t="str">
        <x:v>Сб</x:v>
      </x:c>
      <x:c r="C87" s="10" t="str">
        <x:v>Память</x:v>
      </x:c>
      <x:c r="D87" s="19" t="str">
        <x:v>aBukORxY7Ng</x:v>
      </x:c>
      <x:c r="E87" s="10" t="str">
        <x:f>IF(D87="","",IF(COUNTIFS('Видео'!$A$7:$A$1508,D87)=1,INDEX('Видео'!$B$7:$B$1508,MATCH(D87,'Видео'!$A$7:$A$1508,0)),"ID не найден"))</x:f>
        <x:v>"ההורים שלי, אחי הקטן והכלב נרצחו בבית" | העדות של הדר זק מקיבוץ כיסופים</x:v>
      </x:c>
      <x:c r="F87" s="9" t="str">
        <x:f>IF(D87="","",IF(COUNTIFS('Видео'!$A$7:$A$1508,D87)=1,INDEX('Видео'!$R$7:$R$1508,MATCH(D87,'Видео'!$A$7:$A$1508,0)),"ID не найден"))</x:f>
        <x:v>C052</x:v>
      </x:c>
      <x:c r="G87" s="9" t="str">
        <x:f>IF(D87="","",IF(COUNTIFS('Видео'!$A$7:$A$1508,D87)=1,INDEX('Видео'!$D$7:$D$1508,MATCH(D87,'Видео'!$A$7:$A$1508,0)),"ID не найден"))</x:f>
        <x:v>Память</x:v>
      </x:c>
      <x:c r="H87" s="10" t="str">
        <x:f>IF(D87="","",IF(COUNTIFS('Видео'!$A$7:$A$1508,D87)=1,INDEX('Видео'!$F$7:$F$1508,MATCH(D87,'Видео'!$A$7:$A$1508,0)),"ID не найден"))</x:f>
        <x:v>B2–C1 (гипотеза)</x:v>
      </x:c>
      <x:c r="I87" s="18" t="n">
        <x:f>IF(D87="","",IF(COUNTIFS('Видео'!$A$7:$A$1508,D87)=1,INDEX('Видео'!$G$7:$G$1508,MATCH(D87,'Видео'!$A$7:$A$1508,0)),"ID не найден"))</x:f>
        <x:v>12</x:v>
      </x:c>
      <x:c r="J87" s="18" t="n">
        <x:v>10</x:v>
      </x:c>
      <x:c r="K87" s="10" t="str">
        <x:f>IF(D87="","",IF(COUNTIFS('Видео'!$A$7:$A$1508,D87)=1,INDEX('Видео'!$AI$7:$AI$1508,MATCH(D87,'Видео'!$A$7:$A$1508,0)),"ID не найден"))</x:f>
        <x:v>Нужна редактура</x:v>
      </x:c>
      <x:c r="L87" s="19" t="str">
        <x:v>woIx3hAYVOQ</x:v>
      </x:c>
      <x:c r="M87" s="10" t="str">
        <x:f>IF(L87="","",IF(COUNTIFS('Видео'!$A$7:$A$1508,L87)=1,INDEX('Видео'!$B$7:$B$1508,MATCH(L87,'Видео'!$A$7:$A$1508,0)),"ID не найден"))</x:f>
        <x:v>שאלות שרצינו לשאול – שיחות עם ניצולי שואה. פרק שני: בין עבר להווה</x:v>
      </x:c>
      <x:c r="N87" s="10" t="str">
        <x:v>Ежемесячная добровольная рубрика памяти 7 октября</x:v>
      </x:c>
      <x:c r="O87" s="10" t="str">
        <x:f>IF(D87="","",IF(COUNTIFS('Видео'!$A$7:$A$1508,D87)=1,INDEX('Видео'!$M$7:$M$1508,MATCH(D87,'Видео'!$A$7:$A$1508,0)),"ID не найден"))</x:f>
        <x:v>Тема: "ההורים שלי, אחי הקטן והכלב נרצחו בבית" | העדות של הדר זק מקיבוץ כיסופים. Короткие истории музейного проекта дополняют длинные фильмы и позволяют выбирать посильный объём.</x:v>
      </x:c>
      <x:c r="P87" s="11" t="str">
        <x:f>IF(D87="","",IF(COUNTIFS('Видео'!$A$7:$A$1508,D87)=1,INDEX('Видео'!$U$7:$U$1508,MATCH(D87,'Видео'!$A$7:$A$1508,0)),"ID не найден"))</x:f>
        <x:v>https://www.youtube.com/watch?v=aBukORxY7Ng</x:v>
      </x:c>
      <x:c r="Q87" s="17" t="str">
        <x:v>Предложено</x:v>
      </x:c>
      <x:c r="R87" s="17" t="str"/>
      <x:c r="S87" s="10" t="str">
        <x:v>Редакционная периодичность, не памятная дата</x:v>
      </x:c>
      <x:c r="T87" s="10" t="str">
        <x:v>Резерв меняет выбор видео; снова проверить повод, аудиторию и все редакторские условия</x:v>
      </x:c>
      <x:c r="U87" s="9" t="str">
        <x:f>IF(D87="","Выбрать видео",IF(COUNTIFS($D$7:$D$371,D87)&gt;1,"Повтор","Без повтора"))</x:f>
        <x:v>Без повтора</x:v>
      </x:c>
    </x:row>
    <x:row r="88" ht="60" customHeight="1">
      <x:c r="A88" s="16" t="n">
        <x:v>46390</x:v>
      </x:c>
      <x:c r="B88" s="9" t="str">
        <x:v>Вс</x:v>
      </x:c>
      <x:c r="C88" s="10" t="str">
        <x:v>Сериал</x:v>
      </x:c>
      <x:c r="D88" s="19" t="str">
        <x:v>cUfwFKT4DvA</x:v>
      </x:c>
      <x:c r="E88" s="10" t="str">
        <x:f>IF(D88="","",IF(COUNTIFS('Видео'!$A$7:$A$1508,D88)=1,INDEX('Видео'!$B$7:$B$1508,MATCH(D88,'Видео'!$A$7:$A$1508,0)),"ID не найден"))</x:f>
        <x:v>קופה ראשית עונה 3🛒 | אבא של טיטינסקי - פרק 12</x:v>
      </x:c>
      <x:c r="F88" s="9" t="str">
        <x:f>IF(D88="","",IF(COUNTIFS('Видео'!$A$7:$A$1508,D88)=1,INDEX('Видео'!$R$7:$R$1508,MATCH(D88,'Видео'!$A$7:$A$1508,0)),"ID не найден"))</x:f>
        <x:v>C003</x:v>
      </x:c>
      <x:c r="G88" s="9" t="str">
        <x:f>IF(D88="","",IF(COUNTIFS('Видео'!$A$7:$A$1508,D88)=1,INDEX('Видео'!$D$7:$D$1508,MATCH(D88,'Видео'!$A$7:$A$1508,0)),"ID не найден"))</x:f>
        <x:v>Сериал</x:v>
      </x:c>
      <x:c r="H88" s="10" t="str">
        <x:f>IF(D88="","",IF(COUNTIFS('Видео'!$A$7:$A$1508,D88)=1,INDEX('Видео'!$F$7:$F$1508,MATCH(D88,'Видео'!$A$7:$A$1508,0)),"ID не найден"))</x:f>
        <x:v>B1–B2 (гипотеза)</x:v>
      </x:c>
      <x:c r="I88" s="18" t="n">
        <x:f>IF(D88="","",IF(COUNTIFS('Видео'!$A$7:$A$1508,D88)=1,INDEX('Видео'!$G$7:$G$1508,MATCH(D88,'Видео'!$A$7:$A$1508,0)),"ID не найден"))</x:f>
        <x:v>25.4</x:v>
      </x:c>
      <x:c r="J88" s="18" t="n">
        <x:v>10</x:v>
      </x:c>
      <x:c r="K88" s="10" t="str">
        <x:f>IF(D88="","",IF(COUNTIFS('Видео'!$A$7:$A$1508,D88)=1,INDEX('Видео'!$AI$7:$AI$1508,MATCH(D88,'Видео'!$A$7:$A$1508,0)),"ID не найден"))</x:f>
        <x:v>Нужна редактура</x:v>
      </x:c>
      <x:c r="L88" s="19" t="str">
        <x:v>SfIw73eIGYI</x:v>
      </x:c>
      <x:c r="M88" s="10" t="str">
        <x:f>IF(L88="","",IF(COUNTIFS('Видео'!$A$7:$A$1508,L88)=1,INDEX('Видео'!$B$7:$B$1508,MATCH(L88,'Видео'!$A$7:$A$1508,0)),"ID не найден"))</x:f>
        <x:v>חיות כיס | מה הבעיה עם השליחים של וולט? 🚲🍔</x:v>
      </x:c>
      <x:c r="N88" s="10" t="str"/>
      <x:c r="O88" s="10" t="str">
        <x:f>IF(D88="","",IF(COUNTIFS('Видео'!$A$7:$A$1508,D88)=1,INDEX('Видео'!$M$7:$M$1508,MATCH(D88,'Видео'!$A$7:$A$1508,0)),"ID не найден"))</x:f>
        <x:v>Эпизод 12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88" s="11" t="str">
        <x:f>IF(D88="","",IF(COUNTIFS('Видео'!$A$7:$A$1508,D88)=1,INDEX('Видео'!$U$7:$U$1508,MATCH(D88,'Видео'!$A$7:$A$1508,0)),"ID не найден"))</x:f>
        <x:v>https://www.youtube.com/watch?v=cUfwFKT4DvA</x:v>
      </x:c>
      <x:c r="Q88" s="17" t="str">
        <x:v>Предложено</x:v>
      </x:c>
      <x:c r="R88" s="17" t="str"/>
      <x:c r="S88" s="10" t="str"/>
      <x:c r="T88" s="10" t="str">
        <x:v>При недоступной серии приостановить сюжетную ветку; резерв — самостоятельное видео</x:v>
      </x:c>
      <x:c r="U88" s="9" t="str">
        <x:f>IF(D88="","Выбрать видео",IF(COUNTIFS($D$7:$D$371,D88)&gt;1,"Повтор","Без повтора"))</x:f>
        <x:v>Без повтора</x:v>
      </x:c>
    </x:row>
    <x:row r="89" ht="60" customHeight="1">
      <x:c r="A89" s="16" t="n">
        <x:v>46391</x:v>
      </x:c>
      <x:c r="B89" s="9" t="str">
        <x:v>Пн</x:v>
      </x:c>
      <x:c r="C89" s="10" t="str">
        <x:v>Интервью</x:v>
      </x:c>
      <x:c r="D89" s="19" t="str">
        <x:v>oj72q5Aci_g</x:v>
      </x:c>
      <x:c r="E89" s="10" t="str">
        <x:f>IF(D89="","",IF(COUNTIFS('Видео'!$A$7:$A$1508,D89)=1,INDEX('Видео'!$B$7:$B$1508,MATCH(D89,'Видео'!$A$7:$A$1508,0)),"ID не найден"))</x:f>
        <x:v>פגישה עם רוני קובן עונה 10 | יעקב ברדוגו</x:v>
      </x:c>
      <x:c r="F89" s="9" t="str">
        <x:f>IF(D89="","",IF(COUNTIFS('Видео'!$A$7:$A$1508,D89)=1,INDEX('Видео'!$R$7:$R$1508,MATCH(D89,'Видео'!$A$7:$A$1508,0)),"ID не найден"))</x:f>
        <x:v>C013</x:v>
      </x:c>
      <x:c r="G89" s="9" t="str">
        <x:f>IF(D89="","",IF(COUNTIFS('Видео'!$A$7:$A$1508,D89)=1,INDEX('Видео'!$D$7:$D$1508,MATCH(D89,'Видео'!$A$7:$A$1508,0)),"ID не найден"))</x:f>
        <x:v>Интервью</x:v>
      </x:c>
      <x:c r="H89" s="10" t="str">
        <x:f>IF(D89="","",IF(COUNTIFS('Видео'!$A$7:$A$1508,D89)=1,INDEX('Видео'!$F$7:$F$1508,MATCH(D89,'Видео'!$A$7:$A$1508,0)),"ID не найден"))</x:f>
        <x:v>B2–C1 (гипотеза)</x:v>
      </x:c>
      <x:c r="I89" s="18" t="n">
        <x:f>IF(D89="","",IF(COUNTIFS('Видео'!$A$7:$A$1508,D89)=1,INDEX('Видео'!$G$7:$G$1508,MATCH(D89,'Видео'!$A$7:$A$1508,0)),"ID не найден"))</x:f>
        <x:v>45.2</x:v>
      </x:c>
      <x:c r="J89" s="18" t="n">
        <x:v>10</x:v>
      </x:c>
      <x:c r="K89" s="10" t="str">
        <x:f>IF(D89="","",IF(COUNTIFS('Видео'!$A$7:$A$1508,D89)=1,INDEX('Видео'!$AI$7:$AI$1508,MATCH(D89,'Видео'!$A$7:$A$1508,0)),"ID не найден"))</x:f>
        <x:v>Нужна редактура</x:v>
      </x:c>
      <x:c r="L89" s="19" t="str">
        <x:v>uVl0z-yOZhA</x:v>
      </x:c>
      <x:c r="M89" s="10" t="str">
        <x:f>IF(L89="","",IF(COUNTIFS('Видео'!$A$7:$A$1508,L89)=1,INDEX('Видео'!$B$7:$B$1508,MATCH(L89,'Видео'!$A$7:$A$1508,0)),"ID не найден"))</x:f>
        <x:v>פגישה עם רוני קובן עונה 9 | שלום אסייג</x:v>
      </x:c>
      <x:c r="N89" s="10" t="str"/>
      <x:c r="O89" s="10" t="str">
        <x:f>IF(D89="","",IF(COUNTIFS('Видео'!$A$7:$A$1508,D89)=1,INDEX('Видео'!$M$7:$M$1508,MATCH(D89,'Видео'!$A$7:$A$1508,0)),"ID не найден"))</x:f>
        <x:v>Тема / гость: יעקב ברדוגו. Просмотры в списке выше медианы выборки этого цикла в 2.0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89" s="11" t="str">
        <x:f>IF(D89="","",IF(COUNTIFS('Видео'!$A$7:$A$1508,D89)=1,INDEX('Видео'!$U$7:$U$1508,MATCH(D89,'Видео'!$A$7:$A$1508,0)),"ID не найден"))</x:f>
        <x:v>https://www.youtube.com/watch?v=oj72q5Aci_g</x:v>
      </x:c>
      <x:c r="Q89" s="17" t="str">
        <x:v>Предложено</x:v>
      </x:c>
      <x:c r="R89" s="17" t="str"/>
      <x:c r="S89" s="10" t="str"/>
      <x:c r="T89" s="10" t="str">
        <x:v>Резерв меняет выбор видео; снова проверить повод, аудиторию и все редакторские условия</x:v>
      </x:c>
      <x:c r="U89" s="9" t="str">
        <x:f>IF(D89="","Выбрать видео",IF(COUNTIFS($D$7:$D$371,D89)&gt;1,"Повтор","Без повтора"))</x:f>
        <x:v>Без повтора</x:v>
      </x:c>
    </x:row>
    <x:row r="90" ht="60" customHeight="1">
      <x:c r="A90" s="16" t="n">
        <x:v>46392</x:v>
      </x:c>
      <x:c r="B90" s="9" t="str">
        <x:v>Вт</x:v>
      </x:c>
      <x:c r="C90" s="10" t="str">
        <x:v>Образование</x:v>
      </x:c>
      <x:c r="D90" s="19" t="str">
        <x:v>6m5wu1itNQA</x:v>
      </x:c>
      <x:c r="E90" s="10" t="str">
        <x:f>IF(D90="","",IF(COUNTIFS('Видео'!$A$7:$A$1508,D90)=1,INDEX('Видео'!$B$7:$B$1508,MATCH(D90,'Видео'!$A$7:$A$1508,0)),"ID не найден"))</x:f>
        <x:v>איך להדליק נורה בלי לחבר אותה לחשמל?</x:v>
      </x:c>
      <x:c r="F90" s="9" t="str">
        <x:f>IF(D90="","",IF(COUNTIFS('Видео'!$A$7:$A$1508,D90)=1,INDEX('Видео'!$R$7:$R$1508,MATCH(D90,'Видео'!$A$7:$A$1508,0)),"ID не найден"))</x:f>
        <x:v>C060</x:v>
      </x:c>
      <x:c r="G90" s="9" t="str">
        <x:f>IF(D90="","",IF(COUNTIFS('Видео'!$A$7:$A$1508,D90)=1,INDEX('Видео'!$D$7:$D$1508,MATCH(D90,'Видео'!$A$7:$A$1508,0)),"ID не найден"))</x:f>
        <x:v>Образование</x:v>
      </x:c>
      <x:c r="H90" s="10" t="str">
        <x:f>IF(D90="","",IF(COUNTIFS('Видео'!$A$7:$A$1508,D90)=1,INDEX('Видео'!$F$7:$F$1508,MATCH(D90,'Видео'!$A$7:$A$1508,0)),"ID не найден"))</x:f>
        <x:v>B1–B2 (гипотеза)</x:v>
      </x:c>
      <x:c r="I90" s="18" t="n">
        <x:f>IF(D90="","",IF(COUNTIFS('Видео'!$A$7:$A$1508,D90)=1,INDEX('Видео'!$G$7:$G$1508,MATCH(D90,'Видео'!$A$7:$A$1508,0)),"ID не найден"))</x:f>
        <x:v>4.6</x:v>
      </x:c>
      <x:c r="J90" s="18" t="n">
        <x:v>5</x:v>
      </x:c>
      <x:c r="K90" s="10" t="str">
        <x:f>IF(D90="","",IF(COUNTIFS('Видео'!$A$7:$A$1508,D90)=1,INDEX('Видео'!$AI$7:$AI$1508,MATCH(D90,'Видео'!$A$7:$A$1508,0)),"ID не найден"))</x:f>
        <x:v>Нужна редактура</x:v>
      </x:c>
      <x:c r="L90" s="19" t="str">
        <x:v>wdXxz8JhCxs</x:v>
      </x:c>
      <x:c r="M90" s="10" t="str">
        <x:f>IF(L90="","",IF(COUNTIFS('Видео'!$A$7:$A$1508,L90)=1,INDEX('Видео'!$B$7:$B$1508,MATCH(L90,'Видео'!$A$7:$A$1508,0)),"ID не найден"))</x:f>
        <x:v>גלילאו עונה 9 | מה קורה אחרי שבולעים מסטיק?</x:v>
      </x:c>
      <x:c r="N90" s="10" t="str"/>
      <x:c r="O90" s="10" t="str">
        <x:f>IF(D90="","",IF(COUNTIFS('Видео'!$A$7:$A$1508,D90)=1,INDEX('Видео'!$M$7:$M$1508,MATCH(D90,'Видео'!$A$7:$A$1508,0)),"ID не найден"))</x:f>
        <x:v>Завершённый короткий просмотр около 5 мин. Просмотры в списке выше медианы выборки этого цикла в 9.29 раза. Неожиданный научный факт поддерживает любопытство и интерес к короткому просмотру.</x:v>
      </x:c>
      <x:c r="P90" s="11" t="str">
        <x:f>IF(D90="","",IF(COUNTIFS('Видео'!$A$7:$A$1508,D90)=1,INDEX('Видео'!$U$7:$U$1508,MATCH(D90,'Видео'!$A$7:$A$1508,0)),"ID не найден"))</x:f>
        <x:v>https://www.youtube.com/watch?v=6m5wu1itNQA</x:v>
      </x:c>
      <x:c r="Q90" s="17" t="str">
        <x:v>Предложено</x:v>
      </x:c>
      <x:c r="R90" s="17" t="str"/>
      <x:c r="S90" s="10" t="str"/>
      <x:c r="T90" s="10" t="str">
        <x:v>Резерв меняет выбор видео; снова проверить повод, аудиторию и все редакторские условия</x:v>
      </x:c>
      <x:c r="U90" s="9" t="str">
        <x:f>IF(D90="","Выбрать видео",IF(COUNTIFS($D$7:$D$371,D90)&gt;1,"Повтор","Без повтора"))</x:f>
        <x:v>Без повтора</x:v>
      </x:c>
    </x:row>
    <x:row r="91" ht="60" customHeight="1">
      <x:c r="A91" s="16" t="n">
        <x:v>46393</x:v>
      </x:c>
      <x:c r="B91" s="9" t="str">
        <x:v>Ср</x:v>
      </x:c>
      <x:c r="C91" s="10" t="str">
        <x:v>Быт</x:v>
      </x:c>
      <x:c r="D91" s="19" t="str">
        <x:v>UAKmESRIA2U</x:v>
      </x:c>
      <x:c r="E91" s="10" t="str">
        <x:f>IF(D91="","",IF(COUNTIFS('Видео'!$A$7:$A$1508,D91)=1,INDEX('Видео'!$B$7:$B$1508,MATCH(D91,'Видео'!$A$7:$A$1508,0)),"ID не найден"))</x:f>
        <x:v>טיול אחרי צבא - סובב ישראל 🚐🇮🇱 | פרק 2 - חשיפה לצפון</x:v>
      </x:c>
      <x:c r="F91" s="9" t="str">
        <x:f>IF(D91="","",IF(COUNTIFS('Видео'!$A$7:$A$1508,D91)=1,INDEX('Видео'!$R$7:$R$1508,MATCH(D91,'Видео'!$A$7:$A$1508,0)),"ID не найден"))</x:f>
        <x:v>C038</x:v>
      </x:c>
      <x:c r="G91" s="9" t="str">
        <x:f>IF(D91="","",IF(COUNTIFS('Видео'!$A$7:$A$1508,D91)=1,INDEX('Видео'!$D$7:$D$1508,MATCH(D91,'Видео'!$A$7:$A$1508,0)),"ID не найден"))</x:f>
        <x:v>Быт</x:v>
      </x:c>
      <x:c r="H91" s="10" t="str">
        <x:f>IF(D91="","",IF(COUNTIFS('Видео'!$A$7:$A$1508,D91)=1,INDEX('Видео'!$F$7:$F$1508,MATCH(D91,'Видео'!$A$7:$A$1508,0)),"ID не найден"))</x:f>
        <x:v>B1–B2 (гипотеза)</x:v>
      </x:c>
      <x:c r="I91" s="18" t="n">
        <x:f>IF(D91="","",IF(COUNTIFS('Видео'!$A$7:$A$1508,D91)=1,INDEX('Видео'!$G$7:$G$1508,MATCH(D91,'Видео'!$A$7:$A$1508,0)),"ID не найден"))</x:f>
        <x:v>46.7</x:v>
      </x:c>
      <x:c r="J91" s="18" t="n">
        <x:v>10</x:v>
      </x:c>
      <x:c r="K91" s="10" t="str">
        <x:f>IF(D91="","",IF(COUNTIFS('Видео'!$A$7:$A$1508,D91)=1,INDEX('Видео'!$AI$7:$AI$1508,MATCH(D91,'Видео'!$A$7:$A$1508,0)),"ID не найден"))</x:f>
        <x:v>Нужна редактура</x:v>
      </x:c>
      <x:c r="L91" s="19" t="str">
        <x:v>0XnxCjaxVGA</x:v>
      </x:c>
      <x:c r="M91" s="10" t="str">
        <x:f>IF(L91="","",IF(COUNTIFS('Видео'!$A$7:$A$1508,L91)=1,INDEX('Видео'!$B$7:$B$1508,MATCH(L91,'Видео'!$A$7:$A$1508,0)),"ID не найден"))</x:f>
        <x:v>"יש לי את העבודה הכי טובה בעולם" - הווטרינר שמציל כלבים נכים מהמתת חסד | דוקותיים</x:v>
      </x:c>
      <x:c r="N91" s="10" t="str"/>
      <x:c r="O91" s="10" t="str">
        <x:f>IF(D91="","",IF(COUNTIFS('Видео'!$A$7:$A$1508,D91)=1,INDEX('Видео'!$M$7:$M$1508,MATCH(D91,'Видео'!$A$7:$A$1508,0)),"ID не найден"))</x:f>
        <x:v>Тема: טיול אחרי צבא - סובב ישראל 🚐🇮🇱 | פרק 2 - חשיפה לצפון. Маршрут по стране помогает связывать язык с местами и планами путешествия. Визуальные подсказки облегчают понимание.</x:v>
      </x:c>
      <x:c r="P91" s="11" t="str">
        <x:f>IF(D91="","",IF(COUNTIFS('Видео'!$A$7:$A$1508,D91)=1,INDEX('Видео'!$U$7:$U$1508,MATCH(D91,'Видео'!$A$7:$A$1508,0)),"ID не найден"))</x:f>
        <x:v>https://www.youtube.com/watch?v=UAKmESRIA2U</x:v>
      </x:c>
      <x:c r="Q91" s="17" t="str">
        <x:v>Предложено</x:v>
      </x:c>
      <x:c r="R91" s="17" t="str"/>
      <x:c r="S91" s="10" t="str"/>
      <x:c r="T91" s="10" t="str">
        <x:v>Резерв меняет выбор видео; снова проверить повод, аудиторию и все редакторские условия</x:v>
      </x:c>
      <x:c r="U91" s="9" t="str">
        <x:f>IF(D91="","Выбрать видео",IF(COUNTIFS($D$7:$D$371,D91)&gt;1,"Повтор","Без повтора"))</x:f>
        <x:v>Без повтора</x:v>
      </x:c>
    </x:row>
    <x:row r="92" ht="60" customHeight="1">
      <x:c r="A92" s="16" t="n">
        <x:v>46394</x:v>
      </x:c>
      <x:c r="B92" s="9" t="str">
        <x:v>Чт</x:v>
      </x:c>
      <x:c r="C92" s="10" t="str">
        <x:v>Сериал</x:v>
      </x:c>
      <x:c r="D92" s="19" t="str">
        <x:v>tZeQOxa2Em8</x:v>
      </x:c>
      <x:c r="E92" s="10" t="str">
        <x:f>IF(D92="","",IF(COUNTIFS('Видео'!$A$7:$A$1508,D92)=1,INDEX('Видео'!$B$7:$B$1508,MATCH(D92,'Видео'!$A$7:$A$1508,0)),"ID не найден"))</x:f>
        <x:v>המפקדת 📋 | פרק 2 - מה שלא הורג 🔥</x:v>
      </x:c>
      <x:c r="F92" s="9" t="str">
        <x:f>IF(D92="","",IF(COUNTIFS('Видео'!$A$7:$A$1508,D92)=1,INDEX('Видео'!$R$7:$R$1508,MATCH(D92,'Видео'!$A$7:$A$1508,0)),"ID не найден"))</x:f>
        <x:v>C005</x:v>
      </x:c>
      <x:c r="G92" s="9" t="str">
        <x:f>IF(D92="","",IF(COUNTIFS('Видео'!$A$7:$A$1508,D92)=1,INDEX('Видео'!$D$7:$D$1508,MATCH(D92,'Видео'!$A$7:$A$1508,0)),"ID не найден"))</x:f>
        <x:v>Сериал</x:v>
      </x:c>
      <x:c r="H92" s="10" t="str">
        <x:f>IF(D92="","",IF(COUNTIFS('Видео'!$A$7:$A$1508,D92)=1,INDEX('Видео'!$F$7:$F$1508,MATCH(D92,'Видео'!$A$7:$A$1508,0)),"ID не найден"))</x:f>
        <x:v>B2–C1 (гипотеза)</x:v>
      </x:c>
      <x:c r="I92" s="18" t="n">
        <x:f>IF(D92="","",IF(COUNTIFS('Видео'!$A$7:$A$1508,D92)=1,INDEX('Видео'!$G$7:$G$1508,MATCH(D92,'Видео'!$A$7:$A$1508,0)),"ID не найден"))</x:f>
        <x:v>36.5</x:v>
      </x:c>
      <x:c r="J92" s="18" t="n">
        <x:v>10</x:v>
      </x:c>
      <x:c r="K92" s="10" t="str">
        <x:f>IF(D92="","",IF(COUNTIFS('Видео'!$A$7:$A$1508,D92)=1,INDEX('Видео'!$AI$7:$AI$1508,MATCH(D92,'Видео'!$A$7:$A$1508,0)),"ID не найден"))</x:f>
        <x:v>Нужна редактура</x:v>
      </x:c>
      <x:c r="L92" s="19" t="str">
        <x:v>sep8vkv_VgY</x:v>
      </x:c>
      <x:c r="M92" s="10" t="str">
        <x:f>IF(L92="","",IF(COUNTIFS('Видео'!$A$7:$A$1508,L92)=1,INDEX('Видео'!$B$7:$B$1508,MATCH(L92,'Видео'!$A$7:$A$1508,0)),"ID не найден"))</x:f>
        <x:v>סוף העולם לפי היהדות הוא בעוד... 220 שנה?! | כאן סקרנים</x:v>
      </x:c>
      <x:c r="N92" s="10" t="str"/>
      <x:c r="O92" s="10" t="str">
        <x:f>IF(D92="","",IF(COUNTIFS('Видео'!$A$7:$A$1508,D92)=1,INDEX('Видео'!$M$7:$M$1508,MATCH(D92,'Видео'!$A$7:$A$1508,0)),"ID не найден"))</x:f>
        <x:v>Эпизод 2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P92" s="11" t="str">
        <x:f>IF(D92="","",IF(COUNTIFS('Видео'!$A$7:$A$1508,D92)=1,INDEX('Видео'!$U$7:$U$1508,MATCH(D92,'Видео'!$A$7:$A$1508,0)),"ID не найден"))</x:f>
        <x:v>https://www.youtube.com/watch?v=tZeQOxa2Em8</x:v>
      </x:c>
      <x:c r="Q92" s="17" t="str">
        <x:v>Предложено</x:v>
      </x:c>
      <x:c r="R92" s="17" t="str"/>
      <x:c r="S92" s="10" t="str"/>
      <x:c r="T92" s="10" t="str">
        <x:v>При недоступной серии приостановить сюжетную ветку; резерв — самостоятельное видео</x:v>
      </x:c>
      <x:c r="U92" s="9" t="str">
        <x:f>IF(D92="","Выбрать видео",IF(COUNTIFS($D$7:$D$371,D92)&gt;1,"Повтор","Без повтора"))</x:f>
        <x:v>Без повтора</x:v>
      </x:c>
    </x:row>
    <x:row r="93" ht="60" customHeight="1">
      <x:c r="A93" s="16" t="n">
        <x:v>46395</x:v>
      </x:c>
      <x:c r="B93" s="9" t="str">
        <x:v>Пт</x:v>
      </x:c>
      <x:c r="C93" s="10" t="str">
        <x:v>История</x:v>
      </x:c>
      <x:c r="D93" s="19" t="str">
        <x:v>6IPnGLabX_Q</x:v>
      </x:c>
      <x:c r="E93" s="10" t="str">
        <x:f>IF(D93="","",IF(COUNTIFS('Видео'!$A$7:$A$1508,D93)=1,INDEX('Видео'!$B$7:$B$1508,MATCH(D93,'Видео'!$A$7:$A$1508,0)),"ID не найден"))</x:f>
        <x:v>ספרות הלאדינו | שיעור 1 - ספרד הוירטואלית | ד"ר אליעזר פאפו</x:v>
      </x:c>
      <x:c r="F93" s="9" t="str">
        <x:f>IF(D93="","",IF(COUNTIFS('Видео'!$A$7:$A$1508,D93)=1,INDEX('Видео'!$R$7:$R$1508,MATCH(D93,'Видео'!$A$7:$A$1508,0)),"ID не найден"))</x:f>
        <x:v>C068</x:v>
      </x:c>
      <x:c r="G93" s="9" t="str">
        <x:f>IF(D93="","",IF(COUNTIFS('Видео'!$A$7:$A$1508,D93)=1,INDEX('Видео'!$D$7:$D$1508,MATCH(D93,'Видео'!$A$7:$A$1508,0)),"ID не найден"))</x:f>
        <x:v>История</x:v>
      </x:c>
      <x:c r="H93" s="10" t="str">
        <x:f>IF(D93="","",IF(COUNTIFS('Видео'!$A$7:$A$1508,D93)=1,INDEX('Видео'!$F$7:$F$1508,MATCH(D93,'Видео'!$A$7:$A$1508,0)),"ID не найден"))</x:f>
        <x:v>B2–C1 (гипотеза)</x:v>
      </x:c>
      <x:c r="I93" s="18" t="n">
        <x:f>IF(D93="","",IF(COUNTIFS('Видео'!$A$7:$A$1508,D93)=1,INDEX('Видео'!$G$7:$G$1508,MATCH(D93,'Видео'!$A$7:$A$1508,0)),"ID не найден"))</x:f>
        <x:v>43.8</x:v>
      </x:c>
      <x:c r="J93" s="18" t="n">
        <x:v>10</x:v>
      </x:c>
      <x:c r="K93" s="10" t="str">
        <x:f>IF(D93="","",IF(COUNTIFS('Видео'!$A$7:$A$1508,D93)=1,INDEX('Видео'!$AI$7:$AI$1508,MATCH(D93,'Видео'!$A$7:$A$1508,0)),"ID не найден"))</x:f>
        <x:v>Нужна редактура</x:v>
      </x:c>
      <x:c r="L93" s="19" t="str">
        <x:v>E5uTnRe2ybA</x:v>
      </x:c>
      <x:c r="M93" s="10" t="str">
        <x:f>IF(L93="","",IF(COUNTIFS('Видео'!$A$7:$A$1508,L93)=1,INDEX('Видео'!$B$7:$B$1508,MATCH(L93,'Видео'!$A$7:$A$1508,0)),"ID не найден"))</x:f>
        <x:v>העברים | "אשה פשוטה" - זלדה | כאן דוקו</x:v>
      </x:c>
      <x:c r="N93" s="10" t="str"/>
      <x:c r="O93" s="10" t="str">
        <x:f>IF(D93="","",IF(COUNTIFS('Видео'!$A$7:$A$1508,D93)=1,INDEX('Видео'!$M$7:$M$1508,MATCH(D93,'Видео'!$A$7:$A$1508,0)),"ID не найден"))</x:f>
        <x:v>Тема: ספרות הלאדינו | שיעור 1 - ספרד הוירטואלית | ד"ר אליעזר פאפו. Просмотры в списке выше медианы выборки этого цикла в 2.3 раза. Ладино вводит сефардскую культурную историю через лекцию на иврите.</x:v>
      </x:c>
      <x:c r="P93" s="11" t="str">
        <x:f>IF(D93="","",IF(COUNTIFS('Видео'!$A$7:$A$1508,D93)=1,INDEX('Видео'!$U$7:$U$1508,MATCH(D93,'Видео'!$A$7:$A$1508,0)),"ID не найден"))</x:f>
        <x:v>https://www.youtube.com/watch?v=6IPnGLabX_Q</x:v>
      </x:c>
      <x:c r="Q93" s="17" t="str">
        <x:v>Предложено</x:v>
      </x:c>
      <x:c r="R93" s="17" t="str"/>
      <x:c r="S93" s="10" t="str"/>
      <x:c r="T93" s="10" t="str">
        <x:v>Резерв меняет выбор видео; снова проверить повод, аудиторию и все редакторские условия</x:v>
      </x:c>
      <x:c r="U93" s="9" t="str">
        <x:f>IF(D93="","Выбрать видео",IF(COUNTIFS($D$7:$D$371,D93)&gt;1,"Повтор","Без повтора"))</x:f>
        <x:v>Без повтора</x:v>
      </x:c>
    </x:row>
    <x:row r="94" ht="60" customHeight="1">
      <x:c r="A94" s="16" t="n">
        <x:v>46396</x:v>
      </x:c>
      <x:c r="B94" s="9" t="str">
        <x:v>Сб</x:v>
      </x:c>
      <x:c r="C94" s="10" t="str">
        <x:v>Общество</x:v>
      </x:c>
      <x:c r="D94" s="19" t="str">
        <x:v>-DQBgjdMyhQ</x:v>
      </x:c>
      <x:c r="E94" s="10" t="str">
        <x:f>IF(D94="","",IF(COUNTIFS('Видео'!$A$7:$A$1508,D94)=1,INDEX('Видео'!$B$7:$B$1508,MATCH(D94,'Видео'!$A$7:$A$1508,0)),"ID не найден"))</x:f>
        <x:v>״התקפה כזאת לא הייתה מעולם״: אנשי המפתח בישראל ובארה״ב מדברים לראשונה על המתקפה האיראנית</x:v>
      </x:c>
      <x:c r="F94" s="9" t="str">
        <x:f>IF(D94="","",IF(COUNTIFS('Видео'!$A$7:$A$1508,D94)=1,INDEX('Видео'!$R$7:$R$1508,MATCH(D94,'Видео'!$A$7:$A$1508,0)),"ID не найден"))</x:f>
        <x:v>C081</x:v>
      </x:c>
      <x:c r="G94" s="9" t="str">
        <x:f>IF(D94="","",IF(COUNTIFS('Видео'!$A$7:$A$1508,D94)=1,INDEX('Видео'!$D$7:$D$1508,MATCH(D94,'Видео'!$A$7:$A$1508,0)),"ID не найден"))</x:f>
        <x:v>Общество</x:v>
      </x:c>
      <x:c r="H94" s="10" t="str">
        <x:f>IF(D94="","",IF(COUNTIFS('Видео'!$A$7:$A$1508,D94)=1,INDEX('Видео'!$F$7:$F$1508,MATCH(D94,'Видео'!$A$7:$A$1508,0)),"ID не найден"))</x:f>
        <x:v>B2–C1 (гипотеза)</x:v>
      </x:c>
      <x:c r="I94" s="18" t="n">
        <x:f>IF(D94="","",IF(COUNTIFS('Видео'!$A$7:$A$1508,D94)=1,INDEX('Видео'!$G$7:$G$1508,MATCH(D94,'Видео'!$A$7:$A$1508,0)),"ID не найден"))</x:f>
        <x:v>5.6</x:v>
      </x:c>
      <x:c r="J94" s="18" t="n">
        <x:v>5</x:v>
      </x:c>
      <x:c r="K94" s="10" t="str">
        <x:f>IF(D94="","",IF(COUNTIFS('Видео'!$A$7:$A$1508,D94)=1,INDEX('Видео'!$AI$7:$AI$1508,MATCH(D94,'Видео'!$A$7:$A$1508,0)),"ID не найден"))</x:f>
        <x:v>Нужна редактура</x:v>
      </x:c>
      <x:c r="L94" s="19" t="str">
        <x:v>KMsZYy00zoU</x:v>
      </x:c>
      <x:c r="M94" s="10" t="str">
        <x:f>IF(L94="","",IF(COUNTIFS('Видео'!$A$7:$A$1508,L94)=1,INDEX('Видео'!$B$7:$B$1508,MATCH(L94,'Видео'!$A$7:$A$1508,0)),"ID не найден"))</x:f>
        <x:v>"עצבן אותי שקוראים למקום הזה בית משוגעים. אנחנו אנשים רגילים שסובלים בצורה בלתי רגילה" | כאן מקשיבים</x:v>
      </x:c>
      <x:c r="N94" s="10" t="str"/>
      <x:c r="O94" s="10" t="str">
        <x:f>IF(D94="","",IF(COUNTIFS('Видео'!$A$7:$A$1508,D94)=1,INDEX('Видео'!$M$7:$M$1508,MATCH(D94,'Видео'!$A$7:$A$1508,0)),"ID не найден"))</x:f>
        <x:v>Завершённый короткий просмотр около 6 мин. Просмотры в списке выше медианы выборки этого цикла в 11.0 раза. Второй редакционный источник помогает не ограничиваться одной журналистской повесткой.</x:v>
      </x:c>
      <x:c r="P94" s="11" t="str">
        <x:f>IF(D94="","",IF(COUNTIFS('Видео'!$A$7:$A$1508,D94)=1,INDEX('Видео'!$U$7:$U$1508,MATCH(D94,'Видео'!$A$7:$A$1508,0)),"ID не найден"))</x:f>
        <x:v>https://www.youtube.com/watch?v=-DQBgjdMyhQ</x:v>
      </x:c>
      <x:c r="Q94" s="17" t="str">
        <x:v>Предложено</x:v>
      </x:c>
      <x:c r="R94" s="17" t="str"/>
      <x:c r="S94" s="10" t="str"/>
      <x:c r="T94" s="10" t="str">
        <x:v>Резерв меняет выбор видео; снова проверить повод, аудиторию и все редакторские условия</x:v>
      </x:c>
      <x:c r="U94" s="9" t="str">
        <x:f>IF(D94="","Выбрать видео",IF(COUNTIFS($D$7:$D$371,D94)&gt;1,"Повтор","Без повтора"))</x:f>
        <x:v>Без повтора</x:v>
      </x:c>
    </x:row>
    <x:row r="95" ht="60" customHeight="1">
      <x:c r="A95" s="16" t="n">
        <x:v>46397</x:v>
      </x:c>
      <x:c r="B95" s="9" t="str">
        <x:v>Вс</x:v>
      </x:c>
      <x:c r="C95" s="10" t="str">
        <x:v>Сериал</x:v>
      </x:c>
      <x:c r="D95" s="19" t="str">
        <x:v>q8Nq-xNxUjo</x:v>
      </x:c>
      <x:c r="E95" s="10" t="str">
        <x:f>IF(D95="","",IF(COUNTIFS('Видео'!$A$7:$A$1508,D95)=1,INDEX('Видео'!$B$7:$B$1508,MATCH(D95,'Видео'!$A$7:$A$1508,0)),"ID не найден"))</x:f>
        <x:v>קופה ראשית עונה 3🛒 | דקלה - פרק 13</x:v>
      </x:c>
      <x:c r="F95" s="9" t="str">
        <x:f>IF(D95="","",IF(COUNTIFS('Видео'!$A$7:$A$1508,D95)=1,INDEX('Видео'!$R$7:$R$1508,MATCH(D95,'Видео'!$A$7:$A$1508,0)),"ID не найден"))</x:f>
        <x:v>C003</x:v>
      </x:c>
      <x:c r="G95" s="9" t="str">
        <x:f>IF(D95="","",IF(COUNTIFS('Видео'!$A$7:$A$1508,D95)=1,INDEX('Видео'!$D$7:$D$1508,MATCH(D95,'Видео'!$A$7:$A$1508,0)),"ID не найден"))</x:f>
        <x:v>Сериал</x:v>
      </x:c>
      <x:c r="H95" s="10" t="str">
        <x:f>IF(D95="","",IF(COUNTIFS('Видео'!$A$7:$A$1508,D95)=1,INDEX('Видео'!$F$7:$F$1508,MATCH(D95,'Видео'!$A$7:$A$1508,0)),"ID не найден"))</x:f>
        <x:v>B1–B2 (гипотеза)</x:v>
      </x:c>
      <x:c r="I95" s="18" t="n">
        <x:f>IF(D95="","",IF(COUNTIFS('Видео'!$A$7:$A$1508,D95)=1,INDEX('Видео'!$G$7:$G$1508,MATCH(D95,'Видео'!$A$7:$A$1508,0)),"ID не найден"))</x:f>
        <x:v>26.2</x:v>
      </x:c>
      <x:c r="J95" s="18" t="n">
        <x:v>10</x:v>
      </x:c>
      <x:c r="K95" s="10" t="str">
        <x:f>IF(D95="","",IF(COUNTIFS('Видео'!$A$7:$A$1508,D95)=1,INDEX('Видео'!$AI$7:$AI$1508,MATCH(D95,'Видео'!$A$7:$A$1508,0)),"ID не найден"))</x:f>
        <x:v>Нужна редактура</x:v>
      </x:c>
      <x:c r="L95" s="19" t="str">
        <x:v>kwc-6AqEgAY</x:v>
      </x:c>
      <x:c r="M95" s="10" t="str">
        <x:f>IF(L95="","",IF(COUNTIFS('Видео'!$A$7:$A$1508,L95)=1,INDEX('Видео'!$B$7:$B$1508,MATCH(L95,'Видео'!$A$7:$A$1508,0)),"ID не найден"))</x:f>
        <x:v>אנחנו קוראים לילדים שלנו על שם דמויות שליליות מהתנ"ך. למה? | כאן סקרנים</x:v>
      </x:c>
      <x:c r="N95" s="10" t="str"/>
      <x:c r="O95" s="10" t="str">
        <x:f>IF(D95="","",IF(COUNTIFS('Видео'!$A$7:$A$1508,D95)=1,INDEX('Видео'!$M$7:$M$1508,MATCH(D95,'Видео'!$A$7:$A$1508,0)),"ID не найден"))</x:f>
        <x:v>Эпизод 13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95" s="11" t="str">
        <x:f>IF(D95="","",IF(COUNTIFS('Видео'!$A$7:$A$1508,D95)=1,INDEX('Видео'!$U$7:$U$1508,MATCH(D95,'Видео'!$A$7:$A$1508,0)),"ID не найден"))</x:f>
        <x:v>https://www.youtube.com/watch?v=q8Nq-xNxUjo</x:v>
      </x:c>
      <x:c r="Q95" s="17" t="str">
        <x:v>Предложено</x:v>
      </x:c>
      <x:c r="R95" s="17" t="str"/>
      <x:c r="S95" s="10" t="str"/>
      <x:c r="T95" s="10" t="str">
        <x:v>При недоступной серии приостановить сюжетную ветку; резерв — самостоятельное видео</x:v>
      </x:c>
      <x:c r="U95" s="9" t="str">
        <x:f>IF(D95="","Выбрать видео",IF(COUNTIFS($D$7:$D$371,D95)&gt;1,"Повтор","Без повтора"))</x:f>
        <x:v>Без повтора</x:v>
      </x:c>
    </x:row>
    <x:row r="96" ht="60" customHeight="1">
      <x:c r="A96" s="16" t="n">
        <x:v>46398</x:v>
      </x:c>
      <x:c r="B96" s="9" t="str">
        <x:v>Пн</x:v>
      </x:c>
      <x:c r="C96" s="10" t="str">
        <x:v>Интервью</x:v>
      </x:c>
      <x:c r="D96" s="19" t="str">
        <x:v>Uo9R3x7vUnM</x:v>
      </x:c>
      <x:c r="E96" s="10" t="str">
        <x:f>IF(D96="","",IF(COUNTIFS('Видео'!$A$7:$A$1508,D96)=1,INDEX('Видео'!$B$7:$B$1508,MATCH(D96,'Видео'!$A$7:$A$1508,0)),"ID не найден"))</x:f>
        <x:v>פגישה עם רוני קובן עונה 9 | אייל ברקוביץ'</x:v>
      </x:c>
      <x:c r="F96" s="9" t="str">
        <x:f>IF(D96="","",IF(COUNTIFS('Видео'!$A$7:$A$1508,D96)=1,INDEX('Видео'!$R$7:$R$1508,MATCH(D96,'Видео'!$A$7:$A$1508,0)),"ID не найден"))</x:f>
        <x:v>C014</x:v>
      </x:c>
      <x:c r="G96" s="9" t="str">
        <x:f>IF(D96="","",IF(COUNTIFS('Видео'!$A$7:$A$1508,D96)=1,INDEX('Видео'!$D$7:$D$1508,MATCH(D96,'Видео'!$A$7:$A$1508,0)),"ID не найден"))</x:f>
        <x:v>Интервью</x:v>
      </x:c>
      <x:c r="H96" s="10" t="str">
        <x:f>IF(D96="","",IF(COUNTIFS('Видео'!$A$7:$A$1508,D96)=1,INDEX('Видео'!$F$7:$F$1508,MATCH(D96,'Видео'!$A$7:$A$1508,0)),"ID не найден"))</x:f>
        <x:v>B2–C1 (гипотеза)</x:v>
      </x:c>
      <x:c r="I96" s="18" t="n">
        <x:f>IF(D96="","",IF(COUNTIFS('Видео'!$A$7:$A$1508,D96)=1,INDEX('Видео'!$G$7:$G$1508,MATCH(D96,'Видео'!$A$7:$A$1508,0)),"ID не найден"))</x:f>
        <x:v>41.2</x:v>
      </x:c>
      <x:c r="J96" s="18" t="n">
        <x:v>10</x:v>
      </x:c>
      <x:c r="K96" s="10" t="str">
        <x:f>IF(D96="","",IF(COUNTIFS('Видео'!$A$7:$A$1508,D96)=1,INDEX('Видео'!$AI$7:$AI$1508,MATCH(D96,'Видео'!$A$7:$A$1508,0)),"ID не найден"))</x:f>
        <x:v>Нужна редактура</x:v>
      </x:c>
      <x:c r="L96" s="19" t="str">
        <x:v>ZZG_kjMKZM8</x:v>
      </x:c>
      <x:c r="M96" s="10" t="str">
        <x:f>IF(L96="","",IF(COUNTIFS('Видео'!$A$7:$A$1508,L96)=1,INDEX('Видео'!$B$7:$B$1508,MATCH(L96,'Видео'!$A$7:$A$1508,0)),"ID не найден"))</x:f>
        <x:v>פגישה עם רוני קובן עונה 8 | פרופ' יורם יובל</x:v>
      </x:c>
      <x:c r="N96" s="10" t="str"/>
      <x:c r="O96" s="10" t="str">
        <x:f>IF(D96="","",IF(COUNTIFS('Видео'!$A$7:$A$1508,D96)=1,INDEX('Видео'!$M$7:$M$1508,MATCH(D96,'Видео'!$A$7:$A$1508,0)),"ID не найден"))</x:f>
        <x:v>Тема / гость: אייל ברקוביץ'. Просмотры в списке выше медианы выборки этого цикла в 3.21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96" s="11" t="str">
        <x:f>IF(D96="","",IF(COUNTIFS('Видео'!$A$7:$A$1508,D96)=1,INDEX('Видео'!$U$7:$U$1508,MATCH(D96,'Видео'!$A$7:$A$1508,0)),"ID не найден"))</x:f>
        <x:v>https://www.youtube.com/watch?v=Uo9R3x7vUnM</x:v>
      </x:c>
      <x:c r="Q96" s="17" t="str">
        <x:v>Предложено</x:v>
      </x:c>
      <x:c r="R96" s="17" t="str"/>
      <x:c r="S96" s="10" t="str"/>
      <x:c r="T96" s="10" t="str">
        <x:v>Резерв меняет выбор видео; снова проверить повод, аудиторию и все редакторские условия</x:v>
      </x:c>
      <x:c r="U96" s="9" t="str">
        <x:f>IF(D96="","Выбрать видео",IF(COUNTIFS($D$7:$D$371,D96)&gt;1,"Повтор","Без повтора"))</x:f>
        <x:v>Без повтора</x:v>
      </x:c>
    </x:row>
    <x:row r="97" ht="60" customHeight="1">
      <x:c r="A97" s="16" t="n">
        <x:v>46399</x:v>
      </x:c>
      <x:c r="B97" s="9" t="str">
        <x:v>Вт</x:v>
      </x:c>
      <x:c r="C97" s="10" t="str">
        <x:v>Образование</x:v>
      </x:c>
      <x:c r="D97" s="19" t="str">
        <x:v>_lz-DPjiRSM</x:v>
      </x:c>
      <x:c r="E97" s="10" t="str">
        <x:f>IF(D97="","",IF(COUNTIFS('Видео'!$A$7:$A$1508,D97)=1,INDEX('Видео'!$B$7:$B$1508,MATCH(D97,'Видео'!$A$7:$A$1508,0)),"ID не найден"))</x:f>
        <x:v>הר געש של קצף - ניסוי מדע בבית שצולם בבית, בסגר</x:v>
      </x:c>
      <x:c r="F97" s="9" t="str">
        <x:f>IF(D97="","",IF(COUNTIFS('Видео'!$A$7:$A$1508,D97)=1,INDEX('Видео'!$R$7:$R$1508,MATCH(D97,'Видео'!$A$7:$A$1508,0)),"ID не найден"))</x:f>
        <x:v>C061</x:v>
      </x:c>
      <x:c r="G97" s="9" t="str">
        <x:f>IF(D97="","",IF(COUNTIFS('Видео'!$A$7:$A$1508,D97)=1,INDEX('Видео'!$D$7:$D$1508,MATCH(D97,'Видео'!$A$7:$A$1508,0)),"ID не найден"))</x:f>
        <x:v>Образование</x:v>
      </x:c>
      <x:c r="H97" s="10" t="str">
        <x:f>IF(D97="","",IF(COUNTIFS('Видео'!$A$7:$A$1508,D97)=1,INDEX('Видео'!$F$7:$F$1508,MATCH(D97,'Видео'!$A$7:$A$1508,0)),"ID не найден"))</x:f>
        <x:v>B1–B2 (гипотеза)</x:v>
      </x:c>
      <x:c r="I97" s="18" t="n">
        <x:f>IF(D97="","",IF(COUNTIFS('Видео'!$A$7:$A$1508,D97)=1,INDEX('Видео'!$G$7:$G$1508,MATCH(D97,'Видео'!$A$7:$A$1508,0)),"ID не найден"))</x:f>
        <x:v>3.1</x:v>
      </x:c>
      <x:c r="J97" s="18" t="n">
        <x:v>5</x:v>
      </x:c>
      <x:c r="K97" s="10" t="str">
        <x:f>IF(D97="","",IF(COUNTIFS('Видео'!$A$7:$A$1508,D97)=1,INDEX('Видео'!$AI$7:$AI$1508,MATCH(D97,'Видео'!$A$7:$A$1508,0)),"ID не найден"))</x:f>
        <x:v>Нужна редактура</x:v>
      </x:c>
      <x:c r="L97" s="19" t="str">
        <x:v>QXVtjsFF7y8</x:v>
      </x:c>
      <x:c r="M97" s="10" t="str">
        <x:f>IF(L97="","",IF(COUNTIFS('Видео'!$A$7:$A$1508,L97)=1,INDEX('Видео'!$B$7:$B$1508,MATCH(L97,'Видео'!$A$7:$A$1508,0)),"ID не найден"))</x:f>
        <x:v>גלילאו עונה 9 | מלון הגיימרים 🎮</x:v>
      </x:c>
      <x:c r="N97" s="10" t="str"/>
      <x:c r="O97" s="10" t="str">
        <x:f>IF(D97="","",IF(COUNTIFS('Видео'!$A$7:$A$1508,D97)=1,INDEX('Видео'!$M$7:$M$1508,MATCH(D97,'Видео'!$A$7:$A$1508,0)),"ID не найден"))</x:f>
        <x:v>Завершённый короткий просмотр около 3 мин. Просмотры в списке выше медианы выборки этого цикла в 2.39 раза. Совместная демонстрация даёт родителям и детям сценарий общения на иврите.</x:v>
      </x:c>
      <x:c r="P97" s="11" t="str">
        <x:f>IF(D97="","",IF(COUNTIFS('Видео'!$A$7:$A$1508,D97)=1,INDEX('Видео'!$U$7:$U$1508,MATCH(D97,'Видео'!$A$7:$A$1508,0)),"ID не найден"))</x:f>
        <x:v>https://www.youtube.com/watch?v=_lz-DPjiRSM</x:v>
      </x:c>
      <x:c r="Q97" s="17" t="str">
        <x:v>Предложено</x:v>
      </x:c>
      <x:c r="R97" s="17" t="str"/>
      <x:c r="S97" s="10" t="str"/>
      <x:c r="T97" s="10" t="str">
        <x:v>Резерв меняет выбор видео; снова проверить повод, аудиторию и все редакторские условия</x:v>
      </x:c>
      <x:c r="U97" s="9" t="str">
        <x:f>IF(D97="","Выбрать видео",IF(COUNTIFS($D$7:$D$371,D97)&gt;1,"Повтор","Без повтора"))</x:f>
        <x:v>Без повтора</x:v>
      </x:c>
    </x:row>
    <x:row r="98" ht="60" customHeight="1">
      <x:c r="A98" s="16" t="n">
        <x:v>46400</x:v>
      </x:c>
      <x:c r="B98" s="9" t="str">
        <x:v>Ср</x:v>
      </x:c>
      <x:c r="C98" s="10" t="str">
        <x:v>Быт</x:v>
      </x:c>
      <x:c r="D98" s="19" t="str">
        <x:v>wBBM_M5SDm0</x:v>
      </x:c>
      <x:c r="E98" s="10" t="str">
        <x:f>IF(D98="","",IF(COUNTIFS('Видео'!$A$7:$A$1508,D98)=1,INDEX('Видео'!$B$7:$B$1508,MATCH(D98,'Видео'!$A$7:$A$1508,0)),"ID не найден"))</x:f>
        <x:v>ליגה ג' ⚽ | גבר הולך לאיבוד - פרק 2</x:v>
      </x:c>
      <x:c r="F98" s="9" t="str">
        <x:f>IF(D98="","",IF(COUNTIFS('Видео'!$A$7:$A$1508,D98)=1,INDEX('Видео'!$R$7:$R$1508,MATCH(D98,'Видео'!$A$7:$A$1508,0)),"ID не найден"))</x:f>
        <x:v>C039</x:v>
      </x:c>
      <x:c r="G98" s="9" t="str">
        <x:f>IF(D98="","",IF(COUNTIFS('Видео'!$A$7:$A$1508,D98)=1,INDEX('Видео'!$D$7:$D$1508,MATCH(D98,'Видео'!$A$7:$A$1508,0)),"ID не найден"))</x:f>
        <x:v>Быт</x:v>
      </x:c>
      <x:c r="H98" s="10" t="str">
        <x:f>IF(D98="","",IF(COUNTIFS('Видео'!$A$7:$A$1508,D98)=1,INDEX('Видео'!$F$7:$F$1508,MATCH(D98,'Видео'!$A$7:$A$1508,0)),"ID не найден"))</x:f>
        <x:v>B2–C1 (гипотеза)</x:v>
      </x:c>
      <x:c r="I98" s="18" t="n">
        <x:f>IF(D98="","",IF(COUNTIFS('Видео'!$A$7:$A$1508,D98)=1,INDEX('Видео'!$G$7:$G$1508,MATCH(D98,'Видео'!$A$7:$A$1508,0)),"ID не найден"))</x:f>
        <x:v>40.4</x:v>
      </x:c>
      <x:c r="J98" s="18" t="n">
        <x:v>10</x:v>
      </x:c>
      <x:c r="K98" s="10" t="str">
        <x:f>IF(D98="","",IF(COUNTIFS('Видео'!$A$7:$A$1508,D98)=1,INDEX('Видео'!$AI$7:$AI$1508,MATCH(D98,'Видео'!$A$7:$A$1508,0)),"ID не найден"))</x:f>
        <x:v>Нужна редактура</x:v>
      </x:c>
      <x:c r="L98" s="19" t="str">
        <x:v>qSLwYw-eluw</x:v>
      </x:c>
      <x:c r="M98" s="10" t="str">
        <x:f>IF(L98="","",IF(COUNTIFS('Видео'!$A$7:$A$1508,L98)=1,INDEX('Видео'!$B$7:$B$1508,MATCH(L98,'Видео'!$A$7:$A$1508,0)),"ID не найден"))</x:f>
        <x:v>פותחים ת'שריטה בכושר קרבי | דוקותיים</x:v>
      </x:c>
      <x:c r="N98" s="10" t="str"/>
      <x:c r="O98" s="10" t="str">
        <x:f>IF(D98="","",IF(COUNTIFS('Видео'!$A$7:$A$1508,D98)=1,INDEX('Видео'!$M$7:$M$1508,MATCH(D98,'Видео'!$A$7:$A$1508,0)),"ID не найден"))</x:f>
        <x:v>Тема: ליגה ג' ⚽ | גבר הולך לאיבוד - פרק 2. Любительский футбол показывает местные сообщества вне привычного образа Тель-Авива.</x:v>
      </x:c>
      <x:c r="P98" s="11" t="str">
        <x:f>IF(D98="","",IF(COUNTIFS('Видео'!$A$7:$A$1508,D98)=1,INDEX('Видео'!$U$7:$U$1508,MATCH(D98,'Видео'!$A$7:$A$1508,0)),"ID не найден"))</x:f>
        <x:v>https://www.youtube.com/watch?v=wBBM_M5SDm0</x:v>
      </x:c>
      <x:c r="Q98" s="17" t="str">
        <x:v>Предложено</x:v>
      </x:c>
      <x:c r="R98" s="17" t="str"/>
      <x:c r="S98" s="10" t="str"/>
      <x:c r="T98" s="10" t="str">
        <x:v>Резерв меняет выбор видео; снова проверить повод, аудиторию и все редакторские условия</x:v>
      </x:c>
      <x:c r="U98" s="9" t="str">
        <x:f>IF(D98="","Выбрать видео",IF(COUNTIFS($D$7:$D$371,D98)&gt;1,"Повтор","Без повтора"))</x:f>
        <x:v>Без повтора</x:v>
      </x:c>
    </x:row>
    <x:row r="99" ht="60" customHeight="1">
      <x:c r="A99" s="16" t="n">
        <x:v>46401</x:v>
      </x:c>
      <x:c r="B99" s="9" t="str">
        <x:v>Чт</x:v>
      </x:c>
      <x:c r="C99" s="10" t="str">
        <x:v>Сериал</x:v>
      </x:c>
      <x:c r="D99" s="19" t="str">
        <x:v>D7KEUhmjDEY</x:v>
      </x:c>
      <x:c r="E99" s="10" t="str">
        <x:f>IF(D99="","",IF(COUNTIFS('Видео'!$A$7:$A$1508,D99)=1,INDEX('Видео'!$B$7:$B$1508,MATCH(D99,'Видео'!$A$7:$A$1508,0)),"ID не найден"))</x:f>
        <x:v>המפקדת 📋 | פרק 3 - כשהגלים מתחזקים 🔥</x:v>
      </x:c>
      <x:c r="F99" s="9" t="str">
        <x:f>IF(D99="","",IF(COUNTIFS('Видео'!$A$7:$A$1508,D99)=1,INDEX('Видео'!$R$7:$R$1508,MATCH(D99,'Видео'!$A$7:$A$1508,0)),"ID не найден"))</x:f>
        <x:v>C005</x:v>
      </x:c>
      <x:c r="G99" s="9" t="str">
        <x:f>IF(D99="","",IF(COUNTIFS('Видео'!$A$7:$A$1508,D99)=1,INDEX('Видео'!$D$7:$D$1508,MATCH(D99,'Видео'!$A$7:$A$1508,0)),"ID не найден"))</x:f>
        <x:v>Сериал</x:v>
      </x:c>
      <x:c r="H99" s="10" t="str">
        <x:f>IF(D99="","",IF(COUNTIFS('Видео'!$A$7:$A$1508,D99)=1,INDEX('Видео'!$F$7:$F$1508,MATCH(D99,'Видео'!$A$7:$A$1508,0)),"ID не найден"))</x:f>
        <x:v>B2–C1 (гипотеза)</x:v>
      </x:c>
      <x:c r="I99" s="18" t="n">
        <x:f>IF(D99="","",IF(COUNTIFS('Видео'!$A$7:$A$1508,D99)=1,INDEX('Видео'!$G$7:$G$1508,MATCH(D99,'Видео'!$A$7:$A$1508,0)),"ID не найден"))</x:f>
        <x:v>34.1</x:v>
      </x:c>
      <x:c r="J99" s="18" t="n">
        <x:v>10</x:v>
      </x:c>
      <x:c r="K99" s="10" t="str">
        <x:f>IF(D99="","",IF(COUNTIFS('Видео'!$A$7:$A$1508,D99)=1,INDEX('Видео'!$AI$7:$AI$1508,MATCH(D99,'Видео'!$A$7:$A$1508,0)),"ID не найден"))</x:f>
        <x:v>Нужна редактура</x:v>
      </x:c>
      <x:c r="L99" s="19" t="str">
        <x:v>G7OdFCiztww</x:v>
      </x:c>
      <x:c r="M99" s="10" t="str">
        <x:f>IF(L99="","",IF(COUNTIFS('Видео'!$A$7:$A$1508,L99)=1,INDEX('Видео'!$B$7:$B$1508,MATCH(L99,'Видео'!$A$7:$A$1508,0)),"ID не найден"))</x:f>
        <x:v>קסם כרוב סגול - ניסוי מדע בבית שצולם בבית, בזמן הסגר</x:v>
      </x:c>
      <x:c r="N99" s="10" t="str"/>
      <x:c r="O99" s="10" t="str">
        <x:f>IF(D99="","",IF(COUNTIFS('Видео'!$A$7:$A$1508,D99)=1,INDEX('Видео'!$M$7:$M$1508,MATCH(D99,'Видео'!$A$7:$A$1508,0)),"ID не найден"))</x:f>
        <x:v>Эпизод 3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P99" s="11" t="str">
        <x:f>IF(D99="","",IF(COUNTIFS('Видео'!$A$7:$A$1508,D99)=1,INDEX('Видео'!$U$7:$U$1508,MATCH(D99,'Видео'!$A$7:$A$1508,0)),"ID не найден"))</x:f>
        <x:v>https://www.youtube.com/watch?v=D7KEUhmjDEY</x:v>
      </x:c>
      <x:c r="Q99" s="17" t="str">
        <x:v>Предложено</x:v>
      </x:c>
      <x:c r="R99" s="17" t="str"/>
      <x:c r="S99" s="10" t="str"/>
      <x:c r="T99" s="10" t="str">
        <x:v>При недоступной серии приостановить сюжетную ветку; резерв — самостоятельное видео</x:v>
      </x:c>
      <x:c r="U99" s="9" t="str">
        <x:f>IF(D99="","Выбрать видео",IF(COUNTIFS($D$7:$D$371,D99)&gt;1,"Повтор","Без повтора"))</x:f>
        <x:v>Без повтора</x:v>
      </x:c>
    </x:row>
    <x:row r="100" ht="60" customHeight="1">
      <x:c r="A100" s="16" t="n">
        <x:v>46402</x:v>
      </x:c>
      <x:c r="B100" s="9" t="str">
        <x:v>Пт</x:v>
      </x:c>
      <x:c r="C100" s="10" t="str">
        <x:v>Культура</x:v>
      </x:c>
      <x:c r="D100" s="19" t="str">
        <x:v>pIbfs7azyFY</x:v>
      </x:c>
      <x:c r="E100" s="10" t="str">
        <x:f>IF(D100="","",IF(COUNTIFS('Видео'!$A$7:$A$1508,D100)=1,INDEX('Видео'!$B$7:$B$1508,MATCH(D100,'Видео'!$A$7:$A$1508,0)),"ID не найден"))</x:f>
        <x:v>סיפורים מהכורסה 🛋️ | על השירות הצבאי - פרק 1</x:v>
      </x:c>
      <x:c r="F100" s="9" t="str">
        <x:f>IF(D100="","",IF(COUNTIFS('Видео'!$A$7:$A$1508,D100)=1,INDEX('Видео'!$R$7:$R$1508,MATCH(D100,'Видео'!$A$7:$A$1508,0)),"ID не найден"))</x:f>
        <x:v>C025</x:v>
      </x:c>
      <x:c r="G100" s="9" t="str">
        <x:f>IF(D100="","",IF(COUNTIFS('Видео'!$A$7:$A$1508,D100)=1,INDEX('Видео'!$D$7:$D$1508,MATCH(D100,'Видео'!$A$7:$A$1508,0)),"ID не найден"))</x:f>
        <x:v>Культура</x:v>
      </x:c>
      <x:c r="H100" s="10" t="str">
        <x:f>IF(D100="","",IF(COUNTIFS('Видео'!$A$7:$A$1508,D100)=1,INDEX('Видео'!$F$7:$F$1508,MATCH(D100,'Видео'!$A$7:$A$1508,0)),"ID не найден"))</x:f>
        <x:v>B2–C1 (гипотеза)</x:v>
      </x:c>
      <x:c r="I100" s="18" t="n">
        <x:f>IF(D100="","",IF(COUNTIFS('Видео'!$A$7:$A$1508,D100)=1,INDEX('Видео'!$G$7:$G$1508,MATCH(D100,'Видео'!$A$7:$A$1508,0)),"ID не найден"))</x:f>
        <x:v>31.2</x:v>
      </x:c>
      <x:c r="J100" s="18" t="n">
        <x:v>10</x:v>
      </x:c>
      <x:c r="K100" s="10" t="str">
        <x:f>IF(D100="","",IF(COUNTIFS('Видео'!$A$7:$A$1508,D100)=1,INDEX('Видео'!$AI$7:$AI$1508,MATCH(D100,'Видео'!$A$7:$A$1508,0)),"ID не найден"))</x:f>
        <x:v>Нужна редактура</x:v>
      </x:c>
      <x:c r="L100" s="19" t="str">
        <x:v>6GO3uo9JcL0</x:v>
      </x:c>
      <x:c r="M100" s="10" t="str">
        <x:f>IF(L100="","",IF(COUNTIFS('Видео'!$A$7:$A$1508,L100)=1,INDEX('Видео'!$B$7:$B$1508,MATCH(L100,'Видео'!$A$7:$A$1508,0)),"ID не найден"))</x:f>
        <x:v>ירדנה ארזי - הביתה (לייב על בימת בית אבי חי)</x:v>
      </x:c>
      <x:c r="N100" s="10" t="str"/>
      <x:c r="O100" s="10" t="str">
        <x:f>IF(D100="","",IF(COUNTIFS('Видео'!$A$7:$A$1508,D100)=1,INDEX('Видео'!$M$7:$M$1508,MATCH(D100,'Видео'!$A$7:$A$1508,0)),"ID не найден"))</x:f>
        <x:v>Тема: סיפורים מהכורסה 🛋️ | על השירות הצבאי - פרק 1. Короткие личные истории и комики дают материал для пересказа и знакомства с культурными кодами.</x:v>
      </x:c>
      <x:c r="P100" s="11" t="str">
        <x:f>IF(D100="","",IF(COUNTIFS('Видео'!$A$7:$A$1508,D100)=1,INDEX('Видео'!$U$7:$U$1508,MATCH(D100,'Видео'!$A$7:$A$1508,0)),"ID не найден"))</x:f>
        <x:v>https://www.youtube.com/watch?v=pIbfs7azyFY</x:v>
      </x:c>
      <x:c r="Q100" s="17" t="str">
        <x:v>Предложено</x:v>
      </x:c>
      <x:c r="R100" s="17" t="str"/>
      <x:c r="S100" s="10" t="str"/>
      <x:c r="T100" s="10" t="str">
        <x:v>Резерв меняет выбор видео; снова проверить повод, аудиторию и все редакторские условия</x:v>
      </x:c>
      <x:c r="U100" s="9" t="str">
        <x:f>IF(D100="","Выбрать видео",IF(COUNTIFS($D$7:$D$371,D100)&gt;1,"Повтор","Без повтора"))</x:f>
        <x:v>Без повтора</x:v>
      </x:c>
    </x:row>
    <x:row r="101" ht="60" customHeight="1">
      <x:c r="A101" s="16" t="n">
        <x:v>46403</x:v>
      </x:c>
      <x:c r="B101" s="9" t="str">
        <x:v>Сб</x:v>
      </x:c>
      <x:c r="C101" s="10" t="str">
        <x:v>Общество</x:v>
      </x:c>
      <x:c r="D101" s="19" t="str">
        <x:v>KdQYwbVZW-Q</x:v>
      </x:c>
      <x:c r="E101" s="10" t="str">
        <x:f>IF(D101="","",IF(COUNTIFS('Видео'!$A$7:$A$1508,D101)=1,INDEX('Видео'!$B$7:$B$1508,MATCH(D101,'Видео'!$A$7:$A$1508,0)),"ID не найден"))</x:f>
        <x:v>הדרום הפרוע: מחדל המשילות בנגב | חלק א'</x:v>
      </x:c>
      <x:c r="F101" s="9" t="str">
        <x:f>IF(D101="","",IF(COUNTIFS('Видео'!$A$7:$A$1508,D101)=1,INDEX('Видео'!$R$7:$R$1508,MATCH(D101,'Видео'!$A$7:$A$1508,0)),"ID не найден"))</x:f>
        <x:v>C084</x:v>
      </x:c>
      <x:c r="G101" s="9" t="str">
        <x:f>IF(D101="","",IF(COUNTIFS('Видео'!$A$7:$A$1508,D101)=1,INDEX('Видео'!$D$7:$D$1508,MATCH(D101,'Видео'!$A$7:$A$1508,0)),"ID не найден"))</x:f>
        <x:v>Общество</x:v>
      </x:c>
      <x:c r="H101" s="10" t="str">
        <x:f>IF(D101="","",IF(COUNTIFS('Видео'!$A$7:$A$1508,D101)=1,INDEX('Видео'!$F$7:$F$1508,MATCH(D101,'Видео'!$A$7:$A$1508,0)),"ID не найден"))</x:f>
        <x:v>B2–C1 (гипотеза)</x:v>
      </x:c>
      <x:c r="I101" s="18" t="n">
        <x:f>IF(D101="","",IF(COUNTIFS('Видео'!$A$7:$A$1508,D101)=1,INDEX('Видео'!$G$7:$G$1508,MATCH(D101,'Видео'!$A$7:$A$1508,0)),"ID не найден"))</x:f>
        <x:v>27.2</x:v>
      </x:c>
      <x:c r="J101" s="18" t="n">
        <x:v>10</x:v>
      </x:c>
      <x:c r="K101" s="10" t="str">
        <x:f>IF(D101="","",IF(COUNTIFS('Видео'!$A$7:$A$1508,D101)=1,INDEX('Видео'!$AI$7:$AI$1508,MATCH(D101,'Видео'!$A$7:$A$1508,0)),"ID не найден"))</x:f>
        <x:v>Нужна редактура</x:v>
      </x:c>
      <x:c r="L101" s="19" t="str">
        <x:v>WK8tVXkECFM</x:v>
      </x:c>
      <x:c r="M101" s="10" t="str">
        <x:f>IF(L101="","",IF(COUNTIFS('Видео'!$A$7:$A$1508,L101)=1,INDEX('Видео'!$B$7:$B$1508,MATCH(L101,'Видео'!$A$7:$A$1508,0)),"ID не найден"))</x:f>
        <x:v>כאן מקשיבים: אין לי קיבה</x:v>
      </x:c>
      <x:c r="N101" s="10" t="str"/>
      <x:c r="O101" s="10" t="str">
        <x:f>IF(D101="","",IF(COUNTIFS('Видео'!$A$7:$A$1508,D101)=1,INDEX('Видео'!$M$7:$M$1508,MATCH(D101,'Видео'!$A$7:$A$1508,0)),"ID не найден"))</x:f>
        <x:v>Тема: הדרום הפרוע: מחדל המשילות בנגב | חלק א'. Региональная тема расширяет фокус за пределы центра страны. Не смешивать с другим циклом 7.10 — גרסת יו״ש.</x:v>
      </x:c>
      <x:c r="P101" s="11" t="str">
        <x:f>IF(D101="","",IF(COUNTIFS('Видео'!$A$7:$A$1508,D101)=1,INDEX('Видео'!$U$7:$U$1508,MATCH(D101,'Видео'!$A$7:$A$1508,0)),"ID не найден"))</x:f>
        <x:v>https://www.youtube.com/watch?v=KdQYwbVZW-Q</x:v>
      </x:c>
      <x:c r="Q101" s="17" t="str">
        <x:v>Предложено</x:v>
      </x:c>
      <x:c r="R101" s="17" t="str"/>
      <x:c r="S101" s="10" t="str"/>
      <x:c r="T101" s="10" t="str">
        <x:v>Резерв меняет выбор видео; снова проверить повод, аудиторию и все редакторские условия</x:v>
      </x:c>
      <x:c r="U101" s="9" t="str">
        <x:f>IF(D101="","Выбрать видео",IF(COUNTIFS($D$7:$D$371,D101)&gt;1,"Повтор","Без повтора"))</x:f>
        <x:v>Без повтора</x:v>
      </x:c>
    </x:row>
    <x:row r="102" ht="60" customHeight="1">
      <x:c r="A102" s="16" t="n">
        <x:v>46404</x:v>
      </x:c>
      <x:c r="B102" s="9" t="str">
        <x:v>Вс</x:v>
      </x:c>
      <x:c r="C102" s="10" t="str">
        <x:v>Сериал</x:v>
      </x:c>
      <x:c r="D102" s="19" t="str">
        <x:v>iceLA7lhoEI</x:v>
      </x:c>
      <x:c r="E102" s="10" t="str">
        <x:f>IF(D102="","",IF(COUNTIFS('Видео'!$A$7:$A$1508,D102)=1,INDEX('Видео'!$B$7:$B$1508,MATCH(D102,'Видео'!$A$7:$A$1508,0)),"ID не найден"))</x:f>
        <x:v>קופה ראשית עונה 3🛒 | ראמזי טהור לעד - פרק 14</x:v>
      </x:c>
      <x:c r="F102" s="9" t="str">
        <x:f>IF(D102="","",IF(COUNTIFS('Видео'!$A$7:$A$1508,D102)=1,INDEX('Видео'!$R$7:$R$1508,MATCH(D102,'Видео'!$A$7:$A$1508,0)),"ID не найден"))</x:f>
        <x:v>C003</x:v>
      </x:c>
      <x:c r="G102" s="9" t="str">
        <x:f>IF(D102="","",IF(COUNTIFS('Видео'!$A$7:$A$1508,D102)=1,INDEX('Видео'!$D$7:$D$1508,MATCH(D102,'Видео'!$A$7:$A$1508,0)),"ID не найден"))</x:f>
        <x:v>Сериал</x:v>
      </x:c>
      <x:c r="H102" s="10" t="str">
        <x:f>IF(D102="","",IF(COUNTIFS('Видео'!$A$7:$A$1508,D102)=1,INDEX('Видео'!$F$7:$F$1508,MATCH(D102,'Видео'!$A$7:$A$1508,0)),"ID не найден"))</x:f>
        <x:v>B1–B2 (гипотеза)</x:v>
      </x:c>
      <x:c r="I102" s="18" t="n">
        <x:f>IF(D102="","",IF(COUNTIFS('Видео'!$A$7:$A$1508,D102)=1,INDEX('Видео'!$G$7:$G$1508,MATCH(D102,'Видео'!$A$7:$A$1508,0)),"ID не найден"))</x:f>
        <x:v>25.3</x:v>
      </x:c>
      <x:c r="J102" s="18" t="n">
        <x:v>10</x:v>
      </x:c>
      <x:c r="K102" s="10" t="str">
        <x:f>IF(D102="","",IF(COUNTIFS('Видео'!$A$7:$A$1508,D102)=1,INDEX('Видео'!$AI$7:$AI$1508,MATCH(D102,'Видео'!$A$7:$A$1508,0)),"ID не найден"))</x:f>
        <x:v>Нужна редактура</x:v>
      </x:c>
      <x:c r="L102" s="19" t="str">
        <x:v>v601Zue3Ub4</x:v>
      </x:c>
      <x:c r="M102" s="10" t="str">
        <x:f>IF(L102="","",IF(COUNTIFS('Видео'!$A$7:$A$1508,L102)=1,INDEX('Видео'!$B$7:$B$1508,MATCH(L102,'Видео'!$A$7:$A$1508,0)),"ID не найден"))</x:f>
        <x:v>למה הבס כל כך חשוב במוזיקה? | כאן סקרנים</x:v>
      </x:c>
      <x:c r="N102" s="10" t="str"/>
      <x:c r="O102" s="10" t="str">
        <x:f>IF(D102="","",IF(COUNTIFS('Видео'!$A$7:$A$1508,D102)=1,INDEX('Видео'!$M$7:$M$1508,MATCH(D102,'Видео'!$A$7:$A$1508,0)),"ID не найден"))</x:f>
        <x:v>Эпизод 14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02" s="11" t="str">
        <x:f>IF(D102="","",IF(COUNTIFS('Видео'!$A$7:$A$1508,D102)=1,INDEX('Видео'!$U$7:$U$1508,MATCH(D102,'Видео'!$A$7:$A$1508,0)),"ID не найден"))</x:f>
        <x:v>https://www.youtube.com/watch?v=iceLA7lhoEI</x:v>
      </x:c>
      <x:c r="Q102" s="17" t="str">
        <x:v>Предложено</x:v>
      </x:c>
      <x:c r="R102" s="17" t="str"/>
      <x:c r="S102" s="10" t="str"/>
      <x:c r="T102" s="10" t="str">
        <x:v>При недоступной серии приостановить сюжетную ветку; резерв — самостоятельное видео</x:v>
      </x:c>
      <x:c r="U102" s="9" t="str">
        <x:f>IF(D102="","Выбрать видео",IF(COUNTIFS($D$7:$D$371,D102)&gt;1,"Повтор","Без повтора"))</x:f>
        <x:v>Без повтора</x:v>
      </x:c>
    </x:row>
    <x:row r="103" ht="60" customHeight="1">
      <x:c r="A103" s="16" t="n">
        <x:v>46405</x:v>
      </x:c>
      <x:c r="B103" s="9" t="str">
        <x:v>Пн</x:v>
      </x:c>
      <x:c r="C103" s="10" t="str">
        <x:v>Интервью</x:v>
      </x:c>
      <x:c r="D103" s="19" t="str">
        <x:v>Rmwtxd6_gOE</x:v>
      </x:c>
      <x:c r="E103" s="10" t="str">
        <x:f>IF(D103="","",IF(COUNTIFS('Видео'!$A$7:$A$1508,D103)=1,INDEX('Видео'!$B$7:$B$1508,MATCH(D103,'Видео'!$A$7:$A$1508,0)),"ID не найден"))</x:f>
        <x:v>פגישה עם רוני קובן עונה 8 | ינון מגל</x:v>
      </x:c>
      <x:c r="F103" s="9" t="str">
        <x:f>IF(D103="","",IF(COUNTIFS('Видео'!$A$7:$A$1508,D103)=1,INDEX('Видео'!$R$7:$R$1508,MATCH(D103,'Видео'!$A$7:$A$1508,0)),"ID не найден"))</x:f>
        <x:v>C015</x:v>
      </x:c>
      <x:c r="G103" s="9" t="str">
        <x:f>IF(D103="","",IF(COUNTIFS('Видео'!$A$7:$A$1508,D103)=1,INDEX('Видео'!$D$7:$D$1508,MATCH(D103,'Видео'!$A$7:$A$1508,0)),"ID не найден"))</x:f>
        <x:v>Интервью</x:v>
      </x:c>
      <x:c r="H103" s="10" t="str">
        <x:f>IF(D103="","",IF(COUNTIFS('Видео'!$A$7:$A$1508,D103)=1,INDEX('Видео'!$F$7:$F$1508,MATCH(D103,'Видео'!$A$7:$A$1508,0)),"ID не найден"))</x:f>
        <x:v>B2–C1 (гипотеза)</x:v>
      </x:c>
      <x:c r="I103" s="18" t="n">
        <x:f>IF(D103="","",IF(COUNTIFS('Видео'!$A$7:$A$1508,D103)=1,INDEX('Видео'!$G$7:$G$1508,MATCH(D103,'Видео'!$A$7:$A$1508,0)),"ID не найден"))</x:f>
        <x:v>42.3</x:v>
      </x:c>
      <x:c r="J103" s="18" t="n">
        <x:v>10</x:v>
      </x:c>
      <x:c r="K103" s="10" t="str">
        <x:f>IF(D103="","",IF(COUNTIFS('Видео'!$A$7:$A$1508,D103)=1,INDEX('Видео'!$AI$7:$AI$1508,MATCH(D103,'Видео'!$A$7:$A$1508,0)),"ID не найден"))</x:f>
        <x:v>Нужна редактура</x:v>
      </x:c>
      <x:c r="L103" s="19" t="str">
        <x:v>vf-RSe3zABo</x:v>
      </x:c>
      <x:c r="M103" s="10" t="str">
        <x:f>IF(L103="","",IF(COUNTIFS('Видео'!$A$7:$A$1508,L103)=1,INDEX('Видео'!$B$7:$B$1508,MATCH(L103,'Видео'!$A$7:$A$1508,0)),"ID не найден"))</x:f>
        <x:v>שיחה עם עודד הרוש: הפרופסור יובל אלבשן I התכנית המלאה</x:v>
      </x:c>
      <x:c r="N103" s="10" t="str"/>
      <x:c r="O103" s="10" t="str">
        <x:f>IF(D103="","",IF(COUNTIFS('Видео'!$A$7:$A$1508,D103)=1,INDEX('Видео'!$M$7:$M$1508,MATCH(D103,'Видео'!$A$7:$A$1508,0)),"ID не найден"))</x:f>
        <x:v>Тема / гость: ינון מגל. Просмотры в списке выше медианы выборки этого цикла в 5.67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03" s="11" t="str">
        <x:f>IF(D103="","",IF(COUNTIFS('Видео'!$A$7:$A$1508,D103)=1,INDEX('Видео'!$U$7:$U$1508,MATCH(D103,'Видео'!$A$7:$A$1508,0)),"ID не найден"))</x:f>
        <x:v>https://www.youtube.com/watch?v=Rmwtxd6_gOE</x:v>
      </x:c>
      <x:c r="Q103" s="17" t="str">
        <x:v>Предложено</x:v>
      </x:c>
      <x:c r="R103" s="17" t="str"/>
      <x:c r="S103" s="10" t="str"/>
      <x:c r="T103" s="10" t="str">
        <x:v>Резерв меняет выбор видео; снова проверить повод, аудиторию и все редакторские условия</x:v>
      </x:c>
      <x:c r="U103" s="9" t="str">
        <x:f>IF(D103="","Выбрать видео",IF(COUNTIFS($D$7:$D$371,D103)&gt;1,"Повтор","Без повтора"))</x:f>
        <x:v>Без повтора</x:v>
      </x:c>
    </x:row>
    <x:row r="104" ht="60" customHeight="1">
      <x:c r="A104" s="16" t="n">
        <x:v>46406</x:v>
      </x:c>
      <x:c r="B104" s="9" t="str">
        <x:v>Вт</x:v>
      </x:c>
      <x:c r="C104" s="10" t="str">
        <x:v>Образование</x:v>
      </x:c>
      <x:c r="D104" s="19" t="str">
        <x:v>7qGBf-otClc</x:v>
      </x:c>
      <x:c r="E104" s="10" t="str">
        <x:f>IF(D104="","",IF(COUNTIFS('Видео'!$A$7:$A$1508,D104)=1,INDEX('Видео'!$B$7:$B$1508,MATCH(D104,'Видео'!$A$7:$A$1508,0)),"ID не найден"))</x:f>
        <x:v>שימוש שגוי במיקרוגל, שוקולד ומהירות האור!</x:v>
      </x:c>
      <x:c r="F104" s="9" t="str">
        <x:f>IF(D104="","",IF(COUNTIFS('Видео'!$A$7:$A$1508,D104)=1,INDEX('Видео'!$R$7:$R$1508,MATCH(D104,'Видео'!$A$7:$A$1508,0)),"ID не найден"))</x:f>
        <x:v>C062</x:v>
      </x:c>
      <x:c r="G104" s="9" t="str">
        <x:f>IF(D104="","",IF(COUNTIFS('Видео'!$A$7:$A$1508,D104)=1,INDEX('Видео'!$D$7:$D$1508,MATCH(D104,'Видео'!$A$7:$A$1508,0)),"ID не найден"))</x:f>
        <x:v>Образование</x:v>
      </x:c>
      <x:c r="H104" s="10" t="str">
        <x:f>IF(D104="","",IF(COUNTIFS('Видео'!$A$7:$A$1508,D104)=1,INDEX('Видео'!$F$7:$F$1508,MATCH(D104,'Видео'!$A$7:$A$1508,0)),"ID не найден"))</x:f>
        <x:v>B1–B2 (гипотеза)</x:v>
      </x:c>
      <x:c r="I104" s="18" t="n">
        <x:f>IF(D104="","",IF(COUNTIFS('Видео'!$A$7:$A$1508,D104)=1,INDEX('Видео'!$G$7:$G$1508,MATCH(D104,'Видео'!$A$7:$A$1508,0)),"ID не найден"))</x:f>
        <x:v>2.6</x:v>
      </x:c>
      <x:c r="J104" s="18" t="n">
        <x:v>5</x:v>
      </x:c>
      <x:c r="K104" s="10" t="str">
        <x:f>IF(D104="","",IF(COUNTIFS('Видео'!$A$7:$A$1508,D104)=1,INDEX('Видео'!$AI$7:$AI$1508,MATCH(D104,'Видео'!$A$7:$A$1508,0)),"ID не найден"))</x:f>
        <x:v>Нужна редактура</x:v>
      </x:c>
      <x:c r="L104" s="19" t="str">
        <x:v>B4g80td4c8o</x:v>
      </x:c>
      <x:c r="M104" s="10" t="str">
        <x:f>IF(L104="","",IF(COUNTIFS('Видео'!$A$7:$A$1508,L104)=1,INDEX('Видео'!$B$7:$B$1508,MATCH(L104,'Видео'!$A$7:$A$1508,0)),"ID не найден"))</x:f>
        <x:v>פרפר נחמד 🦋 | פרק 13 - חנוכה</x:v>
      </x:c>
      <x:c r="N104" s="10" t="str"/>
      <x:c r="O104" s="10" t="str">
        <x:f>IF(D104="","",IF(COUNTIFS('Видео'!$A$7:$A$1508,D104)=1,INDEX('Видео'!$M$7:$M$1508,MATCH(D104,'Видео'!$A$7:$A$1508,0)),"ID не найден"))</x:f>
        <x:v>Завершённый короткий просмотр около 3 мин. Просмотры в списке выше медианы выборки этого цикла в 30.57 раза. Бытовая ситуация помогает понимать научную лексику через знакомое действие.</x:v>
      </x:c>
      <x:c r="P104" s="11" t="str">
        <x:f>IF(D104="","",IF(COUNTIFS('Видео'!$A$7:$A$1508,D104)=1,INDEX('Видео'!$U$7:$U$1508,MATCH(D104,'Видео'!$A$7:$A$1508,0)),"ID не найден"))</x:f>
        <x:v>https://www.youtube.com/watch?v=7qGBf-otClc</x:v>
      </x:c>
      <x:c r="Q104" s="17" t="str">
        <x:v>Предложено</x:v>
      </x:c>
      <x:c r="R104" s="17" t="str"/>
      <x:c r="S104" s="10" t="str"/>
      <x:c r="T104" s="10" t="str">
        <x:v>Резерв меняет выбор видео; снова проверить повод, аудиторию и все редакторские условия</x:v>
      </x:c>
      <x:c r="U104" s="9" t="str">
        <x:f>IF(D104="","Выбрать видео",IF(COUNTIFS($D$7:$D$371,D104)&gt;1,"Повтор","Без повтора"))</x:f>
        <x:v>Без повтора</x:v>
      </x:c>
    </x:row>
    <x:row r="105" ht="60" customHeight="1">
      <x:c r="A105" s="16" t="n">
        <x:v>46407</x:v>
      </x:c>
      <x:c r="B105" s="9" t="str">
        <x:v>Ср</x:v>
      </x:c>
      <x:c r="C105" s="10" t="str">
        <x:v>Быт</x:v>
      </x:c>
      <x:c r="D105" s="19" t="str">
        <x:v>UGkLDEhNtew</x:v>
      </x:c>
      <x:c r="E105" s="10" t="str">
        <x:f>IF(D105="","",IF(COUNTIFS('Видео'!$A$7:$A$1508,D105)=1,INDEX('Видео'!$B$7:$B$1508,MATCH(D105,'Видео'!$A$7:$A$1508,0)),"ID не найден"))</x:f>
        <x:v>ירין עושה תספורות שהן יצירות אמנות: "לוקח בכיף 1,000 שקל לתספורת" | דוקותיים</x:v>
      </x:c>
      <x:c r="F105" s="9" t="str">
        <x:f>IF(D105="","",IF(COUNTIFS('Видео'!$A$7:$A$1508,D105)=1,INDEX('Видео'!$R$7:$R$1508,MATCH(D105,'Видео'!$A$7:$A$1508,0)),"ID не найден"))</x:f>
        <x:v>C043</x:v>
      </x:c>
      <x:c r="G105" s="9" t="str">
        <x:f>IF(D105="","",IF(COUNTIFS('Видео'!$A$7:$A$1508,D105)=1,INDEX('Видео'!$D$7:$D$1508,MATCH(D105,'Видео'!$A$7:$A$1508,0)),"ID не найден"))</x:f>
        <x:v>Быт</x:v>
      </x:c>
      <x:c r="H105" s="10" t="str">
        <x:f>IF(D105="","",IF(COUNTIFS('Видео'!$A$7:$A$1508,D105)=1,INDEX('Видео'!$F$7:$F$1508,MATCH(D105,'Видео'!$A$7:$A$1508,0)),"ID не найден"))</x:f>
        <x:v>B1–B2 (гипотеза)</x:v>
      </x:c>
      <x:c r="I105" s="18" t="n">
        <x:f>IF(D105="","",IF(COUNTIFS('Видео'!$A$7:$A$1508,D105)=1,INDEX('Видео'!$G$7:$G$1508,MATCH(D105,'Видео'!$A$7:$A$1508,0)),"ID не найден"))</x:f>
        <x:v>7.4</x:v>
      </x:c>
      <x:c r="J105" s="18" t="n">
        <x:v>5</x:v>
      </x:c>
      <x:c r="K105" s="10" t="str">
        <x:f>IF(D105="","",IF(COUNTIFS('Видео'!$A$7:$A$1508,D105)=1,INDEX('Видео'!$AI$7:$AI$1508,MATCH(D105,'Видео'!$A$7:$A$1508,0)),"ID не найден"))</x:f>
        <x:v>Нужна редактура</x:v>
      </x:c>
      <x:c r="L105" s="19" t="str">
        <x:v>GASccH14UuI</x:v>
      </x:c>
      <x:c r="M105" s="10" t="str">
        <x:f>IF(L105="","",IF(COUNTIFS('Видео'!$A$7:$A$1508,L105)=1,INDEX('Видео'!$B$7:$B$1508,MATCH(L105,'Видео'!$A$7:$A$1508,0)),"ID не найден"))</x:f>
        <x:v>דוקותיים | בעקבות השבעה באוקטובר, משה עזב את הישיבה והתגייס לצה"ל</x:v>
      </x:c>
      <x:c r="N105" s="10" t="str"/>
      <x:c r="O105" s="10" t="str">
        <x:f>IF(D105="","",IF(COUNTIFS('Видео'!$A$7:$A$1508,D105)=1,INDEX('Видео'!$M$7:$M$1508,MATCH(D105,'Видео'!$A$7:$A$1508,0)),"ID не найден"))</x:f>
        <x:v>Завершённый короткий просмотр около 7 мин. Просмотры в списке выше медианы выборки этого цикла в 5.66 раза. Короткая история реального человека подходит для ежедневной привычки. Разные профессии и места расширяют взгляд на страну.</x:v>
      </x:c>
      <x:c r="P105" s="11" t="str">
        <x:f>IF(D105="","",IF(COUNTIFS('Видео'!$A$7:$A$1508,D105)=1,INDEX('Видео'!$U$7:$U$1508,MATCH(D105,'Видео'!$A$7:$A$1508,0)),"ID не найден"))</x:f>
        <x:v>https://www.youtube.com/watch?v=UGkLDEhNtew</x:v>
      </x:c>
      <x:c r="Q105" s="17" t="str">
        <x:v>Предложено</x:v>
      </x:c>
      <x:c r="R105" s="17" t="str"/>
      <x:c r="S105" s="10" t="str"/>
      <x:c r="T105" s="10" t="str">
        <x:v>Резерв меняет выбор видео; снова проверить повод, аудиторию и все редакторские условия</x:v>
      </x:c>
      <x:c r="U105" s="9" t="str">
        <x:f>IF(D105="","Выбрать видео",IF(COUNTIFS($D$7:$D$371,D105)&gt;1,"Повтор","Без повтора"))</x:f>
        <x:v>Без повтора</x:v>
      </x:c>
    </x:row>
    <x:row r="106" ht="60" customHeight="1">
      <x:c r="A106" s="16" t="n">
        <x:v>46408</x:v>
      </x:c>
      <x:c r="B106" s="9" t="str">
        <x:v>Чт</x:v>
      </x:c>
      <x:c r="C106" s="10" t="str">
        <x:v>Сериал</x:v>
      </x:c>
      <x:c r="D106" s="19" t="str">
        <x:v>5BDo8oOFdhM</x:v>
      </x:c>
      <x:c r="E106" s="10" t="str">
        <x:f>IF(D106="","",IF(COUNTIFS('Видео'!$A$7:$A$1508,D106)=1,INDEX('Видео'!$B$7:$B$1508,MATCH(D106,'Видео'!$A$7:$A$1508,0)),"ID не найден"))</x:f>
        <x:v>המפקדת 📋 | פרק 4 - החזקים מתגלים 🔥</x:v>
      </x:c>
      <x:c r="F106" s="9" t="str">
        <x:f>IF(D106="","",IF(COUNTIFS('Видео'!$A$7:$A$1508,D106)=1,INDEX('Видео'!$R$7:$R$1508,MATCH(D106,'Видео'!$A$7:$A$1508,0)),"ID не найден"))</x:f>
        <x:v>C005</x:v>
      </x:c>
      <x:c r="G106" s="9" t="str">
        <x:f>IF(D106="","",IF(COUNTIFS('Видео'!$A$7:$A$1508,D106)=1,INDEX('Видео'!$D$7:$D$1508,MATCH(D106,'Видео'!$A$7:$A$1508,0)),"ID не найден"))</x:f>
        <x:v>Сериал</x:v>
      </x:c>
      <x:c r="H106" s="10" t="str">
        <x:f>IF(D106="","",IF(COUNTIFS('Видео'!$A$7:$A$1508,D106)=1,INDEX('Видео'!$F$7:$F$1508,MATCH(D106,'Видео'!$A$7:$A$1508,0)),"ID не найден"))</x:f>
        <x:v>B2–C1 (гипотеза)</x:v>
      </x:c>
      <x:c r="I106" s="18" t="n">
        <x:f>IF(D106="","",IF(COUNTIFS('Видео'!$A$7:$A$1508,D106)=1,INDEX('Видео'!$G$7:$G$1508,MATCH(D106,'Видео'!$A$7:$A$1508,0)),"ID не найден"))</x:f>
        <x:v>35.3</x:v>
      </x:c>
      <x:c r="J106" s="18" t="n">
        <x:v>10</x:v>
      </x:c>
      <x:c r="K106" s="10" t="str">
        <x:f>IF(D106="","",IF(COUNTIFS('Видео'!$A$7:$A$1508,D106)=1,INDEX('Видео'!$AI$7:$AI$1508,MATCH(D106,'Видео'!$A$7:$A$1508,0)),"ID не найден"))</x:f>
        <x:v>Нужна редактура</x:v>
      </x:c>
      <x:c r="L106" s="19" t="str">
        <x:v>dZLrFrZw4ow</x:v>
      </x:c>
      <x:c r="M106" s="10" t="str">
        <x:f>IF(L106="","",IF(COUNTIFS('Видео'!$A$7:$A$1508,L106)=1,INDEX('Видео'!$B$7:$B$1508,MATCH(L106,'Видео'!$A$7:$A$1508,0)),"ID не найден"))</x:f>
        <x:v>כמה גרעינים יש ברימון?</x:v>
      </x:c>
      <x:c r="N106" s="10" t="str"/>
      <x:c r="O106" s="10" t="str">
        <x:f>IF(D106="","",IF(COUNTIFS('Видео'!$A$7:$A$1508,D106)=1,INDEX('Видео'!$M$7:$M$1508,MATCH(D106,'Видео'!$A$7:$A$1508,0)),"ID не найден"))</x:f>
        <x:v>Эпизод 4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P106" s="11" t="str">
        <x:f>IF(D106="","",IF(COUNTIFS('Видео'!$A$7:$A$1508,D106)=1,INDEX('Видео'!$U$7:$U$1508,MATCH(D106,'Видео'!$A$7:$A$1508,0)),"ID не найден"))</x:f>
        <x:v>https://www.youtube.com/watch?v=5BDo8oOFdhM</x:v>
      </x:c>
      <x:c r="Q106" s="17" t="str">
        <x:v>Предложено</x:v>
      </x:c>
      <x:c r="R106" s="17" t="str"/>
      <x:c r="S106" s="10" t="str"/>
      <x:c r="T106" s="10" t="str">
        <x:v>При недоступной серии приостановить сюжетную ветку; резерв — самостоятельное видео</x:v>
      </x:c>
      <x:c r="U106" s="9" t="str">
        <x:f>IF(D106="","Выбрать видео",IF(COUNTIFS($D$7:$D$371,D106)&gt;1,"Повтор","Без повтора"))</x:f>
        <x:v>Без повтора</x:v>
      </x:c>
    </x:row>
    <x:row r="107" ht="60" customHeight="1">
      <x:c r="A107" s="16" t="n">
        <x:v>46409</x:v>
      </x:c>
      <x:c r="B107" s="9" t="str">
        <x:v>Пт</x:v>
      </x:c>
      <x:c r="C107" s="10" t="str">
        <x:v>История</x:v>
      </x:c>
      <x:c r="D107" s="19" t="str">
        <x:v>Wd3ZUjXIDlA</x:v>
      </x:c>
      <x:c r="E107" s="10" t="str">
        <x:f>IF(D107="","",IF(COUNTIFS('Видео'!$A$7:$A$1508,D107)=1,INDEX('Видео'!$B$7:$B$1508,MATCH(D107,'Видео'!$A$7:$A$1508,0)),"ID не найден"))</x:f>
        <x:v>חמש קריאות בהגות ציונית | שיעור 1 - יהודה חי אלקלעי | פרופ' ישראל ברטל</x:v>
      </x:c>
      <x:c r="F107" s="9" t="str">
        <x:f>IF(D107="","",IF(COUNTIFS('Видео'!$A$7:$A$1508,D107)=1,INDEX('Видео'!$R$7:$R$1508,MATCH(D107,'Видео'!$A$7:$A$1508,0)),"ID не найден"))</x:f>
        <x:v>C069</x:v>
      </x:c>
      <x:c r="G107" s="9" t="str">
        <x:f>IF(D107="","",IF(COUNTIFS('Видео'!$A$7:$A$1508,D107)=1,INDEX('Видео'!$D$7:$D$1508,MATCH(D107,'Видео'!$A$7:$A$1508,0)),"ID не найден"))</x:f>
        <x:v>История</x:v>
      </x:c>
      <x:c r="H107" s="10" t="str">
        <x:f>IF(D107="","",IF(COUNTIFS('Видео'!$A$7:$A$1508,D107)=1,INDEX('Видео'!$F$7:$F$1508,MATCH(D107,'Видео'!$A$7:$A$1508,0)),"ID не найден"))</x:f>
        <x:v>B2–C1 (гипотеза)</x:v>
      </x:c>
      <x:c r="I107" s="18" t="n">
        <x:f>IF(D107="","",IF(COUNTIFS('Видео'!$A$7:$A$1508,D107)=1,INDEX('Видео'!$G$7:$G$1508,MATCH(D107,'Видео'!$A$7:$A$1508,0)),"ID не найден"))</x:f>
        <x:v>42.8</x:v>
      </x:c>
      <x:c r="J107" s="18" t="n">
        <x:v>10</x:v>
      </x:c>
      <x:c r="K107" s="10" t="str">
        <x:f>IF(D107="","",IF(COUNTIFS('Видео'!$A$7:$A$1508,D107)=1,INDEX('Видео'!$AI$7:$AI$1508,MATCH(D107,'Видео'!$A$7:$A$1508,0)),"ID не найден"))</x:f>
        <x:v>Нужна редактура</x:v>
      </x:c>
      <x:c r="L107" s="19" t="str">
        <x:v>GBvz7ApxnuI</x:v>
      </x:c>
      <x:c r="M107" s="10" t="str">
        <x:f>IF(L107="","",IF(COUNTIFS('Видео'!$A$7:$A$1508,L107)=1,INDEX('Видео'!$B$7:$B$1508,MATCH(L107,'Видео'!$A$7:$A$1508,0)),"ID не найден"))</x:f>
        <x:v>והארץ הייתה תוהו ובוהו - תולדות ארץ ישראל | פרק 3: שחר האומה [HD]</x:v>
      </x:c>
      <x:c r="N107" s="10" t="str"/>
      <x:c r="O107" s="10" t="str">
        <x:f>IF(D107="","",IF(COUNTIFS('Видео'!$A$7:$A$1508,D107)=1,INDEX('Видео'!$M$7:$M$1508,MATCH(D107,'Видео'!$A$7:$A$1508,0)),"ID не найден"))</x:f>
        <x:v>Тема: חמש קריאות בהגות ציונית | שיעור 1 - יהודה חי אלקלעי | פרופ' ישראל ברטל. Просмотры в списке выше медианы выборки этого цикла в 2.2 раза. Серия предлагает академический вход в разные тексты и идеи сионизма.</x:v>
      </x:c>
      <x:c r="P107" s="11" t="str">
        <x:f>IF(D107="","",IF(COUNTIFS('Видео'!$A$7:$A$1508,D107)=1,INDEX('Видео'!$U$7:$U$1508,MATCH(D107,'Видео'!$A$7:$A$1508,0)),"ID не найден"))</x:f>
        <x:v>https://www.youtube.com/watch?v=Wd3ZUjXIDlA</x:v>
      </x:c>
      <x:c r="Q107" s="17" t="str">
        <x:v>Предложено</x:v>
      </x:c>
      <x:c r="R107" s="17" t="str"/>
      <x:c r="S107" s="10" t="str"/>
      <x:c r="T107" s="10" t="str">
        <x:v>Резерв меняет выбор видео; снова проверить повод, аудиторию и все редакторские условия</x:v>
      </x:c>
      <x:c r="U107" s="9" t="str">
        <x:f>IF(D107="","Выбрать видео",IF(COUNTIFS($D$7:$D$371,D107)&gt;1,"Повтор","Без повтора"))</x:f>
        <x:v>Без повтора</x:v>
      </x:c>
    </x:row>
    <x:row r="108" ht="60" customHeight="1">
      <x:c r="A108" s="16" t="n">
        <x:v>46410</x:v>
      </x:c>
      <x:c r="B108" s="9" t="str">
        <x:v>Сб</x:v>
      </x:c>
      <x:c r="C108" s="10" t="str">
        <x:v>Быт</x:v>
      </x:c>
      <x:c r="D108" s="19" t="str">
        <x:v>8DGDUX7dbNI</x:v>
      </x:c>
      <x:c r="E108" s="10" t="str">
        <x:f>IF(D108="","",IF(COUNTIFS('Видео'!$A$7:$A$1508,D108)=1,INDEX('Видео'!$B$7:$B$1508,MATCH(D108,'Видео'!$A$7:$A$1508,0)),"ID не найден"))</x:f>
        <x:v>"לא סופרים אותך, זה מתסכל": יום בחיי פקח רשות שמורות הטבע | זום אין</x:v>
      </x:c>
      <x:c r="F108" s="9" t="str">
        <x:f>IF(D108="","",IF(COUNTIFS('Видео'!$A$7:$A$1508,D108)=1,INDEX('Видео'!$R$7:$R$1508,MATCH(D108,'Видео'!$A$7:$A$1508,0)),"ID не найден"))</x:f>
        <x:v>C048</x:v>
      </x:c>
      <x:c r="G108" s="9" t="str">
        <x:f>IF(D108="","",IF(COUNTIFS('Видео'!$A$7:$A$1508,D108)=1,INDEX('Видео'!$D$7:$D$1508,MATCH(D108,'Видео'!$A$7:$A$1508,0)),"ID не найден"))</x:f>
        <x:v>Быт</x:v>
      </x:c>
      <x:c r="H108" s="10" t="str">
        <x:f>IF(D108="","",IF(COUNTIFS('Видео'!$A$7:$A$1508,D108)=1,INDEX('Видео'!$F$7:$F$1508,MATCH(D108,'Видео'!$A$7:$A$1508,0)),"ID не найден"))</x:f>
        <x:v>B1–B2 (гипотеза)</x:v>
      </x:c>
      <x:c r="I108" s="18" t="n">
        <x:f>IF(D108="","",IF(COUNTIFS('Видео'!$A$7:$A$1508,D108)=1,INDEX('Видео'!$G$7:$G$1508,MATCH(D108,'Видео'!$A$7:$A$1508,0)),"ID не найден"))</x:f>
        <x:v>6.5</x:v>
      </x:c>
      <x:c r="J108" s="18" t="n">
        <x:v>5</x:v>
      </x:c>
      <x:c r="K108" s="10" t="str">
        <x:f>IF(D108="","",IF(COUNTIFS('Видео'!$A$7:$A$1508,D108)=1,INDEX('Видео'!$AI$7:$AI$1508,MATCH(D108,'Видео'!$A$7:$A$1508,0)),"ID не найден"))</x:f>
        <x:v>Нужна редактура</x:v>
      </x:c>
      <x:c r="L108" s="19" t="str">
        <x:v>NficKosW9Qg</x:v>
      </x:c>
      <x:c r="M108" s="10" t="str">
        <x:f>IF(L108="","",IF(COUNTIFS('Видео'!$A$7:$A$1508,L108)=1,INDEX('Видео'!$B$7:$B$1508,MATCH(L108,'Видео'!$A$7:$A$1508,0)),"ID не найден"))</x:f>
        <x:v>דוקותיים | אליהו גוטמן ואלי טורנהיים מכפר חב"ד הם סיירת הכביסה של "עזר לחייל"</x:v>
      </x:c>
      <x:c r="N108" s="10" t="str">
        <x:v>Ту би-Шват: забота о природе Израиля</x:v>
      </x:c>
      <x:c r="O108" s="10" t="str">
        <x:f>IF(D108="","",IF(COUNTIFS('Видео'!$A$7:$A$1508,D108)=1,INDEX('Видео'!$M$7:$M$1508,MATCH(D108,'Видео'!$A$7:$A$1508,0)),"ID не найден"))</x:f>
        <x:v>Завершённый короткий просмотр около 7 мин. День в жизни специалиста связывает язык с конкретными действиями и рабочей средой.</x:v>
      </x:c>
      <x:c r="P108" s="11" t="str">
        <x:f>IF(D108="","",IF(COUNTIFS('Видео'!$A$7:$A$1508,D108)=1,INDEX('Видео'!$U$7:$U$1508,MATCH(D108,'Видео'!$A$7:$A$1508,0)),"ID не найден"))</x:f>
        <x:v>https://www.youtube.com/watch?v=8DGDUX7dbNI</x:v>
      </x:c>
      <x:c r="Q108" s="17" t="str">
        <x:v>Предложено</x:v>
      </x:c>
      <x:c r="R108" s="17" t="str"/>
      <x:c r="S108" s="10" t="str">
        <x:v>https://www.hebcal.com/holidays/2027?i=on</x:v>
      </x:c>
      <x:c r="T108" s="10" t="str">
        <x:v>Резерв меняет выбор видео; снова проверить повод, аудиторию и все редакторские условия</x:v>
      </x:c>
      <x:c r="U108" s="9" t="str">
        <x:f>IF(D108="","Выбрать видео",IF(COUNTIFS($D$7:$D$371,D108)&gt;1,"Повтор","Без повтора"))</x:f>
        <x:v>Без повтора</x:v>
      </x:c>
    </x:row>
    <x:row r="109" ht="60" customHeight="1">
      <x:c r="A109" s="16" t="n">
        <x:v>46411</x:v>
      </x:c>
      <x:c r="B109" s="9" t="str">
        <x:v>Вс</x:v>
      </x:c>
      <x:c r="C109" s="10" t="str">
        <x:v>Сериал</x:v>
      </x:c>
      <x:c r="D109" s="19" t="str">
        <x:v>b_cJIoOQCSw</x:v>
      </x:c>
      <x:c r="E109" s="10" t="str">
        <x:f>IF(D109="","",IF(COUNTIFS('Видео'!$A$7:$A$1508,D109)=1,INDEX('Видео'!$B$7:$B$1508,MATCH(D109,'Видео'!$A$7:$A$1508,0)),"ID не найден"))</x:f>
        <x:v>קופה ראשית עונה 3🛒 | עקיצות - פרק 15</x:v>
      </x:c>
      <x:c r="F109" s="9" t="str">
        <x:f>IF(D109="","",IF(COUNTIFS('Видео'!$A$7:$A$1508,D109)=1,INDEX('Видео'!$R$7:$R$1508,MATCH(D109,'Видео'!$A$7:$A$1508,0)),"ID не найден"))</x:f>
        <x:v>C003</x:v>
      </x:c>
      <x:c r="G109" s="9" t="str">
        <x:f>IF(D109="","",IF(COUNTIFS('Видео'!$A$7:$A$1508,D109)=1,INDEX('Видео'!$D$7:$D$1508,MATCH(D109,'Видео'!$A$7:$A$1508,0)),"ID не найден"))</x:f>
        <x:v>Сериал</x:v>
      </x:c>
      <x:c r="H109" s="10" t="str">
        <x:f>IF(D109="","",IF(COUNTIFS('Видео'!$A$7:$A$1508,D109)=1,INDEX('Видео'!$F$7:$F$1508,MATCH(D109,'Видео'!$A$7:$A$1508,0)),"ID не найден"))</x:f>
        <x:v>B1–B2 (гипотеза)</x:v>
      </x:c>
      <x:c r="I109" s="18" t="n">
        <x:f>IF(D109="","",IF(COUNTIFS('Видео'!$A$7:$A$1508,D109)=1,INDEX('Видео'!$G$7:$G$1508,MATCH(D109,'Видео'!$A$7:$A$1508,0)),"ID не найден"))</x:f>
        <x:v>24.6</x:v>
      </x:c>
      <x:c r="J109" s="18" t="n">
        <x:v>10</x:v>
      </x:c>
      <x:c r="K109" s="10" t="str">
        <x:f>IF(D109="","",IF(COUNTIFS('Видео'!$A$7:$A$1508,D109)=1,INDEX('Видео'!$AI$7:$AI$1508,MATCH(D109,'Видео'!$A$7:$A$1508,0)),"ID не найден"))</x:f>
        <x:v>Нужна редактура</x:v>
      </x:c>
      <x:c r="L109" s="19" t="str">
        <x:v>s-W1UbFY9Vs</x:v>
      </x:c>
      <x:c r="M109" s="10" t="str">
        <x:f>IF(L109="","",IF(COUNTIFS('Видео'!$A$7:$A$1508,L109)=1,INDEX('Видео'!$B$7:$B$1508,MATCH(L109,'Видео'!$A$7:$A$1508,0)),"ID не найден"))</x:f>
        <x:v>טורקי? ספרדי? אולי הודי? מה שבטוח הג'חנון הוא לא תימני | כאן סקרנים</x:v>
      </x:c>
      <x:c r="N109" s="10" t="str"/>
      <x:c r="O109" s="10" t="str">
        <x:f>IF(D109="","",IF(COUNTIFS('Видео'!$A$7:$A$1508,D109)=1,INDEX('Видео'!$M$7:$M$1508,MATCH(D109,'Видео'!$A$7:$A$1508,0)),"ID не найден"))</x:f>
        <x:v>Эпизод 15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09" s="11" t="str">
        <x:f>IF(D109="","",IF(COUNTIFS('Видео'!$A$7:$A$1508,D109)=1,INDEX('Видео'!$U$7:$U$1508,MATCH(D109,'Видео'!$A$7:$A$1508,0)),"ID не найден"))</x:f>
        <x:v>https://www.youtube.com/watch?v=b_cJIoOQCSw</x:v>
      </x:c>
      <x:c r="Q109" s="17" t="str">
        <x:v>Предложено</x:v>
      </x:c>
      <x:c r="R109" s="17" t="str"/>
      <x:c r="S109" s="10" t="str"/>
      <x:c r="T109" s="10" t="str">
        <x:v>При недоступной серии приостановить сюжетную ветку; резерв — самостоятельное видео</x:v>
      </x:c>
      <x:c r="U109" s="9" t="str">
        <x:f>IF(D109="","Выбрать видео",IF(COUNTIFS($D$7:$D$371,D109)&gt;1,"Повтор","Без повтора"))</x:f>
        <x:v>Без повтора</x:v>
      </x:c>
    </x:row>
    <x:row r="110" ht="60" customHeight="1">
      <x:c r="A110" s="16" t="n">
        <x:v>46412</x:v>
      </x:c>
      <x:c r="B110" s="9" t="str">
        <x:v>Пн</x:v>
      </x:c>
      <x:c r="C110" s="10" t="str">
        <x:v>Интервью</x:v>
      </x:c>
      <x:c r="D110" s="19" t="str">
        <x:v>Hh9uuhi8xxc</x:v>
      </x:c>
      <x:c r="E110" s="10" t="str">
        <x:f>IF(D110="","",IF(COUNTIFS('Видео'!$A$7:$A$1508,D110)=1,INDEX('Видео'!$B$7:$B$1508,MATCH(D110,'Видео'!$A$7:$A$1508,0)),"ID не найден"))</x:f>
        <x:v>פגישה עם רוני קובן עונה 7 | פרק 6 - אהרן ברק</x:v>
      </x:c>
      <x:c r="F110" s="9" t="str">
        <x:f>IF(D110="","",IF(COUNTIFS('Видео'!$A$7:$A$1508,D110)=1,INDEX('Видео'!$R$7:$R$1508,MATCH(D110,'Видео'!$A$7:$A$1508,0)),"ID не найден"))</x:f>
        <x:v>C016</x:v>
      </x:c>
      <x:c r="G110" s="9" t="str">
        <x:f>IF(D110="","",IF(COUNTIFS('Видео'!$A$7:$A$1508,D110)=1,INDEX('Видео'!$D$7:$D$1508,MATCH(D110,'Видео'!$A$7:$A$1508,0)),"ID не найден"))</x:f>
        <x:v>Интервью</x:v>
      </x:c>
      <x:c r="H110" s="10" t="str">
        <x:f>IF(D110="","",IF(COUNTIFS('Видео'!$A$7:$A$1508,D110)=1,INDEX('Видео'!$F$7:$F$1508,MATCH(D110,'Видео'!$A$7:$A$1508,0)),"ID не найден"))</x:f>
        <x:v>B2–C1 (гипотеза)</x:v>
      </x:c>
      <x:c r="I110" s="18" t="n">
        <x:f>IF(D110="","",IF(COUNTIFS('Видео'!$A$7:$A$1508,D110)=1,INDEX('Видео'!$G$7:$G$1508,MATCH(D110,'Видео'!$A$7:$A$1508,0)),"ID не найден"))</x:f>
        <x:v>68.7</x:v>
      </x:c>
      <x:c r="J110" s="18" t="n">
        <x:v>10</x:v>
      </x:c>
      <x:c r="K110" s="10" t="str">
        <x:f>IF(D110="","",IF(COUNTIFS('Видео'!$A$7:$A$1508,D110)=1,INDEX('Видео'!$AI$7:$AI$1508,MATCH(D110,'Видео'!$A$7:$A$1508,0)),"ID не найден"))</x:f>
        <x:v>Нужна редактура</x:v>
      </x:c>
      <x:c r="L110" s="19" t="str">
        <x:v>xuaQqj6yyUs</x:v>
      </x:c>
      <x:c r="M110" s="10" t="str">
        <x:f>IF(L110="","",IF(COUNTIFS('Видео'!$A$7:$A$1508,L110)=1,INDEX('Видео'!$B$7:$B$1508,MATCH(L110,'Видео'!$A$7:$A$1508,0)),"ID не найден"))</x:f>
        <x:v>פגישה עם רוני קובן עונה 9 | ישי ריבו</x:v>
      </x:c>
      <x:c r="N110" s="10" t="str"/>
      <x:c r="O110" s="10" t="str">
        <x:f>IF(D110="","",IF(COUNTIFS('Видео'!$A$7:$A$1508,D110)=1,INDEX('Видео'!$M$7:$M$1508,MATCH(D110,'Видео'!$A$7:$A$1508,0)),"ID не найден"))</x:f>
        <x:v>Тема / гость: פרק 6 - אהרן ברק. Просмотры в списке выше медианы выборки этого цикла в 6.19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10" s="11" t="str">
        <x:f>IF(D110="","",IF(COUNTIFS('Видео'!$A$7:$A$1508,D110)=1,INDEX('Видео'!$U$7:$U$1508,MATCH(D110,'Видео'!$A$7:$A$1508,0)),"ID не найден"))</x:f>
        <x:v>https://www.youtube.com/watch?v=Hh9uuhi8xxc</x:v>
      </x:c>
      <x:c r="Q110" s="17" t="str">
        <x:v>Предложено</x:v>
      </x:c>
      <x:c r="R110" s="17" t="str"/>
      <x:c r="S110" s="10" t="str"/>
      <x:c r="T110" s="10" t="str">
        <x:v>Резерв меняет выбор видео; снова проверить повод, аудиторию и все редакторские условия</x:v>
      </x:c>
      <x:c r="U110" s="9" t="str">
        <x:f>IF(D110="","Выбрать видео",IF(COUNTIFS($D$7:$D$371,D110)&gt;1,"Повтор","Без повтора"))</x:f>
        <x:v>Без повтора</x:v>
      </x:c>
    </x:row>
    <x:row r="111" ht="60" customHeight="1">
      <x:c r="A111" s="16" t="n">
        <x:v>46413</x:v>
      </x:c>
      <x:c r="B111" s="9" t="str">
        <x:v>Вт</x:v>
      </x:c>
      <x:c r="C111" s="10" t="str">
        <x:v>Образование</x:v>
      </x:c>
      <x:c r="D111" s="19" t="str">
        <x:v>dw72mYLN-CI</x:v>
      </x:c>
      <x:c r="E111" s="10" t="str">
        <x:f>IF(D111="","",IF(COUNTIFS('Видео'!$A$7:$A$1508,D111)=1,INDEX('Видео'!$B$7:$B$1508,MATCH(D111,'Видео'!$A$7:$A$1508,0)),"ID не найден"))</x:f>
        <x:v>שיר היסודות - המנון הטבלה המחזורית</x:v>
      </x:c>
      <x:c r="F111" s="9" t="str">
        <x:f>IF(D111="","",IF(COUNTIFS('Видео'!$A$7:$A$1508,D111)=1,INDEX('Видео'!$R$7:$R$1508,MATCH(D111,'Видео'!$A$7:$A$1508,0)),"ID не найден"))</x:f>
        <x:v>C063</x:v>
      </x:c>
      <x:c r="G111" s="9" t="str">
        <x:f>IF(D111="","",IF(COUNTIFS('Видео'!$A$7:$A$1508,D111)=1,INDEX('Видео'!$D$7:$D$1508,MATCH(D111,'Видео'!$A$7:$A$1508,0)),"ID не найден"))</x:f>
        <x:v>Образование</x:v>
      </x:c>
      <x:c r="H111" s="10" t="str">
        <x:f>IF(D111="","",IF(COUNTIFS('Видео'!$A$7:$A$1508,D111)=1,INDEX('Видео'!$F$7:$F$1508,MATCH(D111,'Видео'!$A$7:$A$1508,0)),"ID не найден"))</x:f>
        <x:v>B1–B2 (гипотеза)</x:v>
      </x:c>
      <x:c r="I111" s="18" t="n">
        <x:f>IF(D111="","",IF(COUNTIFS('Видео'!$A$7:$A$1508,D111)=1,INDEX('Видео'!$G$7:$G$1508,MATCH(D111,'Видео'!$A$7:$A$1508,0)),"ID не найден"))</x:f>
        <x:v>3.1</x:v>
      </x:c>
      <x:c r="J111" s="18" t="n">
        <x:v>5</x:v>
      </x:c>
      <x:c r="K111" s="10" t="str">
        <x:f>IF(D111="","",IF(COUNTIFS('Видео'!$A$7:$A$1508,D111)=1,INDEX('Видео'!$AI$7:$AI$1508,MATCH(D111,'Видео'!$A$7:$A$1508,0)),"ID не найден"))</x:f>
        <x:v>Нужна редактура</x:v>
      </x:c>
      <x:c r="L111" s="19" t="str">
        <x:v>HcrKtBPVbpk</x:v>
      </x:c>
      <x:c r="M111" s="10" t="str">
        <x:f>IF(L111="","",IF(COUNTIFS('Видео'!$A$7:$A$1508,L111)=1,INDEX('Видео'!$B$7:$B$1508,MATCH(L111,'Видео'!$A$7:$A$1508,0)),"ID не найден"))</x:f>
        <x:v>המרדף עונה 9 | פרק 11 - צ'ייסר חדש</x:v>
      </x:c>
      <x:c r="N111" s="10" t="str"/>
      <x:c r="O111" s="10" t="str">
        <x:f>IF(D111="","",IF(COUNTIFS('Видео'!$A$7:$A$1508,D111)=1,INDEX('Видео'!$M$7:$M$1508,MATCH(D111,'Видео'!$A$7:$A$1508,0)),"ID не найден"))</x:f>
        <x:v>Завершённый короткий просмотр около 3 мин. Просмотры в списке выше медианы выборки этого цикла в 4.73 раза. История открытия соединяет научный интерес и последовательный рассказ.</x:v>
      </x:c>
      <x:c r="P111" s="11" t="str">
        <x:f>IF(D111="","",IF(COUNTIFS('Видео'!$A$7:$A$1508,D111)=1,INDEX('Видео'!$U$7:$U$1508,MATCH(D111,'Видео'!$A$7:$A$1508,0)),"ID не найден"))</x:f>
        <x:v>https://www.youtube.com/watch?v=dw72mYLN-CI</x:v>
      </x:c>
      <x:c r="Q111" s="17" t="str">
        <x:v>Предложено</x:v>
      </x:c>
      <x:c r="R111" s="17" t="str"/>
      <x:c r="S111" s="10" t="str"/>
      <x:c r="T111" s="10" t="str">
        <x:v>Резерв меняет выбор видео; снова проверить повод, аудиторию и все редакторские условия</x:v>
      </x:c>
      <x:c r="U111" s="9" t="str">
        <x:f>IF(D111="","Выбрать видео",IF(COUNTIFS($D$7:$D$371,D111)&gt;1,"Повтор","Без повтора"))</x:f>
        <x:v>Без повтора</x:v>
      </x:c>
    </x:row>
    <x:row r="112" ht="60" customHeight="1">
      <x:c r="A112" s="16" t="n">
        <x:v>46414</x:v>
      </x:c>
      <x:c r="B112" s="9" t="str">
        <x:v>Ср</x:v>
      </x:c>
      <x:c r="C112" s="10" t="str">
        <x:v>Память</x:v>
      </x:c>
      <x:c r="D112" s="19" t="str">
        <x:v>JKWLr97en9w</x:v>
      </x:c>
      <x:c r="E112" s="10" t="str">
        <x:f>IF(D112="","",IF(COUNTIFS('Видео'!$A$7:$A$1508,D112)=1,INDEX('Видео'!$B$7:$B$1508,MATCH(D112,'Видео'!$A$7:$A$1508,0)),"ID не найден"))</x:f>
        <x:v>שאלות שרצינו לשאול – שיחות עם ניצולי שואה. פרק ראשון: תקופת המלחמה</x:v>
      </x:c>
      <x:c r="F112" s="9" t="str">
        <x:f>IF(D112="","",IF(COUNTIFS('Видео'!$A$7:$A$1508,D112)=1,INDEX('Видео'!$R$7:$R$1508,MATCH(D112,'Видео'!$A$7:$A$1508,0)),"ID не найден"))</x:f>
        <x:v>C077</x:v>
      </x:c>
      <x:c r="G112" s="9" t="str">
        <x:f>IF(D112="","",IF(COUNTIFS('Видео'!$A$7:$A$1508,D112)=1,INDEX('Видео'!$D$7:$D$1508,MATCH(D112,'Видео'!$A$7:$A$1508,0)),"ID не найден"))</x:f>
        <x:v>Память</x:v>
      </x:c>
      <x:c r="H112" s="10" t="str">
        <x:f>IF(D112="","",IF(COUNTIFS('Видео'!$A$7:$A$1508,D112)=1,INDEX('Видео'!$F$7:$F$1508,MATCH(D112,'Видео'!$A$7:$A$1508,0)),"ID не найден"))</x:f>
        <x:v>B1–B2 (гипотеза)</x:v>
      </x:c>
      <x:c r="I112" s="18" t="n">
        <x:f>IF(D112="","",IF(COUNTIFS('Видео'!$A$7:$A$1508,D112)=1,INDEX('Видео'!$G$7:$G$1508,MATCH(D112,'Видео'!$A$7:$A$1508,0)),"ID не найден"))</x:f>
        <x:v>12</x:v>
      </x:c>
      <x:c r="J112" s="18" t="n">
        <x:v>10</x:v>
      </x:c>
      <x:c r="K112" s="10" t="str">
        <x:f>IF(D112="","",IF(COUNTIFS('Видео'!$A$7:$A$1508,D112)=1,INDEX('Видео'!$AI$7:$AI$1508,MATCH(D112,'Видео'!$A$7:$A$1508,0)),"ID не найден"))</x:f>
        <x:v>Нужна редактура</x:v>
      </x:c>
      <x:c r="L112" s="19" t="str">
        <x:v>siso5qAVkyU</x:v>
      </x:c>
      <x:c r="M112" s="10" t="str">
        <x:f>IF(L112="","",IF(COUNTIFS('Видео'!$A$7:$A$1508,L112)=1,INDEX('Видео'!$B$7:$B$1508,MATCH(L112,'Видео'!$A$7:$A$1508,0)),"ID не найден"))</x:f>
        <x:v>שאלות שרצינו לשאול – שיחות עם ניצולי שואה. פרק שישי: להיות באושוויץ</x:v>
      </x:c>
      <x:c r="N112" s="10" t="str">
        <x:v>Международный день памяти жертв Холокоста</x:v>
      </x:c>
      <x:c r="O112" s="10" t="str">
        <x:f>IF(D112="","",IF(COUNTIFS('Видео'!$A$7:$A$1508,D112)=1,INDEX('Видео'!$M$7:$M$1508,MATCH(D112,'Видео'!$A$7:$A$1508,0)),"ID не найден"))</x:f>
        <x:v>Тема: שאלות שרצינו לשאול – שיחות עם ניצולי שואה. פרק ראשון: תקופת המלחמה. Просмотры в списке выше медианы выборки этого цикла в 6.63 раза. Короткие интервью позволяют услышать личную речь свидетеля и выбирать посильный объём.</x:v>
      </x:c>
      <x:c r="P112" s="11" t="str">
        <x:f>IF(D112="","",IF(COUNTIFS('Видео'!$A$7:$A$1508,D112)=1,INDEX('Видео'!$U$7:$U$1508,MATCH(D112,'Видео'!$A$7:$A$1508,0)),"ID не найден"))</x:f>
        <x:v>https://www.youtube.com/watch?v=JKWLr97en9w</x:v>
      </x:c>
      <x:c r="Q112" s="17" t="str">
        <x:v>Предложено</x:v>
      </x:c>
      <x:c r="R112" s="17" t="str"/>
      <x:c r="S112" s="10" t="str">
        <x:v>https://www.un.org/en/observances/commemoration-holocaust-victims-day</x:v>
      </x:c>
      <x:c r="T112" s="10" t="str">
        <x:v>Резерв меняет выбор видео; снова проверить повод, аудиторию и все редакторские условия</x:v>
      </x:c>
      <x:c r="U112" s="9" t="str">
        <x:f>IF(D112="","Выбрать видео",IF(COUNTIFS($D$7:$D$371,D112)&gt;1,"Повтор","Без повтора"))</x:f>
        <x:v>Без повтора</x:v>
      </x:c>
    </x:row>
    <x:row r="113" ht="60" customHeight="1">
      <x:c r="A113" s="16" t="n">
        <x:v>46415</x:v>
      </x:c>
      <x:c r="B113" s="9" t="str">
        <x:v>Чт</x:v>
      </x:c>
      <x:c r="C113" s="10" t="str">
        <x:v>Сериал</x:v>
      </x:c>
      <x:c r="D113" s="19" t="str">
        <x:v>_aRwOI-ohJs</x:v>
      </x:c>
      <x:c r="E113" s="10" t="str">
        <x:f>IF(D113="","",IF(COUNTIFS('Видео'!$A$7:$A$1508,D113)=1,INDEX('Видео'!$B$7:$B$1508,MATCH(D113,'Видео'!$A$7:$A$1508,0)),"ID не найден"))</x:f>
        <x:v>המפקדת 📋 | פרק 5 - חתירה למגע 🔥</x:v>
      </x:c>
      <x:c r="F113" s="9" t="str">
        <x:f>IF(D113="","",IF(COUNTIFS('Видео'!$A$7:$A$1508,D113)=1,INDEX('Видео'!$R$7:$R$1508,MATCH(D113,'Видео'!$A$7:$A$1508,0)),"ID не найден"))</x:f>
        <x:v>C005</x:v>
      </x:c>
      <x:c r="G113" s="9" t="str">
        <x:f>IF(D113="","",IF(COUNTIFS('Видео'!$A$7:$A$1508,D113)=1,INDEX('Видео'!$D$7:$D$1508,MATCH(D113,'Видео'!$A$7:$A$1508,0)),"ID не найден"))</x:f>
        <x:v>Сериал</x:v>
      </x:c>
      <x:c r="H113" s="10" t="str">
        <x:f>IF(D113="","",IF(COUNTIFS('Видео'!$A$7:$A$1508,D113)=1,INDEX('Видео'!$F$7:$F$1508,MATCH(D113,'Видео'!$A$7:$A$1508,0)),"ID не найден"))</x:f>
        <x:v>B2–C1 (гипотеза)</x:v>
      </x:c>
      <x:c r="I113" s="18" t="n">
        <x:f>IF(D113="","",IF(COUNTIFS('Видео'!$A$7:$A$1508,D113)=1,INDEX('Видео'!$G$7:$G$1508,MATCH(D113,'Видео'!$A$7:$A$1508,0)),"ID не найден"))</x:f>
        <x:v>33.9</x:v>
      </x:c>
      <x:c r="J113" s="18" t="n">
        <x:v>10</x:v>
      </x:c>
      <x:c r="K113" s="10" t="str">
        <x:f>IF(D113="","",IF(COUNTIFS('Видео'!$A$7:$A$1508,D113)=1,INDEX('Видео'!$AI$7:$AI$1508,MATCH(D113,'Видео'!$A$7:$A$1508,0)),"ID не найден"))</x:f>
        <x:v>Нужна редактура</x:v>
      </x:c>
      <x:c r="L113" s="19" t="str">
        <x:v>BvCqE27295o</x:v>
      </x:c>
      <x:c r="M113" s="10" t="str">
        <x:f>IF(L113="","",IF(COUNTIFS('Видео'!$A$7:$A$1508,L113)=1,INDEX('Видео'!$B$7:$B$1508,MATCH(L113,'Видео'!$A$7:$A$1508,0)),"ID не найден"))</x:f>
        <x:v>איך ומתי הפך ורוד לצבע של בנות? 🎀 | כאן סקרנים</x:v>
      </x:c>
      <x:c r="N113" s="10" t="str"/>
      <x:c r="O113" s="10" t="str">
        <x:f>IF(D113="","",IF(COUNTIFS('Видео'!$A$7:$A$1508,D113)=1,INDEX('Видео'!$M$7:$M$1508,MATCH(D113,'Видео'!$A$7:$A$1508,0)),"ID не найден"))</x:f>
        <x:v>Эпизод 5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P113" s="11" t="str">
        <x:f>IF(D113="","",IF(COUNTIFS('Видео'!$A$7:$A$1508,D113)=1,INDEX('Видео'!$U$7:$U$1508,MATCH(D113,'Видео'!$A$7:$A$1508,0)),"ID не найден"))</x:f>
        <x:v>https://www.youtube.com/watch?v=_aRwOI-ohJs</x:v>
      </x:c>
      <x:c r="Q113" s="17" t="str">
        <x:v>Предложено</x:v>
      </x:c>
      <x:c r="R113" s="17" t="str"/>
      <x:c r="S113" s="10" t="str"/>
      <x:c r="T113" s="10" t="str">
        <x:v>При недоступной серии приостановить сюжетную ветку; резерв — самостоятельное видео</x:v>
      </x:c>
      <x:c r="U113" s="9" t="str">
        <x:f>IF(D113="","Выбрать видео",IF(COUNTIFS($D$7:$D$371,D113)&gt;1,"Повтор","Без повтора"))</x:f>
        <x:v>Без повтора</x:v>
      </x:c>
    </x:row>
    <x:row r="114" ht="60" customHeight="1">
      <x:c r="A114" s="16" t="n">
        <x:v>46416</x:v>
      </x:c>
      <x:c r="B114" s="9" t="str">
        <x:v>Пт</x:v>
      </x:c>
      <x:c r="C114" s="10" t="str">
        <x:v>Культура</x:v>
      </x:c>
      <x:c r="D114" s="19" t="str">
        <x:v>xjbCmjGTE0g</x:v>
      </x:c>
      <x:c r="E114" s="10" t="str">
        <x:f>IF(D114="","",IF(COUNTIFS('Видео'!$A$7:$A$1508,D114)=1,INDEX('Видео'!$B$7:$B$1508,MATCH(D114,'Видео'!$A$7:$A$1508,0)),"ID не найден"))</x:f>
        <x:v>היהודים באים - פרק 2 | כאן 11 לשעבר רשות השידור</x:v>
      </x:c>
      <x:c r="F114" s="9" t="str">
        <x:f>IF(D114="","",IF(COUNTIFS('Видео'!$A$7:$A$1508,D114)=1,INDEX('Видео'!$R$7:$R$1508,MATCH(D114,'Видео'!$A$7:$A$1508,0)),"ID не найден"))</x:f>
        <x:v>C026</x:v>
      </x:c>
      <x:c r="G114" s="9" t="str">
        <x:f>IF(D114="","",IF(COUNTIFS('Видео'!$A$7:$A$1508,D114)=1,INDEX('Видео'!$D$7:$D$1508,MATCH(D114,'Видео'!$A$7:$A$1508,0)),"ID не найден"))</x:f>
        <x:v>Культура</x:v>
      </x:c>
      <x:c r="H114" s="10" t="str">
        <x:f>IF(D114="","",IF(COUNTIFS('Видео'!$A$7:$A$1508,D114)=1,INDEX('Видео'!$F$7:$F$1508,MATCH(D114,'Видео'!$A$7:$A$1508,0)),"ID не найден"))</x:f>
        <x:v>B2–C1 (гипотеза)</x:v>
      </x:c>
      <x:c r="I114" s="18" t="n">
        <x:f>IF(D114="","",IF(COUNTIFS('Видео'!$A$7:$A$1508,D114)=1,INDEX('Видео'!$G$7:$G$1508,MATCH(D114,'Видео'!$A$7:$A$1508,0)),"ID не найден"))</x:f>
        <x:v>23</x:v>
      </x:c>
      <x:c r="J114" s="18" t="n">
        <x:v>10</x:v>
      </x:c>
      <x:c r="K114" s="10" t="str">
        <x:f>IF(D114="","",IF(COUNTIFS('Видео'!$A$7:$A$1508,D114)=1,INDEX('Видео'!$AI$7:$AI$1508,MATCH(D114,'Видео'!$A$7:$A$1508,0)),"ID не найден"))</x:f>
        <x:v>Нужна редактура</x:v>
      </x:c>
      <x:c r="L114" s="19" t="str">
        <x:v>5S3e4wdJrwk</x:v>
      </x:c>
      <x:c r="M114" s="10" t="str">
        <x:f>IF(L114="","",IF(COUNTIFS('Видео'!$A$7:$A$1508,L114)=1,INDEX('Видео'!$B$7:$B$1508,MATCH(L114,'Видео'!$A$7:$A$1508,0)),"ID не найден"))</x:f>
        <x:v>שיר אחד 🎤 עיבוד טלוויזיוני להסכת | ריטה - אני חיה לי מיום ליום</x:v>
      </x:c>
      <x:c r="N114" s="10" t="str"/>
      <x:c r="O114" s="10" t="str">
        <x:f>IF(D114="","",IF(COUNTIFS('Видео'!$A$7:$A$1508,D114)=1,INDEX('Видео'!$M$7:$M$1508,MATCH(D114,'Видео'!$A$7:$A$1508,0)),"ID не найден"))</x:f>
        <x:v>Тема: היהודים באים - פרק 2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P114" s="11" t="str">
        <x:f>IF(D114="","",IF(COUNTIFS('Видео'!$A$7:$A$1508,D114)=1,INDEX('Видео'!$U$7:$U$1508,MATCH(D114,'Видео'!$A$7:$A$1508,0)),"ID не найден"))</x:f>
        <x:v>https://www.youtube.com/watch?v=xjbCmjGTE0g</x:v>
      </x:c>
      <x:c r="Q114" s="17" t="str">
        <x:v>Предложено</x:v>
      </x:c>
      <x:c r="R114" s="17" t="str"/>
      <x:c r="S114" s="10" t="str"/>
      <x:c r="T114" s="10" t="str">
        <x:v>Резерв меняет выбор видео; снова проверить повод, аудиторию и все редакторские условия</x:v>
      </x:c>
      <x:c r="U114" s="9" t="str">
        <x:f>IF(D114="","Выбрать видео",IF(COUNTIFS($D$7:$D$371,D114)&gt;1,"Повтор","Без повтора"))</x:f>
        <x:v>Без повтора</x:v>
      </x:c>
    </x:row>
    <x:row r="115" ht="60" customHeight="1">
      <x:c r="A115" s="16" t="n">
        <x:v>46417</x:v>
      </x:c>
      <x:c r="B115" s="9" t="str">
        <x:v>Сб</x:v>
      </x:c>
      <x:c r="C115" s="10" t="str">
        <x:v>Общество</x:v>
      </x:c>
      <x:c r="D115" s="19" t="str">
        <x:v>zIKwV5iVVio</x:v>
      </x:c>
      <x:c r="E115" s="10" t="str">
        <x:f>IF(D115="","",IF(COUNTIFS('Видео'!$A$7:$A$1508,D115)=1,INDEX('Видео'!$B$7:$B$1508,MATCH(D115,'Видео'!$A$7:$A$1508,0)),"ID не найден"))</x:f>
        <x:v>משפחה בהסעה 🚙 | פרק 2 - הרשת החברתית</x:v>
      </x:c>
      <x:c r="F115" s="9" t="str">
        <x:f>IF(D115="","",IF(COUNTIFS('Видео'!$A$7:$A$1508,D115)=1,INDEX('Видео'!$R$7:$R$1508,MATCH(D115,'Видео'!$A$7:$A$1508,0)),"ID не найден"))</x:f>
        <x:v>C011</x:v>
      </x:c>
      <x:c r="G115" s="9" t="str">
        <x:f>IF(D115="","",IF(COUNTIFS('Видео'!$A$7:$A$1508,D115)=1,INDEX('Видео'!$D$7:$D$1508,MATCH(D115,'Видео'!$A$7:$A$1508,0)),"ID не найден"))</x:f>
        <x:v>Общество</x:v>
      </x:c>
      <x:c r="H115" s="10" t="str">
        <x:f>IF(D115="","",IF(COUNTIFS('Видео'!$A$7:$A$1508,D115)=1,INDEX('Видео'!$F$7:$F$1508,MATCH(D115,'Видео'!$A$7:$A$1508,0)),"ID не найден"))</x:f>
        <x:v>B1–B2 (гипотеза)</x:v>
      </x:c>
      <x:c r="I115" s="18" t="n">
        <x:f>IF(D115="","",IF(COUNTIFS('Видео'!$A$7:$A$1508,D115)=1,INDEX('Видео'!$G$7:$G$1508,MATCH(D115,'Видео'!$A$7:$A$1508,0)),"ID не найден"))</x:f>
        <x:v>27.5</x:v>
      </x:c>
      <x:c r="J115" s="18" t="n">
        <x:v>10</x:v>
      </x:c>
      <x:c r="K115" s="10" t="str">
        <x:f>IF(D115="","",IF(COUNTIFS('Видео'!$A$7:$A$1508,D115)=1,INDEX('Видео'!$AI$7:$AI$1508,MATCH(D115,'Видео'!$A$7:$A$1508,0)),"ID не найден"))</x:f>
        <x:v>Нужна редактура</x:v>
      </x:c>
      <x:c r="L115" s="19" t="str">
        <x:v>Pv3Mk5sOkpU</x:v>
      </x:c>
      <x:c r="M115" s="10" t="str">
        <x:f>IF(L115="","",IF(COUNTIFS('Видео'!$A$7:$A$1508,L115)=1,INDEX('Видео'!$B$7:$B$1508,MATCH(L115,'Видео'!$A$7:$A$1508,0)),"ID не найден"))</x:f>
        <x:v>"אני בתחילת המסע של האלצהיימר" - דוד מאבד את הזיכרון | כאן מקשיבים</x:v>
      </x:c>
      <x:c r="N115" s="10" t="str"/>
      <x:c r="O115" s="10" t="str">
        <x:f>IF(D115="","",IF(COUNTIFS('Видео'!$A$7:$A$1508,D115)=1,INDEX('Видео'!$M$7:$M$1508,MATCH(D115,'Видео'!$A$7:$A$1508,0)),"ID не найден"))</x:f>
        <x:v>Тема: משפחה בהסעה 🚙 | פרק 2 - הרשת החברתית. Просмотры в списке выше медианы выборки этого цикла в 2.0 раза. Разговоры семьи в машине дают естественную смену тем и короткие реплики. Расширяют предложение для родителей и семейного просмотра.</x:v>
      </x:c>
      <x:c r="P115" s="11" t="str">
        <x:f>IF(D115="","",IF(COUNTIFS('Видео'!$A$7:$A$1508,D115)=1,INDEX('Видео'!$U$7:$U$1508,MATCH(D115,'Видео'!$A$7:$A$1508,0)),"ID не найден"))</x:f>
        <x:v>https://www.youtube.com/watch?v=zIKwV5iVVio</x:v>
      </x:c>
      <x:c r="Q115" s="17" t="str">
        <x:v>Предложено</x:v>
      </x:c>
      <x:c r="R115" s="17" t="str"/>
      <x:c r="S115" s="10" t="str"/>
      <x:c r="T115" s="10" t="str">
        <x:v>Резерв меняет выбор видео; снова проверить повод, аудиторию и все редакторские условия</x:v>
      </x:c>
      <x:c r="U115" s="9" t="str">
        <x:f>IF(D115="","Выбрать видео",IF(COUNTIFS($D$7:$D$371,D115)&gt;1,"Повтор","Без повтора"))</x:f>
        <x:v>Без повтора</x:v>
      </x:c>
    </x:row>
    <x:row r="116" ht="60" customHeight="1">
      <x:c r="A116" s="16" t="n">
        <x:v>46418</x:v>
      </x:c>
      <x:c r="B116" s="9" t="str">
        <x:v>Вс</x:v>
      </x:c>
      <x:c r="C116" s="10" t="str">
        <x:v>Сериал</x:v>
      </x:c>
      <x:c r="D116" s="19" t="str">
        <x:v>zf_bnvCIzeM</x:v>
      </x:c>
      <x:c r="E116" s="10" t="str">
        <x:f>IF(D116="","",IF(COUNTIFS('Видео'!$A$7:$A$1508,D116)=1,INDEX('Видео'!$B$7:$B$1508,MATCH(D116,'Видео'!$A$7:$A$1508,0)),"ID не найден"))</x:f>
        <x:v>קופה ראשית עונה 3🛒 | קקפונים - פרק 16</x:v>
      </x:c>
      <x:c r="F116" s="9" t="str">
        <x:f>IF(D116="","",IF(COUNTIFS('Видео'!$A$7:$A$1508,D116)=1,INDEX('Видео'!$R$7:$R$1508,MATCH(D116,'Видео'!$A$7:$A$1508,0)),"ID не найден"))</x:f>
        <x:v>C003</x:v>
      </x:c>
      <x:c r="G116" s="9" t="str">
        <x:f>IF(D116="","",IF(COUNTIFS('Видео'!$A$7:$A$1508,D116)=1,INDEX('Видео'!$D$7:$D$1508,MATCH(D116,'Видео'!$A$7:$A$1508,0)),"ID не найден"))</x:f>
        <x:v>Сериал</x:v>
      </x:c>
      <x:c r="H116" s="10" t="str">
        <x:f>IF(D116="","",IF(COUNTIFS('Видео'!$A$7:$A$1508,D116)=1,INDEX('Видео'!$F$7:$F$1508,MATCH(D116,'Видео'!$A$7:$A$1508,0)),"ID не найден"))</x:f>
        <x:v>B1–B2 (гипотеза)</x:v>
      </x:c>
      <x:c r="I116" s="18" t="n">
        <x:f>IF(D116="","",IF(COUNTIFS('Видео'!$A$7:$A$1508,D116)=1,INDEX('Видео'!$G$7:$G$1508,MATCH(D116,'Видео'!$A$7:$A$1508,0)),"ID не найден"))</x:f>
        <x:v>22.6</x:v>
      </x:c>
      <x:c r="J116" s="18" t="n">
        <x:v>10</x:v>
      </x:c>
      <x:c r="K116" s="10" t="str">
        <x:f>IF(D116="","",IF(COUNTIFS('Видео'!$A$7:$A$1508,D116)=1,INDEX('Видео'!$AI$7:$AI$1508,MATCH(D116,'Видео'!$A$7:$A$1508,0)),"ID не найден"))</x:f>
        <x:v>Нужна редактура</x:v>
      </x:c>
      <x:c r="L116" s="19" t="str">
        <x:v>k3O4BuflCBo</x:v>
      </x:c>
      <x:c r="M116" s="10" t="str">
        <x:f>IF(L116="","",IF(COUNTIFS('Видео'!$A$7:$A$1508,L116)=1,INDEX('Видео'!$B$7:$B$1508,MATCH(L116,'Видео'!$A$7:$A$1508,0)),"ID не найден"))</x:f>
        <x:v>איך האוזניות שינו את המוזיקה? | כאן סקרנים</x:v>
      </x:c>
      <x:c r="N116" s="10" t="str"/>
      <x:c r="O116" s="10" t="str">
        <x:f>IF(D116="","",IF(COUNTIFS('Видео'!$A$7:$A$1508,D116)=1,INDEX('Видео'!$M$7:$M$1508,MATCH(D116,'Видео'!$A$7:$A$1508,0)),"ID не найден"))</x:f>
        <x:v>Эпизод 16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16" s="11" t="str">
        <x:f>IF(D116="","",IF(COUNTIFS('Видео'!$A$7:$A$1508,D116)=1,INDEX('Видео'!$U$7:$U$1508,MATCH(D116,'Видео'!$A$7:$A$1508,0)),"ID не найден"))</x:f>
        <x:v>https://www.youtube.com/watch?v=zf_bnvCIzeM</x:v>
      </x:c>
      <x:c r="Q116" s="17" t="str">
        <x:v>Предложено</x:v>
      </x:c>
      <x:c r="R116" s="17" t="str"/>
      <x:c r="S116" s="10" t="str"/>
      <x:c r="T116" s="10" t="str">
        <x:v>При недоступной серии приостановить сюжетную ветку; резерв — самостоятельное видео</x:v>
      </x:c>
      <x:c r="U116" s="9" t="str">
        <x:f>IF(D116="","Выбрать видео",IF(COUNTIFS($D$7:$D$371,D116)&gt;1,"Повтор","Без повтора"))</x:f>
        <x:v>Без повтора</x:v>
      </x:c>
    </x:row>
    <x:row r="117" ht="60" customHeight="1">
      <x:c r="A117" s="16" t="n">
        <x:v>46419</x:v>
      </x:c>
      <x:c r="B117" s="9" t="str">
        <x:v>Пн</x:v>
      </x:c>
      <x:c r="C117" s="10" t="str">
        <x:v>Интервью</x:v>
      </x:c>
      <x:c r="D117" s="19" t="str">
        <x:v>CN1QJCKgUNQ</x:v>
      </x:c>
      <x:c r="E117" s="10" t="str">
        <x:f>IF(D117="","",IF(COUNTIFS('Видео'!$A$7:$A$1508,D117)=1,INDEX('Видео'!$B$7:$B$1508,MATCH(D117,'Видео'!$A$7:$A$1508,0)),"ID не найден"))</x:f>
        <x:v>פגישה עם רוני קובן עונה 6 | פרק 5 - צופית גרנט</x:v>
      </x:c>
      <x:c r="F117" s="9" t="str">
        <x:f>IF(D117="","",IF(COUNTIFS('Видео'!$A$7:$A$1508,D117)=1,INDEX('Видео'!$R$7:$R$1508,MATCH(D117,'Видео'!$A$7:$A$1508,0)),"ID не найден"))</x:f>
        <x:v>C017</x:v>
      </x:c>
      <x:c r="G117" s="9" t="str">
        <x:f>IF(D117="","",IF(COUNTIFS('Видео'!$A$7:$A$1508,D117)=1,INDEX('Видео'!$D$7:$D$1508,MATCH(D117,'Видео'!$A$7:$A$1508,0)),"ID не найден"))</x:f>
        <x:v>Интервью</x:v>
      </x:c>
      <x:c r="H117" s="10" t="str">
        <x:f>IF(D117="","",IF(COUNTIFS('Видео'!$A$7:$A$1508,D117)=1,INDEX('Видео'!$F$7:$F$1508,MATCH(D117,'Видео'!$A$7:$A$1508,0)),"ID не найден"))</x:f>
        <x:v>B2–C1 (гипотеза)</x:v>
      </x:c>
      <x:c r="I117" s="18" t="n">
        <x:f>IF(D117="","",IF(COUNTIFS('Видео'!$A$7:$A$1508,D117)=1,INDEX('Видео'!$G$7:$G$1508,MATCH(D117,'Видео'!$A$7:$A$1508,0)),"ID не найден"))</x:f>
        <x:v>31.8</x:v>
      </x:c>
      <x:c r="J117" s="18" t="n">
        <x:v>10</x:v>
      </x:c>
      <x:c r="K117" s="10" t="str">
        <x:f>IF(D117="","",IF(COUNTIFS('Видео'!$A$7:$A$1508,D117)=1,INDEX('Видео'!$AI$7:$AI$1508,MATCH(D117,'Видео'!$A$7:$A$1508,0)),"ID не найден"))</x:f>
        <x:v>Нужна редактура</x:v>
      </x:c>
      <x:c r="L117" s="19" t="str">
        <x:v>tZexaZskz44</x:v>
      </x:c>
      <x:c r="M117" s="10" t="str">
        <x:f>IF(L117="","",IF(COUNTIFS('Видео'!$A$7:$A$1508,L117)=1,INDEX('Видео'!$B$7:$B$1508,MATCH(L117,'Видео'!$A$7:$A$1508,0)),"ID не найден"))</x:f>
        <x:v>שיחה עם עודד הרוש: הפעיל מוטי בבצ'יק I התכנית המלאה</x:v>
      </x:c>
      <x:c r="N117" s="10" t="str"/>
      <x:c r="O117" s="10" t="str">
        <x:f>IF(D117="","",IF(COUNTIFS('Видео'!$A$7:$A$1508,D117)=1,INDEX('Видео'!$M$7:$M$1508,MATCH(D117,'Видео'!$A$7:$A$1508,0)),"ID не найден"))</x:f>
        <x:v>Тема / гость: פרק 5 - צופית גרנט. Просмотры в списке выше медианы выборки этого цикла в 3.32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17" s="11" t="str">
        <x:f>IF(D117="","",IF(COUNTIFS('Видео'!$A$7:$A$1508,D117)=1,INDEX('Видео'!$U$7:$U$1508,MATCH(D117,'Видео'!$A$7:$A$1508,0)),"ID не найден"))</x:f>
        <x:v>https://www.youtube.com/watch?v=CN1QJCKgUNQ</x:v>
      </x:c>
      <x:c r="Q117" s="17" t="str">
        <x:v>Предложено</x:v>
      </x:c>
      <x:c r="R117" s="17" t="str"/>
      <x:c r="S117" s="10" t="str"/>
      <x:c r="T117" s="10" t="str">
        <x:v>Резерв меняет выбор видео; снова проверить повод, аудиторию и все редакторские условия</x:v>
      </x:c>
      <x:c r="U117" s="9" t="str">
        <x:f>IF(D117="","Выбрать видео",IF(COUNTIFS($D$7:$D$371,D117)&gt;1,"Повтор","Без повтора"))</x:f>
        <x:v>Без повтора</x:v>
      </x:c>
    </x:row>
    <x:row r="118" ht="60" customHeight="1">
      <x:c r="A118" s="16" t="n">
        <x:v>46420</x:v>
      </x:c>
      <x:c r="B118" s="9" t="str">
        <x:v>Вт</x:v>
      </x:c>
      <x:c r="C118" s="10" t="str">
        <x:v>Образование</x:v>
      </x:c>
      <x:c r="D118" s="19" t="str">
        <x:v>NCL1GBTSQCM</x:v>
      </x:c>
      <x:c r="E118" s="10" t="str">
        <x:f>IF(D118="","",IF(COUNTIFS('Видео'!$A$7:$A$1508,D118)=1,INDEX('Видео'!$B$7:$B$1508,MATCH(D118,'Видео'!$A$7:$A$1508,0)),"ID не найден"))</x:f>
        <x:v>קסם כרוב משנה צבעים (אינדיקטור)</x:v>
      </x:c>
      <x:c r="F118" s="9" t="str">
        <x:f>IF(D118="","",IF(COUNTIFS('Видео'!$A$7:$A$1508,D118)=1,INDEX('Видео'!$R$7:$R$1508,MATCH(D118,'Видео'!$A$7:$A$1508,0)),"ID не найден"))</x:f>
        <x:v>C064</x:v>
      </x:c>
      <x:c r="G118" s="9" t="str">
        <x:f>IF(D118="","",IF(COUNTIFS('Видео'!$A$7:$A$1508,D118)=1,INDEX('Видео'!$D$7:$D$1508,MATCH(D118,'Видео'!$A$7:$A$1508,0)),"ID не найден"))</x:f>
        <x:v>Образование</x:v>
      </x:c>
      <x:c r="H118" s="10" t="str">
        <x:f>IF(D118="","",IF(COUNTIFS('Видео'!$A$7:$A$1508,D118)=1,INDEX('Видео'!$F$7:$F$1508,MATCH(D118,'Видео'!$A$7:$A$1508,0)),"ID не найден"))</x:f>
        <x:v>B1–B2 (гипотеза)</x:v>
      </x:c>
      <x:c r="I118" s="18" t="n">
        <x:f>IF(D118="","",IF(COUNTIFS('Видео'!$A$7:$A$1508,D118)=1,INDEX('Видео'!$G$7:$G$1508,MATCH(D118,'Видео'!$A$7:$A$1508,0)),"ID не найден"))</x:f>
        <x:v>5.3</x:v>
      </x:c>
      <x:c r="J118" s="18" t="n">
        <x:v>5</x:v>
      </x:c>
      <x:c r="K118" s="10" t="str">
        <x:f>IF(D118="","",IF(COUNTIFS('Видео'!$A$7:$A$1508,D118)=1,INDEX('Видео'!$AI$7:$AI$1508,MATCH(D118,'Видео'!$A$7:$A$1508,0)),"ID не найден"))</x:f>
        <x:v>Нужна редактура</x:v>
      </x:c>
      <x:c r="L118" s="19" t="str">
        <x:v>tm3w5BQrB48</x:v>
      </x:c>
      <x:c r="M118" s="10" t="str">
        <x:f>IF(L118="","",IF(COUNTIFS('Видео'!$A$7:$A$1508,L118)=1,INDEX('Видео'!$B$7:$B$1508,MATCH(L118,'Видео'!$A$7:$A$1508,0)),"ID не найден"))</x:f>
        <x:v>המרדף עונה 9 | פרק 12</x:v>
      </x:c>
      <x:c r="N118" s="10" t="str"/>
      <x:c r="O118" s="10" t="str">
        <x:f>IF(D118="","",IF(COUNTIFS('Видео'!$A$7:$A$1508,D118)=1,INDEX('Видео'!$M$7:$M$1508,MATCH(D118,'Видео'!$A$7:$A$1508,0)),"ID не найден"))</x:f>
        <x:v>Завершённый короткий просмотр около 5 мин. Просмотры в списке выше медианы выборки этого цикла в 11.76 раза. Тема среды расширяет предложение для экологически заинтересованной аудитории.</x:v>
      </x:c>
      <x:c r="P118" s="11" t="str">
        <x:f>IF(D118="","",IF(COUNTIFS('Видео'!$A$7:$A$1508,D118)=1,INDEX('Видео'!$U$7:$U$1508,MATCH(D118,'Видео'!$A$7:$A$1508,0)),"ID не найден"))</x:f>
        <x:v>https://www.youtube.com/watch?v=NCL1GBTSQCM</x:v>
      </x:c>
      <x:c r="Q118" s="17" t="str">
        <x:v>Предложено</x:v>
      </x:c>
      <x:c r="R118" s="17" t="str"/>
      <x:c r="S118" s="10" t="str"/>
      <x:c r="T118" s="10" t="str">
        <x:v>Резерв меняет выбор видео; снова проверить повод, аудиторию и все редакторские условия</x:v>
      </x:c>
      <x:c r="U118" s="9" t="str">
        <x:f>IF(D118="","Выбрать видео",IF(COUNTIFS($D$7:$D$371,D118)&gt;1,"Повтор","Без повтора"))</x:f>
        <x:v>Без повтора</x:v>
      </x:c>
    </x:row>
    <x:row r="119" ht="60" customHeight="1">
      <x:c r="A119" s="16" t="n">
        <x:v>46421</x:v>
      </x:c>
      <x:c r="B119" s="9" t="str">
        <x:v>Ср</x:v>
      </x:c>
      <x:c r="C119" s="10" t="str">
        <x:v>Быт</x:v>
      </x:c>
      <x:c r="D119" s="19" t="str">
        <x:v>vQ1SROPFCFQ</x:v>
      </x:c>
      <x:c r="E119" s="10" t="str">
        <x:f>IF(D119="","",IF(COUNTIFS('Видео'!$A$7:$A$1508,D119)=1,INDEX('Видео'!$B$7:$B$1508,MATCH(D119,'Видео'!$A$7:$A$1508,0)),"ID не найден"))</x:f>
        <x:v>למה יש כסא ענק בכביש החוף? 🪑 | בצד הדרך</x:v>
      </x:c>
      <x:c r="F119" s="9" t="str">
        <x:f>IF(D119="","",IF(COUNTIFS('Видео'!$A$7:$A$1508,D119)=1,INDEX('Видео'!$R$7:$R$1508,MATCH(D119,'Видео'!$A$7:$A$1508,0)),"ID не найден"))</x:f>
        <x:v>C047</x:v>
      </x:c>
      <x:c r="G119" s="9" t="str">
        <x:f>IF(D119="","",IF(COUNTIFS('Видео'!$A$7:$A$1508,D119)=1,INDEX('Видео'!$D$7:$D$1508,MATCH(D119,'Видео'!$A$7:$A$1508,0)),"ID не найден"))</x:f>
        <x:v>Быт</x:v>
      </x:c>
      <x:c r="H119" s="10" t="str">
        <x:f>IF(D119="","",IF(COUNTIFS('Видео'!$A$7:$A$1508,D119)=1,INDEX('Видео'!$F$7:$F$1508,MATCH(D119,'Видео'!$A$7:$A$1508,0)),"ID не найден"))</x:f>
        <x:v>B1–B2 (гипотеза)</x:v>
      </x:c>
      <x:c r="I119" s="18" t="n">
        <x:f>IF(D119="","",IF(COUNTIFS('Видео'!$A$7:$A$1508,D119)=1,INDEX('Видео'!$G$7:$G$1508,MATCH(D119,'Видео'!$A$7:$A$1508,0)),"ID не найден"))</x:f>
        <x:v>1.7</x:v>
      </x:c>
      <x:c r="J119" s="18" t="n">
        <x:v>5</x:v>
      </x:c>
      <x:c r="K119" s="10" t="str">
        <x:f>IF(D119="","",IF(COUNTIFS('Видео'!$A$7:$A$1508,D119)=1,INDEX('Видео'!$AI$7:$AI$1508,MATCH(D119,'Видео'!$A$7:$A$1508,0)),"ID не найден"))</x:f>
        <x:v>Нужна редактура</x:v>
      </x:c>
      <x:c r="L119" s="19" t="str">
        <x:v>jgE-rwAg3qQ</x:v>
      </x:c>
      <x:c r="M119" s="10" t="str">
        <x:f>IF(L119="","",IF(COUNTIFS('Видео'!$A$7:$A$1508,L119)=1,INDEX('Видео'!$B$7:$B$1508,MATCH(L119,'Видео'!$A$7:$A$1508,0)),"ID не найден"))</x:f>
        <x:v>"מישהי קראה לי 'מלצר' ושאלה איפה התפריט": יום בחיי פקח ברכבת | זום אין</x:v>
      </x:c>
      <x:c r="N119" s="10" t="str"/>
      <x:c r="O119" s="10" t="str">
        <x:f>IF(D119="","",IF(COUNTIFS('Видео'!$A$7:$A$1508,D119)=1,INDEX('Видео'!$M$7:$M$1508,MATCH(D119,'Видео'!$A$7:$A$1508,0)),"ID не найден"))</x:f>
        <x:v>Завершённый короткий просмотр около 2 мин. Короткие истории мест помогают освоить страну через реальные маршруты и городскую среду.</x:v>
      </x:c>
      <x:c r="P119" s="11" t="str">
        <x:f>IF(D119="","",IF(COUNTIFS('Видео'!$A$7:$A$1508,D119)=1,INDEX('Видео'!$U$7:$U$1508,MATCH(D119,'Видео'!$A$7:$A$1508,0)),"ID не найден"))</x:f>
        <x:v>https://www.youtube.com/watch?v=vQ1SROPFCFQ</x:v>
      </x:c>
      <x:c r="Q119" s="17" t="str">
        <x:v>Предложено</x:v>
      </x:c>
      <x:c r="R119" s="17" t="str"/>
      <x:c r="S119" s="10" t="str"/>
      <x:c r="T119" s="10" t="str">
        <x:v>Резерв меняет выбор видео; снова проверить повод, аудиторию и все редакторские условия</x:v>
      </x:c>
      <x:c r="U119" s="9" t="str">
        <x:f>IF(D119="","Выбрать видео",IF(COUNTIFS($D$7:$D$371,D119)&gt;1,"Повтор","Без повтора"))</x:f>
        <x:v>Без повтора</x:v>
      </x:c>
    </x:row>
    <x:row r="120" ht="60" customHeight="1">
      <x:c r="A120" s="16" t="n">
        <x:v>46422</x:v>
      </x:c>
      <x:c r="B120" s="9" t="str">
        <x:v>Чт</x:v>
      </x:c>
      <x:c r="C120" s="10" t="str">
        <x:v>Сериал</x:v>
      </x:c>
      <x:c r="D120" s="19" t="str">
        <x:v>fThRbiM39m8</x:v>
      </x:c>
      <x:c r="E120" s="10" t="str">
        <x:f>IF(D120="","",IF(COUNTIFS('Видео'!$A$7:$A$1508,D120)=1,INDEX('Видео'!$B$7:$B$1508,MATCH(D120,'Видео'!$A$7:$A$1508,0)),"ID не найден"))</x:f>
        <x:v>המפקדת 📋 | פרק 6 - פיקוח נפש 🔥</x:v>
      </x:c>
      <x:c r="F120" s="9" t="str">
        <x:f>IF(D120="","",IF(COUNTIFS('Видео'!$A$7:$A$1508,D120)=1,INDEX('Видео'!$R$7:$R$1508,MATCH(D120,'Видео'!$A$7:$A$1508,0)),"ID не найден"))</x:f>
        <x:v>C005</x:v>
      </x:c>
      <x:c r="G120" s="9" t="str">
        <x:f>IF(D120="","",IF(COUNTIFS('Видео'!$A$7:$A$1508,D120)=1,INDEX('Видео'!$D$7:$D$1508,MATCH(D120,'Видео'!$A$7:$A$1508,0)),"ID не найден"))</x:f>
        <x:v>Сериал</x:v>
      </x:c>
      <x:c r="H120" s="10" t="str">
        <x:f>IF(D120="","",IF(COUNTIFS('Видео'!$A$7:$A$1508,D120)=1,INDEX('Видео'!$F$7:$F$1508,MATCH(D120,'Видео'!$A$7:$A$1508,0)),"ID не найден"))</x:f>
        <x:v>B2–C1 (гипотеза)</x:v>
      </x:c>
      <x:c r="I120" s="18" t="n">
        <x:f>IF(D120="","",IF(COUNTIFS('Видео'!$A$7:$A$1508,D120)=1,INDEX('Видео'!$G$7:$G$1508,MATCH(D120,'Видео'!$A$7:$A$1508,0)),"ID не найден"))</x:f>
        <x:v>35.6</x:v>
      </x:c>
      <x:c r="J120" s="18" t="n">
        <x:v>10</x:v>
      </x:c>
      <x:c r="K120" s="10" t="str">
        <x:f>IF(D120="","",IF(COUNTIFS('Видео'!$A$7:$A$1508,D120)=1,INDEX('Видео'!$AI$7:$AI$1508,MATCH(D120,'Видео'!$A$7:$A$1508,0)),"ID не найден"))</x:f>
        <x:v>Нужна редактура</x:v>
      </x:c>
      <x:c r="L120" s="19" t="str">
        <x:v>K7WSG5SRMPM</x:v>
      </x:c>
      <x:c r="M120" s="10" t="str">
        <x:f>IF(L120="","",IF(COUNTIFS('Видео'!$A$7:$A$1508,L120)=1,INDEX('Видео'!$B$7:$B$1508,MATCH(L120,'Видео'!$A$7:$A$1508,0)),"ID не найден"))</x:f>
        <x:v>כאן מסבירים | למה מעייף לאכול חומוס?</x:v>
      </x:c>
      <x:c r="N120" s="10" t="str"/>
      <x:c r="O120" s="10" t="str">
        <x:f>IF(D120="","",IF(COUNTIFS('Видео'!$A$7:$A$1508,D120)=1,INDEX('Видео'!$M$7:$M$1508,MATCH(D120,'Видео'!$A$7:$A$1508,0)),"ID не найден"))</x:f>
        <x:v>Эпизод 6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P120" s="11" t="str">
        <x:f>IF(D120="","",IF(COUNTIFS('Видео'!$A$7:$A$1508,D120)=1,INDEX('Видео'!$U$7:$U$1508,MATCH(D120,'Видео'!$A$7:$A$1508,0)),"ID не найден"))</x:f>
        <x:v>https://www.youtube.com/watch?v=fThRbiM39m8</x:v>
      </x:c>
      <x:c r="Q120" s="17" t="str">
        <x:v>Предложено</x:v>
      </x:c>
      <x:c r="R120" s="17" t="str"/>
      <x:c r="S120" s="10" t="str"/>
      <x:c r="T120" s="10" t="str">
        <x:v>При недоступной серии приостановить сюжетную ветку; резерв — самостоятельное видео</x:v>
      </x:c>
      <x:c r="U120" s="9" t="str">
        <x:f>IF(D120="","Выбрать видео",IF(COUNTIFS($D$7:$D$371,D120)&gt;1,"Повтор","Без повтора"))</x:f>
        <x:v>Без повтора</x:v>
      </x:c>
    </x:row>
    <x:row r="121" ht="60" customHeight="1">
      <x:c r="A121" s="16" t="n">
        <x:v>46423</x:v>
      </x:c>
      <x:c r="B121" s="9" t="str">
        <x:v>Пт</x:v>
      </x:c>
      <x:c r="C121" s="10" t="str">
        <x:v>История</x:v>
      </x:c>
      <x:c r="D121" s="19" t="str">
        <x:v>tAX3vFKLkHE</x:v>
      </x:c>
      <x:c r="E121" s="10" t="str">
        <x:f>IF(D121="","",IF(COUNTIFS('Видео'!$A$7:$A$1508,D121)=1,INDEX('Видео'!$B$7:$B$1508,MATCH(D121,'Видео'!$A$7:$A$1508,0)),"ID не найден"))</x:f>
        <x:v>כתובות מימי המקרא | שיעור 1 - הכתובת מחורבת קיאפה | פרופ' חגי משגב</x:v>
      </x:c>
      <x:c r="F121" s="9" t="str">
        <x:f>IF(D121="","",IF(COUNTIFS('Видео'!$A$7:$A$1508,D121)=1,INDEX('Видео'!$R$7:$R$1508,MATCH(D121,'Видео'!$A$7:$A$1508,0)),"ID не найден"))</x:f>
        <x:v>C070</x:v>
      </x:c>
      <x:c r="G121" s="9" t="str">
        <x:f>IF(D121="","",IF(COUNTIFS('Видео'!$A$7:$A$1508,D121)=1,INDEX('Видео'!$D$7:$D$1508,MATCH(D121,'Видео'!$A$7:$A$1508,0)),"ID не найден"))</x:f>
        <x:v>История</x:v>
      </x:c>
      <x:c r="H121" s="10" t="str">
        <x:f>IF(D121="","",IF(COUNTIFS('Видео'!$A$7:$A$1508,D121)=1,INDEX('Видео'!$F$7:$F$1508,MATCH(D121,'Видео'!$A$7:$A$1508,0)),"ID не найден"))</x:f>
        <x:v>B2–C1 (гипотеза)</x:v>
      </x:c>
      <x:c r="I121" s="18" t="n">
        <x:f>IF(D121="","",IF(COUNTIFS('Видео'!$A$7:$A$1508,D121)=1,INDEX('Видео'!$G$7:$G$1508,MATCH(D121,'Видео'!$A$7:$A$1508,0)),"ID не найден"))</x:f>
        <x:v>37.6</x:v>
      </x:c>
      <x:c r="J121" s="18" t="n">
        <x:v>10</x:v>
      </x:c>
      <x:c r="K121" s="10" t="str">
        <x:f>IF(D121="","",IF(COUNTIFS('Видео'!$A$7:$A$1508,D121)=1,INDEX('Видео'!$AI$7:$AI$1508,MATCH(D121,'Видео'!$A$7:$A$1508,0)),"ID не найден"))</x:f>
        <x:v>Нужна редактура</x:v>
      </x:c>
      <x:c r="L121" s="19" t="str">
        <x:v>tTpnBh9ea2w</x:v>
      </x:c>
      <x:c r="M121" s="10" t="str">
        <x:f>IF(L121="","",IF(COUNTIFS('Видео'!$A$7:$A$1508,L121)=1,INDEX('Видео'!$B$7:$B$1508,MATCH(L121,'Видео'!$A$7:$A$1508,0)),"ID не найден"))</x:f>
        <x:v>והארץ הייתה תוהו ובוהו - תולדות ארץ ישראל | פרק 11: איסלאם בארץ הקודש [HD]</x:v>
      </x:c>
      <x:c r="N121" s="10" t="str"/>
      <x:c r="O121" s="10" t="str">
        <x:f>IF(D121="","",IF(COUNTIFS('Видео'!$A$7:$A$1508,D121)=1,INDEX('Видео'!$M$7:$M$1508,MATCH(D121,'Видео'!$A$7:$A$1508,0)),"ID не найден"))</x:f>
        <x:v>Тема: כתובות מימי המקרא | שיעור 1 - הכתובת מחורבת קיאפה | פרופ' חגי משגב. Эпиграфика связывает историю языка с материальными источниками.</x:v>
      </x:c>
      <x:c r="P121" s="11" t="str">
        <x:f>IF(D121="","",IF(COUNTIFS('Видео'!$A$7:$A$1508,D121)=1,INDEX('Видео'!$U$7:$U$1508,MATCH(D121,'Видео'!$A$7:$A$1508,0)),"ID не найден"))</x:f>
        <x:v>https://www.youtube.com/watch?v=tAX3vFKLkHE</x:v>
      </x:c>
      <x:c r="Q121" s="17" t="str">
        <x:v>Предложено</x:v>
      </x:c>
      <x:c r="R121" s="17" t="str"/>
      <x:c r="S121" s="10" t="str"/>
      <x:c r="T121" s="10" t="str">
        <x:v>Резерв меняет выбор видео; снова проверить повод, аудиторию и все редакторские условия</x:v>
      </x:c>
      <x:c r="U121" s="9" t="str">
        <x:f>IF(D121="","Выбрать видео",IF(COUNTIFS($D$7:$D$371,D121)&gt;1,"Повтор","Без повтора"))</x:f>
        <x:v>Без повтора</x:v>
      </x:c>
    </x:row>
    <x:row r="122" ht="60" customHeight="1">
      <x:c r="A122" s="16" t="n">
        <x:v>46424</x:v>
      </x:c>
      <x:c r="B122" s="9" t="str">
        <x:v>Сб</x:v>
      </x:c>
      <x:c r="C122" s="10" t="str">
        <x:v>Память</x:v>
      </x:c>
      <x:c r="D122" s="19" t="str">
        <x:v>g4DgPmWIPZQ</x:v>
      </x:c>
      <x:c r="E122" s="10" t="str">
        <x:f>IF(D122="","",IF(COUNTIFS('Видео'!$A$7:$A$1508,D122)=1,INDEX('Видео'!$B$7:$B$1508,MATCH(D122,'Видео'!$A$7:$A$1508,0)),"ID не найден"))</x:f>
        <x:v>אלמנתו של יוסי שרעבי: "אם יוסי היה יוצא לגלוש בשבת בבוקר, אולי הוא היה חי"</x:v>
      </x:c>
      <x:c r="F122" s="9" t="str">
        <x:f>IF(D122="","",IF(COUNTIFS('Видео'!$A$7:$A$1508,D122)=1,INDEX('Видео'!$R$7:$R$1508,MATCH(D122,'Видео'!$A$7:$A$1508,0)),"ID не найден"))</x:f>
        <x:v>C052</x:v>
      </x:c>
      <x:c r="G122" s="9" t="str">
        <x:f>IF(D122="","",IF(COUNTIFS('Видео'!$A$7:$A$1508,D122)=1,INDEX('Видео'!$D$7:$D$1508,MATCH(D122,'Видео'!$A$7:$A$1508,0)),"ID не найден"))</x:f>
        <x:v>Память</x:v>
      </x:c>
      <x:c r="H122" s="10" t="str">
        <x:f>IF(D122="","",IF(COUNTIFS('Видео'!$A$7:$A$1508,D122)=1,INDEX('Видео'!$F$7:$F$1508,MATCH(D122,'Видео'!$A$7:$A$1508,0)),"ID не найден"))</x:f>
        <x:v>B2–C1 (гипотеза)</x:v>
      </x:c>
      <x:c r="I122" s="18" t="n">
        <x:f>IF(D122="","",IF(COUNTIFS('Видео'!$A$7:$A$1508,D122)=1,INDEX('Видео'!$G$7:$G$1508,MATCH(D122,'Видео'!$A$7:$A$1508,0)),"ID не найден"))</x:f>
        <x:v>11.1</x:v>
      </x:c>
      <x:c r="J122" s="18" t="n">
        <x:v>10</x:v>
      </x:c>
      <x:c r="K122" s="10" t="str">
        <x:f>IF(D122="","",IF(COUNTIFS('Видео'!$A$7:$A$1508,D122)=1,INDEX('Видео'!$AI$7:$AI$1508,MATCH(D122,'Видео'!$A$7:$A$1508,0)),"ID не найден"))</x:f>
        <x:v>Нужна редактура</x:v>
      </x:c>
      <x:c r="L122" s="19" t="str">
        <x:v>MIkkWHEQQA0</x:v>
      </x:c>
      <x:c r="M122" s="10" t="str">
        <x:f>IF(L122="","",IF(COUNTIFS('Видео'!$A$7:$A$1508,L122)=1,INDEX('Видео'!$B$7:$B$1508,MATCH(L122,'Видео'!$A$7:$A$1508,0)),"ID не найден"))</x:f>
        <x:v>המחתרת היהודית בצפון אפריקה במלחמת העולם השנייה | גורלן של קהילות יהודיות בשואה</x:v>
      </x:c>
      <x:c r="N122" s="10" t="str">
        <x:v>Ежемесячная добровольная рубрика памяти 7 октября</x:v>
      </x:c>
      <x:c r="O122" s="10" t="str">
        <x:f>IF(D122="","",IF(COUNTIFS('Видео'!$A$7:$A$1508,D122)=1,INDEX('Видео'!$M$7:$M$1508,MATCH(D122,'Видео'!$A$7:$A$1508,0)),"ID не найден"))</x:f>
        <x:v>Тема: אלמנתו של יוסי שרעבי: "אם יוסי היה יוצא לגלוש בשבת בבוקר, אולי הוא היה חי". Короткие истории музейного проекта дополняют длинные фильмы и позволяют выбирать посильный объём.</x:v>
      </x:c>
      <x:c r="P122" s="11" t="str">
        <x:f>IF(D122="","",IF(COUNTIFS('Видео'!$A$7:$A$1508,D122)=1,INDEX('Видео'!$U$7:$U$1508,MATCH(D122,'Видео'!$A$7:$A$1508,0)),"ID не найден"))</x:f>
        <x:v>https://www.youtube.com/watch?v=g4DgPmWIPZQ</x:v>
      </x:c>
      <x:c r="Q122" s="17" t="str">
        <x:v>Предложено</x:v>
      </x:c>
      <x:c r="R122" s="17" t="str"/>
      <x:c r="S122" s="10" t="str">
        <x:v>Редакционная периодичность, не памятная дата</x:v>
      </x:c>
      <x:c r="T122" s="10" t="str">
        <x:v>Резерв меняет выбор видео; снова проверить повод, аудиторию и все редакторские условия</x:v>
      </x:c>
      <x:c r="U122" s="9" t="str">
        <x:f>IF(D122="","Выбрать видео",IF(COUNTIFS($D$7:$D$371,D122)&gt;1,"Повтор","Без повтора"))</x:f>
        <x:v>Без повтора</x:v>
      </x:c>
    </x:row>
    <x:row r="123" ht="60" customHeight="1">
      <x:c r="A123" s="16" t="n">
        <x:v>46425</x:v>
      </x:c>
      <x:c r="B123" s="9" t="str">
        <x:v>Вс</x:v>
      </x:c>
      <x:c r="C123" s="10" t="str">
        <x:v>Общество</x:v>
      </x:c>
      <x:c r="D123" s="19" t="str">
        <x:v>cEVV87C0f00</x:v>
      </x:c>
      <x:c r="E123" s="10" t="str">
        <x:f>IF(D123="","",IF(COUNTIFS('Видео'!$A$7:$A$1508,D123)=1,INDEX('Видео'!$B$7:$B$1508,MATCH(D123,'Видео'!$A$7:$A$1508,0)),"ID не найден"))</x:f>
        <x:v>משפחה בהסעה 🚙 | פרק 10 (ואחרון לעונה) - על בנים ועל בנות</x:v>
      </x:c>
      <x:c r="F123" s="9" t="str">
        <x:f>IF(D123="","",IF(COUNTIFS('Видео'!$A$7:$A$1508,D123)=1,INDEX('Видео'!$R$7:$R$1508,MATCH(D123,'Видео'!$A$7:$A$1508,0)),"ID не найден"))</x:f>
        <x:v>C011</x:v>
      </x:c>
      <x:c r="G123" s="9" t="str">
        <x:f>IF(D123="","",IF(COUNTIFS('Видео'!$A$7:$A$1508,D123)=1,INDEX('Видео'!$D$7:$D$1508,MATCH(D123,'Видео'!$A$7:$A$1508,0)),"ID не найден"))</x:f>
        <x:v>Общество</x:v>
      </x:c>
      <x:c r="H123" s="10" t="str">
        <x:f>IF(D123="","",IF(COUNTIFS('Видео'!$A$7:$A$1508,D123)=1,INDEX('Видео'!$F$7:$F$1508,MATCH(D123,'Видео'!$A$7:$A$1508,0)),"ID не найден"))</x:f>
        <x:v>B1–B2 (гипотеза)</x:v>
      </x:c>
      <x:c r="I123" s="18" t="n">
        <x:f>IF(D123="","",IF(COUNTIFS('Видео'!$A$7:$A$1508,D123)=1,INDEX('Видео'!$G$7:$G$1508,MATCH(D123,'Видео'!$A$7:$A$1508,0)),"ID не найден"))</x:f>
        <x:v>30.9</x:v>
      </x:c>
      <x:c r="J123" s="18" t="n">
        <x:v>10</x:v>
      </x:c>
      <x:c r="K123" s="10" t="str">
        <x:f>IF(D123="","",IF(COUNTIFS('Видео'!$A$7:$A$1508,D123)=1,INDEX('Видео'!$AI$7:$AI$1508,MATCH(D123,'Видео'!$A$7:$A$1508,0)),"ID не найден"))</x:f>
        <x:v>Нужна редактура</x:v>
      </x:c>
      <x:c r="L123" s="19" t="str">
        <x:v>7u87PAjLHes</x:v>
      </x:c>
      <x:c r="M123" s="10" t="str">
        <x:f>IF(L123="","",IF(COUNTIFS('Видео'!$A$7:$A$1508,L123)=1,INDEX('Видео'!$B$7:$B$1508,MATCH(L123,'Видео'!$A$7:$A$1508,0)),"ID не найден"))</x:f>
        <x:v>כאן מקשיבים: בעלי נשבר בשבעה באוקטובר</x:v>
      </x:c>
      <x:c r="N123" s="10" t="str">
        <x:v>День семьи в Израиле</x:v>
      </x:c>
      <x:c r="O123" s="10" t="str">
        <x:f>IF(D123="","",IF(COUNTIFS('Видео'!$A$7:$A$1508,D123)=1,INDEX('Видео'!$M$7:$M$1508,MATCH(D123,'Видео'!$A$7:$A$1508,0)),"ID не найден"))</x:f>
        <x:v>Тема: משפחה בהסעה 🚙 | פרק 10 (ואחרון לעונה) - על בנים ועל בנות. Разговоры семьи в машине дают естественную смену тем и короткие реплики. Расширяют предложение для родителей и семейного просмотра.</x:v>
      </x:c>
      <x:c r="P123" s="11" t="str">
        <x:f>IF(D123="","",IF(COUNTIFS('Видео'!$A$7:$A$1508,D123)=1,INDEX('Видео'!$U$7:$U$1508,MATCH(D123,'Видео'!$A$7:$A$1508,0)),"ID не найден"))</x:f>
        <x:v>https://www.youtube.com/watch?v=cEVV87C0f00</x:v>
      </x:c>
      <x:c r="Q123" s="17" t="str">
        <x:v>Предложено</x:v>
      </x:c>
      <x:c r="R123" s="17" t="str"/>
      <x:c r="S123" s="10" t="str">
        <x:v>https://www.hebcal.com/holidays/2027?i=on</x:v>
      </x:c>
      <x:c r="T123" s="10" t="str">
        <x:v>Резерв меняет выбор видео; снова проверить повод, аудиторию и все редакторские условия</x:v>
      </x:c>
      <x:c r="U123" s="9" t="str">
        <x:f>IF(D123="","Выбрать видео",IF(COUNTIFS($D$7:$D$371,D123)&gt;1,"Повтор","Без повтора"))</x:f>
        <x:v>Без повтора</x:v>
      </x:c>
    </x:row>
    <x:row r="124" ht="60" customHeight="1">
      <x:c r="A124" s="16" t="n">
        <x:v>46426</x:v>
      </x:c>
      <x:c r="B124" s="9" t="str">
        <x:v>Пн</x:v>
      </x:c>
      <x:c r="C124" s="10" t="str">
        <x:v>Интервью</x:v>
      </x:c>
      <x:c r="D124" s="19" t="str">
        <x:v>IBCQKFMUtA0</x:v>
      </x:c>
      <x:c r="E124" s="10" t="str">
        <x:f>IF(D124="","",IF(COUNTIFS('Видео'!$A$7:$A$1508,D124)=1,INDEX('Видео'!$B$7:$B$1508,MATCH(D124,'Видео'!$A$7:$A$1508,0)),"ID не найден"))</x:f>
        <x:v>שיחה עם עודד הרוש: המוזיקאי יאיר אלייצור I התכנית המלאה</x:v>
      </x:c>
      <x:c r="F124" s="9" t="str">
        <x:f>IF(D124="","",IF(COUNTIFS('Видео'!$A$7:$A$1508,D124)=1,INDEX('Видео'!$R$7:$R$1508,MATCH(D124,'Видео'!$A$7:$A$1508,0)),"ID не найден"))</x:f>
        <x:v>C082</x:v>
      </x:c>
      <x:c r="G124" s="9" t="str">
        <x:f>IF(D124="","",IF(COUNTIFS('Видео'!$A$7:$A$1508,D124)=1,INDEX('Видео'!$D$7:$D$1508,MATCH(D124,'Видео'!$A$7:$A$1508,0)),"ID не найден"))</x:f>
        <x:v>Интервью</x:v>
      </x:c>
      <x:c r="H124" s="10" t="str">
        <x:f>IF(D124="","",IF(COUNTIFS('Видео'!$A$7:$A$1508,D124)=1,INDEX('Видео'!$F$7:$F$1508,MATCH(D124,'Видео'!$A$7:$A$1508,0)),"ID не найден"))</x:f>
        <x:v>B2–C1 (гипотеза)</x:v>
      </x:c>
      <x:c r="I124" s="18" t="n">
        <x:f>IF(D124="","",IF(COUNTIFS('Видео'!$A$7:$A$1508,D124)=1,INDEX('Видео'!$G$7:$G$1508,MATCH(D124,'Видео'!$A$7:$A$1508,0)),"ID не найден"))</x:f>
        <x:v>37.2</x:v>
      </x:c>
      <x:c r="J124" s="18" t="n">
        <x:v>10</x:v>
      </x:c>
      <x:c r="K124" s="10" t="str">
        <x:f>IF(D124="","",IF(COUNTIFS('Видео'!$A$7:$A$1508,D124)=1,INDEX('Видео'!$AI$7:$AI$1508,MATCH(D124,'Видео'!$A$7:$A$1508,0)),"ID не найден"))</x:f>
        <x:v>Нужна редактура</x:v>
      </x:c>
      <x:c r="L124" s="19" t="str">
        <x:v>WJmqxvnTEl4</x:v>
      </x:c>
      <x:c r="M124" s="10" t="str">
        <x:f>IF(L124="","",IF(COUNTIFS('Видео'!$A$7:$A$1508,L124)=1,INDEX('Видео'!$B$7:$B$1508,MATCH(L124,'Видео'!$A$7:$A$1508,0)),"ID не найден"))</x:f>
        <x:v>כך ממציאים בערוץ 13 "טרור יהודי". שומר סף 395 עם ח"כ שמחה רוטמן</x:v>
      </x:c>
      <x:c r="N124" s="10" t="str"/>
      <x:c r="O124" s="10" t="str">
        <x:f>IF(D124="","",IF(COUNTIFS('Видео'!$A$7:$A$1508,D124)=1,INDEX('Видео'!$M$7:$M$1508,MATCH(D124,'Видео'!$A$7:$A$1508,0)),"ID не найден"))</x:f>
        <x:v>Тема / гость: שיחה עם עודד הרוש: המוזיקאי יאיר אלייצור I התכנית המלאה. Просмотры в списке выше медианы выборки этого цикла в 3.16 раза. Дополняет биографические интервью другим ведущим и кругом гостей.</x:v>
      </x:c>
      <x:c r="P124" s="11" t="str">
        <x:f>IF(D124="","",IF(COUNTIFS('Видео'!$A$7:$A$1508,D124)=1,INDEX('Видео'!$U$7:$U$1508,MATCH(D124,'Видео'!$A$7:$A$1508,0)),"ID не найден"))</x:f>
        <x:v>https://www.youtube.com/watch?v=IBCQKFMUtA0</x:v>
      </x:c>
      <x:c r="Q124" s="17" t="str">
        <x:v>Предложено</x:v>
      </x:c>
      <x:c r="R124" s="17" t="str"/>
      <x:c r="S124" s="10" t="str"/>
      <x:c r="T124" s="10" t="str">
        <x:v>Резерв меняет выбор видео; снова проверить повод, аудиторию и все редакторские условия</x:v>
      </x:c>
      <x:c r="U124" s="9" t="str">
        <x:f>IF(D124="","Выбрать видео",IF(COUNTIFS($D$7:$D$371,D124)&gt;1,"Повтор","Без повтора"))</x:f>
        <x:v>Без повтора</x:v>
      </x:c>
    </x:row>
    <x:row r="125" ht="60" customHeight="1">
      <x:c r="A125" s="16" t="n">
        <x:v>46427</x:v>
      </x:c>
      <x:c r="B125" s="9" t="str">
        <x:v>Вт</x:v>
      </x:c>
      <x:c r="C125" s="10" t="str">
        <x:v>Образование</x:v>
      </x:c>
      <x:c r="D125" s="19" t="str">
        <x:v>JEkvmAoNj4c</x:v>
      </x:c>
      <x:c r="E125" s="10" t="str">
        <x:f>IF(D125="","",IF(COUNTIFS('Видео'!$A$7:$A$1508,D125)=1,INDEX('Видео'!$B$7:$B$1508,MATCH(D125,'Видео'!$A$7:$A$1508,0)),"ID не найден"))</x:f>
        <x:v>5 ניסויים מדליקים שיפתיעו אתכם</x:v>
      </x:c>
      <x:c r="F125" s="9" t="str">
        <x:f>IF(D125="","",IF(COUNTIFS('Видео'!$A$7:$A$1508,D125)=1,INDEX('Видео'!$R$7:$R$1508,MATCH(D125,'Видео'!$A$7:$A$1508,0)),"ID не найден"))</x:f>
        <x:v>C090</x:v>
      </x:c>
      <x:c r="G125" s="9" t="str">
        <x:f>IF(D125="","",IF(COUNTIFS('Видео'!$A$7:$A$1508,D125)=1,INDEX('Видео'!$D$7:$D$1508,MATCH(D125,'Видео'!$A$7:$A$1508,0)),"ID не найден"))</x:f>
        <x:v>Образование</x:v>
      </x:c>
      <x:c r="H125" s="10" t="str">
        <x:f>IF(D125="","",IF(COUNTIFS('Видео'!$A$7:$A$1508,D125)=1,INDEX('Видео'!$F$7:$F$1508,MATCH(D125,'Видео'!$A$7:$A$1508,0)),"ID не найден"))</x:f>
        <x:v>B1–B2 (гипотеза)</x:v>
      </x:c>
      <x:c r="I125" s="18" t="n">
        <x:f>IF(D125="","",IF(COUNTIFS('Видео'!$A$7:$A$1508,D125)=1,INDEX('Видео'!$G$7:$G$1508,MATCH(D125,'Видео'!$A$7:$A$1508,0)),"ID не найден"))</x:f>
        <x:v>2.5</x:v>
      </x:c>
      <x:c r="J125" s="18" t="n">
        <x:v>5</x:v>
      </x:c>
      <x:c r="K125" s="10" t="str">
        <x:f>IF(D125="","",IF(COUNTIFS('Видео'!$A$7:$A$1508,D125)=1,INDEX('Видео'!$AI$7:$AI$1508,MATCH(D125,'Видео'!$A$7:$A$1508,0)),"ID не найден"))</x:f>
        <x:v>Нужна редактура</x:v>
      </x:c>
      <x:c r="L125" s="19" t="str">
        <x:v>wSw3lVQ6VH8</x:v>
      </x:c>
      <x:c r="M125" s="10" t="str">
        <x:f>IF(L125="","",IF(COUNTIFS('Видео'!$A$7:$A$1508,L125)=1,INDEX('Видео'!$B$7:$B$1508,MATCH(L125,'Видео'!$A$7:$A$1508,0)),"ID не найден"))</x:f>
        <x:v>פרפר נחמד 🦋 | פרק 6 - עננים צהובים</x:v>
      </x:c>
      <x:c r="N125" s="10" t="str"/>
      <x:c r="O125" s="10" t="str">
        <x:f>IF(D125="","",IF(COUNTIFS('Видео'!$A$7:$A$1508,D125)=1,INDEX('Видео'!$M$7:$M$1508,MATCH(D125,'Видео'!$A$7:$A$1508,0)),"ID не найден"))</x:f>
        <x:v>Завершённый короткий просмотр около 2 мин. Просмотры в списке выше медианы выборки этого цикла в 4.3 раза. Научные сюжеты, отобранные издателем к Хануке, дают сезонный вход через демонстрацию и удивление.</x:v>
      </x:c>
      <x:c r="P125" s="11" t="str">
        <x:f>IF(D125="","",IF(COUNTIFS('Видео'!$A$7:$A$1508,D125)=1,INDEX('Видео'!$U$7:$U$1508,MATCH(D125,'Видео'!$A$7:$A$1508,0)),"ID не найден"))</x:f>
        <x:v>https://www.youtube.com/watch?v=JEkvmAoNj4c</x:v>
      </x:c>
      <x:c r="Q125" s="17" t="str">
        <x:v>Предложено</x:v>
      </x:c>
      <x:c r="R125" s="17" t="str"/>
      <x:c r="S125" s="10" t="str"/>
      <x:c r="T125" s="10" t="str">
        <x:v>Резерв меняет выбор видео; снова проверить повод, аудиторию и все редакторские условия</x:v>
      </x:c>
      <x:c r="U125" s="9" t="str">
        <x:f>IF(D125="","Выбрать видео",IF(COUNTIFS($D$7:$D$371,D125)&gt;1,"Повтор","Без повтора"))</x:f>
        <x:v>Без повтора</x:v>
      </x:c>
    </x:row>
    <x:row r="126" ht="60" customHeight="1">
      <x:c r="A126" s="16" t="n">
        <x:v>46428</x:v>
      </x:c>
      <x:c r="B126" s="9" t="str">
        <x:v>Ср</x:v>
      </x:c>
      <x:c r="C126" s="10" t="str">
        <x:v>Быт</x:v>
      </x:c>
      <x:c r="D126" s="19" t="str">
        <x:v>kkfUTcMmkts</x:v>
      </x:c>
      <x:c r="E126" s="10" t="str">
        <x:f>IF(D126="","",IF(COUNTIFS('Видео'!$A$7:$A$1508,D126)=1,INDEX('Видео'!$B$7:$B$1508,MATCH(D126,'Видео'!$A$7:$A$1508,0)),"ID не найден"))</x:f>
        <x:v>סיגריות בלאפה וגורי כלבים בשקיות: בודק המכס שרואה כמעט הכל בנתב"ג | זום אין</x:v>
      </x:c>
      <x:c r="F126" s="9" t="str">
        <x:f>IF(D126="","",IF(COUNTIFS('Видео'!$A$7:$A$1508,D126)=1,INDEX('Видео'!$R$7:$R$1508,MATCH(D126,'Видео'!$A$7:$A$1508,0)),"ID не найден"))</x:f>
        <x:v>C048</x:v>
      </x:c>
      <x:c r="G126" s="9" t="str">
        <x:f>IF(D126="","",IF(COUNTIFS('Видео'!$A$7:$A$1508,D126)=1,INDEX('Видео'!$D$7:$D$1508,MATCH(D126,'Видео'!$A$7:$A$1508,0)),"ID не найден"))</x:f>
        <x:v>Быт</x:v>
      </x:c>
      <x:c r="H126" s="10" t="str">
        <x:f>IF(D126="","",IF(COUNTIFS('Видео'!$A$7:$A$1508,D126)=1,INDEX('Видео'!$F$7:$F$1508,MATCH(D126,'Видео'!$A$7:$A$1508,0)),"ID не найден"))</x:f>
        <x:v>B1–B2 (гипотеза)</x:v>
      </x:c>
      <x:c r="I126" s="18" t="n">
        <x:f>IF(D126="","",IF(COUNTIFS('Видео'!$A$7:$A$1508,D126)=1,INDEX('Видео'!$G$7:$G$1508,MATCH(D126,'Видео'!$A$7:$A$1508,0)),"ID не найден"))</x:f>
        <x:v>6.1</x:v>
      </x:c>
      <x:c r="J126" s="18" t="n">
        <x:v>5</x:v>
      </x:c>
      <x:c r="K126" s="10" t="str">
        <x:f>IF(D126="","",IF(COUNTIFS('Видео'!$A$7:$A$1508,D126)=1,INDEX('Видео'!$AI$7:$AI$1508,MATCH(D126,'Видео'!$A$7:$A$1508,0)),"ID не найден"))</x:f>
        <x:v>Нужна редактура</x:v>
      </x:c>
      <x:c r="L126" s="19" t="str">
        <x:v>zII-uaWzbhQ</x:v>
      </x:c>
      <x:c r="M126" s="10" t="str">
        <x:f>IF(L126="","",IF(COUNTIFS('Видео'!$A$7:$A$1508,L126)=1,INDEX('Видео'!$B$7:$B$1508,MATCH(L126,'Видео'!$A$7:$A$1508,0)),"ID не найден"))</x:f>
        <x:v>דוקותיים | נחי וגילי מלמדים חרדים לשעבר שמותר לגעת</x:v>
      </x:c>
      <x:c r="N126" s="10" t="str"/>
      <x:c r="O126" s="10" t="str">
        <x:f>IF(D126="","",IF(COUNTIFS('Видео'!$A$7:$A$1508,D126)=1,INDEX('Видео'!$M$7:$M$1508,MATCH(D126,'Видео'!$A$7:$A$1508,0)),"ID не найден"))</x:f>
        <x:v>Завершённый короткий просмотр около 6 мин. Просмотры в списке выше медианы выборки этого цикла в 3.73 раза. День в жизни специалиста связывает язык с конкретными действиями и рабочей средой.</x:v>
      </x:c>
      <x:c r="P126" s="11" t="str">
        <x:f>IF(D126="","",IF(COUNTIFS('Видео'!$A$7:$A$1508,D126)=1,INDEX('Видео'!$U$7:$U$1508,MATCH(D126,'Видео'!$A$7:$A$1508,0)),"ID не найден"))</x:f>
        <x:v>https://www.youtube.com/watch?v=kkfUTcMmkts</x:v>
      </x:c>
      <x:c r="Q126" s="17" t="str">
        <x:v>Предложено</x:v>
      </x:c>
      <x:c r="R126" s="17" t="str"/>
      <x:c r="S126" s="10" t="str"/>
      <x:c r="T126" s="10" t="str">
        <x:v>Резерв меняет выбор видео; снова проверить повод, аудиторию и все редакторские условия</x:v>
      </x:c>
      <x:c r="U126" s="9" t="str">
        <x:f>IF(D126="","Выбрать видео",IF(COUNTIFS($D$7:$D$371,D126)&gt;1,"Повтор","Без повтора"))</x:f>
        <x:v>Без повтора</x:v>
      </x:c>
    </x:row>
    <x:row r="127" ht="60" customHeight="1">
      <x:c r="A127" s="16" t="n">
        <x:v>46429</x:v>
      </x:c>
      <x:c r="B127" s="9" t="str">
        <x:v>Чт</x:v>
      </x:c>
      <x:c r="C127" s="10" t="str">
        <x:v>Сериал</x:v>
      </x:c>
      <x:c r="D127" s="19" t="str">
        <x:v>6W0j8o4hh-A</x:v>
      </x:c>
      <x:c r="E127" s="10" t="str">
        <x:f>IF(D127="","",IF(COUNTIFS('Видео'!$A$7:$A$1508,D127)=1,INDEX('Видео'!$B$7:$B$1508,MATCH(D127,'Видео'!$A$7:$A$1508,0)),"ID не найден"))</x:f>
        <x:v>המפקדת 📋 | פרק 7 - נכתבו בדם 🔥</x:v>
      </x:c>
      <x:c r="F127" s="9" t="str">
        <x:f>IF(D127="","",IF(COUNTIFS('Видео'!$A$7:$A$1508,D127)=1,INDEX('Видео'!$R$7:$R$1508,MATCH(D127,'Видео'!$A$7:$A$1508,0)),"ID не найден"))</x:f>
        <x:v>C005</x:v>
      </x:c>
      <x:c r="G127" s="9" t="str">
        <x:f>IF(D127="","",IF(COUNTIFS('Видео'!$A$7:$A$1508,D127)=1,INDEX('Видео'!$D$7:$D$1508,MATCH(D127,'Видео'!$A$7:$A$1508,0)),"ID не найден"))</x:f>
        <x:v>Сериал</x:v>
      </x:c>
      <x:c r="H127" s="10" t="str">
        <x:f>IF(D127="","",IF(COUNTIFS('Видео'!$A$7:$A$1508,D127)=1,INDEX('Видео'!$F$7:$F$1508,MATCH(D127,'Видео'!$A$7:$A$1508,0)),"ID не найден"))</x:f>
        <x:v>B2–C1 (гипотеза)</x:v>
      </x:c>
      <x:c r="I127" s="18" t="n">
        <x:f>IF(D127="","",IF(COUNTIFS('Видео'!$A$7:$A$1508,D127)=1,INDEX('Видео'!$G$7:$G$1508,MATCH(D127,'Видео'!$A$7:$A$1508,0)),"ID не найден"))</x:f>
        <x:v>33.9</x:v>
      </x:c>
      <x:c r="J127" s="18" t="n">
        <x:v>10</x:v>
      </x:c>
      <x:c r="K127" s="10" t="str">
        <x:f>IF(D127="","",IF(COUNTIFS('Видео'!$A$7:$A$1508,D127)=1,INDEX('Видео'!$AI$7:$AI$1508,MATCH(D127,'Видео'!$A$7:$A$1508,0)),"ID не найден"))</x:f>
        <x:v>Нужна редактура</x:v>
      </x:c>
      <x:c r="L127" s="19" t="str">
        <x:v>22HZ7xYo_D0</x:v>
      </x:c>
      <x:c r="M127" s="10" t="str">
        <x:f>IF(L127="","",IF(COUNTIFS('Видео'!$A$7:$A$1508,L127)=1,INDEX('Видео'!$B$7:$B$1508,MATCH(L127,'Видео'!$A$7:$A$1508,0)),"ID не найден"))</x:f>
        <x:v>כתב היד שאתם לא מכירים: לאן נעלמו האותיות של היהודים מהמזרח? | כאן סקרנים</x:v>
      </x:c>
      <x:c r="N127" s="10" t="str"/>
      <x:c r="O127" s="10" t="str">
        <x:f>IF(D127="","",IF(COUNTIFS('Видео'!$A$7:$A$1508,D127)=1,INDEX('Видео'!$M$7:$M$1508,MATCH(D127,'Видео'!$A$7:$A$1508,0)),"ID не найден"))</x:f>
        <x:v>Эпизод 7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P127" s="11" t="str">
        <x:f>IF(D127="","",IF(COUNTIFS('Видео'!$A$7:$A$1508,D127)=1,INDEX('Видео'!$U$7:$U$1508,MATCH(D127,'Видео'!$A$7:$A$1508,0)),"ID не найден"))</x:f>
        <x:v>https://www.youtube.com/watch?v=6W0j8o4hh-A</x:v>
      </x:c>
      <x:c r="Q127" s="17" t="str">
        <x:v>Предложено</x:v>
      </x:c>
      <x:c r="R127" s="17" t="str"/>
      <x:c r="S127" s="10" t="str"/>
      <x:c r="T127" s="10" t="str">
        <x:v>При недоступной серии приостановить сюжетную ветку; резерв — самостоятельное видео</x:v>
      </x:c>
      <x:c r="U127" s="9" t="str">
        <x:f>IF(D127="","Выбрать видео",IF(COUNTIFS($D$7:$D$371,D127)&gt;1,"Повтор","Без повтора"))</x:f>
        <x:v>Без повтора</x:v>
      </x:c>
    </x:row>
    <x:row r="128" ht="60" customHeight="1">
      <x:c r="A128" s="16" t="n">
        <x:v>46430</x:v>
      </x:c>
      <x:c r="B128" s="9" t="str">
        <x:v>Пт</x:v>
      </x:c>
      <x:c r="C128" s="10" t="str">
        <x:v>Культура</x:v>
      </x:c>
      <x:c r="D128" s="19" t="str">
        <x:v>Cwxg_6SHJsQ</x:v>
      </x:c>
      <x:c r="E128" s="10" t="str">
        <x:f>IF(D128="","",IF(COUNTIFS('Видео'!$A$7:$A$1508,D128)=1,INDEX('Видео'!$B$7:$B$1508,MATCH(D128,'Видео'!$A$7:$A$1508,0)),"ID не найден"))</x:f>
        <x:v>שיר אחד 🎤 עיבוד טלוויזיוני להסכת | חנן בן ארי - אלוף העולם</x:v>
      </x:c>
      <x:c r="F128" s="9" t="str">
        <x:f>IF(D128="","",IF(COUNTIFS('Видео'!$A$7:$A$1508,D128)=1,INDEX('Видео'!$R$7:$R$1508,MATCH(D128,'Видео'!$A$7:$A$1508,0)),"ID не найден"))</x:f>
        <x:v>C027</x:v>
      </x:c>
      <x:c r="G128" s="9" t="str">
        <x:f>IF(D128="","",IF(COUNTIFS('Видео'!$A$7:$A$1508,D128)=1,INDEX('Видео'!$D$7:$D$1508,MATCH(D128,'Видео'!$A$7:$A$1508,0)),"ID не найден"))</x:f>
        <x:v>Культура</x:v>
      </x:c>
      <x:c r="H128" s="10" t="str">
        <x:f>IF(D128="","",IF(COUNTIFS('Видео'!$A$7:$A$1508,D128)=1,INDEX('Видео'!$F$7:$F$1508,MATCH(D128,'Видео'!$A$7:$A$1508,0)),"ID не найден"))</x:f>
        <x:v>B1–B2 (гипотеза)</x:v>
      </x:c>
      <x:c r="I128" s="18" t="n">
        <x:f>IF(D128="","",IF(COUNTIFS('Видео'!$A$7:$A$1508,D128)=1,INDEX('Видео'!$G$7:$G$1508,MATCH(D128,'Видео'!$A$7:$A$1508,0)),"ID не найден"))</x:f>
        <x:v>27.7</x:v>
      </x:c>
      <x:c r="J128" s="18" t="n">
        <x:v>10</x:v>
      </x:c>
      <x:c r="K128" s="10" t="str">
        <x:f>IF(D128="","",IF(COUNTIFS('Видео'!$A$7:$A$1508,D128)=1,INDEX('Видео'!$AI$7:$AI$1508,MATCH(D128,'Видео'!$A$7:$A$1508,0)),"ID не найден"))</x:f>
        <x:v>Нужна редактура</x:v>
      </x:c>
      <x:c r="L128" s="19" t="str">
        <x:v>MWXl-0DiOFE</x:v>
      </x:c>
      <x:c r="M128" s="10" t="str">
        <x:f>IF(L128="","",IF(COUNTIFS('Видео'!$A$7:$A$1508,L128)=1,INDEX('Видео'!$B$7:$B$1508,MATCH(L128,'Видео'!$A$7:$A$1508,0)),"ID не найден"))</x:f>
        <x:v>שיר אחד 🎤 עונה 2 | אריאל זילבר - בחברה להגנת הטבע</x:v>
      </x:c>
      <x:c r="N128" s="10" t="str"/>
      <x:c r="O128" s="10" t="str">
        <x:f>IF(D128="","",IF(COUNTIFS('Видео'!$A$7:$A$1508,D128)=1,INDEX('Видео'!$M$7:$M$1508,MATCH(D128,'Видео'!$A$7:$A$1508,0)),"ID не найден"))</x:f>
        <x:v>Тема: שיר אחד 🎤 עיבוד טלוויזיוני להסכת | חנן בן ארי - אלוף העולם. Просмотры в списке выше медианы выборки этого цикла в 4.4 раза. История одной песни связывает музыку, биографию и эпоху. Подходит зрителям, которым политическая повестка менее интересна.</x:v>
      </x:c>
      <x:c r="P128" s="11" t="str">
        <x:f>IF(D128="","",IF(COUNTIFS('Видео'!$A$7:$A$1508,D128)=1,INDEX('Видео'!$U$7:$U$1508,MATCH(D128,'Видео'!$A$7:$A$1508,0)),"ID не найден"))</x:f>
        <x:v>https://www.youtube.com/watch?v=Cwxg_6SHJsQ</x:v>
      </x:c>
      <x:c r="Q128" s="17" t="str">
        <x:v>Предложено</x:v>
      </x:c>
      <x:c r="R128" s="17" t="str"/>
      <x:c r="S128" s="10" t="str"/>
      <x:c r="T128" s="10" t="str">
        <x:v>Резерв меняет выбор видео; снова проверить повод, аудиторию и все редакторские условия</x:v>
      </x:c>
      <x:c r="U128" s="9" t="str">
        <x:f>IF(D128="","Выбрать видео",IF(COUNTIFS($D$7:$D$371,D128)&gt;1,"Повтор","Без повтора"))</x:f>
        <x:v>Без повтора</x:v>
      </x:c>
    </x:row>
    <x:row r="129" ht="60" customHeight="1">
      <x:c r="A129" s="16" t="n">
        <x:v>46431</x:v>
      </x:c>
      <x:c r="B129" s="9" t="str">
        <x:v>Сб</x:v>
      </x:c>
      <x:c r="C129" s="10" t="str">
        <x:v>Общество</x:v>
      </x:c>
      <x:c r="D129" s="19" t="str">
        <x:v>u4Yq-QX_tm8</x:v>
      </x:c>
      <x:c r="E129" s="10" t="str">
        <x:f>IF(D129="","",IF(COUNTIFS('Видео'!$A$7:$A$1508,D129)=1,INDEX('Видео'!$B$7:$B$1508,MATCH(D129,'Видео'!$A$7:$A$1508,0)),"ID не найден"))</x:f>
        <x:v>סליחה על השאלה עונה 4 | OCD - הפרעה טורדנית כפייתית</x:v>
      </x:c>
      <x:c r="F129" s="9" t="str">
        <x:f>IF(D129="","",IF(COUNTIFS('Видео'!$A$7:$A$1508,D129)=1,INDEX('Видео'!$R$7:$R$1508,MATCH(D129,'Видео'!$A$7:$A$1508,0)),"ID не найден"))</x:f>
        <x:v>C018</x:v>
      </x:c>
      <x:c r="G129" s="9" t="str">
        <x:f>IF(D129="","",IF(COUNTIFS('Видео'!$A$7:$A$1508,D129)=1,INDEX('Видео'!$D$7:$D$1508,MATCH(D129,'Видео'!$A$7:$A$1508,0)),"ID не найден"))</x:f>
        <x:v>Общество</x:v>
      </x:c>
      <x:c r="H129" s="10" t="str">
        <x:f>IF(D129="","",IF(COUNTIFS('Видео'!$A$7:$A$1508,D129)=1,INDEX('Видео'!$F$7:$F$1508,MATCH(D129,'Видео'!$A$7:$A$1508,0)),"ID не найден"))</x:f>
        <x:v>B1–B2 (гипотеза)</x:v>
      </x:c>
      <x:c r="I129" s="18" t="n">
        <x:f>IF(D129="","",IF(COUNTIFS('Видео'!$A$7:$A$1508,D129)=1,INDEX('Видео'!$G$7:$G$1508,MATCH(D129,'Видео'!$A$7:$A$1508,0)),"ID не найден"))</x:f>
        <x:v>24.9</x:v>
      </x:c>
      <x:c r="J129" s="18" t="n">
        <x:v>10</x:v>
      </x:c>
      <x:c r="K129" s="10" t="str">
        <x:f>IF(D129="","",IF(COUNTIFS('Видео'!$A$7:$A$1508,D129)=1,INDEX('Видео'!$AI$7:$AI$1508,MATCH(D129,'Видео'!$A$7:$A$1508,0)),"ID не найден"))</x:f>
        <x:v>Нужна редактура</x:v>
      </x:c>
      <x:c r="L129" s="19" t="str">
        <x:v>RA_zBKVHe6U</x:v>
      </x:c>
      <x:c r="M129" s="10" t="str">
        <x:f>IF(L129="","",IF(COUNTIFS('Видео'!$A$7:$A$1508,L129)=1,INDEX('Видео'!$B$7:$B$1508,MATCH(L129,'Видео'!$A$7:$A$1508,0)),"ID не найден"))</x:f>
        <x:v>כאן מקשיבים: דור חמק מחיים של פשע ומתכנן עתיד טוב יותר</x:v>
      </x:c>
      <x:c r="N129" s="10" t="str"/>
      <x:c r="O129" s="10" t="str">
        <x:f>IF(D129="","",IF(COUNTIFS('Видео'!$A$7:$A$1508,D129)=1,INDEX('Видео'!$M$7:$M$1508,MATCH(D129,'Видео'!$A$7:$A$1508,0)),"ID не найден"))</x:f>
        <x:v>Тема: סליחה על השאלה עונה 4 | OCD - הפרעה טורדנית כפייתית. Просмотры в списке выше медианы выборки этого цикла в 2.13 раза. Одинаковый вопрос разным людям позволяет сравнить ответы и акценты. Формат вводит социальные группы через их собственную речь.</x:v>
      </x:c>
      <x:c r="P129" s="11" t="str">
        <x:f>IF(D129="","",IF(COUNTIFS('Видео'!$A$7:$A$1508,D129)=1,INDEX('Видео'!$U$7:$U$1508,MATCH(D129,'Видео'!$A$7:$A$1508,0)),"ID не найден"))</x:f>
        <x:v>https://www.youtube.com/watch?v=u4Yq-QX_tm8</x:v>
      </x:c>
      <x:c r="Q129" s="17" t="str">
        <x:v>Предложено</x:v>
      </x:c>
      <x:c r="R129" s="17" t="str"/>
      <x:c r="S129" s="10" t="str"/>
      <x:c r="T129" s="10" t="str">
        <x:v>Резерв меняет выбор видео; снова проверить повод, аудиторию и все редакторские условия</x:v>
      </x:c>
      <x:c r="U129" s="9" t="str">
        <x:f>IF(D129="","Выбрать видео",IF(COUNTIFS($D$7:$D$371,D129)&gt;1,"Повтор","Без повтора"))</x:f>
        <x:v>Без повтора</x:v>
      </x:c>
    </x:row>
    <x:row r="130" ht="60" customHeight="1">
      <x:c r="A130" s="16" t="n">
        <x:v>46432</x:v>
      </x:c>
      <x:c r="B130" s="9" t="str">
        <x:v>Вс</x:v>
      </x:c>
      <x:c r="C130" s="10" t="str">
        <x:v>Сериал</x:v>
      </x:c>
      <x:c r="D130" s="19" t="str">
        <x:v>ShyPwmDHUd0</x:v>
      </x:c>
      <x:c r="E130" s="10" t="str">
        <x:f>IF(D130="","",IF(COUNTIFS('Видео'!$A$7:$A$1508,D130)=1,INDEX('Видео'!$B$7:$B$1508,MATCH(D130,'Видео'!$A$7:$A$1508,0)),"ID не найден"))</x:f>
        <x:v>קופה ראשית עונה 3🛒 | שוד ושבר - פרק 17</x:v>
      </x:c>
      <x:c r="F130" s="9" t="str">
        <x:f>IF(D130="","",IF(COUNTIFS('Видео'!$A$7:$A$1508,D130)=1,INDEX('Видео'!$R$7:$R$1508,MATCH(D130,'Видео'!$A$7:$A$1508,0)),"ID не найден"))</x:f>
        <x:v>C003</x:v>
      </x:c>
      <x:c r="G130" s="9" t="str">
        <x:f>IF(D130="","",IF(COUNTIFS('Видео'!$A$7:$A$1508,D130)=1,INDEX('Видео'!$D$7:$D$1508,MATCH(D130,'Видео'!$A$7:$A$1508,0)),"ID не найден"))</x:f>
        <x:v>Сериал</x:v>
      </x:c>
      <x:c r="H130" s="10" t="str">
        <x:f>IF(D130="","",IF(COUNTIFS('Видео'!$A$7:$A$1508,D130)=1,INDEX('Видео'!$F$7:$F$1508,MATCH(D130,'Видео'!$A$7:$A$1508,0)),"ID не найден"))</x:f>
        <x:v>B1–B2 (гипотеза)</x:v>
      </x:c>
      <x:c r="I130" s="18" t="n">
        <x:f>IF(D130="","",IF(COUNTIFS('Видео'!$A$7:$A$1508,D130)=1,INDEX('Видео'!$G$7:$G$1508,MATCH(D130,'Видео'!$A$7:$A$1508,0)),"ID не найден"))</x:f>
        <x:v>26.8</x:v>
      </x:c>
      <x:c r="J130" s="18" t="n">
        <x:v>10</x:v>
      </x:c>
      <x:c r="K130" s="10" t="str">
        <x:f>IF(D130="","",IF(COUNTIFS('Видео'!$A$7:$A$1508,D130)=1,INDEX('Видео'!$AI$7:$AI$1508,MATCH(D130,'Видео'!$A$7:$A$1508,0)),"ID не найден"))</x:f>
        <x:v>Нужна редактура</x:v>
      </x:c>
      <x:c r="L130" s="19" t="str">
        <x:v>DpkvNky-QmE</x:v>
      </x:c>
      <x:c r="M130" s="10" t="str">
        <x:f>IF(L130="","",IF(COUNTIFS('Видео'!$A$7:$A$1508,L130)=1,INDEX('Видео'!$B$7:$B$1508,MATCH(L130,'Видео'!$A$7:$A$1508,0)),"ID не найден"))</x:f>
        <x:v>מיץ תפוזים שקוף - מתכון בישול מולקולרי</x:v>
      </x:c>
      <x:c r="N130" s="10" t="str"/>
      <x:c r="O130" s="10" t="str">
        <x:f>IF(D130="","",IF(COUNTIFS('Видео'!$A$7:$A$1508,D130)=1,INDEX('Видео'!$M$7:$M$1508,MATCH(D130,'Видео'!$A$7:$A$1508,0)),"ID не найден"))</x:f>
        <x:v>Эпизод 17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30" s="11" t="str">
        <x:f>IF(D130="","",IF(COUNTIFS('Видео'!$A$7:$A$1508,D130)=1,INDEX('Видео'!$U$7:$U$1508,MATCH(D130,'Видео'!$A$7:$A$1508,0)),"ID не найден"))</x:f>
        <x:v>https://www.youtube.com/watch?v=ShyPwmDHUd0</x:v>
      </x:c>
      <x:c r="Q130" s="17" t="str">
        <x:v>Предложено</x:v>
      </x:c>
      <x:c r="R130" s="17" t="str"/>
      <x:c r="S130" s="10" t="str"/>
      <x:c r="T130" s="10" t="str">
        <x:v>При недоступной серии приостановить сюжетную ветку; резерв — самостоятельное видео</x:v>
      </x:c>
      <x:c r="U130" s="9" t="str">
        <x:f>IF(D130="","Выбрать видео",IF(COUNTIFS($D$7:$D$371,D130)&gt;1,"Повтор","Без повтора"))</x:f>
        <x:v>Без повтора</x:v>
      </x:c>
    </x:row>
    <x:row r="131" ht="60" customHeight="1">
      <x:c r="A131" s="16" t="n">
        <x:v>46433</x:v>
      </x:c>
      <x:c r="B131" s="9" t="str">
        <x:v>Пн</x:v>
      </x:c>
      <x:c r="C131" s="10" t="str">
        <x:v>Интервью</x:v>
      </x:c>
      <x:c r="D131" s="19" t="str">
        <x:v>I6NVvTP5Oyg</x:v>
      </x:c>
      <x:c r="E131" s="10" t="str">
        <x:f>IF(D131="","",IF(COUNTIFS('Видео'!$A$7:$A$1508,D131)=1,INDEX('Видео'!$B$7:$B$1508,MATCH(D131,'Видео'!$A$7:$A$1508,0)),"ID не найден"))</x:f>
        <x:v>הצומת | ממבצע מודיעיני לניהול עסק - עם יוצא סיירת מטכ״ל גיורא לוי</x:v>
      </x:c>
      <x:c r="F131" s="9" t="str">
        <x:f>IF(D131="","",IF(COUNTIFS('Видео'!$A$7:$A$1508,D131)=1,INDEX('Видео'!$R$7:$R$1508,MATCH(D131,'Видео'!$A$7:$A$1508,0)),"ID не найден"))</x:f>
        <x:v>C086</x:v>
      </x:c>
      <x:c r="G131" s="9" t="str">
        <x:f>IF(D131="","",IF(COUNTIFS('Видео'!$A$7:$A$1508,D131)=1,INDEX('Видео'!$D$7:$D$1508,MATCH(D131,'Видео'!$A$7:$A$1508,0)),"ID не найден"))</x:f>
        <x:v>Интервью</x:v>
      </x:c>
      <x:c r="H131" s="10" t="str">
        <x:f>IF(D131="","",IF(COUNTIFS('Видео'!$A$7:$A$1508,D131)=1,INDEX('Видео'!$F$7:$F$1508,MATCH(D131,'Видео'!$A$7:$A$1508,0)),"ID не найден"))</x:f>
        <x:v>B2–C1 (гипотеза)</x:v>
      </x:c>
      <x:c r="I131" s="18" t="n">
        <x:f>IF(D131="","",IF(COUNTIFS('Видео'!$A$7:$A$1508,D131)=1,INDEX('Видео'!$G$7:$G$1508,MATCH(D131,'Видео'!$A$7:$A$1508,0)),"ID не найден"))</x:f>
        <x:v>66.8</x:v>
      </x:c>
      <x:c r="J131" s="18" t="n">
        <x:v>10</x:v>
      </x:c>
      <x:c r="K131" s="10" t="str">
        <x:f>IF(D131="","",IF(COUNTIFS('Видео'!$A$7:$A$1508,D131)=1,INDEX('Видео'!$AI$7:$AI$1508,MATCH(D131,'Видео'!$A$7:$A$1508,0)),"ID не найден"))</x:f>
        <x:v>Нужна редактура</x:v>
      </x:c>
      <x:c r="L131" s="19" t="str">
        <x:v>laFpWgaB11U</x:v>
      </x:c>
      <x:c r="M131" s="10" t="str">
        <x:f>IF(L131="","",IF(COUNTIFS('Видео'!$A$7:$A$1508,L131)=1,INDEX('Видео'!$B$7:$B$1508,MATCH(L131,'Видео'!$A$7:$A$1508,0)),"ID не найден"))</x:f>
        <x:v>שיחה עם עודד הרוש: עדן הראל I התכנית המלאה</x:v>
      </x:c>
      <x:c r="N131" s="10" t="str"/>
      <x:c r="O131" s="10" t="str">
        <x:f>IF(D131="","",IF(COUNTIFS('Видео'!$A$7:$A$1508,D131)=1,INDEX('Видео'!$M$7:$M$1508,MATCH(D131,'Видео'!$A$7:$A$1508,0)),"ID не найден"))</x:f>
        <x:v>Тема / гость: ממבצע מודיעיני לניהול עסק - עם יוצא סיירת מטכ״ל גיורא לוי. Просмотры в списке выше медианы выборки этого цикла в 2.89 раза. Связь с уже выбранным владельцем источником. Длинные разговоры дают разные профессиональные и общественные биографии.</x:v>
      </x:c>
      <x:c r="P131" s="11" t="str">
        <x:f>IF(D131="","",IF(COUNTIFS('Видео'!$A$7:$A$1508,D131)=1,INDEX('Видео'!$U$7:$U$1508,MATCH(D131,'Видео'!$A$7:$A$1508,0)),"ID не найден"))</x:f>
        <x:v>https://www.youtube.com/watch?v=I6NVvTP5Oyg</x:v>
      </x:c>
      <x:c r="Q131" s="17" t="str">
        <x:v>Предложено</x:v>
      </x:c>
      <x:c r="R131" s="17" t="str"/>
      <x:c r="S131" s="10" t="str"/>
      <x:c r="T131" s="10" t="str">
        <x:v>Резерв меняет выбор видео; снова проверить повод, аудиторию и все редакторские условия</x:v>
      </x:c>
      <x:c r="U131" s="9" t="str">
        <x:f>IF(D131="","Выбрать видео",IF(COUNTIFS($D$7:$D$371,D131)&gt;1,"Повтор","Без повтора"))</x:f>
        <x:v>Без повтора</x:v>
      </x:c>
    </x:row>
    <x:row r="132" ht="60" customHeight="1">
      <x:c r="A132" s="16" t="n">
        <x:v>46434</x:v>
      </x:c>
      <x:c r="B132" s="9" t="str">
        <x:v>Вт</x:v>
      </x:c>
      <x:c r="C132" s="10" t="str">
        <x:v>Образование</x:v>
      </x:c>
      <x:c r="D132" s="19" t="str">
        <x:v>fKnv4D6k0Fs</x:v>
      </x:c>
      <x:c r="E132" s="10" t="str">
        <x:f>IF(D132="","",IF(COUNTIFS('Видео'!$A$7:$A$1508,D132)=1,INDEX('Видео'!$B$7:$B$1508,MATCH(D132,'Видео'!$A$7:$A$1508,0)),"ID не найден"))</x:f>
        <x:v>יוניקורנז | פרק 2 - ארץ ההייטק המובטחת</x:v>
      </x:c>
      <x:c r="F132" s="9" t="str">
        <x:f>IF(D132="","",IF(COUNTIFS('Видео'!$A$7:$A$1508,D132)=1,INDEX('Видео'!$R$7:$R$1508,MATCH(D132,'Видео'!$A$7:$A$1508,0)),"ID не найден"))</x:f>
        <x:v>C034</x:v>
      </x:c>
      <x:c r="G132" s="9" t="str">
        <x:f>IF(D132="","",IF(COUNTIFS('Видео'!$A$7:$A$1508,D132)=1,INDEX('Видео'!$D$7:$D$1508,MATCH(D132,'Видео'!$A$7:$A$1508,0)),"ID не найден"))</x:f>
        <x:v>Образование</x:v>
      </x:c>
      <x:c r="H132" s="10" t="str">
        <x:f>IF(D132="","",IF(COUNTIFS('Видео'!$A$7:$A$1508,D132)=1,INDEX('Видео'!$F$7:$F$1508,MATCH(D132,'Видео'!$A$7:$A$1508,0)),"ID не найден"))</x:f>
        <x:v>B2–C1 (гипотеза)</x:v>
      </x:c>
      <x:c r="I132" s="18" t="n">
        <x:f>IF(D132="","",IF(COUNTIFS('Видео'!$A$7:$A$1508,D132)=1,INDEX('Видео'!$G$7:$G$1508,MATCH(D132,'Видео'!$A$7:$A$1508,0)),"ID не найден"))</x:f>
        <x:v>41.5</x:v>
      </x:c>
      <x:c r="J132" s="18" t="n">
        <x:v>10</x:v>
      </x:c>
      <x:c r="K132" s="10" t="str">
        <x:f>IF(D132="","",IF(COUNTIFS('Видео'!$A$7:$A$1508,D132)=1,INDEX('Видео'!$AI$7:$AI$1508,MATCH(D132,'Видео'!$A$7:$A$1508,0)),"ID не найден"))</x:f>
        <x:v>Нужна редактура</x:v>
      </x:c>
      <x:c r="L132" s="19" t="str">
        <x:v>TDJvuFHhv0Y</x:v>
      </x:c>
      <x:c r="M132" s="10" t="str">
        <x:f>IF(L132="","",IF(COUNTIFS('Видео'!$A$7:$A$1508,L132)=1,INDEX('Видео'!$B$7:$B$1508,MATCH(L132,'Видео'!$A$7:$A$1508,0)),"ID не найден"))</x:f>
        <x:v>למה הצימרים בישראל כל כך יקרים? | חיות כיס</x:v>
      </x:c>
      <x:c r="N132" s="10" t="str"/>
      <x:c r="O132" s="10" t="str">
        <x:f>IF(D132="","",IF(COUNTIFS('Видео'!$A$7:$A$1508,D132)=1,INDEX('Видео'!$M$7:$M$1508,MATCH(D132,'Видео'!$A$7:$A$1508,0)),"ID не найден"))</x:f>
        <x:v>Тема: יוניקורנז | פרק 2 - ארץ ההייטק המובטחת. Израильский технологический сектор привлекает профессиональную аудиторию. Нужная лексика работы, бизнеса и инноваций.</x:v>
      </x:c>
      <x:c r="P132" s="11" t="str">
        <x:f>IF(D132="","",IF(COUNTIFS('Видео'!$A$7:$A$1508,D132)=1,INDEX('Видео'!$U$7:$U$1508,MATCH(D132,'Видео'!$A$7:$A$1508,0)),"ID не найден"))</x:f>
        <x:v>https://www.youtube.com/watch?v=fKnv4D6k0Fs</x:v>
      </x:c>
      <x:c r="Q132" s="17" t="str">
        <x:v>Предложено</x:v>
      </x:c>
      <x:c r="R132" s="17" t="str"/>
      <x:c r="S132" s="10" t="str"/>
      <x:c r="T132" s="10" t="str">
        <x:v>Резерв меняет выбор видео; снова проверить повод, аудиторию и все редакторские условия</x:v>
      </x:c>
      <x:c r="U132" s="9" t="str">
        <x:f>IF(D132="","Выбрать видео",IF(COUNTIFS($D$7:$D$371,D132)&gt;1,"Повтор","Без повтора"))</x:f>
        <x:v>Без повтора</x:v>
      </x:c>
    </x:row>
    <x:row r="133" ht="60" customHeight="1">
      <x:c r="A133" s="16" t="n">
        <x:v>46435</x:v>
      </x:c>
      <x:c r="B133" s="9" t="str">
        <x:v>Ср</x:v>
      </x:c>
      <x:c r="C133" s="10" t="str">
        <x:v>Быт</x:v>
      </x:c>
      <x:c r="D133" s="19" t="str">
        <x:v>LSFcfppjsus</x:v>
      </x:c>
      <x:c r="E133" s="10" t="str">
        <x:f>IF(D133="","",IF(COUNTIFS('Видео'!$A$7:$A$1508,D133)=1,INDEX('Видео'!$B$7:$B$1508,MATCH(D133,'Видео'!$A$7:$A$1508,0)),"ID не найден"))</x:f>
        <x:v>"לפעמים אני ישן בצהריים": טפיי הגיע מיפן כדי לעבוד בהייטק הישראלי | דוקותיים tech</x:v>
      </x:c>
      <x:c r="F133" s="9" t="str">
        <x:f>IF(D133="","",IF(COUNTIFS('Видео'!$A$7:$A$1508,D133)=1,INDEX('Видео'!$R$7:$R$1508,MATCH(D133,'Видео'!$A$7:$A$1508,0)),"ID не найден"))</x:f>
        <x:v>C051</x:v>
      </x:c>
      <x:c r="G133" s="9" t="str">
        <x:f>IF(D133="","",IF(COUNTIFS('Видео'!$A$7:$A$1508,D133)=1,INDEX('Видео'!$D$7:$D$1508,MATCH(D133,'Видео'!$A$7:$A$1508,0)),"ID не найден"))</x:f>
        <x:v>Быт</x:v>
      </x:c>
      <x:c r="H133" s="10" t="str">
        <x:f>IF(D133="","",IF(COUNTIFS('Видео'!$A$7:$A$1508,D133)=1,INDEX('Видео'!$F$7:$F$1508,MATCH(D133,'Видео'!$A$7:$A$1508,0)),"ID не найден"))</x:f>
        <x:v>B1–B2 (гипотеза)</x:v>
      </x:c>
      <x:c r="I133" s="18" t="n">
        <x:f>IF(D133="","",IF(COUNTIFS('Видео'!$A$7:$A$1508,D133)=1,INDEX('Видео'!$G$7:$G$1508,MATCH(D133,'Видео'!$A$7:$A$1508,0)),"ID не найден"))</x:f>
        <x:v>5.9</x:v>
      </x:c>
      <x:c r="J133" s="18" t="n">
        <x:v>5</x:v>
      </x:c>
      <x:c r="K133" s="10" t="str">
        <x:f>IF(D133="","",IF(COUNTIFS('Видео'!$A$7:$A$1508,D133)=1,INDEX('Видео'!$AI$7:$AI$1508,MATCH(D133,'Видео'!$A$7:$A$1508,0)),"ID не найден"))</x:f>
        <x:v>Нужна редактура</x:v>
      </x:c>
      <x:c r="L133" s="19" t="str">
        <x:v>lWMGrQgaGr0</x:v>
      </x:c>
      <x:c r="M133" s="10" t="str">
        <x:f>IF(L133="","",IF(COUNTIFS('Видео'!$A$7:$A$1508,L133)=1,INDEX('Видео'!$B$7:$B$1508,MATCH(L133,'Видео'!$A$7:$A$1508,0)),"ID не найден"))</x:f>
        <x:v>דוקותיים | מה עושים דרי רחוב בזמן אזעקה?</x:v>
      </x:c>
      <x:c r="N133" s="10" t="str"/>
      <x:c r="O133" s="10" t="str">
        <x:f>IF(D133="","",IF(COUNTIFS('Видео'!$A$7:$A$1508,D133)=1,INDEX('Видео'!$M$7:$M$1508,MATCH(D133,'Видео'!$A$7:$A$1508,0)),"ID не найден"))</x:f>
        <x:v>Завершённый короткий просмотр около 6 мин. Просмотры в списке выше медианы выборки этого цикла в 2.06 раза. Человеческая история в технологической среде соединяет профессиональный интерес и короткий формат.</x:v>
      </x:c>
      <x:c r="P133" s="11" t="str">
        <x:f>IF(D133="","",IF(COUNTIFS('Видео'!$A$7:$A$1508,D133)=1,INDEX('Видео'!$U$7:$U$1508,MATCH(D133,'Видео'!$A$7:$A$1508,0)),"ID не найден"))</x:f>
        <x:v>https://www.youtube.com/watch?v=LSFcfppjsus</x:v>
      </x:c>
      <x:c r="Q133" s="17" t="str">
        <x:v>Предложено</x:v>
      </x:c>
      <x:c r="R133" s="17" t="str"/>
      <x:c r="S133" s="10" t="str"/>
      <x:c r="T133" s="10" t="str">
        <x:v>Резерв меняет выбор видео; снова проверить повод, аудиторию и все редакторские условия</x:v>
      </x:c>
      <x:c r="U133" s="9" t="str">
        <x:f>IF(D133="","Выбрать видео",IF(COUNTIFS($D$7:$D$371,D133)&gt;1,"Повтор","Без повтора"))</x:f>
        <x:v>Без повтора</x:v>
      </x:c>
    </x:row>
    <x:row r="134" ht="60" customHeight="1">
      <x:c r="A134" s="16" t="n">
        <x:v>46436</x:v>
      </x:c>
      <x:c r="B134" s="9" t="str">
        <x:v>Чт</x:v>
      </x:c>
      <x:c r="C134" s="10" t="str">
        <x:v>Сериал</x:v>
      </x:c>
      <x:c r="D134" s="19" t="str">
        <x:v>ANn4lt2C8j4</x:v>
      </x:c>
      <x:c r="E134" s="10" t="str">
        <x:f>IF(D134="","",IF(COUNTIFS('Видео'!$A$7:$A$1508,D134)=1,INDEX('Видео'!$B$7:$B$1508,MATCH(D134,'Видео'!$A$7:$A$1508,0)),"ID не найден"))</x:f>
        <x:v>המפקדת 📋 | פרק 8 - מדוגמת פלס 🔥</x:v>
      </x:c>
      <x:c r="F134" s="9" t="str">
        <x:f>IF(D134="","",IF(COUNTIFS('Видео'!$A$7:$A$1508,D134)=1,INDEX('Видео'!$R$7:$R$1508,MATCH(D134,'Видео'!$A$7:$A$1508,0)),"ID не найден"))</x:f>
        <x:v>C005</x:v>
      </x:c>
      <x:c r="G134" s="9" t="str">
        <x:f>IF(D134="","",IF(COUNTIFS('Видео'!$A$7:$A$1508,D134)=1,INDEX('Видео'!$D$7:$D$1508,MATCH(D134,'Видео'!$A$7:$A$1508,0)),"ID не найден"))</x:f>
        <x:v>Сериал</x:v>
      </x:c>
      <x:c r="H134" s="10" t="str">
        <x:f>IF(D134="","",IF(COUNTIFS('Видео'!$A$7:$A$1508,D134)=1,INDEX('Видео'!$F$7:$F$1508,MATCH(D134,'Видео'!$A$7:$A$1508,0)),"ID не найден"))</x:f>
        <x:v>B2–C1 (гипотеза)</x:v>
      </x:c>
      <x:c r="I134" s="18" t="n">
        <x:f>IF(D134="","",IF(COUNTIFS('Видео'!$A$7:$A$1508,D134)=1,INDEX('Видео'!$G$7:$G$1508,MATCH(D134,'Видео'!$A$7:$A$1508,0)),"ID не найден"))</x:f>
        <x:v>32.4</x:v>
      </x:c>
      <x:c r="J134" s="18" t="n">
        <x:v>10</x:v>
      </x:c>
      <x:c r="K134" s="10" t="str">
        <x:f>IF(D134="","",IF(COUNTIFS('Видео'!$A$7:$A$1508,D134)=1,INDEX('Видео'!$AI$7:$AI$1508,MATCH(D134,'Видео'!$A$7:$A$1508,0)),"ID не найден"))</x:f>
        <x:v>Нужна редактура</x:v>
      </x:c>
      <x:c r="L134" s="19" t="str">
        <x:v>efSoqA4Pfbo</x:v>
      </x:c>
      <x:c r="M134" s="10" t="str">
        <x:f>IF(L134="","",IF(COUNTIFS('Видео'!$A$7:$A$1508,L134)=1,INDEX('Видео'!$B$7:$B$1508,MATCH(L134,'Видео'!$A$7:$A$1508,0)),"ID не найден"))</x:f>
        <x:v>איך לוחות הברית נראו באמת? | כאן סקרנים</x:v>
      </x:c>
      <x:c r="N134" s="10" t="str"/>
      <x:c r="O134" s="10" t="str">
        <x:f>IF(D134="","",IF(COUNTIFS('Видео'!$A$7:$A$1508,D134)=1,INDEX('Видео'!$M$7:$M$1508,MATCH(D134,'Видео'!$A$7:$A$1508,0)),"ID не найден"))</x:f>
        <x:v>Эпизод 8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P134" s="11" t="str">
        <x:f>IF(D134="","",IF(COUNTIFS('Видео'!$A$7:$A$1508,D134)=1,INDEX('Видео'!$U$7:$U$1508,MATCH(D134,'Видео'!$A$7:$A$1508,0)),"ID не найден"))</x:f>
        <x:v>https://www.youtube.com/watch?v=ANn4lt2C8j4</x:v>
      </x:c>
      <x:c r="Q134" s="17" t="str">
        <x:v>Предложено</x:v>
      </x:c>
      <x:c r="R134" s="17" t="str"/>
      <x:c r="S134" s="10" t="str"/>
      <x:c r="T134" s="10" t="str">
        <x:v>При недоступной серии приостановить сюжетную ветку; резерв — самостоятельное видео</x:v>
      </x:c>
      <x:c r="U134" s="9" t="str">
        <x:f>IF(D134="","Выбрать видео",IF(COUNTIFS($D$7:$D$371,D134)&gt;1,"Повтор","Без повтора"))</x:f>
        <x:v>Без повтора</x:v>
      </x:c>
    </x:row>
    <x:row r="135" ht="60" customHeight="1">
      <x:c r="A135" s="16" t="n">
        <x:v>46437</x:v>
      </x:c>
      <x:c r="B135" s="9" t="str">
        <x:v>Пт</x:v>
      </x:c>
      <x:c r="C135" s="10" t="str">
        <x:v>История</x:v>
      </x:c>
      <x:c r="D135" s="19" t="str">
        <x:v>GsgVDb0VJd4</x:v>
      </x:c>
      <x:c r="E135" s="10" t="str">
        <x:f>IF(D135="","",IF(COUNTIFS('Видео'!$A$7:$A$1508,D135)=1,INDEX('Видео'!$B$7:$B$1508,MATCH(D135,'Видео'!$A$7:$A$1508,0)),"ID не найден"))</x:f>
        <x:v>תלמודו של עגנון | שיעור 1 - עגנון כגאון טקסטואלי | פרופ' חיים וייס</x:v>
      </x:c>
      <x:c r="F135" s="9" t="str">
        <x:f>IF(D135="","",IF(COUNTIFS('Видео'!$A$7:$A$1508,D135)=1,INDEX('Видео'!$R$7:$R$1508,MATCH(D135,'Видео'!$A$7:$A$1508,0)),"ID не найден"))</x:f>
        <x:v>C071</x:v>
      </x:c>
      <x:c r="G135" s="9" t="str">
        <x:f>IF(D135="","",IF(COUNTIFS('Видео'!$A$7:$A$1508,D135)=1,INDEX('Видео'!$D$7:$D$1508,MATCH(D135,'Видео'!$A$7:$A$1508,0)),"ID не найден"))</x:f>
        <x:v>История</x:v>
      </x:c>
      <x:c r="H135" s="10" t="str">
        <x:f>IF(D135="","",IF(COUNTIFS('Видео'!$A$7:$A$1508,D135)=1,INDEX('Видео'!$F$7:$F$1508,MATCH(D135,'Видео'!$A$7:$A$1508,0)),"ID не найден"))</x:f>
        <x:v>B2–C1 (гипотеза)</x:v>
      </x:c>
      <x:c r="I135" s="18" t="n">
        <x:f>IF(D135="","",IF(COUNTIFS('Видео'!$A$7:$A$1508,D135)=1,INDEX('Видео'!$G$7:$G$1508,MATCH(D135,'Видео'!$A$7:$A$1508,0)),"ID не найден"))</x:f>
        <x:v>41</x:v>
      </x:c>
      <x:c r="J135" s="18" t="n">
        <x:v>10</x:v>
      </x:c>
      <x:c r="K135" s="10" t="str">
        <x:f>IF(D135="","",IF(COUNTIFS('Видео'!$A$7:$A$1508,D135)=1,INDEX('Видео'!$AI$7:$AI$1508,MATCH(D135,'Видео'!$A$7:$A$1508,0)),"ID не найден"))</x:f>
        <x:v>Нужна редактура</x:v>
      </x:c>
      <x:c r="L135" s="19" t="str">
        <x:v>YYaW_qPnA84</x:v>
      </x:c>
      <x:c r="M135" s="10" t="str">
        <x:f>IF(L135="","",IF(COUNTIFS('Видео'!$A$7:$A$1508,L135)=1,INDEX('Видео'!$B$7:$B$1508,MATCH(L135,'Видео'!$A$7:$A$1508,0)),"ID не найден"))</x:f>
        <x:v>ירוסלם | פרק 3</x:v>
      </x:c>
      <x:c r="N135" s="10" t="str"/>
      <x:c r="O135" s="10" t="str">
        <x:f>IF(D135="","",IF(COUNTIFS('Видео'!$A$7:$A$1508,D135)=1,INDEX('Видео'!$M$7:$M$1508,MATCH(D135,'Видео'!$A$7:$A$1508,0)),"ID не найден"))</x:f>
        <x:v>Тема: תלמודו של עגנון | שיעור 1 - עגנון כגאון טקסטואלי | פרופ' חיים וייס. Просмотры в списке выше медианы выборки этого цикла в 2.06 раза. Агнон связывает классическую литературу и еврейскую текстовую традицию.</x:v>
      </x:c>
      <x:c r="P135" s="11" t="str">
        <x:f>IF(D135="","",IF(COUNTIFS('Видео'!$A$7:$A$1508,D135)=1,INDEX('Видео'!$U$7:$U$1508,MATCH(D135,'Видео'!$A$7:$A$1508,0)),"ID не найден"))</x:f>
        <x:v>https://www.youtube.com/watch?v=GsgVDb0VJd4</x:v>
      </x:c>
      <x:c r="Q135" s="17" t="str">
        <x:v>Предложено</x:v>
      </x:c>
      <x:c r="R135" s="17" t="str"/>
      <x:c r="S135" s="10" t="str"/>
      <x:c r="T135" s="10" t="str">
        <x:v>Резерв меняет выбор видео; снова проверить повод, аудиторию и все редакторские условия</x:v>
      </x:c>
      <x:c r="U135" s="9" t="str">
        <x:f>IF(D135="","Выбрать видео",IF(COUNTIFS($D$7:$D$371,D135)&gt;1,"Повтор","Без повтора"))</x:f>
        <x:v>Без повтора</x:v>
      </x:c>
    </x:row>
    <x:row r="136" ht="60" customHeight="1">
      <x:c r="A136" s="16" t="n">
        <x:v>46438</x:v>
      </x:c>
      <x:c r="B136" s="9" t="str">
        <x:v>Сб</x:v>
      </x:c>
      <x:c r="C136" s="10" t="str">
        <x:v>Общество</x:v>
      </x:c>
      <x:c r="D136" s="19" t="str">
        <x:v>Ad1et9Gb7OA</x:v>
      </x:c>
      <x:c r="E136" s="10" t="str">
        <x:f>IF(D136="","",IF(COUNTIFS('Видео'!$A$7:$A$1508,D136)=1,INDEX('Видео'!$B$7:$B$1508,MATCH(D136,'Видео'!$A$7:$A$1508,0)),"ID не найден"))</x:f>
        <x:v>סליחה על השאלה עונה 3 💙 | יוצאים בשאלה - פרק אחרון לעונה</x:v>
      </x:c>
      <x:c r="F136" s="9" t="str">
        <x:f>IF(D136="","",IF(COUNTIFS('Видео'!$A$7:$A$1508,D136)=1,INDEX('Видео'!$R$7:$R$1508,MATCH(D136,'Видео'!$A$7:$A$1508,0)),"ID не найден"))</x:f>
        <x:v>C019</x:v>
      </x:c>
      <x:c r="G136" s="9" t="str">
        <x:f>IF(D136="","",IF(COUNTIFS('Видео'!$A$7:$A$1508,D136)=1,INDEX('Видео'!$D$7:$D$1508,MATCH(D136,'Видео'!$A$7:$A$1508,0)),"ID не найден"))</x:f>
        <x:v>Общество</x:v>
      </x:c>
      <x:c r="H136" s="10" t="str">
        <x:f>IF(D136="","",IF(COUNTIFS('Видео'!$A$7:$A$1508,D136)=1,INDEX('Видео'!$F$7:$F$1508,MATCH(D136,'Видео'!$A$7:$A$1508,0)),"ID не найден"))</x:f>
        <x:v>B1–B2 (гипотеза)</x:v>
      </x:c>
      <x:c r="I136" s="18" t="n">
        <x:f>IF(D136="","",IF(COUNTIFS('Видео'!$A$7:$A$1508,D136)=1,INDEX('Видео'!$G$7:$G$1508,MATCH(D136,'Видео'!$A$7:$A$1508,0)),"ID не найден"))</x:f>
        <x:v>25.8</x:v>
      </x:c>
      <x:c r="J136" s="18" t="n">
        <x:v>10</x:v>
      </x:c>
      <x:c r="K136" s="10" t="str">
        <x:f>IF(D136="","",IF(COUNTIFS('Видео'!$A$7:$A$1508,D136)=1,INDEX('Видео'!$AI$7:$AI$1508,MATCH(D136,'Видео'!$A$7:$A$1508,0)),"ID не найден"))</x:f>
        <x:v>Нужна редактура</x:v>
      </x:c>
      <x:c r="L136" s="19" t="str">
        <x:v>gcBfQgZV7pc</x:v>
      </x:c>
      <x:c r="M136" s="10" t="str">
        <x:f>IF(L136="","",IF(COUNTIFS('Видео'!$A$7:$A$1508,L136)=1,INDEX('Видео'!$B$7:$B$1508,MATCH(L136,'Видео'!$A$7:$A$1508,0)),"ID не найден"))</x:f>
        <x:v>כאן מקשיבים: המוות רדף אותי</x:v>
      </x:c>
      <x:c r="N136" s="10" t="str"/>
      <x:c r="O136" s="10" t="str">
        <x:f>IF(D136="","",IF(COUNTIFS('Видео'!$A$7:$A$1508,D136)=1,INDEX('Видео'!$M$7:$M$1508,MATCH(D136,'Видео'!$A$7:$A$1508,0)),"ID не найден"))</x:f>
        <x:v>Тема: סליחה על השאלה עונה 3 💙 | יוצאים בשאלה - פרק אחרון לעונה. Одинаковый вопрос разным людям позволяет сравнить ответы и акценты. Формат вводит социальные группы через их собственную речь.</x:v>
      </x:c>
      <x:c r="P136" s="11" t="str">
        <x:f>IF(D136="","",IF(COUNTIFS('Видео'!$A$7:$A$1508,D136)=1,INDEX('Видео'!$U$7:$U$1508,MATCH(D136,'Видео'!$A$7:$A$1508,0)),"ID не найден"))</x:f>
        <x:v>https://www.youtube.com/watch?v=Ad1et9Gb7OA</x:v>
      </x:c>
      <x:c r="Q136" s="17" t="str">
        <x:v>Предложено</x:v>
      </x:c>
      <x:c r="R136" s="17" t="str"/>
      <x:c r="S136" s="10" t="str"/>
      <x:c r="T136" s="10" t="str">
        <x:v>Резерв меняет выбор видео; снова проверить повод, аудиторию и все редакторские условия</x:v>
      </x:c>
      <x:c r="U136" s="9" t="str">
        <x:f>IF(D136="","Выбрать видео",IF(COUNTIFS($D$7:$D$371,D136)&gt;1,"Повтор","Без повтора"))</x:f>
        <x:v>Без повтора</x:v>
      </x:c>
    </x:row>
    <x:row r="137" ht="60" customHeight="1">
      <x:c r="A137" s="16" t="n">
        <x:v>46439</x:v>
      </x:c>
      <x:c r="B137" s="9" t="str">
        <x:v>Вс</x:v>
      </x:c>
      <x:c r="C137" s="10" t="str">
        <x:v>Сериал</x:v>
      </x:c>
      <x:c r="D137" s="19" t="str">
        <x:v>FOfV6mUDlfI</x:v>
      </x:c>
      <x:c r="E137" s="10" t="str">
        <x:f>IF(D137="","",IF(COUNTIFS('Видео'!$A$7:$A$1508,D137)=1,INDEX('Видео'!$B$7:$B$1508,MATCH(D137,'Видео'!$A$7:$A$1508,0)),"ID не найден"))</x:f>
        <x:v>קופה ראשית עונה 3🛒 | מאשה חודש תשע  - פרק 18</x:v>
      </x:c>
      <x:c r="F137" s="9" t="str">
        <x:f>IF(D137="","",IF(COUNTIFS('Видео'!$A$7:$A$1508,D137)=1,INDEX('Видео'!$R$7:$R$1508,MATCH(D137,'Видео'!$A$7:$A$1508,0)),"ID не найден"))</x:f>
        <x:v>C003</x:v>
      </x:c>
      <x:c r="G137" s="9" t="str">
        <x:f>IF(D137="","",IF(COUNTIFS('Видео'!$A$7:$A$1508,D137)=1,INDEX('Видео'!$D$7:$D$1508,MATCH(D137,'Видео'!$A$7:$A$1508,0)),"ID не найден"))</x:f>
        <x:v>Сериал</x:v>
      </x:c>
      <x:c r="H137" s="10" t="str">
        <x:f>IF(D137="","",IF(COUNTIFS('Видео'!$A$7:$A$1508,D137)=1,INDEX('Видео'!$F$7:$F$1508,MATCH(D137,'Видео'!$A$7:$A$1508,0)),"ID не найден"))</x:f>
        <x:v>B1–B2 (гипотеза)</x:v>
      </x:c>
      <x:c r="I137" s="18" t="n">
        <x:f>IF(D137="","",IF(COUNTIFS('Видео'!$A$7:$A$1508,D137)=1,INDEX('Видео'!$G$7:$G$1508,MATCH(D137,'Видео'!$A$7:$A$1508,0)),"ID не найден"))</x:f>
        <x:v>24</x:v>
      </x:c>
      <x:c r="J137" s="18" t="n">
        <x:v>10</x:v>
      </x:c>
      <x:c r="K137" s="10" t="str">
        <x:f>IF(D137="","",IF(COUNTIFS('Видео'!$A$7:$A$1508,D137)=1,INDEX('Видео'!$AI$7:$AI$1508,MATCH(D137,'Видео'!$A$7:$A$1508,0)),"ID не найден"))</x:f>
        <x:v>Нужна редактура</x:v>
      </x:c>
      <x:c r="L137" s="19" t="str">
        <x:v>5-gH_q7OWbU</x:v>
      </x:c>
      <x:c r="M137" s="10" t="str">
        <x:f>IF(L137="","",IF(COUNTIFS('Видео'!$A$7:$A$1508,L137)=1,INDEX('Видео'!$B$7:$B$1508,MATCH(L137,'Видео'!$A$7:$A$1508,0)),"ID не найден"))</x:f>
        <x:v>כאן מסבירים | מה הסיפור של באג 2000?</x:v>
      </x:c>
      <x:c r="N137" s="10" t="str"/>
      <x:c r="O137" s="10" t="str">
        <x:f>IF(D137="","",IF(COUNTIFS('Видео'!$A$7:$A$1508,D137)=1,INDEX('Видео'!$M$7:$M$1508,MATCH(D137,'Видео'!$A$7:$A$1508,0)),"ID не найден"))</x:f>
        <x:v>Эпизод 18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37" s="11" t="str">
        <x:f>IF(D137="","",IF(COUNTIFS('Видео'!$A$7:$A$1508,D137)=1,INDEX('Видео'!$U$7:$U$1508,MATCH(D137,'Видео'!$A$7:$A$1508,0)),"ID не найден"))</x:f>
        <x:v>https://www.youtube.com/watch?v=FOfV6mUDlfI</x:v>
      </x:c>
      <x:c r="Q137" s="17" t="str">
        <x:v>Предложено</x:v>
      </x:c>
      <x:c r="R137" s="17" t="str"/>
      <x:c r="S137" s="10" t="str"/>
      <x:c r="T137" s="10" t="str">
        <x:v>При недоступной серии приостановить сюжетную ветку; резерв — самостоятельное видео</x:v>
      </x:c>
      <x:c r="U137" s="9" t="str">
        <x:f>IF(D137="","Выбрать видео",IF(COUNTIFS($D$7:$D$371,D137)&gt;1,"Повтор","Без повтора"))</x:f>
        <x:v>Без повтора</x:v>
      </x:c>
    </x:row>
    <x:row r="138" ht="60" customHeight="1">
      <x:c r="A138" s="16" t="n">
        <x:v>46440</x:v>
      </x:c>
      <x:c r="B138" s="9" t="str">
        <x:v>Пн</x:v>
      </x:c>
      <x:c r="C138" s="10" t="str">
        <x:v>Интервью</x:v>
      </x:c>
      <x:c r="D138" s="19" t="str">
        <x:v>74y7J85Zcbo</x:v>
      </x:c>
      <x:c r="E138" s="10" t="str">
        <x:f>IF(D138="","",IF(COUNTIFS('Видео'!$A$7:$A$1508,D138)=1,INDEX('Видео'!$B$7:$B$1508,MATCH(D138,'Видео'!$A$7:$A$1508,0)),"ID не найден"))</x:f>
        <x:v>מדינה פלסטינית בצרפת? שומר סף קצר עם אלדד בק</x:v>
      </x:c>
      <x:c r="F138" s="9" t="str">
        <x:f>IF(D138="","",IF(COUNTIFS('Видео'!$A$7:$A$1508,D138)=1,INDEX('Видео'!$R$7:$R$1508,MATCH(D138,'Видео'!$A$7:$A$1508,0)),"ID не найден"))</x:f>
        <x:v>C087</x:v>
      </x:c>
      <x:c r="G138" s="9" t="str">
        <x:f>IF(D138="","",IF(COUNTIFS('Видео'!$A$7:$A$1508,D138)=1,INDEX('Видео'!$D$7:$D$1508,MATCH(D138,'Видео'!$A$7:$A$1508,0)),"ID не найден"))</x:f>
        <x:v>Интервью</x:v>
      </x:c>
      <x:c r="H138" s="10" t="str">
        <x:f>IF(D138="","",IF(COUNTIFS('Видео'!$A$7:$A$1508,D138)=1,INDEX('Видео'!$F$7:$F$1508,MATCH(D138,'Видео'!$A$7:$A$1508,0)),"ID не найден"))</x:f>
        <x:v>B2–C1 (гипотеза)</x:v>
      </x:c>
      <x:c r="I138" s="18" t="n">
        <x:f>IF(D138="","",IF(COUNTIFS('Видео'!$A$7:$A$1508,D138)=1,INDEX('Видео'!$G$7:$G$1508,MATCH(D138,'Видео'!$A$7:$A$1508,0)),"ID не найден"))</x:f>
        <x:v>28.5</x:v>
      </x:c>
      <x:c r="J138" s="18" t="n">
        <x:v>10</x:v>
      </x:c>
      <x:c r="K138" s="10" t="str">
        <x:f>IF(D138="","",IF(COUNTIFS('Видео'!$A$7:$A$1508,D138)=1,INDEX('Видео'!$AI$7:$AI$1508,MATCH(D138,'Видео'!$A$7:$A$1508,0)),"ID не найден"))</x:f>
        <x:v>Нужна редактура</x:v>
      </x:c>
      <x:c r="L138" s="19" t="str">
        <x:v>qxSwxhHSvuU</x:v>
      </x:c>
      <x:c r="M138" s="10" t="str">
        <x:f>IF(L138="","",IF(COUNTIFS('Видео'!$A$7:$A$1508,L138)=1,INDEX('Видео'!$B$7:$B$1508,MATCH(L138,'Видео'!$A$7:$A$1508,0)),"ID не найден"))</x:f>
        <x:v>שיחה עם עודד הרוש: ח"כ אריה דרעי I התכנית המלאה</x:v>
      </x:c>
      <x:c r="N138" s="10" t="str"/>
      <x:c r="O138" s="10" t="str">
        <x:f>IF(D138="","",IF(COUNTIFS('Видео'!$A$7:$A$1508,D138)=1,INDEX('Видео'!$M$7:$M$1508,MATCH(D138,'Видео'!$A$7:$A$1508,0)),"ID не найден"))</x:f>
        <x:v>Тема / гость: מדינה פלסטינית בצרפת? שומר סף קצר עם אלדד בק. Просмотры в списке выше медианы выборки этого цикла в 2.15 раза. Источник для аудитории общественных дебатов; полезен при явной атрибуции позиции ведущего и гостя.</x:v>
      </x:c>
      <x:c r="P138" s="11" t="str">
        <x:f>IF(D138="","",IF(COUNTIFS('Видео'!$A$7:$A$1508,D138)=1,INDEX('Видео'!$U$7:$U$1508,MATCH(D138,'Видео'!$A$7:$A$1508,0)),"ID не найден"))</x:f>
        <x:v>https://www.youtube.com/watch?v=74y7J85Zcbo</x:v>
      </x:c>
      <x:c r="Q138" s="17" t="str">
        <x:v>Предложено</x:v>
      </x:c>
      <x:c r="R138" s="17" t="str"/>
      <x:c r="S138" s="10" t="str"/>
      <x:c r="T138" s="10" t="str">
        <x:v>Резерв меняет выбор видео; снова проверить повод, аудиторию и все редакторские условия</x:v>
      </x:c>
      <x:c r="U138" s="9" t="str">
        <x:f>IF(D138="","Выбрать видео",IF(COUNTIFS($D$7:$D$371,D138)&gt;1,"Повтор","Без повтора"))</x:f>
        <x:v>Без повтора</x:v>
      </x:c>
    </x:row>
    <x:row r="139" ht="60" customHeight="1">
      <x:c r="A139" s="16" t="n">
        <x:v>46441</x:v>
      </x:c>
      <x:c r="B139" s="9" t="str">
        <x:v>Вт</x:v>
      </x:c>
      <x:c r="C139" s="10" t="str">
        <x:v>Образование</x:v>
      </x:c>
      <x:c r="D139" s="19" t="str">
        <x:v>HC56b7Ls28U</x:v>
      </x:c>
      <x:c r="E139" s="10" t="str">
        <x:f>IF(D139="","",IF(COUNTIFS('Видео'!$A$7:$A$1508,D139)=1,INDEX('Видео'!$B$7:$B$1508,MATCH(D139,'Видео'!$A$7:$A$1508,0)),"ID не найден"))</x:f>
        <x:v>מתחת לבלטות | פרק 2 - הדיור החרדי</x:v>
      </x:c>
      <x:c r="F139" s="9" t="str">
        <x:f>IF(D139="","",IF(COUNTIFS('Видео'!$A$7:$A$1508,D139)=1,INDEX('Видео'!$R$7:$R$1508,MATCH(D139,'Видео'!$A$7:$A$1508,0)),"ID не найден"))</x:f>
        <x:v>C035</x:v>
      </x:c>
      <x:c r="G139" s="9" t="str">
        <x:f>IF(D139="","",IF(COUNTIFS('Видео'!$A$7:$A$1508,D139)=1,INDEX('Видео'!$D$7:$D$1508,MATCH(D139,'Видео'!$A$7:$A$1508,0)),"ID не найден"))</x:f>
        <x:v>Образование</x:v>
      </x:c>
      <x:c r="H139" s="10" t="str">
        <x:f>IF(D139="","",IF(COUNTIFS('Видео'!$A$7:$A$1508,D139)=1,INDEX('Видео'!$F$7:$F$1508,MATCH(D139,'Видео'!$A$7:$A$1508,0)),"ID не найден"))</x:f>
        <x:v>B2–C1 (гипотеза)</x:v>
      </x:c>
      <x:c r="I139" s="18" t="n">
        <x:f>IF(D139="","",IF(COUNTIFS('Видео'!$A$7:$A$1508,D139)=1,INDEX('Видео'!$G$7:$G$1508,MATCH(D139,'Видео'!$A$7:$A$1508,0)),"ID не найден"))</x:f>
        <x:v>36.4</x:v>
      </x:c>
      <x:c r="J139" s="18" t="n">
        <x:v>10</x:v>
      </x:c>
      <x:c r="K139" s="10" t="str">
        <x:f>IF(D139="","",IF(COUNTIFS('Видео'!$A$7:$A$1508,D139)=1,INDEX('Видео'!$AI$7:$AI$1508,MATCH(D139,'Видео'!$A$7:$A$1508,0)),"ID не найден"))</x:f>
        <x:v>Нужна редактура</x:v>
      </x:c>
      <x:c r="L139" s="19" t="str">
        <x:v>8-fGdvQqmGw</x:v>
      </x:c>
      <x:c r="M139" s="10" t="str">
        <x:f>IF(L139="","",IF(COUNTIFS('Видео'!$A$7:$A$1508,L139)=1,INDEX('Видео'!$B$7:$B$1508,MATCH(L139,'Видео'!$A$7:$A$1508,0)),"ID не найден"))</x:f>
        <x:v>כאן מסבירים | למה ברפואה אסור להשוות בין נשים לגברים?</x:v>
      </x:c>
      <x:c r="N139" s="10" t="str"/>
      <x:c r="O139" s="10" t="str">
        <x:f>IF(D139="","",IF(COUNTIFS('Видео'!$A$7:$A$1508,D139)=1,INDEX('Видео'!$M$7:$M$1508,MATCH(D139,'Видео'!$A$7:$A$1508,0)),"ID не найден"))</x:f>
        <x:v>Тема: מתחת לבלטות | פרק 2 - הדיור החרדי. Экономические объяснения связывают личные деньги и общественные решения. Это самостоятельная аудитория за пределами сериалов.</x:v>
      </x:c>
      <x:c r="P139" s="11" t="str">
        <x:f>IF(D139="","",IF(COUNTIFS('Видео'!$A$7:$A$1508,D139)=1,INDEX('Видео'!$U$7:$U$1508,MATCH(D139,'Видео'!$A$7:$A$1508,0)),"ID не найден"))</x:f>
        <x:v>https://www.youtube.com/watch?v=HC56b7Ls28U</x:v>
      </x:c>
      <x:c r="Q139" s="17" t="str">
        <x:v>Предложено</x:v>
      </x:c>
      <x:c r="R139" s="17" t="str"/>
      <x:c r="S139" s="10" t="str"/>
      <x:c r="T139" s="10" t="str">
        <x:v>Резерв меняет выбор видео; снова проверить повод, аудиторию и все редакторские условия</x:v>
      </x:c>
      <x:c r="U139" s="9" t="str">
        <x:f>IF(D139="","Выбрать видео",IF(COUNTIFS($D$7:$D$371,D139)&gt;1,"Повтор","Без повтора"))</x:f>
        <x:v>Без повтора</x:v>
      </x:c>
    </x:row>
    <x:row r="140" ht="60" customHeight="1">
      <x:c r="A140" s="16" t="n">
        <x:v>46442</x:v>
      </x:c>
      <x:c r="B140" s="9" t="str">
        <x:v>Ср</x:v>
      </x:c>
      <x:c r="C140" s="10" t="str">
        <x:v>Быт</x:v>
      </x:c>
      <x:c r="D140" s="19" t="str">
        <x:v>ilpadCGBm9o</x:v>
      </x:c>
      <x:c r="E140" s="10" t="str">
        <x:f>IF(D140="","",IF(COUNTIFS('Видео'!$A$7:$A$1508,D140)=1,INDEX('Видео'!$B$7:$B$1508,MATCH(D140,'Видео'!$A$7:$A$1508,0)),"ID не найден"))</x:f>
        <x:v>בואו לאכול איתי עונה 9 | תל אביב - חלק א' (פרק 11)</x:v>
      </x:c>
      <x:c r="F140" s="9" t="str">
        <x:f>IF(D140="","",IF(COUNTIFS('Видео'!$A$7:$A$1508,D140)=1,INDEX('Видео'!$R$7:$R$1508,MATCH(D140,'Видео'!$A$7:$A$1508,0)),"ID не найден"))</x:f>
        <x:v>C022</x:v>
      </x:c>
      <x:c r="G140" s="9" t="str">
        <x:f>IF(D140="","",IF(COUNTIFS('Видео'!$A$7:$A$1508,D140)=1,INDEX('Видео'!$D$7:$D$1508,MATCH(D140,'Видео'!$A$7:$A$1508,0)),"ID не найден"))</x:f>
        <x:v>Быт</x:v>
      </x:c>
      <x:c r="H140" s="10" t="str">
        <x:f>IF(D140="","",IF(COUNTIFS('Видео'!$A$7:$A$1508,D140)=1,INDEX('Видео'!$F$7:$F$1508,MATCH(D140,'Видео'!$A$7:$A$1508,0)),"ID не найден"))</x:f>
        <x:v>B1–B2 (гипотеза)</x:v>
      </x:c>
      <x:c r="I140" s="18" t="n">
        <x:f>IF(D140="","",IF(COUNTIFS('Видео'!$A$7:$A$1508,D140)=1,INDEX('Видео'!$G$7:$G$1508,MATCH(D140,'Видео'!$A$7:$A$1508,0)),"ID не найден"))</x:f>
        <x:v>28.5</x:v>
      </x:c>
      <x:c r="J140" s="18" t="n">
        <x:v>10</x:v>
      </x:c>
      <x:c r="K140" s="10" t="str">
        <x:f>IF(D140="","",IF(COUNTIFS('Видео'!$A$7:$A$1508,D140)=1,INDEX('Видео'!$AI$7:$AI$1508,MATCH(D140,'Видео'!$A$7:$A$1508,0)),"ID не найден"))</x:f>
        <x:v>Нужна редактура</x:v>
      </x:c>
      <x:c r="L140" s="19" t="str">
        <x:v>9of99mr3aLg</x:v>
      </x:c>
      <x:c r="M140" s="10" t="str">
        <x:f>IF(L140="","",IF(COUNTIFS('Видео'!$A$7:$A$1508,L140)=1,INDEX('Видео'!$B$7:$B$1508,MATCH(L140,'Видео'!$A$7:$A$1508,0)),"ID не найден"))</x:f>
        <x:v>"פוליטיקאים פלסטינים התחילו להגיד שלא היה שם בית מקדש" | הארכאולוג שמוצא בהר הבית פיסות מבית המקדש</x:v>
      </x:c>
      <x:c r="N140" s="10" t="str"/>
      <x:c r="O140" s="10" t="str">
        <x:f>IF(D140="","",IF(COUNTIFS('Видео'!$A$7:$A$1508,D140)=1,INDEX('Видео'!$M$7:$M$1508,MATCH(D140,'Видео'!$A$7:$A$1508,0)),"ID не найден"))</x:f>
        <x:v>Тема: בואו לאכול איתי עונה 9 | תל אביב - חלק א' (פרק 11). Еда снижает порог входа для широкой аудитории. В одном выпуске встречаются приглашения, оценки, знакомство и бытовые споры.</x:v>
      </x:c>
      <x:c r="P140" s="11" t="str">
        <x:f>IF(D140="","",IF(COUNTIFS('Видео'!$A$7:$A$1508,D140)=1,INDEX('Видео'!$U$7:$U$1508,MATCH(D140,'Видео'!$A$7:$A$1508,0)),"ID не найден"))</x:f>
        <x:v>https://www.youtube.com/watch?v=ilpadCGBm9o</x:v>
      </x:c>
      <x:c r="Q140" s="17" t="str">
        <x:v>Предложено</x:v>
      </x:c>
      <x:c r="R140" s="17" t="str"/>
      <x:c r="S140" s="10" t="str"/>
      <x:c r="T140" s="10" t="str">
        <x:v>Резерв меняет выбор видео; снова проверить повод, аудиторию и все редакторские условия</x:v>
      </x:c>
      <x:c r="U140" s="9" t="str">
        <x:f>IF(D140="","Выбрать видео",IF(COUNTIFS($D$7:$D$371,D140)&gt;1,"Повтор","Без повтора"))</x:f>
        <x:v>Без повтора</x:v>
      </x:c>
    </x:row>
    <x:row r="141" ht="60" customHeight="1">
      <x:c r="A141" s="16" t="n">
        <x:v>46443</x:v>
      </x:c>
      <x:c r="B141" s="9" t="str">
        <x:v>Чт</x:v>
      </x:c>
      <x:c r="C141" s="10" t="str">
        <x:v>Сериал</x:v>
      </x:c>
      <x:c r="D141" s="19" t="str">
        <x:v>BdIUefGy3r4</x:v>
      </x:c>
      <x:c r="E141" s="10" t="str">
        <x:f>IF(D141="","",IF(COUNTIFS('Видео'!$A$7:$A$1508,D141)=1,INDEX('Видео'!$B$7:$B$1508,MATCH(D141,'Видео'!$A$7:$A$1508,0)),"ID не найден"))</x:f>
        <x:v>המפקדת 📋 | פרק 9 - נשבעת נשבעת נשבעת 🔥</x:v>
      </x:c>
      <x:c r="F141" s="9" t="str">
        <x:f>IF(D141="","",IF(COUNTIFS('Видео'!$A$7:$A$1508,D141)=1,INDEX('Видео'!$R$7:$R$1508,MATCH(D141,'Видео'!$A$7:$A$1508,0)),"ID не найден"))</x:f>
        <x:v>C005</x:v>
      </x:c>
      <x:c r="G141" s="9" t="str">
        <x:f>IF(D141="","",IF(COUNTIFS('Видео'!$A$7:$A$1508,D141)=1,INDEX('Видео'!$D$7:$D$1508,MATCH(D141,'Видео'!$A$7:$A$1508,0)),"ID не найден"))</x:f>
        <x:v>Сериал</x:v>
      </x:c>
      <x:c r="H141" s="10" t="str">
        <x:f>IF(D141="","",IF(COUNTIFS('Видео'!$A$7:$A$1508,D141)=1,INDEX('Видео'!$F$7:$F$1508,MATCH(D141,'Видео'!$A$7:$A$1508,0)),"ID не найден"))</x:f>
        <x:v>B2–C1 (гипотеза)</x:v>
      </x:c>
      <x:c r="I141" s="18" t="n">
        <x:f>IF(D141="","",IF(COUNTIFS('Видео'!$A$7:$A$1508,D141)=1,INDEX('Видео'!$G$7:$G$1508,MATCH(D141,'Видео'!$A$7:$A$1508,0)),"ID не найден"))</x:f>
        <x:v>35.3</x:v>
      </x:c>
      <x:c r="J141" s="18" t="n">
        <x:v>10</x:v>
      </x:c>
      <x:c r="K141" s="10" t="str">
        <x:f>IF(D141="","",IF(COUNTIFS('Видео'!$A$7:$A$1508,D141)=1,INDEX('Видео'!$AI$7:$AI$1508,MATCH(D141,'Видео'!$A$7:$A$1508,0)),"ID не найден"))</x:f>
        <x:v>Нужна редактура</x:v>
      </x:c>
      <x:c r="L141" s="19" t="str">
        <x:v>KkVXBupAhkk</x:v>
      </x:c>
      <x:c r="M141" s="10" t="str">
        <x:f>IF(L141="","",IF(COUNTIFS('Видео'!$A$7:$A$1508,L141)=1,INDEX('Видео'!$B$7:$B$1508,MATCH(L141,'Видео'!$A$7:$A$1508,0)),"ID не найден"))</x:f>
        <x:v>חיות כיס | האם משתלם כלכלית להיות נשואים? 💵💵💵</x:v>
      </x:c>
      <x:c r="N141" s="10" t="str"/>
      <x:c r="O141" s="10" t="str">
        <x:f>IF(D141="","",IF(COUNTIFS('Видео'!$A$7:$A$1508,D141)=1,INDEX('Видео'!$M$7:$M$1508,MATCH(D141,'Видео'!$A$7:$A$1508,0)),"ID не найден"))</x:f>
        <x:v>Эпизод 9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P141" s="11" t="str">
        <x:f>IF(D141="","",IF(COUNTIFS('Видео'!$A$7:$A$1508,D141)=1,INDEX('Видео'!$U$7:$U$1508,MATCH(D141,'Видео'!$A$7:$A$1508,0)),"ID не найден"))</x:f>
        <x:v>https://www.youtube.com/watch?v=BdIUefGy3r4</x:v>
      </x:c>
      <x:c r="Q141" s="17" t="str">
        <x:v>Предложено</x:v>
      </x:c>
      <x:c r="R141" s="17" t="str"/>
      <x:c r="S141" s="10" t="str"/>
      <x:c r="T141" s="10" t="str">
        <x:v>При недоступной серии приостановить сюжетную ветку; резерв — самостоятельное видео</x:v>
      </x:c>
      <x:c r="U141" s="9" t="str">
        <x:f>IF(D141="","Выбрать видео",IF(COUNTIFS($D$7:$D$371,D141)&gt;1,"Повтор","Без повтора"))</x:f>
        <x:v>Без повтора</x:v>
      </x:c>
    </x:row>
    <x:row r="142" ht="60" customHeight="1">
      <x:c r="A142" s="16" t="n">
        <x:v>46444</x:v>
      </x:c>
      <x:c r="B142" s="9" t="str">
        <x:v>Пт</x:v>
      </x:c>
      <x:c r="C142" s="10" t="str">
        <x:v>Культура</x:v>
      </x:c>
      <x:c r="D142" s="19" t="str">
        <x:v>2DFD-BiqyWw</x:v>
      </x:c>
      <x:c r="E142" s="10" t="str">
        <x:f>IF(D142="","",IF(COUNTIFS('Видео'!$A$7:$A$1508,D142)=1,INDEX('Видео'!$B$7:$B$1508,MATCH(D142,'Видео'!$A$7:$A$1508,0)),"ID не найден"))</x:f>
        <x:v>דני רובס - בדרך אל האושר (לייב על בימת בית אבי חי)</x:v>
      </x:c>
      <x:c r="F142" s="9" t="str">
        <x:f>IF(D142="","",IF(COUNTIFS('Видео'!$A$7:$A$1508,D142)=1,INDEX('Видео'!$R$7:$R$1508,MATCH(D142,'Видео'!$A$7:$A$1508,0)),"ID не найден"))</x:f>
        <x:v>C075</x:v>
      </x:c>
      <x:c r="G142" s="9" t="str">
        <x:f>IF(D142="","",IF(COUNTIFS('Видео'!$A$7:$A$1508,D142)=1,INDEX('Видео'!$D$7:$D$1508,MATCH(D142,'Видео'!$A$7:$A$1508,0)),"ID не найден"))</x:f>
        <x:v>Культура</x:v>
      </x:c>
      <x:c r="H142" s="10" t="str">
        <x:f>IF(D142="","",IF(COUNTIFS('Видео'!$A$7:$A$1508,D142)=1,INDEX('Видео'!$F$7:$F$1508,MATCH(D142,'Видео'!$A$7:$A$1508,0)),"ID не найден"))</x:f>
        <x:v>B2–C1 (гипотеза)</x:v>
      </x:c>
      <x:c r="I142" s="18" t="n">
        <x:f>IF(D142="","",IF(COUNTIFS('Видео'!$A$7:$A$1508,D142)=1,INDEX('Видео'!$G$7:$G$1508,MATCH(D142,'Видео'!$A$7:$A$1508,0)),"ID не найден"))</x:f>
        <x:v>3.6</x:v>
      </x:c>
      <x:c r="J142" s="18" t="n">
        <x:v>5</x:v>
      </x:c>
      <x:c r="K142" s="10" t="str">
        <x:f>IF(D142="","",IF(COUNTIFS('Видео'!$A$7:$A$1508,D142)=1,INDEX('Видео'!$AI$7:$AI$1508,MATCH(D142,'Видео'!$A$7:$A$1508,0)),"ID не найден"))</x:f>
        <x:v>Нужна редактура</x:v>
      </x:c>
      <x:c r="L142" s="19" t="str">
        <x:v>RM1SM7vGEAM</x:v>
      </x:c>
      <x:c r="M142" s="10" t="str">
        <x:f>IF(L142="","",IF(COUNTIFS('Видео'!$A$7:$A$1508,L142)=1,INDEX('Видео'!$B$7:$B$1508,MATCH(L142,'Видео'!$A$7:$A$1508,0)),"ID не найден"))</x:f>
        <x:v>מה היה כתוב בקמע המיוחד של "האור החיים"?</x:v>
      </x:c>
      <x:c r="N142" s="10" t="str"/>
      <x:c r="O142" s="10" t="str">
        <x:f>IF(D142="","",IF(COUNTIFS('Видео'!$A$7:$A$1508,D142)=1,INDEX('Видео'!$M$7:$M$1508,MATCH(D142,'Видео'!$A$7:$A$1508,0)),"ID не найден"))</x:f>
        <x:v>Завершённый короткий просмотр около 4 мин. Просмотры в списке выше медианы выборки этого цикла в 1.97 раза. Разговор о музыке и детстве создаёт вход через культурную близость и биографию.</x:v>
      </x:c>
      <x:c r="P142" s="11" t="str">
        <x:f>IF(D142="","",IF(COUNTIFS('Видео'!$A$7:$A$1508,D142)=1,INDEX('Видео'!$U$7:$U$1508,MATCH(D142,'Видео'!$A$7:$A$1508,0)),"ID не найден"))</x:f>
        <x:v>https://www.youtube.com/watch?v=2DFD-BiqyWw</x:v>
      </x:c>
      <x:c r="Q142" s="17" t="str">
        <x:v>Предложено</x:v>
      </x:c>
      <x:c r="R142" s="17" t="str"/>
      <x:c r="S142" s="10" t="str"/>
      <x:c r="T142" s="10" t="str">
        <x:v>Резерв меняет выбор видео; снова проверить повод, аудиторию и все редакторские условия</x:v>
      </x:c>
      <x:c r="U142" s="9" t="str">
        <x:f>IF(D142="","Выбрать видео",IF(COUNTIFS($D$7:$D$371,D142)&gt;1,"Повтор","Без повтора"))</x:f>
        <x:v>Без повтора</x:v>
      </x:c>
    </x:row>
    <x:row r="143" ht="60" customHeight="1">
      <x:c r="A143" s="16" t="n">
        <x:v>46445</x:v>
      </x:c>
      <x:c r="B143" s="9" t="str">
        <x:v>Сб</x:v>
      </x:c>
      <x:c r="C143" s="10" t="str">
        <x:v>Общество</x:v>
      </x:c>
      <x:c r="D143" s="19" t="str">
        <x:v>jXelGhzKeRc</x:v>
      </x:c>
      <x:c r="E143" s="10" t="str">
        <x:f>IF(D143="","",IF(COUNTIFS('Видео'!$A$7:$A$1508,D143)=1,INDEX('Видео'!$B$7:$B$1508,MATCH(D143,'Видео'!$A$7:$A$1508,0)),"ID не найден"))</x:f>
        <x:v>סליחה על השאלה עונה 2 | אוטיסטים</x:v>
      </x:c>
      <x:c r="F143" s="9" t="str">
        <x:f>IF(D143="","",IF(COUNTIFS('Видео'!$A$7:$A$1508,D143)=1,INDEX('Видео'!$R$7:$R$1508,MATCH(D143,'Видео'!$A$7:$A$1508,0)),"ID не найден"))</x:f>
        <x:v>C020</x:v>
      </x:c>
      <x:c r="G143" s="9" t="str">
        <x:f>IF(D143="","",IF(COUNTIFS('Видео'!$A$7:$A$1508,D143)=1,INDEX('Видео'!$D$7:$D$1508,MATCH(D143,'Видео'!$A$7:$A$1508,0)),"ID не найден"))</x:f>
        <x:v>Общество</x:v>
      </x:c>
      <x:c r="H143" s="10" t="str">
        <x:f>IF(D143="","",IF(COUNTIFS('Видео'!$A$7:$A$1508,D143)=1,INDEX('Видео'!$F$7:$F$1508,MATCH(D143,'Видео'!$A$7:$A$1508,0)),"ID не найден"))</x:f>
        <x:v>B1–B2 (гипотеза)</x:v>
      </x:c>
      <x:c r="I143" s="18" t="n">
        <x:f>IF(D143="","",IF(COUNTIFS('Видео'!$A$7:$A$1508,D143)=1,INDEX('Видео'!$G$7:$G$1508,MATCH(D143,'Видео'!$A$7:$A$1508,0)),"ID не найден"))</x:f>
        <x:v>26.3</x:v>
      </x:c>
      <x:c r="J143" s="18" t="n">
        <x:v>10</x:v>
      </x:c>
      <x:c r="K143" s="10" t="str">
        <x:f>IF(D143="","",IF(COUNTIFS('Видео'!$A$7:$A$1508,D143)=1,INDEX('Видео'!$AI$7:$AI$1508,MATCH(D143,'Видео'!$A$7:$A$1508,0)),"ID не найден"))</x:f>
        <x:v>Нужна редактура</x:v>
      </x:c>
      <x:c r="L143" s="19" t="str">
        <x:v>PsT2ANBnW40</x:v>
      </x:c>
      <x:c r="M143" s="10" t="str">
        <x:f>IF(L143="","",IF(COUNTIFS('Видео'!$A$7:$A$1508,L143)=1,INDEX('Видео'!$B$7:$B$1508,MATCH(L143,'Видео'!$A$7:$A$1508,0)),"ID не найден"))</x:f>
        <x:v>״הרב שלא גייר אותי פספס אחלה יהודייה״ | כאן מקשיבים: היו לי חיים כפולים</x:v>
      </x:c>
      <x:c r="N143" s="10" t="str"/>
      <x:c r="O143" s="10" t="str">
        <x:f>IF(D143="","",IF(COUNTIFS('Видео'!$A$7:$A$1508,D143)=1,INDEX('Видео'!$M$7:$M$1508,MATCH(D143,'Видео'!$A$7:$A$1508,0)),"ID не найден"))</x:f>
        <x:v>Тема: סליחה על השאלה עונה 2 | אוטיסטים. Просмотры в списке выше медианы выборки этого цикла в 1.71 раза. Одинаковый вопрос разным людям позволяет сравнить ответы и акценты. Формат вводит социальные группы через их собственную речь.</x:v>
      </x:c>
      <x:c r="P143" s="11" t="str">
        <x:f>IF(D143="","",IF(COUNTIFS('Видео'!$A$7:$A$1508,D143)=1,INDEX('Видео'!$U$7:$U$1508,MATCH(D143,'Видео'!$A$7:$A$1508,0)),"ID не найден"))</x:f>
        <x:v>https://www.youtube.com/watch?v=jXelGhzKeRc</x:v>
      </x:c>
      <x:c r="Q143" s="17" t="str">
        <x:v>Предложено</x:v>
      </x:c>
      <x:c r="R143" s="17" t="str"/>
      <x:c r="S143" s="10" t="str"/>
      <x:c r="T143" s="10" t="str">
        <x:v>Резерв меняет выбор видео; снова проверить повод, аудиторию и все редакторские условия</x:v>
      </x:c>
      <x:c r="U143" s="9" t="str">
        <x:f>IF(D143="","Выбрать видео",IF(COUNTIFS($D$7:$D$371,D143)&gt;1,"Повтор","Без повтора"))</x:f>
        <x:v>Без повтора</x:v>
      </x:c>
    </x:row>
    <x:row r="144" ht="60" customHeight="1">
      <x:c r="A144" s="16" t="n">
        <x:v>46446</x:v>
      </x:c>
      <x:c r="B144" s="9" t="str">
        <x:v>Вс</x:v>
      </x:c>
      <x:c r="C144" s="10" t="str">
        <x:v>Сериал</x:v>
      </x:c>
      <x:c r="D144" s="19" t="str">
        <x:v>H19Wp_kO6XQ</x:v>
      </x:c>
      <x:c r="E144" s="10" t="str">
        <x:f>IF(D144="","",IF(COUNTIFS('Видео'!$A$7:$A$1508,D144)=1,INDEX('Видео'!$B$7:$B$1508,MATCH(D144,'Видео'!$A$7:$A$1508,0)),"ID не найден"))</x:f>
        <x:v>קופה ראשית עונה 3🛒 | חנוכה - פרק 19</x:v>
      </x:c>
      <x:c r="F144" s="9" t="str">
        <x:f>IF(D144="","",IF(COUNTIFS('Видео'!$A$7:$A$1508,D144)=1,INDEX('Видео'!$R$7:$R$1508,MATCH(D144,'Видео'!$A$7:$A$1508,0)),"ID не найден"))</x:f>
        <x:v>C003</x:v>
      </x:c>
      <x:c r="G144" s="9" t="str">
        <x:f>IF(D144="","",IF(COUNTIFS('Видео'!$A$7:$A$1508,D144)=1,INDEX('Видео'!$D$7:$D$1508,MATCH(D144,'Видео'!$A$7:$A$1508,0)),"ID не найден"))</x:f>
        <x:v>Сериал</x:v>
      </x:c>
      <x:c r="H144" s="10" t="str">
        <x:f>IF(D144="","",IF(COUNTIFS('Видео'!$A$7:$A$1508,D144)=1,INDEX('Видео'!$F$7:$F$1508,MATCH(D144,'Видео'!$A$7:$A$1508,0)),"ID не найден"))</x:f>
        <x:v>B1–B2 (гипотеза)</x:v>
      </x:c>
      <x:c r="I144" s="18" t="n">
        <x:f>IF(D144="","",IF(COUNTIFS('Видео'!$A$7:$A$1508,D144)=1,INDEX('Видео'!$G$7:$G$1508,MATCH(D144,'Видео'!$A$7:$A$1508,0)),"ID не найден"))</x:f>
        <x:v>25.8</x:v>
      </x:c>
      <x:c r="J144" s="18" t="n">
        <x:v>10</x:v>
      </x:c>
      <x:c r="K144" s="10" t="str">
        <x:f>IF(D144="","",IF(COUNTIFS('Видео'!$A$7:$A$1508,D144)=1,INDEX('Видео'!$AI$7:$AI$1508,MATCH(D144,'Видео'!$A$7:$A$1508,0)),"ID не найден"))</x:f>
        <x:v>Нужна редактура</x:v>
      </x:c>
      <x:c r="L144" s="19" t="str">
        <x:v>w0Ce2QpVeC8</x:v>
      </x:c>
      <x:c r="M144" s="10" t="str">
        <x:f>IF(L144="","",IF(COUNTIFS('Видео'!$A$7:$A$1508,L144)=1,INDEX('Видео'!$B$7:$B$1508,MATCH(L144,'Видео'!$A$7:$A$1508,0)),"ID не найден"))</x:f>
        <x:v>אין דבר כזה טעם של קפה #אוכל</x:v>
      </x:c>
      <x:c r="N144" s="10" t="str"/>
      <x:c r="O144" s="10" t="str">
        <x:f>IF(D144="","",IF(COUNTIFS('Видео'!$A$7:$A$1508,D144)=1,INDEX('Видео'!$M$7:$M$1508,MATCH(D144,'Видео'!$A$7:$A$1508,0)),"ID не найден"))</x:f>
        <x:v>Эпизод 19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44" s="11" t="str">
        <x:f>IF(D144="","",IF(COUNTIFS('Видео'!$A$7:$A$1508,D144)=1,INDEX('Видео'!$U$7:$U$1508,MATCH(D144,'Видео'!$A$7:$A$1508,0)),"ID не найден"))</x:f>
        <x:v>https://www.youtube.com/watch?v=H19Wp_kO6XQ</x:v>
      </x:c>
      <x:c r="Q144" s="17" t="str">
        <x:v>Предложено</x:v>
      </x:c>
      <x:c r="R144" s="17" t="str"/>
      <x:c r="S144" s="10" t="str"/>
      <x:c r="T144" s="10" t="str">
        <x:v>При недоступной серии приостановить сюжетную ветку; резерв — самостоятельное видео</x:v>
      </x:c>
      <x:c r="U144" s="9" t="str">
        <x:f>IF(D144="","Выбрать видео",IF(COUNTIFS($D$7:$D$371,D144)&gt;1,"Повтор","Без повтора"))</x:f>
        <x:v>Без повтора</x:v>
      </x:c>
    </x:row>
    <x:row r="145" ht="60" customHeight="1">
      <x:c r="A145" s="16" t="n">
        <x:v>46447</x:v>
      </x:c>
      <x:c r="B145" s="9" t="str">
        <x:v>Пн</x:v>
      </x:c>
      <x:c r="C145" s="10" t="str">
        <x:v>Интервью</x:v>
      </x:c>
      <x:c r="D145" s="19" t="str">
        <x:v>bODxotAYIAw</x:v>
      </x:c>
      <x:c r="E145" s="10" t="str">
        <x:f>IF(D145="","",IF(COUNTIFS('Видео'!$A$7:$A$1508,D145)=1,INDEX('Видео'!$B$7:$B$1508,MATCH(D145,'Видео'!$A$7:$A$1508,0)),"ID не найден"))</x:f>
        <x:v>האמת על האחים המוסלמים, פרק 5: כיצד האחים המוסלמים משתלטים על אירופה – ד״ר דינה לסננסקי</x:v>
      </x:c>
      <x:c r="F145" s="9" t="str">
        <x:f>IF(D145="","",IF(COUNTIFS('Видео'!$A$7:$A$1508,D145)=1,INDEX('Видео'!$R$7:$R$1508,MATCH(D145,'Видео'!$A$7:$A$1508,0)),"ID не найден"))</x:f>
        <x:v>C088</x:v>
      </x:c>
      <x:c r="G145" s="9" t="str">
        <x:f>IF(D145="","",IF(COUNTIFS('Видео'!$A$7:$A$1508,D145)=1,INDEX('Видео'!$D$7:$D$1508,MATCH(D145,'Видео'!$A$7:$A$1508,0)),"ID не найден"))</x:f>
        <x:v>Интервью</x:v>
      </x:c>
      <x:c r="H145" s="10" t="str">
        <x:f>IF(D145="","",IF(COUNTIFS('Видео'!$A$7:$A$1508,D145)=1,INDEX('Видео'!$F$7:$F$1508,MATCH(D145,'Видео'!$A$7:$A$1508,0)),"ID не найден"))</x:f>
        <x:v>B2–C1 (гипотеза)</x:v>
      </x:c>
      <x:c r="I145" s="18" t="n">
        <x:f>IF(D145="","",IF(COUNTIFS('Видео'!$A$7:$A$1508,D145)=1,INDEX('Видео'!$G$7:$G$1508,MATCH(D145,'Видео'!$A$7:$A$1508,0)),"ID не найден"))</x:f>
        <x:v>70.9</x:v>
      </x:c>
      <x:c r="J145" s="18" t="n">
        <x:v>10</x:v>
      </x:c>
      <x:c r="K145" s="10" t="str">
        <x:f>IF(D145="","",IF(COUNTIFS('Видео'!$A$7:$A$1508,D145)=1,INDEX('Видео'!$AI$7:$AI$1508,MATCH(D145,'Видео'!$A$7:$A$1508,0)),"ID не найден"))</x:f>
        <x:v>Нужна редактура</x:v>
      </x:c>
      <x:c r="L145" s="19" t="str">
        <x:v>J3k5XbzCobI</x:v>
      </x:c>
      <x:c r="M145" s="10" t="str">
        <x:f>IF(L145="","",IF(COUNTIFS('Видео'!$A$7:$A$1508,L145)=1,INDEX('Видео'!$B$7:$B$1508,MATCH(L145,'Видео'!$A$7:$A$1508,0)),"ID не найден"))</x:f>
        <x:v>האם ליברמן מכין כיפה אדומה לאיזנקוט? נגד הרוח 11 עם ניסים סופר וחיים רמון</x:v>
      </x:c>
      <x:c r="N145" s="10" t="str"/>
      <x:c r="O145" s="10" t="str">
        <x:f>IF(D145="","",IF(COUNTIFS('Видео'!$A$7:$A$1508,D145)=1,INDEX('Видео'!$M$7:$M$1508,MATCH(D145,'Видео'!$A$7:$A$1508,0)),"ID не найден"))</x:f>
        <x:v>Тема / гость: האמת על האחים המוסלמים, פרק 5: כיצד האחים המוסלמים משתלטים על אירופה – ד״ר דינה לסננסקי. Просмотры в списке выше медианы выборки этого цикла в 3.12 раза. Дополнительная перспектива в общественной дискуссии. Включать по конкретной теме и гостю, а не по одной популярности.</x:v>
      </x:c>
      <x:c r="P145" s="11" t="str">
        <x:f>IF(D145="","",IF(COUNTIFS('Видео'!$A$7:$A$1508,D145)=1,INDEX('Видео'!$U$7:$U$1508,MATCH(D145,'Видео'!$A$7:$A$1508,0)),"ID не найден"))</x:f>
        <x:v>https://www.youtube.com/watch?v=bODxotAYIAw</x:v>
      </x:c>
      <x:c r="Q145" s="17" t="str">
        <x:v>Предложено</x:v>
      </x:c>
      <x:c r="R145" s="17" t="str"/>
      <x:c r="S145" s="10" t="str"/>
      <x:c r="T145" s="10" t="str">
        <x:v>Резерв меняет выбор видео; снова проверить повод, аудиторию и все редакторские условия</x:v>
      </x:c>
      <x:c r="U145" s="9" t="str">
        <x:f>IF(D145="","Выбрать видео",IF(COUNTIFS($D$7:$D$371,D145)&gt;1,"Повтор","Без повтора"))</x:f>
        <x:v>Без повтора</x:v>
      </x:c>
    </x:row>
    <x:row r="146" ht="60" customHeight="1">
      <x:c r="A146" s="16" t="n">
        <x:v>46448</x:v>
      </x:c>
      <x:c r="B146" s="9" t="str">
        <x:v>Вт</x:v>
      </x:c>
      <x:c r="C146" s="10" t="str">
        <x:v>Образование</x:v>
      </x:c>
      <x:c r="D146" s="19" t="str">
        <x:v>y_2Ysy_oQR0</x:v>
      </x:c>
      <x:c r="E146" s="10" t="str">
        <x:f>IF(D146="","",IF(COUNTIFS('Видео'!$A$7:$A$1508,D146)=1,INDEX('Видео'!$B$7:$B$1508,MATCH(D146,'Видео'!$A$7:$A$1508,0)),"ID не найден"))</x:f>
        <x:v>המרדף עונה 9 | פרק 1</x:v>
      </x:c>
      <x:c r="F146" s="9" t="str">
        <x:f>IF(D146="","",IF(COUNTIFS('Видео'!$A$7:$A$1508,D146)=1,INDEX('Видео'!$R$7:$R$1508,MATCH(D146,'Видео'!$A$7:$A$1508,0)),"ID не найден"))</x:f>
        <x:v>C037</x:v>
      </x:c>
      <x:c r="G146" s="9" t="str">
        <x:f>IF(D146="","",IF(COUNTIFS('Видео'!$A$7:$A$1508,D146)=1,INDEX('Видео'!$D$7:$D$1508,MATCH(D146,'Видео'!$A$7:$A$1508,0)),"ID не найден"))</x:f>
        <x:v>Образование</x:v>
      </x:c>
      <x:c r="H146" s="10" t="str">
        <x:f>IF(D146="","",IF(COUNTIFS('Видео'!$A$7:$A$1508,D146)=1,INDEX('Видео'!$F$7:$F$1508,MATCH(D146,'Видео'!$A$7:$A$1508,0)),"ID не найден"))</x:f>
        <x:v>B1–B2 (гипотеза)</x:v>
      </x:c>
      <x:c r="I146" s="18" t="n">
        <x:f>IF(D146="","",IF(COUNTIFS('Видео'!$A$7:$A$1508,D146)=1,INDEX('Видео'!$G$7:$G$1508,MATCH(D146,'Видео'!$A$7:$A$1508,0)),"ID не найден"))</x:f>
        <x:v>54.6</x:v>
      </x:c>
      <x:c r="J146" s="18" t="n">
        <x:v>10</x:v>
      </x:c>
      <x:c r="K146" s="10" t="str">
        <x:f>IF(D146="","",IF(COUNTIFS('Видео'!$A$7:$A$1508,D146)=1,INDEX('Видео'!$AI$7:$AI$1508,MATCH(D146,'Видео'!$A$7:$A$1508,0)),"ID не найден"))</x:f>
        <x:v>Нужна редактура</x:v>
      </x:c>
      <x:c r="L146" s="19" t="str">
        <x:v>1c2r14tIUkc</x:v>
      </x:c>
      <x:c r="M146" s="10" t="str">
        <x:f>IF(L146="","",IF(COUNTIFS('Видео'!$A$7:$A$1508,L146)=1,INDEX('Видео'!$B$7:$B$1508,MATCH(L146,'Видео'!$A$7:$A$1508,0)),"ID не найден"))</x:f>
        <x:v>פרפר נחמד 🦋 | פרק 25 - פסח בא</x:v>
      </x:c>
      <x:c r="N146" s="10" t="str"/>
      <x:c r="O146" s="10" t="str">
        <x:f>IF(D146="","",IF(COUNTIFS('Видео'!$A$7:$A$1508,D146)=1,INDEX('Видео'!$M$7:$M$1508,MATCH(D146,'Видео'!$A$7:$A$1508,0)),"ID не найден"))</x:f>
        <x:v>Тема: המרדף עונה 9 | פרק 1. Просмотры в списке выше медианы выборки этого цикла в 2.56 раза. Викторина предлагает естественный формат проверки понимания и обсуждения ответа.</x:v>
      </x:c>
      <x:c r="P146" s="11" t="str">
        <x:f>IF(D146="","",IF(COUNTIFS('Видео'!$A$7:$A$1508,D146)=1,INDEX('Видео'!$U$7:$U$1508,MATCH(D146,'Видео'!$A$7:$A$1508,0)),"ID не найден"))</x:f>
        <x:v>https://www.youtube.com/watch?v=y_2Ysy_oQR0</x:v>
      </x:c>
      <x:c r="Q146" s="17" t="str">
        <x:v>Предложено</x:v>
      </x:c>
      <x:c r="R146" s="17" t="str"/>
      <x:c r="S146" s="10" t="str"/>
      <x:c r="T146" s="10" t="str">
        <x:v>Резерв меняет выбор видео; снова проверить повод, аудиторию и все редакторские условия</x:v>
      </x:c>
      <x:c r="U146" s="9" t="str">
        <x:f>IF(D146="","Выбрать видео",IF(COUNTIFS($D$7:$D$371,D146)&gt;1,"Повтор","Без повтора"))</x:f>
        <x:v>Без повтора</x:v>
      </x:c>
    </x:row>
    <x:row r="147" ht="60" customHeight="1">
      <x:c r="A147" s="16" t="n">
        <x:v>46449</x:v>
      </x:c>
      <x:c r="B147" s="9" t="str">
        <x:v>Ср</x:v>
      </x:c>
      <x:c r="C147" s="10" t="str">
        <x:v>Быт</x:v>
      </x:c>
      <x:c r="D147" s="19" t="str">
        <x:v>R-7r20eAAOI</x:v>
      </x:c>
      <x:c r="E147" s="10" t="str">
        <x:f>IF(D147="","",IF(COUNTIFS('Видео'!$A$7:$A$1508,D147)=1,INDEX('Видео'!$B$7:$B$1508,MATCH(D147,'Видео'!$A$7:$A$1508,0)),"ID не найден"))</x:f>
        <x:v>בואו לאכול איתי עונה 8 | מישור החוף - חלק א' (פרק 21)</x:v>
      </x:c>
      <x:c r="F147" s="9" t="str">
        <x:f>IF(D147="","",IF(COUNTIFS('Видео'!$A$7:$A$1508,D147)=1,INDEX('Видео'!$R$7:$R$1508,MATCH(D147,'Видео'!$A$7:$A$1508,0)),"ID не найден"))</x:f>
        <x:v>C023</x:v>
      </x:c>
      <x:c r="G147" s="9" t="str">
        <x:f>IF(D147="","",IF(COUNTIFS('Видео'!$A$7:$A$1508,D147)=1,INDEX('Видео'!$D$7:$D$1508,MATCH(D147,'Видео'!$A$7:$A$1508,0)),"ID не найден"))</x:f>
        <x:v>Быт</x:v>
      </x:c>
      <x:c r="H147" s="10" t="str">
        <x:f>IF(D147="","",IF(COUNTIFS('Видео'!$A$7:$A$1508,D147)=1,INDEX('Видео'!$F$7:$F$1508,MATCH(D147,'Видео'!$A$7:$A$1508,0)),"ID не найден"))</x:f>
        <x:v>B1–B2 (гипотеза)</x:v>
      </x:c>
      <x:c r="I147" s="18" t="n">
        <x:f>IF(D147="","",IF(COUNTIFS('Видео'!$A$7:$A$1508,D147)=1,INDEX('Видео'!$G$7:$G$1508,MATCH(D147,'Видео'!$A$7:$A$1508,0)),"ID не найден"))</x:f>
        <x:v>28.7</x:v>
      </x:c>
      <x:c r="J147" s="18" t="n">
        <x:v>10</x:v>
      </x:c>
      <x:c r="K147" s="10" t="str">
        <x:f>IF(D147="","",IF(COUNTIFS('Видео'!$A$7:$A$1508,D147)=1,INDEX('Видео'!$AI$7:$AI$1508,MATCH(D147,'Видео'!$A$7:$A$1508,0)),"ID не найден"))</x:f>
        <x:v>Нужна редактура</x:v>
      </x:c>
      <x:c r="L147" s="19" t="str">
        <x:v>_yEgzK9sjY0</x:v>
      </x:c>
      <x:c r="M147" s="10" t="str">
        <x:f>IF(L147="","",IF(COUNTIFS('Видео'!$A$7:$A$1508,L147)=1,INDEX('Видео'!$B$7:$B$1508,MATCH(L147,'Видео'!$A$7:$A$1508,0)),"ID не найден"))</x:f>
        <x:v>הפקח שלא מפחד מהיעד מספר 1 ומחכה לאיחולים שהם לא סרטן</x:v>
      </x:c>
      <x:c r="N147" s="10" t="str"/>
      <x:c r="O147" s="10" t="str">
        <x:f>IF(D147="","",IF(COUNTIFS('Видео'!$A$7:$A$1508,D147)=1,INDEX('Видео'!$M$7:$M$1508,MATCH(D147,'Видео'!$A$7:$A$1508,0)),"ID не найден"))</x:f>
        <x:v>Тема: בואו לאכול איתי עונה 8 | מישור החוף - חלק א' (פרק 21). Еда снижает порог входа для широкой аудитории. В одном выпуске встречаются приглашения, оценки, знакомство и бытовые споры.</x:v>
      </x:c>
      <x:c r="P147" s="11" t="str">
        <x:f>IF(D147="","",IF(COUNTIFS('Видео'!$A$7:$A$1508,D147)=1,INDEX('Видео'!$U$7:$U$1508,MATCH(D147,'Видео'!$A$7:$A$1508,0)),"ID не найден"))</x:f>
        <x:v>https://www.youtube.com/watch?v=R-7r20eAAOI</x:v>
      </x:c>
      <x:c r="Q147" s="17" t="str">
        <x:v>Предложено</x:v>
      </x:c>
      <x:c r="R147" s="17" t="str"/>
      <x:c r="S147" s="10" t="str"/>
      <x:c r="T147" s="10" t="str">
        <x:v>Резерв меняет выбор видео; снова проверить повод, аудиторию и все редакторские условия</x:v>
      </x:c>
      <x:c r="U147" s="9" t="str">
        <x:f>IF(D147="","Выбрать видео",IF(COUNTIFS($D$7:$D$371,D147)&gt;1,"Повтор","Без повтора"))</x:f>
        <x:v>Без повтора</x:v>
      </x:c>
    </x:row>
    <x:row r="148" ht="60" customHeight="1">
      <x:c r="A148" s="16" t="n">
        <x:v>46450</x:v>
      </x:c>
      <x:c r="B148" s="9" t="str">
        <x:v>Чт</x:v>
      </x:c>
      <x:c r="C148" s="10" t="str">
        <x:v>Сериал</x:v>
      </x:c>
      <x:c r="D148" s="19" t="str">
        <x:v>XMjGib1xwrg</x:v>
      </x:c>
      <x:c r="E148" s="10" t="str">
        <x:f>IF(D148="","",IF(COUNTIFS('Видео'!$A$7:$A$1508,D148)=1,INDEX('Видео'!$B$7:$B$1508,MATCH(D148,'Видео'!$A$7:$A$1508,0)),"ID не найден"))</x:f>
        <x:v>המפקדת 📋 | פרק 10 ואחרון לעונה  - איחלתי לחיילת בהצלחה 🔥</x:v>
      </x:c>
      <x:c r="F148" s="9" t="str">
        <x:f>IF(D148="","",IF(COUNTIFS('Видео'!$A$7:$A$1508,D148)=1,INDEX('Видео'!$R$7:$R$1508,MATCH(D148,'Видео'!$A$7:$A$1508,0)),"ID не найден"))</x:f>
        <x:v>C005</x:v>
      </x:c>
      <x:c r="G148" s="9" t="str">
        <x:f>IF(D148="","",IF(COUNTIFS('Видео'!$A$7:$A$1508,D148)=1,INDEX('Видео'!$D$7:$D$1508,MATCH(D148,'Видео'!$A$7:$A$1508,0)),"ID не найден"))</x:f>
        <x:v>Сериал</x:v>
      </x:c>
      <x:c r="H148" s="10" t="str">
        <x:f>IF(D148="","",IF(COUNTIFS('Видео'!$A$7:$A$1508,D148)=1,INDEX('Видео'!$F$7:$F$1508,MATCH(D148,'Видео'!$A$7:$A$1508,0)),"ID не найден"))</x:f>
        <x:v>B2–C1 (гипотеза)</x:v>
      </x:c>
      <x:c r="I148" s="18" t="n">
        <x:f>IF(D148="","",IF(COUNTIFS('Видео'!$A$7:$A$1508,D148)=1,INDEX('Видео'!$G$7:$G$1508,MATCH(D148,'Видео'!$A$7:$A$1508,0)),"ID не найден"))</x:f>
        <x:v>39.3</x:v>
      </x:c>
      <x:c r="J148" s="18" t="n">
        <x:v>10</x:v>
      </x:c>
      <x:c r="K148" s="10" t="str">
        <x:f>IF(D148="","",IF(COUNTIFS('Видео'!$A$7:$A$1508,D148)=1,INDEX('Видео'!$AI$7:$AI$1508,MATCH(D148,'Видео'!$A$7:$A$1508,0)),"ID не найден"))</x:f>
        <x:v>Нужна редактура</x:v>
      </x:c>
      <x:c r="L148" s="19" t="str">
        <x:v>m5EyTGAklTw</x:v>
      </x:c>
      <x:c r="M148" s="10" t="str">
        <x:f>IF(L148="","",IF(COUNTIFS('Видео'!$A$7:$A$1508,L148)=1,INDEX('Видео'!$B$7:$B$1508,MATCH(L148,'Видео'!$A$7:$A$1508,0)),"ID не найден"))</x:f>
        <x:v>למה בתרבויות שונות נשים מכסות את הראש? | כאן סקרנים</x:v>
      </x:c>
      <x:c r="N148" s="10" t="str"/>
      <x:c r="O148" s="10" t="str">
        <x:f>IF(D148="","",IF(COUNTIFS('Видео'!$A$7:$A$1508,D148)=1,INDEX('Видео'!$M$7:$M$1508,MATCH(D148,'Видео'!$A$7:$A$1508,0)),"ID не найден"))</x:f>
        <x:v>Эпизод 10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P148" s="11" t="str">
        <x:f>IF(D148="","",IF(COUNTIFS('Видео'!$A$7:$A$1508,D148)=1,INDEX('Видео'!$U$7:$U$1508,MATCH(D148,'Видео'!$A$7:$A$1508,0)),"ID не найден"))</x:f>
        <x:v>https://www.youtube.com/watch?v=XMjGib1xwrg</x:v>
      </x:c>
      <x:c r="Q148" s="17" t="str">
        <x:v>Предложено</x:v>
      </x:c>
      <x:c r="R148" s="17" t="str"/>
      <x:c r="S148" s="10" t="str"/>
      <x:c r="T148" s="10" t="str">
        <x:v>При недоступной серии приостановить сюжетную ветку; резерв — самостоятельное видео</x:v>
      </x:c>
      <x:c r="U148" s="9" t="str">
        <x:f>IF(D148="","Выбрать видео",IF(COUNTIFS($D$7:$D$371,D148)&gt;1,"Повтор","Без повтора"))</x:f>
        <x:v>Без повтора</x:v>
      </x:c>
    </x:row>
    <x:row r="149" ht="60" customHeight="1">
      <x:c r="A149" s="16" t="n">
        <x:v>46451</x:v>
      </x:c>
      <x:c r="B149" s="9" t="str">
        <x:v>Пт</x:v>
      </x:c>
      <x:c r="C149" s="10" t="str">
        <x:v>История</x:v>
      </x:c>
      <x:c r="D149" s="19" t="str">
        <x:v>E8FCzGODLPk</x:v>
      </x:c>
      <x:c r="E149" s="10" t="str">
        <x:f>IF(D149="","",IF(COUNTIFS('Видео'!$A$7:$A$1508,D149)=1,INDEX('Видео'!$B$7:$B$1508,MATCH(D149,'Видео'!$A$7:$A$1508,0)),"ID не найден"))</x:f>
        <x:v>המסות של ח"נ ביאליק | שיעור 1 - הלכה ואגדה א | ד"ר רני יגר</x:v>
      </x:c>
      <x:c r="F149" s="9" t="str">
        <x:f>IF(D149="","",IF(COUNTIFS('Видео'!$A$7:$A$1508,D149)=1,INDEX('Видео'!$R$7:$R$1508,MATCH(D149,'Видео'!$A$7:$A$1508,0)),"ID не найден"))</x:f>
        <x:v>C072</x:v>
      </x:c>
      <x:c r="G149" s="9" t="str">
        <x:f>IF(D149="","",IF(COUNTIFS('Видео'!$A$7:$A$1508,D149)=1,INDEX('Видео'!$D$7:$D$1508,MATCH(D149,'Видео'!$A$7:$A$1508,0)),"ID не найден"))</x:f>
        <x:v>История</x:v>
      </x:c>
      <x:c r="H149" s="10" t="str">
        <x:f>IF(D149="","",IF(COUNTIFS('Видео'!$A$7:$A$1508,D149)=1,INDEX('Видео'!$F$7:$F$1508,MATCH(D149,'Видео'!$A$7:$A$1508,0)),"ID не найден"))</x:f>
        <x:v>B2–C1 (гипотеза)</x:v>
      </x:c>
      <x:c r="I149" s="18" t="n">
        <x:f>IF(D149="","",IF(COUNTIFS('Видео'!$A$7:$A$1508,D149)=1,INDEX('Видео'!$G$7:$G$1508,MATCH(D149,'Видео'!$A$7:$A$1508,0)),"ID не найден"))</x:f>
        <x:v>43</x:v>
      </x:c>
      <x:c r="J149" s="18" t="n">
        <x:v>10</x:v>
      </x:c>
      <x:c r="K149" s="10" t="str">
        <x:f>IF(D149="","",IF(COUNTIFS('Видео'!$A$7:$A$1508,D149)=1,INDEX('Видео'!$AI$7:$AI$1508,MATCH(D149,'Видео'!$A$7:$A$1508,0)),"ID не найден"))</x:f>
        <x:v>Нужна редактура</x:v>
      </x:c>
      <x:c r="L149" s="19" t="str">
        <x:v>0uCk1LM3WzU</x:v>
      </x:c>
      <x:c r="M149" s="10" t="str">
        <x:f>IF(L149="","",IF(COUNTIFS('Видео'!$A$7:$A$1508,L149)=1,INDEX('Видео'!$B$7:$B$1508,MATCH(L149,'Видео'!$A$7:$A$1508,0)),"ID не найден"))</x:f>
        <x:v>עושים לביתנו 💸 | יום חמישי השחור - פרק 1</x:v>
      </x:c>
      <x:c r="N149" s="10" t="str"/>
      <x:c r="O149" s="10" t="str">
        <x:f>IF(D149="","",IF(COUNTIFS('Видео'!$A$7:$A$1508,D149)=1,INDEX('Видео'!$M$7:$M$1508,MATCH(D149,'Видео'!$A$7:$A$1508,0)),"ID не найден"))</x:f>
        <x:v>Тема: המסות של ח"נ ביאליק | שיעור 1 - הלכה ואגדה א | ד"ר רני יגר. Просмотры в списке выше медианы выборки этого цикла в 2.53 раза. Бялик даёт устойчивую культурную тему для аудитории книг и истории иврита.</x:v>
      </x:c>
      <x:c r="P149" s="11" t="str">
        <x:f>IF(D149="","",IF(COUNTIFS('Видео'!$A$7:$A$1508,D149)=1,INDEX('Видео'!$U$7:$U$1508,MATCH(D149,'Видео'!$A$7:$A$1508,0)),"ID не найден"))</x:f>
        <x:v>https://www.youtube.com/watch?v=E8FCzGODLPk</x:v>
      </x:c>
      <x:c r="Q149" s="17" t="str">
        <x:v>Предложено</x:v>
      </x:c>
      <x:c r="R149" s="17" t="str"/>
      <x:c r="S149" s="10" t="str"/>
      <x:c r="T149" s="10" t="str">
        <x:v>Резерв меняет выбор видео; снова проверить повод, аудиторию и все редакторские условия</x:v>
      </x:c>
      <x:c r="U149" s="9" t="str">
        <x:f>IF(D149="","Выбрать видео",IF(COUNTIFS($D$7:$D$371,D149)&gt;1,"Повтор","Без повтора"))</x:f>
        <x:v>Без повтора</x:v>
      </x:c>
    </x:row>
    <x:row r="150" ht="60" customHeight="1">
      <x:c r="A150" s="16" t="n">
        <x:v>46452</x:v>
      </x:c>
      <x:c r="B150" s="9" t="str">
        <x:v>Сб</x:v>
      </x:c>
      <x:c r="C150" s="10" t="str">
        <x:v>Память</x:v>
      </x:c>
      <x:c r="D150" s="19" t="str">
        <x:v>0r05gCwvTVw</x:v>
      </x:c>
      <x:c r="E150" s="10" t="str">
        <x:f>IF(D150="","",IF(COUNTIFS('Видео'!$A$7:$A$1508,D150)=1,INDEX('Видео'!$B$7:$B$1508,MATCH(D150,'Видео'!$A$7:$A$1508,0)),"ID не найден"))</x:f>
        <x:v>חוץ. יום. שבת - סרטי דוקו של יוצרים צעירים מהעוטף על ה-7.10 | ישראל אהובתי - סרטה של אנאבל טרגובניק</x:v>
      </x:c>
      <x:c r="F150" s="9" t="str">
        <x:f>IF(D150="","",IF(COUNTIFS('Видео'!$A$7:$A$1508,D150)=1,INDEX('Видео'!$R$7:$R$1508,MATCH(D150,'Видео'!$A$7:$A$1508,0)),"ID не найден"))</x:f>
        <x:v>C042</x:v>
      </x:c>
      <x:c r="G150" s="9" t="str">
        <x:f>IF(D150="","",IF(COUNTIFS('Видео'!$A$7:$A$1508,D150)=1,INDEX('Видео'!$D$7:$D$1508,MATCH(D150,'Видео'!$A$7:$A$1508,0)),"ID не найден"))</x:f>
        <x:v>Память</x:v>
      </x:c>
      <x:c r="H150" s="10" t="str">
        <x:f>IF(D150="","",IF(COUNTIFS('Видео'!$A$7:$A$1508,D150)=1,INDEX('Видео'!$F$7:$F$1508,MATCH(D150,'Видео'!$A$7:$A$1508,0)),"ID не найден"))</x:f>
        <x:v>B2–C1 (гипотеза)</x:v>
      </x:c>
      <x:c r="I150" s="18" t="n">
        <x:f>IF(D150="","",IF(COUNTIFS('Видео'!$A$7:$A$1508,D150)=1,INDEX('Видео'!$G$7:$G$1508,MATCH(D150,'Видео'!$A$7:$A$1508,0)),"ID не найден"))</x:f>
        <x:v>13.5</x:v>
      </x:c>
      <x:c r="J150" s="18" t="n">
        <x:v>10</x:v>
      </x:c>
      <x:c r="K150" s="10" t="str">
        <x:f>IF(D150="","",IF(COUNTIFS('Видео'!$A$7:$A$1508,D150)=1,INDEX('Видео'!$AI$7:$AI$1508,MATCH(D150,'Видео'!$A$7:$A$1508,0)),"ID не найден"))</x:f>
        <x:v>Нужна редактура</x:v>
      </x:c>
      <x:c r="L150" s="19" t="str">
        <x:v>weslgrSzVho</x:v>
      </x:c>
      <x:c r="M150" s="10" t="str">
        <x:f>IF(L150="","",IF(COUNTIFS('Видео'!$A$7:$A$1508,L150)=1,INDEX('Видео'!$B$7:$B$1508,MATCH(L150,'Видео'!$A$7:$A$1508,0)),"ID не найден"))</x:f>
        <x:v>מחנה סיימישטה שבסרביה | גורלן של קהילות יהודיות בשואה</x:v>
      </x:c>
      <x:c r="N150" s="10" t="str">
        <x:v>Ежемесячная добровольная рубрика памяти 7 октября</x:v>
      </x:c>
      <x:c r="O150" s="10" t="str">
        <x:f>IF(D150="","",IF(COUNTIFS('Видео'!$A$7:$A$1508,D150)=1,INDEX('Видео'!$M$7:$M$1508,MATCH(D150,'Видео'!$A$7:$A$1508,0)),"ID не найден"))</x:f>
        <x:v>Тема: חוץ. יום. שבת - סרטי דוקו של יוצרים צעירים מהעוטף על ה-7.10 | ישראל אהובתי - סרטה של אנאבל טרגובניק. Взгляд молодых авторов добавляет личную перспективу к журналистским реконструкциям.</x:v>
      </x:c>
      <x:c r="P150" s="11" t="str">
        <x:f>IF(D150="","",IF(COUNTIFS('Видео'!$A$7:$A$1508,D150)=1,INDEX('Видео'!$U$7:$U$1508,MATCH(D150,'Видео'!$A$7:$A$1508,0)),"ID не найден"))</x:f>
        <x:v>https://www.youtube.com/watch?v=0r05gCwvTVw</x:v>
      </x:c>
      <x:c r="Q150" s="17" t="str">
        <x:v>Предложено</x:v>
      </x:c>
      <x:c r="R150" s="17" t="str"/>
      <x:c r="S150" s="10" t="str">
        <x:v>Редакционная периодичность, не памятная дата</x:v>
      </x:c>
      <x:c r="T150" s="10" t="str">
        <x:v>Резерв меняет выбор видео; снова проверить повод, аудиторию и все редакторские условия</x:v>
      </x:c>
      <x:c r="U150" s="9" t="str">
        <x:f>IF(D150="","Выбрать видео",IF(COUNTIFS($D$7:$D$371,D150)&gt;1,"Повтор","Без повтора"))</x:f>
        <x:v>Без повтора</x:v>
      </x:c>
    </x:row>
    <x:row r="151" ht="60" customHeight="1">
      <x:c r="A151" s="16" t="n">
        <x:v>46453</x:v>
      </x:c>
      <x:c r="B151" s="9" t="str">
        <x:v>Вс</x:v>
      </x:c>
      <x:c r="C151" s="10" t="str">
        <x:v>Сериал</x:v>
      </x:c>
      <x:c r="D151" s="19" t="str">
        <x:v>bKd7dnnuNLo</x:v>
      </x:c>
      <x:c r="E151" s="10" t="str">
        <x:f>IF(D151="","",IF(COUNTIFS('Видео'!$A$7:$A$1508,D151)=1,INDEX('Видео'!$B$7:$B$1508,MATCH(D151,'Видео'!$A$7:$A$1508,0)),"ID не найден"))</x:f>
        <x:v>קופה ראשית עונה 3🛒 | חופה ראשית - פרק 20 (אחרון לעונה)</x:v>
      </x:c>
      <x:c r="F151" s="9" t="str">
        <x:f>IF(D151="","",IF(COUNTIFS('Видео'!$A$7:$A$1508,D151)=1,INDEX('Видео'!$R$7:$R$1508,MATCH(D151,'Видео'!$A$7:$A$1508,0)),"ID не найден"))</x:f>
        <x:v>C003</x:v>
      </x:c>
      <x:c r="G151" s="9" t="str">
        <x:f>IF(D151="","",IF(COUNTIFS('Видео'!$A$7:$A$1508,D151)=1,INDEX('Видео'!$D$7:$D$1508,MATCH(D151,'Видео'!$A$7:$A$1508,0)),"ID не найден"))</x:f>
        <x:v>Сериал</x:v>
      </x:c>
      <x:c r="H151" s="10" t="str">
        <x:f>IF(D151="","",IF(COUNTIFS('Видео'!$A$7:$A$1508,D151)=1,INDEX('Видео'!$F$7:$F$1508,MATCH(D151,'Видео'!$A$7:$A$1508,0)),"ID не найден"))</x:f>
        <x:v>B1–B2 (гипотеза)</x:v>
      </x:c>
      <x:c r="I151" s="18" t="n">
        <x:f>IF(D151="","",IF(COUNTIFS('Видео'!$A$7:$A$1508,D151)=1,INDEX('Видео'!$G$7:$G$1508,MATCH(D151,'Видео'!$A$7:$A$1508,0)),"ID не найден"))</x:f>
        <x:v>29.4</x:v>
      </x:c>
      <x:c r="J151" s="18" t="n">
        <x:v>10</x:v>
      </x:c>
      <x:c r="K151" s="10" t="str">
        <x:f>IF(D151="","",IF(COUNTIFS('Видео'!$A$7:$A$1508,D151)=1,INDEX('Видео'!$AI$7:$AI$1508,MATCH(D151,'Видео'!$A$7:$A$1508,0)),"ID не найден"))</x:f>
        <x:v>Нужна редактура</x:v>
      </x:c>
      <x:c r="L151" s="19" t="str">
        <x:v>QKGl54GwzK4</x:v>
      </x:c>
      <x:c r="M151" s="10" t="str">
        <x:f>IF(L151="","",IF(COUNTIFS('Видео'!$A$7:$A$1508,L151)=1,INDEX('Видео'!$B$7:$B$1508,MATCH(L151,'Видео'!$A$7:$A$1508,0)),"ID не найден"))</x:f>
        <x:v>כאן מסבירים | למה אנשים יפים מאיימים עלינו?</x:v>
      </x:c>
      <x:c r="N151" s="10" t="str"/>
      <x:c r="O151" s="10" t="str">
        <x:f>IF(D151="","",IF(COUNTIFS('Видео'!$A$7:$A$1508,D151)=1,INDEX('Видео'!$M$7:$M$1508,MATCH(D151,'Видео'!$A$7:$A$1508,0)),"ID не найден"))</x:f>
        <x:v>Эпизод 20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51" s="11" t="str">
        <x:f>IF(D151="","",IF(COUNTIFS('Видео'!$A$7:$A$1508,D151)=1,INDEX('Видео'!$U$7:$U$1508,MATCH(D151,'Видео'!$A$7:$A$1508,0)),"ID не найден"))</x:f>
        <x:v>https://www.youtube.com/watch?v=bKd7dnnuNLo</x:v>
      </x:c>
      <x:c r="Q151" s="17" t="str">
        <x:v>Предложено</x:v>
      </x:c>
      <x:c r="R151" s="17" t="str"/>
      <x:c r="S151" s="10" t="str"/>
      <x:c r="T151" s="10" t="str">
        <x:v>При недоступной серии приостановить сюжетную ветку; резерв — самостоятельное видео</x:v>
      </x:c>
      <x:c r="U151" s="9" t="str">
        <x:f>IF(D151="","Выбрать видео",IF(COUNTIFS($D$7:$D$371,D151)&gt;1,"Повтор","Без повтора"))</x:f>
        <x:v>Без повтора</x:v>
      </x:c>
    </x:row>
    <x:row r="152" ht="60" customHeight="1">
      <x:c r="A152" s="16" t="n">
        <x:v>46454</x:v>
      </x:c>
      <x:c r="B152" s="9" t="str">
        <x:v>Пн</x:v>
      </x:c>
      <x:c r="C152" s="10" t="str">
        <x:v>Интервью</x:v>
      </x:c>
      <x:c r="D152" s="19" t="str">
        <x:v>Kd4GMjffP9k</x:v>
      </x:c>
      <x:c r="E152" s="10" t="str">
        <x:f>IF(D152="","",IF(COUNTIFS('Видео'!$A$7:$A$1508,D152)=1,INDEX('Видео'!$B$7:$B$1508,MATCH(D152,'Видео'!$A$7:$A$1508,0)),"ID не найден"))</x:f>
        <x:v>פגישה עם רוני קובן עונה 10 | נועה קולר</x:v>
      </x:c>
      <x:c r="F152" s="9" t="str">
        <x:f>IF(D152="","",IF(COUNTIFS('Видео'!$A$7:$A$1508,D152)=1,INDEX('Видео'!$R$7:$R$1508,MATCH(D152,'Видео'!$A$7:$A$1508,0)),"ID не найден"))</x:f>
        <x:v>C013</x:v>
      </x:c>
      <x:c r="G152" s="9" t="str">
        <x:f>IF(D152="","",IF(COUNTIFS('Видео'!$A$7:$A$1508,D152)=1,INDEX('Видео'!$D$7:$D$1508,MATCH(D152,'Видео'!$A$7:$A$1508,0)),"ID не найден"))</x:f>
        <x:v>Интервью</x:v>
      </x:c>
      <x:c r="H152" s="10" t="str">
        <x:f>IF(D152="","",IF(COUNTIFS('Видео'!$A$7:$A$1508,D152)=1,INDEX('Видео'!$F$7:$F$1508,MATCH(D152,'Видео'!$A$7:$A$1508,0)),"ID не найден"))</x:f>
        <x:v>B2–C1 (гипотеза)</x:v>
      </x:c>
      <x:c r="I152" s="18" t="n">
        <x:f>IF(D152="","",IF(COUNTIFS('Видео'!$A$7:$A$1508,D152)=1,INDEX('Видео'!$G$7:$G$1508,MATCH(D152,'Видео'!$A$7:$A$1508,0)),"ID не найден"))</x:f>
        <x:v>34.4</x:v>
      </x:c>
      <x:c r="J152" s="18" t="n">
        <x:v>10</x:v>
      </x:c>
      <x:c r="K152" s="10" t="str">
        <x:f>IF(D152="","",IF(COUNTIFS('Видео'!$A$7:$A$1508,D152)=1,INDEX('Видео'!$AI$7:$AI$1508,MATCH(D152,'Видео'!$A$7:$A$1508,0)),"ID не найден"))</x:f>
        <x:v>Нужна редактура</x:v>
      </x:c>
      <x:c r="L152" s="19" t="str">
        <x:v>kqZOmtje0fM</x:v>
      </x:c>
      <x:c r="M152" s="10" t="str">
        <x:f>IF(L152="","",IF(COUNTIFS('Видео'!$A$7:$A$1508,L152)=1,INDEX('Видео'!$B$7:$B$1508,MATCH(L152,'Видео'!$A$7:$A$1508,0)),"ID не найден"))</x:f>
        <x:v>פגישה עם רוני קובן עונה 7 | פרק 5 - רן דנקר</x:v>
      </x:c>
      <x:c r="N152" s="10" t="str">
        <x:v>Международный женский день: голос и личный опыт</x:v>
      </x:c>
      <x:c r="O152" s="10" t="str">
        <x:f>IF(D152="","",IF(COUNTIFS('Видео'!$A$7:$A$1508,D152)=1,INDEX('Видео'!$M$7:$M$1508,MATCH(D152,'Видео'!$A$7:$A$1508,0)),"ID не найден"))</x:f>
        <x:v>Тема / гость: נועה קולר. Просмотры в списке выше медианы выборки этого цикла в 2.02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52" s="11" t="str">
        <x:f>IF(D152="","",IF(COUNTIFS('Видео'!$A$7:$A$1508,D152)=1,INDEX('Видео'!$U$7:$U$1508,MATCH(D152,'Видео'!$A$7:$A$1508,0)),"ID не найден"))</x:f>
        <x:v>https://www.youtube.com/watch?v=Kd4GMjffP9k</x:v>
      </x:c>
      <x:c r="Q152" s="17" t="str">
        <x:v>Предложено</x:v>
      </x:c>
      <x:c r="R152" s="17" t="str"/>
      <x:c r="S152" s="10" t="str">
        <x:v>Редакционный гражданский календарь</x:v>
      </x:c>
      <x:c r="T152" s="10" t="str">
        <x:v>Резерв меняет выбор видео; снова проверить повод, аудиторию и все редакторские условия</x:v>
      </x:c>
      <x:c r="U152" s="9" t="str">
        <x:f>IF(D152="","Выбрать видео",IF(COUNTIFS($D$7:$D$371,D152)&gt;1,"Повтор","Без повтора"))</x:f>
        <x:v>Без повтора</x:v>
      </x:c>
    </x:row>
    <x:row r="153" ht="60" customHeight="1">
      <x:c r="A153" s="16" t="n">
        <x:v>46455</x:v>
      </x:c>
      <x:c r="B153" s="9" t="str">
        <x:v>Вт</x:v>
      </x:c>
      <x:c r="C153" s="10" t="str">
        <x:v>Образование</x:v>
      </x:c>
      <x:c r="D153" s="19" t="str">
        <x:v>yor-TywKHDU</x:v>
      </x:c>
      <x:c r="E153" s="10" t="str">
        <x:f>IF(D153="","",IF(COUNTIFS('Видео'!$A$7:$A$1508,D153)=1,INDEX('Видео'!$B$7:$B$1508,MATCH(D153,'Видео'!$A$7:$A$1508,0)),"ID не найден"))</x:f>
        <x:v>האם בני ישראל בנו את הפירמידות במצרים? | כאן סקרנים</x:v>
      </x:c>
      <x:c r="F153" s="9" t="str">
        <x:f>IF(D153="","",IF(COUNTIFS('Видео'!$A$7:$A$1508,D153)=1,INDEX('Видео'!$R$7:$R$1508,MATCH(D153,'Видео'!$A$7:$A$1508,0)),"ID не найден"))</x:f>
        <x:v>C044</x:v>
      </x:c>
      <x:c r="G153" s="9" t="str">
        <x:f>IF(D153="","",IF(COUNTIFS('Видео'!$A$7:$A$1508,D153)=1,INDEX('Видео'!$D$7:$D$1508,MATCH(D153,'Видео'!$A$7:$A$1508,0)),"ID не найден"))</x:f>
        <x:v>Образование</x:v>
      </x:c>
      <x:c r="H153" s="10" t="str">
        <x:f>IF(D153="","",IF(COUNTIFS('Видео'!$A$7:$A$1508,D153)=1,INDEX('Видео'!$F$7:$F$1508,MATCH(D153,'Видео'!$A$7:$A$1508,0)),"ID не найден"))</x:f>
        <x:v>B1–B2 (гипотеза)</x:v>
      </x:c>
      <x:c r="I153" s="18" t="n">
        <x:f>IF(D153="","",IF(COUNTIFS('Видео'!$A$7:$A$1508,D153)=1,INDEX('Видео'!$G$7:$G$1508,MATCH(D153,'Видео'!$A$7:$A$1508,0)),"ID не найден"))</x:f>
        <x:v>7.9</x:v>
      </x:c>
      <x:c r="J153" s="18" t="n">
        <x:v>5</x:v>
      </x:c>
      <x:c r="K153" s="10" t="str">
        <x:f>IF(D153="","",IF(COUNTIFS('Видео'!$A$7:$A$1508,D153)=1,INDEX('Видео'!$AI$7:$AI$1508,MATCH(D153,'Видео'!$A$7:$A$1508,0)),"ID не найден"))</x:f>
        <x:v>Нужна редактура</x:v>
      </x:c>
      <x:c r="L153" s="19" t="str">
        <x:v>-Mun6MHke7k</x:v>
      </x:c>
      <x:c r="M153" s="10" t="str">
        <x:f>IF(L153="","",IF(COUNTIFS('Видео'!$A$7:$A$1508,L153)=1,INDEX('Видео'!$B$7:$B$1508,MATCH(L153,'Видео'!$A$7:$A$1508,0)),"ID не найден"))</x:f>
        <x:v>כאן מסבירים | איך נראה הרמב"ם? לא כמו שאתם חושבים ❗</x:v>
      </x:c>
      <x:c r="N153" s="10" t="str"/>
      <x:c r="O153" s="10" t="str">
        <x:f>IF(D153="","",IF(COUNTIFS('Видео'!$A$7:$A$1508,D153)=1,INDEX('Видео'!$M$7:$M$1508,MATCH(D153,'Видео'!$A$7:$A$1508,0)),"ID не найден"))</x:f>
        <x:v>Завершённый короткий просмотр около 8 мин. Просмотры в списке выше медианы выборки этого цикла в 2.63 раза. Один понятный вопрос даёт завершённый короткий выпуск и повод поделиться им.</x:v>
      </x:c>
      <x:c r="P153" s="11" t="str">
        <x:f>IF(D153="","",IF(COUNTIFS('Видео'!$A$7:$A$1508,D153)=1,INDEX('Видео'!$U$7:$U$1508,MATCH(D153,'Видео'!$A$7:$A$1508,0)),"ID не найден"))</x:f>
        <x:v>https://www.youtube.com/watch?v=yor-TywKHDU</x:v>
      </x:c>
      <x:c r="Q153" s="17" t="str">
        <x:v>Предложено</x:v>
      </x:c>
      <x:c r="R153" s="17" t="str"/>
      <x:c r="S153" s="10" t="str"/>
      <x:c r="T153" s="10" t="str">
        <x:v>Резерв меняет выбор видео; снова проверить повод, аудиторию и все редакторские условия</x:v>
      </x:c>
      <x:c r="U153" s="9" t="str">
        <x:f>IF(D153="","Выбрать видео",IF(COUNTIFS($D$7:$D$371,D153)&gt;1,"Повтор","Без повтора"))</x:f>
        <x:v>Без повтора</x:v>
      </x:c>
    </x:row>
    <x:row r="154" ht="60" customHeight="1">
      <x:c r="A154" s="16" t="n">
        <x:v>46456</x:v>
      </x:c>
      <x:c r="B154" s="9" t="str">
        <x:v>Ср</x:v>
      </x:c>
      <x:c r="C154" s="10" t="str">
        <x:v>Быт</x:v>
      </x:c>
      <x:c r="D154" s="19" t="str">
        <x:v>_aACQxRTbr4</x:v>
      </x:c>
      <x:c r="E154" s="10" t="str">
        <x:f>IF(D154="","",IF(COUNTIFS('Видео'!$A$7:$A$1508,D154)=1,INDEX('Видео'!$B$7:$B$1508,MATCH(D154,'Видео'!$A$7:$A$1508,0)),"ID не найден"))</x:f>
        <x:v>שום פלפל ושמן זית עונה 3 | איתי לוי</x:v>
      </x:c>
      <x:c r="F154" s="9" t="str">
        <x:f>IF(D154="","",IF(COUNTIFS('Видео'!$A$7:$A$1508,D154)=1,INDEX('Видео'!$R$7:$R$1508,MATCH(D154,'Видео'!$A$7:$A$1508,0)),"ID не найден"))</x:f>
        <x:v>C024</x:v>
      </x:c>
      <x:c r="G154" s="9" t="str">
        <x:f>IF(D154="","",IF(COUNTIFS('Видео'!$A$7:$A$1508,D154)=1,INDEX('Видео'!$D$7:$D$1508,MATCH(D154,'Видео'!$A$7:$A$1508,0)),"ID не найден"))</x:f>
        <x:v>Быт</x:v>
      </x:c>
      <x:c r="H154" s="10" t="str">
        <x:f>IF(D154="","",IF(COUNTIFS('Видео'!$A$7:$A$1508,D154)=1,INDEX('Видео'!$F$7:$F$1508,MATCH(D154,'Видео'!$A$7:$A$1508,0)),"ID не найден"))</x:f>
        <x:v>B1–B2 (гипотеза)</x:v>
      </x:c>
      <x:c r="I154" s="18" t="n">
        <x:f>IF(D154="","",IF(COUNTIFS('Видео'!$A$7:$A$1508,D154)=1,INDEX('Видео'!$G$7:$G$1508,MATCH(D154,'Видео'!$A$7:$A$1508,0)),"ID не найден"))</x:f>
        <x:v>41.5</x:v>
      </x:c>
      <x:c r="J154" s="18" t="n">
        <x:v>10</x:v>
      </x:c>
      <x:c r="K154" s="10" t="str">
        <x:f>IF(D154="","",IF(COUNTIFS('Видео'!$A$7:$A$1508,D154)=1,INDEX('Видео'!$AI$7:$AI$1508,MATCH(D154,'Видео'!$A$7:$A$1508,0)),"ID не найден"))</x:f>
        <x:v>Нужна редактура</x:v>
      </x:c>
      <x:c r="L154" s="19" t="str">
        <x:v>aF9Qme9LnGs</x:v>
      </x:c>
      <x:c r="M154" s="10" t="str">
        <x:f>IF(L154="","",IF(COUNTIFS('Видео'!$A$7:$A$1508,L154)=1,INDEX('Видео'!$B$7:$B$1508,MATCH(L154,'Видео'!$A$7:$A$1508,0)),"ID не найден"))</x:f>
        <x:v>דוקותיים | יחידת נס"א של צה"ל גילתה שרשת של שערי כדורגל עוצרת לא רק כדורים אלא גם רחפני נפץ</x:v>
      </x:c>
      <x:c r="N154" s="10" t="str"/>
      <x:c r="O154" s="10" t="str">
        <x:f>IF(D154="","",IF(COUNTIFS('Видео'!$A$7:$A$1508,D154)=1,INDEX('Видео'!$M$7:$M$1508,MATCH(D154,'Видео'!$A$7:$A$1508,0)),"ID не найден"))</x:f>
        <x:v>Тема: שום פלפל ושמן זית עונה 3 | איתי לוי. Просмотры в списке выше медианы выборки этого цикла в 1.88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P154" s="11" t="str">
        <x:f>IF(D154="","",IF(COUNTIFS('Видео'!$A$7:$A$1508,D154)=1,INDEX('Видео'!$U$7:$U$1508,MATCH(D154,'Видео'!$A$7:$A$1508,0)),"ID не найден"))</x:f>
        <x:v>https://www.youtube.com/watch?v=_aACQxRTbr4</x:v>
      </x:c>
      <x:c r="Q154" s="17" t="str">
        <x:v>Предложено</x:v>
      </x:c>
      <x:c r="R154" s="17" t="str"/>
      <x:c r="S154" s="10" t="str"/>
      <x:c r="T154" s="10" t="str">
        <x:v>Резерв меняет выбор видео; снова проверить повод, аудиторию и все редакторские условия</x:v>
      </x:c>
      <x:c r="U154" s="9" t="str">
        <x:f>IF(D154="","Выбрать видео",IF(COUNTIFS($D$7:$D$371,D154)&gt;1,"Повтор","Без повтора"))</x:f>
        <x:v>Без повтора</x:v>
      </x:c>
    </x:row>
    <x:row r="155" ht="60" customHeight="1">
      <x:c r="A155" s="16" t="n">
        <x:v>46457</x:v>
      </x:c>
      <x:c r="B155" s="9" t="str">
        <x:v>Чт</x:v>
      </x:c>
      <x:c r="C155" s="10" t="str">
        <x:v>Сериал</x:v>
      </x:c>
      <x:c r="D155" s="19" t="str">
        <x:v>dbDxpIl1jJU</x:v>
      </x:c>
      <x:c r="E155" s="10" t="str">
        <x:f>IF(D155="","",IF(COUNTIFS('Видео'!$A$7:$A$1508,D155)=1,INDEX('Видео'!$B$7:$B$1508,MATCH(D155,'Видео'!$A$7:$A$1508,0)),"ID не найден"))</x:f>
        <x:v>אחד על אחד 📚 - סדרה חדשה! | פרק 1 - אמא חזרה</x:v>
      </x:c>
      <x:c r="F155" s="9" t="str">
        <x:f>IF(D155="","",IF(COUNTIFS('Видео'!$A$7:$A$1508,D155)=1,INDEX('Видео'!$R$7:$R$1508,MATCH(D155,'Видео'!$A$7:$A$1508,0)),"ID не найден"))</x:f>
        <x:v>C009</x:v>
      </x:c>
      <x:c r="G155" s="9" t="str">
        <x:f>IF(D155="","",IF(COUNTIFS('Видео'!$A$7:$A$1508,D155)=1,INDEX('Видео'!$D$7:$D$1508,MATCH(D155,'Видео'!$A$7:$A$1508,0)),"ID не найден"))</x:f>
        <x:v>Сериал</x:v>
      </x:c>
      <x:c r="H155" s="10" t="str">
        <x:f>IF(D155="","",IF(COUNTIFS('Видео'!$A$7:$A$1508,D155)=1,INDEX('Видео'!$F$7:$F$1508,MATCH(D155,'Видео'!$A$7:$A$1508,0)),"ID не найден"))</x:f>
        <x:v>B1–B2 (гипотеза)</x:v>
      </x:c>
      <x:c r="I155" s="18" t="n">
        <x:f>IF(D155="","",IF(COUNTIFS('Видео'!$A$7:$A$1508,D155)=1,INDEX('Видео'!$G$7:$G$1508,MATCH(D155,'Видео'!$A$7:$A$1508,0)),"ID не найден"))</x:f>
        <x:v>29.9</x:v>
      </x:c>
      <x:c r="J155" s="18" t="n">
        <x:v>10</x:v>
      </x:c>
      <x:c r="K155" s="10" t="str">
        <x:f>IF(D155="","",IF(COUNTIFS('Видео'!$A$7:$A$1508,D155)=1,INDEX('Видео'!$AI$7:$AI$1508,MATCH(D155,'Видео'!$A$7:$A$1508,0)),"ID не найден"))</x:f>
        <x:v>Нужна редактура</x:v>
      </x:c>
      <x:c r="L155" s="19" t="str">
        <x:v>Klb8BZ2mYek</x:v>
      </x:c>
      <x:c r="M155" s="10" t="str">
        <x:f>IF(L155="","",IF(COUNTIFS('Видео'!$A$7:$A$1508,L155)=1,INDEX('Видео'!$B$7:$B$1508,MATCH(L155,'Видео'!$A$7:$A$1508,0)),"ID не найден"))</x:f>
        <x:v>לאן נעלמו עצי האלון שכיסו את הארץ? | כאן סקרנים</x:v>
      </x:c>
      <x:c r="N155" s="10" t="str"/>
      <x:c r="O155" s="10" t="str">
        <x:f>IF(D155="","",IF(COUNTIFS('Видео'!$A$7:$A$1508,D155)=1,INDEX('Видео'!$M$7:$M$1508,MATCH(D155,'Видео'!$A$7:$A$1508,0)),"ID не найден"))</x:f>
        <x:v>Эпизод 1 в знакомой сюжетной ветке. Просмотры в списке выше медианы выборки этого цикла в 3.41 раза. Более камерный сюжет даёт альтернативу шумным комедиям и детективам. Подходит для обсуждения эмпатии и общения.</x:v>
      </x:c>
      <x:c r="P155" s="11" t="str">
        <x:f>IF(D155="","",IF(COUNTIFS('Видео'!$A$7:$A$1508,D155)=1,INDEX('Видео'!$U$7:$U$1508,MATCH(D155,'Видео'!$A$7:$A$1508,0)),"ID не найден"))</x:f>
        <x:v>https://www.youtube.com/watch?v=dbDxpIl1jJU</x:v>
      </x:c>
      <x:c r="Q155" s="17" t="str">
        <x:v>Предложено</x:v>
      </x:c>
      <x:c r="R155" s="17" t="str"/>
      <x:c r="S155" s="10" t="str"/>
      <x:c r="T155" s="10" t="str">
        <x:v>При недоступной серии приостановить сюжетную ветку; резерв — самостоятельное видео</x:v>
      </x:c>
      <x:c r="U155" s="9" t="str">
        <x:f>IF(D155="","Выбрать видео",IF(COUNTIFS($D$7:$D$371,D155)&gt;1,"Повтор","Без повтора"))</x:f>
        <x:v>Без повтора</x:v>
      </x:c>
    </x:row>
    <x:row r="156" ht="60" customHeight="1">
      <x:c r="A156" s="16" t="n">
        <x:v>46458</x:v>
      </x:c>
      <x:c r="B156" s="9" t="str">
        <x:v>Пт</x:v>
      </x:c>
      <x:c r="C156" s="10" t="str">
        <x:v>Культура</x:v>
      </x:c>
      <x:c r="D156" s="19" t="str">
        <x:v>7ltGCJTneNk</x:v>
      </x:c>
      <x:c r="E156" s="10" t="str">
        <x:f>IF(D156="","",IF(COUNTIFS('Видео'!$A$7:$A$1508,D156)=1,INDEX('Видео'!$B$7:$B$1508,MATCH(D156,'Видео'!$A$7:$A$1508,0)),"ID не найден"))</x:f>
        <x:v>אחרי הבכי אפשר לדבר: העצה העמוקה של הבבא סאלי</x:v>
      </x:c>
      <x:c r="F156" s="9" t="str">
        <x:f>IF(D156="","",IF(COUNTIFS('Видео'!$A$7:$A$1508,D156)=1,INDEX('Видео'!$R$7:$R$1508,MATCH(D156,'Видео'!$A$7:$A$1508,0)),"ID не найден"))</x:f>
        <x:v>C085</x:v>
      </x:c>
      <x:c r="G156" s="9" t="str">
        <x:f>IF(D156="","",IF(COUNTIFS('Видео'!$A$7:$A$1508,D156)=1,INDEX('Видео'!$D$7:$D$1508,MATCH(D156,'Видео'!$A$7:$A$1508,0)),"ID не найден"))</x:f>
        <x:v>Культура</x:v>
      </x:c>
      <x:c r="H156" s="10" t="str">
        <x:f>IF(D156="","",IF(COUNTIFS('Видео'!$A$7:$A$1508,D156)=1,INDEX('Видео'!$F$7:$F$1508,MATCH(D156,'Видео'!$A$7:$A$1508,0)),"ID не найден"))</x:f>
        <x:v>B1–B2 (гипотеза)</x:v>
      </x:c>
      <x:c r="I156" s="18" t="n">
        <x:f>IF(D156="","",IF(COUNTIFS('Видео'!$A$7:$A$1508,D156)=1,INDEX('Видео'!$G$7:$G$1508,MATCH(D156,'Видео'!$A$7:$A$1508,0)),"ID не найден"))</x:f>
        <x:v>1.6</x:v>
      </x:c>
      <x:c r="J156" s="18" t="n">
        <x:v>5</x:v>
      </x:c>
      <x:c r="K156" s="10" t="str">
        <x:f>IF(D156="","",IF(COUNTIFS('Видео'!$A$7:$A$1508,D156)=1,INDEX('Видео'!$AI$7:$AI$1508,MATCH(D156,'Видео'!$A$7:$A$1508,0)),"ID не найден"))</x:f>
        <x:v>Нужна редактура</x:v>
      </x:c>
      <x:c r="L156" s="19" t="str">
        <x:v>fioCmhz-3ME</x:v>
      </x:c>
      <x:c r="M156" s="10" t="str">
        <x:f>IF(L156="","",IF(COUNTIFS('Видео'!$A$7:$A$1508,L156)=1,INDEX('Видео'!$B$7:$B$1508,MATCH(L156,'Видео'!$A$7:$A$1508,0)),"ID не найден"))</x:f>
        <x:v>היהודים באים  - פרק 9 | כאן 11 לשעבר רשות השידור</x:v>
      </x:c>
      <x:c r="N156" s="10" t="str"/>
      <x:c r="O156" s="10" t="str">
        <x:f>IF(D156="","",IF(COUNTIFS('Видео'!$A$7:$A$1508,D156)=1,INDEX('Видео'!$M$7:$M$1508,MATCH(D156,'Видео'!$A$7:$A$1508,0)),"ID не найден"))</x:f>
        <x:v>Завершённый короткий просмотр около 2 мин. Просмотры в списке выше медианы выборки этого цикла в 1.97 раза. Истории мудрецов Востока расширяют предложение для традиционно ориентированных зрителей.</x:v>
      </x:c>
      <x:c r="P156" s="11" t="str">
        <x:f>IF(D156="","",IF(COUNTIFS('Видео'!$A$7:$A$1508,D156)=1,INDEX('Видео'!$U$7:$U$1508,MATCH(D156,'Видео'!$A$7:$A$1508,0)),"ID не найден"))</x:f>
        <x:v>https://www.youtube.com/watch?v=7ltGCJTneNk</x:v>
      </x:c>
      <x:c r="Q156" s="17" t="str">
        <x:v>Предложено</x:v>
      </x:c>
      <x:c r="R156" s="17" t="str"/>
      <x:c r="S156" s="10" t="str"/>
      <x:c r="T156" s="10" t="str">
        <x:v>Резерв меняет выбор видео; снова проверить повод, аудиторию и все редакторские условия</x:v>
      </x:c>
      <x:c r="U156" s="9" t="str">
        <x:f>IF(D156="","Выбрать видео",IF(COUNTIFS($D$7:$D$371,D156)&gt;1,"Повтор","Без повтора"))</x:f>
        <x:v>Без повтора</x:v>
      </x:c>
    </x:row>
    <x:row r="157" ht="60" customHeight="1">
      <x:c r="A157" s="16" t="n">
        <x:v>46459</x:v>
      </x:c>
      <x:c r="B157" s="9" t="str">
        <x:v>Сб</x:v>
      </x:c>
      <x:c r="C157" s="10" t="str">
        <x:v>Общество</x:v>
      </x:c>
      <x:c r="D157" s="19" t="str">
        <x:v>YRHrtu9548A</x:v>
      </x:c>
      <x:c r="E157" s="10" t="str">
        <x:f>IF(D157="","",IF(COUNTIFS('Видео'!$A$7:$A$1508,D157)=1,INDEX('Видео'!$B$7:$B$1508,MATCH(D157,'Видео'!$A$7:$A$1508,0)),"ID не найден"))</x:f>
        <x:v>סליחה על השאלה | טרנסג'נדרים</x:v>
      </x:c>
      <x:c r="F157" s="9" t="str">
        <x:f>IF(D157="","",IF(COUNTIFS('Видео'!$A$7:$A$1508,D157)=1,INDEX('Видео'!$R$7:$R$1508,MATCH(D157,'Видео'!$A$7:$A$1508,0)),"ID не найден"))</x:f>
        <x:v>C021</x:v>
      </x:c>
      <x:c r="G157" s="9" t="str">
        <x:f>IF(D157="","",IF(COUNTIFS('Видео'!$A$7:$A$1508,D157)=1,INDEX('Видео'!$D$7:$D$1508,MATCH(D157,'Видео'!$A$7:$A$1508,0)),"ID не найден"))</x:f>
        <x:v>Общество</x:v>
      </x:c>
      <x:c r="H157" s="10" t="str">
        <x:f>IF(D157="","",IF(COUNTIFS('Видео'!$A$7:$A$1508,D157)=1,INDEX('Видео'!$F$7:$F$1508,MATCH(D157,'Видео'!$A$7:$A$1508,0)),"ID не найден"))</x:f>
        <x:v>B1–B2 (гипотеза)</x:v>
      </x:c>
      <x:c r="I157" s="18" t="n">
        <x:f>IF(D157="","",IF(COUNTIFS('Видео'!$A$7:$A$1508,D157)=1,INDEX('Видео'!$G$7:$G$1508,MATCH(D157,'Видео'!$A$7:$A$1508,0)),"ID не найден"))</x:f>
        <x:v>26.1</x:v>
      </x:c>
      <x:c r="J157" s="18" t="n">
        <x:v>10</x:v>
      </x:c>
      <x:c r="K157" s="10" t="str">
        <x:f>IF(D157="","",IF(COUNTIFS('Видео'!$A$7:$A$1508,D157)=1,INDEX('Видео'!$AI$7:$AI$1508,MATCH(D157,'Видео'!$A$7:$A$1508,0)),"ID не найден"))</x:f>
        <x:v>Нужна редактура</x:v>
      </x:c>
      <x:c r="L157" s="19" t="str">
        <x:v>sv7QyD_56CY</x:v>
      </x:c>
      <x:c r="M157" s="10" t="str">
        <x:f>IF(L157="","",IF(COUNTIFS('Видео'!$A$7:$A$1508,L157)=1,INDEX('Видео'!$B$7:$B$1508,MATCH(L157,'Видео'!$A$7:$A$1508,0)),"ID не найден"))</x:f>
        <x:v>כאן מקשיבים: נעצרתי במצרים באשמת ריגול</x:v>
      </x:c>
      <x:c r="N157" s="10" t="str"/>
      <x:c r="O157" s="10" t="str">
        <x:f>IF(D157="","",IF(COUNTIFS('Видео'!$A$7:$A$1508,D157)=1,INDEX('Видео'!$M$7:$M$1508,MATCH(D157,'Видео'!$A$7:$A$1508,0)),"ID не найден"))</x:f>
        <x:v>Тема: סליחה על השאלה | טרנסג'נדרים. Просмотры в списке выше медианы выборки этого цикла в 1.76 раза. Одинаковый вопрос разным людям позволяет сравнить ответы и акценты. Формат вводит социальные группы через их собственную речь.</x:v>
      </x:c>
      <x:c r="P157" s="11" t="str">
        <x:f>IF(D157="","",IF(COUNTIFS('Видео'!$A$7:$A$1508,D157)=1,INDEX('Видео'!$U$7:$U$1508,MATCH(D157,'Видео'!$A$7:$A$1508,0)),"ID не найден"))</x:f>
        <x:v>https://www.youtube.com/watch?v=YRHrtu9548A</x:v>
      </x:c>
      <x:c r="Q157" s="17" t="str">
        <x:v>Предложено</x:v>
      </x:c>
      <x:c r="R157" s="17" t="str"/>
      <x:c r="S157" s="10" t="str"/>
      <x:c r="T157" s="10" t="str">
        <x:v>Резерв меняет выбор видео; снова проверить повод, аудиторию и все редакторские условия</x:v>
      </x:c>
      <x:c r="U157" s="9" t="str">
        <x:f>IF(D157="","Выбрать видео",IF(COUNTIFS($D$7:$D$371,D157)&gt;1,"Повтор","Без повтора"))</x:f>
        <x:v>Без повтора</x:v>
      </x:c>
    </x:row>
    <x:row r="158" ht="60" customHeight="1">
      <x:c r="A158" s="16" t="n">
        <x:v>46460</x:v>
      </x:c>
      <x:c r="B158" s="9" t="str">
        <x:v>Вс</x:v>
      </x:c>
      <x:c r="C158" s="10" t="str">
        <x:v>Сериал</x:v>
      </x:c>
      <x:c r="D158" s="19" t="str">
        <x:v>1czhcHL-YwA</x:v>
      </x:c>
      <x:c r="E158" s="10" t="str">
        <x:f>IF(D158="","",IF(COUNTIFS('Видео'!$A$7:$A$1508,D158)=1,INDEX('Видео'!$B$7:$B$1508,MATCH(D158,'Видео'!$A$7:$A$1508,0)),"ID не найден"))</x:f>
        <x:v>קופה ראשית עונה 4🛒 | פרק 1 - ריקוד מושחת</x:v>
      </x:c>
      <x:c r="F158" s="9" t="str">
        <x:f>IF(D158="","",IF(COUNTIFS('Видео'!$A$7:$A$1508,D158)=1,INDEX('Видео'!$R$7:$R$1508,MATCH(D158,'Видео'!$A$7:$A$1508,0)),"ID не найден"))</x:f>
        <x:v>C002</x:v>
      </x:c>
      <x:c r="G158" s="9" t="str">
        <x:f>IF(D158="","",IF(COUNTIFS('Видео'!$A$7:$A$1508,D158)=1,INDEX('Видео'!$D$7:$D$1508,MATCH(D158,'Видео'!$A$7:$A$1508,0)),"ID не найден"))</x:f>
        <x:v>Сериал</x:v>
      </x:c>
      <x:c r="H158" s="10" t="str">
        <x:f>IF(D158="","",IF(COUNTIFS('Видео'!$A$7:$A$1508,D158)=1,INDEX('Видео'!$F$7:$F$1508,MATCH(D158,'Видео'!$A$7:$A$1508,0)),"ID не найден"))</x:f>
        <x:v>B1–B2 (гипотеза)</x:v>
      </x:c>
      <x:c r="I158" s="18" t="n">
        <x:f>IF(D158="","",IF(COUNTIFS('Видео'!$A$7:$A$1508,D158)=1,INDEX('Видео'!$G$7:$G$1508,MATCH(D158,'Видео'!$A$7:$A$1508,0)),"ID не найден"))</x:f>
        <x:v>23.8</x:v>
      </x:c>
      <x:c r="J158" s="18" t="n">
        <x:v>10</x:v>
      </x:c>
      <x:c r="K158" s="10" t="str">
        <x:f>IF(D158="","",IF(COUNTIFS('Видео'!$A$7:$A$1508,D158)=1,INDEX('Видео'!$AI$7:$AI$1508,MATCH(D158,'Видео'!$A$7:$A$1508,0)),"ID не найден"))</x:f>
        <x:v>Нужна редактура</x:v>
      </x:c>
      <x:c r="L158" s="19" t="str">
        <x:v>wdkN3J77bD8</x:v>
      </x:c>
      <x:c r="M158" s="10" t="str">
        <x:f>IF(L158="","",IF(COUNTIFS('Видео'!$A$7:$A$1508,L158)=1,INDEX('Видео'!$B$7:$B$1508,MATCH(L158,'Видео'!$A$7:$A$1508,0)),"ID не найден"))</x:f>
        <x:v>הכירו את הבסיג' - הארגון שמטיל אימה על העם האיראני</x:v>
      </x:c>
      <x:c r="N158" s="10" t="str"/>
      <x:c r="O158" s="10" t="str">
        <x:f>IF(D158="","",IF(COUNTIFS('Видео'!$A$7:$A$1508,D158)=1,INDEX('Видео'!$M$7:$M$1508,MATCH(D158,'Видео'!$A$7:$A$1508,0)),"ID не найден"))</x:f>
        <x:v>Эпизод 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58" s="11" t="str">
        <x:f>IF(D158="","",IF(COUNTIFS('Видео'!$A$7:$A$1508,D158)=1,INDEX('Видео'!$U$7:$U$1508,MATCH(D158,'Видео'!$A$7:$A$1508,0)),"ID не найден"))</x:f>
        <x:v>https://www.youtube.com/watch?v=1czhcHL-YwA</x:v>
      </x:c>
      <x:c r="Q158" s="17" t="str">
        <x:v>Предложено</x:v>
      </x:c>
      <x:c r="R158" s="17" t="str"/>
      <x:c r="S158" s="10" t="str"/>
      <x:c r="T158" s="10" t="str">
        <x:v>При недоступной серии приостановить сюжетную ветку; резерв — самостоятельное видео</x:v>
      </x:c>
      <x:c r="U158" s="9" t="str">
        <x:f>IF(D158="","Выбрать видео",IF(COUNTIFS($D$7:$D$371,D158)&gt;1,"Повтор","Без повтора"))</x:f>
        <x:v>Без повтора</x:v>
      </x:c>
    </x:row>
    <x:row r="159" ht="60" customHeight="1">
      <x:c r="A159" s="16" t="n">
        <x:v>46461</x:v>
      </x:c>
      <x:c r="B159" s="9" t="str">
        <x:v>Пн</x:v>
      </x:c>
      <x:c r="C159" s="10" t="str">
        <x:v>Интервью</x:v>
      </x:c>
      <x:c r="D159" s="19" t="str">
        <x:v>tz0VSiH3qh8</x:v>
      </x:c>
      <x:c r="E159" s="10" t="str">
        <x:f>IF(D159="","",IF(COUNTIFS('Видео'!$A$7:$A$1508,D159)=1,INDEX('Видео'!$B$7:$B$1508,MATCH(D159,'Видео'!$A$7:$A$1508,0)),"ID не найден"))</x:f>
        <x:v>פגישה עם רוני קובן עונה 11 | בני גנץ</x:v>
      </x:c>
      <x:c r="F159" s="9" t="str">
        <x:f>IF(D159="","",IF(COUNTIFS('Видео'!$A$7:$A$1508,D159)=1,INDEX('Видео'!$R$7:$R$1508,MATCH(D159,'Видео'!$A$7:$A$1508,0)),"ID не найден"))</x:f>
        <x:v>C012</x:v>
      </x:c>
      <x:c r="G159" s="9" t="str">
        <x:f>IF(D159="","",IF(COUNTIFS('Видео'!$A$7:$A$1508,D159)=1,INDEX('Видео'!$D$7:$D$1508,MATCH(D159,'Видео'!$A$7:$A$1508,0)),"ID не найден"))</x:f>
        <x:v>Интервью</x:v>
      </x:c>
      <x:c r="H159" s="10" t="str">
        <x:f>IF(D159="","",IF(COUNTIFS('Видео'!$A$7:$A$1508,D159)=1,INDEX('Видео'!$F$7:$F$1508,MATCH(D159,'Видео'!$A$7:$A$1508,0)),"ID не найден"))</x:f>
        <x:v>B2–C1 (гипотеза)</x:v>
      </x:c>
      <x:c r="I159" s="18" t="n">
        <x:f>IF(D159="","",IF(COUNTIFS('Видео'!$A$7:$A$1508,D159)=1,INDEX('Видео'!$G$7:$G$1508,MATCH(D159,'Видео'!$A$7:$A$1508,0)),"ID не найден"))</x:f>
        <x:v>38.8</x:v>
      </x:c>
      <x:c r="J159" s="18" t="n">
        <x:v>10</x:v>
      </x:c>
      <x:c r="K159" s="10" t="str">
        <x:f>IF(D159="","",IF(COUNTIFS('Видео'!$A$7:$A$1508,D159)=1,INDEX('Видео'!$AI$7:$AI$1508,MATCH(D159,'Видео'!$A$7:$A$1508,0)),"ID не найден"))</x:f>
        <x:v>Нужна редактура</x:v>
      </x:c>
      <x:c r="L159" s="19" t="str">
        <x:v>vTgVKpgXzQc</x:v>
      </x:c>
      <x:c r="M159" s="10" t="str">
        <x:f>IF(L159="","",IF(COUNTIFS('Видео'!$A$7:$A$1508,L159)=1,INDEX('Видео'!$B$7:$B$1508,MATCH(L159,'Видео'!$A$7:$A$1508,0)),"ID не найден"))</x:f>
        <x:v>פגישה עם רוני קובן עונה 10 | נועם בתן</x:v>
      </x:c>
      <x:c r="N159" s="10" t="str"/>
      <x:c r="O159" s="10" t="str">
        <x:f>IF(D159="","",IF(COUNTIFS('Видео'!$A$7:$A$1508,D159)=1,INDEX('Видео'!$M$7:$M$1508,MATCH(D159,'Видео'!$A$7:$A$1508,0)),"ID не найден"))</x:f>
        <x:v>Тема / гость: בני גנץ.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59" s="11" t="str">
        <x:f>IF(D159="","",IF(COUNTIFS('Видео'!$A$7:$A$1508,D159)=1,INDEX('Видео'!$U$7:$U$1508,MATCH(D159,'Видео'!$A$7:$A$1508,0)),"ID не найден"))</x:f>
        <x:v>https://www.youtube.com/watch?v=tz0VSiH3qh8</x:v>
      </x:c>
      <x:c r="Q159" s="17" t="str">
        <x:v>Предложено</x:v>
      </x:c>
      <x:c r="R159" s="17" t="str"/>
      <x:c r="S159" s="10" t="str"/>
      <x:c r="T159" s="10" t="str">
        <x:v>Резерв меняет выбор видео; снова проверить повод, аудиторию и все редакторские условия</x:v>
      </x:c>
      <x:c r="U159" s="9" t="str">
        <x:f>IF(D159="","Выбрать видео",IF(COUNTIFS($D$7:$D$371,D159)&gt;1,"Повтор","Без повтора"))</x:f>
        <x:v>Без повтора</x:v>
      </x:c>
    </x:row>
    <x:row r="160" ht="60" customHeight="1">
      <x:c r="A160" s="16" t="n">
        <x:v>46462</x:v>
      </x:c>
      <x:c r="B160" s="9" t="str">
        <x:v>Вт</x:v>
      </x:c>
      <x:c r="C160" s="10" t="str">
        <x:v>Образование</x:v>
      </x:c>
      <x:c r="D160" s="19" t="str">
        <x:v>jxyo6GHQGdc</x:v>
      </x:c>
      <x:c r="E160" s="10" t="str">
        <x:f>IF(D160="","",IF(COUNTIFS('Видео'!$A$7:$A$1508,D160)=1,INDEX('Видео'!$B$7:$B$1508,MATCH(D160,'Видео'!$A$7:$A$1508,0)),"ID не найден"))</x:f>
        <x:v>כאן מסבירים | איך עובדים לחצנים של מעברי חצייה? 🚦</x:v>
      </x:c>
      <x:c r="F160" s="9" t="str">
        <x:f>IF(D160="","",IF(COUNTIFS('Видео'!$A$7:$A$1508,D160)=1,INDEX('Видео'!$R$7:$R$1508,MATCH(D160,'Видео'!$A$7:$A$1508,0)),"ID не найден"))</x:f>
        <x:v>C045</x:v>
      </x:c>
      <x:c r="G160" s="9" t="str">
        <x:f>IF(D160="","",IF(COUNTIFS('Видео'!$A$7:$A$1508,D160)=1,INDEX('Видео'!$D$7:$D$1508,MATCH(D160,'Видео'!$A$7:$A$1508,0)),"ID не найден"))</x:f>
        <x:v>Образование</x:v>
      </x:c>
      <x:c r="H160" s="10" t="str">
        <x:f>IF(D160="","",IF(COUNTIFS('Видео'!$A$7:$A$1508,D160)=1,INDEX('Видео'!$F$7:$F$1508,MATCH(D160,'Видео'!$A$7:$A$1508,0)),"ID не найден"))</x:f>
        <x:v>B1–B2 (гипотеза)</x:v>
      </x:c>
      <x:c r="I160" s="18" t="n">
        <x:f>IF(D160="","",IF(COUNTIFS('Видео'!$A$7:$A$1508,D160)=1,INDEX('Видео'!$G$7:$G$1508,MATCH(D160,'Видео'!$A$7:$A$1508,0)),"ID не найден"))</x:f>
        <x:v>3.7</x:v>
      </x:c>
      <x:c r="J160" s="18" t="n">
        <x:v>5</x:v>
      </x:c>
      <x:c r="K160" s="10" t="str">
        <x:f>IF(D160="","",IF(COUNTIFS('Видео'!$A$7:$A$1508,D160)=1,INDEX('Видео'!$AI$7:$AI$1508,MATCH(D160,'Видео'!$A$7:$A$1508,0)),"ID не найден"))</x:f>
        <x:v>Нужна редактура</x:v>
      </x:c>
      <x:c r="L160" s="19" t="str">
        <x:v>2h5VUxPzMrM</x:v>
      </x:c>
      <x:c r="M160" s="10" t="str">
        <x:f>IF(L160="","",IF(COUNTIFS('Видео'!$A$7:$A$1508,L160)=1,INDEX('Видео'!$B$7:$B$1508,MATCH(L160,'Видео'!$A$7:$A$1508,0)),"ID не найден"))</x:f>
        <x:v>המרדף עונה 9 | פרק 2</x:v>
      </x:c>
      <x:c r="N160" s="10" t="str"/>
      <x:c r="O160" s="10" t="str">
        <x:f>IF(D160="","",IF(COUNTIFS('Видео'!$A$7:$A$1508,D160)=1,INDEX('Видео'!$M$7:$M$1508,MATCH(D160,'Видео'!$A$7:$A$1508,0)),"ID не найден"))</x:f>
        <x:v>Завершённый короткий просмотр около 4 мин. Просмотры в списке выше медианы выборки этого цикла в 4.08 раза. Объясняющий формат снижает порог входа в незнакомые институты и общественные темы.</x:v>
      </x:c>
      <x:c r="P160" s="11" t="str">
        <x:f>IF(D160="","",IF(COUNTIFS('Видео'!$A$7:$A$1508,D160)=1,INDEX('Видео'!$U$7:$U$1508,MATCH(D160,'Видео'!$A$7:$A$1508,0)),"ID не найден"))</x:f>
        <x:v>https://www.youtube.com/watch?v=jxyo6GHQGdc</x:v>
      </x:c>
      <x:c r="Q160" s="17" t="str">
        <x:v>Предложено</x:v>
      </x:c>
      <x:c r="R160" s="17" t="str"/>
      <x:c r="S160" s="10" t="str"/>
      <x:c r="T160" s="10" t="str">
        <x:v>Резерв меняет выбор видео; снова проверить повод, аудиторию и все редакторские условия</x:v>
      </x:c>
      <x:c r="U160" s="9" t="str">
        <x:f>IF(D160="","Выбрать видео",IF(COUNTIFS($D$7:$D$371,D160)&gt;1,"Повтор","Без повтора"))</x:f>
        <x:v>Без повтора</x:v>
      </x:c>
    </x:row>
    <x:row r="161" ht="60" customHeight="1">
      <x:c r="A161" s="16" t="n">
        <x:v>46463</x:v>
      </x:c>
      <x:c r="B161" s="9" t="str">
        <x:v>Ср</x:v>
      </x:c>
      <x:c r="C161" s="10" t="str">
        <x:v>Быт</x:v>
      </x:c>
      <x:c r="D161" s="19" t="str">
        <x:v>2_xcIAlraQw</x:v>
      </x:c>
      <x:c r="E161" s="10" t="str">
        <x:f>IF(D161="","",IF(COUNTIFS('Видео'!$A$7:$A$1508,D161)=1,INDEX('Видео'!$B$7:$B$1508,MATCH(D161,'Видео'!$A$7:$A$1508,0)),"ID не найден"))</x:f>
        <x:v>טיול אחרי צבא - סובב ישראל 🚐🇮🇱 | פרק 3 - כאן היה ביתי</x:v>
      </x:c>
      <x:c r="F161" s="9" t="str">
        <x:f>IF(D161="","",IF(COUNTIFS('Видео'!$A$7:$A$1508,D161)=1,INDEX('Видео'!$R$7:$R$1508,MATCH(D161,'Видео'!$A$7:$A$1508,0)),"ID не найден"))</x:f>
        <x:v>C038</x:v>
      </x:c>
      <x:c r="G161" s="9" t="str">
        <x:f>IF(D161="","",IF(COUNTIFS('Видео'!$A$7:$A$1508,D161)=1,INDEX('Видео'!$D$7:$D$1508,MATCH(D161,'Видео'!$A$7:$A$1508,0)),"ID не найден"))</x:f>
        <x:v>Быт</x:v>
      </x:c>
      <x:c r="H161" s="10" t="str">
        <x:f>IF(D161="","",IF(COUNTIFS('Видео'!$A$7:$A$1508,D161)=1,INDEX('Видео'!$F$7:$F$1508,MATCH(D161,'Видео'!$A$7:$A$1508,0)),"ID не найден"))</x:f>
        <x:v>B1–B2 (гипотеза)</x:v>
      </x:c>
      <x:c r="I161" s="18" t="n">
        <x:f>IF(D161="","",IF(COUNTIFS('Видео'!$A$7:$A$1508,D161)=1,INDEX('Видео'!$G$7:$G$1508,MATCH(D161,'Видео'!$A$7:$A$1508,0)),"ID не найден"))</x:f>
        <x:v>46.7</x:v>
      </x:c>
      <x:c r="J161" s="18" t="n">
        <x:v>10</x:v>
      </x:c>
      <x:c r="K161" s="10" t="str">
        <x:f>IF(D161="","",IF(COUNTIFS('Видео'!$A$7:$A$1508,D161)=1,INDEX('Видео'!$AI$7:$AI$1508,MATCH(D161,'Видео'!$A$7:$A$1508,0)),"ID не найден"))</x:f>
        <x:v>Нужна редактура</x:v>
      </x:c>
      <x:c r="L161" s="19" t="str">
        <x:v>v-DfBEdw64w</x:v>
      </x:c>
      <x:c r="M161" s="10" t="str">
        <x:f>IF(L161="","",IF(COUNTIFS('Видео'!$A$7:$A$1508,L161)=1,INDEX('Видео'!$B$7:$B$1508,MATCH(L161,'Видео'!$A$7:$A$1508,0)),"ID не найден"))</x:f>
        <x:v>שום פלפל ושמן זית עונה 3 | גורי אלפי</x:v>
      </x:c>
      <x:c r="N161" s="10" t="str"/>
      <x:c r="O161" s="10" t="str">
        <x:f>IF(D161="","",IF(COUNTIFS('Видео'!$A$7:$A$1508,D161)=1,INDEX('Видео'!$M$7:$M$1508,MATCH(D161,'Видео'!$A$7:$A$1508,0)),"ID не найден"))</x:f>
        <x:v>Тема: טיול אחרי צבא - סובב ישראל 🚐🇮🇱 | פרק 3 - כאן היה ביתי. Маршрут по стране помогает связывать язык с местами и планами путешествия. Визуальные подсказки облегчают понимание.</x:v>
      </x:c>
      <x:c r="P161" s="11" t="str">
        <x:f>IF(D161="","",IF(COUNTIFS('Видео'!$A$7:$A$1508,D161)=1,INDEX('Видео'!$U$7:$U$1508,MATCH(D161,'Видео'!$A$7:$A$1508,0)),"ID не найден"))</x:f>
        <x:v>https://www.youtube.com/watch?v=2_xcIAlraQw</x:v>
      </x:c>
      <x:c r="Q161" s="17" t="str">
        <x:v>Предложено</x:v>
      </x:c>
      <x:c r="R161" s="17" t="str"/>
      <x:c r="S161" s="10" t="str"/>
      <x:c r="T161" s="10" t="str">
        <x:v>Резерв меняет выбор видео; снова проверить повод, аудиторию и все редакторские условия</x:v>
      </x:c>
      <x:c r="U161" s="9" t="str">
        <x:f>IF(D161="","Выбрать видео",IF(COUNTIFS($D$7:$D$371,D161)&gt;1,"Повтор","Без повтора"))</x:f>
        <x:v>Без повтора</x:v>
      </x:c>
    </x:row>
    <x:row r="162" ht="60" customHeight="1">
      <x:c r="A162" s="16" t="n">
        <x:v>46464</x:v>
      </x:c>
      <x:c r="B162" s="9" t="str">
        <x:v>Чт</x:v>
      </x:c>
      <x:c r="C162" s="10" t="str">
        <x:v>Сериал</x:v>
      </x:c>
      <x:c r="D162" s="19" t="str">
        <x:v>nAhnvyjpLks</x:v>
      </x:c>
      <x:c r="E162" s="10" t="str">
        <x:f>IF(D162="","",IF(COUNTIFS('Видео'!$A$7:$A$1508,D162)=1,INDEX('Видео'!$B$7:$B$1508,MATCH(D162,'Видео'!$A$7:$A$1508,0)),"ID не найден"))</x:f>
        <x:v>אחד על אחד 📚 - סדרה חדשה! | פרק 2 - הפוך קטן</x:v>
      </x:c>
      <x:c r="F162" s="9" t="str">
        <x:f>IF(D162="","",IF(COUNTIFS('Видео'!$A$7:$A$1508,D162)=1,INDEX('Видео'!$R$7:$R$1508,MATCH(D162,'Видео'!$A$7:$A$1508,0)),"ID не найден"))</x:f>
        <x:v>C009</x:v>
      </x:c>
      <x:c r="G162" s="9" t="str">
        <x:f>IF(D162="","",IF(COUNTIFS('Видео'!$A$7:$A$1508,D162)=1,INDEX('Видео'!$D$7:$D$1508,MATCH(D162,'Видео'!$A$7:$A$1508,0)),"ID не найден"))</x:f>
        <x:v>Сериал</x:v>
      </x:c>
      <x:c r="H162" s="10" t="str">
        <x:f>IF(D162="","",IF(COUNTIFS('Видео'!$A$7:$A$1508,D162)=1,INDEX('Видео'!$F$7:$F$1508,MATCH(D162,'Видео'!$A$7:$A$1508,0)),"ID не найден"))</x:f>
        <x:v>B1–B2 (гипотеза)</x:v>
      </x:c>
      <x:c r="I162" s="18" t="n">
        <x:f>IF(D162="","",IF(COUNTIFS('Видео'!$A$7:$A$1508,D162)=1,INDEX('Видео'!$G$7:$G$1508,MATCH(D162,'Видео'!$A$7:$A$1508,0)),"ID не найден"))</x:f>
        <x:v>32.4</x:v>
      </x:c>
      <x:c r="J162" s="18" t="n">
        <x:v>10</x:v>
      </x:c>
      <x:c r="K162" s="10" t="str">
        <x:f>IF(D162="","",IF(COUNTIFS('Видео'!$A$7:$A$1508,D162)=1,INDEX('Видео'!$AI$7:$AI$1508,MATCH(D162,'Видео'!$A$7:$A$1508,0)),"ID не найден"))</x:f>
        <x:v>Нужна редактура</x:v>
      </x:c>
      <x:c r="L162" s="19" t="str">
        <x:v>3Q6J6VUla1o</x:v>
      </x:c>
      <x:c r="M162" s="10" t="str">
        <x:f>IF(L162="","",IF(COUNTIFS('Видео'!$A$7:$A$1508,L162)=1,INDEX('Видео'!$B$7:$B$1508,MATCH(L162,'Видео'!$A$7:$A$1508,0)),"ID не найден"))</x:f>
        <x:v>רוצים לעשות גמביט המלכה? ענת קורול לומדת שחמט | כאן מסבירים</x:v>
      </x:c>
      <x:c r="N162" s="10" t="str"/>
      <x:c r="O162" s="10" t="str">
        <x:f>IF(D162="","",IF(COUNTIFS('Видео'!$A$7:$A$1508,D162)=1,INDEX('Видео'!$M$7:$M$1508,MATCH(D162,'Видео'!$A$7:$A$1508,0)),"ID не найден"))</x:f>
        <x:v>Эпизод 2 в знакомой сюжетной ветке. Просмотры в списке выше медианы выборки этого цикла в 1.63 раза. Более камерный сюжет даёт альтернативу шумным комедиям и детективам. Подходит для обсуждения эмпатии и общения.</x:v>
      </x:c>
      <x:c r="P162" s="11" t="str">
        <x:f>IF(D162="","",IF(COUNTIFS('Видео'!$A$7:$A$1508,D162)=1,INDEX('Видео'!$U$7:$U$1508,MATCH(D162,'Видео'!$A$7:$A$1508,0)),"ID не найден"))</x:f>
        <x:v>https://www.youtube.com/watch?v=nAhnvyjpLks</x:v>
      </x:c>
      <x:c r="Q162" s="17" t="str">
        <x:v>Предложено</x:v>
      </x:c>
      <x:c r="R162" s="17" t="str"/>
      <x:c r="S162" s="10" t="str"/>
      <x:c r="T162" s="10" t="str">
        <x:v>При недоступной серии приостановить сюжетную ветку; резерв — самостоятельное видео</x:v>
      </x:c>
      <x:c r="U162" s="9" t="str">
        <x:f>IF(D162="","Выбрать видео",IF(COUNTIFS($D$7:$D$371,D162)&gt;1,"Повтор","Без повтора"))</x:f>
        <x:v>Без повтора</x:v>
      </x:c>
    </x:row>
    <x:row r="163" ht="60" customHeight="1">
      <x:c r="A163" s="16" t="n">
        <x:v>46465</x:v>
      </x:c>
      <x:c r="B163" s="9" t="str">
        <x:v>Пт</x:v>
      </x:c>
      <x:c r="C163" s="10" t="str">
        <x:v>История</x:v>
      </x:c>
      <x:c r="D163" s="19" t="str">
        <x:v>cVb4zye2zNE</x:v>
      </x:c>
      <x:c r="E163" s="10" t="str">
        <x:f>IF(D163="","",IF(COUNTIFS('Видео'!$A$7:$A$1508,D163)=1,INDEX('Видео'!$B$7:$B$1508,MATCH(D163,'Видео'!$A$7:$A$1508,0)),"ID не найден"))</x:f>
        <x:v>היסטוריה קצרה של חסידות ברסלב | שיעור 1 - האור הנעלם: היסטוריה, שבחים וצנזורה | פרופ' יונתן מאיר</x:v>
      </x:c>
      <x:c r="F163" s="9" t="str">
        <x:f>IF(D163="","",IF(COUNTIFS('Видео'!$A$7:$A$1508,D163)=1,INDEX('Видео'!$R$7:$R$1508,MATCH(D163,'Видео'!$A$7:$A$1508,0)),"ID не найден"))</x:f>
        <x:v>C073</x:v>
      </x:c>
      <x:c r="G163" s="9" t="str">
        <x:f>IF(D163="","",IF(COUNTIFS('Видео'!$A$7:$A$1508,D163)=1,INDEX('Видео'!$D$7:$D$1508,MATCH(D163,'Видео'!$A$7:$A$1508,0)),"ID не найден"))</x:f>
        <x:v>История</x:v>
      </x:c>
      <x:c r="H163" s="10" t="str">
        <x:f>IF(D163="","",IF(COUNTIFS('Видео'!$A$7:$A$1508,D163)=1,INDEX('Видео'!$F$7:$F$1508,MATCH(D163,'Видео'!$A$7:$A$1508,0)),"ID не найден"))</x:f>
        <x:v>B2–C1 (гипотеза)</x:v>
      </x:c>
      <x:c r="I163" s="18" t="n">
        <x:f>IF(D163="","",IF(COUNTIFS('Видео'!$A$7:$A$1508,D163)=1,INDEX('Видео'!$G$7:$G$1508,MATCH(D163,'Видео'!$A$7:$A$1508,0)),"ID не найден"))</x:f>
        <x:v>34.8</x:v>
      </x:c>
      <x:c r="J163" s="18" t="n">
        <x:v>10</x:v>
      </x:c>
      <x:c r="K163" s="10" t="str">
        <x:f>IF(D163="","",IF(COUNTIFS('Видео'!$A$7:$A$1508,D163)=1,INDEX('Видео'!$AI$7:$AI$1508,MATCH(D163,'Видео'!$A$7:$A$1508,0)),"ID не найден"))</x:f>
        <x:v>Нужна редактура</x:v>
      </x:c>
      <x:c r="L163" s="19" t="str">
        <x:v>6UyIVSwTsX8</x:v>
      </x:c>
      <x:c r="M163" s="10" t="str">
        <x:f>IF(L163="","",IF(COUNTIFS('Видео'!$A$7:$A$1508,L163)=1,INDEX('Видео'!$B$7:$B$1508,MATCH(L163,'Видео'!$A$7:$A$1508,0)),"ID не найден"))</x:f>
        <x:v>תולדות העברית דרך האטימולוגיה | שיעור 3 - ימי הביניים – בין מזרח למערב | אילון גלעד</x:v>
      </x:c>
      <x:c r="N163" s="10" t="str"/>
      <x:c r="O163" s="10" t="str">
        <x:f>IF(D163="","",IF(COUNTIFS('Видео'!$A$7:$A$1508,D163)=1,INDEX('Видео'!$M$7:$M$1508,MATCH(D163,'Видео'!$A$7:$A$1508,0)),"ID не найден"))</x:f>
        <x:v>Тема: היסטוריה קצרה של חסידות ברסלב | שיעור 1 - האור הנעלם: היסטוריה, שבחים וצנזורה | פרופ' יונתן מאיר. Просмотры в списке выше медианы выборки этого цикла в 2.14 раза. История движения помогает понять современную религиозную среду без ежедневной политики.</x:v>
      </x:c>
      <x:c r="P163" s="11" t="str">
        <x:f>IF(D163="","",IF(COUNTIFS('Видео'!$A$7:$A$1508,D163)=1,INDEX('Видео'!$U$7:$U$1508,MATCH(D163,'Видео'!$A$7:$A$1508,0)),"ID не найден"))</x:f>
        <x:v>https://www.youtube.com/watch?v=cVb4zye2zNE</x:v>
      </x:c>
      <x:c r="Q163" s="17" t="str">
        <x:v>Предложено</x:v>
      </x:c>
      <x:c r="R163" s="17" t="str"/>
      <x:c r="S163" s="10" t="str"/>
      <x:c r="T163" s="10" t="str">
        <x:v>Резерв меняет выбор видео; снова проверить повод, аудиторию и все редакторские условия</x:v>
      </x:c>
      <x:c r="U163" s="9" t="str">
        <x:f>IF(D163="","Выбрать видео",IF(COUNTIFS($D$7:$D$371,D163)&gt;1,"Повтор","Без повтора"))</x:f>
        <x:v>Без повтора</x:v>
      </x:c>
    </x:row>
    <x:row r="164" ht="60" customHeight="1">
      <x:c r="A164" s="16" t="n">
        <x:v>46466</x:v>
      </x:c>
      <x:c r="B164" s="9" t="str">
        <x:v>Сб</x:v>
      </x:c>
      <x:c r="C164" s="10" t="str">
        <x:v>Общество</x:v>
      </x:c>
      <x:c r="D164" s="19" t="str">
        <x:v>pVuwYVdjXMo</x:v>
      </x:c>
      <x:c r="E164" s="10" t="str">
        <x:f>IF(D164="","",IF(COUNTIFS('Видео'!$A$7:$A$1508,D164)=1,INDEX('Видео'!$B$7:$B$1508,MATCH(D164,'Видео'!$A$7:$A$1508,0)),"ID не найден"))</x:f>
        <x:v>נייעס 📰 | על חומותייך הפקדתי שומרים - פרק 3</x:v>
      </x:c>
      <x:c r="F164" s="9" t="str">
        <x:f>IF(D164="","",IF(COUNTIFS('Видео'!$A$7:$A$1508,D164)=1,INDEX('Видео'!$R$7:$R$1508,MATCH(D164,'Видео'!$A$7:$A$1508,0)),"ID не найден"))</x:f>
        <x:v>C033</x:v>
      </x:c>
      <x:c r="G164" s="9" t="str">
        <x:f>IF(D164="","",IF(COUNTIFS('Видео'!$A$7:$A$1508,D164)=1,INDEX('Видео'!$D$7:$D$1508,MATCH(D164,'Видео'!$A$7:$A$1508,0)),"ID не найден"))</x:f>
        <x:v>Общество</x:v>
      </x:c>
      <x:c r="H164" s="10" t="str">
        <x:f>IF(D164="","",IF(COUNTIFS('Видео'!$A$7:$A$1508,D164)=1,INDEX('Видео'!$F$7:$F$1508,MATCH(D164,'Видео'!$A$7:$A$1508,0)),"ID не найден"))</x:f>
        <x:v>B2–C1 (гипотеза)</x:v>
      </x:c>
      <x:c r="I164" s="18" t="n">
        <x:f>IF(D164="","",IF(COUNTIFS('Видео'!$A$7:$A$1508,D164)=1,INDEX('Видео'!$G$7:$G$1508,MATCH(D164,'Видео'!$A$7:$A$1508,0)),"ID не найден"))</x:f>
        <x:v>43</x:v>
      </x:c>
      <x:c r="J164" s="18" t="n">
        <x:v>10</x:v>
      </x:c>
      <x:c r="K164" s="10" t="str">
        <x:f>IF(D164="","",IF(COUNTIFS('Видео'!$A$7:$A$1508,D164)=1,INDEX('Видео'!$AI$7:$AI$1508,MATCH(D164,'Видео'!$A$7:$A$1508,0)),"ID не найден"))</x:f>
        <x:v>Нужна редактура</x:v>
      </x:c>
      <x:c r="L164" s="19" t="str">
        <x:v>I0zk3c1Q_h8</x:v>
      </x:c>
      <x:c r="M164" s="10" t="str">
        <x:f>IF(L164="","",IF(COUNTIFS('Видео'!$A$7:$A$1508,L164)=1,INDEX('Видео'!$B$7:$B$1508,MATCH(L164,'Видео'!$A$7:$A$1508,0)),"ID не найден"))</x:f>
        <x:v>כאן מקשיבים: אני היחידה ששומעת במשפחה של חירשים</x:v>
      </x:c>
      <x:c r="N164" s="10" t="str"/>
      <x:c r="O164" s="10" t="str">
        <x:f>IF(D164="","",IF(COUNTIFS('Видео'!$A$7:$A$1508,D164)=1,INDEX('Видео'!$M$7:$M$1508,MATCH(D164,'Видео'!$A$7:$A$1508,0)),"ID не найден"))</x:f>
        <x:v>Тема: נייעס 📰 | על חומותייך הפקדתי שומרים - פרק 3. Медиа внутри харедим дают вход в часто незнакомую культурную среду и лексику.</x:v>
      </x:c>
      <x:c r="P164" s="11" t="str">
        <x:f>IF(D164="","",IF(COUNTIFS('Видео'!$A$7:$A$1508,D164)=1,INDEX('Видео'!$U$7:$U$1508,MATCH(D164,'Видео'!$A$7:$A$1508,0)),"ID не найден"))</x:f>
        <x:v>https://www.youtube.com/watch?v=pVuwYVdjXMo</x:v>
      </x:c>
      <x:c r="Q164" s="17" t="str">
        <x:v>Предложено</x:v>
      </x:c>
      <x:c r="R164" s="17" t="str"/>
      <x:c r="S164" s="10" t="str"/>
      <x:c r="T164" s="10" t="str">
        <x:v>Резерв меняет выбор видео; снова проверить повод, аудиторию и все редакторские условия</x:v>
      </x:c>
      <x:c r="U164" s="9" t="str">
        <x:f>IF(D164="","Выбрать видео",IF(COUNTIFS($D$7:$D$371,D164)&gt;1,"Повтор","Без повтора"))</x:f>
        <x:v>Без повтора</x:v>
      </x:c>
    </x:row>
    <x:row r="165" ht="60" customHeight="1">
      <x:c r="A165" s="16" t="n">
        <x:v>46467</x:v>
      </x:c>
      <x:c r="B165" s="9" t="str">
        <x:v>Вс</x:v>
      </x:c>
      <x:c r="C165" s="10" t="str">
        <x:v>Сериал</x:v>
      </x:c>
      <x:c r="D165" s="19" t="str">
        <x:v>EaMcZYTxaDU</x:v>
      </x:c>
      <x:c r="E165" s="10" t="str">
        <x:f>IF(D165="","",IF(COUNTIFS('Видео'!$A$7:$A$1508,D165)=1,INDEX('Видео'!$B$7:$B$1508,MATCH(D165,'Видео'!$A$7:$A$1508,0)),"ID не найден"))</x:f>
        <x:v>קופה ראשית עונה 4🛒 | פרק 2 - הג'ל של ראמזי</x:v>
      </x:c>
      <x:c r="F165" s="9" t="str">
        <x:f>IF(D165="","",IF(COUNTIFS('Видео'!$A$7:$A$1508,D165)=1,INDEX('Видео'!$R$7:$R$1508,MATCH(D165,'Видео'!$A$7:$A$1508,0)),"ID не найден"))</x:f>
        <x:v>C002</x:v>
      </x:c>
      <x:c r="G165" s="9" t="str">
        <x:f>IF(D165="","",IF(COUNTIFS('Видео'!$A$7:$A$1508,D165)=1,INDEX('Видео'!$D$7:$D$1508,MATCH(D165,'Видео'!$A$7:$A$1508,0)),"ID не найден"))</x:f>
        <x:v>Сериал</x:v>
      </x:c>
      <x:c r="H165" s="10" t="str">
        <x:f>IF(D165="","",IF(COUNTIFS('Видео'!$A$7:$A$1508,D165)=1,INDEX('Видео'!$F$7:$F$1508,MATCH(D165,'Видео'!$A$7:$A$1508,0)),"ID не найден"))</x:f>
        <x:v>B1–B2 (гипотеза)</x:v>
      </x:c>
      <x:c r="I165" s="18" t="n">
        <x:f>IF(D165="","",IF(COUNTIFS('Видео'!$A$7:$A$1508,D165)=1,INDEX('Видео'!$G$7:$G$1508,MATCH(D165,'Видео'!$A$7:$A$1508,0)),"ID не найден"))</x:f>
        <x:v>25.8</x:v>
      </x:c>
      <x:c r="J165" s="18" t="n">
        <x:v>10</x:v>
      </x:c>
      <x:c r="K165" s="10" t="str">
        <x:f>IF(D165="","",IF(COUNTIFS('Видео'!$A$7:$A$1508,D165)=1,INDEX('Видео'!$AI$7:$AI$1508,MATCH(D165,'Видео'!$A$7:$A$1508,0)),"ID не найден"))</x:f>
        <x:v>Нужна редактура</x:v>
      </x:c>
      <x:c r="L165" s="19" t="str">
        <x:v>f2tsl_CA6cc</x:v>
      </x:c>
      <x:c r="M165" s="10" t="str">
        <x:f>IF(L165="","",IF(COUNTIFS('Видео'!$A$7:$A$1508,L165)=1,INDEX('Видео'!$B$7:$B$1508,MATCH(L165,'Видео'!$A$7:$A$1508,0)),"ID не найден"))</x:f>
        <x:v>אבק שריפה שחור (וחידה בסוף)</x:v>
      </x:c>
      <x:c r="N165" s="10" t="str"/>
      <x:c r="O165" s="10" t="str">
        <x:f>IF(D165="","",IF(COUNTIFS('Видео'!$A$7:$A$1508,D165)=1,INDEX('Видео'!$M$7:$M$1508,MATCH(D165,'Видео'!$A$7:$A$1508,0)),"ID не найден"))</x:f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65" s="11" t="str">
        <x:f>IF(D165="","",IF(COUNTIFS('Видео'!$A$7:$A$1508,D165)=1,INDEX('Видео'!$U$7:$U$1508,MATCH(D165,'Видео'!$A$7:$A$1508,0)),"ID не найден"))</x:f>
        <x:v>https://www.youtube.com/watch?v=EaMcZYTxaDU</x:v>
      </x:c>
      <x:c r="Q165" s="17" t="str">
        <x:v>Предложено</x:v>
      </x:c>
      <x:c r="R165" s="17" t="str"/>
      <x:c r="S165" s="10" t="str"/>
      <x:c r="T165" s="10" t="str">
        <x:v>При недоступной серии приостановить сюжетную ветку; резерв — самостоятельное видео</x:v>
      </x:c>
      <x:c r="U165" s="9" t="str">
        <x:f>IF(D165="","Выбрать видео",IF(COUNTIFS($D$7:$D$371,D165)&gt;1,"Повтор","Без повтора"))</x:f>
        <x:v>Без повтора</x:v>
      </x:c>
    </x:row>
    <x:row r="166" ht="60" customHeight="1">
      <x:c r="A166" s="16" t="n">
        <x:v>46468</x:v>
      </x:c>
      <x:c r="B166" s="9" t="str">
        <x:v>Пн</x:v>
      </x:c>
      <x:c r="C166" s="10" t="str">
        <x:v>Интервью</x:v>
      </x:c>
      <x:c r="D166" s="19" t="str">
        <x:v>1AsDJQJv4fw</x:v>
      </x:c>
      <x:c r="E166" s="10" t="str">
        <x:f>IF(D166="","",IF(COUNTIFS('Видео'!$A$7:$A$1508,D166)=1,INDEX('Видео'!$B$7:$B$1508,MATCH(D166,'Видео'!$A$7:$A$1508,0)),"ID не найден"))</x:f>
        <x:v>פגישה עם רוני קובן עונה 10 | ערן זהבי</x:v>
      </x:c>
      <x:c r="F166" s="9" t="str">
        <x:f>IF(D166="","",IF(COUNTIFS('Видео'!$A$7:$A$1508,D166)=1,INDEX('Видео'!$R$7:$R$1508,MATCH(D166,'Видео'!$A$7:$A$1508,0)),"ID не найден"))</x:f>
        <x:v>C013</x:v>
      </x:c>
      <x:c r="G166" s="9" t="str">
        <x:f>IF(D166="","",IF(COUNTIFS('Видео'!$A$7:$A$1508,D166)=1,INDEX('Видео'!$D$7:$D$1508,MATCH(D166,'Видео'!$A$7:$A$1508,0)),"ID не найден"))</x:f>
        <x:v>Интервью</x:v>
      </x:c>
      <x:c r="H166" s="10" t="str">
        <x:f>IF(D166="","",IF(COUNTIFS('Видео'!$A$7:$A$1508,D166)=1,INDEX('Видео'!$F$7:$F$1508,MATCH(D166,'Видео'!$A$7:$A$1508,0)),"ID не найден"))</x:f>
        <x:v>B2–C1 (гипотеза)</x:v>
      </x:c>
      <x:c r="I166" s="18" t="n">
        <x:f>IF(D166="","",IF(COUNTIFS('Видео'!$A$7:$A$1508,D166)=1,INDEX('Видео'!$G$7:$G$1508,MATCH(D166,'Видео'!$A$7:$A$1508,0)),"ID не найден"))</x:f>
        <x:v>35</x:v>
      </x:c>
      <x:c r="J166" s="18" t="n">
        <x:v>10</x:v>
      </x:c>
      <x:c r="K166" s="10" t="str">
        <x:f>IF(D166="","",IF(COUNTIFS('Видео'!$A$7:$A$1508,D166)=1,INDEX('Видео'!$AI$7:$AI$1508,MATCH(D166,'Видео'!$A$7:$A$1508,0)),"ID не найден"))</x:f>
        <x:v>Нужна редактура</x:v>
      </x:c>
      <x:c r="L166" s="19" t="str">
        <x:v>rCzbob5atGg</x:v>
      </x:c>
      <x:c r="M166" s="10" t="str">
        <x:f>IF(L166="","",IF(COUNTIFS('Видео'!$A$7:$A$1508,L166)=1,INDEX('Видео'!$B$7:$B$1508,MATCH(L166,'Видео'!$A$7:$A$1508,0)),"ID не найден"))</x:f>
        <x:v>האגדה החדשה על ה"אזהרה" לנתניהו - שומר סף קצרצר</x:v>
      </x:c>
      <x:c r="N166" s="10" t="str"/>
      <x:c r="O166" s="10" t="str">
        <x:f>IF(D166="","",IF(COUNTIFS('Видео'!$A$7:$A$1508,D166)=1,INDEX('Видео'!$M$7:$M$1508,MATCH(D166,'Видео'!$A$7:$A$1508,0)),"ID не найден"))</x:f>
        <x:v>Тема / гость: ערן זהבי. Просмотры в списке выше медианы выборки этого цикла в 1.93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66" s="11" t="str">
        <x:f>IF(D166="","",IF(COUNTIFS('Видео'!$A$7:$A$1508,D166)=1,INDEX('Видео'!$U$7:$U$1508,MATCH(D166,'Видео'!$A$7:$A$1508,0)),"ID не найден"))</x:f>
        <x:v>https://www.youtube.com/watch?v=1AsDJQJv4fw</x:v>
      </x:c>
      <x:c r="Q166" s="17" t="str">
        <x:v>Предложено</x:v>
      </x:c>
      <x:c r="R166" s="17" t="str"/>
      <x:c r="S166" s="10" t="str"/>
      <x:c r="T166" s="10" t="str">
        <x:v>Резерв меняет выбор видео; снова проверить повод, аудиторию и все редакторские условия</x:v>
      </x:c>
      <x:c r="U166" s="9" t="str">
        <x:f>IF(D166="","Выбрать видео",IF(COUNTIFS($D$7:$D$371,D166)&gt;1,"Повтор","Без повтора"))</x:f>
        <x:v>Без повтора</x:v>
      </x:c>
    </x:row>
    <x:row r="167" ht="60" customHeight="1">
      <x:c r="A167" s="16" t="n">
        <x:v>46469</x:v>
      </x:c>
      <x:c r="B167" s="9" t="str">
        <x:v>Вт</x:v>
      </x:c>
      <x:c r="C167" s="10" t="str">
        <x:v>Быт</x:v>
      </x:c>
      <x:c r="D167" s="19" t="str">
        <x:v>nkTOs-_bS-Q</x:v>
      </x:c>
      <x:c r="E167" s="10" t="str">
        <x:f>IF(D167="","",IF(COUNTIFS('Видео'!$A$7:$A$1508,D167)=1,INDEX('Видео'!$B$7:$B$1508,MATCH(D167,'Видео'!$A$7:$A$1508,0)),"ID не найден"))</x:f>
        <x:v>דוקותיים | אף מלחמה לא יכולה על שושן פורים בירושלים</x:v>
      </x:c>
      <x:c r="F167" s="9" t="str">
        <x:f>IF(D167="","",IF(COUNTIFS('Видео'!$A$7:$A$1508,D167)=1,INDEX('Видео'!$R$7:$R$1508,MATCH(D167,'Видео'!$A$7:$A$1508,0)),"ID не найден"))</x:f>
        <x:v>C043</x:v>
      </x:c>
      <x:c r="G167" s="9" t="str">
        <x:f>IF(D167="","",IF(COUNTIFS('Видео'!$A$7:$A$1508,D167)=1,INDEX('Видео'!$D$7:$D$1508,MATCH(D167,'Видео'!$A$7:$A$1508,0)),"ID не найден"))</x:f>
        <x:v>Быт</x:v>
      </x:c>
      <x:c r="H167" s="10" t="str">
        <x:f>IF(D167="","",IF(COUNTIFS('Видео'!$A$7:$A$1508,D167)=1,INDEX('Видео'!$F$7:$F$1508,MATCH(D167,'Видео'!$A$7:$A$1508,0)),"ID не найден"))</x:f>
        <x:v>B1–B2 (гипотеза)</x:v>
      </x:c>
      <x:c r="I167" s="18" t="n">
        <x:f>IF(D167="","",IF(COUNTIFS('Видео'!$A$7:$A$1508,D167)=1,INDEX('Видео'!$G$7:$G$1508,MATCH(D167,'Видео'!$A$7:$A$1508,0)),"ID не найден"))</x:f>
        <x:v>3</x:v>
      </x:c>
      <x:c r="J167" s="18" t="n">
        <x:v>5</x:v>
      </x:c>
      <x:c r="K167" s="10" t="str">
        <x:f>IF(D167="","",IF(COUNTIFS('Видео'!$A$7:$A$1508,D167)=1,INDEX('Видео'!$AI$7:$AI$1508,MATCH(D167,'Видео'!$A$7:$A$1508,0)),"ID не найден"))</x:f>
        <x:v>Нужна редактура</x:v>
      </x:c>
      <x:c r="L167" s="19" t="str">
        <x:v>SIK7AHCJ2Gk</x:v>
      </x:c>
      <x:c r="M167" s="10" t="str">
        <x:f>IF(L167="","",IF(COUNTIFS('Видео'!$A$7:$A$1508,L167)=1,INDEX('Видео'!$B$7:$B$1508,MATCH(L167,'Видео'!$A$7:$A$1508,0)),"ID не найден"))</x:f>
        <x:v>שום פלפל ושמן זית עונה 3 | ציפי שביט</x:v>
      </x:c>
      <x:c r="N167" s="10" t="str">
        <x:v>Пурим: праздничная жизнь Иерусалима</x:v>
      </x:c>
      <x:c r="O167" s="10" t="str">
        <x:f>IF(D167="","",IF(COUNTIFS('Видео'!$A$7:$A$1508,D167)=1,INDEX('Видео'!$M$7:$M$1508,MATCH(D167,'Видео'!$A$7:$A$1508,0)),"ID не найден"))</x:f>
        <x:v>Завершённый короткий просмотр около 3 мин. Короткая история реального человека подходит для ежедневной привычки. Разные профессии и места расширяют взгляд на страну.</x:v>
      </x:c>
      <x:c r="P167" s="11" t="str">
        <x:f>IF(D167="","",IF(COUNTIFS('Видео'!$A$7:$A$1508,D167)=1,INDEX('Видео'!$U$7:$U$1508,MATCH(D167,'Видео'!$A$7:$A$1508,0)),"ID не найден"))</x:f>
        <x:v>https://www.youtube.com/watch?v=nkTOs-_bS-Q</x:v>
      </x:c>
      <x:c r="Q167" s="17" t="str">
        <x:v>Предложено</x:v>
      </x:c>
      <x:c r="R167" s="17" t="str"/>
      <x:c r="S167" s="10" t="str">
        <x:v>https://www.hebcal.com/holidays/2027?i=on</x:v>
      </x:c>
      <x:c r="T167" s="10" t="str">
        <x:v>Резерв меняет выбор видео; снова проверить повод, аудиторию и все редакторские условия</x:v>
      </x:c>
      <x:c r="U167" s="9" t="str">
        <x:f>IF(D167="","Выбрать видео",IF(COUNTIFS($D$7:$D$371,D167)&gt;1,"Повтор","Без повтора"))</x:f>
        <x:v>Без повтора</x:v>
      </x:c>
    </x:row>
    <x:row r="168" ht="60" customHeight="1">
      <x:c r="A168" s="16" t="n">
        <x:v>46470</x:v>
      </x:c>
      <x:c r="B168" s="9" t="str">
        <x:v>Ср</x:v>
      </x:c>
      <x:c r="C168" s="10" t="str">
        <x:v>Быт</x:v>
      </x:c>
      <x:c r="D168" s="19" t="str">
        <x:v>Ec0nI7734NU</x:v>
      </x:c>
      <x:c r="E168" s="10" t="str">
        <x:f>IF(D168="","",IF(COUNTIFS('Видео'!$A$7:$A$1508,D168)=1,INDEX('Видео'!$B$7:$B$1508,MATCH(D168,'Видео'!$A$7:$A$1508,0)),"ID не найден"))</x:f>
        <x:v>ליגה ג' ⚽ | כדורגל זה לא אופרה - פרק 3</x:v>
      </x:c>
      <x:c r="F168" s="9" t="str">
        <x:f>IF(D168="","",IF(COUNTIFS('Видео'!$A$7:$A$1508,D168)=1,INDEX('Видео'!$R$7:$R$1508,MATCH(D168,'Видео'!$A$7:$A$1508,0)),"ID не найден"))</x:f>
        <x:v>C039</x:v>
      </x:c>
      <x:c r="G168" s="9" t="str">
        <x:f>IF(D168="","",IF(COUNTIFS('Видео'!$A$7:$A$1508,D168)=1,INDEX('Видео'!$D$7:$D$1508,MATCH(D168,'Видео'!$A$7:$A$1508,0)),"ID не найден"))</x:f>
        <x:v>Быт</x:v>
      </x:c>
      <x:c r="H168" s="10" t="str">
        <x:f>IF(D168="","",IF(COUNTIFS('Видео'!$A$7:$A$1508,D168)=1,INDEX('Видео'!$F$7:$F$1508,MATCH(D168,'Видео'!$A$7:$A$1508,0)),"ID не найден"))</x:f>
        <x:v>B2–C1 (гипотеза)</x:v>
      </x:c>
      <x:c r="I168" s="18" t="n">
        <x:f>IF(D168="","",IF(COUNTIFS('Видео'!$A$7:$A$1508,D168)=1,INDEX('Видео'!$G$7:$G$1508,MATCH(D168,'Видео'!$A$7:$A$1508,0)),"ID не найден"))</x:f>
        <x:v>38.7</x:v>
      </x:c>
      <x:c r="J168" s="18" t="n">
        <x:v>10</x:v>
      </x:c>
      <x:c r="K168" s="10" t="str">
        <x:f>IF(D168="","",IF(COUNTIFS('Видео'!$A$7:$A$1508,D168)=1,INDEX('Видео'!$AI$7:$AI$1508,MATCH(D168,'Видео'!$A$7:$A$1508,0)),"ID не найден"))</x:f>
        <x:v>Нужна редактура</x:v>
      </x:c>
      <x:c r="L168" s="19" t="str">
        <x:v>YhOVNYR1iHQ</x:v>
      </x:c>
      <x:c r="M168" s="10" t="str">
        <x:f>IF(L168="","",IF(COUNTIFS('Видео'!$A$7:$A$1508,L168)=1,INDEX('Видео'!$B$7:$B$1508,MATCH(L168,'Видео'!$A$7:$A$1508,0)),"ID не найден"))</x:f>
        <x:v>לוחם השייטת גל הכהן גולש עם סטיב הכלב שלו | דוקותיים</x:v>
      </x:c>
      <x:c r="N168" s="10" t="str"/>
      <x:c r="O168" s="10" t="str">
        <x:f>IF(D168="","",IF(COUNTIFS('Видео'!$A$7:$A$1508,D168)=1,INDEX('Видео'!$M$7:$M$1508,MATCH(D168,'Видео'!$A$7:$A$1508,0)),"ID не найден"))</x:f>
        <x:v>Тема: ליגה ג' ⚽ | כדורגל זה לא אופרה - פרק 3. Любительский футбол показывает местные сообщества вне привычного образа Тель-Авива.</x:v>
      </x:c>
      <x:c r="P168" s="11" t="str">
        <x:f>IF(D168="","",IF(COUNTIFS('Видео'!$A$7:$A$1508,D168)=1,INDEX('Видео'!$U$7:$U$1508,MATCH(D168,'Видео'!$A$7:$A$1508,0)),"ID не найден"))</x:f>
        <x:v>https://www.youtube.com/watch?v=Ec0nI7734NU</x:v>
      </x:c>
      <x:c r="Q168" s="17" t="str">
        <x:v>Предложено</x:v>
      </x:c>
      <x:c r="R168" s="17" t="str"/>
      <x:c r="S168" s="10" t="str"/>
      <x:c r="T168" s="10" t="str">
        <x:v>Резерв меняет выбор видео; снова проверить повод, аудиторию и все редакторские условия</x:v>
      </x:c>
      <x:c r="U168" s="9" t="str">
        <x:f>IF(D168="","Выбрать видео",IF(COUNTIFS($D$7:$D$371,D168)&gt;1,"Повтор","Без повтора"))</x:f>
        <x:v>Без повтора</x:v>
      </x:c>
    </x:row>
    <x:row r="169" ht="60" customHeight="1">
      <x:c r="A169" s="16" t="n">
        <x:v>46471</x:v>
      </x:c>
      <x:c r="B169" s="9" t="str">
        <x:v>Чт</x:v>
      </x:c>
      <x:c r="C169" s="10" t="str">
        <x:v>Сериал</x:v>
      </x:c>
      <x:c r="D169" s="19" t="str">
        <x:v>UjxmVdQwCGA</x:v>
      </x:c>
      <x:c r="E169" s="10" t="str">
        <x:f>IF(D169="","",IF(COUNTIFS('Видео'!$A$7:$A$1508,D169)=1,INDEX('Видео'!$B$7:$B$1508,MATCH(D169,'Видео'!$A$7:$A$1508,0)),"ID не найден"))</x:f>
        <x:v>אחד על אחד 📚 - סדרה חדשה! | פרק 3 - בהצלחה מוטי</x:v>
      </x:c>
      <x:c r="F169" s="9" t="str">
        <x:f>IF(D169="","",IF(COUNTIFS('Видео'!$A$7:$A$1508,D169)=1,INDEX('Видео'!$R$7:$R$1508,MATCH(D169,'Видео'!$A$7:$A$1508,0)),"ID не найден"))</x:f>
        <x:v>C009</x:v>
      </x:c>
      <x:c r="G169" s="9" t="str">
        <x:f>IF(D169="","",IF(COUNTIFS('Видео'!$A$7:$A$1508,D169)=1,INDEX('Видео'!$D$7:$D$1508,MATCH(D169,'Видео'!$A$7:$A$1508,0)),"ID не найден"))</x:f>
        <x:v>Сериал</x:v>
      </x:c>
      <x:c r="H169" s="10" t="str">
        <x:f>IF(D169="","",IF(COUNTIFS('Видео'!$A$7:$A$1508,D169)=1,INDEX('Видео'!$F$7:$F$1508,MATCH(D169,'Видео'!$A$7:$A$1508,0)),"ID не найден"))</x:f>
        <x:v>B1–B2 (гипотеза)</x:v>
      </x:c>
      <x:c r="I169" s="18" t="n">
        <x:f>IF(D169="","",IF(COUNTIFS('Видео'!$A$7:$A$1508,D169)=1,INDEX('Видео'!$G$7:$G$1508,MATCH(D169,'Видео'!$A$7:$A$1508,0)),"ID не найден"))</x:f>
        <x:v>31.6</x:v>
      </x:c>
      <x:c r="J169" s="18" t="n">
        <x:v>10</x:v>
      </x:c>
      <x:c r="K169" s="10" t="str">
        <x:f>IF(D169="","",IF(COUNTIFS('Видео'!$A$7:$A$1508,D169)=1,INDEX('Видео'!$AI$7:$AI$1508,MATCH(D169,'Видео'!$A$7:$A$1508,0)),"ID не найден"))</x:f>
        <x:v>Нужна редактура</x:v>
      </x:c>
      <x:c r="L169" s="19" t="str">
        <x:v>4zSxWSaCHIQ</x:v>
      </x:c>
      <x:c r="M169" s="10" t="str">
        <x:f>IF(L169="","",IF(COUNTIFS('Видео'!$A$7:$A$1508,L169)=1,INDEX('Видео'!$B$7:$B$1508,MATCH(L169,'Видео'!$A$7:$A$1508,0)),"ID не найден"))</x:f>
        <x:v>איך לגרום לצבעים לזהור בחשכה?</x:v>
      </x:c>
      <x:c r="N169" s="10" t="str"/>
      <x:c r="O169" s="10" t="str">
        <x:f>IF(D169="","",IF(COUNTIFS('Видео'!$A$7:$A$1508,D169)=1,INDEX('Видео'!$M$7:$M$1508,MATCH(D169,'Видео'!$A$7:$A$1508,0)),"ID не найден"))</x:f>
        <x:v>Эпизод 3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P169" s="11" t="str">
        <x:f>IF(D169="","",IF(COUNTIFS('Видео'!$A$7:$A$1508,D169)=1,INDEX('Видео'!$U$7:$U$1508,MATCH(D169,'Видео'!$A$7:$A$1508,0)),"ID не найден"))</x:f>
        <x:v>https://www.youtube.com/watch?v=UjxmVdQwCGA</x:v>
      </x:c>
      <x:c r="Q169" s="17" t="str">
        <x:v>Предложено</x:v>
      </x:c>
      <x:c r="R169" s="17" t="str"/>
      <x:c r="S169" s="10" t="str"/>
      <x:c r="T169" s="10" t="str">
        <x:v>При недоступной серии приостановить сюжетную ветку; резерв — самостоятельное видео</x:v>
      </x:c>
      <x:c r="U169" s="9" t="str">
        <x:f>IF(D169="","Выбрать видео",IF(COUNTIFS($D$7:$D$371,D169)&gt;1,"Повтор","Без повтора"))</x:f>
        <x:v>Без повтора</x:v>
      </x:c>
    </x:row>
    <x:row r="170" ht="60" customHeight="1">
      <x:c r="A170" s="16" t="n">
        <x:v>46472</x:v>
      </x:c>
      <x:c r="B170" s="9" t="str">
        <x:v>Пт</x:v>
      </x:c>
      <x:c r="C170" s="10" t="str">
        <x:v>Культура</x:v>
      </x:c>
      <x:c r="D170" s="19" t="str">
        <x:v>_MpnP27-upI</x:v>
      </x:c>
      <x:c r="E170" s="10" t="str">
        <x:f>IF(D170="","",IF(COUNTIFS('Видео'!$A$7:$A$1508,D170)=1,INDEX('Видео'!$B$7:$B$1508,MATCH(D170,'Видео'!$A$7:$A$1508,0)),"ID не найден"))</x:f>
        <x:v>סיפורים מהכורסה 🛋️ | על אהבה ויחסים - פרק 5</x:v>
      </x:c>
      <x:c r="F170" s="9" t="str">
        <x:f>IF(D170="","",IF(COUNTIFS('Видео'!$A$7:$A$1508,D170)=1,INDEX('Видео'!$R$7:$R$1508,MATCH(D170,'Видео'!$A$7:$A$1508,0)),"ID не найден"))</x:f>
        <x:v>C025</x:v>
      </x:c>
      <x:c r="G170" s="9" t="str">
        <x:f>IF(D170="","",IF(COUNTIFS('Видео'!$A$7:$A$1508,D170)=1,INDEX('Видео'!$D$7:$D$1508,MATCH(D170,'Видео'!$A$7:$A$1508,0)),"ID не найден"))</x:f>
        <x:v>Культура</x:v>
      </x:c>
      <x:c r="H170" s="10" t="str">
        <x:f>IF(D170="","",IF(COUNTIFS('Видео'!$A$7:$A$1508,D170)=1,INDEX('Видео'!$F$7:$F$1508,MATCH(D170,'Видео'!$A$7:$A$1508,0)),"ID не найден"))</x:f>
        <x:v>B2–C1 (гипотеза)</x:v>
      </x:c>
      <x:c r="I170" s="18" t="n">
        <x:f>IF(D170="","",IF(COUNTIFS('Видео'!$A$7:$A$1508,D170)=1,INDEX('Видео'!$G$7:$G$1508,MATCH(D170,'Видео'!$A$7:$A$1508,0)),"ID не найден"))</x:f>
        <x:v>28.7</x:v>
      </x:c>
      <x:c r="J170" s="18" t="n">
        <x:v>10</x:v>
      </x:c>
      <x:c r="K170" s="10" t="str">
        <x:f>IF(D170="","",IF(COUNTIFS('Видео'!$A$7:$A$1508,D170)=1,INDEX('Видео'!$AI$7:$AI$1508,MATCH(D170,'Видео'!$A$7:$A$1508,0)),"ID не найден"))</x:f>
        <x:v>Нужна редактура</x:v>
      </x:c>
      <x:c r="L170" s="19" t="str">
        <x:v>tTUtatYQfy4</x:v>
      </x:c>
      <x:c r="M170" s="10" t="str">
        <x:f>IF(L170="","",IF(COUNTIFS('Видео'!$A$7:$A$1508,L170)=1,INDEX('Видео'!$B$7:$B$1508,MATCH(L170,'Видео'!$A$7:$A$1508,0)),"ID не найден"))</x:f>
        <x:v>שיר אחד 🎤 עיבוד טלוויזיוני להסכת | גלי עטרי - אין לי ארץ אחרת</x:v>
      </x:c>
      <x:c r="N170" s="10" t="str"/>
      <x:c r="O170" s="10" t="str">
        <x:f>IF(D170="","",IF(COUNTIFS('Видео'!$A$7:$A$1508,D170)=1,INDEX('Видео'!$M$7:$M$1508,MATCH(D170,'Видео'!$A$7:$A$1508,0)),"ID не найден"))</x:f>
        <x:v>Тема: סיפורים מהכורסה 🛋️ | על אהבה ויחסים - פרק 5. Короткие личные истории и комики дают материал для пересказа и знакомства с культурными кодами.</x:v>
      </x:c>
      <x:c r="P170" s="11" t="str">
        <x:f>IF(D170="","",IF(COUNTIFS('Видео'!$A$7:$A$1508,D170)=1,INDEX('Видео'!$U$7:$U$1508,MATCH(D170,'Видео'!$A$7:$A$1508,0)),"ID не найден"))</x:f>
        <x:v>https://www.youtube.com/watch?v=_MpnP27-upI</x:v>
      </x:c>
      <x:c r="Q170" s="17" t="str">
        <x:v>Предложено</x:v>
      </x:c>
      <x:c r="R170" s="17" t="str"/>
      <x:c r="S170" s="10" t="str"/>
      <x:c r="T170" s="10" t="str">
        <x:v>Резерв меняет выбор видео; снова проверить повод, аудиторию и все редакторские условия</x:v>
      </x:c>
      <x:c r="U170" s="9" t="str">
        <x:f>IF(D170="","Выбрать видео",IF(COUNTIFS($D$7:$D$371,D170)&gt;1,"Повтор","Без повтора"))</x:f>
        <x:v>Без повтора</x:v>
      </x:c>
    </x:row>
    <x:row r="171" ht="60" customHeight="1">
      <x:c r="A171" s="16" t="n">
        <x:v>46473</x:v>
      </x:c>
      <x:c r="B171" s="9" t="str">
        <x:v>Сб</x:v>
      </x:c>
      <x:c r="C171" s="10" t="str">
        <x:v>Общество</x:v>
      </x:c>
      <x:c r="D171" s="19" t="str">
        <x:v>0soc7lXQiyA</x:v>
      </x:c>
      <x:c r="E171" s="10" t="str">
        <x:f>IF(D171="","",IF(COUNTIFS('Видео'!$A$7:$A$1508,D171)=1,INDEX('Видео'!$B$7:$B$1508,MATCH(D171,'Видео'!$A$7:$A$1508,0)),"ID не найден"))</x:f>
        <x:v>זמן אמת עונה 9 | פרק 5 - החגיגה נגמרת: תחקיר על איש העסקים משה חוגג</x:v>
      </x:c>
      <x:c r="F171" s="9" t="str">
        <x:f>IF(D171="","",IF(COUNTIFS('Видео'!$A$7:$A$1508,D171)=1,INDEX('Видео'!$R$7:$R$1508,MATCH(D171,'Видео'!$A$7:$A$1508,0)),"ID не найден"))</x:f>
        <x:v>C040</x:v>
      </x:c>
      <x:c r="G171" s="9" t="str">
        <x:f>IF(D171="","",IF(COUNTIFS('Видео'!$A$7:$A$1508,D171)=1,INDEX('Видео'!$D$7:$D$1508,MATCH(D171,'Видео'!$A$7:$A$1508,0)),"ID не найден"))</x:f>
        <x:v>Общество</x:v>
      </x:c>
      <x:c r="H171" s="10" t="str">
        <x:f>IF(D171="","",IF(COUNTIFS('Видео'!$A$7:$A$1508,D171)=1,INDEX('Видео'!$F$7:$F$1508,MATCH(D171,'Видео'!$A$7:$A$1508,0)),"ID не найден"))</x:f>
        <x:v>B2–C1 (гипотеза)</x:v>
      </x:c>
      <x:c r="I171" s="18" t="n">
        <x:f>IF(D171="","",IF(COUNTIFS('Видео'!$A$7:$A$1508,D171)=1,INDEX('Видео'!$G$7:$G$1508,MATCH(D171,'Видео'!$A$7:$A$1508,0)),"ID не найден"))</x:f>
        <x:v>64.3</x:v>
      </x:c>
      <x:c r="J171" s="18" t="n">
        <x:v>10</x:v>
      </x:c>
      <x:c r="K171" s="10" t="str">
        <x:f>IF(D171="","",IF(COUNTIFS('Видео'!$A$7:$A$1508,D171)=1,INDEX('Видео'!$AI$7:$AI$1508,MATCH(D171,'Видео'!$A$7:$A$1508,0)),"ID не найден"))</x:f>
        <x:v>Нужна редактура</x:v>
      </x:c>
      <x:c r="L171" s="19" t="str">
        <x:v>8wKdkgOFIAU</x:v>
      </x:c>
      <x:c r="M171" s="10" t="str">
        <x:f>IF(L171="","",IF(COUNTIFS('Видео'!$A$7:$A$1508,L171)=1,INDEX('Видео'!$B$7:$B$1508,MATCH(L171,'Видео'!$A$7:$A$1508,0)),"ID не найден"))</x:f>
        <x:v>כאן מקשיבים: בעלי לא נותן לי גט 22 שנה</x:v>
      </x:c>
      <x:c r="N171" s="10" t="str"/>
      <x:c r="O171" s="10" t="str">
        <x:f>IF(D171="","",IF(COUNTIFS('Видео'!$A$7:$A$1508,D171)=1,INDEX('Видео'!$M$7:$M$1508,MATCH(D171,'Видео'!$A$7:$A$1508,0)),"ID не найден"))</x:f>
        <x:v>Тема: זמן אמת עונה 9 | פרק 5 - החגיגה נגמרת: תחקיר על איש העסקים משה חוגג. Просмотры в списке выше медианы выборки этого цикла в 2.16 раза. Расследования привлекают любителей документального жанра и дают материал для критического чтения медиа.</x:v>
      </x:c>
      <x:c r="P171" s="11" t="str">
        <x:f>IF(D171="","",IF(COUNTIFS('Видео'!$A$7:$A$1508,D171)=1,INDEX('Видео'!$U$7:$U$1508,MATCH(D171,'Видео'!$A$7:$A$1508,0)),"ID не найден"))</x:f>
        <x:v>https://www.youtube.com/watch?v=0soc7lXQiyA</x:v>
      </x:c>
      <x:c r="Q171" s="17" t="str">
        <x:v>Предложено</x:v>
      </x:c>
      <x:c r="R171" s="17" t="str"/>
      <x:c r="S171" s="10" t="str"/>
      <x:c r="T171" s="10" t="str">
        <x:v>Резерв меняет выбор видео; снова проверить повод, аудиторию и все редакторские условия</x:v>
      </x:c>
      <x:c r="U171" s="9" t="str">
        <x:f>IF(D171="","Выбрать видео",IF(COUNTIFS($D$7:$D$371,D171)&gt;1,"Повтор","Без повтора"))</x:f>
        <x:v>Без повтора</x:v>
      </x:c>
    </x:row>
    <x:row r="172" ht="60" customHeight="1">
      <x:c r="A172" s="16" t="n">
        <x:v>46474</x:v>
      </x:c>
      <x:c r="B172" s="9" t="str">
        <x:v>Вс</x:v>
      </x:c>
      <x:c r="C172" s="10" t="str">
        <x:v>Сериал</x:v>
      </x:c>
      <x:c r="D172" s="19" t="str">
        <x:v>GGBXF3mMrj4</x:v>
      </x:c>
      <x:c r="E172" s="10" t="str">
        <x:f>IF(D172="","",IF(COUNTIFS('Видео'!$A$7:$A$1508,D172)=1,INDEX('Видео'!$B$7:$B$1508,MATCH(D172,'Видео'!$A$7:$A$1508,0)),"ID не найден"))</x:f>
        <x:v>קופה ראשית עונה 4🛒  | פרק 3 - טיטינסקים לא קונים בעונה</x:v>
      </x:c>
      <x:c r="F172" s="9" t="str">
        <x:f>IF(D172="","",IF(COUNTIFS('Видео'!$A$7:$A$1508,D172)=1,INDEX('Видео'!$R$7:$R$1508,MATCH(D172,'Видео'!$A$7:$A$1508,0)),"ID не найден"))</x:f>
        <x:v>C002</x:v>
      </x:c>
      <x:c r="G172" s="9" t="str">
        <x:f>IF(D172="","",IF(COUNTIFS('Видео'!$A$7:$A$1508,D172)=1,INDEX('Видео'!$D$7:$D$1508,MATCH(D172,'Видео'!$A$7:$A$1508,0)),"ID не найден"))</x:f>
        <x:v>Сериал</x:v>
      </x:c>
      <x:c r="H172" s="10" t="str">
        <x:f>IF(D172="","",IF(COUNTIFS('Видео'!$A$7:$A$1508,D172)=1,INDEX('Видео'!$F$7:$F$1508,MATCH(D172,'Видео'!$A$7:$A$1508,0)),"ID не найден"))</x:f>
        <x:v>B1–B2 (гипотеза)</x:v>
      </x:c>
      <x:c r="I172" s="18" t="n">
        <x:f>IF(D172="","",IF(COUNTIFS('Видео'!$A$7:$A$1508,D172)=1,INDEX('Видео'!$G$7:$G$1508,MATCH(D172,'Видео'!$A$7:$A$1508,0)),"ID не найден"))</x:f>
        <x:v>23.1</x:v>
      </x:c>
      <x:c r="J172" s="18" t="n">
        <x:v>10</x:v>
      </x:c>
      <x:c r="K172" s="10" t="str">
        <x:f>IF(D172="","",IF(COUNTIFS('Видео'!$A$7:$A$1508,D172)=1,INDEX('Видео'!$AI$7:$AI$1508,MATCH(D172,'Видео'!$A$7:$A$1508,0)),"ID не найден"))</x:f>
        <x:v>Нужна редактура</x:v>
      </x:c>
      <x:c r="L172" s="19" t="str">
        <x:v>_A1HTkSCmVw</x:v>
      </x:c>
      <x:c r="M172" s="10" t="str">
        <x:f>IF(L172="","",IF(COUNTIFS('Видео'!$A$7:$A$1508,L172)=1,INDEX('Видео'!$B$7:$B$1508,MATCH(L172,'Видео'!$A$7:$A$1508,0)),"ID не найден"))</x:f>
        <x:v>ווסט זוהר ומשקפות מוזרות - הכירו את המודדים | כאן מסבירים</x:v>
      </x:c>
      <x:c r="N172" s="10" t="str"/>
      <x:c r="O172" s="10" t="str">
        <x:f>IF(D172="","",IF(COUNTIFS('Видео'!$A$7:$A$1508,D172)=1,INDEX('Видео'!$M$7:$M$1508,MATCH(D172,'Видео'!$A$7:$A$1508,0)),"ID не найден"))</x:f>
        <x:v>Эпизод 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72" s="11" t="str">
        <x:f>IF(D172="","",IF(COUNTIFS('Видео'!$A$7:$A$1508,D172)=1,INDEX('Видео'!$U$7:$U$1508,MATCH(D172,'Видео'!$A$7:$A$1508,0)),"ID не найден"))</x:f>
        <x:v>https://www.youtube.com/watch?v=GGBXF3mMrj4</x:v>
      </x:c>
      <x:c r="Q172" s="17" t="str">
        <x:v>Предложено</x:v>
      </x:c>
      <x:c r="R172" s="17" t="str"/>
      <x:c r="S172" s="10" t="str"/>
      <x:c r="T172" s="10" t="str">
        <x:v>При недоступной серии приостановить сюжетную ветку; резерв — самостоятельное видео</x:v>
      </x:c>
      <x:c r="U172" s="9" t="str">
        <x:f>IF(D172="","Выбрать видео",IF(COUNTIFS($D$7:$D$371,D172)&gt;1,"Повтор","Без повтора"))</x:f>
        <x:v>Без повтора</x:v>
      </x:c>
    </x:row>
    <x:row r="173" ht="60" customHeight="1">
      <x:c r="A173" s="16" t="n">
        <x:v>46475</x:v>
      </x:c>
      <x:c r="B173" s="9" t="str">
        <x:v>Пн</x:v>
      </x:c>
      <x:c r="C173" s="10" t="str">
        <x:v>Интервью</x:v>
      </x:c>
      <x:c r="D173" s="19" t="str">
        <x:v>F014bRVBSvI</x:v>
      </x:c>
      <x:c r="E173" s="10" t="str">
        <x:f>IF(D173="","",IF(COUNTIFS('Видео'!$A$7:$A$1508,D173)=1,INDEX('Видео'!$B$7:$B$1508,MATCH(D173,'Видео'!$A$7:$A$1508,0)),"ID не найден"))</x:f>
        <x:v>פגישה עם רוני קובן עונה 9 | ליאור שליין</x:v>
      </x:c>
      <x:c r="F173" s="9" t="str">
        <x:f>IF(D173="","",IF(COUNTIFS('Видео'!$A$7:$A$1508,D173)=1,INDEX('Видео'!$R$7:$R$1508,MATCH(D173,'Видео'!$A$7:$A$1508,0)),"ID не найден"))</x:f>
        <x:v>C014</x:v>
      </x:c>
      <x:c r="G173" s="9" t="str">
        <x:f>IF(D173="","",IF(COUNTIFS('Видео'!$A$7:$A$1508,D173)=1,INDEX('Видео'!$D$7:$D$1508,MATCH(D173,'Видео'!$A$7:$A$1508,0)),"ID не найден"))</x:f>
        <x:v>Интервью</x:v>
      </x:c>
      <x:c r="H173" s="10" t="str">
        <x:f>IF(D173="","",IF(COUNTIFS('Видео'!$A$7:$A$1508,D173)=1,INDEX('Видео'!$F$7:$F$1508,MATCH(D173,'Видео'!$A$7:$A$1508,0)),"ID не найден"))</x:f>
        <x:v>B2–C1 (гипотеза)</x:v>
      </x:c>
      <x:c r="I173" s="18" t="n">
        <x:f>IF(D173="","",IF(COUNTIFS('Видео'!$A$7:$A$1508,D173)=1,INDEX('Видео'!$G$7:$G$1508,MATCH(D173,'Видео'!$A$7:$A$1508,0)),"ID не найден"))</x:f>
        <x:v>36</x:v>
      </x:c>
      <x:c r="J173" s="18" t="n">
        <x:v>10</x:v>
      </x:c>
      <x:c r="K173" s="10" t="str">
        <x:f>IF(D173="","",IF(COUNTIFS('Видео'!$A$7:$A$1508,D173)=1,INDEX('Видео'!$AI$7:$AI$1508,MATCH(D173,'Видео'!$A$7:$A$1508,0)),"ID не найден"))</x:f>
        <x:v>Нужна редактура</x:v>
      </x:c>
      <x:c r="L173" s="19" t="str">
        <x:v>Mi30rGgxV6Y</x:v>
      </x:c>
      <x:c r="M173" s="10" t="str">
        <x:f>IF(L173="","",IF(COUNTIFS('Видео'!$A$7:$A$1508,L173)=1,INDEX('Видео'!$B$7:$B$1508,MATCH(L173,'Видео'!$A$7:$A$1508,0)),"ID не найден"))</x:f>
        <x:v>שיחה עם עודד הרוש: - ח"כ משה סעדה I התכנית המלאה</x:v>
      </x:c>
      <x:c r="N173" s="10" t="str"/>
      <x:c r="O173" s="10" t="str">
        <x:f>IF(D173="","",IF(COUNTIFS('Видео'!$A$7:$A$1508,D173)=1,INDEX('Видео'!$M$7:$M$1508,MATCH(D173,'Видео'!$A$7:$A$1508,0)),"ID не найден"))</x:f>
        <x:v>Тема / гость: ליאור שליין. Просмотры в списке выше медианы выборки этого цикла в 2.47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73" s="11" t="str">
        <x:f>IF(D173="","",IF(COUNTIFS('Видео'!$A$7:$A$1508,D173)=1,INDEX('Видео'!$U$7:$U$1508,MATCH(D173,'Видео'!$A$7:$A$1508,0)),"ID не найден"))</x:f>
        <x:v>https://www.youtube.com/watch?v=F014bRVBSvI</x:v>
      </x:c>
      <x:c r="Q173" s="17" t="str">
        <x:v>Предложено</x:v>
      </x:c>
      <x:c r="R173" s="17" t="str"/>
      <x:c r="S173" s="10" t="str"/>
      <x:c r="T173" s="10" t="str">
        <x:v>Резерв меняет выбор видео; снова проверить повод, аудиторию и все редакторские условия</x:v>
      </x:c>
      <x:c r="U173" s="9" t="str">
        <x:f>IF(D173="","Выбрать видео",IF(COUNTIFS($D$7:$D$371,D173)&gt;1,"Повтор","Без повтора"))</x:f>
        <x:v>Без повтора</x:v>
      </x:c>
    </x:row>
    <x:row r="174" ht="60" customHeight="1">
      <x:c r="A174" s="16" t="n">
        <x:v>46476</x:v>
      </x:c>
      <x:c r="B174" s="9" t="str">
        <x:v>Вт</x:v>
      </x:c>
      <x:c r="C174" s="10" t="str">
        <x:v>Образование</x:v>
      </x:c>
      <x:c r="D174" s="19" t="str">
        <x:v>jAybKifO4l8</x:v>
      </x:c>
      <x:c r="E174" s="10" t="str">
        <x:f>IF(D174="","",IF(COUNTIFS('Видео'!$A$7:$A$1508,D174)=1,INDEX('Видео'!$B$7:$B$1508,MATCH(D174,'Видео'!$A$7:$A$1508,0)),"ID не найден"))</x:f>
        <x:v>חיות כיס | למה נהגי האוטובוס כל כך עצבניים? 🚌</x:v>
      </x:c>
      <x:c r="F174" s="9" t="str">
        <x:f>IF(D174="","",IF(COUNTIFS('Видео'!$A$7:$A$1508,D174)=1,INDEX('Видео'!$R$7:$R$1508,MATCH(D174,'Видео'!$A$7:$A$1508,0)),"ID не найден"))</x:f>
        <x:v>C049</x:v>
      </x:c>
      <x:c r="G174" s="9" t="str">
        <x:f>IF(D174="","",IF(COUNTIFS('Видео'!$A$7:$A$1508,D174)=1,INDEX('Видео'!$D$7:$D$1508,MATCH(D174,'Видео'!$A$7:$A$1508,0)),"ID не найден"))</x:f>
        <x:v>Образование</x:v>
      </x:c>
      <x:c r="H174" s="10" t="str">
        <x:f>IF(D174="","",IF(COUNTIFS('Видео'!$A$7:$A$1508,D174)=1,INDEX('Видео'!$F$7:$F$1508,MATCH(D174,'Видео'!$A$7:$A$1508,0)),"ID не найден"))</x:f>
        <x:v>B1–B2 (гипотеза)</x:v>
      </x:c>
      <x:c r="I174" s="18" t="n">
        <x:f>IF(D174="","",IF(COUNTIFS('Видео'!$A$7:$A$1508,D174)=1,INDEX('Видео'!$G$7:$G$1508,MATCH(D174,'Видео'!$A$7:$A$1508,0)),"ID не найден"))</x:f>
        <x:v>3</x:v>
      </x:c>
      <x:c r="J174" s="18" t="n">
        <x:v>5</x:v>
      </x:c>
      <x:c r="K174" s="10" t="str">
        <x:f>IF(D174="","",IF(COUNTIFS('Видео'!$A$7:$A$1508,D174)=1,INDEX('Видео'!$AI$7:$AI$1508,MATCH(D174,'Видео'!$A$7:$A$1508,0)),"ID не найден"))</x:f>
        <x:v>Нужна редактура</x:v>
      </x:c>
      <x:c r="L174" s="19" t="str">
        <x:v>HZtB9MUNq_U</x:v>
      </x:c>
      <x:c r="M174" s="10" t="str">
        <x:f>IF(L174="","",IF(COUNTIFS('Видео'!$A$7:$A$1508,L174)=1,INDEX('Видео'!$B$7:$B$1508,MATCH(L174,'Видео'!$A$7:$A$1508,0)),"ID не найден"))</x:f>
        <x:v>המרדף עונה 9 | פרק 5</x:v>
      </x:c>
      <x:c r="N174" s="10" t="str"/>
      <x:c r="O174" s="10" t="str">
        <x:f>IF(D174="","",IF(COUNTIFS('Видео'!$A$7:$A$1508,D174)=1,INDEX('Видео'!$M$7:$M$1508,MATCH(D174,'Видео'!$A$7:$A$1508,0)),"ID не найден"))</x:f>
        <x:v>Завершённый короткий просмотр около 3 мин. Просмотры в списке выше медианы выборки этого цикла в 4.62 раза. Экономика через бытовой вопрос полезна зрителю с практической мотивацией.</x:v>
      </x:c>
      <x:c r="P174" s="11" t="str">
        <x:f>IF(D174="","",IF(COUNTIFS('Видео'!$A$7:$A$1508,D174)=1,INDEX('Видео'!$U$7:$U$1508,MATCH(D174,'Видео'!$A$7:$A$1508,0)),"ID не найден"))</x:f>
        <x:v>https://www.youtube.com/watch?v=jAybKifO4l8</x:v>
      </x:c>
      <x:c r="Q174" s="17" t="str">
        <x:v>Предложено</x:v>
      </x:c>
      <x:c r="R174" s="17" t="str"/>
      <x:c r="S174" s="10" t="str"/>
      <x:c r="T174" s="10" t="str">
        <x:v>Резерв меняет выбор видео; снова проверить повод, аудиторию и все редакторские условия</x:v>
      </x:c>
      <x:c r="U174" s="9" t="str">
        <x:f>IF(D174="","Выбрать видео",IF(COUNTIFS($D$7:$D$371,D174)&gt;1,"Повтор","Без повтора"))</x:f>
        <x:v>Без повтора</x:v>
      </x:c>
    </x:row>
    <x:row r="175" ht="60" customHeight="1">
      <x:c r="A175" s="16" t="n">
        <x:v>46477</x:v>
      </x:c>
      <x:c r="B175" s="9" t="str">
        <x:v>Ср</x:v>
      </x:c>
      <x:c r="C175" s="10" t="str">
        <x:v>Быт</x:v>
      </x:c>
      <x:c r="D175" s="19" t="str">
        <x:v>WagcwfyBz_o</x:v>
      </x:c>
      <x:c r="E175" s="10" t="str">
        <x:f>IF(D175="","",IF(COUNTIFS('Видео'!$A$7:$A$1508,D175)=1,INDEX('Видео'!$B$7:$B$1508,MATCH(D175,'Видео'!$A$7:$A$1508,0)),"ID не найден"))</x:f>
        <x:v>דוקותיים | גלית מיילדת גם בזמן אזעקות</x:v>
      </x:c>
      <x:c r="F175" s="9" t="str">
        <x:f>IF(D175="","",IF(COUNTIFS('Видео'!$A$7:$A$1508,D175)=1,INDEX('Видео'!$R$7:$R$1508,MATCH(D175,'Видео'!$A$7:$A$1508,0)),"ID не найден"))</x:f>
        <x:v>C043</x:v>
      </x:c>
      <x:c r="G175" s="9" t="str">
        <x:f>IF(D175="","",IF(COUNTIFS('Видео'!$A$7:$A$1508,D175)=1,INDEX('Видео'!$D$7:$D$1508,MATCH(D175,'Видео'!$A$7:$A$1508,0)),"ID не найден"))</x:f>
        <x:v>Быт</x:v>
      </x:c>
      <x:c r="H175" s="10" t="str">
        <x:f>IF(D175="","",IF(COUNTIFS('Видео'!$A$7:$A$1508,D175)=1,INDEX('Видео'!$F$7:$F$1508,MATCH(D175,'Видео'!$A$7:$A$1508,0)),"ID не найден"))</x:f>
        <x:v>B1–B2 (гипотеза)</x:v>
      </x:c>
      <x:c r="I175" s="18" t="n">
        <x:f>IF(D175="","",IF(COUNTIFS('Видео'!$A$7:$A$1508,D175)=1,INDEX('Видео'!$G$7:$G$1508,MATCH(D175,'Видео'!$A$7:$A$1508,0)),"ID не найден"))</x:f>
        <x:v>2.6</x:v>
      </x:c>
      <x:c r="J175" s="18" t="n">
        <x:v>5</x:v>
      </x:c>
      <x:c r="K175" s="10" t="str">
        <x:f>IF(D175="","",IF(COUNTIFS('Видео'!$A$7:$A$1508,D175)=1,INDEX('Видео'!$AI$7:$AI$1508,MATCH(D175,'Видео'!$A$7:$A$1508,0)),"ID не найден"))</x:f>
        <x:v>Нужна редактура</x:v>
      </x:c>
      <x:c r="L175" s="19" t="str">
        <x:v>jyy4MiRnqkE</x:v>
      </x:c>
      <x:c r="M175" s="10" t="str">
        <x:f>IF(L175="","",IF(COUNTIFS('Видео'!$A$7:$A$1508,L175)=1,INDEX('Видео'!$B$7:$B$1508,MATCH(L175,'Видео'!$A$7:$A$1508,0)),"ID не найден"))</x:f>
        <x:v>דוקותיים | סיימון בנה את לגונת הגלישה המלאכותית הכי גדולה בעולם</x:v>
      </x:c>
      <x:c r="N175" s="10" t="str"/>
      <x:c r="O175" s="10" t="str">
        <x:f>IF(D175="","",IF(COUNTIFS('Видео'!$A$7:$A$1508,D175)=1,INDEX('Видео'!$M$7:$M$1508,MATCH(D175,'Видео'!$A$7:$A$1508,0)),"ID не найден"))</x:f>
        <x:v>Завершённый короткий просмотр около 3 мин. Просмотры в списке выше медианы выборки этого цикла в 4.4 раза. Короткая история реального человека подходит для ежедневной привычки. Разные профессии и места расширяют взгляд на страну.</x:v>
      </x:c>
      <x:c r="P175" s="11" t="str">
        <x:f>IF(D175="","",IF(COUNTIFS('Видео'!$A$7:$A$1508,D175)=1,INDEX('Видео'!$U$7:$U$1508,MATCH(D175,'Видео'!$A$7:$A$1508,0)),"ID не найден"))</x:f>
        <x:v>https://www.youtube.com/watch?v=WagcwfyBz_o</x:v>
      </x:c>
      <x:c r="Q175" s="17" t="str">
        <x:v>Предложено</x:v>
      </x:c>
      <x:c r="R175" s="17" t="str"/>
      <x:c r="S175" s="10" t="str"/>
      <x:c r="T175" s="10" t="str">
        <x:v>Резерв меняет выбор видео; снова проверить повод, аудиторию и все редакторские условия</x:v>
      </x:c>
      <x:c r="U175" s="9" t="str">
        <x:f>IF(D175="","Выбрать видео",IF(COUNTIFS($D$7:$D$371,D175)&gt;1,"Повтор","Без повтора"))</x:f>
        <x:v>Без повтора</x:v>
      </x:c>
    </x:row>
    <x:row r="176" ht="60" customHeight="1">
      <x:c r="A176" s="16" t="n">
        <x:v>46478</x:v>
      </x:c>
      <x:c r="B176" s="9" t="str">
        <x:v>Чт</x:v>
      </x:c>
      <x:c r="C176" s="10" t="str">
        <x:v>Сериал</x:v>
      </x:c>
      <x:c r="D176" s="19" t="str">
        <x:v>e2_nGiqCASQ</x:v>
      </x:c>
      <x:c r="E176" s="10" t="str">
        <x:f>IF(D176="","",IF(COUNTIFS('Видео'!$A$7:$A$1508,D176)=1,INDEX('Видео'!$B$7:$B$1508,MATCH(D176,'Видео'!$A$7:$A$1508,0)),"ID не найден"))</x:f>
        <x:v>אחד על אחד 📚 - סדרה חדשה! | פרק 4 - סלט בורגול</x:v>
      </x:c>
      <x:c r="F176" s="9" t="str">
        <x:f>IF(D176="","",IF(COUNTIFS('Видео'!$A$7:$A$1508,D176)=1,INDEX('Видео'!$R$7:$R$1508,MATCH(D176,'Видео'!$A$7:$A$1508,0)),"ID не найден"))</x:f>
        <x:v>C009</x:v>
      </x:c>
      <x:c r="G176" s="9" t="str">
        <x:f>IF(D176="","",IF(COUNTIFS('Видео'!$A$7:$A$1508,D176)=1,INDEX('Видео'!$D$7:$D$1508,MATCH(D176,'Видео'!$A$7:$A$1508,0)),"ID не найден"))</x:f>
        <x:v>Сериал</x:v>
      </x:c>
      <x:c r="H176" s="10" t="str">
        <x:f>IF(D176="","",IF(COUNTIFS('Видео'!$A$7:$A$1508,D176)=1,INDEX('Видео'!$F$7:$F$1508,MATCH(D176,'Видео'!$A$7:$A$1508,0)),"ID не найден"))</x:f>
        <x:v>B1–B2 (гипотеза)</x:v>
      </x:c>
      <x:c r="I176" s="18" t="n">
        <x:f>IF(D176="","",IF(COUNTIFS('Видео'!$A$7:$A$1508,D176)=1,INDEX('Видео'!$G$7:$G$1508,MATCH(D176,'Видео'!$A$7:$A$1508,0)),"ID не найден"))</x:f>
        <x:v>29.8</x:v>
      </x:c>
      <x:c r="J176" s="18" t="n">
        <x:v>10</x:v>
      </x:c>
      <x:c r="K176" s="10" t="str">
        <x:f>IF(D176="","",IF(COUNTIFS('Видео'!$A$7:$A$1508,D176)=1,INDEX('Видео'!$AI$7:$AI$1508,MATCH(D176,'Видео'!$A$7:$A$1508,0)),"ID не найден"))</x:f>
        <x:v>Нужна редактура</x:v>
      </x:c>
      <x:c r="L176" s="19" t="str">
        <x:v>OPSfmjlvkIo</x:v>
      </x:c>
      <x:c r="M176" s="10" t="str">
        <x:f>IF(L176="","",IF(COUNTIFS('Видео'!$A$7:$A$1508,L176)=1,INDEX('Видео'!$B$7:$B$1508,MATCH(L176,'Видео'!$A$7:$A$1508,0)),"ID не найден"))</x:f>
        <x:v>למה הביצים והחלב בסופר כל כך רחוקים? | חיות כיס</x:v>
      </x:c>
      <x:c r="N176" s="10" t="str"/>
      <x:c r="O176" s="10" t="str">
        <x:f>IF(D176="","",IF(COUNTIFS('Видео'!$A$7:$A$1508,D176)=1,INDEX('Видео'!$M$7:$M$1508,MATCH(D176,'Видео'!$A$7:$A$1508,0)),"ID не найден"))</x:f>
        <x:v>Эпизод 4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P176" s="11" t="str">
        <x:f>IF(D176="","",IF(COUNTIFS('Видео'!$A$7:$A$1508,D176)=1,INDEX('Видео'!$U$7:$U$1508,MATCH(D176,'Видео'!$A$7:$A$1508,0)),"ID не найден"))</x:f>
        <x:v>https://www.youtube.com/watch?v=e2_nGiqCASQ</x:v>
      </x:c>
      <x:c r="Q176" s="17" t="str">
        <x:v>Предложено</x:v>
      </x:c>
      <x:c r="R176" s="17" t="str"/>
      <x:c r="S176" s="10" t="str"/>
      <x:c r="T176" s="10" t="str">
        <x:v>При недоступной серии приостановить сюжетную ветку; резерв — самостоятельное видео</x:v>
      </x:c>
      <x:c r="U176" s="9" t="str">
        <x:f>IF(D176="","Выбрать видео",IF(COUNTIFS($D$7:$D$371,D176)&gt;1,"Повтор","Без повтора"))</x:f>
        <x:v>Без повтора</x:v>
      </x:c>
    </x:row>
    <x:row r="177" ht="60" customHeight="1">
      <x:c r="A177" s="16" t="n">
        <x:v>46479</x:v>
      </x:c>
      <x:c r="B177" s="9" t="str">
        <x:v>Пт</x:v>
      </x:c>
      <x:c r="C177" s="10" t="str">
        <x:v>История</x:v>
      </x:c>
      <x:c r="D177" s="19" t="str">
        <x:v>l9GuR_OISkQ</x:v>
      </x:c>
      <x:c r="E177" s="10" t="str">
        <x:f>IF(D177="","",IF(COUNTIFS('Видео'!$A$7:$A$1508,D177)=1,INDEX('Видео'!$B$7:$B$1508,MATCH(D177,'Видео'!$A$7:$A$1508,0)),"ID не найден"))</x:f>
        <x:v>העברים | "מורי, חידת שבזי" - שלום שבזי | כאן דוקו</x:v>
      </x:c>
      <x:c r="F177" s="9" t="str">
        <x:f>IF(D177="","",IF(COUNTIFS('Видео'!$A$7:$A$1508,D177)=1,INDEX('Видео'!$R$7:$R$1508,MATCH(D177,'Видео'!$A$7:$A$1508,0)),"ID не найден"))</x:f>
        <x:v>C028</x:v>
      </x:c>
      <x:c r="G177" s="9" t="str">
        <x:f>IF(D177="","",IF(COUNTIFS('Видео'!$A$7:$A$1508,D177)=1,INDEX('Видео'!$D$7:$D$1508,MATCH(D177,'Видео'!$A$7:$A$1508,0)),"ID не найден"))</x:f>
        <x:v>История</x:v>
      </x:c>
      <x:c r="H177" s="10" t="str">
        <x:f>IF(D177="","",IF(COUNTIFS('Видео'!$A$7:$A$1508,D177)=1,INDEX('Видео'!$F$7:$F$1508,MATCH(D177,'Видео'!$A$7:$A$1508,0)),"ID не найден"))</x:f>
        <x:v>B2–C1 (гипотеза)</x:v>
      </x:c>
      <x:c r="I177" s="18" t="n">
        <x:f>IF(D177="","",IF(COUNTIFS('Видео'!$A$7:$A$1508,D177)=1,INDEX('Видео'!$G$7:$G$1508,MATCH(D177,'Видео'!$A$7:$A$1508,0)),"ID не найден"))</x:f>
        <x:v>51.3</x:v>
      </x:c>
      <x:c r="J177" s="18" t="n">
        <x:v>10</x:v>
      </x:c>
      <x:c r="K177" s="10" t="str">
        <x:f>IF(D177="","",IF(COUNTIFS('Видео'!$A$7:$A$1508,D177)=1,INDEX('Видео'!$AI$7:$AI$1508,MATCH(D177,'Видео'!$A$7:$A$1508,0)),"ID не найден"))</x:f>
        <x:v>Нужна редактура</x:v>
      </x:c>
      <x:c r="L177" s="19" t="str">
        <x:v>bKD8fOVYqeU</x:v>
      </x:c>
      <x:c r="M177" s="10" t="str">
        <x:f>IF(L177="","",IF(COUNTIFS('Видео'!$A$7:$A$1508,L177)=1,INDEX('Видео'!$B$7:$B$1508,MATCH(L177,'Видео'!$A$7:$A$1508,0)),"ID не найден"))</x:f>
        <x:v>בחזרה למצרים | שיעור 3 – בית המקדש היהודי במצרים והצבא היהודי של חוניו | פרופ' נח חכם</x:v>
      </x:c>
      <x:c r="N177" s="10" t="str"/>
      <x:c r="O177" s="10" t="str">
        <x:f>IF(D177="","",IF(COUNTIFS('Видео'!$A$7:$A$1508,D177)=1,INDEX('Видео'!$M$7:$M$1508,MATCH(D177,'Видео'!$A$7:$A$1508,0)),"ID не найден"))</x:f>
        <x:v>Тема: העברים | "מורי, חידת שבזי" - שלום שבזי | כאן דוקו. Просмотры в списке выше медианы выборки этого цикла в 1.74 раза. Биографии писателей дают контекст современной еврейской культуры и литературного иврита.</x:v>
      </x:c>
      <x:c r="P177" s="11" t="str">
        <x:f>IF(D177="","",IF(COUNTIFS('Видео'!$A$7:$A$1508,D177)=1,INDEX('Видео'!$U$7:$U$1508,MATCH(D177,'Видео'!$A$7:$A$1508,0)),"ID не найден"))</x:f>
        <x:v>https://www.youtube.com/watch?v=l9GuR_OISkQ</x:v>
      </x:c>
      <x:c r="Q177" s="17" t="str">
        <x:v>Предложено</x:v>
      </x:c>
      <x:c r="R177" s="17" t="str"/>
      <x:c r="S177" s="10" t="str"/>
      <x:c r="T177" s="10" t="str">
        <x:v>Резерв меняет выбор видео; снова проверить повод, аудиторию и все редакторские условия</x:v>
      </x:c>
      <x:c r="U177" s="9" t="str">
        <x:f>IF(D177="","Выбрать видео",IF(COUNTIFS($D$7:$D$371,D177)&gt;1,"Повтор","Без повтора"))</x:f>
        <x:v>Без повтора</x:v>
      </x:c>
    </x:row>
    <x:row r="178" ht="60" customHeight="1">
      <x:c r="A178" s="16" t="n">
        <x:v>46480</x:v>
      </x:c>
      <x:c r="B178" s="9" t="str">
        <x:v>Сб</x:v>
      </x:c>
      <x:c r="C178" s="10" t="str">
        <x:v>Память</x:v>
      </x:c>
      <x:c r="D178" s="19" t="str">
        <x:v>Xz9MK1w9Yo0</x:v>
      </x:c>
      <x:c r="E178" s="10" t="str">
        <x:f>IF(D178="","",IF(COUNTIFS('Видео'!$A$7:$A$1508,D178)=1,INDEX('Видео'!$B$7:$B$1508,MATCH(D178,'Видео'!$A$7:$A$1508,0)),"ID не найден"))</x:f>
        <x:v>"הציפייה שלי הייתה לקבל כדור בראש באותו רגע" | העדות של איתי שאבי מה-7 באוקטובר</x:v>
      </x:c>
      <x:c r="F178" s="9" t="str">
        <x:f>IF(D178="","",IF(COUNTIFS('Видео'!$A$7:$A$1508,D178)=1,INDEX('Видео'!$R$7:$R$1508,MATCH(D178,'Видео'!$A$7:$A$1508,0)),"ID не найден"))</x:f>
        <x:v>C052</x:v>
      </x:c>
      <x:c r="G178" s="9" t="str">
        <x:f>IF(D178="","",IF(COUNTIFS('Видео'!$A$7:$A$1508,D178)=1,INDEX('Видео'!$D$7:$D$1508,MATCH(D178,'Видео'!$A$7:$A$1508,0)),"ID не найден"))</x:f>
        <x:v>Память</x:v>
      </x:c>
      <x:c r="H178" s="10" t="str">
        <x:f>IF(D178="","",IF(COUNTIFS('Видео'!$A$7:$A$1508,D178)=1,INDEX('Видео'!$F$7:$F$1508,MATCH(D178,'Видео'!$A$7:$A$1508,0)),"ID не найден"))</x:f>
        <x:v>B2–C1 (гипотеза)</x:v>
      </x:c>
      <x:c r="I178" s="18" t="n">
        <x:f>IF(D178="","",IF(COUNTIFS('Видео'!$A$7:$A$1508,D178)=1,INDEX('Видео'!$G$7:$G$1508,MATCH(D178,'Видео'!$A$7:$A$1508,0)),"ID не найден"))</x:f>
        <x:v>14.3</x:v>
      </x:c>
      <x:c r="J178" s="18" t="n">
        <x:v>10</x:v>
      </x:c>
      <x:c r="K178" s="10" t="str">
        <x:f>IF(D178="","",IF(COUNTIFS('Видео'!$A$7:$A$1508,D178)=1,INDEX('Видео'!$AI$7:$AI$1508,MATCH(D178,'Видео'!$A$7:$A$1508,0)),"ID не найден"))</x:f>
        <x:v>Нужна редактура</x:v>
      </x:c>
      <x:c r="L178" s="19" t="str">
        <x:v>kgIzSt6qUHs</x:v>
      </x:c>
      <x:c r="M178" s="10" t="str">
        <x:f>IF(L178="","",IF(COUNTIFS('Видео'!$A$7:$A$1508,L178)=1,INDEX('Видео'!$B$7:$B$1508,MATCH(L178,'Видео'!$A$7:$A$1508,0)),"ID не найден"))</x:f>
        <x:v>שאלות שרצינו לשאול – שיחות עם ניצולי שואה. פרק חמישי: השואה והחיים שאחרי</x:v>
      </x:c>
      <x:c r="N178" s="10" t="str">
        <x:v>Ежемесячная добровольная рубрика памяти 7 октября</x:v>
      </x:c>
      <x:c r="O178" s="10" t="str">
        <x:f>IF(D178="","",IF(COUNTIFS('Видео'!$A$7:$A$1508,D178)=1,INDEX('Видео'!$M$7:$M$1508,MATCH(D178,'Видео'!$A$7:$A$1508,0)),"ID не найден"))</x:f>
        <x:v>Тема: "הציפייה שלי הייתה לקבל כדור בראש באותו רגע" | העדות של איתי שאבי מה-7 באוקטובר. Короткие истории музейного проекта дополняют длинные фильмы и позволяют выбирать посильный объём.</x:v>
      </x:c>
      <x:c r="P178" s="11" t="str">
        <x:f>IF(D178="","",IF(COUNTIFS('Видео'!$A$7:$A$1508,D178)=1,INDEX('Видео'!$U$7:$U$1508,MATCH(D178,'Видео'!$A$7:$A$1508,0)),"ID не найден"))</x:f>
        <x:v>https://www.youtube.com/watch?v=Xz9MK1w9Yo0</x:v>
      </x:c>
      <x:c r="Q178" s="17" t="str">
        <x:v>Предложено</x:v>
      </x:c>
      <x:c r="R178" s="17" t="str"/>
      <x:c r="S178" s="10" t="str">
        <x:v>Редакционная периодичность, не памятная дата</x:v>
      </x:c>
      <x:c r="T178" s="10" t="str">
        <x:v>Резерв меняет выбор видео; снова проверить повод, аудиторию и все редакторские условия</x:v>
      </x:c>
      <x:c r="U178" s="9" t="str">
        <x:f>IF(D178="","Выбрать видео",IF(COUNTIFS($D$7:$D$371,D178)&gt;1,"Повтор","Без повтора"))</x:f>
        <x:v>Без повтора</x:v>
      </x:c>
    </x:row>
    <x:row r="179" ht="60" customHeight="1">
      <x:c r="A179" s="16" t="n">
        <x:v>46481</x:v>
      </x:c>
      <x:c r="B179" s="9" t="str">
        <x:v>Вс</x:v>
      </x:c>
      <x:c r="C179" s="10" t="str">
        <x:v>Сериал</x:v>
      </x:c>
      <x:c r="D179" s="19" t="str">
        <x:v>SQw9PRlZ60Q</x:v>
      </x:c>
      <x:c r="E179" s="10" t="str">
        <x:f>IF(D179="","",IF(COUNTIFS('Видео'!$A$7:$A$1508,D179)=1,INDEX('Видео'!$B$7:$B$1508,MATCH(D179,'Видео'!$A$7:$A$1508,0)),"ID не найден"))</x:f>
        <x:v>קופה ראשית עונה 4🛒  | פרק 4 - בר מצווה אנטולי</x:v>
      </x:c>
      <x:c r="F179" s="9" t="str">
        <x:f>IF(D179="","",IF(COUNTIFS('Видео'!$A$7:$A$1508,D179)=1,INDEX('Видео'!$R$7:$R$1508,MATCH(D179,'Видео'!$A$7:$A$1508,0)),"ID не найден"))</x:f>
        <x:v>C002</x:v>
      </x:c>
      <x:c r="G179" s="9" t="str">
        <x:f>IF(D179="","",IF(COUNTIFS('Видео'!$A$7:$A$1508,D179)=1,INDEX('Видео'!$D$7:$D$1508,MATCH(D179,'Видео'!$A$7:$A$1508,0)),"ID не найден"))</x:f>
        <x:v>Сериал</x:v>
      </x:c>
      <x:c r="H179" s="10" t="str">
        <x:f>IF(D179="","",IF(COUNTIFS('Видео'!$A$7:$A$1508,D179)=1,INDEX('Видео'!$F$7:$F$1508,MATCH(D179,'Видео'!$A$7:$A$1508,0)),"ID не найден"))</x:f>
        <x:v>B1–B2 (гипотеза)</x:v>
      </x:c>
      <x:c r="I179" s="18" t="n">
        <x:f>IF(D179="","",IF(COUNTIFS('Видео'!$A$7:$A$1508,D179)=1,INDEX('Видео'!$G$7:$G$1508,MATCH(D179,'Видео'!$A$7:$A$1508,0)),"ID не найден"))</x:f>
        <x:v>24.5</x:v>
      </x:c>
      <x:c r="J179" s="18" t="n">
        <x:v>10</x:v>
      </x:c>
      <x:c r="K179" s="10" t="str">
        <x:f>IF(D179="","",IF(COUNTIFS('Видео'!$A$7:$A$1508,D179)=1,INDEX('Видео'!$AI$7:$AI$1508,MATCH(D179,'Видео'!$A$7:$A$1508,0)),"ID не найден"))</x:f>
        <x:v>Нужна редактура</x:v>
      </x:c>
      <x:c r="L179" s="19" t="str">
        <x:v>JM2MkXO31CY</x:v>
      </x:c>
      <x:c r="M179" s="10" t="str">
        <x:f>IF(L179="","",IF(COUNTIFS('Видео'!$A$7:$A$1508,L179)=1,INDEX('Видео'!$B$7:$B$1508,MATCH(L179,'Видео'!$A$7:$A$1508,0)),"ID не найден"))</x:f>
        <x:v>כאן מסבירים | האם קרינה מצ'רנוביל הגיעה לישראל?</x:v>
      </x:c>
      <x:c r="N179" s="10" t="str"/>
      <x:c r="O179" s="10" t="str">
        <x:f>IF(D179="","",IF(COUNTIFS('Видео'!$A$7:$A$1508,D179)=1,INDEX('Видео'!$M$7:$M$1508,MATCH(D179,'Видео'!$A$7:$A$1508,0)),"ID не найден"))</x:f>
        <x:v>Эпизод 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79" s="11" t="str">
        <x:f>IF(D179="","",IF(COUNTIFS('Видео'!$A$7:$A$1508,D179)=1,INDEX('Видео'!$U$7:$U$1508,MATCH(D179,'Видео'!$A$7:$A$1508,0)),"ID не найден"))</x:f>
        <x:v>https://www.youtube.com/watch?v=SQw9PRlZ60Q</x:v>
      </x:c>
      <x:c r="Q179" s="17" t="str">
        <x:v>Предложено</x:v>
      </x:c>
      <x:c r="R179" s="17" t="str"/>
      <x:c r="S179" s="10" t="str"/>
      <x:c r="T179" s="10" t="str">
        <x:v>При недоступной серии приостановить сюжетную ветку; резерв — самостоятельное видео</x:v>
      </x:c>
      <x:c r="U179" s="9" t="str">
        <x:f>IF(D179="","Выбрать видео",IF(COUNTIFS($D$7:$D$371,D179)&gt;1,"Повтор","Без повтора"))</x:f>
        <x:v>Без повтора</x:v>
      </x:c>
    </x:row>
    <x:row r="180" ht="60" customHeight="1">
      <x:c r="A180" s="16" t="n">
        <x:v>46482</x:v>
      </x:c>
      <x:c r="B180" s="9" t="str">
        <x:v>Пн</x:v>
      </x:c>
      <x:c r="C180" s="10" t="str">
        <x:v>Интервью</x:v>
      </x:c>
      <x:c r="D180" s="19" t="str">
        <x:v>ay6V7SP9ftg</x:v>
      </x:c>
      <x:c r="E180" s="10" t="str">
        <x:f>IF(D180="","",IF(COUNTIFS('Видео'!$A$7:$A$1508,D180)=1,INDEX('Видео'!$B$7:$B$1508,MATCH(D180,'Видео'!$A$7:$A$1508,0)),"ID не найден"))</x:f>
        <x:v>פגישה עם רוני קובן עונה 8 | שקמה ברסלר</x:v>
      </x:c>
      <x:c r="F180" s="9" t="str">
        <x:f>IF(D180="","",IF(COUNTIFS('Видео'!$A$7:$A$1508,D180)=1,INDEX('Видео'!$R$7:$R$1508,MATCH(D180,'Видео'!$A$7:$A$1508,0)),"ID не найден"))</x:f>
        <x:v>C015</x:v>
      </x:c>
      <x:c r="G180" s="9" t="str">
        <x:f>IF(D180="","",IF(COUNTIFS('Видео'!$A$7:$A$1508,D180)=1,INDEX('Видео'!$D$7:$D$1508,MATCH(D180,'Видео'!$A$7:$A$1508,0)),"ID не найден"))</x:f>
        <x:v>Интервью</x:v>
      </x:c>
      <x:c r="H180" s="10" t="str">
        <x:f>IF(D180="","",IF(COUNTIFS('Видео'!$A$7:$A$1508,D180)=1,INDEX('Видео'!$F$7:$F$1508,MATCH(D180,'Видео'!$A$7:$A$1508,0)),"ID не найден"))</x:f>
        <x:v>B2–C1 (гипотеза)</x:v>
      </x:c>
      <x:c r="I180" s="18" t="n">
        <x:f>IF(D180="","",IF(COUNTIFS('Видео'!$A$7:$A$1508,D180)=1,INDEX('Видео'!$G$7:$G$1508,MATCH(D180,'Видео'!$A$7:$A$1508,0)),"ID не найден"))</x:f>
        <x:v>28.7</x:v>
      </x:c>
      <x:c r="J180" s="18" t="n">
        <x:v>10</x:v>
      </x:c>
      <x:c r="K180" s="10" t="str">
        <x:f>IF(D180="","",IF(COUNTIFS('Видео'!$A$7:$A$1508,D180)=1,INDEX('Видео'!$AI$7:$AI$1508,MATCH(D180,'Видео'!$A$7:$A$1508,0)),"ID не найден"))</x:f>
        <x:v>Нужна редактура</x:v>
      </x:c>
      <x:c r="L180" s="19" t="str">
        <x:v>H7GPubeo2Cg</x:v>
      </x:c>
      <x:c r="M180" s="10" t="str">
        <x:f>IF(L180="","",IF(COUNTIFS('Видео'!$A$7:$A$1508,L180)=1,INDEX('Видео'!$B$7:$B$1508,MATCH(L180,'Видео'!$A$7:$A$1508,0)),"ID не найден"))</x:f>
        <x:v>פגישה עם רוני קובן עונה 9 | ערן זרחוביץ'</x:v>
      </x:c>
      <x:c r="N180" s="10" t="str"/>
      <x:c r="O180" s="10" t="str">
        <x:f>IF(D180="","",IF(COUNTIFS('Видео'!$A$7:$A$1508,D180)=1,INDEX('Видео'!$M$7:$M$1508,MATCH(D180,'Видео'!$A$7:$A$1508,0)),"ID не найден"))</x:f>
        <x:v>Тема / гость: שקמה ברסלר. Просмотры в списке выше медианы выборки этого цикла в 2.43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80" s="11" t="str">
        <x:f>IF(D180="","",IF(COUNTIFS('Видео'!$A$7:$A$1508,D180)=1,INDEX('Видео'!$U$7:$U$1508,MATCH(D180,'Видео'!$A$7:$A$1508,0)),"ID не найден"))</x:f>
        <x:v>https://www.youtube.com/watch?v=ay6V7SP9ftg</x:v>
      </x:c>
      <x:c r="Q180" s="17" t="str">
        <x:v>Предложено</x:v>
      </x:c>
      <x:c r="R180" s="17" t="str"/>
      <x:c r="S180" s="10" t="str"/>
      <x:c r="T180" s="10" t="str">
        <x:v>Резерв меняет выбор видео; снова проверить повод, аудиторию и все редакторские условия</x:v>
      </x:c>
      <x:c r="U180" s="9" t="str">
        <x:f>IF(D180="","Выбрать видео",IF(COUNTIFS($D$7:$D$371,D180)&gt;1,"Повтор","Без повтора"))</x:f>
        <x:v>Без повтора</x:v>
      </x:c>
    </x:row>
    <x:row r="181" ht="60" customHeight="1">
      <x:c r="A181" s="16" t="n">
        <x:v>46483</x:v>
      </x:c>
      <x:c r="B181" s="9" t="str">
        <x:v>Вт</x:v>
      </x:c>
      <x:c r="C181" s="10" t="str">
        <x:v>Образование</x:v>
      </x:c>
      <x:c r="D181" s="19" t="str">
        <x:v>uTJ5TN8eWBw</x:v>
      </x:c>
      <x:c r="E181" s="10" t="str">
        <x:f>IF(D181="","",IF(COUNTIFS('Видео'!$A$7:$A$1508,D181)=1,INDEX('Видео'!$B$7:$B$1508,MATCH(D181,'Видео'!$A$7:$A$1508,0)),"ID не найден"))</x:f>
        <x:v>האם פלסטיק מתכלה אכן מתכלה? | הכל סביבה</x:v>
      </x:c>
      <x:c r="F181" s="9" t="str">
        <x:f>IF(D181="","",IF(COUNTIFS('Видео'!$A$7:$A$1508,D181)=1,INDEX('Видео'!$R$7:$R$1508,MATCH(D181,'Видео'!$A$7:$A$1508,0)),"ID не найден"))</x:f>
        <x:v>C050</x:v>
      </x:c>
      <x:c r="G181" s="9" t="str">
        <x:f>IF(D181="","",IF(COUNTIFS('Видео'!$A$7:$A$1508,D181)=1,INDEX('Видео'!$D$7:$D$1508,MATCH(D181,'Видео'!$A$7:$A$1508,0)),"ID не найден"))</x:f>
        <x:v>Образование</x:v>
      </x:c>
      <x:c r="H181" s="10" t="str">
        <x:f>IF(D181="","",IF(COUNTIFS('Видео'!$A$7:$A$1508,D181)=1,INDEX('Видео'!$F$7:$F$1508,MATCH(D181,'Видео'!$A$7:$A$1508,0)),"ID не найден"))</x:f>
        <x:v>B1–B2 (гипотеза)</x:v>
      </x:c>
      <x:c r="I181" s="18" t="n">
        <x:f>IF(D181="","",IF(COUNTIFS('Видео'!$A$7:$A$1508,D181)=1,INDEX('Видео'!$G$7:$G$1508,MATCH(D181,'Видео'!$A$7:$A$1508,0)),"ID не найден"))</x:f>
        <x:v>7.6</x:v>
      </x:c>
      <x:c r="J181" s="18" t="n">
        <x:v>5</x:v>
      </x:c>
      <x:c r="K181" s="10" t="str">
        <x:f>IF(D181="","",IF(COUNTIFS('Видео'!$A$7:$A$1508,D181)=1,INDEX('Видео'!$AI$7:$AI$1508,MATCH(D181,'Видео'!$A$7:$A$1508,0)),"ID не найден"))</x:f>
        <x:v>Нужна редактура</x:v>
      </x:c>
      <x:c r="L181" s="19" t="str">
        <x:v>bsfmgto4O4s</x:v>
      </x:c>
      <x:c r="M181" s="10" t="str">
        <x:f>IF(L181="","",IF(COUNTIFS('Видео'!$A$7:$A$1508,L181)=1,INDEX('Видео'!$B$7:$B$1508,MATCH(L181,'Видео'!$A$7:$A$1508,0)),"ID не найден"))</x:f>
        <x:v>גלילאו עונה 9 | אפשר לדבר עם חיות? 🐓🦜</x:v>
      </x:c>
      <x:c r="N181" s="10" t="str"/>
      <x:c r="O181" s="10" t="str">
        <x:f>IF(D181="","",IF(COUNTIFS('Видео'!$A$7:$A$1508,D181)=1,INDEX('Видео'!$M$7:$M$1508,MATCH(D181,'Видео'!$A$7:$A$1508,0)),"ID не найден"))</x:f>
        <x:v>Завершённый короткий просмотр около 8 мин. Экология вводит темы за пределами истории и политики и даёт визуально понятные объяснения.</x:v>
      </x:c>
      <x:c r="P181" s="11" t="str">
        <x:f>IF(D181="","",IF(COUNTIFS('Видео'!$A$7:$A$1508,D181)=1,INDEX('Видео'!$U$7:$U$1508,MATCH(D181,'Видео'!$A$7:$A$1508,0)),"ID не найден"))</x:f>
        <x:v>https://www.youtube.com/watch?v=uTJ5TN8eWBw</x:v>
      </x:c>
      <x:c r="Q181" s="17" t="str">
        <x:v>Предложено</x:v>
      </x:c>
      <x:c r="R181" s="17" t="str"/>
      <x:c r="S181" s="10" t="str"/>
      <x:c r="T181" s="10" t="str">
        <x:v>Резерв меняет выбор видео; снова проверить повод, аудиторию и все редакторские условия</x:v>
      </x:c>
      <x:c r="U181" s="9" t="str">
        <x:f>IF(D181="","Выбрать видео",IF(COUNTIFS($D$7:$D$371,D181)&gt;1,"Повтор","Без повтора"))</x:f>
        <x:v>Без повтора</x:v>
      </x:c>
    </x:row>
    <x:row r="182" ht="60" customHeight="1">
      <x:c r="A182" s="16" t="n">
        <x:v>46484</x:v>
      </x:c>
      <x:c r="B182" s="9" t="str">
        <x:v>Ср</x:v>
      </x:c>
      <x:c r="C182" s="10" t="str">
        <x:v>Быт</x:v>
      </x:c>
      <x:c r="D182" s="19" t="str">
        <x:v>xl_zloQyg0U</x:v>
      </x:c>
      <x:c r="E182" s="10" t="str">
        <x:f>IF(D182="","",IF(COUNTIFS('Видео'!$A$7:$A$1508,D182)=1,INDEX('Видео'!$B$7:$B$1508,MATCH(D182,'Видео'!$A$7:$A$1508,0)),"ID не найден"))</x:f>
        <x:v>מה הסיפור של הכרמלית בחיפה? | בצד הדרך</x:v>
      </x:c>
      <x:c r="F182" s="9" t="str">
        <x:f>IF(D182="","",IF(COUNTIFS('Видео'!$A$7:$A$1508,D182)=1,INDEX('Видео'!$R$7:$R$1508,MATCH(D182,'Видео'!$A$7:$A$1508,0)),"ID не найден"))</x:f>
        <x:v>C047</x:v>
      </x:c>
      <x:c r="G182" s="9" t="str">
        <x:f>IF(D182="","",IF(COUNTIFS('Видео'!$A$7:$A$1508,D182)=1,INDEX('Видео'!$D$7:$D$1508,MATCH(D182,'Видео'!$A$7:$A$1508,0)),"ID не найден"))</x:f>
        <x:v>Быт</x:v>
      </x:c>
      <x:c r="H182" s="10" t="str">
        <x:f>IF(D182="","",IF(COUNTIFS('Видео'!$A$7:$A$1508,D182)=1,INDEX('Видео'!$F$7:$F$1508,MATCH(D182,'Видео'!$A$7:$A$1508,0)),"ID не найден"))</x:f>
        <x:v>B1–B2 (гипотеза)</x:v>
      </x:c>
      <x:c r="I182" s="18" t="n">
        <x:f>IF(D182="","",IF(COUNTIFS('Видео'!$A$7:$A$1508,D182)=1,INDEX('Видео'!$G$7:$G$1508,MATCH(D182,'Видео'!$A$7:$A$1508,0)),"ID не найден"))</x:f>
        <x:v>1.9</x:v>
      </x:c>
      <x:c r="J182" s="18" t="n">
        <x:v>5</x:v>
      </x:c>
      <x:c r="K182" s="10" t="str">
        <x:f>IF(D182="","",IF(COUNTIFS('Видео'!$A$7:$A$1508,D182)=1,INDEX('Видео'!$AI$7:$AI$1508,MATCH(D182,'Видео'!$A$7:$A$1508,0)),"ID не найден"))</x:f>
        <x:v>Нужна редактура</x:v>
      </x:c>
      <x:c r="L182" s="19" t="str">
        <x:v>MjVReufxDR0</x:v>
      </x:c>
      <x:c r="M182" s="10" t="str">
        <x:f>IF(L182="","",IF(COUNTIFS('Видео'!$A$7:$A$1508,L182)=1,INDEX('Видео'!$B$7:$B$1508,MATCH(L182,'Видео'!$A$7:$A$1508,0)),"ID не найден"))</x:f>
        <x:v>דוקותיים | איל, בן 19, מציף את יהודה ושומרון בדגלי ישראל לכבוד ריבונו של עולם</x:v>
      </x:c>
      <x:c r="N182" s="10" t="str"/>
      <x:c r="O182" s="10" t="str">
        <x:f>IF(D182="","",IF(COUNTIFS('Видео'!$A$7:$A$1508,D182)=1,INDEX('Видео'!$M$7:$M$1508,MATCH(D182,'Видео'!$A$7:$A$1508,0)),"ID не найден"))</x:f>
        <x:v>Завершённый короткий просмотр около 2 мин. Короткие истории мест помогают освоить страну через реальные маршруты и городскую среду.</x:v>
      </x:c>
      <x:c r="P182" s="11" t="str">
        <x:f>IF(D182="","",IF(COUNTIFS('Видео'!$A$7:$A$1508,D182)=1,INDEX('Видео'!$U$7:$U$1508,MATCH(D182,'Видео'!$A$7:$A$1508,0)),"ID не найден"))</x:f>
        <x:v>https://www.youtube.com/watch?v=xl_zloQyg0U</x:v>
      </x:c>
      <x:c r="Q182" s="17" t="str">
        <x:v>Предложено</x:v>
      </x:c>
      <x:c r="R182" s="17" t="str"/>
      <x:c r="S182" s="10" t="str"/>
      <x:c r="T182" s="10" t="str">
        <x:v>Резерв меняет выбор видео; снова проверить повод, аудиторию и все редакторские условия</x:v>
      </x:c>
      <x:c r="U182" s="9" t="str">
        <x:f>IF(D182="","Выбрать видео",IF(COUNTIFS($D$7:$D$371,D182)&gt;1,"Повтор","Без повтора"))</x:f>
        <x:v>Без повтора</x:v>
      </x:c>
    </x:row>
    <x:row r="183" ht="60" customHeight="1">
      <x:c r="A183" s="16" t="n">
        <x:v>46485</x:v>
      </x:c>
      <x:c r="B183" s="9" t="str">
        <x:v>Чт</x:v>
      </x:c>
      <x:c r="C183" s="10" t="str">
        <x:v>Сериал</x:v>
      </x:c>
      <x:c r="D183" s="19" t="str">
        <x:v>HuKVs2mC-tI</x:v>
      </x:c>
      <x:c r="E183" s="10" t="str">
        <x:f>IF(D183="","",IF(COUNTIFS('Видео'!$A$7:$A$1508,D183)=1,INDEX('Видео'!$B$7:$B$1508,MATCH(D183,'Видео'!$A$7:$A$1508,0)),"ID не найден"))</x:f>
        <x:v>אחד על אחד 📚 - סדרה חדשה! | פרק 5 - מלכים א', מלכים ב'</x:v>
      </x:c>
      <x:c r="F183" s="9" t="str">
        <x:f>IF(D183="","",IF(COUNTIFS('Видео'!$A$7:$A$1508,D183)=1,INDEX('Видео'!$R$7:$R$1508,MATCH(D183,'Видео'!$A$7:$A$1508,0)),"ID не найден"))</x:f>
        <x:v>C009</x:v>
      </x:c>
      <x:c r="G183" s="9" t="str">
        <x:f>IF(D183="","",IF(COUNTIFS('Видео'!$A$7:$A$1508,D183)=1,INDEX('Видео'!$D$7:$D$1508,MATCH(D183,'Видео'!$A$7:$A$1508,0)),"ID не найден"))</x:f>
        <x:v>Сериал</x:v>
      </x:c>
      <x:c r="H183" s="10" t="str">
        <x:f>IF(D183="","",IF(COUNTIFS('Видео'!$A$7:$A$1508,D183)=1,INDEX('Видео'!$F$7:$F$1508,MATCH(D183,'Видео'!$A$7:$A$1508,0)),"ID не найден"))</x:f>
        <x:v>B1–B2 (гипотеза)</x:v>
      </x:c>
      <x:c r="I183" s="18" t="n">
        <x:f>IF(D183="","",IF(COUNTIFS('Видео'!$A$7:$A$1508,D183)=1,INDEX('Видео'!$G$7:$G$1508,MATCH(D183,'Видео'!$A$7:$A$1508,0)),"ID не найден"))</x:f>
        <x:v>32.4</x:v>
      </x:c>
      <x:c r="J183" s="18" t="n">
        <x:v>10</x:v>
      </x:c>
      <x:c r="K183" s="10" t="str">
        <x:f>IF(D183="","",IF(COUNTIFS('Видео'!$A$7:$A$1508,D183)=1,INDEX('Видео'!$AI$7:$AI$1508,MATCH(D183,'Видео'!$A$7:$A$1508,0)),"ID не найден"))</x:f>
        <x:v>Нужна редактура</x:v>
      </x:c>
      <x:c r="L183" s="19" t="str">
        <x:v>Ug1KaiiY5Ew</x:v>
      </x:c>
      <x:c r="M183" s="10" t="str">
        <x:f>IF(L183="","",IF(COUNTIFS('Видео'!$A$7:$A$1508,L183)=1,INDEX('Видео'!$B$7:$B$1508,MATCH(L183,'Видео'!$A$7:$A$1508,0)),"ID не найден"))</x:f>
        <x:v>ניסוי הסנה הבוער - איך לגרום לנייר לבעור -- בלי שישרף?</x:v>
      </x:c>
      <x:c r="N183" s="10" t="str"/>
      <x:c r="O183" s="10" t="str">
        <x:f>IF(D183="","",IF(COUNTIFS('Видео'!$A$7:$A$1508,D183)=1,INDEX('Видео'!$M$7:$M$1508,MATCH(D183,'Видео'!$A$7:$A$1508,0)),"ID не найден"))</x:f>
        <x:v>Эпизод 5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P183" s="11" t="str">
        <x:f>IF(D183="","",IF(COUNTIFS('Видео'!$A$7:$A$1508,D183)=1,INDEX('Видео'!$U$7:$U$1508,MATCH(D183,'Видео'!$A$7:$A$1508,0)),"ID не найден"))</x:f>
        <x:v>https://www.youtube.com/watch?v=HuKVs2mC-tI</x:v>
      </x:c>
      <x:c r="Q183" s="17" t="str">
        <x:v>Предложено</x:v>
      </x:c>
      <x:c r="R183" s="17" t="str"/>
      <x:c r="S183" s="10" t="str"/>
      <x:c r="T183" s="10" t="str">
        <x:v>При недоступной серии приостановить сюжетную ветку; резерв — самостоятельное видео</x:v>
      </x:c>
      <x:c r="U183" s="9" t="str">
        <x:f>IF(D183="","Выбрать видео",IF(COUNTIFS($D$7:$D$371,D183)&gt;1,"Повтор","Без повтора"))</x:f>
        <x:v>Без повтора</x:v>
      </x:c>
    </x:row>
    <x:row r="184" ht="60" customHeight="1">
      <x:c r="A184" s="16" t="n">
        <x:v>46486</x:v>
      </x:c>
      <x:c r="B184" s="9" t="str">
        <x:v>Пт</x:v>
      </x:c>
      <x:c r="C184" s="10" t="str">
        <x:v>Культура</x:v>
      </x:c>
      <x:c r="D184" s="19" t="str">
        <x:v>KMypN0paJoA</x:v>
      </x:c>
      <x:c r="E184" s="10" t="str">
        <x:f>IF(D184="","",IF(COUNTIFS('Видео'!$A$7:$A$1508,D184)=1,INDEX('Видео'!$B$7:$B$1508,MATCH(D184,'Видео'!$A$7:$A$1508,0)),"ID не найден"))</x:f>
        <x:v>היהודים באים - פרק 7 | כאן 11 לשעבר רשות השידור</x:v>
      </x:c>
      <x:c r="F184" s="9" t="str">
        <x:f>IF(D184="","",IF(COUNTIFS('Видео'!$A$7:$A$1508,D184)=1,INDEX('Видео'!$R$7:$R$1508,MATCH(D184,'Видео'!$A$7:$A$1508,0)),"ID не найден"))</x:f>
        <x:v>C026</x:v>
      </x:c>
      <x:c r="G184" s="9" t="str">
        <x:f>IF(D184="","",IF(COUNTIFS('Видео'!$A$7:$A$1508,D184)=1,INDEX('Видео'!$D$7:$D$1508,MATCH(D184,'Видео'!$A$7:$A$1508,0)),"ID не найден"))</x:f>
        <x:v>Культура</x:v>
      </x:c>
      <x:c r="H184" s="10" t="str">
        <x:f>IF(D184="","",IF(COUNTIFS('Видео'!$A$7:$A$1508,D184)=1,INDEX('Видео'!$F$7:$F$1508,MATCH(D184,'Видео'!$A$7:$A$1508,0)),"ID не найден"))</x:f>
        <x:v>B2–C1 (гипотеза)</x:v>
      </x:c>
      <x:c r="I184" s="18" t="n">
        <x:f>IF(D184="","",IF(COUNTIFS('Видео'!$A$7:$A$1508,D184)=1,INDEX('Видео'!$G$7:$G$1508,MATCH(D184,'Видео'!$A$7:$A$1508,0)),"ID не найден"))</x:f>
        <x:v>24.4</x:v>
      </x:c>
      <x:c r="J184" s="18" t="n">
        <x:v>10</x:v>
      </x:c>
      <x:c r="K184" s="10" t="str">
        <x:f>IF(D184="","",IF(COUNTIFS('Видео'!$A$7:$A$1508,D184)=1,INDEX('Видео'!$AI$7:$AI$1508,MATCH(D184,'Видео'!$A$7:$A$1508,0)),"ID не найден"))</x:f>
        <x:v>Нужна редактура</x:v>
      </x:c>
      <x:c r="L184" s="19" t="str">
        <x:v>yBEEXCS4oLQ</x:v>
      </x:c>
      <x:c r="M184" s="10" t="str">
        <x:f>IF(L184="","",IF(COUNTIFS('Видео'!$A$7:$A$1508,L184)=1,INDEX('Видео'!$B$7:$B$1508,MATCH(L184,'Видео'!$A$7:$A$1508,0)),"ID не найден"))</x:f>
        <x:v>דני רובס -משהו חדש מתחיל (לייב על בימת בית אבי חי)</x:v>
      </x:c>
      <x:c r="N184" s="10" t="str"/>
      <x:c r="O184" s="10" t="str">
        <x:f>IF(D184="","",IF(COUNTIFS('Видео'!$A$7:$A$1508,D184)=1,INDEX('Видео'!$M$7:$M$1508,MATCH(D184,'Видео'!$A$7:$A$1508,0)),"ID не найден"))</x:f>
        <x:v>Тема: היהודים באים - פרק 7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P184" s="11" t="str">
        <x:f>IF(D184="","",IF(COUNTIFS('Видео'!$A$7:$A$1508,D184)=1,INDEX('Видео'!$U$7:$U$1508,MATCH(D184,'Видео'!$A$7:$A$1508,0)),"ID не найден"))</x:f>
        <x:v>https://www.youtube.com/watch?v=KMypN0paJoA</x:v>
      </x:c>
      <x:c r="Q184" s="17" t="str">
        <x:v>Предложено</x:v>
      </x:c>
      <x:c r="R184" s="17" t="str"/>
      <x:c r="S184" s="10" t="str"/>
      <x:c r="T184" s="10" t="str">
        <x:v>Резерв меняет выбор видео; снова проверить повод, аудиторию и все редакторские условия</x:v>
      </x:c>
      <x:c r="U184" s="9" t="str">
        <x:f>IF(D184="","Выбрать видео",IF(COUNTIFS($D$7:$D$371,D184)&gt;1,"Повтор","Без повтора"))</x:f>
        <x:v>Без повтора</x:v>
      </x:c>
    </x:row>
    <x:row r="185" ht="60" customHeight="1">
      <x:c r="A185" s="16" t="n">
        <x:v>46487</x:v>
      </x:c>
      <x:c r="B185" s="9" t="str">
        <x:v>Сб</x:v>
      </x:c>
      <x:c r="C185" s="10" t="str">
        <x:v>Общество</x:v>
      </x:c>
      <x:c r="D185" s="19" t="str">
        <x:v>na8avlra2JM</x:v>
      </x:c>
      <x:c r="E185" s="10" t="str">
        <x:f>IF(D185="","",IF(COUNTIFS('Видео'!$A$7:$A$1508,D185)=1,INDEX('Видео'!$B$7:$B$1508,MATCH(D185,'Видео'!$A$7:$A$1508,0)),"ID не найден"))</x:f>
        <x:v>כאן מקשיבים: הצלחתי לצאת מהזנות</x:v>
      </x:c>
      <x:c r="F185" s="9" t="str">
        <x:f>IF(D185="","",IF(COUNTIFS('Видео'!$A$7:$A$1508,D185)=1,INDEX('Видео'!$R$7:$R$1508,MATCH(D185,'Видео'!$A$7:$A$1508,0)),"ID не найден"))</x:f>
        <x:v>C046</x:v>
      </x:c>
      <x:c r="G185" s="9" t="str">
        <x:f>IF(D185="","",IF(COUNTIFS('Видео'!$A$7:$A$1508,D185)=1,INDEX('Видео'!$D$7:$D$1508,MATCH(D185,'Видео'!$A$7:$A$1508,0)),"ID не найден"))</x:f>
        <x:v>Общество</x:v>
      </x:c>
      <x:c r="H185" s="10" t="str">
        <x:f>IF(D185="","",IF(COUNTIFS('Видео'!$A$7:$A$1508,D185)=1,INDEX('Видео'!$F$7:$F$1508,MATCH(D185,'Видео'!$A$7:$A$1508,0)),"ID не найден"))</x:f>
        <x:v>B1–B2 (гипотеза)</x:v>
      </x:c>
      <x:c r="I185" s="18" t="n">
        <x:f>IF(D185="","",IF(COUNTIFS('Видео'!$A$7:$A$1508,D185)=1,INDEX('Видео'!$G$7:$G$1508,MATCH(D185,'Видео'!$A$7:$A$1508,0)),"ID не найден"))</x:f>
        <x:v>16.6</x:v>
      </x:c>
      <x:c r="J185" s="18" t="n">
        <x:v>10</x:v>
      </x:c>
      <x:c r="K185" s="10" t="str">
        <x:f>IF(D185="","",IF(COUNTIFS('Видео'!$A$7:$A$1508,D185)=1,INDEX('Видео'!$AI$7:$AI$1508,MATCH(D185,'Видео'!$A$7:$A$1508,0)),"ID не найден"))</x:f>
        <x:v>Нужна редактура</x:v>
      </x:c>
      <x:c r="L185" s="19" t="str">
        <x:v>W8ndhftTBqw</x:v>
      </x:c>
      <x:c r="M185" s="10" t="str">
        <x:f>IF(L185="","",IF(COUNTIFS('Видео'!$A$7:$A$1508,L185)=1,INDEX('Видео'!$B$7:$B$1508,MATCH(L185,'Видео'!$A$7:$A$1508,0)),"ID не найден"))</x:f>
        <x:v>הסודות של בן גביר | מה חשבו היועצים של השר ב-7 באוקטובר?</x:v>
      </x:c>
      <x:c r="N185" s="10" t="str"/>
      <x:c r="O185" s="10" t="str">
        <x:f>IF(D185="","",IF(COUNTIFS('Видео'!$A$7:$A$1508,D185)=1,INDEX('Видео'!$M$7:$M$1508,MATCH(D185,'Видео'!$A$7:$A$1508,0)),"ID не найден"))</x:f>
        <x:v>Тема: כאן מקשיבים: הצלחתי לצאת מהזנות. Просмотры в списке выше медианы выборки этого цикла в 10.0 раза. Личный монолог позволяет сосредоточиться на одном голосе и эмоциональной лексике.</x:v>
      </x:c>
      <x:c r="P185" s="11" t="str">
        <x:f>IF(D185="","",IF(COUNTIFS('Видео'!$A$7:$A$1508,D185)=1,INDEX('Видео'!$U$7:$U$1508,MATCH(D185,'Видео'!$A$7:$A$1508,0)),"ID не найден"))</x:f>
        <x:v>https://www.youtube.com/watch?v=na8avlra2JM</x:v>
      </x:c>
      <x:c r="Q185" s="17" t="str">
        <x:v>Предложено</x:v>
      </x:c>
      <x:c r="R185" s="17" t="str"/>
      <x:c r="S185" s="10" t="str"/>
      <x:c r="T185" s="10" t="str">
        <x:v>Резерв меняет выбор видео; снова проверить повод, аудиторию и все редакторские условия</x:v>
      </x:c>
      <x:c r="U185" s="9" t="str">
        <x:f>IF(D185="","Выбрать видео",IF(COUNTIFS($D$7:$D$371,D185)&gt;1,"Повтор","Без повтора"))</x:f>
        <x:v>Без повтора</x:v>
      </x:c>
    </x:row>
    <x:row r="186" ht="60" customHeight="1">
      <x:c r="A186" s="16" t="n">
        <x:v>46488</x:v>
      </x:c>
      <x:c r="B186" s="9" t="str">
        <x:v>Вс</x:v>
      </x:c>
      <x:c r="C186" s="10" t="str">
        <x:v>Сериал</x:v>
      </x:c>
      <x:c r="D186" s="19" t="str">
        <x:v>zyP0st9aW6w</x:v>
      </x:c>
      <x:c r="E186" s="10" t="str">
        <x:f>IF(D186="","",IF(COUNTIFS('Видео'!$A$7:$A$1508,D186)=1,INDEX('Видео'!$B$7:$B$1508,MATCH(D186,'Видео'!$A$7:$A$1508,0)),"ID не найден"))</x:f>
        <x:v>קופה ראשית עונה 4🛒  | פרק 5 - האקדמיה ללשון</x:v>
      </x:c>
      <x:c r="F186" s="9" t="str">
        <x:f>IF(D186="","",IF(COUNTIFS('Видео'!$A$7:$A$1508,D186)=1,INDEX('Видео'!$R$7:$R$1508,MATCH(D186,'Видео'!$A$7:$A$1508,0)),"ID не найден"))</x:f>
        <x:v>C002</x:v>
      </x:c>
      <x:c r="G186" s="9" t="str">
        <x:f>IF(D186="","",IF(COUNTIFS('Видео'!$A$7:$A$1508,D186)=1,INDEX('Видео'!$D$7:$D$1508,MATCH(D186,'Видео'!$A$7:$A$1508,0)),"ID не найден"))</x:f>
        <x:v>Сериал</x:v>
      </x:c>
      <x:c r="H186" s="10" t="str">
        <x:f>IF(D186="","",IF(COUNTIFS('Видео'!$A$7:$A$1508,D186)=1,INDEX('Видео'!$F$7:$F$1508,MATCH(D186,'Видео'!$A$7:$A$1508,0)),"ID не найден"))</x:f>
        <x:v>B1–B2 (гипотеза)</x:v>
      </x:c>
      <x:c r="I186" s="18" t="n">
        <x:f>IF(D186="","",IF(COUNTIFS('Видео'!$A$7:$A$1508,D186)=1,INDEX('Видео'!$G$7:$G$1508,MATCH(D186,'Видео'!$A$7:$A$1508,0)),"ID не найден"))</x:f>
        <x:v>23.3</x:v>
      </x:c>
      <x:c r="J186" s="18" t="n">
        <x:v>10</x:v>
      </x:c>
      <x:c r="K186" s="10" t="str">
        <x:f>IF(D186="","",IF(COUNTIFS('Видео'!$A$7:$A$1508,D186)=1,INDEX('Видео'!$AI$7:$AI$1508,MATCH(D186,'Видео'!$A$7:$A$1508,0)),"ID не найден"))</x:f>
        <x:v>Нужна редактура</x:v>
      </x:c>
      <x:c r="L186" s="19" t="str">
        <x:v>Hr4YBmIgPRg</x:v>
      </x:c>
      <x:c r="M186" s="10" t="str">
        <x:f>IF(L186="","",IF(COUNTIFS('Видео'!$A$7:$A$1508,L186)=1,INDEX('Видео'!$B$7:$B$1508,MATCH(L186,'Видео'!$A$7:$A$1508,0)),"ID не найден"))</x:f>
        <x:v>למה לא רוצים שנסתובב ליד הכנסת? | כאן סקרנים</x:v>
      </x:c>
      <x:c r="N186" s="10" t="str"/>
      <x:c r="O186" s="10" t="str">
        <x:f>IF(D186="","",IF(COUNTIFS('Видео'!$A$7:$A$1508,D186)=1,INDEX('Видео'!$M$7:$M$1508,MATCH(D186,'Видео'!$A$7:$A$1508,0)),"ID не найден"))</x:f>
        <x:v>Эпизод 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86" s="11" t="str">
        <x:f>IF(D186="","",IF(COUNTIFS('Видео'!$A$7:$A$1508,D186)=1,INDEX('Видео'!$U$7:$U$1508,MATCH(D186,'Видео'!$A$7:$A$1508,0)),"ID не найден"))</x:f>
        <x:v>https://www.youtube.com/watch?v=zyP0st9aW6w</x:v>
      </x:c>
      <x:c r="Q186" s="17" t="str">
        <x:v>Предложено</x:v>
      </x:c>
      <x:c r="R186" s="17" t="str"/>
      <x:c r="S186" s="10" t="str"/>
      <x:c r="T186" s="10" t="str">
        <x:v>При недоступной серии приостановить сюжетную ветку; резерв — самостоятельное видео</x:v>
      </x:c>
      <x:c r="U186" s="9" t="str">
        <x:f>IF(D186="","Выбрать видео",IF(COUNTIFS($D$7:$D$371,D186)&gt;1,"Повтор","Без повтора"))</x:f>
        <x:v>Без повтора</x:v>
      </x:c>
    </x:row>
    <x:row r="187" ht="60" customHeight="1">
      <x:c r="A187" s="16" t="n">
        <x:v>46489</x:v>
      </x:c>
      <x:c r="B187" s="9" t="str">
        <x:v>Пн</x:v>
      </x:c>
      <x:c r="C187" s="10" t="str">
        <x:v>Интервью</x:v>
      </x:c>
      <x:c r="D187" s="19" t="str">
        <x:v>MIZ7AfO-OyY</x:v>
      </x:c>
      <x:c r="E187" s="10" t="str">
        <x:f>IF(D187="","",IF(COUNTIFS('Видео'!$A$7:$A$1508,D187)=1,INDEX('Видео'!$B$7:$B$1508,MATCH(D187,'Видео'!$A$7:$A$1508,0)),"ID не найден"))</x:f>
        <x:v>פגישה עם רוני קובן עונה 7 | פרק 18 - קרן מור</x:v>
      </x:c>
      <x:c r="F187" s="9" t="str">
        <x:f>IF(D187="","",IF(COUNTIFS('Видео'!$A$7:$A$1508,D187)=1,INDEX('Видео'!$R$7:$R$1508,MATCH(D187,'Видео'!$A$7:$A$1508,0)),"ID не найден"))</x:f>
        <x:v>C016</x:v>
      </x:c>
      <x:c r="G187" s="9" t="str">
        <x:f>IF(D187="","",IF(COUNTIFS('Видео'!$A$7:$A$1508,D187)=1,INDEX('Видео'!$D$7:$D$1508,MATCH(D187,'Видео'!$A$7:$A$1508,0)),"ID не найден"))</x:f>
        <x:v>Интервью</x:v>
      </x:c>
      <x:c r="H187" s="10" t="str">
        <x:f>IF(D187="","",IF(COUNTIFS('Видео'!$A$7:$A$1508,D187)=1,INDEX('Видео'!$F$7:$F$1508,MATCH(D187,'Видео'!$A$7:$A$1508,0)),"ID не найден"))</x:f>
        <x:v>B2–C1 (гипотеза)</x:v>
      </x:c>
      <x:c r="I187" s="18" t="n">
        <x:f>IF(D187="","",IF(COUNTIFS('Видео'!$A$7:$A$1508,D187)=1,INDEX('Видео'!$G$7:$G$1508,MATCH(D187,'Видео'!$A$7:$A$1508,0)),"ID не найден"))</x:f>
        <x:v>30.9</x:v>
      </x:c>
      <x:c r="J187" s="18" t="n">
        <x:v>10</x:v>
      </x:c>
      <x:c r="K187" s="10" t="str">
        <x:f>IF(D187="","",IF(COUNTIFS('Видео'!$A$7:$A$1508,D187)=1,INDEX('Видео'!$AI$7:$AI$1508,MATCH(D187,'Видео'!$A$7:$A$1508,0)),"ID не найден"))</x:f>
        <x:v>Нужна редактура</x:v>
      </x:c>
      <x:c r="L187" s="19" t="str">
        <x:v>TM0mrVHH98s</x:v>
      </x:c>
      <x:c r="M187" s="10" t="str">
        <x:f>IF(L187="","",IF(COUNTIFS('Видео'!$A$7:$A$1508,L187)=1,INDEX('Видео'!$B$7:$B$1508,MATCH(L187,'Видео'!$A$7:$A$1508,0)),"ID не найден"))</x:f>
        <x:v>פגישה עם רוני קובן עונה 10 | ערן סויסה</x:v>
      </x:c>
      <x:c r="N187" s="10" t="str"/>
      <x:c r="O187" s="10" t="str">
        <x:f>IF(D187="","",IF(COUNTIFS('Видео'!$A$7:$A$1508,D187)=1,INDEX('Видео'!$M$7:$M$1508,MATCH(D187,'Видео'!$A$7:$A$1508,0)),"ID не найден"))</x:f>
        <x:v>Тема / гость: פרק 18 - קרן מור. Просмотры в списке выше медианы выборки этого цикла в 4.71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87" s="11" t="str">
        <x:f>IF(D187="","",IF(COUNTIFS('Видео'!$A$7:$A$1508,D187)=1,INDEX('Видео'!$U$7:$U$1508,MATCH(D187,'Видео'!$A$7:$A$1508,0)),"ID не найден"))</x:f>
        <x:v>https://www.youtube.com/watch?v=MIZ7AfO-OyY</x:v>
      </x:c>
      <x:c r="Q187" s="17" t="str">
        <x:v>Предложено</x:v>
      </x:c>
      <x:c r="R187" s="17" t="str"/>
      <x:c r="S187" s="10" t="str"/>
      <x:c r="T187" s="10" t="str">
        <x:v>Резерв меняет выбор видео; снова проверить повод, аудиторию и все редакторские условия</x:v>
      </x:c>
      <x:c r="U187" s="9" t="str">
        <x:f>IF(D187="","Выбрать видео",IF(COUNTIFS($D$7:$D$371,D187)&gt;1,"Повтор","Без повтора"))</x:f>
        <x:v>Без повтора</x:v>
      </x:c>
    </x:row>
    <x:row r="188" ht="60" customHeight="1">
      <x:c r="A188" s="16" t="n">
        <x:v>46490</x:v>
      </x:c>
      <x:c r="B188" s="9" t="str">
        <x:v>Вт</x:v>
      </x:c>
      <x:c r="C188" s="10" t="str">
        <x:v>Образование</x:v>
      </x:c>
      <x:c r="D188" s="19" t="str">
        <x:v>t1iR3E_L7tI</x:v>
      </x:c>
      <x:c r="E188" s="10" t="str">
        <x:f>IF(D188="","",IF(COUNTIFS('Видео'!$A$7:$A$1508,D188)=1,INDEX('Видео'!$B$7:$B$1508,MATCH(D188,'Видео'!$A$7:$A$1508,0)),"ID не найден"))</x:f>
        <x:v>גלילאו עונה 9 | רפונזל האפרו-אמריקאית: השיער הארוך ביותר בעולם 👩🏾</x:v>
      </x:c>
      <x:c r="F188" s="9" t="str">
        <x:f>IF(D188="","",IF(COUNTIFS('Видео'!$A$7:$A$1508,D188)=1,INDEX('Видео'!$R$7:$R$1508,MATCH(D188,'Видео'!$A$7:$A$1508,0)),"ID не найден"))</x:f>
        <x:v>C056</x:v>
      </x:c>
      <x:c r="G188" s="9" t="str">
        <x:f>IF(D188="","",IF(COUNTIFS('Видео'!$A$7:$A$1508,D188)=1,INDEX('Видео'!$D$7:$D$1508,MATCH(D188,'Видео'!$A$7:$A$1508,0)),"ID не найден"))</x:f>
        <x:v>Образование</x:v>
      </x:c>
      <x:c r="H188" s="10" t="str">
        <x:f>IF(D188="","",IF(COUNTIFS('Видео'!$A$7:$A$1508,D188)=1,INDEX('Видео'!$F$7:$F$1508,MATCH(D188,'Видео'!$A$7:$A$1508,0)),"ID не найден"))</x:f>
        <x:v>B1–B2 (гипотеза)</x:v>
      </x:c>
      <x:c r="I188" s="18" t="n">
        <x:f>IF(D188="","",IF(COUNTIFS('Видео'!$A$7:$A$1508,D188)=1,INDEX('Видео'!$G$7:$G$1508,MATCH(D188,'Видео'!$A$7:$A$1508,0)),"ID не найден"))</x:f>
        <x:v>27.2</x:v>
      </x:c>
      <x:c r="J188" s="18" t="n">
        <x:v>10</x:v>
      </x:c>
      <x:c r="K188" s="10" t="str">
        <x:f>IF(D188="","",IF(COUNTIFS('Видео'!$A$7:$A$1508,D188)=1,INDEX('Видео'!$AI$7:$AI$1508,MATCH(D188,'Видео'!$A$7:$A$1508,0)),"ID не найден"))</x:f>
        <x:v>Нужна редактура</x:v>
      </x:c>
      <x:c r="L188" s="19" t="str">
        <x:v>r7va4ctYk68</x:v>
      </x:c>
      <x:c r="M188" s="10" t="str">
        <x:f>IF(L188="","",IF(COUNTIFS('Видео'!$A$7:$A$1508,L188)=1,INDEX('Видео'!$B$7:$B$1508,MATCH(L188,'Видео'!$A$7:$A$1508,0)),"ID не найден"))</x:f>
        <x:v>למה ליהודים יש יותר מחלות (ואיך זה קשור לזה שג'ינג'ים לא באמת עומדים להיכחד)? | כאן סקרנים</x:v>
      </x:c>
      <x:c r="N188" s="10" t="str"/>
      <x:c r="O188" s="10" t="str">
        <x:f>IF(D188="","",IF(COUNTIFS('Видео'!$A$7:$A$1508,D188)=1,INDEX('Видео'!$M$7:$M$1508,MATCH(D188,'Видео'!$A$7:$A$1508,0)),"ID не найден"))</x:f>
        <x:v>Тема: גלילאו עונה 9 | רפונזל האפרו-אמריקאית: השיער הארוך ביותר בעולם 👩🏾. Просмотры в списке выше медианы выборки этого цикла в 2.61 раза. Ведущий и визуальные демонстрации помогают понимать новые слова. Формат подходит любителям научно-популярного видео.</x:v>
      </x:c>
      <x:c r="P188" s="11" t="str">
        <x:f>IF(D188="","",IF(COUNTIFS('Видео'!$A$7:$A$1508,D188)=1,INDEX('Видео'!$U$7:$U$1508,MATCH(D188,'Видео'!$A$7:$A$1508,0)),"ID не найден"))</x:f>
        <x:v>https://www.youtube.com/watch?v=t1iR3E_L7tI</x:v>
      </x:c>
      <x:c r="Q188" s="17" t="str">
        <x:v>Предложено</x:v>
      </x:c>
      <x:c r="R188" s="17" t="str"/>
      <x:c r="S188" s="10" t="str"/>
      <x:c r="T188" s="10" t="str">
        <x:v>Резерв меняет выбор видео; снова проверить повод, аудиторию и все редакторские условия</x:v>
      </x:c>
      <x:c r="U188" s="9" t="str">
        <x:f>IF(D188="","Выбрать видео",IF(COUNTIFS($D$7:$D$371,D188)&gt;1,"Повтор","Без повтора"))</x:f>
        <x:v>Без повтора</x:v>
      </x:c>
    </x:row>
    <x:row r="189" ht="60" customHeight="1">
      <x:c r="A189" s="16" t="n">
        <x:v>46491</x:v>
      </x:c>
      <x:c r="B189" s="9" t="str">
        <x:v>Ср</x:v>
      </x:c>
      <x:c r="C189" s="10" t="str">
        <x:v>Быт</x:v>
      </x:c>
      <x:c r="D189" s="19" t="str">
        <x:v>czomP-JyNg4</x:v>
      </x:c>
      <x:c r="E189" s="10" t="str">
        <x:f>IF(D189="","",IF(COUNTIFS('Видео'!$A$7:$A$1508,D189)=1,INDEX('Видео'!$B$7:$B$1508,MATCH(D189,'Видео'!$A$7:$A$1508,0)),"ID не найден"))</x:f>
        <x:v>בין אלכוהול מוברח לדיווחים על קקי במגלשה: יום בחיי מנהל פארק מים | זום אין</x:v>
      </x:c>
      <x:c r="F189" s="9" t="str">
        <x:f>IF(D189="","",IF(COUNTIFS('Видео'!$A$7:$A$1508,D189)=1,INDEX('Видео'!$R$7:$R$1508,MATCH(D189,'Видео'!$A$7:$A$1508,0)),"ID не найден"))</x:f>
        <x:v>C048</x:v>
      </x:c>
      <x:c r="G189" s="9" t="str">
        <x:f>IF(D189="","",IF(COUNTIFS('Видео'!$A$7:$A$1508,D189)=1,INDEX('Видео'!$D$7:$D$1508,MATCH(D189,'Видео'!$A$7:$A$1508,0)),"ID не найден"))</x:f>
        <x:v>Быт</x:v>
      </x:c>
      <x:c r="H189" s="10" t="str">
        <x:f>IF(D189="","",IF(COUNTIFS('Видео'!$A$7:$A$1508,D189)=1,INDEX('Видео'!$F$7:$F$1508,MATCH(D189,'Видео'!$A$7:$A$1508,0)),"ID не найден"))</x:f>
        <x:v>B1–B2 (гипотеза)</x:v>
      </x:c>
      <x:c r="I189" s="18" t="n">
        <x:f>IF(D189="","",IF(COUNTIFS('Видео'!$A$7:$A$1508,D189)=1,INDEX('Видео'!$G$7:$G$1508,MATCH(D189,'Видео'!$A$7:$A$1508,0)),"ID не найден"))</x:f>
        <x:v>7.1</x:v>
      </x:c>
      <x:c r="J189" s="18" t="n">
        <x:v>5</x:v>
      </x:c>
      <x:c r="K189" s="10" t="str">
        <x:f>IF(D189="","",IF(COUNTIFS('Видео'!$A$7:$A$1508,D189)=1,INDEX('Видео'!$AI$7:$AI$1508,MATCH(D189,'Видео'!$A$7:$A$1508,0)),"ID не найден"))</x:f>
        <x:v>Нужна редактура</x:v>
      </x:c>
      <x:c r="L189" s="19" t="str">
        <x:v>mczV7FHzlDU</x:v>
      </x:c>
      <x:c r="M189" s="10" t="str">
        <x:f>IF(L189="","",IF(COUNTIFS('Видео'!$A$7:$A$1508,L189)=1,INDEX('Видео'!$B$7:$B$1508,MATCH(L189,'Видео'!$A$7:$A$1508,0)),"ID не найден"))</x:f>
        <x:v>שוטרים על סוסים: דוקותיים עם יחידת הפרשים</x:v>
      </x:c>
      <x:c r="N189" s="10" t="str"/>
      <x:c r="O189" s="10" t="str">
        <x:f>IF(D189="","",IF(COUNTIFS('Видео'!$A$7:$A$1508,D189)=1,INDEX('Видео'!$M$7:$M$1508,MATCH(D189,'Видео'!$A$7:$A$1508,0)),"ID не найден"))</x:f>
        <x:v>Завершённый короткий просмотр около 7 мин. Просмотры в списке выше медианы выборки этого цикла в 2.96 раза. День в жизни специалиста связывает язык с конкретными действиями и рабочей средой.</x:v>
      </x:c>
      <x:c r="P189" s="11" t="str">
        <x:f>IF(D189="","",IF(COUNTIFS('Видео'!$A$7:$A$1508,D189)=1,INDEX('Видео'!$U$7:$U$1508,MATCH(D189,'Видео'!$A$7:$A$1508,0)),"ID не найден"))</x:f>
        <x:v>https://www.youtube.com/watch?v=czomP-JyNg4</x:v>
      </x:c>
      <x:c r="Q189" s="17" t="str">
        <x:v>Предложено</x:v>
      </x:c>
      <x:c r="R189" s="17" t="str"/>
      <x:c r="S189" s="10" t="str"/>
      <x:c r="T189" s="10" t="str">
        <x:v>Резерв меняет выбор видео; снова проверить повод, аудиторию и все редакторские условия</x:v>
      </x:c>
      <x:c r="U189" s="9" t="str">
        <x:f>IF(D189="","Выбрать видео",IF(COUNTIFS($D$7:$D$371,D189)&gt;1,"Повтор","Без повтора"))</x:f>
        <x:v>Без повтора</x:v>
      </x:c>
    </x:row>
    <x:row r="190" ht="60" customHeight="1">
      <x:c r="A190" s="16" t="n">
        <x:v>46492</x:v>
      </x:c>
      <x:c r="B190" s="9" t="str">
        <x:v>Чт</x:v>
      </x:c>
      <x:c r="C190" s="10" t="str">
        <x:v>Сериал</x:v>
      </x:c>
      <x:c r="D190" s="19" t="str">
        <x:v>sowCLwt_oYw</x:v>
      </x:c>
      <x:c r="E190" s="10" t="str">
        <x:f>IF(D190="","",IF(COUNTIFS('Видео'!$A$7:$A$1508,D190)=1,INDEX('Видео'!$B$7:$B$1508,MATCH(D190,'Видео'!$A$7:$A$1508,0)),"ID не найден"))</x:f>
        <x:v>אחד על אחד 📚 - סדרה חדשה! | פרק 6 - זה 20 מיליון</x:v>
      </x:c>
      <x:c r="F190" s="9" t="str">
        <x:f>IF(D190="","",IF(COUNTIFS('Видео'!$A$7:$A$1508,D190)=1,INDEX('Видео'!$R$7:$R$1508,MATCH(D190,'Видео'!$A$7:$A$1508,0)),"ID не найден"))</x:f>
        <x:v>C009</x:v>
      </x:c>
      <x:c r="G190" s="9" t="str">
        <x:f>IF(D190="","",IF(COUNTIFS('Видео'!$A$7:$A$1508,D190)=1,INDEX('Видео'!$D$7:$D$1508,MATCH(D190,'Видео'!$A$7:$A$1508,0)),"ID не найден"))</x:f>
        <x:v>Сериал</x:v>
      </x:c>
      <x:c r="H190" s="10" t="str">
        <x:f>IF(D190="","",IF(COUNTIFS('Видео'!$A$7:$A$1508,D190)=1,INDEX('Видео'!$F$7:$F$1508,MATCH(D190,'Видео'!$A$7:$A$1508,0)),"ID не найден"))</x:f>
        <x:v>B1–B2 (гипотеза)</x:v>
      </x:c>
      <x:c r="I190" s="18" t="n">
        <x:f>IF(D190="","",IF(COUNTIFS('Видео'!$A$7:$A$1508,D190)=1,INDEX('Видео'!$G$7:$G$1508,MATCH(D190,'Видео'!$A$7:$A$1508,0)),"ID не найден"))</x:f>
        <x:v>32.8</x:v>
      </x:c>
      <x:c r="J190" s="18" t="n">
        <x:v>10</x:v>
      </x:c>
      <x:c r="K190" s="10" t="str">
        <x:f>IF(D190="","",IF(COUNTIFS('Видео'!$A$7:$A$1508,D190)=1,INDEX('Видео'!$AI$7:$AI$1508,MATCH(D190,'Видео'!$A$7:$A$1508,0)),"ID не найден"))</x:f>
        <x:v>Нужна редактура</x:v>
      </x:c>
      <x:c r="L190" s="19" t="str">
        <x:v>S4oxgkjLjjs</x:v>
      </x:c>
      <x:c r="M190" s="10" t="str">
        <x:f>IF(L190="","",IF(COUNTIFS('Видео'!$A$7:$A$1508,L190)=1,INDEX('Видео'!$B$7:$B$1508,MATCH(L190,'Видео'!$A$7:$A$1508,0)),"ID не найден"))</x:f>
        <x:v>למה יש אותיות סופיות בעברית? | כאן סקרנים</x:v>
      </x:c>
      <x:c r="N190" s="10" t="str"/>
      <x:c r="O190" s="10" t="str">
        <x:f>IF(D190="","",IF(COUNTIFS('Видео'!$A$7:$A$1508,D190)=1,INDEX('Видео'!$M$7:$M$1508,MATCH(D190,'Видео'!$A$7:$A$1508,0)),"ID не найден"))</x:f>
        <x:v>Эпизод 6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P190" s="11" t="str">
        <x:f>IF(D190="","",IF(COUNTIFS('Видео'!$A$7:$A$1508,D190)=1,INDEX('Видео'!$U$7:$U$1508,MATCH(D190,'Видео'!$A$7:$A$1508,0)),"ID не найден"))</x:f>
        <x:v>https://www.youtube.com/watch?v=sowCLwt_oYw</x:v>
      </x:c>
      <x:c r="Q190" s="17" t="str">
        <x:v>Предложено</x:v>
      </x:c>
      <x:c r="R190" s="17" t="str"/>
      <x:c r="S190" s="10" t="str"/>
      <x:c r="T190" s="10" t="str">
        <x:v>При недоступной серии приостановить сюжетную ветку; резерв — самостоятельное видео</x:v>
      </x:c>
      <x:c r="U190" s="9" t="str">
        <x:f>IF(D190="","Выбрать видео",IF(COUNTIFS($D$7:$D$371,D190)&gt;1,"Повтор","Без повтора"))</x:f>
        <x:v>Без повтора</x:v>
      </x:c>
    </x:row>
    <x:row r="191" ht="60" customHeight="1">
      <x:c r="A191" s="16" t="n">
        <x:v>46493</x:v>
      </x:c>
      <x:c r="B191" s="9" t="str">
        <x:v>Пт</x:v>
      </x:c>
      <x:c r="C191" s="10" t="str">
        <x:v>История</x:v>
      </x:c>
      <x:c r="D191" s="19" t="str">
        <x:v>ntyg4dEoDek</x:v>
      </x:c>
      <x:c r="E191" s="10" t="str">
        <x:f>IF(D191="","",IF(COUNTIFS('Видео'!$A$7:$A$1508,D191)=1,INDEX('Видео'!$B$7:$B$1508,MATCH(D191,'Видео'!$A$7:$A$1508,0)),"ID не найден"))</x:f>
        <x:v>המנדט - הימים בהם שלטו הבריטים בארץ ישראל | פרק 3 - אימפריות נופלות</x:v>
      </x:c>
      <x:c r="F191" s="9" t="str">
        <x:f>IF(D191="","",IF(COUNTIFS('Видео'!$A$7:$A$1508,D191)=1,INDEX('Видео'!$R$7:$R$1508,MATCH(D191,'Видео'!$A$7:$A$1508,0)),"ID не найден"))</x:f>
        <x:v>C029</x:v>
      </x:c>
      <x:c r="G191" s="9" t="str">
        <x:f>IF(D191="","",IF(COUNTIFS('Видео'!$A$7:$A$1508,D191)=1,INDEX('Видео'!$D$7:$D$1508,MATCH(D191,'Видео'!$A$7:$A$1508,0)),"ID не найден"))</x:f>
        <x:v>История</x:v>
      </x:c>
      <x:c r="H191" s="10" t="str">
        <x:f>IF(D191="","",IF(COUNTIFS('Видео'!$A$7:$A$1508,D191)=1,INDEX('Видео'!$F$7:$F$1508,MATCH(D191,'Видео'!$A$7:$A$1508,0)),"ID не найден"))</x:f>
        <x:v>B2–C1 (гипотеза)</x:v>
      </x:c>
      <x:c r="I191" s="18" t="n">
        <x:f>IF(D191="","",IF(COUNTIFS('Видео'!$A$7:$A$1508,D191)=1,INDEX('Видео'!$G$7:$G$1508,MATCH(D191,'Видео'!$A$7:$A$1508,0)),"ID не найден"))</x:f>
        <x:v>55.2</x:v>
      </x:c>
      <x:c r="J191" s="18" t="n">
        <x:v>10</x:v>
      </x:c>
      <x:c r="K191" s="10" t="str">
        <x:f>IF(D191="","",IF(COUNTIFS('Видео'!$A$7:$A$1508,D191)=1,INDEX('Видео'!$AI$7:$AI$1508,MATCH(D191,'Видео'!$A$7:$A$1508,0)),"ID не найден"))</x:f>
        <x:v>Нужна редактура</x:v>
      </x:c>
      <x:c r="L191" s="19" t="str">
        <x:v>c0TLpEoLAQU</x:v>
      </x:c>
      <x:c r="M191" s="10" t="str">
        <x:f>IF(L191="","",IF(COUNTIFS('Видео'!$A$7:$A$1508,L191)=1,INDEX('Видео'!$B$7:$B$1508,MATCH(L191,'Видео'!$A$7:$A$1508,0)),"ID не найден"))</x:f>
        <x:v>דיואן יהודי תימן | שיעור 3 - ביצוע | ד"ר תום פוגל</x:v>
      </x:c>
      <x:c r="N191" s="10" t="str"/>
      <x:c r="O191" s="10" t="str">
        <x:f>IF(D191="","",IF(COUNTIFS('Видео'!$A$7:$A$1508,D191)=1,INDEX('Видео'!$M$7:$M$1508,MATCH(D191,'Видео'!$A$7:$A$1508,0)),"ID не найден"))</x:f>
        <x:v>Тема: המנדט - הימים בהם שלטו הבריטים בארץ ישראל | פרק 3 - אימפריות נופלות. Связный документальный цикл помогает понять британский период и предпосылки создания государства.</x:v>
      </x:c>
      <x:c r="P191" s="11" t="str">
        <x:f>IF(D191="","",IF(COUNTIFS('Видео'!$A$7:$A$1508,D191)=1,INDEX('Видео'!$U$7:$U$1508,MATCH(D191,'Видео'!$A$7:$A$1508,0)),"ID не найден"))</x:f>
        <x:v>https://www.youtube.com/watch?v=ntyg4dEoDek</x:v>
      </x:c>
      <x:c r="Q191" s="17" t="str">
        <x:v>Предложено</x:v>
      </x:c>
      <x:c r="R191" s="17" t="str"/>
      <x:c r="S191" s="10" t="str"/>
      <x:c r="T191" s="10" t="str">
        <x:v>Резерв меняет выбор видео; снова проверить повод, аудиторию и все редакторские условия</x:v>
      </x:c>
      <x:c r="U191" s="9" t="str">
        <x:f>IF(D191="","Выбрать видео",IF(COUNTIFS($D$7:$D$371,D191)&gt;1,"Повтор","Без повтора"))</x:f>
        <x:v>Без повтора</x:v>
      </x:c>
    </x:row>
    <x:row r="192" ht="60" customHeight="1">
      <x:c r="A192" s="16" t="n">
        <x:v>46494</x:v>
      </x:c>
      <x:c r="B192" s="9" t="str">
        <x:v>Сб</x:v>
      </x:c>
      <x:c r="C192" s="10" t="str">
        <x:v>История</x:v>
      </x:c>
      <x:c r="D192" s="19" t="str">
        <x:v>1ahW0_McSvQ</x:v>
      </x:c>
      <x:c r="E192" s="10" t="str">
        <x:f>IF(D192="","",IF(COUNTIFS('Видео'!$A$7:$A$1508,D192)=1,INDEX('Видео'!$B$7:$B$1508,MATCH(D192,'Видео'!$A$7:$A$1508,0)),"ID не найден"))</x:f>
        <x:v>ירוסלם | פרק 2</x:v>
      </x:c>
      <x:c r="F192" s="9" t="str">
        <x:f>IF(D192="","",IF(COUNTIFS('Видео'!$A$7:$A$1508,D192)=1,INDEX('Видео'!$R$7:$R$1508,MATCH(D192,'Видео'!$A$7:$A$1508,0)),"ID не найден"))</x:f>
        <x:v>C032</x:v>
      </x:c>
      <x:c r="G192" s="9" t="str">
        <x:f>IF(D192="","",IF(COUNTIFS('Видео'!$A$7:$A$1508,D192)=1,INDEX('Видео'!$D$7:$D$1508,MATCH(D192,'Видео'!$A$7:$A$1508,0)),"ID не найден"))</x:f>
        <x:v>История</x:v>
      </x:c>
      <x:c r="H192" s="10" t="str">
        <x:f>IF(D192="","",IF(COUNTIFS('Видео'!$A$7:$A$1508,D192)=1,INDEX('Видео'!$F$7:$F$1508,MATCH(D192,'Видео'!$A$7:$A$1508,0)),"ID не найден"))</x:f>
        <x:v>B2–C1 (гипотеза)</x:v>
      </x:c>
      <x:c r="I192" s="18" t="n">
        <x:f>IF(D192="","",IF(COUNTIFS('Видео'!$A$7:$A$1508,D192)=1,INDEX('Видео'!$G$7:$G$1508,MATCH(D192,'Видео'!$A$7:$A$1508,0)),"ID не найден"))</x:f>
        <x:v>55.6</x:v>
      </x:c>
      <x:c r="J192" s="18" t="n">
        <x:v>10</x:v>
      </x:c>
      <x:c r="K192" s="10" t="str">
        <x:f>IF(D192="","",IF(COUNTIFS('Видео'!$A$7:$A$1508,D192)=1,INDEX('Видео'!$AI$7:$AI$1508,MATCH(D192,'Видео'!$A$7:$A$1508,0)),"ID не найден"))</x:f>
        <x:v>Нужна редактура</x:v>
      </x:c>
      <x:c r="L192" s="19" t="str">
        <x:v>i3iK4fCJBhw</x:v>
      </x:c>
      <x:c r="M192" s="10" t="str">
        <x:f>IF(L192="","",IF(COUNTIFS('Видео'!$A$7:$A$1508,L192)=1,INDEX('Видео'!$B$7:$B$1508,MATCH(L192,'Видео'!$A$7:$A$1508,0)),"ID не найден"))</x:f>
        <x:v>ספרות הלאדינו | שיעור 3 - ילקוט מעם לועז | ד"ר אליעזר פאפו</x:v>
      </x:c>
      <x:c r="N192" s="10" t="str">
        <x:v>Йом ха-Алия: история общины и путь в Израиль</x:v>
      </x:c>
      <x:c r="O192" s="10" t="str">
        <x:f>IF(D192="","",IF(COUNTIFS('Видео'!$A$7:$A$1508,D192)=1,INDEX('Видео'!$M$7:$M$1508,MATCH(D192,'Видео'!$A$7:$A$1508,0)),"ID не найден"))</x:f>
        <x:v>Тема: ירוסלם | פרק 2. История эфиопской общины расширяет представление об алие и опыте интеграции.</x:v>
      </x:c>
      <x:c r="P192" s="11" t="str">
        <x:f>IF(D192="","",IF(COUNTIFS('Видео'!$A$7:$A$1508,D192)=1,INDEX('Видео'!$U$7:$U$1508,MATCH(D192,'Видео'!$A$7:$A$1508,0)),"ID не найден"))</x:f>
        <x:v>https://www.youtube.com/watch?v=1ahW0_McSvQ</x:v>
      </x:c>
      <x:c r="Q192" s="17" t="str">
        <x:v>Предложено</x:v>
      </x:c>
      <x:c r="R192" s="17" t="str"/>
      <x:c r="S192" s="10" t="str">
        <x:v>https://www.hebcal.com/holidays/2027?i=on</x:v>
      </x:c>
      <x:c r="T192" s="10" t="str">
        <x:v>Резерв меняет выбор видео; снова проверить повод, аудиторию и все редакторские условия</x:v>
      </x:c>
      <x:c r="U192" s="9" t="str">
        <x:f>IF(D192="","Выбрать видео",IF(COUNTIFS($D$7:$D$371,D192)&gt;1,"Повтор","Без повтора"))</x:f>
        <x:v>Без повтора</x:v>
      </x:c>
    </x:row>
    <x:row r="193" ht="60" customHeight="1">
      <x:c r="A193" s="16" t="n">
        <x:v>46495</x:v>
      </x:c>
      <x:c r="B193" s="9" t="str">
        <x:v>Вс</x:v>
      </x:c>
      <x:c r="C193" s="10" t="str">
        <x:v>Сериал</x:v>
      </x:c>
      <x:c r="D193" s="19" t="str">
        <x:v>KK4zLYp_O6E</x:v>
      </x:c>
      <x:c r="E193" s="10" t="str">
        <x:f>IF(D193="","",IF(COUNTIFS('Видео'!$A$7:$A$1508,D193)=1,INDEX('Видео'!$B$7:$B$1508,MATCH(D193,'Видео'!$A$7:$A$1508,0)),"ID не найден"))</x:f>
        <x:v>קופה ראשית עונה 4🛒  | פרק 6 - אבא של נעמי</x:v>
      </x:c>
      <x:c r="F193" s="9" t="str">
        <x:f>IF(D193="","",IF(COUNTIFS('Видео'!$A$7:$A$1508,D193)=1,INDEX('Видео'!$R$7:$R$1508,MATCH(D193,'Видео'!$A$7:$A$1508,0)),"ID не найден"))</x:f>
        <x:v>C002</x:v>
      </x:c>
      <x:c r="G193" s="9" t="str">
        <x:f>IF(D193="","",IF(COUNTIFS('Видео'!$A$7:$A$1508,D193)=1,INDEX('Видео'!$D$7:$D$1508,MATCH(D193,'Видео'!$A$7:$A$1508,0)),"ID не найден"))</x:f>
        <x:v>Сериал</x:v>
      </x:c>
      <x:c r="H193" s="10" t="str">
        <x:f>IF(D193="","",IF(COUNTIFS('Видео'!$A$7:$A$1508,D193)=1,INDEX('Видео'!$F$7:$F$1508,MATCH(D193,'Видео'!$A$7:$A$1508,0)),"ID не найден"))</x:f>
        <x:v>B1–B2 (гипотеза)</x:v>
      </x:c>
      <x:c r="I193" s="18" t="n">
        <x:f>IF(D193="","",IF(COUNTIFS('Видео'!$A$7:$A$1508,D193)=1,INDEX('Видео'!$G$7:$G$1508,MATCH(D193,'Видео'!$A$7:$A$1508,0)),"ID не найден"))</x:f>
        <x:v>26.2</x:v>
      </x:c>
      <x:c r="J193" s="18" t="n">
        <x:v>10</x:v>
      </x:c>
      <x:c r="K193" s="10" t="str">
        <x:f>IF(D193="","",IF(COUNTIFS('Видео'!$A$7:$A$1508,D193)=1,INDEX('Видео'!$AI$7:$AI$1508,MATCH(D193,'Видео'!$A$7:$A$1508,0)),"ID не найден"))</x:f>
        <x:v>Нужна редактура</x:v>
      </x:c>
      <x:c r="L193" s="19" t="str">
        <x:v>vYmR7d94ho0</x:v>
      </x:c>
      <x:c r="M193" s="10" t="str">
        <x:f>IF(L193="","",IF(COUNTIFS('Видео'!$A$7:$A$1508,L193)=1,INDEX('Видео'!$B$7:$B$1508,MATCH(L193,'Видео'!$A$7:$A$1508,0)),"ID не найден"))</x:f>
        <x:v>למה מלחמות כבר לא קורות בחורף? | כאן מסבירים</x:v>
      </x:c>
      <x:c r="N193" s="10" t="str"/>
      <x:c r="O193" s="10" t="str">
        <x:f>IF(D193="","",IF(COUNTIFS('Видео'!$A$7:$A$1508,D193)=1,INDEX('Видео'!$M$7:$M$1508,MATCH(D193,'Видео'!$A$7:$A$1508,0)),"ID не найден"))</x:f>
        <x:v>Эпизод 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193" s="11" t="str">
        <x:f>IF(D193="","",IF(COUNTIFS('Видео'!$A$7:$A$1508,D193)=1,INDEX('Видео'!$U$7:$U$1508,MATCH(D193,'Видео'!$A$7:$A$1508,0)),"ID не найден"))</x:f>
        <x:v>https://www.youtube.com/watch?v=KK4zLYp_O6E</x:v>
      </x:c>
      <x:c r="Q193" s="17" t="str">
        <x:v>Предложено</x:v>
      </x:c>
      <x:c r="R193" s="17" t="str"/>
      <x:c r="S193" s="10" t="str"/>
      <x:c r="T193" s="10" t="str">
        <x:v>При недоступной серии приостановить сюжетную ветку; резерв — самостоятельное видео</x:v>
      </x:c>
      <x:c r="U193" s="9" t="str">
        <x:f>IF(D193="","Выбрать видео",IF(COUNTIFS($D$7:$D$371,D193)&gt;1,"Повтор","Без повтора"))</x:f>
        <x:v>Без повтора</x:v>
      </x:c>
    </x:row>
    <x:row r="194" ht="60" customHeight="1">
      <x:c r="A194" s="16" t="n">
        <x:v>46496</x:v>
      </x:c>
      <x:c r="B194" s="9" t="str">
        <x:v>Пн</x:v>
      </x:c>
      <x:c r="C194" s="10" t="str">
        <x:v>Интервью</x:v>
      </x:c>
      <x:c r="D194" s="19" t="str">
        <x:v>82lQDDjzclA</x:v>
      </x:c>
      <x:c r="E194" s="10" t="str">
        <x:f>IF(D194="","",IF(COUNTIFS('Видео'!$A$7:$A$1508,D194)=1,INDEX('Видео'!$B$7:$B$1508,MATCH(D194,'Видео'!$A$7:$A$1508,0)),"ID не найден"))</x:f>
        <x:v>פגישה עם רוני קובן עונה 6 | פרק 2 - ציפי שביט</x:v>
      </x:c>
      <x:c r="F194" s="9" t="str">
        <x:f>IF(D194="","",IF(COUNTIFS('Видео'!$A$7:$A$1508,D194)=1,INDEX('Видео'!$R$7:$R$1508,MATCH(D194,'Видео'!$A$7:$A$1508,0)),"ID не найден"))</x:f>
        <x:v>C017</x:v>
      </x:c>
      <x:c r="G194" s="9" t="str">
        <x:f>IF(D194="","",IF(COUNTIFS('Видео'!$A$7:$A$1508,D194)=1,INDEX('Видео'!$D$7:$D$1508,MATCH(D194,'Видео'!$A$7:$A$1508,0)),"ID не найден"))</x:f>
        <x:v>Интервью</x:v>
      </x:c>
      <x:c r="H194" s="10" t="str">
        <x:f>IF(D194="","",IF(COUNTIFS('Видео'!$A$7:$A$1508,D194)=1,INDEX('Видео'!$F$7:$F$1508,MATCH(D194,'Видео'!$A$7:$A$1508,0)),"ID не найден"))</x:f>
        <x:v>B2–C1 (гипотеза)</x:v>
      </x:c>
      <x:c r="I194" s="18" t="n">
        <x:f>IF(D194="","",IF(COUNTIFS('Видео'!$A$7:$A$1508,D194)=1,INDEX('Видео'!$G$7:$G$1508,MATCH(D194,'Видео'!$A$7:$A$1508,0)),"ID не найден"))</x:f>
        <x:v>34.6</x:v>
      </x:c>
      <x:c r="J194" s="18" t="n">
        <x:v>10</x:v>
      </x:c>
      <x:c r="K194" s="10" t="str">
        <x:f>IF(D194="","",IF(COUNTIFS('Видео'!$A$7:$A$1508,D194)=1,INDEX('Видео'!$AI$7:$AI$1508,MATCH(D194,'Видео'!$A$7:$A$1508,0)),"ID не найден"))</x:f>
        <x:v>Нужна редактура</x:v>
      </x:c>
      <x:c r="L194" s="19" t="str">
        <x:v>im9gqJ1ZFsQ</x:v>
      </x:c>
      <x:c r="M194" s="10" t="str">
        <x:f>IF(L194="","",IF(COUNTIFS('Видео'!$A$7:$A$1508,L194)=1,INDEX('Видео'!$B$7:$B$1508,MATCH(L194,'Видео'!$A$7:$A$1508,0)),"ID не найден"))</x:f>
        <x:v>רבים בכיף: עירית לינור וגיא מרוז על נתניהו, מנסור עבאס ואלטלנה. משמורת משותפת 44</x:v>
      </x:c>
      <x:c r="N194" s="10" t="str"/>
      <x:c r="O194" s="10" t="str">
        <x:f>IF(D194="","",IF(COUNTIFS('Видео'!$A$7:$A$1508,D194)=1,INDEX('Видео'!$M$7:$M$1508,MATCH(D194,'Видео'!$A$7:$A$1508,0)),"ID не найден"))</x:f>
        <x:v>Тема / гость: פרק 2 - ציפי שביט. Просмотры в списке выше медианы выборки этого цикла в 2.86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194" s="11" t="str">
        <x:f>IF(D194="","",IF(COUNTIFS('Видео'!$A$7:$A$1508,D194)=1,INDEX('Видео'!$U$7:$U$1508,MATCH(D194,'Видео'!$A$7:$A$1508,0)),"ID не найден"))</x:f>
        <x:v>https://www.youtube.com/watch?v=82lQDDjzclA</x:v>
      </x:c>
      <x:c r="Q194" s="17" t="str">
        <x:v>Предложено</x:v>
      </x:c>
      <x:c r="R194" s="17" t="str"/>
      <x:c r="S194" s="10" t="str"/>
      <x:c r="T194" s="10" t="str">
        <x:v>Резерв меняет выбор видео; снова проверить повод, аудиторию и все редакторские условия</x:v>
      </x:c>
      <x:c r="U194" s="9" t="str">
        <x:f>IF(D194="","Выбрать видео",IF(COUNTIFS($D$7:$D$371,D194)&gt;1,"Повтор","Без повтора"))</x:f>
        <x:v>Без повтора</x:v>
      </x:c>
    </x:row>
    <x:row r="195" ht="60" customHeight="1">
      <x:c r="A195" s="16" t="n">
        <x:v>46497</x:v>
      </x:c>
      <x:c r="B195" s="9" t="str">
        <x:v>Вт</x:v>
      </x:c>
      <x:c r="C195" s="10" t="str">
        <x:v>Образование</x:v>
      </x:c>
      <x:c r="D195" s="19" t="str">
        <x:v>o63wVo4vaaA</x:v>
      </x:c>
      <x:c r="E195" s="10" t="str">
        <x:f>IF(D195="","",IF(COUNTIFS('Видео'!$A$7:$A$1508,D195)=1,INDEX('Видео'!$B$7:$B$1508,MATCH(D195,'Видео'!$A$7:$A$1508,0)),"ID не найден"))</x:f>
        <x:v>פרפר נחמד 🦋 | פרק 1 - איך דמיון מתגלגל</x:v>
      </x:c>
      <x:c r="F195" s="9" t="str">
        <x:f>IF(D195="","",IF(COUNTIFS('Видео'!$A$7:$A$1508,D195)=1,INDEX('Видео'!$R$7:$R$1508,MATCH(D195,'Видео'!$A$7:$A$1508,0)),"ID не найден"))</x:f>
        <x:v>C058</x:v>
      </x:c>
      <x:c r="G195" s="9" t="str">
        <x:f>IF(D195="","",IF(COUNTIFS('Видео'!$A$7:$A$1508,D195)=1,INDEX('Видео'!$D$7:$D$1508,MATCH(D195,'Видео'!$A$7:$A$1508,0)),"ID не найден"))</x:f>
        <x:v>Образование</x:v>
      </x:c>
      <x:c r="H195" s="10" t="str">
        <x:f>IF(D195="","",IF(COUNTIFS('Видео'!$A$7:$A$1508,D195)=1,INDEX('Видео'!$F$7:$F$1508,MATCH(D195,'Видео'!$A$7:$A$1508,0)),"ID не найден"))</x:f>
        <x:v>A1–A2 (гипотеза)</x:v>
      </x:c>
      <x:c r="I195" s="18" t="n">
        <x:f>IF(D195="","",IF(COUNTIFS('Видео'!$A$7:$A$1508,D195)=1,INDEX('Видео'!$G$7:$G$1508,MATCH(D195,'Видео'!$A$7:$A$1508,0)),"ID не найден"))</x:f>
        <x:v>20.2</x:v>
      </x:c>
      <x:c r="J195" s="18" t="n">
        <x:v>10</x:v>
      </x:c>
      <x:c r="K195" s="10" t="str">
        <x:f>IF(D195="","",IF(COUNTIFS('Видео'!$A$7:$A$1508,D195)=1,INDEX('Видео'!$AI$7:$AI$1508,MATCH(D195,'Видео'!$A$7:$A$1508,0)),"ID не найден"))</x:f>
        <x:v>Нужна редактура</x:v>
      </x:c>
      <x:c r="L195" s="19" t="str">
        <x:v>_b96OSMKsII</x:v>
      </x:c>
      <x:c r="M195" s="10" t="str">
        <x:f>IF(L195="","",IF(COUNTIFS('Видео'!$A$7:$A$1508,L195)=1,INDEX('Видео'!$B$7:$B$1508,MATCH(L195,'Видео'!$A$7:$A$1508,0)),"ID не найден"))</x:f>
        <x:v>המרדף עונה 9 | פרק 4</x:v>
      </x:c>
      <x:c r="N195" s="10" t="str"/>
      <x:c r="O195" s="10" t="str">
        <x:f>IF(D195="","",IF(COUNTIFS('Видео'!$A$7:$A$1508,D195)=1,INDEX('Видео'!$M$7:$M$1508,MATCH(D195,'Видео'!$A$7:$A$1508,0)),"ID не найден"))</x:f>
        <x:v>Тема: פרפר נחמד 🦋 | פרק 1 - איך דמיון מתגלגל. Просмотры в списке выше медианы выборки этого цикла в 2.29 раза. Повторы, песенки и визуальные действия подходят для семейного входа в язык. Взрослым предлагать как отдельную опцию.</x:v>
      </x:c>
      <x:c r="P195" s="11" t="str">
        <x:f>IF(D195="","",IF(COUNTIFS('Видео'!$A$7:$A$1508,D195)=1,INDEX('Видео'!$U$7:$U$1508,MATCH(D195,'Видео'!$A$7:$A$1508,0)),"ID не найден"))</x:f>
        <x:v>https://www.youtube.com/watch?v=o63wVo4vaaA</x:v>
      </x:c>
      <x:c r="Q195" s="17" t="str">
        <x:v>Предложено</x:v>
      </x:c>
      <x:c r="R195" s="17" t="str"/>
      <x:c r="S195" s="10" t="str"/>
      <x:c r="T195" s="10" t="str">
        <x:v>Резерв меняет выбор видео; снова проверить повод, аудиторию и все редакторские условия</x:v>
      </x:c>
      <x:c r="U195" s="9" t="str">
        <x:f>IF(D195="","Выбрать видео",IF(COUNTIFS($D$7:$D$371,D195)&gt;1,"Повтор","Без повтора"))</x:f>
        <x:v>Без повтора</x:v>
      </x:c>
    </x:row>
    <x:row r="196" ht="60" customHeight="1">
      <x:c r="A196" s="16" t="n">
        <x:v>46498</x:v>
      </x:c>
      <x:c r="B196" s="9" t="str">
        <x:v>Ср</x:v>
      </x:c>
      <x:c r="C196" s="10" t="str">
        <x:v>История</x:v>
      </x:c>
      <x:c r="D196" s="19" t="str">
        <x:v>plGPD2bburg</x:v>
      </x:c>
      <x:c r="E196" s="10" t="str">
        <x:f>IF(D196="","",IF(COUNTIFS('Видео'!$A$7:$A$1508,D196)=1,INDEX('Видео'!$B$7:$B$1508,MATCH(D196,'Видео'!$A$7:$A$1508,0)),"ID не найден"))</x:f>
        <x:v>בארץ לא להם | שיעור 1 – "כי גרים הייתם בארץ מצרים" | ד"ר יפעת טהרני</x:v>
      </x:c>
      <x:c r="F196" s="9" t="str">
        <x:f>IF(D196="","",IF(COUNTIFS('Видео'!$A$7:$A$1508,D196)=1,INDEX('Видео'!$R$7:$R$1508,MATCH(D196,'Видео'!$A$7:$A$1508,0)),"ID не найден"))</x:f>
        <x:v>C074</x:v>
      </x:c>
      <x:c r="G196" s="9" t="str">
        <x:f>IF(D196="","",IF(COUNTIFS('Видео'!$A$7:$A$1508,D196)=1,INDEX('Видео'!$D$7:$D$1508,MATCH(D196,'Видео'!$A$7:$A$1508,0)),"ID не найден"))</x:f>
        <x:v>История</x:v>
      </x:c>
      <x:c r="H196" s="10" t="str">
        <x:f>IF(D196="","",IF(COUNTIFS('Видео'!$A$7:$A$1508,D196)=1,INDEX('Видео'!$F$7:$F$1508,MATCH(D196,'Видео'!$A$7:$A$1508,0)),"ID не найден"))</x:f>
        <x:v>B2–C1 (гипотеза)</x:v>
      </x:c>
      <x:c r="I196" s="18" t="n">
        <x:f>IF(D196="","",IF(COUNTIFS('Видео'!$A$7:$A$1508,D196)=1,INDEX('Видео'!$G$7:$G$1508,MATCH(D196,'Видео'!$A$7:$A$1508,0)),"ID не найден"))</x:f>
        <x:v>36.1</x:v>
      </x:c>
      <x:c r="J196" s="18" t="n">
        <x:v>10</x:v>
      </x:c>
      <x:c r="K196" s="10" t="str">
        <x:f>IF(D196="","",IF(COUNTIFS('Видео'!$A$7:$A$1508,D196)=1,INDEX('Видео'!$AI$7:$AI$1508,MATCH(D196,'Видео'!$A$7:$A$1508,0)),"ID не найден"))</x:f>
        <x:v>Нужна редактура</x:v>
      </x:c>
      <x:c r="L196" s="19" t="str">
        <x:v>Wl8yjbHvASM</x:v>
      </x:c>
      <x:c r="M196" s="10" t="str">
        <x:f>IF(L196="","",IF(COUNTIFS('Видео'!$A$7:$A$1508,L196)=1,INDEX('Видео'!$B$7:$B$1508,MATCH(L196,'Видео'!$A$7:$A$1508,0)),"ID не найден"))</x:f>
        <x:v>חמש קריאות בהגות ציונית | שיעור 5 - זאב ז'בוטינסקי | פרופ' ישראל ברטל</x:v>
      </x:c>
      <x:c r="N196" s="10" t="str">
        <x:v>Песах начинается вечером: исход и исторические источники</x:v>
      </x:c>
      <x:c r="O196" s="10" t="str">
        <x:f>IF(D196="","",IF(COUNTIFS('Видео'!$A$7:$A$1508,D196)=1,INDEX('Видео'!$M$7:$M$1508,MATCH(D196,'Видео'!$A$7:$A$1508,0)),"ID не найден"))</x:f>
        <x:v>Тема: בארץ לא להם | שיעור 1 – "כי גרים הייתם בארץ מצרים" | ד"ר יפעת טהרני. Просмотры в списке выше медианы выборки этого цикла в 2.1 раза. Археологический и исторический взгляд на исход предлагает содержательный разговор об источниках.</x:v>
      </x:c>
      <x:c r="P196" s="11" t="str">
        <x:f>IF(D196="","",IF(COUNTIFS('Видео'!$A$7:$A$1508,D196)=1,INDEX('Видео'!$U$7:$U$1508,MATCH(D196,'Видео'!$A$7:$A$1508,0)),"ID не найден"))</x:f>
        <x:v>https://www.youtube.com/watch?v=plGPD2bburg</x:v>
      </x:c>
      <x:c r="Q196" s="17" t="str">
        <x:v>Предложено</x:v>
      </x:c>
      <x:c r="R196" s="17" t="str"/>
      <x:c r="S196" s="10" t="str">
        <x:v>https://www.hebcal.com/holidays/2027?i=on</x:v>
      </x:c>
      <x:c r="T196" s="10" t="str">
        <x:v>Резерв меняет выбор видео; снова проверить повод, аудиторию и все редакторские условия</x:v>
      </x:c>
      <x:c r="U196" s="9" t="str">
        <x:f>IF(D196="","Выбрать видео",IF(COUNTIFS($D$7:$D$371,D196)&gt;1,"Повтор","Без повтора"))</x:f>
        <x:v>Без повтора</x:v>
      </x:c>
    </x:row>
    <x:row r="197" ht="60" customHeight="1">
      <x:c r="A197" s="16" t="n">
        <x:v>46499</x:v>
      </x:c>
      <x:c r="B197" s="9" t="str">
        <x:v>Чт</x:v>
      </x:c>
      <x:c r="C197" s="10" t="str">
        <x:v>Сериал</x:v>
      </x:c>
      <x:c r="D197" s="19" t="str">
        <x:v>TBQNeu_icxE</x:v>
      </x:c>
      <x:c r="E197" s="10" t="str">
        <x:f>IF(D197="","",IF(COUNTIFS('Видео'!$A$7:$A$1508,D197)=1,INDEX('Видео'!$B$7:$B$1508,MATCH(D197,'Видео'!$A$7:$A$1508,0)),"ID не найден"))</x:f>
        <x:v>אחד על אחד 📚 - סדרה חדשה! | פרק 7 - יותר לצחוק</x:v>
      </x:c>
      <x:c r="F197" s="9" t="str">
        <x:f>IF(D197="","",IF(COUNTIFS('Видео'!$A$7:$A$1508,D197)=1,INDEX('Видео'!$R$7:$R$1508,MATCH(D197,'Видео'!$A$7:$A$1508,0)),"ID не найден"))</x:f>
        <x:v>C009</x:v>
      </x:c>
      <x:c r="G197" s="9" t="str">
        <x:f>IF(D197="","",IF(COUNTIFS('Видео'!$A$7:$A$1508,D197)=1,INDEX('Видео'!$D$7:$D$1508,MATCH(D197,'Видео'!$A$7:$A$1508,0)),"ID не найден"))</x:f>
        <x:v>Сериал</x:v>
      </x:c>
      <x:c r="H197" s="10" t="str">
        <x:f>IF(D197="","",IF(COUNTIFS('Видео'!$A$7:$A$1508,D197)=1,INDEX('Видео'!$F$7:$F$1508,MATCH(D197,'Видео'!$A$7:$A$1508,0)),"ID не найден"))</x:f>
        <x:v>B1–B2 (гипотеза)</x:v>
      </x:c>
      <x:c r="I197" s="18" t="n">
        <x:f>IF(D197="","",IF(COUNTIFS('Видео'!$A$7:$A$1508,D197)=1,INDEX('Видео'!$G$7:$G$1508,MATCH(D197,'Видео'!$A$7:$A$1508,0)),"ID не найден"))</x:f>
        <x:v>30.9</x:v>
      </x:c>
      <x:c r="J197" s="18" t="n">
        <x:v>10</x:v>
      </x:c>
      <x:c r="K197" s="10" t="str">
        <x:f>IF(D197="","",IF(COUNTIFS('Видео'!$A$7:$A$1508,D197)=1,INDEX('Видео'!$AI$7:$AI$1508,MATCH(D197,'Видео'!$A$7:$A$1508,0)),"ID не найден"))</x:f>
        <x:v>Нужна редактура</x:v>
      </x:c>
      <x:c r="L197" s="19" t="str">
        <x:v>BcOjlVefAJk</x:v>
      </x:c>
      <x:c r="M197" s="10" t="str">
        <x:f>IF(L197="","",IF(COUNTIFS('Видео'!$A$7:$A$1508,L197)=1,INDEX('Видео'!$B$7:$B$1508,MATCH(L197,'Видео'!$A$7:$A$1508,0)),"ID не найден"))</x:f>
        <x:v>הר געש של שעווה</x:v>
      </x:c>
      <x:c r="N197" s="10" t="str"/>
      <x:c r="O197" s="10" t="str">
        <x:f>IF(D197="","",IF(COUNTIFS('Видео'!$A$7:$A$1508,D197)=1,INDEX('Видео'!$M$7:$M$1508,MATCH(D197,'Видео'!$A$7:$A$1508,0)),"ID не найден"))</x:f>
        <x:v>Эпизод 7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P197" s="11" t="str">
        <x:f>IF(D197="","",IF(COUNTIFS('Видео'!$A$7:$A$1508,D197)=1,INDEX('Видео'!$U$7:$U$1508,MATCH(D197,'Видео'!$A$7:$A$1508,0)),"ID не найден"))</x:f>
        <x:v>https://www.youtube.com/watch?v=TBQNeu_icxE</x:v>
      </x:c>
      <x:c r="Q197" s="17" t="str">
        <x:v>Предложено</x:v>
      </x:c>
      <x:c r="R197" s="17" t="str"/>
      <x:c r="S197" s="10" t="str"/>
      <x:c r="T197" s="10" t="str">
        <x:v>При недоступной серии приостановить сюжетную ветку; резерв — самостоятельное видео</x:v>
      </x:c>
      <x:c r="U197" s="9" t="str">
        <x:f>IF(D197="","Выбрать видео",IF(COUNTIFS($D$7:$D$371,D197)&gt;1,"Повтор","Без повтора"))</x:f>
        <x:v>Без повтора</x:v>
      </x:c>
    </x:row>
    <x:row r="198" ht="60" customHeight="1">
      <x:c r="A198" s="16" t="n">
        <x:v>46500</x:v>
      </x:c>
      <x:c r="B198" s="9" t="str">
        <x:v>Пт</x:v>
      </x:c>
      <x:c r="C198" s="10" t="str">
        <x:v>Культура</x:v>
      </x:c>
      <x:c r="D198" s="19" t="str">
        <x:v>mDFLszm7QkU</x:v>
      </x:c>
      <x:c r="E198" s="10" t="str">
        <x:f>IF(D198="","",IF(COUNTIFS('Видео'!$A$7:$A$1508,D198)=1,INDEX('Видео'!$B$7:$B$1508,MATCH(D198,'Видео'!$A$7:$A$1508,0)),"ID не найден"))</x:f>
        <x:v>שיר אחד 🎤 עונה 2 | עמיר בניון - ניצחת איתי הכל</x:v>
      </x:c>
      <x:c r="F198" s="9" t="str">
        <x:f>IF(D198="","",IF(COUNTIFS('Видео'!$A$7:$A$1508,D198)=1,INDEX('Видео'!$R$7:$R$1508,MATCH(D198,'Видео'!$A$7:$A$1508,0)),"ID не найден"))</x:f>
        <x:v>C027</x:v>
      </x:c>
      <x:c r="G198" s="9" t="str">
        <x:f>IF(D198="","",IF(COUNTIFS('Видео'!$A$7:$A$1508,D198)=1,INDEX('Видео'!$D$7:$D$1508,MATCH(D198,'Видео'!$A$7:$A$1508,0)),"ID не найден"))</x:f>
        <x:v>Культура</x:v>
      </x:c>
      <x:c r="H198" s="10" t="str">
        <x:f>IF(D198="","",IF(COUNTIFS('Видео'!$A$7:$A$1508,D198)=1,INDEX('Видео'!$F$7:$F$1508,MATCH(D198,'Видео'!$A$7:$A$1508,0)),"ID не найден"))</x:f>
        <x:v>B1–B2 (гипотеза)</x:v>
      </x:c>
      <x:c r="I198" s="18" t="n">
        <x:f>IF(D198="","",IF(COUNTIFS('Видео'!$A$7:$A$1508,D198)=1,INDEX('Видео'!$G$7:$G$1508,MATCH(D198,'Видео'!$A$7:$A$1508,0)),"ID не найден"))</x:f>
        <x:v>27.6</x:v>
      </x:c>
      <x:c r="J198" s="18" t="n">
        <x:v>10</x:v>
      </x:c>
      <x:c r="K198" s="10" t="str">
        <x:f>IF(D198="","",IF(COUNTIFS('Видео'!$A$7:$A$1508,D198)=1,INDEX('Видео'!$AI$7:$AI$1508,MATCH(D198,'Видео'!$A$7:$A$1508,0)),"ID не найден"))</x:f>
        <x:v>Нужна редактура</x:v>
      </x:c>
      <x:c r="L198" s="19" t="str">
        <x:v>hEvMsiY0dfI</x:v>
      </x:c>
      <x:c r="M198" s="10" t="str">
        <x:f>IF(L198="","",IF(COUNTIFS('Видео'!$A$7:$A$1508,L198)=1,INDEX('Видео'!$B$7:$B$1508,MATCH(L198,'Видео'!$A$7:$A$1508,0)),"ID не найден"))</x:f>
        <x:v>יעקב גלעד, עלמה גוב - נמס בגשם (לייב על בימת בית אבי חי)</x:v>
      </x:c>
      <x:c r="N198" s="10" t="str"/>
      <x:c r="O198" s="10" t="str">
        <x:f>IF(D198="","",IF(COUNTIFS('Видео'!$A$7:$A$1508,D198)=1,INDEX('Видео'!$M$7:$M$1508,MATCH(D198,'Видео'!$A$7:$A$1508,0)),"ID не найден"))</x:f>
        <x:v>Тема: שיר אחד 🎤 עונה 2 | עמיר בניון - ניצחת איתי הכל. Просмотры в списке выше медианы выборки этого цикла в 1.88 раза. История одной песни связывает музыку, биографию и эпоху. Подходит зрителям, которым политическая повестка менее интересна.</x:v>
      </x:c>
      <x:c r="P198" s="11" t="str">
        <x:f>IF(D198="","",IF(COUNTIFS('Видео'!$A$7:$A$1508,D198)=1,INDEX('Видео'!$U$7:$U$1508,MATCH(D198,'Видео'!$A$7:$A$1508,0)),"ID не найден"))</x:f>
        <x:v>https://www.youtube.com/watch?v=mDFLszm7QkU</x:v>
      </x:c>
      <x:c r="Q198" s="17" t="str">
        <x:v>Предложено</x:v>
      </x:c>
      <x:c r="R198" s="17" t="str"/>
      <x:c r="S198" s="10" t="str"/>
      <x:c r="T198" s="10" t="str">
        <x:v>Резерв меняет выбор видео; снова проверить повод, аудиторию и все редакторские условия</x:v>
      </x:c>
      <x:c r="U198" s="9" t="str">
        <x:f>IF(D198="","Выбрать видео",IF(COUNTIFS($D$7:$D$371,D198)&gt;1,"Повтор","Без повтора"))</x:f>
        <x:v>Без повтора</x:v>
      </x:c>
    </x:row>
    <x:row r="199" ht="60" customHeight="1">
      <x:c r="A199" s="16" t="n">
        <x:v>46501</x:v>
      </x:c>
      <x:c r="B199" s="9" t="str">
        <x:v>Сб</x:v>
      </x:c>
      <x:c r="C199" s="10" t="str">
        <x:v>Общество</x:v>
      </x:c>
      <x:c r="D199" s="19" t="str">
        <x:v>SekGZ1M1T3k</x:v>
      </x:c>
      <x:c r="E199" s="10" t="str">
        <x:f>IF(D199="","",IF(COUNTIFS('Видео'!$A$7:$A$1508,D199)=1,INDEX('Видео'!$B$7:$B$1508,MATCH(D199,'Видео'!$A$7:$A$1508,0)),"ID не найден"))</x:f>
        <x:v>סליחה על השאלה ילדים 3 | שונות במראה</x:v>
      </x:c>
      <x:c r="F199" s="9" t="str">
        <x:f>IF(D199="","",IF(COUNTIFS('Видео'!$A$7:$A$1508,D199)=1,INDEX('Видео'!$R$7:$R$1508,MATCH(D199,'Видео'!$A$7:$A$1508,0)),"ID не найден"))</x:f>
        <x:v>C057</x:v>
      </x:c>
      <x:c r="G199" s="9" t="str">
        <x:f>IF(D199="","",IF(COUNTIFS('Видео'!$A$7:$A$1508,D199)=1,INDEX('Видео'!$D$7:$D$1508,MATCH(D199,'Видео'!$A$7:$A$1508,0)),"ID не найден"))</x:f>
        <x:v>Общество</x:v>
      </x:c>
      <x:c r="H199" s="10" t="str">
        <x:f>IF(D199="","",IF(COUNTIFS('Видео'!$A$7:$A$1508,D199)=1,INDEX('Видео'!$F$7:$F$1508,MATCH(D199,'Видео'!$A$7:$A$1508,0)),"ID не найден"))</x:f>
        <x:v>B1–B2 (гипотеза)</x:v>
      </x:c>
      <x:c r="I199" s="18" t="n">
        <x:f>IF(D199="","",IF(COUNTIFS('Видео'!$A$7:$A$1508,D199)=1,INDEX('Видео'!$G$7:$G$1508,MATCH(D199,'Видео'!$A$7:$A$1508,0)),"ID не найден"))</x:f>
        <x:v>16</x:v>
      </x:c>
      <x:c r="J199" s="18" t="n">
        <x:v>10</x:v>
      </x:c>
      <x:c r="K199" s="10" t="str">
        <x:f>IF(D199="","",IF(COUNTIFS('Видео'!$A$7:$A$1508,D199)=1,INDEX('Видео'!$AI$7:$AI$1508,MATCH(D199,'Видео'!$A$7:$A$1508,0)),"ID не найден"))</x:f>
        <x:v>Нужна редактура</x:v>
      </x:c>
      <x:c r="L199" s="19" t="str">
        <x:v>sKkU2anSRe4</x:v>
      </x:c>
      <x:c r="M199" s="10" t="str">
        <x:f>IF(L199="","",IF(COUNTIFS('Видео'!$A$7:$A$1508,L199)=1,INDEX('Видео'!$B$7:$B$1508,MATCH(L199,'Видео'!$A$7:$A$1508,0)),"ID не найден"))</x:f>
        <x:v>כאן מקשיבים: התחשמלתי</x:v>
      </x:c>
      <x:c r="N199" s="10" t="str"/>
      <x:c r="O199" s="10" t="str">
        <x:f>IF(D199="","",IF(COUNTIFS('Видео'!$A$7:$A$1508,D199)=1,INDEX('Видео'!$M$7:$M$1508,MATCH(D199,'Видео'!$A$7:$A$1508,0)),"ID не найден"))</x:f>
        <x:v>Тема: סליחה על השאלה ילדים 3 | שונות במראה. Ответы детей дают отдельную перспективу на социальные темы и школьную жизнь.</x:v>
      </x:c>
      <x:c r="P199" s="11" t="str">
        <x:f>IF(D199="","",IF(COUNTIFS('Видео'!$A$7:$A$1508,D199)=1,INDEX('Видео'!$U$7:$U$1508,MATCH(D199,'Видео'!$A$7:$A$1508,0)),"ID не найден"))</x:f>
        <x:v>https://www.youtube.com/watch?v=SekGZ1M1T3k</x:v>
      </x:c>
      <x:c r="Q199" s="17" t="str">
        <x:v>Предложено</x:v>
      </x:c>
      <x:c r="R199" s="17" t="str"/>
      <x:c r="S199" s="10" t="str"/>
      <x:c r="T199" s="10" t="str">
        <x:v>Резерв меняет выбор видео; снова проверить повод, аудиторию и все редакторские условия</x:v>
      </x:c>
      <x:c r="U199" s="9" t="str">
        <x:f>IF(D199="","Выбрать видео",IF(COUNTIFS($D$7:$D$371,D199)&gt;1,"Повтор","Без повтора"))</x:f>
        <x:v>Без повтора</x:v>
      </x:c>
    </x:row>
    <x:row r="200" ht="60" customHeight="1">
      <x:c r="A200" s="16" t="n">
        <x:v>46502</x:v>
      </x:c>
      <x:c r="B200" s="9" t="str">
        <x:v>Вс</x:v>
      </x:c>
      <x:c r="C200" s="10" t="str">
        <x:v>Сериал</x:v>
      </x:c>
      <x:c r="D200" s="19" t="str">
        <x:v>lFvrjguieo0</x:v>
      </x:c>
      <x:c r="E200" s="10" t="str">
        <x:f>IF(D200="","",IF(COUNTIFS('Видео'!$A$7:$A$1508,D200)=1,INDEX('Видео'!$B$7:$B$1508,MATCH(D200,'Видео'!$A$7:$A$1508,0)),"ID не найден"))</x:f>
        <x:v>קופה ראשית עונה 4🛒 | פרק 7 - קופה אדומה</x:v>
      </x:c>
      <x:c r="F200" s="9" t="str">
        <x:f>IF(D200="","",IF(COUNTIFS('Видео'!$A$7:$A$1508,D200)=1,INDEX('Видео'!$R$7:$R$1508,MATCH(D200,'Видео'!$A$7:$A$1508,0)),"ID не найден"))</x:f>
        <x:v>C002</x:v>
      </x:c>
      <x:c r="G200" s="9" t="str">
        <x:f>IF(D200="","",IF(COUNTIFS('Видео'!$A$7:$A$1508,D200)=1,INDEX('Видео'!$D$7:$D$1508,MATCH(D200,'Видео'!$A$7:$A$1508,0)),"ID не найден"))</x:f>
        <x:v>Сериал</x:v>
      </x:c>
      <x:c r="H200" s="10" t="str">
        <x:f>IF(D200="","",IF(COUNTIFS('Видео'!$A$7:$A$1508,D200)=1,INDEX('Видео'!$F$7:$F$1508,MATCH(D200,'Видео'!$A$7:$A$1508,0)),"ID не найден"))</x:f>
        <x:v>B1–B2 (гипотеза)</x:v>
      </x:c>
      <x:c r="I200" s="18" t="n">
        <x:f>IF(D200="","",IF(COUNTIFS('Видео'!$A$7:$A$1508,D200)=1,INDEX('Видео'!$G$7:$G$1508,MATCH(D200,'Видео'!$A$7:$A$1508,0)),"ID не найден"))</x:f>
        <x:v>23.1</x:v>
      </x:c>
      <x:c r="J200" s="18" t="n">
        <x:v>10</x:v>
      </x:c>
      <x:c r="K200" s="10" t="str">
        <x:f>IF(D200="","",IF(COUNTIFS('Видео'!$A$7:$A$1508,D200)=1,INDEX('Видео'!$AI$7:$AI$1508,MATCH(D200,'Видео'!$A$7:$A$1508,0)),"ID не найден"))</x:f>
        <x:v>Нужна редактура</x:v>
      </x:c>
      <x:c r="L200" s="19" t="str">
        <x:v>wEEOQQgDTWY</x:v>
      </x:c>
      <x:c r="M200" s="10" t="str">
        <x:f>IF(L200="","",IF(COUNTIFS('Видео'!$A$7:$A$1508,L200)=1,INDEX('Видео'!$B$7:$B$1508,MATCH(L200,'Видео'!$A$7:$A$1508,0)),"ID не найден"))</x:f>
        <x:v>מי הפיל את החומוס? - כלי נגינה מקטניות</x:v>
      </x:c>
      <x:c r="N200" s="10" t="str"/>
      <x:c r="O200" s="10" t="str">
        <x:f>IF(D200="","",IF(COUNTIFS('Видео'!$A$7:$A$1508,D200)=1,INDEX('Видео'!$M$7:$M$1508,MATCH(D200,'Видео'!$A$7:$A$1508,0)),"ID не найден"))</x:f>
        <x:v>Эпизод 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00" s="11" t="str">
        <x:f>IF(D200="","",IF(COUNTIFS('Видео'!$A$7:$A$1508,D200)=1,INDEX('Видео'!$U$7:$U$1508,MATCH(D200,'Видео'!$A$7:$A$1508,0)),"ID не найден"))</x:f>
        <x:v>https://www.youtube.com/watch?v=lFvrjguieo0</x:v>
      </x:c>
      <x:c r="Q200" s="17" t="str">
        <x:v>Предложено</x:v>
      </x:c>
      <x:c r="R200" s="17" t="str"/>
      <x:c r="S200" s="10" t="str"/>
      <x:c r="T200" s="10" t="str">
        <x:v>При недоступной серии приостановить сюжетную ветку; резерв — самостоятельное видео</x:v>
      </x:c>
      <x:c r="U200" s="9" t="str">
        <x:f>IF(D200="","Выбрать видео",IF(COUNTIFS($D$7:$D$371,D200)&gt;1,"Повтор","Без повтора"))</x:f>
        <x:v>Без повтора</x:v>
      </x:c>
    </x:row>
    <x:row r="201" ht="60" customHeight="1">
      <x:c r="A201" s="16" t="n">
        <x:v>46503</x:v>
      </x:c>
      <x:c r="B201" s="9" t="str">
        <x:v>Пн</x:v>
      </x:c>
      <x:c r="C201" s="10" t="str">
        <x:v>Интервью</x:v>
      </x:c>
      <x:c r="D201" s="19" t="str">
        <x:v>QGVwLKEvsAk</x:v>
      </x:c>
      <x:c r="E201" s="10" t="str">
        <x:f>IF(D201="","",IF(COUNTIFS('Видео'!$A$7:$A$1508,D201)=1,INDEX('Видео'!$B$7:$B$1508,MATCH(D201,'Видео'!$A$7:$A$1508,0)),"ID не найден"))</x:f>
        <x:v>"במלחמה אבדתי אח ועכשיו אני מאבדת בן": הרב יצחק פנגר על התגובה בבית כשהחליט לחזור בתשובה</x:v>
      </x:c>
      <x:c r="F201" s="9" t="str">
        <x:f>IF(D201="","",IF(COUNTIFS('Видео'!$A$7:$A$1508,D201)=1,INDEX('Видео'!$R$7:$R$1508,MATCH(D201,'Видео'!$A$7:$A$1508,0)),"ID не найден"))</x:f>
        <x:v>C082</x:v>
      </x:c>
      <x:c r="G201" s="9" t="str">
        <x:f>IF(D201="","",IF(COUNTIFS('Видео'!$A$7:$A$1508,D201)=1,INDEX('Видео'!$D$7:$D$1508,MATCH(D201,'Видео'!$A$7:$A$1508,0)),"ID не найден"))</x:f>
        <x:v>Интервью</x:v>
      </x:c>
      <x:c r="H201" s="10" t="str">
        <x:f>IF(D201="","",IF(COUNTIFS('Видео'!$A$7:$A$1508,D201)=1,INDEX('Видео'!$F$7:$F$1508,MATCH(D201,'Видео'!$A$7:$A$1508,0)),"ID не найден"))</x:f>
        <x:v>B2–C1 (гипотеза)</x:v>
      </x:c>
      <x:c r="I201" s="18" t="n">
        <x:f>IF(D201="","",IF(COUNTIFS('Видео'!$A$7:$A$1508,D201)=1,INDEX('Видео'!$G$7:$G$1508,MATCH(D201,'Видео'!$A$7:$A$1508,0)),"ID не найден"))</x:f>
        <x:v>1.6</x:v>
      </x:c>
      <x:c r="J201" s="18" t="n">
        <x:v>5</x:v>
      </x:c>
      <x:c r="K201" s="10" t="str">
        <x:f>IF(D201="","",IF(COUNTIFS('Видео'!$A$7:$A$1508,D201)=1,INDEX('Видео'!$AI$7:$AI$1508,MATCH(D201,'Видео'!$A$7:$A$1508,0)),"ID не найден"))</x:f>
        <x:v>Нужна редактура</x:v>
      </x:c>
      <x:c r="L201" s="19" t="str">
        <x:v>dMK-3z92_ds</x:v>
      </x:c>
      <x:c r="M201" s="10" t="str">
        <x:f>IF(L201="","",IF(COUNTIFS('Видео'!$A$7:$A$1508,L201)=1,INDEX('Видео'!$B$7:$B$1508,MATCH(L201,'Видео'!$A$7:$A$1508,0)),"ID не найден"))</x:f>
        <x:v>שיחה עם עודד הרוש: השחקן דין מירושניקוב I התכנית המלאה</x:v>
      </x:c>
      <x:c r="N201" s="10" t="str"/>
      <x:c r="O201" s="10" t="str">
        <x:f>IF(D201="","",IF(COUNTIFS('Видео'!$A$7:$A$1508,D201)=1,INDEX('Видео'!$M$7:$M$1508,MATCH(D201,'Видео'!$A$7:$A$1508,0)),"ID не найден"))</x:f>
        <x:v>Тема / гость: "במלחמה אבדתי אח ועכשיו אני מאבדת בן": הרב יצחק פנגר על התגובה בבית כשהחליט לחזור בתשובה. Просмотры в списке выше медианы выборки этого цикла в 2.89 раза. Дополняет биографические интервью другим ведущим и кругом гостей.</x:v>
      </x:c>
      <x:c r="P201" s="11" t="str">
        <x:f>IF(D201="","",IF(COUNTIFS('Видео'!$A$7:$A$1508,D201)=1,INDEX('Видео'!$U$7:$U$1508,MATCH(D201,'Видео'!$A$7:$A$1508,0)),"ID не найден"))</x:f>
        <x:v>https://www.youtube.com/watch?v=QGVwLKEvsAk</x:v>
      </x:c>
      <x:c r="Q201" s="17" t="str">
        <x:v>Предложено</x:v>
      </x:c>
      <x:c r="R201" s="17" t="str"/>
      <x:c r="S201" s="10" t="str"/>
      <x:c r="T201" s="10" t="str">
        <x:v>Резерв меняет выбор видео; снова проверить повод, аудиторию и все редакторские условия</x:v>
      </x:c>
      <x:c r="U201" s="9" t="str">
        <x:f>IF(D201="","Выбрать видео",IF(COUNTIFS($D$7:$D$371,D201)&gt;1,"Повтор","Без повтора"))</x:f>
        <x:v>Без повтора</x:v>
      </x:c>
    </x:row>
    <x:row r="202" ht="60" customHeight="1">
      <x:c r="A202" s="16" t="n">
        <x:v>46504</x:v>
      </x:c>
      <x:c r="B202" s="9" t="str">
        <x:v>Вт</x:v>
      </x:c>
      <x:c r="C202" s="10" t="str">
        <x:v>Образование</x:v>
      </x:c>
      <x:c r="D202" s="19" t="str">
        <x:v>tdAfNOS1puc</x:v>
      </x:c>
      <x:c r="E202" s="10" t="str">
        <x:f>IF(D202="","",IF(COUNTIFS('Видео'!$A$7:$A$1508,D202)=1,INDEX('Видео'!$B$7:$B$1508,MATCH(D202,'Видео'!$A$7:$A$1508,0)),"ID не найден"))</x:f>
        <x:v>כלבים מריחים מחלות</x:v>
      </x:c>
      <x:c r="F202" s="9" t="str">
        <x:f>IF(D202="","",IF(COUNTIFS('Видео'!$A$7:$A$1508,D202)=1,INDEX('Видео'!$R$7:$R$1508,MATCH(D202,'Видео'!$A$7:$A$1508,0)),"ID не найден"))</x:f>
        <x:v>C059</x:v>
      </x:c>
      <x:c r="G202" s="9" t="str">
        <x:f>IF(D202="","",IF(COUNTIFS('Видео'!$A$7:$A$1508,D202)=1,INDEX('Видео'!$D$7:$D$1508,MATCH(D202,'Видео'!$A$7:$A$1508,0)),"ID не найден"))</x:f>
        <x:v>Образование</x:v>
      </x:c>
      <x:c r="H202" s="10" t="str">
        <x:f>IF(D202="","",IF(COUNTIFS('Видео'!$A$7:$A$1508,D202)=1,INDEX('Видео'!$F$7:$F$1508,MATCH(D202,'Видео'!$A$7:$A$1508,0)),"ID не найден"))</x:f>
        <x:v>B1–B2 (гипотеза)</x:v>
      </x:c>
      <x:c r="I202" s="18" t="n">
        <x:f>IF(D202="","",IF(COUNTIFS('Видео'!$A$7:$A$1508,D202)=1,INDEX('Видео'!$G$7:$G$1508,MATCH(D202,'Видео'!$A$7:$A$1508,0)),"ID не найден"))</x:f>
        <x:v>2</x:v>
      </x:c>
      <x:c r="J202" s="18" t="n">
        <x:v>5</x:v>
      </x:c>
      <x:c r="K202" s="10" t="str">
        <x:f>IF(D202="","",IF(COUNTIFS('Видео'!$A$7:$A$1508,D202)=1,INDEX('Видео'!$AI$7:$AI$1508,MATCH(D202,'Видео'!$A$7:$A$1508,0)),"ID не найден"))</x:f>
        <x:v>Нужна редактура</x:v>
      </x:c>
      <x:c r="L202" s="19" t="str">
        <x:v>utkr6YtbO3A</x:v>
      </x:c>
      <x:c r="M202" s="10" t="str">
        <x:f>IF(L202="","",IF(COUNTIFS('Видео'!$A$7:$A$1508,L202)=1,INDEX('Видео'!$B$7:$B$1508,MATCH(L202,'Видео'!$A$7:$A$1508,0)),"ID не найден"))</x:f>
        <x:v>אנחנו לא הוגים אותיות כמו שצריך? | כאן סקרנים</x:v>
      </x:c>
      <x:c r="N202" s="10" t="str"/>
      <x:c r="O202" s="10" t="str">
        <x:f>IF(D202="","",IF(COUNTIFS('Видео'!$A$7:$A$1508,D202)=1,INDEX('Видео'!$M$7:$M$1508,MATCH(D202,'Видео'!$A$7:$A$1508,0)),"ID не найден"))</x:f>
        <x:v>Завершённый короткий просмотр около 2 мин. Просмотры в списке выше медианы выборки этого цикла в 1.6 раза. Научный ответ на конкретный вопрос даёт завершённый материал на короткую сессию.</x:v>
      </x:c>
      <x:c r="P202" s="11" t="str">
        <x:f>IF(D202="","",IF(COUNTIFS('Видео'!$A$7:$A$1508,D202)=1,INDEX('Видео'!$U$7:$U$1508,MATCH(D202,'Видео'!$A$7:$A$1508,0)),"ID не найден"))</x:f>
        <x:v>https://www.youtube.com/watch?v=tdAfNOS1puc</x:v>
      </x:c>
      <x:c r="Q202" s="17" t="str">
        <x:v>Предложено</x:v>
      </x:c>
      <x:c r="R202" s="17" t="str"/>
      <x:c r="S202" s="10" t="str"/>
      <x:c r="T202" s="10" t="str">
        <x:v>Резерв меняет выбор видео; снова проверить повод, аудиторию и все редакторские условия</x:v>
      </x:c>
      <x:c r="U202" s="9" t="str">
        <x:f>IF(D202="","Выбрать видео",IF(COUNTIFS($D$7:$D$371,D202)&gt;1,"Повтор","Без повтора"))</x:f>
        <x:v>Без повтора</x:v>
      </x:c>
    </x:row>
    <x:row r="203" ht="60" customHeight="1">
      <x:c r="A203" s="16" t="n">
        <x:v>46505</x:v>
      </x:c>
      <x:c r="B203" s="9" t="str">
        <x:v>Ср</x:v>
      </x:c>
      <x:c r="C203" s="10" t="str">
        <x:v>Быт</x:v>
      </x:c>
      <x:c r="D203" s="19" t="str">
        <x:v>AO6qR3ONK-I</x:v>
      </x:c>
      <x:c r="E203" s="10" t="str">
        <x:f>IF(D203="","",IF(COUNTIFS('Видео'!$A$7:$A$1508,D203)=1,INDEX('Видео'!$B$7:$B$1508,MATCH(D203,'Видео'!$A$7:$A$1508,0)),"ID не найден"))</x:f>
        <x:v>להתמנות לסגן נשיא אינטל העולמית | דוקותיים tech</x:v>
      </x:c>
      <x:c r="F203" s="9" t="str">
        <x:f>IF(D203="","",IF(COUNTIFS('Видео'!$A$7:$A$1508,D203)=1,INDEX('Видео'!$R$7:$R$1508,MATCH(D203,'Видео'!$A$7:$A$1508,0)),"ID не найден"))</x:f>
        <x:v>C051</x:v>
      </x:c>
      <x:c r="G203" s="9" t="str">
        <x:f>IF(D203="","",IF(COUNTIFS('Видео'!$A$7:$A$1508,D203)=1,INDEX('Видео'!$D$7:$D$1508,MATCH(D203,'Видео'!$A$7:$A$1508,0)),"ID не найден"))</x:f>
        <x:v>Быт</x:v>
      </x:c>
      <x:c r="H203" s="10" t="str">
        <x:f>IF(D203="","",IF(COUNTIFS('Видео'!$A$7:$A$1508,D203)=1,INDEX('Видео'!$F$7:$F$1508,MATCH(D203,'Видео'!$A$7:$A$1508,0)),"ID не найден"))</x:f>
        <x:v>B1–B2 (гипотеза)</x:v>
      </x:c>
      <x:c r="I203" s="18" t="n">
        <x:f>IF(D203="","",IF(COUNTIFS('Видео'!$A$7:$A$1508,D203)=1,INDEX('Видео'!$G$7:$G$1508,MATCH(D203,'Видео'!$A$7:$A$1508,0)),"ID не найден"))</x:f>
        <x:v>5.7</x:v>
      </x:c>
      <x:c r="J203" s="18" t="n">
        <x:v>5</x:v>
      </x:c>
      <x:c r="K203" s="10" t="str">
        <x:f>IF(D203="","",IF(COUNTIFS('Видео'!$A$7:$A$1508,D203)=1,INDEX('Видео'!$AI$7:$AI$1508,MATCH(D203,'Видео'!$A$7:$A$1508,0)),"ID не найден"))</x:f>
        <x:v>Нужна редактура</x:v>
      </x:c>
      <x:c r="L203" s="19" t="str">
        <x:v>gI2GkFms638</x:v>
      </x:c>
      <x:c r="M203" s="10" t="str">
        <x:f>IF(L203="","",IF(COUNTIFS('Видео'!$A$7:$A$1508,L203)=1,INDEX('Видео'!$B$7:$B$1508,MATCH(L203,'Видео'!$A$7:$A$1508,0)),"ID не найден"))</x:f>
        <x:v>שום פלפל ושמן זית עונה 3 | קובי אדרי</x:v>
      </x:c>
      <x:c r="N203" s="10" t="str"/>
      <x:c r="O203" s="10" t="str">
        <x:f>IF(D203="","",IF(COUNTIFS('Видео'!$A$7:$A$1508,D203)=1,INDEX('Видео'!$M$7:$M$1508,MATCH(D203,'Видео'!$A$7:$A$1508,0)),"ID не найден"))</x:f>
        <x:v>Завершённый короткий просмотр около 6 мин. Человеческая история в технологической среде соединяет профессиональный интерес и короткий формат.</x:v>
      </x:c>
      <x:c r="P203" s="11" t="str">
        <x:f>IF(D203="","",IF(COUNTIFS('Видео'!$A$7:$A$1508,D203)=1,INDEX('Видео'!$U$7:$U$1508,MATCH(D203,'Видео'!$A$7:$A$1508,0)),"ID не найден"))</x:f>
        <x:v>https://www.youtube.com/watch?v=AO6qR3ONK-I</x:v>
      </x:c>
      <x:c r="Q203" s="17" t="str">
        <x:v>Предложено</x:v>
      </x:c>
      <x:c r="R203" s="17" t="str"/>
      <x:c r="S203" s="10" t="str"/>
      <x:c r="T203" s="10" t="str">
        <x:v>Резерв меняет выбор видео; снова проверить повод, аудиторию и все редакторские условия</x:v>
      </x:c>
      <x:c r="U203" s="9" t="str">
        <x:f>IF(D203="","Выбрать видео",IF(COUNTIFS($D$7:$D$371,D203)&gt;1,"Повтор","Без повтора"))</x:f>
        <x:v>Без повтора</x:v>
      </x:c>
    </x:row>
    <x:row r="204" ht="60" customHeight="1">
      <x:c r="A204" s="16" t="n">
        <x:v>46506</x:v>
      </x:c>
      <x:c r="B204" s="9" t="str">
        <x:v>Чт</x:v>
      </x:c>
      <x:c r="C204" s="10" t="str">
        <x:v>Сериал</x:v>
      </x:c>
      <x:c r="D204" s="19" t="str">
        <x:v>xXFd-mh-7WM</x:v>
      </x:c>
      <x:c r="E204" s="10" t="str">
        <x:f>IF(D204="","",IF(COUNTIFS('Видео'!$A$7:$A$1508,D204)=1,INDEX('Видео'!$B$7:$B$1508,MATCH(D204,'Видео'!$A$7:$A$1508,0)),"ID не найден"))</x:f>
        <x:v>אחד על אחד 📚 - סדרה חדשה! | פרק 8 - מין ומזלות</x:v>
      </x:c>
      <x:c r="F204" s="9" t="str">
        <x:f>IF(D204="","",IF(COUNTIFS('Видео'!$A$7:$A$1508,D204)=1,INDEX('Видео'!$R$7:$R$1508,MATCH(D204,'Видео'!$A$7:$A$1508,0)),"ID не найден"))</x:f>
        <x:v>C009</x:v>
      </x:c>
      <x:c r="G204" s="9" t="str">
        <x:f>IF(D204="","",IF(COUNTIFS('Видео'!$A$7:$A$1508,D204)=1,INDEX('Видео'!$D$7:$D$1508,MATCH(D204,'Видео'!$A$7:$A$1508,0)),"ID не найден"))</x:f>
        <x:v>Сериал</x:v>
      </x:c>
      <x:c r="H204" s="10" t="str">
        <x:f>IF(D204="","",IF(COUNTIFS('Видео'!$A$7:$A$1508,D204)=1,INDEX('Видео'!$F$7:$F$1508,MATCH(D204,'Видео'!$A$7:$A$1508,0)),"ID не найден"))</x:f>
        <x:v>B1–B2 (гипотеза)</x:v>
      </x:c>
      <x:c r="I204" s="18" t="n">
        <x:f>IF(D204="","",IF(COUNTIFS('Видео'!$A$7:$A$1508,D204)=1,INDEX('Видео'!$G$7:$G$1508,MATCH(D204,'Видео'!$A$7:$A$1508,0)),"ID не найден"))</x:f>
        <x:v>31.8</x:v>
      </x:c>
      <x:c r="J204" s="18" t="n">
        <x:v>10</x:v>
      </x:c>
      <x:c r="K204" s="10" t="str">
        <x:f>IF(D204="","",IF(COUNTIFS('Видео'!$A$7:$A$1508,D204)=1,INDEX('Видео'!$AI$7:$AI$1508,MATCH(D204,'Видео'!$A$7:$A$1508,0)),"ID не найден"))</x:f>
        <x:v>Нужна редактура</x:v>
      </x:c>
      <x:c r="L204" s="19" t="str">
        <x:v>S4-AFqkZcTU</x:v>
      </x:c>
      <x:c r="M204" s="10" t="str">
        <x:f>IF(L204="","",IF(COUNTIFS('Видео'!$A$7:$A$1508,L204)=1,INDEX('Видео'!$B$7:$B$1508,MATCH(L204,'Видео'!$A$7:$A$1508,0)),"ID не найден"))</x:f>
        <x:v>מה עושים כשחוטפים חציל בראש מלקוח? הקופאית שמצליחה לחייך כל המשמרת |  זום אין</x:v>
      </x:c>
      <x:c r="N204" s="10" t="str"/>
      <x:c r="O204" s="10" t="str">
        <x:f>IF(D204="","",IF(COUNTIFS('Видео'!$A$7:$A$1508,D204)=1,INDEX('Видео'!$M$7:$M$1508,MATCH(D204,'Видео'!$A$7:$A$1508,0)),"ID не найден"))</x:f>
        <x:v>Эпизод 8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P204" s="11" t="str">
        <x:f>IF(D204="","",IF(COUNTIFS('Видео'!$A$7:$A$1508,D204)=1,INDEX('Видео'!$U$7:$U$1508,MATCH(D204,'Видео'!$A$7:$A$1508,0)),"ID не найден"))</x:f>
        <x:v>https://www.youtube.com/watch?v=xXFd-mh-7WM</x:v>
      </x:c>
      <x:c r="Q204" s="17" t="str">
        <x:v>Предложено</x:v>
      </x:c>
      <x:c r="R204" s="17" t="str"/>
      <x:c r="S204" s="10" t="str"/>
      <x:c r="T204" s="10" t="str">
        <x:v>При недоступной серии приостановить сюжетную ветку; резерв — самостоятельное видео</x:v>
      </x:c>
      <x:c r="U204" s="9" t="str">
        <x:f>IF(D204="","Выбрать видео",IF(COUNTIFS($D$7:$D$371,D204)&gt;1,"Повтор","Без повтора"))</x:f>
        <x:v>Без повтора</x:v>
      </x:c>
    </x:row>
    <x:row r="205" ht="60" customHeight="1">
      <x:c r="A205" s="16" t="n">
        <x:v>46507</x:v>
      </x:c>
      <x:c r="B205" s="9" t="str">
        <x:v>Пт</x:v>
      </x:c>
      <x:c r="C205" s="10" t="str">
        <x:v>История</x:v>
      </x:c>
      <x:c r="D205" s="19" t="str">
        <x:v>CjZEnXj6WNI</x:v>
      </x:c>
      <x:c r="E205" s="10" t="str">
        <x:f>IF(D205="","",IF(COUNTIFS('Видео'!$A$7:$A$1508,D205)=1,INDEX('Видео'!$B$7:$B$1508,MATCH(D205,'Видео'!$A$7:$A$1508,0)),"ID не найден"))</x:f>
        <x:v>1948 - לזכור ולשכוח | חלק ב' - לשכוח</x:v>
      </x:c>
      <x:c r="F205" s="9" t="str">
        <x:f>IF(D205="","",IF(COUNTIFS('Видео'!$A$7:$A$1508,D205)=1,INDEX('Видео'!$R$7:$R$1508,MATCH(D205,'Видео'!$A$7:$A$1508,0)),"ID не найден"))</x:f>
        <x:v>C030</x:v>
      </x:c>
      <x:c r="G205" s="9" t="str">
        <x:f>IF(D205="","",IF(COUNTIFS('Видео'!$A$7:$A$1508,D205)=1,INDEX('Видео'!$D$7:$D$1508,MATCH(D205,'Видео'!$A$7:$A$1508,0)),"ID не найден"))</x:f>
        <x:v>История</x:v>
      </x:c>
      <x:c r="H205" s="10" t="str">
        <x:f>IF(D205="","",IF(COUNTIFS('Видео'!$A$7:$A$1508,D205)=1,INDEX('Видео'!$F$7:$F$1508,MATCH(D205,'Видео'!$A$7:$A$1508,0)),"ID не найден"))</x:f>
        <x:v>B2–C1 (гипотеза)</x:v>
      </x:c>
      <x:c r="I205" s="18" t="n">
        <x:f>IF(D205="","",IF(COUNTIFS('Видео'!$A$7:$A$1508,D205)=1,INDEX('Видео'!$G$7:$G$1508,MATCH(D205,'Видео'!$A$7:$A$1508,0)),"ID не найден"))</x:f>
        <x:v>75.7</x:v>
      </x:c>
      <x:c r="J205" s="18" t="n">
        <x:v>10</x:v>
      </x:c>
      <x:c r="K205" s="10" t="str">
        <x:f>IF(D205="","",IF(COUNTIFS('Видео'!$A$7:$A$1508,D205)=1,INDEX('Видео'!$AI$7:$AI$1508,MATCH(D205,'Видео'!$A$7:$A$1508,0)),"ID не найден"))</x:f>
        <x:v>Нужна редактура</x:v>
      </x:c>
      <x:c r="L205" s="19" t="str">
        <x:v>fS-DGJl59VM</x:v>
      </x:c>
      <x:c r="M205" s="10" t="str">
        <x:f>IF(L205="","",IF(COUNTIFS('Видео'!$A$7:$A$1508,L205)=1,INDEX('Видео'!$B$7:$B$1508,MATCH(L205,'Видео'!$A$7:$A$1508,0)),"ID не найден"))</x:f>
        <x:v>תלמודו של עגנון | שיעור 3 - עובדיה בעל מום | פרופ' חיים וייס</x:v>
      </x:c>
      <x:c r="N205" s="10" t="str"/>
      <x:c r="O205" s="10" t="str">
        <x:f>IF(D205="","",IF(COUNTIFS('Видео'!$A$7:$A$1508,D205)=1,INDEX('Видео'!$M$7:$M$1508,MATCH(D205,'Видео'!$A$7:$A$1508,0)),"ID не найден"))</x:f>
        <x:v>Тема: 1948 - לזכור ולשכוח | חלק ב' - לשכוח. Два документальных выпуска дают опорный исторический блок для дальнейших тем.</x:v>
      </x:c>
      <x:c r="P205" s="11" t="str">
        <x:f>IF(D205="","",IF(COUNTIFS('Видео'!$A$7:$A$1508,D205)=1,INDEX('Видео'!$U$7:$U$1508,MATCH(D205,'Видео'!$A$7:$A$1508,0)),"ID не найден"))</x:f>
        <x:v>https://www.youtube.com/watch?v=CjZEnXj6WNI</x:v>
      </x:c>
      <x:c r="Q205" s="17" t="str">
        <x:v>Предложено</x:v>
      </x:c>
      <x:c r="R205" s="17" t="str"/>
      <x:c r="S205" s="10" t="str"/>
      <x:c r="T205" s="10" t="str">
        <x:v>Резерв меняет выбор видео; снова проверить повод, аудиторию и все редакторские условия</x:v>
      </x:c>
      <x:c r="U205" s="9" t="str">
        <x:f>IF(D205="","Выбрать видео",IF(COUNTIFS($D$7:$D$371,D205)&gt;1,"Повтор","Без повтора"))</x:f>
        <x:v>Без повтора</x:v>
      </x:c>
    </x:row>
    <x:row r="206" ht="60" customHeight="1">
      <x:c r="A206" s="16" t="n">
        <x:v>46508</x:v>
      </x:c>
      <x:c r="B206" s="9" t="str">
        <x:v>Сб</x:v>
      </x:c>
      <x:c r="C206" s="10" t="str">
        <x:v>Память</x:v>
      </x:c>
      <x:c r="D206" s="19" t="str">
        <x:v>s-W__-Yij20</x:v>
      </x:c>
      <x:c r="E206" s="10" t="str">
        <x:f>IF(D206="","",IF(COUNTIFS('Видео'!$A$7:$A$1508,D206)=1,INDEX('Видео'!$B$7:$B$1508,MATCH(D206,'Видео'!$A$7:$A$1508,0)),"ID не найден"))</x:f>
        <x:v>חוץ. יום. שבת - סרטי דוקו של יוצרים צעירים מהעוטף על ה-7.10 | צ'ק פוינט - סרטה של כינר דר</x:v>
      </x:c>
      <x:c r="F206" s="9" t="str">
        <x:f>IF(D206="","",IF(COUNTIFS('Видео'!$A$7:$A$1508,D206)=1,INDEX('Видео'!$R$7:$R$1508,MATCH(D206,'Видео'!$A$7:$A$1508,0)),"ID не найден"))</x:f>
        <x:v>C042</x:v>
      </x:c>
      <x:c r="G206" s="9" t="str">
        <x:f>IF(D206="","",IF(COUNTIFS('Видео'!$A$7:$A$1508,D206)=1,INDEX('Видео'!$D$7:$D$1508,MATCH(D206,'Видео'!$A$7:$A$1508,0)),"ID не найден"))</x:f>
        <x:v>Память</x:v>
      </x:c>
      <x:c r="H206" s="10" t="str">
        <x:f>IF(D206="","",IF(COUNTIFS('Видео'!$A$7:$A$1508,D206)=1,INDEX('Видео'!$F$7:$F$1508,MATCH(D206,'Видео'!$A$7:$A$1508,0)),"ID не найден"))</x:f>
        <x:v>B2–C1 (гипотеза)</x:v>
      </x:c>
      <x:c r="I206" s="18" t="n">
        <x:f>IF(D206="","",IF(COUNTIFS('Видео'!$A$7:$A$1508,D206)=1,INDEX('Видео'!$G$7:$G$1508,MATCH(D206,'Видео'!$A$7:$A$1508,0)),"ID не найден"))</x:f>
        <x:v>10.4</x:v>
      </x:c>
      <x:c r="J206" s="18" t="n">
        <x:v>10</x:v>
      </x:c>
      <x:c r="K206" s="10" t="str">
        <x:f>IF(D206="","",IF(COUNTIFS('Видео'!$A$7:$A$1508,D206)=1,INDEX('Видео'!$AI$7:$AI$1508,MATCH(D206,'Видео'!$A$7:$A$1508,0)),"ID не найден"))</x:f>
        <x:v>Нужна редактура</x:v>
      </x:c>
      <x:c r="L206" s="19" t="str">
        <x:v>pOVDYbj4vJg</x:v>
      </x:c>
      <x:c r="M206" s="10" t="str">
        <x:f>IF(L206="","",IF(COUNTIFS('Видео'!$A$7:$A$1508,L206)=1,INDEX('Видео'!$B$7:$B$1508,MATCH(L206,'Видео'!$A$7:$A$1508,0)),"ID не найден"))</x:f>
        <x:v>היהודים בלוב במלחמת העולם השנייה | גורלן של קהילות יהודיות בשואה</x:v>
      </x:c>
      <x:c r="N206" s="10" t="str">
        <x:v>Ежемесячная добровольная рубрика памяти 7 октября</x:v>
      </x:c>
      <x:c r="O206" s="10" t="str">
        <x:f>IF(D206="","",IF(COUNTIFS('Видео'!$A$7:$A$1508,D206)=1,INDEX('Видео'!$M$7:$M$1508,MATCH(D206,'Видео'!$A$7:$A$1508,0)),"ID не найден"))</x:f>
        <x:v>Тема: חוץ. יום. שבת - סרטי דוקו של יוצרים צעירים מהעוטף על ה-7.10 | צ'ק פוינט - סרטה של כינר דר. Взгляд молодых авторов добавляет личную перспективу к журналистским реконструкциям.</x:v>
      </x:c>
      <x:c r="P206" s="11" t="str">
        <x:f>IF(D206="","",IF(COUNTIFS('Видео'!$A$7:$A$1508,D206)=1,INDEX('Видео'!$U$7:$U$1508,MATCH(D206,'Видео'!$A$7:$A$1508,0)),"ID не найден"))</x:f>
        <x:v>https://www.youtube.com/watch?v=s-W__-Yij20</x:v>
      </x:c>
      <x:c r="Q206" s="17" t="str">
        <x:v>Предложено</x:v>
      </x:c>
      <x:c r="R206" s="17" t="str"/>
      <x:c r="S206" s="10" t="str">
        <x:v>Редакционная периодичность, не памятная дата</x:v>
      </x:c>
      <x:c r="T206" s="10" t="str">
        <x:v>Резерв меняет выбор видео; снова проверить повод, аудиторию и все редакторские условия</x:v>
      </x:c>
      <x:c r="U206" s="9" t="str">
        <x:f>IF(D206="","Выбрать видео",IF(COUNTIFS($D$7:$D$371,D206)&gt;1,"Повтор","Без повтора"))</x:f>
        <x:v>Без повтора</x:v>
      </x:c>
    </x:row>
    <x:row r="207" ht="60" customHeight="1">
      <x:c r="A207" s="16" t="n">
        <x:v>46509</x:v>
      </x:c>
      <x:c r="B207" s="9" t="str">
        <x:v>Вс</x:v>
      </x:c>
      <x:c r="C207" s="10" t="str">
        <x:v>Сериал</x:v>
      </x:c>
      <x:c r="D207" s="19" t="str">
        <x:v>mxDzbynZTMU</x:v>
      </x:c>
      <x:c r="E207" s="10" t="str">
        <x:f>IF(D207="","",IF(COUNTIFS('Видео'!$A$7:$A$1508,D207)=1,INDEX('Видео'!$B$7:$B$1508,MATCH(D207,'Видео'!$A$7:$A$1508,0)),"ID не найден"))</x:f>
        <x:v>קופה ראשית עונה 4🛒 | פרק 8 - מרד בר כוכבה</x:v>
      </x:c>
      <x:c r="F207" s="9" t="str">
        <x:f>IF(D207="","",IF(COUNTIFS('Видео'!$A$7:$A$1508,D207)=1,INDEX('Видео'!$R$7:$R$1508,MATCH(D207,'Видео'!$A$7:$A$1508,0)),"ID не найден"))</x:f>
        <x:v>C002</x:v>
      </x:c>
      <x:c r="G207" s="9" t="str">
        <x:f>IF(D207="","",IF(COUNTIFS('Видео'!$A$7:$A$1508,D207)=1,INDEX('Видео'!$D$7:$D$1508,MATCH(D207,'Видео'!$A$7:$A$1508,0)),"ID не найден"))</x:f>
        <x:v>Сериал</x:v>
      </x:c>
      <x:c r="H207" s="10" t="str">
        <x:f>IF(D207="","",IF(COUNTIFS('Видео'!$A$7:$A$1508,D207)=1,INDEX('Видео'!$F$7:$F$1508,MATCH(D207,'Видео'!$A$7:$A$1508,0)),"ID не найден"))</x:f>
        <x:v>B1–B2 (гипотеза)</x:v>
      </x:c>
      <x:c r="I207" s="18" t="n">
        <x:f>IF(D207="","",IF(COUNTIFS('Видео'!$A$7:$A$1508,D207)=1,INDEX('Видео'!$G$7:$G$1508,MATCH(D207,'Видео'!$A$7:$A$1508,0)),"ID не найден"))</x:f>
        <x:v>24.2</x:v>
      </x:c>
      <x:c r="J207" s="18" t="n">
        <x:v>10</x:v>
      </x:c>
      <x:c r="K207" s="10" t="str">
        <x:f>IF(D207="","",IF(COUNTIFS('Видео'!$A$7:$A$1508,D207)=1,INDEX('Видео'!$AI$7:$AI$1508,MATCH(D207,'Видео'!$A$7:$A$1508,0)),"ID не найден"))</x:f>
        <x:v>Нужна редактура</x:v>
      </x:c>
      <x:c r="L207" s="19" t="str">
        <x:v>S1rlFHAC5bE</x:v>
      </x:c>
      <x:c r="M207" s="10" t="str">
        <x:f>IF(L207="","",IF(COUNTIFS('Видео'!$A$7:$A$1508,L207)=1,INDEX('Видео'!$B$7:$B$1508,MATCH(L207,'Видео'!$A$7:$A$1508,0)),"ID не найден"))</x:f>
        <x:v>רביולי פירות יער ללא בצק - מתכון בישול מולקולרי</x:v>
      </x:c>
      <x:c r="N207" s="10" t="str"/>
      <x:c r="O207" s="10" t="str">
        <x:f>IF(D207="","",IF(COUNTIFS('Видео'!$A$7:$A$1508,D207)=1,INDEX('Видео'!$M$7:$M$1508,MATCH(D207,'Видео'!$A$7:$A$1508,0)),"ID не найден"))</x:f>
        <x:v>Эпизод 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07" s="11" t="str">
        <x:f>IF(D207="","",IF(COUNTIFS('Видео'!$A$7:$A$1508,D207)=1,INDEX('Видео'!$U$7:$U$1508,MATCH(D207,'Видео'!$A$7:$A$1508,0)),"ID не найден"))</x:f>
        <x:v>https://www.youtube.com/watch?v=mxDzbynZTMU</x:v>
      </x:c>
      <x:c r="Q207" s="17" t="str">
        <x:v>Предложено</x:v>
      </x:c>
      <x:c r="R207" s="17" t="str"/>
      <x:c r="S207" s="10" t="str"/>
      <x:c r="T207" s="10" t="str">
        <x:v>При недоступной серии приостановить сюжетную ветку; резерв — самостоятельное видео</x:v>
      </x:c>
      <x:c r="U207" s="9" t="str">
        <x:f>IF(D207="","Выбрать видео",IF(COUNTIFS($D$7:$D$371,D207)&gt;1,"Повтор","Без повтора"))</x:f>
        <x:v>Без повтора</x:v>
      </x:c>
    </x:row>
    <x:row r="208" ht="60" customHeight="1">
      <x:c r="A208" s="16" t="n">
        <x:v>46510</x:v>
      </x:c>
      <x:c r="B208" s="9" t="str">
        <x:v>Пн</x:v>
      </x:c>
      <x:c r="C208" s="10" t="str">
        <x:v>Интервью</x:v>
      </x:c>
      <x:c r="D208" s="19" t="str">
        <x:v>CUnVXGnOocE</x:v>
      </x:c>
      <x:c r="E208" s="10" t="str">
        <x:f>IF(D208="","",IF(COUNTIFS('Видео'!$A$7:$A$1508,D208)=1,INDEX('Видео'!$B$7:$B$1508,MATCH(D208,'Видео'!$A$7:$A$1508,0)),"ID не найден"))</x:f>
        <x:v>הצומת | איך להחליף את האליטה הביטחונית: הקרב נגד קונספציית 30 השנים - תא״ל (מיל׳) אמיר אביבי</x:v>
      </x:c>
      <x:c r="F208" s="9" t="str">
        <x:f>IF(D208="","",IF(COUNTIFS('Видео'!$A$7:$A$1508,D208)=1,INDEX('Видео'!$R$7:$R$1508,MATCH(D208,'Видео'!$A$7:$A$1508,0)),"ID не найден"))</x:f>
        <x:v>C086</x:v>
      </x:c>
      <x:c r="G208" s="9" t="str">
        <x:f>IF(D208="","",IF(COUNTIFS('Видео'!$A$7:$A$1508,D208)=1,INDEX('Видео'!$D$7:$D$1508,MATCH(D208,'Видео'!$A$7:$A$1508,0)),"ID не найден"))</x:f>
        <x:v>Интервью</x:v>
      </x:c>
      <x:c r="H208" s="10" t="str">
        <x:f>IF(D208="","",IF(COUNTIFS('Видео'!$A$7:$A$1508,D208)=1,INDEX('Видео'!$F$7:$F$1508,MATCH(D208,'Видео'!$A$7:$A$1508,0)),"ID не найден"))</x:f>
        <x:v>B2–C1 (гипотеза)</x:v>
      </x:c>
      <x:c r="I208" s="18" t="n">
        <x:f>IF(D208="","",IF(COUNTIFS('Видео'!$A$7:$A$1508,D208)=1,INDEX('Видео'!$G$7:$G$1508,MATCH(D208,'Видео'!$A$7:$A$1508,0)),"ID не найден"))</x:f>
        <x:v>70.7</x:v>
      </x:c>
      <x:c r="J208" s="18" t="n">
        <x:v>10</x:v>
      </x:c>
      <x:c r="K208" s="10" t="str">
        <x:f>IF(D208="","",IF(COUNTIFS('Видео'!$A$7:$A$1508,D208)=1,INDEX('Видео'!$AI$7:$AI$1508,MATCH(D208,'Видео'!$A$7:$A$1508,0)),"ID не найден"))</x:f>
        <x:v>Нужна редактура</x:v>
      </x:c>
      <x:c r="L208" s="19" t="str">
        <x:v>C5EiLhfvisg</x:v>
      </x:c>
      <x:c r="M208" s="10" t="str">
        <x:f>IF(L208="","",IF(COUNTIFS('Видео'!$A$7:$A$1508,L208)=1,INDEX('Видео'!$B$7:$B$1508,MATCH(L208,'Видео'!$A$7:$A$1508,0)),"ID не найден"))</x:f>
        <x:v>פגישה עם רוני קובן עונה 9 | עינב צנגאוקר</x:v>
      </x:c>
      <x:c r="N208" s="10" t="str"/>
      <x:c r="O208" s="10" t="str">
        <x:f>IF(D208="","",IF(COUNTIFS('Видео'!$A$7:$A$1508,D208)=1,INDEX('Видео'!$M$7:$M$1508,MATCH(D208,'Видео'!$A$7:$A$1508,0)),"ID не найден"))</x:f>
        <x:v>Тема / гость: איך להחליף את האליטה הביטחונית: הקרב נגד קונספציית 30 השנים - תא״ל (מיל׳) אמיר אביבי. Просмотры в списке выше медианы выборки этого цикла в 2.89 раза. Связь с уже выбранным владельцем источником. Длинные разговоры дают разные профессиональные и общественные биографии.</x:v>
      </x:c>
      <x:c r="P208" s="11" t="str">
        <x:f>IF(D208="","",IF(COUNTIFS('Видео'!$A$7:$A$1508,D208)=1,INDEX('Видео'!$U$7:$U$1508,MATCH(D208,'Видео'!$A$7:$A$1508,0)),"ID не найден"))</x:f>
        <x:v>https://www.youtube.com/watch?v=CUnVXGnOocE</x:v>
      </x:c>
      <x:c r="Q208" s="17" t="str">
        <x:v>Предложено</x:v>
      </x:c>
      <x:c r="R208" s="17" t="str"/>
      <x:c r="S208" s="10" t="str"/>
      <x:c r="T208" s="10" t="str">
        <x:v>Резерв меняет выбор видео; снова проверить повод, аудиторию и все редакторские условия</x:v>
      </x:c>
      <x:c r="U208" s="9" t="str">
        <x:f>IF(D208="","Выбрать видео",IF(COUNTIFS($D$7:$D$371,D208)&gt;1,"Повтор","Без повтора"))</x:f>
        <x:v>Без повтора</x:v>
      </x:c>
    </x:row>
    <x:row r="209" ht="60" customHeight="1">
      <x:c r="A209" s="16" t="n">
        <x:v>46511</x:v>
      </x:c>
      <x:c r="B209" s="9" t="str">
        <x:v>Вт</x:v>
      </x:c>
      <x:c r="C209" s="10" t="str">
        <x:v>Память</x:v>
      </x:c>
      <x:c r="D209" s="19" t="str">
        <x:v>QtCJwKHXrws</x:v>
      </x:c>
      <x:c r="E209" s="10" t="str">
        <x:f>IF(D209="","",IF(COUNTIFS('Видео'!$A$7:$A$1508,D209)=1,INDEX('Видео'!$B$7:$B$1508,MATCH(D209,'Видео'!$A$7:$A$1508,0)),"ID не найден"))</x:f>
        <x:v>הקהילה היהודית בתוניסיה תחת הכיבוש הגרמני | גורלן של קהילות יהודיות בשואה</x:v>
      </x:c>
      <x:c r="F209" s="9" t="str">
        <x:f>IF(D209="","",IF(COUNTIFS('Видео'!$A$7:$A$1508,D209)=1,INDEX('Видео'!$R$7:$R$1508,MATCH(D209,'Видео'!$A$7:$A$1508,0)),"ID не найден"))</x:f>
        <x:v>C078</x:v>
      </x:c>
      <x:c r="G209" s="9" t="str">
        <x:f>IF(D209="","",IF(COUNTIFS('Видео'!$A$7:$A$1508,D209)=1,INDEX('Видео'!$D$7:$D$1508,MATCH(D209,'Видео'!$A$7:$A$1508,0)),"ID не найден"))</x:f>
        <x:v>Память</x:v>
      </x:c>
      <x:c r="H209" s="10" t="str">
        <x:f>IF(D209="","",IF(COUNTIFS('Видео'!$A$7:$A$1508,D209)=1,INDEX('Видео'!$F$7:$F$1508,MATCH(D209,'Видео'!$A$7:$A$1508,0)),"ID не найден"))</x:f>
        <x:v>B2–C1 (гипотеза)</x:v>
      </x:c>
      <x:c r="I209" s="18" t="n">
        <x:f>IF(D209="","",IF(COUNTIFS('Видео'!$A$7:$A$1508,D209)=1,INDEX('Видео'!$G$7:$G$1508,MATCH(D209,'Видео'!$A$7:$A$1508,0)),"ID не найден"))</x:f>
        <x:v>9.6</x:v>
      </x:c>
      <x:c r="J209" s="18" t="n">
        <x:v>5</x:v>
      </x:c>
      <x:c r="K209" s="10" t="str">
        <x:f>IF(D209="","",IF(COUNTIFS('Видео'!$A$7:$A$1508,D209)=1,INDEX('Видео'!$AI$7:$AI$1508,MATCH(D209,'Видео'!$A$7:$A$1508,0)),"ID не найден"))</x:f>
        <x:v>Нужна редактура</x:v>
      </x:c>
      <x:c r="L209" s="19" t="str">
        <x:v>9kMLPQOfDWg</x:v>
      </x:c>
      <x:c r="M209" s="10" t="str">
        <x:f>IF(L209="","",IF(COUNTIFS('Видео'!$A$7:$A$1508,L209)=1,INDEX('Видео'!$B$7:$B$1508,MATCH(L209,'Видео'!$A$7:$A$1508,0)),"ID не найден"))</x:f>
        <x:v>הקולוניאליזם בצפון אפריקה | גורלן של קהילות יהודיות בשואה</x:v>
      </x:c>
      <x:c r="N209" s="10" t="str">
        <x:v>Йом ха-Шоа: свидетельство и память</x:v>
      </x:c>
      <x:c r="O209" s="10" t="str">
        <x:f>IF(D209="","",IF(COUNTIFS('Видео'!$A$7:$A$1508,D209)=1,INDEX('Видео'!$M$7:$M$1508,MATCH(D209,'Видео'!$A$7:$A$1508,0)),"ID не найден"))</x:f>
        <x:v>Завершённый короткий просмотр около 10 мин. Просмотры в списке выше медианы выборки этого цикла в 5.64 раза. Североафриканский опыт расширяет географию исторической памяти.</x:v>
      </x:c>
      <x:c r="P209" s="11" t="str">
        <x:f>IF(D209="","",IF(COUNTIFS('Видео'!$A$7:$A$1508,D209)=1,INDEX('Видео'!$U$7:$U$1508,MATCH(D209,'Видео'!$A$7:$A$1508,0)),"ID не найден"))</x:f>
        <x:v>https://www.youtube.com/watch?v=QtCJwKHXrws</x:v>
      </x:c>
      <x:c r="Q209" s="17" t="str">
        <x:v>Предложено</x:v>
      </x:c>
      <x:c r="R209" s="17" t="str"/>
      <x:c r="S209" s="10" t="str">
        <x:v>https://www.hebcal.com/holidays/2027?i=on</x:v>
      </x:c>
      <x:c r="T209" s="10" t="str">
        <x:v>Резерв меняет выбор видео; снова проверить повод, аудиторию и все редакторские условия</x:v>
      </x:c>
      <x:c r="U209" s="9" t="str">
        <x:f>IF(D209="","Выбрать видео",IF(COUNTIFS($D$7:$D$371,D209)&gt;1,"Повтор","Без повтора"))</x:f>
        <x:v>Без повтора</x:v>
      </x:c>
    </x:row>
    <x:row r="210" ht="60" customHeight="1">
      <x:c r="A210" s="16" t="n">
        <x:v>46512</x:v>
      </x:c>
      <x:c r="B210" s="9" t="str">
        <x:v>Ср</x:v>
      </x:c>
      <x:c r="C210" s="10" t="str">
        <x:v>Быт</x:v>
      </x:c>
      <x:c r="D210" s="19" t="str">
        <x:v>atwANdXDt_8</x:v>
      </x:c>
      <x:c r="E210" s="10" t="str">
        <x:f>IF(D210="","",IF(COUNTIFS('Видео'!$A$7:$A$1508,D210)=1,INDEX('Видео'!$B$7:$B$1508,MATCH(D210,'Видео'!$A$7:$A$1508,0)),"ID не найден"))</x:f>
        <x:v>בואו לאכול איתי עונה 9 | ירושלים - חלק א' (פרק 6)</x:v>
      </x:c>
      <x:c r="F210" s="9" t="str">
        <x:f>IF(D210="","",IF(COUNTIFS('Видео'!$A$7:$A$1508,D210)=1,INDEX('Видео'!$R$7:$R$1508,MATCH(D210,'Видео'!$A$7:$A$1508,0)),"ID не найден"))</x:f>
        <x:v>C022</x:v>
      </x:c>
      <x:c r="G210" s="9" t="str">
        <x:f>IF(D210="","",IF(COUNTIFS('Видео'!$A$7:$A$1508,D210)=1,INDEX('Видео'!$D$7:$D$1508,MATCH(D210,'Видео'!$A$7:$A$1508,0)),"ID не найден"))</x:f>
        <x:v>Быт</x:v>
      </x:c>
      <x:c r="H210" s="10" t="str">
        <x:f>IF(D210="","",IF(COUNTIFS('Видео'!$A$7:$A$1508,D210)=1,INDEX('Видео'!$F$7:$F$1508,MATCH(D210,'Видео'!$A$7:$A$1508,0)),"ID не найден"))</x:f>
        <x:v>B1–B2 (гипотеза)</x:v>
      </x:c>
      <x:c r="I210" s="18" t="n">
        <x:f>IF(D210="","",IF(COUNTIFS('Видео'!$A$7:$A$1508,D210)=1,INDEX('Видео'!$G$7:$G$1508,MATCH(D210,'Видео'!$A$7:$A$1508,0)),"ID не найден"))</x:f>
        <x:v>28.8</x:v>
      </x:c>
      <x:c r="J210" s="18" t="n">
        <x:v>10</x:v>
      </x:c>
      <x:c r="K210" s="10" t="str">
        <x:f>IF(D210="","",IF(COUNTIFS('Видео'!$A$7:$A$1508,D210)=1,INDEX('Видео'!$AI$7:$AI$1508,MATCH(D210,'Видео'!$A$7:$A$1508,0)),"ID не найден"))</x:f>
        <x:v>Нужна редактура</x:v>
      </x:c>
      <x:c r="L210" s="19" t="str">
        <x:v>c6cW-luHe70</x:v>
      </x:c>
      <x:c r="M210" s="10" t="str">
        <x:f>IF(L210="","",IF(COUNTIFS('Видео'!$A$7:$A$1508,L210)=1,INDEX('Видео'!$B$7:$B$1508,MATCH(L210,'Видео'!$A$7:$A$1508,0)),"ID не найден"))</x:f>
        <x:v>שום פלפל ושמן זית עונה 3 | טל פרידמן</x:v>
      </x:c>
      <x:c r="N210" s="10" t="str"/>
      <x:c r="O210" s="10" t="str">
        <x:f>IF(D210="","",IF(COUNTIFS('Видео'!$A$7:$A$1508,D210)=1,INDEX('Видео'!$M$7:$M$1508,MATCH(D210,'Видео'!$A$7:$A$1508,0)),"ID не найден"))</x:f>
        <x:v>Тема: בואו לאכול איתי עונה 9 | ירושלים - חלק א' (פרק 6). Еда снижает порог входа для широкой аудитории. В одном выпуске встречаются приглашения, оценки, знакомство и бытовые споры.</x:v>
      </x:c>
      <x:c r="P210" s="11" t="str">
        <x:f>IF(D210="","",IF(COUNTIFS('Видео'!$A$7:$A$1508,D210)=1,INDEX('Видео'!$U$7:$U$1508,MATCH(D210,'Видео'!$A$7:$A$1508,0)),"ID не найден"))</x:f>
        <x:v>https://www.youtube.com/watch?v=atwANdXDt_8</x:v>
      </x:c>
      <x:c r="Q210" s="17" t="str">
        <x:v>Предложено</x:v>
      </x:c>
      <x:c r="R210" s="17" t="str"/>
      <x:c r="S210" s="10" t="str"/>
      <x:c r="T210" s="10" t="str">
        <x:v>Резерв меняет выбор видео; снова проверить повод, аудиторию и все редакторские условия</x:v>
      </x:c>
      <x:c r="U210" s="9" t="str">
        <x:f>IF(D210="","Выбрать видео",IF(COUNTIFS($D$7:$D$371,D210)&gt;1,"Повтор","Без повтора"))</x:f>
        <x:v>Без повтора</x:v>
      </x:c>
    </x:row>
    <x:row r="211" ht="60" customHeight="1">
      <x:c r="A211" s="16" t="n">
        <x:v>46513</x:v>
      </x:c>
      <x:c r="B211" s="9" t="str">
        <x:v>Чт</x:v>
      </x:c>
      <x:c r="C211" s="10" t="str">
        <x:v>Сериал</x:v>
      </x:c>
      <x:c r="D211" s="19" t="str">
        <x:v>7a0MmM1wVb8</x:v>
      </x:c>
      <x:c r="E211" s="10" t="str">
        <x:f>IF(D211="","",IF(COUNTIFS('Видео'!$A$7:$A$1508,D211)=1,INDEX('Видео'!$B$7:$B$1508,MATCH(D211,'Видео'!$A$7:$A$1508,0)),"ID не найден"))</x:f>
        <x:v>אחד על אחד 📚 - סדרה חדשה! | פרק 9 - נפלנו בבאר שבע</x:v>
      </x:c>
      <x:c r="F211" s="9" t="str">
        <x:f>IF(D211="","",IF(COUNTIFS('Видео'!$A$7:$A$1508,D211)=1,INDEX('Видео'!$R$7:$R$1508,MATCH(D211,'Видео'!$A$7:$A$1508,0)),"ID не найден"))</x:f>
        <x:v>C009</x:v>
      </x:c>
      <x:c r="G211" s="9" t="str">
        <x:f>IF(D211="","",IF(COUNTIFS('Видео'!$A$7:$A$1508,D211)=1,INDEX('Видео'!$D$7:$D$1508,MATCH(D211,'Видео'!$A$7:$A$1508,0)),"ID не найден"))</x:f>
        <x:v>Сериал</x:v>
      </x:c>
      <x:c r="H211" s="10" t="str">
        <x:f>IF(D211="","",IF(COUNTIFS('Видео'!$A$7:$A$1508,D211)=1,INDEX('Видео'!$F$7:$F$1508,MATCH(D211,'Видео'!$A$7:$A$1508,0)),"ID не найден"))</x:f>
        <x:v>B1–B2 (гипотеза)</x:v>
      </x:c>
      <x:c r="I211" s="18" t="n">
        <x:f>IF(D211="","",IF(COUNTIFS('Видео'!$A$7:$A$1508,D211)=1,INDEX('Видео'!$G$7:$G$1508,MATCH(D211,'Видео'!$A$7:$A$1508,0)),"ID не найден"))</x:f>
        <x:v>29.3</x:v>
      </x:c>
      <x:c r="J211" s="18" t="n">
        <x:v>10</x:v>
      </x:c>
      <x:c r="K211" s="10" t="str">
        <x:f>IF(D211="","",IF(COUNTIFS('Видео'!$A$7:$A$1508,D211)=1,INDEX('Видео'!$AI$7:$AI$1508,MATCH(D211,'Видео'!$A$7:$A$1508,0)),"ID не найден"))</x:f>
        <x:v>Нужна редактура</x:v>
      </x:c>
      <x:c r="L211" s="19" t="str">
        <x:v>qP2E3DCiRqY</x:v>
      </x:c>
      <x:c r="M211" s="10" t="str">
        <x:f>IF(L211="","",IF(COUNTIFS('Видео'!$A$7:$A$1508,L211)=1,INDEX('Видео'!$B$7:$B$1508,MATCH(L211,'Видео'!$A$7:$A$1508,0)),"ID не найден"))</x:f>
        <x:v>למה אנחנו זוכרים את הנופלים בעזרת צפירת אזעקה? | כאן סקרנים</x:v>
      </x:c>
      <x:c r="N211" s="10" t="str"/>
      <x:c r="O211" s="10" t="str">
        <x:f>IF(D211="","",IF(COUNTIFS('Видео'!$A$7:$A$1508,D211)=1,INDEX('Видео'!$M$7:$M$1508,MATCH(D211,'Видео'!$A$7:$A$1508,0)),"ID не найден"))</x:f>
        <x:v>Эпизод 9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P211" s="11" t="str">
        <x:f>IF(D211="","",IF(COUNTIFS('Видео'!$A$7:$A$1508,D211)=1,INDEX('Видео'!$U$7:$U$1508,MATCH(D211,'Видео'!$A$7:$A$1508,0)),"ID не найден"))</x:f>
        <x:v>https://www.youtube.com/watch?v=7a0MmM1wVb8</x:v>
      </x:c>
      <x:c r="Q211" s="17" t="str">
        <x:v>Предложено</x:v>
      </x:c>
      <x:c r="R211" s="17" t="str"/>
      <x:c r="S211" s="10" t="str"/>
      <x:c r="T211" s="10" t="str">
        <x:v>При недоступной серии приостановить сюжетную ветку; резерв — самостоятельное видео</x:v>
      </x:c>
      <x:c r="U211" s="9" t="str">
        <x:f>IF(D211="","Выбрать видео",IF(COUNTIFS($D$7:$D$371,D211)&gt;1,"Повтор","Без повтора"))</x:f>
        <x:v>Без повтора</x:v>
      </x:c>
    </x:row>
    <x:row r="212" ht="60" customHeight="1">
      <x:c r="A212" s="16" t="n">
        <x:v>46514</x:v>
      </x:c>
      <x:c r="B212" s="9" t="str">
        <x:v>Пт</x:v>
      </x:c>
      <x:c r="C212" s="10" t="str">
        <x:v>Культура</x:v>
      </x:c>
      <x:c r="D212" s="19" t="str">
        <x:v>uPIx2vip80Y</x:v>
      </x:c>
      <x:c r="E212" s="10" t="str">
        <x:f>IF(D212="","",IF(COUNTIFS('Видео'!$A$7:$A$1508,D212)=1,INDEX('Видео'!$B$7:$B$1508,MATCH(D212,'Видео'!$A$7:$A$1508,0)),"ID не найден"))</x:f>
        <x:v>אלון אולארצ'יק - בואי נגיד (לייב על בימת בית אבי חי)</x:v>
      </x:c>
      <x:c r="F212" s="9" t="str">
        <x:f>IF(D212="","",IF(COUNTIFS('Видео'!$A$7:$A$1508,D212)=1,INDEX('Видео'!$R$7:$R$1508,MATCH(D212,'Видео'!$A$7:$A$1508,0)),"ID не найден"))</x:f>
        <x:v>C075</x:v>
      </x:c>
      <x:c r="G212" s="9" t="str">
        <x:f>IF(D212="","",IF(COUNTIFS('Видео'!$A$7:$A$1508,D212)=1,INDEX('Видео'!$D$7:$D$1508,MATCH(D212,'Видео'!$A$7:$A$1508,0)),"ID не найден"))</x:f>
        <x:v>Культура</x:v>
      </x:c>
      <x:c r="H212" s="10" t="str">
        <x:f>IF(D212="","",IF(COUNTIFS('Видео'!$A$7:$A$1508,D212)=1,INDEX('Видео'!$F$7:$F$1508,MATCH(D212,'Видео'!$A$7:$A$1508,0)),"ID не найден"))</x:f>
        <x:v>B2–C1 (гипотеза)</x:v>
      </x:c>
      <x:c r="I212" s="18" t="n">
        <x:f>IF(D212="","",IF(COUNTIFS('Видео'!$A$7:$A$1508,D212)=1,INDEX('Видео'!$G$7:$G$1508,MATCH(D212,'Видео'!$A$7:$A$1508,0)),"ID не найден"))</x:f>
        <x:v>3.9</x:v>
      </x:c>
      <x:c r="J212" s="18" t="n">
        <x:v>5</x:v>
      </x:c>
      <x:c r="K212" s="10" t="str">
        <x:f>IF(D212="","",IF(COUNTIFS('Видео'!$A$7:$A$1508,D212)=1,INDEX('Видео'!$AI$7:$AI$1508,MATCH(D212,'Видео'!$A$7:$A$1508,0)),"ID не найден"))</x:f>
        <x:v>Нужна редактура</x:v>
      </x:c>
      <x:c r="L212" s="19" t="str">
        <x:v>46EEFB7uDl8</x:v>
      </x:c>
      <x:c r="M212" s="10" t="str">
        <x:f>IF(L212="","",IF(COUNTIFS('Видео'!$A$7:$A$1508,L212)=1,INDEX('Видео'!$B$7:$B$1508,MATCH(L212,'Видео'!$A$7:$A$1508,0)),"ID не найден"))</x:f>
        <x:v>רעיון הצדקה היצירתי של הרב שלום הכהן</x:v>
      </x:c>
      <x:c r="N212" s="10" t="str"/>
      <x:c r="O212" s="10" t="str">
        <x:f>IF(D212="","",IF(COUNTIFS('Видео'!$A$7:$A$1508,D212)=1,INDEX('Видео'!$M$7:$M$1508,MATCH(D212,'Видео'!$A$7:$A$1508,0)),"ID не найден"))</x:f>
        <x:v>Завершённый короткий просмотр около 4 мин. Просмотры в списке выше медианы выборки этого цикла в 1.62 раза. Разговор о музыке и детстве создаёт вход через культурную близость и биографию.</x:v>
      </x:c>
      <x:c r="P212" s="11" t="str">
        <x:f>IF(D212="","",IF(COUNTIFS('Видео'!$A$7:$A$1508,D212)=1,INDEX('Видео'!$U$7:$U$1508,MATCH(D212,'Видео'!$A$7:$A$1508,0)),"ID не найден"))</x:f>
        <x:v>https://www.youtube.com/watch?v=uPIx2vip80Y</x:v>
      </x:c>
      <x:c r="Q212" s="17" t="str">
        <x:v>Предложено</x:v>
      </x:c>
      <x:c r="R212" s="17" t="str"/>
      <x:c r="S212" s="10" t="str"/>
      <x:c r="T212" s="10" t="str">
        <x:v>Резерв меняет выбор видео; снова проверить повод, аудиторию и все редакторские условия</x:v>
      </x:c>
      <x:c r="U212" s="9" t="str">
        <x:f>IF(D212="","Выбрать видео",IF(COUNTIFS($D$7:$D$371,D212)&gt;1,"Повтор","Без повтора"))</x:f>
        <x:v>Без повтора</x:v>
      </x:c>
    </x:row>
    <x:row r="213" ht="60" customHeight="1">
      <x:c r="A213" s="16" t="n">
        <x:v>46515</x:v>
      </x:c>
      <x:c r="B213" s="9" t="str">
        <x:v>Сб</x:v>
      </x:c>
      <x:c r="C213" s="10" t="str">
        <x:v>Общество</x:v>
      </x:c>
      <x:c r="D213" s="19" t="str">
        <x:v>oIDT2Rlmjhg</x:v>
      </x:c>
      <x:c r="E213" s="10" t="str">
        <x:f>IF(D213="","",IF(COUNTIFS('Видео'!$A$7:$A$1508,D213)=1,INDEX('Видео'!$B$7:$B$1508,MATCH(D213,'Видео'!$A$7:$A$1508,0)),"ID не найден"))</x:f>
        <x:v>הגיבור הלא צפוי של קרב הגבורה בבית חאנון: "הוא כמו רמבו ומקגייוור"</x:v>
      </x:c>
      <x:c r="F213" s="9" t="str">
        <x:f>IF(D213="","",IF(COUNTIFS('Видео'!$A$7:$A$1508,D213)=1,INDEX('Видео'!$R$7:$R$1508,MATCH(D213,'Видео'!$A$7:$A$1508,0)),"ID не найден"))</x:f>
        <x:v>C081</x:v>
      </x:c>
      <x:c r="G213" s="9" t="str">
        <x:f>IF(D213="","",IF(COUNTIFS('Видео'!$A$7:$A$1508,D213)=1,INDEX('Видео'!$D$7:$D$1508,MATCH(D213,'Видео'!$A$7:$A$1508,0)),"ID не найден"))</x:f>
        <x:v>Общество</x:v>
      </x:c>
      <x:c r="H213" s="10" t="str">
        <x:f>IF(D213="","",IF(COUNTIFS('Видео'!$A$7:$A$1508,D213)=1,INDEX('Видео'!$F$7:$F$1508,MATCH(D213,'Видео'!$A$7:$A$1508,0)),"ID не найден"))</x:f>
        <x:v>B2–C1 (гипотеза)</x:v>
      </x:c>
      <x:c r="I213" s="18" t="n">
        <x:f>IF(D213="","",IF(COUNTIFS('Видео'!$A$7:$A$1508,D213)=1,INDEX('Видео'!$G$7:$G$1508,MATCH(D213,'Видео'!$A$7:$A$1508,0)),"ID не найден"))</x:f>
        <x:v>4.1</x:v>
      </x:c>
      <x:c r="J213" s="18" t="n">
        <x:v>5</x:v>
      </x:c>
      <x:c r="K213" s="10" t="str">
        <x:f>IF(D213="","",IF(COUNTIFS('Видео'!$A$7:$A$1508,D213)=1,INDEX('Видео'!$AI$7:$AI$1508,MATCH(D213,'Видео'!$A$7:$A$1508,0)),"ID не найден"))</x:f>
        <x:v>Нужна редактура</x:v>
      </x:c>
      <x:c r="L213" s="19" t="str">
        <x:v>DQA8CtrTHEo</x:v>
      </x:c>
      <x:c r="M213" s="10" t="str">
        <x:f>IF(L213="","",IF(COUNTIFS('Видео'!$A$7:$A$1508,L213)=1,INDEX('Видео'!$B$7:$B$1508,MATCH(L213,'Видео'!$A$7:$A$1508,0)),"ID не найден"))</x:f>
        <x:v>סליחה על השאלה עונה 2 | תאומים זהים</x:v>
      </x:c>
      <x:c r="N213" s="10" t="str"/>
      <x:c r="O213" s="10" t="str">
        <x:f>IF(D213="","",IF(COUNTIFS('Видео'!$A$7:$A$1508,D213)=1,INDEX('Видео'!$M$7:$M$1508,MATCH(D213,'Видео'!$A$7:$A$1508,0)),"ID не найден"))</x:f>
        <x:v>Завершённый короткий просмотр около 4 мин. Просмотры в списке выше медианы выборки этого цикла в 10.0 раза. Второй редакционный источник помогает не ограничиваться одной журналистской повесткой.</x:v>
      </x:c>
      <x:c r="P213" s="11" t="str">
        <x:f>IF(D213="","",IF(COUNTIFS('Видео'!$A$7:$A$1508,D213)=1,INDEX('Видео'!$U$7:$U$1508,MATCH(D213,'Видео'!$A$7:$A$1508,0)),"ID не найден"))</x:f>
        <x:v>https://www.youtube.com/watch?v=oIDT2Rlmjhg</x:v>
      </x:c>
      <x:c r="Q213" s="17" t="str">
        <x:v>Предложено</x:v>
      </x:c>
      <x:c r="R213" s="17" t="str"/>
      <x:c r="S213" s="10" t="str"/>
      <x:c r="T213" s="10" t="str">
        <x:v>Резерв меняет выбор видео; снова проверить повод, аудиторию и все редакторские условия</x:v>
      </x:c>
      <x:c r="U213" s="9" t="str">
        <x:f>IF(D213="","Выбрать видео",IF(COUNTIFS($D$7:$D$371,D213)&gt;1,"Повтор","Без повтора"))</x:f>
        <x:v>Без повтора</x:v>
      </x:c>
    </x:row>
    <x:row r="214" ht="60" customHeight="1">
      <x:c r="A214" s="16" t="n">
        <x:v>46516</x:v>
      </x:c>
      <x:c r="B214" s="9" t="str">
        <x:v>Вс</x:v>
      </x:c>
      <x:c r="C214" s="10" t="str">
        <x:v>Сериал</x:v>
      </x:c>
      <x:c r="D214" s="19" t="str">
        <x:v>sYLlJjdKNS0</x:v>
      </x:c>
      <x:c r="E214" s="10" t="str">
        <x:f>IF(D214="","",IF(COUNTIFS('Видео'!$A$7:$A$1508,D214)=1,INDEX('Видео'!$B$7:$B$1508,MATCH(D214,'Видео'!$A$7:$A$1508,0)),"ID не найден"))</x:f>
        <x:v>קופה ראשית עונה 4🛒 | פרק 9 - כי הלקוח הוא גם חבר</x:v>
      </x:c>
      <x:c r="F214" s="9" t="str">
        <x:f>IF(D214="","",IF(COUNTIFS('Видео'!$A$7:$A$1508,D214)=1,INDEX('Видео'!$R$7:$R$1508,MATCH(D214,'Видео'!$A$7:$A$1508,0)),"ID не найден"))</x:f>
        <x:v>C002</x:v>
      </x:c>
      <x:c r="G214" s="9" t="str">
        <x:f>IF(D214="","",IF(COUNTIFS('Видео'!$A$7:$A$1508,D214)=1,INDEX('Видео'!$D$7:$D$1508,MATCH(D214,'Видео'!$A$7:$A$1508,0)),"ID не найден"))</x:f>
        <x:v>Сериал</x:v>
      </x:c>
      <x:c r="H214" s="10" t="str">
        <x:f>IF(D214="","",IF(COUNTIFS('Видео'!$A$7:$A$1508,D214)=1,INDEX('Видео'!$F$7:$F$1508,MATCH(D214,'Видео'!$A$7:$A$1508,0)),"ID не найден"))</x:f>
        <x:v>B1–B2 (гипотеза)</x:v>
      </x:c>
      <x:c r="I214" s="18" t="n">
        <x:f>IF(D214="","",IF(COUNTIFS('Видео'!$A$7:$A$1508,D214)=1,INDEX('Видео'!$G$7:$G$1508,MATCH(D214,'Видео'!$A$7:$A$1508,0)),"ID не найден"))</x:f>
        <x:v>25.2</x:v>
      </x:c>
      <x:c r="J214" s="18" t="n">
        <x:v>10</x:v>
      </x:c>
      <x:c r="K214" s="10" t="str">
        <x:f>IF(D214="","",IF(COUNTIFS('Видео'!$A$7:$A$1508,D214)=1,INDEX('Видео'!$AI$7:$AI$1508,MATCH(D214,'Видео'!$A$7:$A$1508,0)),"ID не найден"))</x:f>
        <x:v>Нужна редактура</x:v>
      </x:c>
      <x:c r="L214" s="19" t="str">
        <x:v>RQLl8w6lZhI</x:v>
      </x:c>
      <x:c r="M214" s="10" t="str">
        <x:f>IF(L214="","",IF(COUNTIFS('Видео'!$A$7:$A$1508,L214)=1,INDEX('Видео'!$B$7:$B$1508,MATCH(L214,'Видео'!$A$7:$A$1508,0)),"ID не найден"))</x:f>
        <x:v>איך זיעה מקררת</x:v>
      </x:c>
      <x:c r="N214" s="10" t="str"/>
      <x:c r="O214" s="10" t="str">
        <x:f>IF(D214="","",IF(COUNTIFS('Видео'!$A$7:$A$1508,D214)=1,INDEX('Видео'!$M$7:$M$1508,MATCH(D214,'Видео'!$A$7:$A$1508,0)),"ID не найден"))</x:f>
        <x:v>Эпизод 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14" s="11" t="str">
        <x:f>IF(D214="","",IF(COUNTIFS('Видео'!$A$7:$A$1508,D214)=1,INDEX('Видео'!$U$7:$U$1508,MATCH(D214,'Видео'!$A$7:$A$1508,0)),"ID не найден"))</x:f>
        <x:v>https://www.youtube.com/watch?v=sYLlJjdKNS0</x:v>
      </x:c>
      <x:c r="Q214" s="17" t="str">
        <x:v>Предложено</x:v>
      </x:c>
      <x:c r="R214" s="17" t="str"/>
      <x:c r="S214" s="10" t="str"/>
      <x:c r="T214" s="10" t="str">
        <x:v>При недоступной серии приостановить сюжетную ветку; резерв — самостоятельное видео</x:v>
      </x:c>
      <x:c r="U214" s="9" t="str">
        <x:f>IF(D214="","Выбрать видео",IF(COUNTIFS($D$7:$D$371,D214)&gt;1,"Повтор","Без повтора"))</x:f>
        <x:v>Без повтора</x:v>
      </x:c>
    </x:row>
    <x:row r="215" ht="60" customHeight="1">
      <x:c r="A215" s="16" t="n">
        <x:v>46517</x:v>
      </x:c>
      <x:c r="B215" s="9" t="str">
        <x:v>Пн</x:v>
      </x:c>
      <x:c r="C215" s="10" t="str">
        <x:v>Интервью</x:v>
      </x:c>
      <x:c r="D215" s="19" t="str">
        <x:v>d_uJ695xd5s</x:v>
      </x:c>
      <x:c r="E215" s="10" t="str">
        <x:f>IF(D215="","",IF(COUNTIFS('Видео'!$A$7:$A$1508,D215)=1,INDEX('Видео'!$B$7:$B$1508,MATCH(D215,'Видео'!$A$7:$A$1508,0)),"ID не найден"))</x:f>
        <x:v>השר בן-גביר: שומר חומות לא ייקרה שוב. שומר סף 398</x:v>
      </x:c>
      <x:c r="F215" s="9" t="str">
        <x:f>IF(D215="","",IF(COUNTIFS('Видео'!$A$7:$A$1508,D215)=1,INDEX('Видео'!$R$7:$R$1508,MATCH(D215,'Видео'!$A$7:$A$1508,0)),"ID не найден"))</x:f>
        <x:v>C087</x:v>
      </x:c>
      <x:c r="G215" s="9" t="str">
        <x:f>IF(D215="","",IF(COUNTIFS('Видео'!$A$7:$A$1508,D215)=1,INDEX('Видео'!$D$7:$D$1508,MATCH(D215,'Видео'!$A$7:$A$1508,0)),"ID не найден"))</x:f>
        <x:v>Интервью</x:v>
      </x:c>
      <x:c r="H215" s="10" t="str">
        <x:f>IF(D215="","",IF(COUNTIFS('Видео'!$A$7:$A$1508,D215)=1,INDEX('Видео'!$F$7:$F$1508,MATCH(D215,'Видео'!$A$7:$A$1508,0)),"ID не найден"))</x:f>
        <x:v>B2–C1 (гипотеза)</x:v>
      </x:c>
      <x:c r="I215" s="18" t="n">
        <x:f>IF(D215="","",IF(COUNTIFS('Видео'!$A$7:$A$1508,D215)=1,INDEX('Видео'!$G$7:$G$1508,MATCH(D215,'Видео'!$A$7:$A$1508,0)),"ID не найден"))</x:f>
        <x:v>53.3</x:v>
      </x:c>
      <x:c r="J215" s="18" t="n">
        <x:v>10</x:v>
      </x:c>
      <x:c r="K215" s="10" t="str">
        <x:f>IF(D215="","",IF(COUNTIFS('Видео'!$A$7:$A$1508,D215)=1,INDEX('Видео'!$AI$7:$AI$1508,MATCH(D215,'Видео'!$A$7:$A$1508,0)),"ID не найден"))</x:f>
        <x:v>Нужна редактура</x:v>
      </x:c>
      <x:c r="L215" s="19" t="str">
        <x:v>uMZhfJEm8PQ</x:v>
      </x:c>
      <x:c r="M215" s="10" t="str">
        <x:f>IF(L215="","",IF(COUNTIFS('Видео'!$A$7:$A$1508,L215)=1,INDEX('Видео'!$B$7:$B$1508,MATCH(L215,'Видео'!$A$7:$A$1508,0)),"ID не найден"))</x:f>
        <x:v>פגישה עם רוני קובן עונה 10 | ליאור סושרד</x:v>
      </x:c>
      <x:c r="N215" s="10" t="str"/>
      <x:c r="O215" s="10" t="str">
        <x:f>IF(D215="","",IF(COUNTIFS('Видео'!$A$7:$A$1508,D215)=1,INDEX('Видео'!$M$7:$M$1508,MATCH(D215,'Видео'!$A$7:$A$1508,0)),"ID не найден"))</x:f>
        <x:v>Тема / гость: השר בן-גביר: שומר חומות לא ייקרה שוב. שומר סף 398. Просмотры в списке выше медианы выборки этого цикла в 1.64 раза. Источник для аудитории общественных дебатов; полезен при явной атрибуции позиции ведущего и гостя.</x:v>
      </x:c>
      <x:c r="P215" s="11" t="str">
        <x:f>IF(D215="","",IF(COUNTIFS('Видео'!$A$7:$A$1508,D215)=1,INDEX('Видео'!$U$7:$U$1508,MATCH(D215,'Видео'!$A$7:$A$1508,0)),"ID не найден"))</x:f>
        <x:v>https://www.youtube.com/watch?v=d_uJ695xd5s</x:v>
      </x:c>
      <x:c r="Q215" s="17" t="str">
        <x:v>Предложено</x:v>
      </x:c>
      <x:c r="R215" s="17" t="str"/>
      <x:c r="S215" s="10" t="str"/>
      <x:c r="T215" s="10" t="str">
        <x:v>Резерв меняет выбор видео; снова проверить повод, аудиторию и все редакторские условия</x:v>
      </x:c>
      <x:c r="U215" s="9" t="str">
        <x:f>IF(D215="","Выбрать видео",IF(COUNTIFS($D$7:$D$371,D215)&gt;1,"Повтор","Без повтора"))</x:f>
        <x:v>Без повтора</x:v>
      </x:c>
    </x:row>
    <x:row r="216" ht="60" customHeight="1">
      <x:c r="A216" s="16" t="n">
        <x:v>46518</x:v>
      </x:c>
      <x:c r="B216" s="9" t="str">
        <x:v>Вт</x:v>
      </x:c>
      <x:c r="C216" s="10" t="str">
        <x:v>Память</x:v>
      </x:c>
      <x:c r="D216" s="19" t="str">
        <x:v>grYnnaPC0VI</x:v>
      </x:c>
      <x:c r="E216" s="10" t="str">
        <x:f>IF(D216="","",IF(COUNTIFS('Видео'!$A$7:$A$1508,D216)=1,INDEX('Видео'!$B$7:$B$1508,MATCH(D216,'Видео'!$A$7:$A$1508,0)),"ID не найден"))</x:f>
        <x:v>כפר עזה - 95% גן עדן | פרק 3 - הביתה?</x:v>
      </x:c>
      <x:c r="F216" s="9" t="str">
        <x:f>IF(D216="","",IF(COUNTIFS('Видео'!$A$7:$A$1508,D216)=1,INDEX('Видео'!$R$7:$R$1508,MATCH(D216,'Видео'!$A$7:$A$1508,0)),"ID не найден"))</x:f>
        <x:v>C041</x:v>
      </x:c>
      <x:c r="G216" s="9" t="str">
        <x:f>IF(D216="","",IF(COUNTIFS('Видео'!$A$7:$A$1508,D216)=1,INDEX('Видео'!$D$7:$D$1508,MATCH(D216,'Видео'!$A$7:$A$1508,0)),"ID не найден"))</x:f>
        <x:v>Память</x:v>
      </x:c>
      <x:c r="H216" s="10" t="str">
        <x:f>IF(D216="","",IF(COUNTIFS('Видео'!$A$7:$A$1508,D216)=1,INDEX('Видео'!$F$7:$F$1508,MATCH(D216,'Видео'!$A$7:$A$1508,0)),"ID не найден"))</x:f>
        <x:v>B2–C1 (гипотеза)</x:v>
      </x:c>
      <x:c r="I216" s="18" t="n">
        <x:f>IF(D216="","",IF(COUNTIFS('Видео'!$A$7:$A$1508,D216)=1,INDEX('Видео'!$G$7:$G$1508,MATCH(D216,'Видео'!$A$7:$A$1508,0)),"ID не найден"))</x:f>
        <x:v>54.6</x:v>
      </x:c>
      <x:c r="J216" s="18" t="n">
        <x:v>10</x:v>
      </x:c>
      <x:c r="K216" s="10" t="str">
        <x:f>IF(D216="","",IF(COUNTIFS('Видео'!$A$7:$A$1508,D216)=1,INDEX('Видео'!$AI$7:$AI$1508,MATCH(D216,'Видео'!$A$7:$A$1508,0)),"ID не найден"))</x:f>
        <x:v>Нужна редактура</x:v>
      </x:c>
      <x:c r="L216" s="19" t="str">
        <x:v>jsotBDnapMs</x:v>
      </x:c>
      <x:c r="M216" s="10" t="str">
        <x:f>IF(L216="","",IF(COUNTIFS('Видео'!$A$7:$A$1508,L216)=1,INDEX('Видео'!$B$7:$B$1508,MATCH(L216,'Видео'!$A$7:$A$1508,0)),"ID не найден"))</x:f>
        <x:v>שאלות שרצינו לשאול – שיחות עם ניצולי שואה. פרק שמיני: הגירוש מהבית</x:v>
      </x:c>
      <x:c r="N216" s="10" t="str">
        <x:v>Йом ха-Зикарон: память и сообщество</x:v>
      </x:c>
      <x:c r="O216" s="10" t="str">
        <x:f>IF(D216="","",IF(COUNTIFS('Видео'!$A$7:$A$1508,D216)=1,INDEX('Видео'!$M$7:$M$1508,MATCH(D216,'Видео'!$A$7:$A$1508,0)),"ID не найден"))</x:f>
        <x:v>Тема: כפר עזה - 95% גן עדן | פרק 3 - הביתה?. История конкретного сообщества сохраняет человеческий масштаб трагедии.</x:v>
      </x:c>
      <x:c r="P216" s="11" t="str">
        <x:f>IF(D216="","",IF(COUNTIFS('Видео'!$A$7:$A$1508,D216)=1,INDEX('Видео'!$U$7:$U$1508,MATCH(D216,'Видео'!$A$7:$A$1508,0)),"ID не найден"))</x:f>
        <x:v>https://www.youtube.com/watch?v=grYnnaPC0VI</x:v>
      </x:c>
      <x:c r="Q216" s="17" t="str">
        <x:v>Предложено</x:v>
      </x:c>
      <x:c r="R216" s="17" t="str"/>
      <x:c r="S216" s="10" t="str">
        <x:v>https://www.hebcal.com/holidays/2027?i=on</x:v>
      </x:c>
      <x:c r="T216" s="10" t="str">
        <x:v>Резерв меняет выбор видео; снова проверить повод, аудиторию и все редакторские условия</x:v>
      </x:c>
      <x:c r="U216" s="9" t="str">
        <x:f>IF(D216="","Выбрать видео",IF(COUNTIFS($D$7:$D$371,D216)&gt;1,"Повтор","Без повтора"))</x:f>
        <x:v>Без повтора</x:v>
      </x:c>
    </x:row>
    <x:row r="217" ht="60" customHeight="1">
      <x:c r="A217" s="16" t="n">
        <x:v>46519</x:v>
      </x:c>
      <x:c r="B217" s="9" t="str">
        <x:v>Ср</x:v>
      </x:c>
      <x:c r="C217" s="10" t="str">
        <x:v>История</x:v>
      </x:c>
      <x:c r="D217" s="19" t="str">
        <x:v>vLSatMevkro</x:v>
      </x:c>
      <x:c r="E217" s="10" t="str">
        <x:f>IF(D217="","",IF(COUNTIFS('Видео'!$A$7:$A$1508,D217)=1,INDEX('Видео'!$B$7:$B$1508,MATCH(D217,'Видео'!$A$7:$A$1508,0)),"ID не найден"))</x:f>
        <x:v>1948 - לזכור ולשכוח | חלק א' - לזכור</x:v>
      </x:c>
      <x:c r="F217" s="9" t="str">
        <x:f>IF(D217="","",IF(COUNTIFS('Видео'!$A$7:$A$1508,D217)=1,INDEX('Видео'!$R$7:$R$1508,MATCH(D217,'Видео'!$A$7:$A$1508,0)),"ID не найден"))</x:f>
        <x:v>C030</x:v>
      </x:c>
      <x:c r="G217" s="9" t="str">
        <x:f>IF(D217="","",IF(COUNTIFS('Видео'!$A$7:$A$1508,D217)=1,INDEX('Видео'!$D$7:$D$1508,MATCH(D217,'Видео'!$A$7:$A$1508,0)),"ID не найден"))</x:f>
        <x:v>История</x:v>
      </x:c>
      <x:c r="H217" s="10" t="str">
        <x:f>IF(D217="","",IF(COUNTIFS('Видео'!$A$7:$A$1508,D217)=1,INDEX('Видео'!$F$7:$F$1508,MATCH(D217,'Видео'!$A$7:$A$1508,0)),"ID не найден"))</x:f>
        <x:v>B2–C1 (гипотеза)</x:v>
      </x:c>
      <x:c r="I217" s="18" t="n">
        <x:f>IF(D217="","",IF(COUNTIFS('Видео'!$A$7:$A$1508,D217)=1,INDEX('Видео'!$G$7:$G$1508,MATCH(D217,'Видео'!$A$7:$A$1508,0)),"ID не найден"))</x:f>
        <x:v>74.7</x:v>
      </x:c>
      <x:c r="J217" s="18" t="n">
        <x:v>10</x:v>
      </x:c>
      <x:c r="K217" s="10" t="str">
        <x:f>IF(D217="","",IF(COUNTIFS('Видео'!$A$7:$A$1508,D217)=1,INDEX('Видео'!$AI$7:$AI$1508,MATCH(D217,'Видео'!$A$7:$A$1508,0)),"ID не найден"))</x:f>
        <x:v>Нужна редактура</x:v>
      </x:c>
      <x:c r="L217" s="19" t="str">
        <x:v>N-qwsA1gsEk</x:v>
      </x:c>
      <x:c r="M217" s="10" t="str">
        <x:f>IF(L217="","",IF(COUNTIFS('Видео'!$A$7:$A$1508,L217)=1,INDEX('Видео'!$B$7:$B$1508,MATCH(L217,'Видео'!$A$7:$A$1508,0)),"ID не найден"))</x:f>
        <x:v>המסות של ח"נ ביאליק | שיעור 3 - השפה העברית | ד"ר רני יגר</x:v>
      </x:c>
      <x:c r="N217" s="10" t="str">
        <x:v>Йом ха-Ацмаут: основание государства</x:v>
      </x:c>
      <x:c r="O217" s="10" t="str">
        <x:f>IF(D217="","",IF(COUNTIFS('Видео'!$A$7:$A$1508,D217)=1,INDEX('Видео'!$M$7:$M$1508,MATCH(D217,'Видео'!$A$7:$A$1508,0)),"ID не найден"))</x:f>
        <x:v>Тема: 1948 - לזכור ולשכוח | חלק א' - לזכור. Два документальных выпуска дают опорный исторический блок для дальнейших тем.</x:v>
      </x:c>
      <x:c r="P217" s="11" t="str">
        <x:f>IF(D217="","",IF(COUNTIFS('Видео'!$A$7:$A$1508,D217)=1,INDEX('Видео'!$U$7:$U$1508,MATCH(D217,'Видео'!$A$7:$A$1508,0)),"ID не найден"))</x:f>
        <x:v>https://www.youtube.com/watch?v=vLSatMevkro</x:v>
      </x:c>
      <x:c r="Q217" s="17" t="str">
        <x:v>Предложено</x:v>
      </x:c>
      <x:c r="R217" s="17" t="str"/>
      <x:c r="S217" s="10" t="str">
        <x:v>https://www.hebcal.com/holidays/2027?i=on</x:v>
      </x:c>
      <x:c r="T217" s="10" t="str">
        <x:v>Резерв меняет выбор видео; снова проверить повод, аудиторию и все редакторские условия</x:v>
      </x:c>
      <x:c r="U217" s="9" t="str">
        <x:f>IF(D217="","Выбрать видео",IF(COUNTIFS($D$7:$D$371,D217)&gt;1,"Повтор","Без повтора"))</x:f>
        <x:v>Без повтора</x:v>
      </x:c>
    </x:row>
    <x:row r="218" ht="60" customHeight="1">
      <x:c r="A218" s="16" t="n">
        <x:v>46520</x:v>
      </x:c>
      <x:c r="B218" s="9" t="str">
        <x:v>Чт</x:v>
      </x:c>
      <x:c r="C218" s="10" t="str">
        <x:v>Сериал</x:v>
      </x:c>
      <x:c r="D218" s="19" t="str">
        <x:v>wLK2pYdNRdE</x:v>
      </x:c>
      <x:c r="E218" s="10" t="str">
        <x:f>IF(D218="","",IF(COUNTIFS('Видео'!$A$7:$A$1508,D218)=1,INDEX('Видео'!$B$7:$B$1508,MATCH(D218,'Видео'!$A$7:$A$1508,0)),"ID не найден"))</x:f>
        <x:v>אחד על אחד 📚 - סדרה חדשה! | פרק 10 (ואחרון) - אהבות אסורות</x:v>
      </x:c>
      <x:c r="F218" s="9" t="str">
        <x:f>IF(D218="","",IF(COUNTIFS('Видео'!$A$7:$A$1508,D218)=1,INDEX('Видео'!$R$7:$R$1508,MATCH(D218,'Видео'!$A$7:$A$1508,0)),"ID не найден"))</x:f>
        <x:v>C009</x:v>
      </x:c>
      <x:c r="G218" s="9" t="str">
        <x:f>IF(D218="","",IF(COUNTIFS('Видео'!$A$7:$A$1508,D218)=1,INDEX('Видео'!$D$7:$D$1508,MATCH(D218,'Видео'!$A$7:$A$1508,0)),"ID не найден"))</x:f>
        <x:v>Сериал</x:v>
      </x:c>
      <x:c r="H218" s="10" t="str">
        <x:f>IF(D218="","",IF(COUNTIFS('Видео'!$A$7:$A$1508,D218)=1,INDEX('Видео'!$F$7:$F$1508,MATCH(D218,'Видео'!$A$7:$A$1508,0)),"ID не найден"))</x:f>
        <x:v>B1–B2 (гипотеза)</x:v>
      </x:c>
      <x:c r="I218" s="18" t="n">
        <x:f>IF(D218="","",IF(COUNTIFS('Видео'!$A$7:$A$1508,D218)=1,INDEX('Видео'!$G$7:$G$1508,MATCH(D218,'Видео'!$A$7:$A$1508,0)),"ID не найден"))</x:f>
        <x:v>37.7</x:v>
      </x:c>
      <x:c r="J218" s="18" t="n">
        <x:v>10</x:v>
      </x:c>
      <x:c r="K218" s="10" t="str">
        <x:f>IF(D218="","",IF(COUNTIFS('Видео'!$A$7:$A$1508,D218)=1,INDEX('Видео'!$AI$7:$AI$1508,MATCH(D218,'Видео'!$A$7:$A$1508,0)),"ID не найден"))</x:f>
        <x:v>Нужна редактура</x:v>
      </x:c>
      <x:c r="L218" s="19" t="str">
        <x:v>nGxjLOAaO9k</x:v>
      </x:c>
      <x:c r="M218" s="10" t="str">
        <x:f>IF(L218="","",IF(COUNTIFS('Видео'!$A$7:$A$1508,L218)=1,INDEX('Видео'!$B$7:$B$1508,MATCH(L218,'Видео'!$A$7:$A$1508,0)),"ID не найден"))</x:f>
        <x:v>איך קובעים את מהירות הנסיעה המותרת בכביש? | כאן סקרנים</x:v>
      </x:c>
      <x:c r="N218" s="10" t="str"/>
      <x:c r="O218" s="10" t="str">
        <x:f>IF(D218="","",IF(COUNTIFS('Видео'!$A$7:$A$1508,D218)=1,INDEX('Видео'!$M$7:$M$1508,MATCH(D218,'Видео'!$A$7:$A$1508,0)),"ID не найден"))</x:f>
        <x:v>Эпизод 10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P218" s="11" t="str">
        <x:f>IF(D218="","",IF(COUNTIFS('Видео'!$A$7:$A$1508,D218)=1,INDEX('Видео'!$U$7:$U$1508,MATCH(D218,'Видео'!$A$7:$A$1508,0)),"ID не найден"))</x:f>
        <x:v>https://www.youtube.com/watch?v=wLK2pYdNRdE</x:v>
      </x:c>
      <x:c r="Q218" s="17" t="str">
        <x:v>Предложено</x:v>
      </x:c>
      <x:c r="R218" s="17" t="str"/>
      <x:c r="S218" s="10" t="str"/>
      <x:c r="T218" s="10" t="str">
        <x:v>При недоступной серии приостановить сюжетную ветку; резерв — самостоятельное видео</x:v>
      </x:c>
      <x:c r="U218" s="9" t="str">
        <x:f>IF(D218="","Выбрать видео",IF(COUNTIFS($D$7:$D$371,D218)&gt;1,"Повтор","Без повтора"))</x:f>
        <x:v>Без повтора</x:v>
      </x:c>
    </x:row>
    <x:row r="219" ht="60" customHeight="1">
      <x:c r="A219" s="16" t="n">
        <x:v>46521</x:v>
      </x:c>
      <x:c r="B219" s="9" t="str">
        <x:v>Пт</x:v>
      </x:c>
      <x:c r="C219" s="10" t="str">
        <x:v>История</x:v>
      </x:c>
      <x:c r="D219" s="19" t="str">
        <x:v>X3NtoR8EtY0</x:v>
      </x:c>
      <x:c r="E219" s="10" t="str">
        <x:f>IF(D219="","",IF(COUNTIFS('Видео'!$A$7:$A$1508,D219)=1,INDEX('Видео'!$B$7:$B$1508,MATCH(D219,'Видео'!$A$7:$A$1508,0)),"ID не найден"))</x:f>
        <x:v>והארץ הייתה תוהו ובוהו - תולדות ארץ ישראל | פרק 1: שחר האדם [HD]</x:v>
      </x:c>
      <x:c r="F219" s="9" t="str">
        <x:f>IF(D219="","",IF(COUNTIFS('Видео'!$A$7:$A$1508,D219)=1,INDEX('Видео'!$R$7:$R$1508,MATCH(D219,'Видео'!$A$7:$A$1508,0)),"ID не найден"))</x:f>
        <x:v>C031</x:v>
      </x:c>
      <x:c r="G219" s="9" t="str">
        <x:f>IF(D219="","",IF(COUNTIFS('Видео'!$A$7:$A$1508,D219)=1,INDEX('Видео'!$D$7:$D$1508,MATCH(D219,'Видео'!$A$7:$A$1508,0)),"ID не найден"))</x:f>
        <x:v>История</x:v>
      </x:c>
      <x:c r="H219" s="10" t="str">
        <x:f>IF(D219="","",IF(COUNTIFS('Видео'!$A$7:$A$1508,D219)=1,INDEX('Видео'!$F$7:$F$1508,MATCH(D219,'Видео'!$A$7:$A$1508,0)),"ID не найден"))</x:f>
        <x:v>B2–C1 (гипотеза)</x:v>
      </x:c>
      <x:c r="I219" s="18" t="n">
        <x:f>IF(D219="","",IF(COUNTIFS('Видео'!$A$7:$A$1508,D219)=1,INDEX('Видео'!$G$7:$G$1508,MATCH(D219,'Видео'!$A$7:$A$1508,0)),"ID не найден"))</x:f>
        <x:v>55.5</x:v>
      </x:c>
      <x:c r="J219" s="18" t="n">
        <x:v>10</x:v>
      </x:c>
      <x:c r="K219" s="10" t="str">
        <x:f>IF(D219="","",IF(COUNTIFS('Видео'!$A$7:$A$1508,D219)=1,INDEX('Видео'!$AI$7:$AI$1508,MATCH(D219,'Видео'!$A$7:$A$1508,0)),"ID не найден"))</x:f>
        <x:v>Нужна редактура</x:v>
      </x:c>
      <x:c r="L219" s="19" t="str">
        <x:v>bJAInrOzuXc</x:v>
      </x:c>
      <x:c r="M219" s="10" t="str">
        <x:f>IF(L219="","",IF(COUNTIFS('Видео'!$A$7:$A$1508,L219)=1,INDEX('Видео'!$B$7:$B$1508,MATCH(L219,'Видео'!$A$7:$A$1508,0)),"ID не найден"))</x:f>
        <x:v>היסטוריה קצרה של חסידות ברסלב | שיעור 3 - ר' נתן מנמירוב וחסידות ברסלב במאה ה-19 | פרופ' יונתן מאיר</x:v>
      </x:c>
      <x:c r="N219" s="10" t="str"/>
      <x:c r="O219" s="10" t="str">
        <x:f>IF(D219="","",IF(COUNTIFS('Видео'!$A$7:$A$1508,D219)=1,INDEX('Видео'!$M$7:$M$1508,MATCH(D219,'Видео'!$A$7:$A$1508,0)),"ID не найден"))</x:f>
        <x:v>Тема: והארץ הייתה תוהו ובוהו - תולדות ארץ ישראל | פרק 1: שחר האדם [HD]. Цикл расширяет фокус от современной политики до многовековой истории страны. Визуальные материалы поддерживают понимание.</x:v>
      </x:c>
      <x:c r="P219" s="11" t="str">
        <x:f>IF(D219="","",IF(COUNTIFS('Видео'!$A$7:$A$1508,D219)=1,INDEX('Видео'!$U$7:$U$1508,MATCH(D219,'Видео'!$A$7:$A$1508,0)),"ID не найден"))</x:f>
        <x:v>https://www.youtube.com/watch?v=X3NtoR8EtY0</x:v>
      </x:c>
      <x:c r="Q219" s="17" t="str">
        <x:v>Предложено</x:v>
      </x:c>
      <x:c r="R219" s="17" t="str"/>
      <x:c r="S219" s="10" t="str"/>
      <x:c r="T219" s="10" t="str">
        <x:v>Резерв меняет выбор видео; снова проверить повод, аудиторию и все редакторские условия</x:v>
      </x:c>
      <x:c r="U219" s="9" t="str">
        <x:f>IF(D219="","Выбрать видео",IF(COUNTIFS($D$7:$D$371,D219)&gt;1,"Повтор","Без повтора"))</x:f>
        <x:v>Без повтора</x:v>
      </x:c>
    </x:row>
    <x:row r="220" ht="60" customHeight="1">
      <x:c r="A220" s="16" t="n">
        <x:v>46522</x:v>
      </x:c>
      <x:c r="B220" s="9" t="str">
        <x:v>Сб</x:v>
      </x:c>
      <x:c r="C220" s="10" t="str">
        <x:v>Общество</x:v>
      </x:c>
      <x:c r="D220" s="19" t="str">
        <x:v>lmVm-eqQtGc</x:v>
      </x:c>
      <x:c r="E220" s="10" t="str">
        <x:f>IF(D220="","",IF(COUNTIFS('Видео'!$A$7:$A$1508,D220)=1,INDEX('Видео'!$B$7:$B$1508,MATCH(D220,'Видео'!$A$7:$A$1508,0)),"ID не найден"))</x:f>
        <x:v>הדרום הפרוע: מחדל המשילות בנגב | חלק ג</x:v>
      </x:c>
      <x:c r="F220" s="9" t="str">
        <x:f>IF(D220="","",IF(COUNTIFS('Видео'!$A$7:$A$1508,D220)=1,INDEX('Видео'!$R$7:$R$1508,MATCH(D220,'Видео'!$A$7:$A$1508,0)),"ID не найден"))</x:f>
        <x:v>C084</x:v>
      </x:c>
      <x:c r="G220" s="9" t="str">
        <x:f>IF(D220="","",IF(COUNTIFS('Видео'!$A$7:$A$1508,D220)=1,INDEX('Видео'!$D$7:$D$1508,MATCH(D220,'Видео'!$A$7:$A$1508,0)),"ID не найден"))</x:f>
        <x:v>Общество</x:v>
      </x:c>
      <x:c r="H220" s="10" t="str">
        <x:f>IF(D220="","",IF(COUNTIFS('Видео'!$A$7:$A$1508,D220)=1,INDEX('Видео'!$F$7:$F$1508,MATCH(D220,'Видео'!$A$7:$A$1508,0)),"ID не найден"))</x:f>
        <x:v>B2–C1 (гипотеза)</x:v>
      </x:c>
      <x:c r="I220" s="18" t="n">
        <x:f>IF(D220="","",IF(COUNTIFS('Видео'!$A$7:$A$1508,D220)=1,INDEX('Видео'!$G$7:$G$1508,MATCH(D220,'Видео'!$A$7:$A$1508,0)),"ID не найден"))</x:f>
        <x:v>23.5</x:v>
      </x:c>
      <x:c r="J220" s="18" t="n">
        <x:v>10</x:v>
      </x:c>
      <x:c r="K220" s="10" t="str">
        <x:f>IF(D220="","",IF(COUNTIFS('Видео'!$A$7:$A$1508,D220)=1,INDEX('Видео'!$AI$7:$AI$1508,MATCH(D220,'Видео'!$A$7:$A$1508,0)),"ID не найден"))</x:f>
        <x:v>Нужна редактура</x:v>
      </x:c>
      <x:c r="L220" s="19" t="str">
        <x:v>8ULPUVtLI98</x:v>
      </x:c>
      <x:c r="M220" s="10" t="str">
        <x:f>IF(L220="","",IF(COUNTIFS('Видео'!$A$7:$A$1508,L220)=1,INDEX('Видео'!$B$7:$B$1508,MATCH(L220,'Видео'!$A$7:$A$1508,0)),"ID не найден"))</x:f>
        <x:v>סליחה על השאלה עונה 2 | מאומצים</x:v>
      </x:c>
      <x:c r="N220" s="10" t="str"/>
      <x:c r="O220" s="10" t="str">
        <x:f>IF(D220="","",IF(COUNTIFS('Видео'!$A$7:$A$1508,D220)=1,INDEX('Видео'!$M$7:$M$1508,MATCH(D220,'Видео'!$A$7:$A$1508,0)),"ID не найден"))</x:f>
        <x:v>Тема: הדרום הפרוע: מחדל המשילות בנגב | חלק ג. Региональная тема расширяет фокус за пределы центра страны. Не смешивать с другим циклом 7.10 — גרסת יו״ש.</x:v>
      </x:c>
      <x:c r="P220" s="11" t="str">
        <x:f>IF(D220="","",IF(COUNTIFS('Видео'!$A$7:$A$1508,D220)=1,INDEX('Видео'!$U$7:$U$1508,MATCH(D220,'Видео'!$A$7:$A$1508,0)),"ID не найден"))</x:f>
        <x:v>https://www.youtube.com/watch?v=lmVm-eqQtGc</x:v>
      </x:c>
      <x:c r="Q220" s="17" t="str">
        <x:v>Предложено</x:v>
      </x:c>
      <x:c r="R220" s="17" t="str"/>
      <x:c r="S220" s="10" t="str"/>
      <x:c r="T220" s="10" t="str">
        <x:v>Резерв меняет выбор видео; снова проверить повод, аудиторию и все редакторские условия</x:v>
      </x:c>
      <x:c r="U220" s="9" t="str">
        <x:f>IF(D220="","Выбрать видео",IF(COUNTIFS($D$7:$D$371,D220)&gt;1,"Повтор","Без повтора"))</x:f>
        <x:v>Без повтора</x:v>
      </x:c>
    </x:row>
    <x:row r="221" ht="60" customHeight="1">
      <x:c r="A221" s="16" t="n">
        <x:v>46523</x:v>
      </x:c>
      <x:c r="B221" s="9" t="str">
        <x:v>Вс</x:v>
      </x:c>
      <x:c r="C221" s="10" t="str">
        <x:v>Сериал</x:v>
      </x:c>
      <x:c r="D221" s="19" t="str">
        <x:v>bB-1vs2XBo8</x:v>
      </x:c>
      <x:c r="E221" s="10" t="str">
        <x:f>IF(D221="","",IF(COUNTIFS('Видео'!$A$7:$A$1508,D221)=1,INDEX('Видео'!$B$7:$B$1508,MATCH(D221,'Видео'!$A$7:$A$1508,0)),"ID не найден"))</x:f>
        <x:v>קופה ראשית עונה 4🛒 | פרק 10 - לוויה ראשית - חלק א'</x:v>
      </x:c>
      <x:c r="F221" s="9" t="str">
        <x:f>IF(D221="","",IF(COUNTIFS('Видео'!$A$7:$A$1508,D221)=1,INDEX('Видео'!$R$7:$R$1508,MATCH(D221,'Видео'!$A$7:$A$1508,0)),"ID не найден"))</x:f>
        <x:v>C002</x:v>
      </x:c>
      <x:c r="G221" s="9" t="str">
        <x:f>IF(D221="","",IF(COUNTIFS('Видео'!$A$7:$A$1508,D221)=1,INDEX('Видео'!$D$7:$D$1508,MATCH(D221,'Видео'!$A$7:$A$1508,0)),"ID не найден"))</x:f>
        <x:v>Сериал</x:v>
      </x:c>
      <x:c r="H221" s="10" t="str">
        <x:f>IF(D221="","",IF(COUNTIFS('Видео'!$A$7:$A$1508,D221)=1,INDEX('Видео'!$F$7:$F$1508,MATCH(D221,'Видео'!$A$7:$A$1508,0)),"ID не найден"))</x:f>
        <x:v>B1–B2 (гипотеза)</x:v>
      </x:c>
      <x:c r="I221" s="18" t="n">
        <x:f>IF(D221="","",IF(COUNTIFS('Видео'!$A$7:$A$1508,D221)=1,INDEX('Видео'!$G$7:$G$1508,MATCH(D221,'Видео'!$A$7:$A$1508,0)),"ID не найден"))</x:f>
        <x:v>25.8</x:v>
      </x:c>
      <x:c r="J221" s="18" t="n">
        <x:v>10</x:v>
      </x:c>
      <x:c r="K221" s="10" t="str">
        <x:f>IF(D221="","",IF(COUNTIFS('Видео'!$A$7:$A$1508,D221)=1,INDEX('Видео'!$AI$7:$AI$1508,MATCH(D221,'Видео'!$A$7:$A$1508,0)),"ID не найден"))</x:f>
        <x:v>Нужна редактура</x:v>
      </x:c>
      <x:c r="L221" s="19" t="str">
        <x:v>51ayBJtzlCs</x:v>
      </x:c>
      <x:c r="M221" s="10" t="str">
        <x:f>IF(L221="","",IF(COUNTIFS('Видео'!$A$7:$A$1508,L221)=1,INDEX('Видео'!$B$7:$B$1508,MATCH(L221,'Видео'!$A$7:$A$1508,0)),"ID не найден"))</x:f>
        <x:v>דובר צה"ל בפרסית מאמין שח'מינאי הוציא עליו גזר דין מוות | דוקותיים</x:v>
      </x:c>
      <x:c r="N221" s="10" t="str"/>
      <x:c r="O221" s="10" t="str">
        <x:f>IF(D221="","",IF(COUNTIFS('Видео'!$A$7:$A$1508,D221)=1,INDEX('Видео'!$M$7:$M$1508,MATCH(D221,'Видео'!$A$7:$A$1508,0)),"ID не найден"))</x:f>
        <x:v>Эпизод 10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21" s="11" t="str">
        <x:f>IF(D221="","",IF(COUNTIFS('Видео'!$A$7:$A$1508,D221)=1,INDEX('Видео'!$U$7:$U$1508,MATCH(D221,'Видео'!$A$7:$A$1508,0)),"ID не найден"))</x:f>
        <x:v>https://www.youtube.com/watch?v=bB-1vs2XBo8</x:v>
      </x:c>
      <x:c r="Q221" s="17" t="str">
        <x:v>Предложено</x:v>
      </x:c>
      <x:c r="R221" s="17" t="str"/>
      <x:c r="S221" s="10" t="str"/>
      <x:c r="T221" s="10" t="str">
        <x:v>При недоступной серии приостановить сюжетную ветку; резерв — самостоятельное видео</x:v>
      </x:c>
      <x:c r="U221" s="9" t="str">
        <x:f>IF(D221="","Выбрать видео",IF(COUNTIFS($D$7:$D$371,D221)&gt;1,"Повтор","Без повтора"))</x:f>
        <x:v>Без повтора</x:v>
      </x:c>
    </x:row>
    <x:row r="222" ht="60" customHeight="1">
      <x:c r="A222" s="16" t="n">
        <x:v>46524</x:v>
      </x:c>
      <x:c r="B222" s="9" t="str">
        <x:v>Пн</x:v>
      </x:c>
      <x:c r="C222" s="10" t="str">
        <x:v>Интервью</x:v>
      </x:c>
      <x:c r="D222" s="19" t="str">
        <x:v>lANJCc8hNTA</x:v>
      </x:c>
      <x:c r="E222" s="10" t="str">
        <x:f>IF(D222="","",IF(COUNTIFS('Видео'!$A$7:$A$1508,D222)=1,INDEX('Видео'!$B$7:$B$1508,MATCH(D222,'Видео'!$A$7:$A$1508,0)),"ID не найден"))</x:f>
        <x:v>האמת על האחים המוסלמים, פרק 4: הג׳יהאד הלוחמני של סייד קוטב – ד״ר אפרים ברק</x:v>
      </x:c>
      <x:c r="F222" s="9" t="str">
        <x:f>IF(D222="","",IF(COUNTIFS('Видео'!$A$7:$A$1508,D222)=1,INDEX('Видео'!$R$7:$R$1508,MATCH(D222,'Видео'!$A$7:$A$1508,0)),"ID не найден"))</x:f>
        <x:v>C088</x:v>
      </x:c>
      <x:c r="G222" s="9" t="str">
        <x:f>IF(D222="","",IF(COUNTIFS('Видео'!$A$7:$A$1508,D222)=1,INDEX('Видео'!$D$7:$D$1508,MATCH(D222,'Видео'!$A$7:$A$1508,0)),"ID не найден"))</x:f>
        <x:v>Интервью</x:v>
      </x:c>
      <x:c r="H222" s="10" t="str">
        <x:f>IF(D222="","",IF(COUNTIFS('Видео'!$A$7:$A$1508,D222)=1,INDEX('Видео'!$F$7:$F$1508,MATCH(D222,'Видео'!$A$7:$A$1508,0)),"ID не найден"))</x:f>
        <x:v>B2–C1 (гипотеза)</x:v>
      </x:c>
      <x:c r="I222" s="18" t="n">
        <x:f>IF(D222="","",IF(COUNTIFS('Видео'!$A$7:$A$1508,D222)=1,INDEX('Видео'!$G$7:$G$1508,MATCH(D222,'Видео'!$A$7:$A$1508,0)),"ID не найден"))</x:f>
        <x:v>44.7</x:v>
      </x:c>
      <x:c r="J222" s="18" t="n">
        <x:v>10</x:v>
      </x:c>
      <x:c r="K222" s="10" t="str">
        <x:f>IF(D222="","",IF(COUNTIFS('Видео'!$A$7:$A$1508,D222)=1,INDEX('Видео'!$AI$7:$AI$1508,MATCH(D222,'Видео'!$A$7:$A$1508,0)),"ID не найден"))</x:f>
        <x:v>Нужна редактура</x:v>
      </x:c>
      <x:c r="L222" s="19" t="str">
        <x:v>TqcjTB7XCIU</x:v>
      </x:c>
      <x:c r="M222" s="10" t="str">
        <x:f>IF(L222="","",IF(COUNTIFS('Видео'!$A$7:$A$1508,L222)=1,INDEX('Видео'!$B$7:$B$1508,MATCH(L222,'Видео'!$A$7:$A$1508,0)),"ID не найден"))</x:f>
        <x:v>פגישה עם רוני קובן עונה 8 | שאול מופז</x:v>
      </x:c>
      <x:c r="N222" s="10" t="str"/>
      <x:c r="O222" s="10" t="str">
        <x:f>IF(D222="","",IF(COUNTIFS('Видео'!$A$7:$A$1508,D222)=1,INDEX('Видео'!$M$7:$M$1508,MATCH(D222,'Видео'!$A$7:$A$1508,0)),"ID не найден"))</x:f>
        <x:v>Тема / гость: האמת על האחים המוסלמים, פרק 4: הג׳יהאד הלוחמני של סייד קוטב – ד״ר אפרים ברק. Просмотры в списке выше медианы выборки этого цикла в 2.31 раза. Дополнительная перспектива в общественной дискуссии. Включать по конкретной теме и гостю, а не по одной популярности.</x:v>
      </x:c>
      <x:c r="P222" s="11" t="str">
        <x:f>IF(D222="","",IF(COUNTIFS('Видео'!$A$7:$A$1508,D222)=1,INDEX('Видео'!$U$7:$U$1508,MATCH(D222,'Видео'!$A$7:$A$1508,0)),"ID не найден"))</x:f>
        <x:v>https://www.youtube.com/watch?v=lANJCc8hNTA</x:v>
      </x:c>
      <x:c r="Q222" s="17" t="str">
        <x:v>Предложено</x:v>
      </x:c>
      <x:c r="R222" s="17" t="str"/>
      <x:c r="S222" s="10" t="str"/>
      <x:c r="T222" s="10" t="str">
        <x:v>Резерв меняет выбор видео; снова проверить повод, аудиторию и все редакторские условия</x:v>
      </x:c>
      <x:c r="U222" s="9" t="str">
        <x:f>IF(D222="","Выбрать видео",IF(COUNTIFS($D$7:$D$371,D222)&gt;1,"Повтор","Без повтора"))</x:f>
        <x:v>Без повтора</x:v>
      </x:c>
    </x:row>
    <x:row r="223" ht="60" customHeight="1">
      <x:c r="A223" s="16" t="n">
        <x:v>46525</x:v>
      </x:c>
      <x:c r="B223" s="9" t="str">
        <x:v>Вт</x:v>
      </x:c>
      <x:c r="C223" s="10" t="str">
        <x:v>Образование</x:v>
      </x:c>
      <x:c r="D223" s="19" t="str">
        <x:v>BB2cwpgL0vg</x:v>
      </x:c>
      <x:c r="E223" s="10" t="str">
        <x:f>IF(D223="","",IF(COUNTIFS('Видео'!$A$7:$A$1508,D223)=1,INDEX('Видео'!$B$7:$B$1508,MATCH(D223,'Видео'!$A$7:$A$1508,0)),"ID не найден"))</x:f>
        <x:v>ממה נוצרים העצים?</x:v>
      </x:c>
      <x:c r="F223" s="9" t="str">
        <x:f>IF(D223="","",IF(COUNTIFS('Видео'!$A$7:$A$1508,D223)=1,INDEX('Видео'!$R$7:$R$1508,MATCH(D223,'Видео'!$A$7:$A$1508,0)),"ID не найден"))</x:f>
        <x:v>C060</x:v>
      </x:c>
      <x:c r="G223" s="9" t="str">
        <x:f>IF(D223="","",IF(COUNTIFS('Видео'!$A$7:$A$1508,D223)=1,INDEX('Видео'!$D$7:$D$1508,MATCH(D223,'Видео'!$A$7:$A$1508,0)),"ID не найден"))</x:f>
        <x:v>Образование</x:v>
      </x:c>
      <x:c r="H223" s="10" t="str">
        <x:f>IF(D223="","",IF(COUNTIFS('Видео'!$A$7:$A$1508,D223)=1,INDEX('Видео'!$F$7:$F$1508,MATCH(D223,'Видео'!$A$7:$A$1508,0)),"ID не найден"))</x:f>
        <x:v>B1–B2 (гипотеза)</x:v>
      </x:c>
      <x:c r="I223" s="18" t="n">
        <x:f>IF(D223="","",IF(COUNTIFS('Видео'!$A$7:$A$1508,D223)=1,INDEX('Видео'!$G$7:$G$1508,MATCH(D223,'Видео'!$A$7:$A$1508,0)),"ID не найден"))</x:f>
        <x:v>3</x:v>
      </x:c>
      <x:c r="J223" s="18" t="n">
        <x:v>5</x:v>
      </x:c>
      <x:c r="K223" s="10" t="str">
        <x:f>IF(D223="","",IF(COUNTIFS('Видео'!$A$7:$A$1508,D223)=1,INDEX('Видео'!$AI$7:$AI$1508,MATCH(D223,'Видео'!$A$7:$A$1508,0)),"ID не найден"))</x:f>
        <x:v>Нужна редактура</x:v>
      </x:c>
      <x:c r="L223" s="19" t="str">
        <x:v>ozaz35TTiaE</x:v>
      </x:c>
      <x:c r="M223" s="10" t="str">
        <x:f>IF(L223="","",IF(COUNTIFS('Видео'!$A$7:$A$1508,L223)=1,INDEX('Видео'!$B$7:$B$1508,MATCH(L223,'Видео'!$A$7:$A$1508,0)),"ID не найден"))</x:f>
        <x:v>המרדף עונה 9 | פרק 6</x:v>
      </x:c>
      <x:c r="N223" s="10" t="str"/>
      <x:c r="O223" s="10" t="str">
        <x:f>IF(D223="","",IF(COUNTIFS('Видео'!$A$7:$A$1508,D223)=1,INDEX('Видео'!$M$7:$M$1508,MATCH(D223,'Видео'!$A$7:$A$1508,0)),"ID не найден"))</x:f>
        <x:v>Завершённый короткий просмотр около 3 мин. Просмотры в списке выше медианы выборки этого цикла в 4.06 раза. Неожиданный научный факт поддерживает любопытство и интерес к короткому просмотру.</x:v>
      </x:c>
      <x:c r="P223" s="11" t="str">
        <x:f>IF(D223="","",IF(COUNTIFS('Видео'!$A$7:$A$1508,D223)=1,INDEX('Видео'!$U$7:$U$1508,MATCH(D223,'Видео'!$A$7:$A$1508,0)),"ID не найден"))</x:f>
        <x:v>https://www.youtube.com/watch?v=BB2cwpgL0vg</x:v>
      </x:c>
      <x:c r="Q223" s="17" t="str">
        <x:v>Предложено</x:v>
      </x:c>
      <x:c r="R223" s="17" t="str"/>
      <x:c r="S223" s="10" t="str"/>
      <x:c r="T223" s="10" t="str">
        <x:v>Резерв меняет выбор видео; снова проверить повод, аудиторию и все редакторские условия</x:v>
      </x:c>
      <x:c r="U223" s="9" t="str">
        <x:f>IF(D223="","Выбрать видео",IF(COUNTIFS($D$7:$D$371,D223)&gt;1,"Повтор","Без повтора"))</x:f>
        <x:v>Без повтора</x:v>
      </x:c>
    </x:row>
    <x:row r="224" ht="60" customHeight="1">
      <x:c r="A224" s="16" t="n">
        <x:v>46526</x:v>
      </x:c>
      <x:c r="B224" s="9" t="str">
        <x:v>Ср</x:v>
      </x:c>
      <x:c r="C224" s="10" t="str">
        <x:v>Быт</x:v>
      </x:c>
      <x:c r="D224" s="19" t="str">
        <x:v>qD9sgoehrjo</x:v>
      </x:c>
      <x:c r="E224" s="10" t="str">
        <x:f>IF(D224="","",IF(COUNTIFS('Видео'!$A$7:$A$1508,D224)=1,INDEX('Видео'!$B$7:$B$1508,MATCH(D224,'Видео'!$A$7:$A$1508,0)),"ID не найден"))</x:f>
        <x:v>בואו לאכול איתי עונה 8 | ירושלים - חלק א' (פרק 6)</x:v>
      </x:c>
      <x:c r="F224" s="9" t="str">
        <x:f>IF(D224="","",IF(COUNTIFS('Видео'!$A$7:$A$1508,D224)=1,INDEX('Видео'!$R$7:$R$1508,MATCH(D224,'Видео'!$A$7:$A$1508,0)),"ID не найден"))</x:f>
        <x:v>C023</x:v>
      </x:c>
      <x:c r="G224" s="9" t="str">
        <x:f>IF(D224="","",IF(COUNTIFS('Видео'!$A$7:$A$1508,D224)=1,INDEX('Видео'!$D$7:$D$1508,MATCH(D224,'Видео'!$A$7:$A$1508,0)),"ID не найден"))</x:f>
        <x:v>Быт</x:v>
      </x:c>
      <x:c r="H224" s="10" t="str">
        <x:f>IF(D224="","",IF(COUNTIFS('Видео'!$A$7:$A$1508,D224)=1,INDEX('Видео'!$F$7:$F$1508,MATCH(D224,'Видео'!$A$7:$A$1508,0)),"ID не найден"))</x:f>
        <x:v>B1–B2 (гипотеза)</x:v>
      </x:c>
      <x:c r="I224" s="18" t="n">
        <x:f>IF(D224="","",IF(COUNTIFS('Видео'!$A$7:$A$1508,D224)=1,INDEX('Видео'!$G$7:$G$1508,MATCH(D224,'Видео'!$A$7:$A$1508,0)),"ID не найден"))</x:f>
        <x:v>28.3</x:v>
      </x:c>
      <x:c r="J224" s="18" t="n">
        <x:v>10</x:v>
      </x:c>
      <x:c r="K224" s="10" t="str">
        <x:f>IF(D224="","",IF(COUNTIFS('Видео'!$A$7:$A$1508,D224)=1,INDEX('Видео'!$AI$7:$AI$1508,MATCH(D224,'Видео'!$A$7:$A$1508,0)),"ID не найден"))</x:f>
        <x:v>Нужна редактура</x:v>
      </x:c>
      <x:c r="L224" s="19" t="str">
        <x:v>PZVs4MpLHW8</x:v>
      </x:c>
      <x:c r="M224" s="10" t="str">
        <x:f>IF(L224="","",IF(COUNTIFS('Видео'!$A$7:$A$1508,L224)=1,INDEX('Видео'!$B$7:$B$1508,MATCH(L224,'Видео'!$A$7:$A$1508,0)),"ID не найден"))</x:f>
        <x:v>אבי מאתגר את הלבוש הגברי | דוקותיים</x:v>
      </x:c>
      <x:c r="N224" s="10" t="str"/>
      <x:c r="O224" s="10" t="str">
        <x:f>IF(D224="","",IF(COUNTIFS('Видео'!$A$7:$A$1508,D224)=1,INDEX('Видео'!$M$7:$M$1508,MATCH(D224,'Видео'!$A$7:$A$1508,0)),"ID не найден"))</x:f>
        <x:v>Тема: בואו לאכול איתי עונה 8 | ירושלים - חלק א' (פרק 6). Еда снижает порог входа для широкой аудитории. В одном выпуске встречаются приглашения, оценки, знакомство и бытовые споры.</x:v>
      </x:c>
      <x:c r="P224" s="11" t="str">
        <x:f>IF(D224="","",IF(COUNTIFS('Видео'!$A$7:$A$1508,D224)=1,INDEX('Видео'!$U$7:$U$1508,MATCH(D224,'Видео'!$A$7:$A$1508,0)),"ID не найден"))</x:f>
        <x:v>https://www.youtube.com/watch?v=qD9sgoehrjo</x:v>
      </x:c>
      <x:c r="Q224" s="17" t="str">
        <x:v>Предложено</x:v>
      </x:c>
      <x:c r="R224" s="17" t="str"/>
      <x:c r="S224" s="10" t="str"/>
      <x:c r="T224" s="10" t="str">
        <x:v>Резерв меняет выбор видео; снова проверить повод, аудиторию и все редакторские условия</x:v>
      </x:c>
      <x:c r="U224" s="9" t="str">
        <x:f>IF(D224="","Выбрать видео",IF(COUNTIFS($D$7:$D$371,D224)&gt;1,"Повтор","Без повтора"))</x:f>
        <x:v>Без повтора</x:v>
      </x:c>
    </x:row>
    <x:row r="225" ht="60" customHeight="1">
      <x:c r="A225" s="16" t="n">
        <x:v>46527</x:v>
      </x:c>
      <x:c r="B225" s="9" t="str">
        <x:v>Чт</x:v>
      </x:c>
      <x:c r="C225" s="10" t="str">
        <x:v>Сериал</x:v>
      </x:c>
      <x:c r="D225" s="19" t="str">
        <x:v>0PqFUPz6vqE</x:v>
      </x:c>
      <x:c r="E225" s="10" t="str">
        <x:f>IF(D225="","",IF(COUNTIFS('Видео'!$A$7:$A$1508,D225)=1,INDEX('Видео'!$B$7:$B$1508,MATCH(D225,'Видео'!$A$7:$A$1508,0)),"ID не найден"))</x:f>
        <x:v>כראמל 🐱 | התיבה המסתורית - פרק 1</x:v>
      </x:c>
      <x:c r="F225" s="9" t="str">
        <x:f>IF(D225="","",IF(COUNTIFS('Видео'!$A$7:$A$1508,D225)=1,INDEX('Видео'!$R$7:$R$1508,MATCH(D225,'Видео'!$A$7:$A$1508,0)),"ID не найден"))</x:f>
        <x:v>C053</x:v>
      </x:c>
      <x:c r="G225" s="9" t="str">
        <x:f>IF(D225="","",IF(COUNTIFS('Видео'!$A$7:$A$1508,D225)=1,INDEX('Видео'!$D$7:$D$1508,MATCH(D225,'Видео'!$A$7:$A$1508,0)),"ID не найден"))</x:f>
        <x:v>Сериал</x:v>
      </x:c>
      <x:c r="H225" s="10" t="str">
        <x:f>IF(D225="","",IF(COUNTIFS('Видео'!$A$7:$A$1508,D225)=1,INDEX('Видео'!$F$7:$F$1508,MATCH(D225,'Видео'!$A$7:$A$1508,0)),"ID не найден"))</x:f>
        <x:v>A2–B1 (гипотеза)</x:v>
      </x:c>
      <x:c r="I225" s="18" t="n">
        <x:f>IF(D225="","",IF(COUNTIFS('Видео'!$A$7:$A$1508,D225)=1,INDEX('Видео'!$G$7:$G$1508,MATCH(D225,'Видео'!$A$7:$A$1508,0)),"ID не найден"))</x:f>
        <x:v>24.7</x:v>
      </x:c>
      <x:c r="J225" s="18" t="n">
        <x:v>10</x:v>
      </x:c>
      <x:c r="K225" s="10" t="str">
        <x:f>IF(D225="","",IF(COUNTIFS('Видео'!$A$7:$A$1508,D225)=1,INDEX('Видео'!$AI$7:$AI$1508,MATCH(D225,'Видео'!$A$7:$A$1508,0)),"ID не найден"))</x:f>
        <x:v>Нужна редактура</x:v>
      </x:c>
      <x:c r="L225" s="19" t="str">
        <x:v>qpkg59Moilk</x:v>
      </x:c>
      <x:c r="M225" s="10" t="str">
        <x:f>IF(L225="","",IF(COUNTIFS('Видео'!$A$7:$A$1508,L225)=1,INDEX('Видео'!$B$7:$B$1508,MATCH(L225,'Видео'!$A$7:$A$1508,0)),"ID не найден"))</x:f>
        <x:v>מאי בדוסה מאוהבת בטנקים מאז שהיא זוכרת את עצמה | דוקותיים</x:v>
      </x:c>
      <x:c r="N225" s="10" t="str"/>
      <x:c r="O225" s="10" t="str">
        <x:f>IF(D225="","",IF(COUNTIFS('Видео'!$A$7:$A$1508,D225)=1,INDEX('Видео'!$M$7:$M$1508,MATCH(D225,'Видео'!$A$7:$A$1508,0)),"ID не найден"))</x:f>
        <x:v>Эпизод 1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225" s="11" t="str">
        <x:f>IF(D225="","",IF(COUNTIFS('Видео'!$A$7:$A$1508,D225)=1,INDEX('Видео'!$U$7:$U$1508,MATCH(D225,'Видео'!$A$7:$A$1508,0)),"ID не найден"))</x:f>
        <x:v>https://www.youtube.com/watch?v=0PqFUPz6vqE</x:v>
      </x:c>
      <x:c r="Q225" s="17" t="str">
        <x:v>Предложено</x:v>
      </x:c>
      <x:c r="R225" s="17" t="str"/>
      <x:c r="S225" s="10" t="str"/>
      <x:c r="T225" s="10" t="str">
        <x:v>При недоступной серии приостановить сюжетную ветку; резерв — самостоятельное видео</x:v>
      </x:c>
      <x:c r="U225" s="9" t="str">
        <x:f>IF(D225="","Выбрать видео",IF(COUNTIFS($D$7:$D$371,D225)&gt;1,"Повтор","Без повтора"))</x:f>
        <x:v>Без повтора</x:v>
      </x:c>
    </x:row>
    <x:row r="226" ht="60" customHeight="1">
      <x:c r="A226" s="16" t="n">
        <x:v>46528</x:v>
      </x:c>
      <x:c r="B226" s="9" t="str">
        <x:v>Пт</x:v>
      </x:c>
      <x:c r="C226" s="10" t="str">
        <x:v>Культура</x:v>
      </x:c>
      <x:c r="D226" s="19" t="str">
        <x:v>iol9xCql278</x:v>
      </x:c>
      <x:c r="E226" s="10" t="str">
        <x:f>IF(D226="","",IF(COUNTIFS('Видео'!$A$7:$A$1508,D226)=1,INDEX('Видео'!$B$7:$B$1508,MATCH(D226,'Видео'!$A$7:$A$1508,0)),"ID не найден"))</x:f>
        <x:v>ואז הרב שאל: למה אין ילדים בבית הכנסת?</x:v>
      </x:c>
      <x:c r="F226" s="9" t="str">
        <x:f>IF(D226="","",IF(COUNTIFS('Видео'!$A$7:$A$1508,D226)=1,INDEX('Видео'!$R$7:$R$1508,MATCH(D226,'Видео'!$A$7:$A$1508,0)),"ID не найден"))</x:f>
        <x:v>C085</x:v>
      </x:c>
      <x:c r="G226" s="9" t="str">
        <x:f>IF(D226="","",IF(COUNTIFS('Видео'!$A$7:$A$1508,D226)=1,INDEX('Видео'!$D$7:$D$1508,MATCH(D226,'Видео'!$A$7:$A$1508,0)),"ID не найден"))</x:f>
        <x:v>Культура</x:v>
      </x:c>
      <x:c r="H226" s="10" t="str">
        <x:f>IF(D226="","",IF(COUNTIFS('Видео'!$A$7:$A$1508,D226)=1,INDEX('Видео'!$F$7:$F$1508,MATCH(D226,'Видео'!$A$7:$A$1508,0)),"ID не найден"))</x:f>
        <x:v>B1–B2 (гипотеза)</x:v>
      </x:c>
      <x:c r="I226" s="18" t="n">
        <x:f>IF(D226="","",IF(COUNTIFS('Видео'!$A$7:$A$1508,D226)=1,INDEX('Видео'!$G$7:$G$1508,MATCH(D226,'Видео'!$A$7:$A$1508,0)),"ID не найден"))</x:f>
        <x:v>1.3</x:v>
      </x:c>
      <x:c r="J226" s="18" t="n">
        <x:v>5</x:v>
      </x:c>
      <x:c r="K226" s="10" t="str">
        <x:f>IF(D226="","",IF(COUNTIFS('Видео'!$A$7:$A$1508,D226)=1,INDEX('Видео'!$AI$7:$AI$1508,MATCH(D226,'Видео'!$A$7:$A$1508,0)),"ID не найден"))</x:f>
        <x:v>Нужна редактура</x:v>
      </x:c>
      <x:c r="L226" s="19" t="str">
        <x:v>gUfkaiozRBc</x:v>
      </x:c>
      <x:c r="M226" s="10" t="str">
        <x:f>IF(L226="","",IF(COUNTIFS('Видео'!$A$7:$A$1508,L226)=1,INDEX('Видео'!$B$7:$B$1508,MATCH(L226,'Видео'!$A$7:$A$1508,0)),"ID не найден"))</x:f>
        <x:v>היהודים באים - פרק 4 | כאן 11 לשעבר רשות השידור</x:v>
      </x:c>
      <x:c r="N226" s="10" t="str"/>
      <x:c r="O226" s="10" t="str">
        <x:f>IF(D226="","",IF(COUNTIFS('Видео'!$A$7:$A$1508,D226)=1,INDEX('Видео'!$M$7:$M$1508,MATCH(D226,'Видео'!$A$7:$A$1508,0)),"ID не найден"))</x:f>
        <x:v>Завершённый короткий просмотр около 1 мин. Просмотры в списке выше медианы выборки этого цикла в 1.67 раза. Истории мудрецов Востока расширяют предложение для традиционно ориентированных зрителей.</x:v>
      </x:c>
      <x:c r="P226" s="11" t="str">
        <x:f>IF(D226="","",IF(COUNTIFS('Видео'!$A$7:$A$1508,D226)=1,INDEX('Видео'!$U$7:$U$1508,MATCH(D226,'Видео'!$A$7:$A$1508,0)),"ID не найден"))</x:f>
        <x:v>https://www.youtube.com/watch?v=iol9xCql278</x:v>
      </x:c>
      <x:c r="Q226" s="17" t="str">
        <x:v>Предложено</x:v>
      </x:c>
      <x:c r="R226" s="17" t="str"/>
      <x:c r="S226" s="10" t="str"/>
      <x:c r="T226" s="10" t="str">
        <x:v>Резерв меняет выбор видео; снова проверить повод, аудиторию и все редакторские условия</x:v>
      </x:c>
      <x:c r="U226" s="9" t="str">
        <x:f>IF(D226="","Выбрать видео",IF(COUNTIFS($D$7:$D$371,D226)&gt;1,"Повтор","Без повтора"))</x:f>
        <x:v>Без повтора</x:v>
      </x:c>
    </x:row>
    <x:row r="227" ht="60" customHeight="1">
      <x:c r="A227" s="16" t="n">
        <x:v>46529</x:v>
      </x:c>
      <x:c r="B227" s="9" t="str">
        <x:v>Сб</x:v>
      </x:c>
      <x:c r="C227" s="10" t="str">
        <x:v>Общество</x:v>
      </x:c>
      <x:c r="D227" s="19" t="str">
        <x:v>0yp5EI9PvGQ</x:v>
      </x:c>
      <x:c r="E227" s="10" t="str">
        <x:f>IF(D227="","",IF(COUNTIFS('Видео'!$A$7:$A$1508,D227)=1,INDEX('Видео'!$B$7:$B$1508,MATCH(D227,'Видео'!$A$7:$A$1508,0)),"ID не найден"))</x:f>
        <x:v>משפחה בהסעה 🚙 | פרק 3 - שקר החן והבל היופי</x:v>
      </x:c>
      <x:c r="F227" s="9" t="str">
        <x:f>IF(D227="","",IF(COUNTIFS('Видео'!$A$7:$A$1508,D227)=1,INDEX('Видео'!$R$7:$R$1508,MATCH(D227,'Видео'!$A$7:$A$1508,0)),"ID не найден"))</x:f>
        <x:v>C011</x:v>
      </x:c>
      <x:c r="G227" s="9" t="str">
        <x:f>IF(D227="","",IF(COUNTIFS('Видео'!$A$7:$A$1508,D227)=1,INDEX('Видео'!$D$7:$D$1508,MATCH(D227,'Видео'!$A$7:$A$1508,0)),"ID не найден"))</x:f>
        <x:v>Общество</x:v>
      </x:c>
      <x:c r="H227" s="10" t="str">
        <x:f>IF(D227="","",IF(COUNTIFS('Видео'!$A$7:$A$1508,D227)=1,INDEX('Видео'!$F$7:$F$1508,MATCH(D227,'Видео'!$A$7:$A$1508,0)),"ID не найден"))</x:f>
        <x:v>B1–B2 (гипотеза)</x:v>
      </x:c>
      <x:c r="I227" s="18" t="n">
        <x:f>IF(D227="","",IF(COUNTIFS('Видео'!$A$7:$A$1508,D227)=1,INDEX('Видео'!$G$7:$G$1508,MATCH(D227,'Видео'!$A$7:$A$1508,0)),"ID не найден"))</x:f>
        <x:v>27.5</x:v>
      </x:c>
      <x:c r="J227" s="18" t="n">
        <x:v>10</x:v>
      </x:c>
      <x:c r="K227" s="10" t="str">
        <x:f>IF(D227="","",IF(COUNTIFS('Видео'!$A$7:$A$1508,D227)=1,INDEX('Видео'!$AI$7:$AI$1508,MATCH(D227,'Видео'!$A$7:$A$1508,0)),"ID не найден"))</x:f>
        <x:v>Нужна редактура</x:v>
      </x:c>
      <x:c r="L227" s="19" t="str">
        <x:v>2d8bGbg3Gq8</x:v>
      </x:c>
      <x:c r="M227" s="10" t="str">
        <x:f>IF(L227="","",IF(COUNTIFS('Видео'!$A$7:$A$1508,L227)=1,INDEX('Видео'!$B$7:$B$1508,MATCH(L227,'Видео'!$A$7:$A$1508,0)),"ID не найден"))</x:f>
        <x:v>סליחה על השאלה עונה 2 | הפרעות אכילה</x:v>
      </x:c>
      <x:c r="N227" s="10" t="str"/>
      <x:c r="O227" s="10" t="str">
        <x:f>IF(D227="","",IF(COUNTIFS('Видео'!$A$7:$A$1508,D227)=1,INDEX('Видео'!$M$7:$M$1508,MATCH(D227,'Видео'!$A$7:$A$1508,0)),"ID не найден"))</x:f>
        <x:v>Тема: משפחה בהסעה 🚙 | פרק 3 - שקר החן והבל היופי. Разговоры семьи в машине дают естественную смену тем и короткие реплики. Расширяют предложение для родителей и семейного просмотра.</x:v>
      </x:c>
      <x:c r="P227" s="11" t="str">
        <x:f>IF(D227="","",IF(COUNTIFS('Видео'!$A$7:$A$1508,D227)=1,INDEX('Видео'!$U$7:$U$1508,MATCH(D227,'Видео'!$A$7:$A$1508,0)),"ID не найден"))</x:f>
        <x:v>https://www.youtube.com/watch?v=0yp5EI9PvGQ</x:v>
      </x:c>
      <x:c r="Q227" s="17" t="str">
        <x:v>Предложено</x:v>
      </x:c>
      <x:c r="R227" s="17" t="str"/>
      <x:c r="S227" s="10" t="str"/>
      <x:c r="T227" s="10" t="str">
        <x:v>Резерв меняет выбор видео; снова проверить повод, аудиторию и все редакторские условия</x:v>
      </x:c>
      <x:c r="U227" s="9" t="str">
        <x:f>IF(D227="","Выбрать видео",IF(COUNTIFS($D$7:$D$371,D227)&gt;1,"Повтор","Без повтора"))</x:f>
        <x:v>Без повтора</x:v>
      </x:c>
    </x:row>
    <x:row r="228" ht="60" customHeight="1">
      <x:c r="A228" s="16" t="n">
        <x:v>46530</x:v>
      </x:c>
      <x:c r="B228" s="9" t="str">
        <x:v>Вс</x:v>
      </x:c>
      <x:c r="C228" s="10" t="str">
        <x:v>Сериал</x:v>
      </x:c>
      <x:c r="D228" s="19" t="str">
        <x:v>fbhM6mV2DGE</x:v>
      </x:c>
      <x:c r="E228" s="10" t="str">
        <x:f>IF(D228="","",IF(COUNTIFS('Видео'!$A$7:$A$1508,D228)=1,INDEX('Видео'!$B$7:$B$1508,MATCH(D228,'Видео'!$A$7:$A$1508,0)),"ID не найден"))</x:f>
        <x:v>קופה ראשית עונה 4🛒 | פרק 11 - לוויה ראשית - חלק ב'</x:v>
      </x:c>
      <x:c r="F228" s="9" t="str">
        <x:f>IF(D228="","",IF(COUNTIFS('Видео'!$A$7:$A$1508,D228)=1,INDEX('Видео'!$R$7:$R$1508,MATCH(D228,'Видео'!$A$7:$A$1508,0)),"ID не найден"))</x:f>
        <x:v>C002</x:v>
      </x:c>
      <x:c r="G228" s="9" t="str">
        <x:f>IF(D228="","",IF(COUNTIFS('Видео'!$A$7:$A$1508,D228)=1,INDEX('Видео'!$D$7:$D$1508,MATCH(D228,'Видео'!$A$7:$A$1508,0)),"ID не найден"))</x:f>
        <x:v>Сериал</x:v>
      </x:c>
      <x:c r="H228" s="10" t="str">
        <x:f>IF(D228="","",IF(COUNTIFS('Видео'!$A$7:$A$1508,D228)=1,INDEX('Видео'!$F$7:$F$1508,MATCH(D228,'Видео'!$A$7:$A$1508,0)),"ID не найден"))</x:f>
        <x:v>B1–B2 (гипотеза)</x:v>
      </x:c>
      <x:c r="I228" s="18" t="n">
        <x:f>IF(D228="","",IF(COUNTIFS('Видео'!$A$7:$A$1508,D228)=1,INDEX('Видео'!$G$7:$G$1508,MATCH(D228,'Видео'!$A$7:$A$1508,0)),"ID не найден"))</x:f>
        <x:v>26.2</x:v>
      </x:c>
      <x:c r="J228" s="18" t="n">
        <x:v>10</x:v>
      </x:c>
      <x:c r="K228" s="10" t="str">
        <x:f>IF(D228="","",IF(COUNTIFS('Видео'!$A$7:$A$1508,D228)=1,INDEX('Видео'!$AI$7:$AI$1508,MATCH(D228,'Видео'!$A$7:$A$1508,0)),"ID не найден"))</x:f>
        <x:v>Нужна редактура</x:v>
      </x:c>
      <x:c r="L228" s="19" t="str">
        <x:v>6S_Shu4ykck</x:v>
      </x:c>
      <x:c r="M228" s="10" t="str">
        <x:f>IF(L228="","",IF(COUNTIFS('Видео'!$A$7:$A$1508,L228)=1,INDEX('Видео'!$B$7:$B$1508,MATCH(L228,'Видео'!$A$7:$A$1508,0)),"ID не найден"))</x:f>
        <x:v>דרווין ומסע הביגל</x:v>
      </x:c>
      <x:c r="N228" s="10" t="str"/>
      <x:c r="O228" s="10" t="str">
        <x:f>IF(D228="","",IF(COUNTIFS('Видео'!$A$7:$A$1508,D228)=1,INDEX('Видео'!$M$7:$M$1508,MATCH(D228,'Видео'!$A$7:$A$1508,0)),"ID не найден"))</x:f>
        <x:v>Эпизод 11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28" s="11" t="str">
        <x:f>IF(D228="","",IF(COUNTIFS('Видео'!$A$7:$A$1508,D228)=1,INDEX('Видео'!$U$7:$U$1508,MATCH(D228,'Видео'!$A$7:$A$1508,0)),"ID не найден"))</x:f>
        <x:v>https://www.youtube.com/watch?v=fbhM6mV2DGE</x:v>
      </x:c>
      <x:c r="Q228" s="17" t="str">
        <x:v>Предложено</x:v>
      </x:c>
      <x:c r="R228" s="17" t="str"/>
      <x:c r="S228" s="10" t="str"/>
      <x:c r="T228" s="10" t="str">
        <x:v>При недоступной серии приостановить сюжетную ветку; резерв — самостоятельное видео</x:v>
      </x:c>
      <x:c r="U228" s="9" t="str">
        <x:f>IF(D228="","Выбрать видео",IF(COUNTIFS($D$7:$D$371,D228)&gt;1,"Повтор","Без повтора"))</x:f>
        <x:v>Без повтора</x:v>
      </x:c>
    </x:row>
    <x:row r="229" ht="60" customHeight="1">
      <x:c r="A229" s="16" t="n">
        <x:v>46531</x:v>
      </x:c>
      <x:c r="B229" s="9" t="str">
        <x:v>Пн</x:v>
      </x:c>
      <x:c r="C229" s="10" t="str">
        <x:v>Интервью</x:v>
      </x:c>
      <x:c r="D229" s="19" t="str">
        <x:v>qnpjOMhkkTY</x:v>
      </x:c>
      <x:c r="E229" s="10" t="str">
        <x:f>IF(D229="","",IF(COUNTIFS('Видео'!$A$7:$A$1508,D229)=1,INDEX('Видео'!$B$7:$B$1508,MATCH(D229,'Видео'!$A$7:$A$1508,0)),"ID не найден"))</x:f>
        <x:v>פגישה עם רוני קובן עונה 10 | גדי איזנקוט</x:v>
      </x:c>
      <x:c r="F229" s="9" t="str">
        <x:f>IF(D229="","",IF(COUNTIFS('Видео'!$A$7:$A$1508,D229)=1,INDEX('Видео'!$R$7:$R$1508,MATCH(D229,'Видео'!$A$7:$A$1508,0)),"ID не найден"))</x:f>
        <x:v>C013</x:v>
      </x:c>
      <x:c r="G229" s="9" t="str">
        <x:f>IF(D229="","",IF(COUNTIFS('Видео'!$A$7:$A$1508,D229)=1,INDEX('Видео'!$D$7:$D$1508,MATCH(D229,'Видео'!$A$7:$A$1508,0)),"ID не найден"))</x:f>
        <x:v>Интервью</x:v>
      </x:c>
      <x:c r="H229" s="10" t="str">
        <x:f>IF(D229="","",IF(COUNTIFS('Видео'!$A$7:$A$1508,D229)=1,INDEX('Видео'!$F$7:$F$1508,MATCH(D229,'Видео'!$A$7:$A$1508,0)),"ID не найден"))</x:f>
        <x:v>B2–C1 (гипотеза)</x:v>
      </x:c>
      <x:c r="I229" s="18" t="n">
        <x:f>IF(D229="","",IF(COUNTIFS('Видео'!$A$7:$A$1508,D229)=1,INDEX('Видео'!$G$7:$G$1508,MATCH(D229,'Видео'!$A$7:$A$1508,0)),"ID не найден"))</x:f>
        <x:v>47.5</x:v>
      </x:c>
      <x:c r="J229" s="18" t="n">
        <x:v>10</x:v>
      </x:c>
      <x:c r="K229" s="10" t="str">
        <x:f>IF(D229="","",IF(COUNTIFS('Видео'!$A$7:$A$1508,D229)=1,INDEX('Видео'!$AI$7:$AI$1508,MATCH(D229,'Видео'!$A$7:$A$1508,0)),"ID не найден"))</x:f>
        <x:v>Нужна редактура</x:v>
      </x:c>
      <x:c r="L229" s="19" t="str">
        <x:v>N58_hWXSrDE</x:v>
      </x:c>
      <x:c r="M229" s="10" t="str">
        <x:f>IF(L229="","",IF(COUNTIFS('Видео'!$A$7:$A$1508,L229)=1,INDEX('Видео'!$B$7:$B$1508,MATCH(L229,'Видео'!$A$7:$A$1508,0)),"ID не найден"))</x:f>
        <x:v>ה״עיתונות״ משקרת לכם. הנה ההוכחות. קצר עם מושיק קוברסקי.</x:v>
      </x:c>
      <x:c r="N229" s="10" t="str"/>
      <x:c r="O229" s="10" t="str">
        <x:f>IF(D229="","",IF(COUNTIFS('Видео'!$A$7:$A$1508,D229)=1,INDEX('Видео'!$M$7:$M$1508,MATCH(D229,'Видео'!$A$7:$A$1508,0)),"ID не найден"))</x:f>
        <x:v>Тема / гость: גדי איזנקוט. Просмотры в списке выше медианы выборки этого цикла в 1.67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229" s="11" t="str">
        <x:f>IF(D229="","",IF(COUNTIFS('Видео'!$A$7:$A$1508,D229)=1,INDEX('Видео'!$U$7:$U$1508,MATCH(D229,'Видео'!$A$7:$A$1508,0)),"ID не найден"))</x:f>
        <x:v>https://www.youtube.com/watch?v=qnpjOMhkkTY</x:v>
      </x:c>
      <x:c r="Q229" s="17" t="str">
        <x:v>Предложено</x:v>
      </x:c>
      <x:c r="R229" s="17" t="str"/>
      <x:c r="S229" s="10" t="str"/>
      <x:c r="T229" s="10" t="str">
        <x:v>Резерв меняет выбор видео; снова проверить повод, аудиторию и все редакторские условия</x:v>
      </x:c>
      <x:c r="U229" s="9" t="str">
        <x:f>IF(D229="","Выбрать видео",IF(COUNTIFS($D$7:$D$371,D229)&gt;1,"Повтор","Без повтора"))</x:f>
        <x:v>Без повтора</x:v>
      </x:c>
    </x:row>
    <x:row r="230" ht="60" customHeight="1">
      <x:c r="A230" s="16" t="n">
        <x:v>46532</x:v>
      </x:c>
      <x:c r="B230" s="9" t="str">
        <x:v>Вт</x:v>
      </x:c>
      <x:c r="C230" s="10" t="str">
        <x:v>Образование</x:v>
      </x:c>
      <x:c r="D230" s="19" t="str">
        <x:v>5rWMUyQsMvU</x:v>
      </x:c>
      <x:c r="E230" s="10" t="str">
        <x:f>IF(D230="","",IF(COUNTIFS('Видео'!$A$7:$A$1508,D230)=1,INDEX('Видео'!$B$7:$B$1508,MATCH(D230,'Видео'!$A$7:$A$1508,0)),"ID не найден"))</x:f>
        <x:v>ניסוי מנטוס וקולה - ניסוי מדע בבית שצולם בבית, בזמן הסגר</x:v>
      </x:c>
      <x:c r="F230" s="9" t="str">
        <x:f>IF(D230="","",IF(COUNTIFS('Видео'!$A$7:$A$1508,D230)=1,INDEX('Видео'!$R$7:$R$1508,MATCH(D230,'Видео'!$A$7:$A$1508,0)),"ID не найден"))</x:f>
        <x:v>C061</x:v>
      </x:c>
      <x:c r="G230" s="9" t="str">
        <x:f>IF(D230="","",IF(COUNTIFS('Видео'!$A$7:$A$1508,D230)=1,INDEX('Видео'!$D$7:$D$1508,MATCH(D230,'Видео'!$A$7:$A$1508,0)),"ID не найден"))</x:f>
        <x:v>Образование</x:v>
      </x:c>
      <x:c r="H230" s="10" t="str">
        <x:f>IF(D230="","",IF(COUNTIFS('Видео'!$A$7:$A$1508,D230)=1,INDEX('Видео'!$F$7:$F$1508,MATCH(D230,'Видео'!$A$7:$A$1508,0)),"ID не найден"))</x:f>
        <x:v>B1–B2 (гипотеза)</x:v>
      </x:c>
      <x:c r="I230" s="18" t="n">
        <x:f>IF(D230="","",IF(COUNTIFS('Видео'!$A$7:$A$1508,D230)=1,INDEX('Видео'!$G$7:$G$1508,MATCH(D230,'Видео'!$A$7:$A$1508,0)),"ID не найден"))</x:f>
        <x:v>2.6</x:v>
      </x:c>
      <x:c r="J230" s="18" t="n">
        <x:v>5</x:v>
      </x:c>
      <x:c r="K230" s="10" t="str">
        <x:f>IF(D230="","",IF(COUNTIFS('Видео'!$A$7:$A$1508,D230)=1,INDEX('Видео'!$AI$7:$AI$1508,MATCH(D230,'Видео'!$A$7:$A$1508,0)),"ID не найден"))</x:f>
        <x:v>Нужна редактура</x:v>
      </x:c>
      <x:c r="L230" s="19" t="str">
        <x:v>4Xy0cUp26G4</x:v>
      </x:c>
      <x:c r="M230" s="10" t="str">
        <x:f>IF(L230="","",IF(COUNTIFS('Видео'!$A$7:$A$1508,L230)=1,INDEX('Видео'!$B$7:$B$1508,MATCH(L230,'Видео'!$A$7:$A$1508,0)),"ID не найден"))</x:f>
        <x:v>גלילאו עונה 9 | מורות ממחזרות מבחנים? 💯</x:v>
      </x:c>
      <x:c r="N230" s="10" t="str"/>
      <x:c r="O230" s="10" t="str">
        <x:f>IF(D230="","",IF(COUNTIFS('Видео'!$A$7:$A$1508,D230)=1,INDEX('Видео'!$M$7:$M$1508,MATCH(D230,'Видео'!$A$7:$A$1508,0)),"ID не найден"))</x:f>
        <x:v>Завершённый короткий просмотр около 3 мин. Просмотры в списке выше медианы выборки этого цикла в 1.78 раза. Совместная демонстрация даёт родителям и детям сценарий общения на иврите.</x:v>
      </x:c>
      <x:c r="P230" s="11" t="str">
        <x:f>IF(D230="","",IF(COUNTIFS('Видео'!$A$7:$A$1508,D230)=1,INDEX('Видео'!$U$7:$U$1508,MATCH(D230,'Видео'!$A$7:$A$1508,0)),"ID не найден"))</x:f>
        <x:v>https://www.youtube.com/watch?v=5rWMUyQsMvU</x:v>
      </x:c>
      <x:c r="Q230" s="17" t="str">
        <x:v>Предложено</x:v>
      </x:c>
      <x:c r="R230" s="17" t="str"/>
      <x:c r="S230" s="10" t="str"/>
      <x:c r="T230" s="10" t="str">
        <x:v>Резерв меняет выбор видео; снова проверить повод, аудиторию и все редакторские условия</x:v>
      </x:c>
      <x:c r="U230" s="9" t="str">
        <x:f>IF(D230="","Выбрать видео",IF(COUNTIFS($D$7:$D$371,D230)&gt;1,"Повтор","Без повтора"))</x:f>
        <x:v>Без повтора</x:v>
      </x:c>
    </x:row>
    <x:row r="231" ht="60" customHeight="1">
      <x:c r="A231" s="16" t="n">
        <x:v>46533</x:v>
      </x:c>
      <x:c r="B231" s="9" t="str">
        <x:v>Ср</x:v>
      </x:c>
      <x:c r="C231" s="10" t="str">
        <x:v>Быт</x:v>
      </x:c>
      <x:c r="D231" s="19" t="str">
        <x:v>m60JSiIMcYc</x:v>
      </x:c>
      <x:c r="E231" s="10" t="str">
        <x:f>IF(D231="","",IF(COUNTIFS('Видео'!$A$7:$A$1508,D231)=1,INDEX('Видео'!$B$7:$B$1508,MATCH(D231,'Видео'!$A$7:$A$1508,0)),"ID не найден"))</x:f>
        <x:v>שום פלפל ושמן זית עונה 3 | אליאנה תדהר</x:v>
      </x:c>
      <x:c r="F231" s="9" t="str">
        <x:f>IF(D231="","",IF(COUNTIFS('Видео'!$A$7:$A$1508,D231)=1,INDEX('Видео'!$R$7:$R$1508,MATCH(D231,'Видео'!$A$7:$A$1508,0)),"ID не найден"))</x:f>
        <x:v>C024</x:v>
      </x:c>
      <x:c r="G231" s="9" t="str">
        <x:f>IF(D231="","",IF(COUNTIFS('Видео'!$A$7:$A$1508,D231)=1,INDEX('Видео'!$D$7:$D$1508,MATCH(D231,'Видео'!$A$7:$A$1508,0)),"ID не найден"))</x:f>
        <x:v>Быт</x:v>
      </x:c>
      <x:c r="H231" s="10" t="str">
        <x:f>IF(D231="","",IF(COUNTIFS('Видео'!$A$7:$A$1508,D231)=1,INDEX('Видео'!$F$7:$F$1508,MATCH(D231,'Видео'!$A$7:$A$1508,0)),"ID не найден"))</x:f>
        <x:v>B1–B2 (гипотеза)</x:v>
      </x:c>
      <x:c r="I231" s="18" t="n">
        <x:f>IF(D231="","",IF(COUNTIFS('Видео'!$A$7:$A$1508,D231)=1,INDEX('Видео'!$G$7:$G$1508,MATCH(D231,'Видео'!$A$7:$A$1508,0)),"ID не найден"))</x:f>
        <x:v>41.1</x:v>
      </x:c>
      <x:c r="J231" s="18" t="n">
        <x:v>10</x:v>
      </x:c>
      <x:c r="K231" s="10" t="str">
        <x:f>IF(D231="","",IF(COUNTIFS('Видео'!$A$7:$A$1508,D231)=1,INDEX('Видео'!$AI$7:$AI$1508,MATCH(D231,'Видео'!$A$7:$A$1508,0)),"ID не найден"))</x:f>
        <x:v>Нужна редактура</x:v>
      </x:c>
      <x:c r="L231" s="19" t="str">
        <x:v>dOCsCfd_zvM</x:v>
      </x:c>
      <x:c r="M231" s="10" t="str">
        <x:f>IF(L231="","",IF(COUNTIFS('Видео'!$A$7:$A$1508,L231)=1,INDEX('Видео'!$B$7:$B$1508,MATCH(L231,'Видео'!$A$7:$A$1508,0)),"ID не найден"))</x:f>
        <x:v>משבילי הקיבוץ לדרום תל אביב: חברי קיבוץ רעים פתחו בית קפה בעיר הגדולה | דוקותיים</x:v>
      </x:c>
      <x:c r="N231" s="10" t="str"/>
      <x:c r="O231" s="10" t="str">
        <x:f>IF(D231="","",IF(COUNTIFS('Видео'!$A$7:$A$1508,D231)=1,INDEX('Видео'!$M$7:$M$1508,MATCH(D231,'Видео'!$A$7:$A$1508,0)),"ID не найден"))</x:f>
        <x:v>Тема: שום פלפל ושמן זית עונה 3 | אליאנה תדהר. Просмотры в списке выше медианы выборки этого цикла в 1.75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P231" s="11" t="str">
        <x:f>IF(D231="","",IF(COUNTIFS('Видео'!$A$7:$A$1508,D231)=1,INDEX('Видео'!$U$7:$U$1508,MATCH(D231,'Видео'!$A$7:$A$1508,0)),"ID не найден"))</x:f>
        <x:v>https://www.youtube.com/watch?v=m60JSiIMcYc</x:v>
      </x:c>
      <x:c r="Q231" s="17" t="str">
        <x:v>Предложено</x:v>
      </x:c>
      <x:c r="R231" s="17" t="str"/>
      <x:c r="S231" s="10" t="str"/>
      <x:c r="T231" s="10" t="str">
        <x:v>Резерв меняет выбор видео; снова проверить повод, аудиторию и все редакторские условия</x:v>
      </x:c>
      <x:c r="U231" s="9" t="str">
        <x:f>IF(D231="","Выбрать видео",IF(COUNTIFS($D$7:$D$371,D231)&gt;1,"Повтор","Без повтора"))</x:f>
        <x:v>Без повтора</x:v>
      </x:c>
    </x:row>
    <x:row r="232" ht="60" customHeight="1">
      <x:c r="A232" s="16" t="n">
        <x:v>46534</x:v>
      </x:c>
      <x:c r="B232" s="9" t="str">
        <x:v>Чт</x:v>
      </x:c>
      <x:c r="C232" s="10" t="str">
        <x:v>Сериал</x:v>
      </x:c>
      <x:c r="D232" s="19" t="str">
        <x:v>FyRhHspKt1w</x:v>
      </x:c>
      <x:c r="E232" s="10" t="str">
        <x:f>IF(D232="","",IF(COUNTIFS('Видео'!$A$7:$A$1508,D232)=1,INDEX('Видео'!$B$7:$B$1508,MATCH(D232,'Видео'!$A$7:$A$1508,0)),"ID не найден"))</x:f>
        <x:v>כראמל 🐱 | יש לי חתול מדבר - פרק 2</x:v>
      </x:c>
      <x:c r="F232" s="9" t="str">
        <x:f>IF(D232="","",IF(COUNTIFS('Видео'!$A$7:$A$1508,D232)=1,INDEX('Видео'!$R$7:$R$1508,MATCH(D232,'Видео'!$A$7:$A$1508,0)),"ID не найден"))</x:f>
        <x:v>C053</x:v>
      </x:c>
      <x:c r="G232" s="9" t="str">
        <x:f>IF(D232="","",IF(COUNTIFS('Видео'!$A$7:$A$1508,D232)=1,INDEX('Видео'!$D$7:$D$1508,MATCH(D232,'Видео'!$A$7:$A$1508,0)),"ID не найден"))</x:f>
        <x:v>Сериал</x:v>
      </x:c>
      <x:c r="H232" s="10" t="str">
        <x:f>IF(D232="","",IF(COUNTIFS('Видео'!$A$7:$A$1508,D232)=1,INDEX('Видео'!$F$7:$F$1508,MATCH(D232,'Видео'!$A$7:$A$1508,0)),"ID не найден"))</x:f>
        <x:v>A2–B1 (гипотеза)</x:v>
      </x:c>
      <x:c r="I232" s="18" t="n">
        <x:f>IF(D232="","",IF(COUNTIFS('Видео'!$A$7:$A$1508,D232)=1,INDEX('Видео'!$G$7:$G$1508,MATCH(D232,'Видео'!$A$7:$A$1508,0)),"ID не найден"))</x:f>
        <x:v>27.2</x:v>
      </x:c>
      <x:c r="J232" s="18" t="n">
        <x:v>10</x:v>
      </x:c>
      <x:c r="K232" s="10" t="str">
        <x:f>IF(D232="","",IF(COUNTIFS('Видео'!$A$7:$A$1508,D232)=1,INDEX('Видео'!$AI$7:$AI$1508,MATCH(D232,'Видео'!$A$7:$A$1508,0)),"ID не найден"))</x:f>
        <x:v>Нужна редактура</x:v>
      </x:c>
      <x:c r="L232" s="19" t="str">
        <x:v>hQrhH3rNS_0</x:v>
      </x:c>
      <x:c r="M232" s="10" t="str">
        <x:f>IF(L232="","",IF(COUNTIFS('Видео'!$A$7:$A$1508,L232)=1,INDEX('Видео'!$B$7:$B$1508,MATCH(L232,'Видео'!$A$7:$A$1508,0)),"ID не найден"))</x:f>
        <x:v>דוקותיים: אנטון הראפר מלמד צעירים שהארדקור אמיתי זה להיות נקי 😎</x:v>
      </x:c>
      <x:c r="N232" s="10" t="str"/>
      <x:c r="O232" s="10" t="str">
        <x:f>IF(D232="","",IF(COUNTIFS('Видео'!$A$7:$A$1508,D232)=1,INDEX('Видео'!$M$7:$M$1508,MATCH(D232,'Видео'!$A$7:$A$1508,0)),"ID не найден"))</x:f>
        <x:v>Эпизод 2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232" s="11" t="str">
        <x:f>IF(D232="","",IF(COUNTIFS('Видео'!$A$7:$A$1508,D232)=1,INDEX('Видео'!$U$7:$U$1508,MATCH(D232,'Видео'!$A$7:$A$1508,0)),"ID не найден"))</x:f>
        <x:v>https://www.youtube.com/watch?v=FyRhHspKt1w</x:v>
      </x:c>
      <x:c r="Q232" s="17" t="str">
        <x:v>Предложено</x:v>
      </x:c>
      <x:c r="R232" s="17" t="str"/>
      <x:c r="S232" s="10" t="str"/>
      <x:c r="T232" s="10" t="str">
        <x:v>При недоступной серии приостановить сюжетную ветку; резерв — самостоятельное видео</x:v>
      </x:c>
      <x:c r="U232" s="9" t="str">
        <x:f>IF(D232="","Выбрать видео",IF(COUNTIFS($D$7:$D$371,D232)&gt;1,"Повтор","Без повтора"))</x:f>
        <x:v>Без повтора</x:v>
      </x:c>
    </x:row>
    <x:row r="233" ht="60" customHeight="1">
      <x:c r="A233" s="16" t="n">
        <x:v>46535</x:v>
      </x:c>
      <x:c r="B233" s="9" t="str">
        <x:v>Пт</x:v>
      </x:c>
      <x:c r="C233" s="10" t="str">
        <x:v>История</x:v>
      </x:c>
      <x:c r="D233" s="19" t="str">
        <x:v>QiRRwsHYYMQ</x:v>
      </x:c>
      <x:c r="E233" s="10" t="str">
        <x:f>IF(D233="","",IF(COUNTIFS('Видео'!$A$7:$A$1508,D233)=1,INDEX('Видео'!$B$7:$B$1508,MATCH(D233,'Видео'!$A$7:$A$1508,0)),"ID не найден"))</x:f>
        <x:v>עושים לביתנו 💸 | עונת הטייקונים - פרק 2</x:v>
      </x:c>
      <x:c r="F233" s="9" t="str">
        <x:f>IF(D233="","",IF(COUNTIFS('Видео'!$A$7:$A$1508,D233)=1,INDEX('Видео'!$R$7:$R$1508,MATCH(D233,'Видео'!$A$7:$A$1508,0)),"ID не найден"))</x:f>
        <x:v>C036</x:v>
      </x:c>
      <x:c r="G233" s="9" t="str">
        <x:f>IF(D233="","",IF(COUNTIFS('Видео'!$A$7:$A$1508,D233)=1,INDEX('Видео'!$D$7:$D$1508,MATCH(D233,'Видео'!$A$7:$A$1508,0)),"ID не найден"))</x:f>
        <x:v>История</x:v>
      </x:c>
      <x:c r="H233" s="10" t="str">
        <x:f>IF(D233="","",IF(COUNTIFS('Видео'!$A$7:$A$1508,D233)=1,INDEX('Видео'!$F$7:$F$1508,MATCH(D233,'Видео'!$A$7:$A$1508,0)),"ID не найден"))</x:f>
        <x:v>B2–C1 (гипотеза)</x:v>
      </x:c>
      <x:c r="I233" s="18" t="n">
        <x:f>IF(D233="","",IF(COUNTIFS('Видео'!$A$7:$A$1508,D233)=1,INDEX('Видео'!$G$7:$G$1508,MATCH(D233,'Видео'!$A$7:$A$1508,0)),"ID не найден"))</x:f>
        <x:v>52.2</x:v>
      </x:c>
      <x:c r="J233" s="18" t="n">
        <x:v>10</x:v>
      </x:c>
      <x:c r="K233" s="10" t="str">
        <x:f>IF(D233="","",IF(COUNTIFS('Видео'!$A$7:$A$1508,D233)=1,INDEX('Видео'!$AI$7:$AI$1508,MATCH(D233,'Видео'!$A$7:$A$1508,0)),"ID не найден"))</x:f>
        <x:v>Нужна редактура</x:v>
      </x:c>
      <x:c r="L233" s="19" t="str">
        <x:v>t_HobiZQwgY</x:v>
      </x:c>
      <x:c r="M233" s="10" t="str">
        <x:f>IF(L233="","",IF(COUNTIFS('Видео'!$A$7:$A$1508,L233)=1,INDEX('Видео'!$B$7:$B$1508,MATCH(L233,'Видео'!$A$7:$A$1508,0)),"ID не найден"))</x:f>
        <x:v>בארץ לא להם | שיעור 3 –  חצי האי סיני בזכרון ההיסטורי ובמציאות הארכיאולוגית | ד"ר יפעת טהרני</x:v>
      </x:c>
      <x:c r="N233" s="10" t="str"/>
      <x:c r="O233" s="10" t="str">
        <x:f>IF(D233="","",IF(COUNTIFS('Видео'!$A$7:$A$1508,D233)=1,INDEX('Видео'!$M$7:$M$1508,MATCH(D233,'Видео'!$A$7:$A$1508,0)),"ID не найден"))</x:f>
        <x:v>Тема: עושים לביתנו 💸 | עונת הטייקונים - פרק 2. История экономических решений объясняет различия в образе жизни и институтах страны.</x:v>
      </x:c>
      <x:c r="P233" s="11" t="str">
        <x:f>IF(D233="","",IF(COUNTIFS('Видео'!$A$7:$A$1508,D233)=1,INDEX('Видео'!$U$7:$U$1508,MATCH(D233,'Видео'!$A$7:$A$1508,0)),"ID не найден"))</x:f>
        <x:v>https://www.youtube.com/watch?v=QiRRwsHYYMQ</x:v>
      </x:c>
      <x:c r="Q233" s="17" t="str">
        <x:v>Предложено</x:v>
      </x:c>
      <x:c r="R233" s="17" t="str"/>
      <x:c r="S233" s="10" t="str"/>
      <x:c r="T233" s="10" t="str">
        <x:v>Резерв меняет выбор видео; снова проверить повод, аудиторию и все редакторские условия</x:v>
      </x:c>
      <x:c r="U233" s="9" t="str">
        <x:f>IF(D233="","Выбрать видео",IF(COUNTIFS($D$7:$D$371,D233)&gt;1,"Повтор","Без повтора"))</x:f>
        <x:v>Без повтора</x:v>
      </x:c>
    </x:row>
    <x:row r="234" ht="60" customHeight="1">
      <x:c r="A234" s="16" t="n">
        <x:v>46536</x:v>
      </x:c>
      <x:c r="B234" s="9" t="str">
        <x:v>Сб</x:v>
      </x:c>
      <x:c r="C234" s="10" t="str">
        <x:v>Общество</x:v>
      </x:c>
      <x:c r="D234" s="19" t="str">
        <x:v>_POCtC_Jx74</x:v>
      </x:c>
      <x:c r="E234" s="10" t="str">
        <x:f>IF(D234="","",IF(COUNTIFS('Видео'!$A$7:$A$1508,D234)=1,INDEX('Видео'!$B$7:$B$1508,MATCH(D234,'Видео'!$A$7:$A$1508,0)),"ID не найден"))</x:f>
        <x:v>סליחה על השאלה עונה 4 | רופאים מתמחים</x:v>
      </x:c>
      <x:c r="F234" s="9" t="str">
        <x:f>IF(D234="","",IF(COUNTIFS('Видео'!$A$7:$A$1508,D234)=1,INDEX('Видео'!$R$7:$R$1508,MATCH(D234,'Видео'!$A$7:$A$1508,0)),"ID не найден"))</x:f>
        <x:v>C018</x:v>
      </x:c>
      <x:c r="G234" s="9" t="str">
        <x:f>IF(D234="","",IF(COUNTIFS('Видео'!$A$7:$A$1508,D234)=1,INDEX('Видео'!$D$7:$D$1508,MATCH(D234,'Видео'!$A$7:$A$1508,0)),"ID не найден"))</x:f>
        <x:v>Общество</x:v>
      </x:c>
      <x:c r="H234" s="10" t="str">
        <x:f>IF(D234="","",IF(COUNTIFS('Видео'!$A$7:$A$1508,D234)=1,INDEX('Видео'!$F$7:$F$1508,MATCH(D234,'Видео'!$A$7:$A$1508,0)),"ID не найден"))</x:f>
        <x:v>B1–B2 (гипотеза)</x:v>
      </x:c>
      <x:c r="I234" s="18" t="n">
        <x:f>IF(D234="","",IF(COUNTIFS('Видео'!$A$7:$A$1508,D234)=1,INDEX('Видео'!$G$7:$G$1508,MATCH(D234,'Видео'!$A$7:$A$1508,0)),"ID не найден"))</x:f>
        <x:v>26.3</x:v>
      </x:c>
      <x:c r="J234" s="18" t="n">
        <x:v>10</x:v>
      </x:c>
      <x:c r="K234" s="10" t="str">
        <x:f>IF(D234="","",IF(COUNTIFS('Видео'!$A$7:$A$1508,D234)=1,INDEX('Видео'!$AI$7:$AI$1508,MATCH(D234,'Видео'!$A$7:$A$1508,0)),"ID не найден"))</x:f>
        <x:v>Нужна редактура</x:v>
      </x:c>
      <x:c r="L234" s="19" t="str">
        <x:v>jmXwn3Cpsps</x:v>
      </x:c>
      <x:c r="M234" s="10" t="str">
        <x:f>IF(L234="","",IF(COUNTIFS('Видео'!$A$7:$A$1508,L234)=1,INDEX('Видео'!$B$7:$B$1508,MATCH(L234,'Видео'!$A$7:$A$1508,0)),"ID не найден"))</x:f>
        <x:v>כאן מקשיבים: אני קצינת נפגעים במלחמה</x:v>
      </x:c>
      <x:c r="N234" s="10" t="str"/>
      <x:c r="O234" s="10" t="str">
        <x:f>IF(D234="","",IF(COUNTIFS('Видео'!$A$7:$A$1508,D234)=1,INDEX('Видео'!$M$7:$M$1508,MATCH(D234,'Видео'!$A$7:$A$1508,0)),"ID не найден"))</x:f>
        <x:v>Тема: סליחה על השאלה עונה 4 | רופאים מתמחים. Одинаковый вопрос разным людям позволяет сравнить ответы и акценты. Формат вводит социальные группы через их собственную речь.</x:v>
      </x:c>
      <x:c r="P234" s="11" t="str">
        <x:f>IF(D234="","",IF(COUNTIFS('Видео'!$A$7:$A$1508,D234)=1,INDEX('Видео'!$U$7:$U$1508,MATCH(D234,'Видео'!$A$7:$A$1508,0)),"ID не найден"))</x:f>
        <x:v>https://www.youtube.com/watch?v=_POCtC_Jx74</x:v>
      </x:c>
      <x:c r="Q234" s="17" t="str">
        <x:v>Предложено</x:v>
      </x:c>
      <x:c r="R234" s="17" t="str"/>
      <x:c r="S234" s="10" t="str"/>
      <x:c r="T234" s="10" t="str">
        <x:v>Резерв меняет выбор видео; снова проверить повод, аудиторию и все редакторские условия</x:v>
      </x:c>
      <x:c r="U234" s="9" t="str">
        <x:f>IF(D234="","Выбрать видео",IF(COUNTIFS($D$7:$D$371,D234)&gt;1,"Повтор","Без повтора"))</x:f>
        <x:v>Без повтора</x:v>
      </x:c>
    </x:row>
    <x:row r="235" ht="60" customHeight="1">
      <x:c r="A235" s="16" t="n">
        <x:v>46537</x:v>
      </x:c>
      <x:c r="B235" s="9" t="str">
        <x:v>Вс</x:v>
      </x:c>
      <x:c r="C235" s="10" t="str">
        <x:v>Сериал</x:v>
      </x:c>
      <x:c r="D235" s="19" t="str">
        <x:v>gRrIBT6EVCI</x:v>
      </x:c>
      <x:c r="E235" s="10" t="str">
        <x:f>IF(D235="","",IF(COUNTIFS('Видео'!$A$7:$A$1508,D235)=1,INDEX('Видео'!$B$7:$B$1508,MATCH(D235,'Видео'!$A$7:$A$1508,0)),"ID не найден"))</x:f>
        <x:v>קופה ראשית עונה 4🛒 | פרק 12 - העורבים</x:v>
      </x:c>
      <x:c r="F235" s="9" t="str">
        <x:f>IF(D235="","",IF(COUNTIFS('Видео'!$A$7:$A$1508,D235)=1,INDEX('Видео'!$R$7:$R$1508,MATCH(D235,'Видео'!$A$7:$A$1508,0)),"ID не найден"))</x:f>
        <x:v>C002</x:v>
      </x:c>
      <x:c r="G235" s="9" t="str">
        <x:f>IF(D235="","",IF(COUNTIFS('Видео'!$A$7:$A$1508,D235)=1,INDEX('Видео'!$D$7:$D$1508,MATCH(D235,'Видео'!$A$7:$A$1508,0)),"ID не найден"))</x:f>
        <x:v>Сериал</x:v>
      </x:c>
      <x:c r="H235" s="10" t="str">
        <x:f>IF(D235="","",IF(COUNTIFS('Видео'!$A$7:$A$1508,D235)=1,INDEX('Видео'!$F$7:$F$1508,MATCH(D235,'Видео'!$A$7:$A$1508,0)),"ID не найден"))</x:f>
        <x:v>B1–B2 (гипотеза)</x:v>
      </x:c>
      <x:c r="I235" s="18" t="n">
        <x:f>IF(D235="","",IF(COUNTIFS('Видео'!$A$7:$A$1508,D235)=1,INDEX('Видео'!$G$7:$G$1508,MATCH(D235,'Видео'!$A$7:$A$1508,0)),"ID не найден"))</x:f>
        <x:v>26.5</x:v>
      </x:c>
      <x:c r="J235" s="18" t="n">
        <x:v>10</x:v>
      </x:c>
      <x:c r="K235" s="10" t="str">
        <x:f>IF(D235="","",IF(COUNTIFS('Видео'!$A$7:$A$1508,D235)=1,INDEX('Видео'!$AI$7:$AI$1508,MATCH(D235,'Видео'!$A$7:$A$1508,0)),"ID не найден"))</x:f>
        <x:v>Нужна редактура</x:v>
      </x:c>
      <x:c r="L235" s="19" t="str">
        <x:v>LH63635zu-Q</x:v>
      </x:c>
      <x:c r="M235" s="10" t="str">
        <x:f>IF(L235="","",IF(COUNTIFS('Видео'!$A$7:$A$1508,L235)=1,INDEX('Видео'!$B$7:$B$1508,MATCH(L235,'Видео'!$A$7:$A$1508,0)),"ID не найден"))</x:f>
        <x:v>מבוך לצמח</x:v>
      </x:c>
      <x:c r="N235" s="10" t="str"/>
      <x:c r="O235" s="10" t="str">
        <x:f>IF(D235="","",IF(COUNTIFS('Видео'!$A$7:$A$1508,D235)=1,INDEX('Видео'!$M$7:$M$1508,MATCH(D235,'Видео'!$A$7:$A$1508,0)),"ID не найден"))</x:f>
        <x:v>Эпизод 12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35" s="11" t="str">
        <x:f>IF(D235="","",IF(COUNTIFS('Видео'!$A$7:$A$1508,D235)=1,INDEX('Видео'!$U$7:$U$1508,MATCH(D235,'Видео'!$A$7:$A$1508,0)),"ID не найден"))</x:f>
        <x:v>https://www.youtube.com/watch?v=gRrIBT6EVCI</x:v>
      </x:c>
      <x:c r="Q235" s="17" t="str">
        <x:v>Предложено</x:v>
      </x:c>
      <x:c r="R235" s="17" t="str"/>
      <x:c r="S235" s="10" t="str"/>
      <x:c r="T235" s="10" t="str">
        <x:v>При недоступной серии приостановить сюжетную ветку; резерв — самостоятельное видео</x:v>
      </x:c>
      <x:c r="U235" s="9" t="str">
        <x:f>IF(D235="","Выбрать видео",IF(COUNTIFS($D$7:$D$371,D235)&gt;1,"Повтор","Без повтора"))</x:f>
        <x:v>Без повтора</x:v>
      </x:c>
    </x:row>
    <x:row r="236" ht="60" customHeight="1">
      <x:c r="A236" s="16" t="n">
        <x:v>46538</x:v>
      </x:c>
      <x:c r="B236" s="9" t="str">
        <x:v>Пн</x:v>
      </x:c>
      <x:c r="C236" s="10" t="str">
        <x:v>Интервью</x:v>
      </x:c>
      <x:c r="D236" s="19" t="str">
        <x:v>yRzSN4wE8V8</x:v>
      </x:c>
      <x:c r="E236" s="10" t="str">
        <x:f>IF(D236="","",IF(COUNTIFS('Видео'!$A$7:$A$1508,D236)=1,INDEX('Видео'!$B$7:$B$1508,MATCH(D236,'Видео'!$A$7:$A$1508,0)),"ID не найден"))</x:f>
        <x:v>פגישה עם רוני קובן עונה 9 | מגי אזרזר</x:v>
      </x:c>
      <x:c r="F236" s="9" t="str">
        <x:f>IF(D236="","",IF(COUNTIFS('Видео'!$A$7:$A$1508,D236)=1,INDEX('Видео'!$R$7:$R$1508,MATCH(D236,'Видео'!$A$7:$A$1508,0)),"ID не найден"))</x:f>
        <x:v>C014</x:v>
      </x:c>
      <x:c r="G236" s="9" t="str">
        <x:f>IF(D236="","",IF(COUNTIFS('Видео'!$A$7:$A$1508,D236)=1,INDEX('Видео'!$D$7:$D$1508,MATCH(D236,'Видео'!$A$7:$A$1508,0)),"ID не найден"))</x:f>
        <x:v>Интервью</x:v>
      </x:c>
      <x:c r="H236" s="10" t="str">
        <x:f>IF(D236="","",IF(COUNTIFS('Видео'!$A$7:$A$1508,D236)=1,INDEX('Видео'!$F$7:$F$1508,MATCH(D236,'Видео'!$A$7:$A$1508,0)),"ID не найден"))</x:f>
        <x:v>B2–C1 (гипотеза)</x:v>
      </x:c>
      <x:c r="I236" s="18" t="n">
        <x:f>IF(D236="","",IF(COUNTIFS('Видео'!$A$7:$A$1508,D236)=1,INDEX('Видео'!$G$7:$G$1508,MATCH(D236,'Видео'!$A$7:$A$1508,0)),"ID не найден"))</x:f>
        <x:v>34.2</x:v>
      </x:c>
      <x:c r="J236" s="18" t="n">
        <x:v>10</x:v>
      </x:c>
      <x:c r="K236" s="10" t="str">
        <x:f>IF(D236="","",IF(COUNTIFS('Видео'!$A$7:$A$1508,D236)=1,INDEX('Видео'!$AI$7:$AI$1508,MATCH(D236,'Видео'!$A$7:$A$1508,0)),"ID не найден"))</x:f>
        <x:v>Нужна редактура</x:v>
      </x:c>
      <x:c r="L236" s="19" t="str">
        <x:v>nhtu0IkrgUk</x:v>
      </x:c>
      <x:c r="M236" s="10" t="str">
        <x:f>IF(L236="","",IF(COUNTIFS('Видео'!$A$7:$A$1508,L236)=1,INDEX('Видео'!$B$7:$B$1508,MATCH(L236,'Видео'!$A$7:$A$1508,0)),"ID не найден"))</x:f>
        <x:v>פגישה עם רוני קובן עונה 7 | פרק 20 - לאורה ריבלין</x:v>
      </x:c>
      <x:c r="N236" s="10" t="str"/>
      <x:c r="O236" s="10" t="str">
        <x:f>IF(D236="","",IF(COUNTIFS('Видео'!$A$7:$A$1508,D236)=1,INDEX('Видео'!$M$7:$M$1508,MATCH(D236,'Видео'!$A$7:$A$1508,0)),"ID не найден"))</x:f>
        <x:v>Тема / гость: מגי אזרזר. Просмотры в списке выше медианы выборки этого цикла в 2.38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236" s="11" t="str">
        <x:f>IF(D236="","",IF(COUNTIFS('Видео'!$A$7:$A$1508,D236)=1,INDEX('Видео'!$U$7:$U$1508,MATCH(D236,'Видео'!$A$7:$A$1508,0)),"ID не найден"))</x:f>
        <x:v>https://www.youtube.com/watch?v=yRzSN4wE8V8</x:v>
      </x:c>
      <x:c r="Q236" s="17" t="str">
        <x:v>Предложено</x:v>
      </x:c>
      <x:c r="R236" s="17" t="str"/>
      <x:c r="S236" s="10" t="str"/>
      <x:c r="T236" s="10" t="str">
        <x:v>Резерв меняет выбор видео; снова проверить повод, аудиторию и все редакторские условия</x:v>
      </x:c>
      <x:c r="U236" s="9" t="str">
        <x:f>IF(D236="","Выбрать видео",IF(COUNTIFS($D$7:$D$371,D236)&gt;1,"Повтор","Без повтора"))</x:f>
        <x:v>Без повтора</x:v>
      </x:c>
    </x:row>
    <x:row r="237" ht="60" customHeight="1">
      <x:c r="A237" s="16" t="n">
        <x:v>46539</x:v>
      </x:c>
      <x:c r="B237" s="9" t="str">
        <x:v>Вт</x:v>
      </x:c>
      <x:c r="C237" s="10" t="str">
        <x:v>Образование</x:v>
      </x:c>
      <x:c r="D237" s="19" t="str">
        <x:v>W1VSeQJhEUk</x:v>
      </x:c>
      <x:c r="E237" s="10" t="str">
        <x:f>IF(D237="","",IF(COUNTIFS('Видео'!$A$7:$A$1508,D237)=1,INDEX('Видео'!$B$7:$B$1508,MATCH(D237,'Видео'!$A$7:$A$1508,0)),"ID не найден"))</x:f>
        <x:v>מה זה אפקט ליידנפרוסט?</x:v>
      </x:c>
      <x:c r="F237" s="9" t="str">
        <x:f>IF(D237="","",IF(COUNTIFS('Видео'!$A$7:$A$1508,D237)=1,INDEX('Видео'!$R$7:$R$1508,MATCH(D237,'Видео'!$A$7:$A$1508,0)),"ID не найден"))</x:f>
        <x:v>C062</x:v>
      </x:c>
      <x:c r="G237" s="9" t="str">
        <x:f>IF(D237="","",IF(COUNTIFS('Видео'!$A$7:$A$1508,D237)=1,INDEX('Видео'!$D$7:$D$1508,MATCH(D237,'Видео'!$A$7:$A$1508,0)),"ID не найден"))</x:f>
        <x:v>Образование</x:v>
      </x:c>
      <x:c r="H237" s="10" t="str">
        <x:f>IF(D237="","",IF(COUNTIFS('Видео'!$A$7:$A$1508,D237)=1,INDEX('Видео'!$F$7:$F$1508,MATCH(D237,'Видео'!$A$7:$A$1508,0)),"ID не найден"))</x:f>
        <x:v>B1–B2 (гипотеза)</x:v>
      </x:c>
      <x:c r="I237" s="18" t="n">
        <x:f>IF(D237="","",IF(COUNTIFS('Видео'!$A$7:$A$1508,D237)=1,INDEX('Видео'!$G$7:$G$1508,MATCH(D237,'Видео'!$A$7:$A$1508,0)),"ID не найден"))</x:f>
        <x:v>2.6</x:v>
      </x:c>
      <x:c r="J237" s="18" t="n">
        <x:v>5</x:v>
      </x:c>
      <x:c r="K237" s="10" t="str">
        <x:f>IF(D237="","",IF(COUNTIFS('Видео'!$A$7:$A$1508,D237)=1,INDEX('Видео'!$AI$7:$AI$1508,MATCH(D237,'Видео'!$A$7:$A$1508,0)),"ID не найден"))</x:f>
        <x:v>Нужна редактура</x:v>
      </x:c>
      <x:c r="L237" s="19" t="str">
        <x:v>1xpvr6jO45c</x:v>
      </x:c>
      <x:c r="M237" s="10" t="str">
        <x:f>IF(L237="","",IF(COUNTIFS('Видео'!$A$7:$A$1508,L237)=1,INDEX('Видео'!$B$7:$B$1508,MATCH(L237,'Видео'!$A$7:$A$1508,0)),"ID не найден"))</x:f>
        <x:v>המרדף עונה 9 | פרק 8 - ספיישל קולינרי</x:v>
      </x:c>
      <x:c r="N237" s="10" t="str"/>
      <x:c r="O237" s="10" t="str">
        <x:f>IF(D237="","",IF(COUNTIFS('Видео'!$A$7:$A$1508,D237)=1,INDEX('Видео'!$M$7:$M$1508,MATCH(D237,'Видео'!$A$7:$A$1508,0)),"ID не найден"))</x:f>
        <x:v>Завершённый короткий просмотр около 3 мин. Просмотры в списке выше медианы выборки этого цикла в 7.67 раза. Бытовая ситуация помогает понимать научную лексику через знакомое действие.</x:v>
      </x:c>
      <x:c r="P237" s="11" t="str">
        <x:f>IF(D237="","",IF(COUNTIFS('Видео'!$A$7:$A$1508,D237)=1,INDEX('Видео'!$U$7:$U$1508,MATCH(D237,'Видео'!$A$7:$A$1508,0)),"ID не найден"))</x:f>
        <x:v>https://www.youtube.com/watch?v=W1VSeQJhEUk</x:v>
      </x:c>
      <x:c r="Q237" s="17" t="str">
        <x:v>Предложено</x:v>
      </x:c>
      <x:c r="R237" s="17" t="str"/>
      <x:c r="S237" s="10" t="str"/>
      <x:c r="T237" s="10" t="str">
        <x:v>Резерв меняет выбор видео; снова проверить повод, аудиторию и все редакторские условия</x:v>
      </x:c>
      <x:c r="U237" s="9" t="str">
        <x:f>IF(D237="","Выбрать видео",IF(COUNTIFS($D$7:$D$371,D237)&gt;1,"Повтор","Без повтора"))</x:f>
        <x:v>Без повтора</x:v>
      </x:c>
    </x:row>
    <x:row r="238" ht="60" customHeight="1">
      <x:c r="A238" s="16" t="n">
        <x:v>46540</x:v>
      </x:c>
      <x:c r="B238" s="9" t="str">
        <x:v>Ср</x:v>
      </x:c>
      <x:c r="C238" s="10" t="str">
        <x:v>Быт</x:v>
      </x:c>
      <x:c r="D238" s="19" t="str">
        <x:v>8boWw2m6IEQ</x:v>
      </x:c>
      <x:c r="E238" s="10" t="str">
        <x:f>IF(D238="","",IF(COUNTIFS('Видео'!$A$7:$A$1508,D238)=1,INDEX('Видео'!$B$7:$B$1508,MATCH(D238,'Видео'!$A$7:$A$1508,0)),"ID не найден"))</x:f>
        <x:v>טיול אחרי צבא - סובב ישראל 🚐🇮🇱 | פרק 4 - משל המערה</x:v>
      </x:c>
      <x:c r="F238" s="9" t="str">
        <x:f>IF(D238="","",IF(COUNTIFS('Видео'!$A$7:$A$1508,D238)=1,INDEX('Видео'!$R$7:$R$1508,MATCH(D238,'Видео'!$A$7:$A$1508,0)),"ID не найден"))</x:f>
        <x:v>C038</x:v>
      </x:c>
      <x:c r="G238" s="9" t="str">
        <x:f>IF(D238="","",IF(COUNTIFS('Видео'!$A$7:$A$1508,D238)=1,INDEX('Видео'!$D$7:$D$1508,MATCH(D238,'Видео'!$A$7:$A$1508,0)),"ID не найден"))</x:f>
        <x:v>Быт</x:v>
      </x:c>
      <x:c r="H238" s="10" t="str">
        <x:f>IF(D238="","",IF(COUNTIFS('Видео'!$A$7:$A$1508,D238)=1,INDEX('Видео'!$F$7:$F$1508,MATCH(D238,'Видео'!$A$7:$A$1508,0)),"ID не найден"))</x:f>
        <x:v>B1–B2 (гипотеза)</x:v>
      </x:c>
      <x:c r="I238" s="18" t="n">
        <x:f>IF(D238="","",IF(COUNTIFS('Видео'!$A$7:$A$1508,D238)=1,INDEX('Видео'!$G$7:$G$1508,MATCH(D238,'Видео'!$A$7:$A$1508,0)),"ID не найден"))</x:f>
        <x:v>45.9</x:v>
      </x:c>
      <x:c r="J238" s="18" t="n">
        <x:v>10</x:v>
      </x:c>
      <x:c r="K238" s="10" t="str">
        <x:f>IF(D238="","",IF(COUNTIFS('Видео'!$A$7:$A$1508,D238)=1,INDEX('Видео'!$AI$7:$AI$1508,MATCH(D238,'Видео'!$A$7:$A$1508,0)),"ID не найден"))</x:f>
        <x:v>Нужна редактура</x:v>
      </x:c>
      <x:c r="L238" s="19" t="str">
        <x:v>FOUEajYnD4E</x:v>
      </x:c>
      <x:c r="M238" s="10" t="str">
        <x:f>IF(L238="","",IF(COUNTIFS('Видео'!$A$7:$A$1508,L238)=1,INDEX('Видео'!$B$7:$B$1508,MATCH(L238,'Видео'!$A$7:$A$1508,0)),"ID не найден"))</x:f>
        <x:v>שום פלפל ושמן זית עונה 3 | מיקי קם</x:v>
      </x:c>
      <x:c r="N238" s="10" t="str"/>
      <x:c r="O238" s="10" t="str">
        <x:f>IF(D238="","",IF(COUNTIFS('Видео'!$A$7:$A$1508,D238)=1,INDEX('Видео'!$M$7:$M$1508,MATCH(D238,'Видео'!$A$7:$A$1508,0)),"ID не найден"))</x:f>
        <x:v>Тема: טיול אחרי צבא - סובב ישראל 🚐🇮🇱 | פרק 4 - משל המערה. Маршрут по стране помогает связывать язык с местами и планами путешествия. Визуальные подсказки облегчают понимание.</x:v>
      </x:c>
      <x:c r="P238" s="11" t="str">
        <x:f>IF(D238="","",IF(COUNTIFS('Видео'!$A$7:$A$1508,D238)=1,INDEX('Видео'!$U$7:$U$1508,MATCH(D238,'Видео'!$A$7:$A$1508,0)),"ID не найден"))</x:f>
        <x:v>https://www.youtube.com/watch?v=8boWw2m6IEQ</x:v>
      </x:c>
      <x:c r="Q238" s="17" t="str">
        <x:v>Предложено</x:v>
      </x:c>
      <x:c r="R238" s="17" t="str"/>
      <x:c r="S238" s="10" t="str"/>
      <x:c r="T238" s="10" t="str">
        <x:v>Резерв меняет выбор видео; снова проверить повод, аудиторию и все редакторские условия</x:v>
      </x:c>
      <x:c r="U238" s="9" t="str">
        <x:f>IF(D238="","Выбрать видео",IF(COUNTIFS($D$7:$D$371,D238)&gt;1,"Повтор","Без повтора"))</x:f>
        <x:v>Без повтора</x:v>
      </x:c>
    </x:row>
    <x:row r="239" ht="60" customHeight="1">
      <x:c r="A239" s="16" t="n">
        <x:v>46541</x:v>
      </x:c>
      <x:c r="B239" s="9" t="str">
        <x:v>Чт</x:v>
      </x:c>
      <x:c r="C239" s="10" t="str">
        <x:v>Сериал</x:v>
      </x:c>
      <x:c r="D239" s="19" t="str">
        <x:v>oC1ZifoAwkQ</x:v>
      </x:c>
      <x:c r="E239" s="10" t="str">
        <x:f>IF(D239="","",IF(COUNTIFS('Видео'!$A$7:$A$1508,D239)=1,INDEX('Видео'!$B$7:$B$1508,MATCH(D239,'Видео'!$A$7:$A$1508,0)),"ID не найден"))</x:f>
        <x:v>כראמל 🐱 | השיקוי - פרק 3</x:v>
      </x:c>
      <x:c r="F239" s="9" t="str">
        <x:f>IF(D239="","",IF(COUNTIFS('Видео'!$A$7:$A$1508,D239)=1,INDEX('Видео'!$R$7:$R$1508,MATCH(D239,'Видео'!$A$7:$A$1508,0)),"ID не найден"))</x:f>
        <x:v>C053</x:v>
      </x:c>
      <x:c r="G239" s="9" t="str">
        <x:f>IF(D239="","",IF(COUNTIFS('Видео'!$A$7:$A$1508,D239)=1,INDEX('Видео'!$D$7:$D$1508,MATCH(D239,'Видео'!$A$7:$A$1508,0)),"ID не найден"))</x:f>
        <x:v>Сериал</x:v>
      </x:c>
      <x:c r="H239" s="10" t="str">
        <x:f>IF(D239="","",IF(COUNTIFS('Видео'!$A$7:$A$1508,D239)=1,INDEX('Видео'!$F$7:$F$1508,MATCH(D239,'Видео'!$A$7:$A$1508,0)),"ID не найден"))</x:f>
        <x:v>A2–B1 (гипотеза)</x:v>
      </x:c>
      <x:c r="I239" s="18" t="n">
        <x:f>IF(D239="","",IF(COUNTIFS('Видео'!$A$7:$A$1508,D239)=1,INDEX('Видео'!$G$7:$G$1508,MATCH(D239,'Видео'!$A$7:$A$1508,0)),"ID не найден"))</x:f>
        <x:v>26.3</x:v>
      </x:c>
      <x:c r="J239" s="18" t="n">
        <x:v>10</x:v>
      </x:c>
      <x:c r="K239" s="10" t="str">
        <x:f>IF(D239="","",IF(COUNTIFS('Видео'!$A$7:$A$1508,D239)=1,INDEX('Видео'!$AI$7:$AI$1508,MATCH(D239,'Видео'!$A$7:$A$1508,0)),"ID не найден"))</x:f>
        <x:v>Нужна редактура</x:v>
      </x:c>
      <x:c r="L239" s="19" t="str">
        <x:v>hKGlWissGsQ</x:v>
      </x:c>
      <x:c r="M239" s="10" t="str">
        <x:f>IF(L239="","",IF(COUNTIFS('Видео'!$A$7:$A$1508,L239)=1,INDEX('Видео'!$B$7:$B$1508,MATCH(L239,'Видео'!$A$7:$A$1508,0)),"ID не найден"))</x:f>
        <x:v>דוקותיים | אפרת היא המורה היהודיה היחידה בכפר בדואי בנגב</x:v>
      </x:c>
      <x:c r="N239" s="10" t="str"/>
      <x:c r="O239" s="10" t="str">
        <x:f>IF(D239="","",IF(COUNTIFS('Видео'!$A$7:$A$1508,D239)=1,INDEX('Видео'!$M$7:$M$1508,MATCH(D239,'Видео'!$A$7:$A$1508,0)),"ID не найден"))</x:f>
        <x:v>Эпизод 3 в знакомой сюжетной ветке.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P239" s="11" t="str">
        <x:f>IF(D239="","",IF(COUNTIFS('Видео'!$A$7:$A$1508,D239)=1,INDEX('Видео'!$U$7:$U$1508,MATCH(D239,'Видео'!$A$7:$A$1508,0)),"ID не найден"))</x:f>
        <x:v>https://www.youtube.com/watch?v=oC1ZifoAwkQ</x:v>
      </x:c>
      <x:c r="Q239" s="17" t="str">
        <x:v>Предложено</x:v>
      </x:c>
      <x:c r="R239" s="17" t="str"/>
      <x:c r="S239" s="10" t="str"/>
      <x:c r="T239" s="10" t="str">
        <x:v>При недоступной серии приостановить сюжетную ветку; резерв — самостоятельное видео</x:v>
      </x:c>
      <x:c r="U239" s="9" t="str">
        <x:f>IF(D239="","Выбрать видео",IF(COUNTIFS($D$7:$D$371,D239)&gt;1,"Повтор","Без повтора"))</x:f>
        <x:v>Без повтора</x:v>
      </x:c>
    </x:row>
    <x:row r="240" ht="60" customHeight="1">
      <x:c r="A240" s="16" t="n">
        <x:v>46542</x:v>
      </x:c>
      <x:c r="B240" s="9" t="str">
        <x:v>Пт</x:v>
      </x:c>
      <x:c r="C240" s="10" t="str">
        <x:v>История</x:v>
      </x:c>
      <x:c r="D240" s="19" t="str">
        <x:v>wASaSlx-fUc</x:v>
      </x:c>
      <x:c r="E240" s="10" t="str">
        <x:f>IF(D240="","",IF(COUNTIFS('Видео'!$A$7:$A$1508,D240)=1,INDEX('Видео'!$B$7:$B$1508,MATCH(D240,'Видео'!$A$7:$A$1508,0)),"ID не найден"))</x:f>
        <x:v>והארץ הייתה תוהו ובוהו - תולדות ארץ ישראל | פרק 9: רומא בירושלים [HD]</x:v>
      </x:c>
      <x:c r="F240" s="9" t="str">
        <x:f>IF(D240="","",IF(COUNTIFS('Видео'!$A$7:$A$1508,D240)=1,INDEX('Видео'!$R$7:$R$1508,MATCH(D240,'Видео'!$A$7:$A$1508,0)),"ID не найден"))</x:f>
        <x:v>C031</x:v>
      </x:c>
      <x:c r="G240" s="9" t="str">
        <x:f>IF(D240="","",IF(COUNTIFS('Видео'!$A$7:$A$1508,D240)=1,INDEX('Видео'!$D$7:$D$1508,MATCH(D240,'Видео'!$A$7:$A$1508,0)),"ID не найден"))</x:f>
        <x:v>История</x:v>
      </x:c>
      <x:c r="H240" s="10" t="str">
        <x:f>IF(D240="","",IF(COUNTIFS('Видео'!$A$7:$A$1508,D240)=1,INDEX('Видео'!$F$7:$F$1508,MATCH(D240,'Видео'!$A$7:$A$1508,0)),"ID не найден"))</x:f>
        <x:v>B2–C1 (гипотеза)</x:v>
      </x:c>
      <x:c r="I240" s="18" t="n">
        <x:f>IF(D240="","",IF(COUNTIFS('Видео'!$A$7:$A$1508,D240)=1,INDEX('Видео'!$G$7:$G$1508,MATCH(D240,'Видео'!$A$7:$A$1508,0)),"ID не найден"))</x:f>
        <x:v>55.7</x:v>
      </x:c>
      <x:c r="J240" s="18" t="n">
        <x:v>10</x:v>
      </x:c>
      <x:c r="K240" s="10" t="str">
        <x:f>IF(D240="","",IF(COUNTIFS('Видео'!$A$7:$A$1508,D240)=1,INDEX('Видео'!$AI$7:$AI$1508,MATCH(D240,'Видео'!$A$7:$A$1508,0)),"ID не найден"))</x:f>
        <x:v>Нужна редактура</x:v>
      </x:c>
      <x:c r="L240" s="19" t="str">
        <x:v>BmyjtNKPZjc</x:v>
      </x:c>
      <x:c r="M240" s="10" t="str">
        <x:f>IF(L240="","",IF(COUNTIFS('Видео'!$A$7:$A$1508,L240)=1,INDEX('Видео'!$B$7:$B$1508,MATCH(L240,'Видео'!$A$7:$A$1508,0)),"ID не найден"))</x:f>
        <x:v>ריצוי, מחילה וכשלון אצל חז"ל | שיעור 2 – כיצד מפייסים? בין ישראל לבבל | ד"ר איתי מרינברג-מיליקובסקי</x:v>
      </x:c>
      <x:c r="N240" s="10" t="str">
        <x:v>День Иерусалима: история и место</x:v>
      </x:c>
      <x:c r="O240" s="10" t="str">
        <x:f>IF(D240="","",IF(COUNTIFS('Видео'!$A$7:$A$1508,D240)=1,INDEX('Видео'!$M$7:$M$1508,MATCH(D240,'Видео'!$A$7:$A$1508,0)),"ID не найден"))</x:f>
        <x:v>Тема: והארץ הייתה תוהו ובוהו - תולדות ארץ ישראל | פרק 9: רומא בירושלים [HD]. Цикл расширяет фокус от современной политики до многовековой истории страны. Визуальные материалы поддерживают понимание.</x:v>
      </x:c>
      <x:c r="P240" s="11" t="str">
        <x:f>IF(D240="","",IF(COUNTIFS('Видео'!$A$7:$A$1508,D240)=1,INDEX('Видео'!$U$7:$U$1508,MATCH(D240,'Видео'!$A$7:$A$1508,0)),"ID не найден"))</x:f>
        <x:v>https://www.youtube.com/watch?v=wASaSlx-fUc</x:v>
      </x:c>
      <x:c r="Q240" s="17" t="str">
        <x:v>Предложено</x:v>
      </x:c>
      <x:c r="R240" s="17" t="str"/>
      <x:c r="S240" s="10" t="str">
        <x:v>https://www.hebcal.com/holidays/2027?i=on</x:v>
      </x:c>
      <x:c r="T240" s="10" t="str">
        <x:v>Резерв меняет выбор видео; снова проверить повод, аудиторию и все редакторские условия</x:v>
      </x:c>
      <x:c r="U240" s="9" t="str">
        <x:f>IF(D240="","Выбрать видео",IF(COUNTIFS($D$7:$D$371,D240)&gt;1,"Повтор","Без повтора"))</x:f>
        <x:v>Без повтора</x:v>
      </x:c>
    </x:row>
    <x:row r="241" ht="60" customHeight="1">
      <x:c r="A241" s="16" t="n">
        <x:v>46543</x:v>
      </x:c>
      <x:c r="B241" s="9" t="str">
        <x:v>Сб</x:v>
      </x:c>
      <x:c r="C241" s="10" t="str">
        <x:v>Память</x:v>
      </x:c>
      <x:c r="D241" s="19" t="str">
        <x:v>gHFeeg77Vuw</x:v>
      </x:c>
      <x:c r="E241" s="10" t="str">
        <x:f>IF(D241="","",IF(COUNTIFS('Видео'!$A$7:$A$1508,D241)=1,INDEX('Видео'!$B$7:$B$1508,MATCH(D241,'Видео'!$A$7:$A$1508,0)),"ID не найден"))</x:f>
        <x:v>אמא יצאה לריצת בוקר ולא חזרה | אופק שטרית מספר על אמא נעמי</x:v>
      </x:c>
      <x:c r="F241" s="9" t="str">
        <x:f>IF(D241="","",IF(COUNTIFS('Видео'!$A$7:$A$1508,D241)=1,INDEX('Видео'!$R$7:$R$1508,MATCH(D241,'Видео'!$A$7:$A$1508,0)),"ID не найден"))</x:f>
        <x:v>C052</x:v>
      </x:c>
      <x:c r="G241" s="9" t="str">
        <x:f>IF(D241="","",IF(COUNTIFS('Видео'!$A$7:$A$1508,D241)=1,INDEX('Видео'!$D$7:$D$1508,MATCH(D241,'Видео'!$A$7:$A$1508,0)),"ID не найден"))</x:f>
        <x:v>Память</x:v>
      </x:c>
      <x:c r="H241" s="10" t="str">
        <x:f>IF(D241="","",IF(COUNTIFS('Видео'!$A$7:$A$1508,D241)=1,INDEX('Видео'!$F$7:$F$1508,MATCH(D241,'Видео'!$A$7:$A$1508,0)),"ID не найден"))</x:f>
        <x:v>B2–C1 (гипотеза)</x:v>
      </x:c>
      <x:c r="I241" s="18" t="n">
        <x:f>IF(D241="","",IF(COUNTIFS('Видео'!$A$7:$A$1508,D241)=1,INDEX('Видео'!$G$7:$G$1508,MATCH(D241,'Видео'!$A$7:$A$1508,0)),"ID не найден"))</x:f>
        <x:v>14.4</x:v>
      </x:c>
      <x:c r="J241" s="18" t="n">
        <x:v>10</x:v>
      </x:c>
      <x:c r="K241" s="10" t="str">
        <x:f>IF(D241="","",IF(COUNTIFS('Видео'!$A$7:$A$1508,D241)=1,INDEX('Видео'!$AI$7:$AI$1508,MATCH(D241,'Видео'!$A$7:$A$1508,0)),"ID не найден"))</x:f>
        <x:v>Нужна редактура</x:v>
      </x:c>
      <x:c r="L241" s="19" t="str">
        <x:v>8884iTJLOGE</x:v>
      </x:c>
      <x:c r="M241" s="10" t="str">
        <x:f>IF(L241="","",IF(COUNTIFS('Видео'!$A$7:$A$1508,L241)=1,INDEX('Видео'!$B$7:$B$1508,MATCH(L241,'Видео'!$A$7:$A$1508,0)),"ID не найден"))</x:f>
        <x:v>שאלות שרצינו לשאול – שיחות עם ניצולי שואה. פרק תשיעי: הגירוש לגטאות ולמחנות</x:v>
      </x:c>
      <x:c r="N241" s="10" t="str">
        <x:v>Ежемесячная добровольная рубрика памяти 7 октября</x:v>
      </x:c>
      <x:c r="O241" s="10" t="str">
        <x:f>IF(D241="","",IF(COUNTIFS('Видео'!$A$7:$A$1508,D241)=1,INDEX('Видео'!$M$7:$M$1508,MATCH(D241,'Видео'!$A$7:$A$1508,0)),"ID не найден"))</x:f>
        <x:v>Тема: אמא יצאה לריצת בוקר ולא חזרה | אופק שטרית מספר על אמא נעמי. Короткие истории музейного проекта дополняют длинные фильмы и позволяют выбирать посильный объём.</x:v>
      </x:c>
      <x:c r="P241" s="11" t="str">
        <x:f>IF(D241="","",IF(COUNTIFS('Видео'!$A$7:$A$1508,D241)=1,INDEX('Видео'!$U$7:$U$1508,MATCH(D241,'Видео'!$A$7:$A$1508,0)),"ID не найден"))</x:f>
        <x:v>https://www.youtube.com/watch?v=gHFeeg77Vuw</x:v>
      </x:c>
      <x:c r="Q241" s="17" t="str">
        <x:v>Предложено</x:v>
      </x:c>
      <x:c r="R241" s="17" t="str"/>
      <x:c r="S241" s="10" t="str">
        <x:v>Редакционная периодичность, не памятная дата</x:v>
      </x:c>
      <x:c r="T241" s="10" t="str">
        <x:v>Резерв меняет выбор видео; снова проверить повод, аудиторию и все редакторские условия</x:v>
      </x:c>
      <x:c r="U241" s="9" t="str">
        <x:f>IF(D241="","Выбрать видео",IF(COUNTIFS($D$7:$D$371,D241)&gt;1,"Повтор","Без повтора"))</x:f>
        <x:v>Без повтора</x:v>
      </x:c>
    </x:row>
    <x:row r="242" ht="60" customHeight="1">
      <x:c r="A242" s="16" t="n">
        <x:v>46544</x:v>
      </x:c>
      <x:c r="B242" s="9" t="str">
        <x:v>Вс</x:v>
      </x:c>
      <x:c r="C242" s="10" t="str">
        <x:v>Сериал</x:v>
      </x:c>
      <x:c r="D242" s="19" t="str">
        <x:v>JUfVRoaHvDg</x:v>
      </x:c>
      <x:c r="E242" s="10" t="str">
        <x:f>IF(D242="","",IF(COUNTIFS('Видео'!$A$7:$A$1508,D242)=1,INDEX('Видео'!$B$7:$B$1508,MATCH(D242,'Видео'!$A$7:$A$1508,0)),"ID не найден"))</x:f>
        <x:v>קופה ראשית עונה 4🛒 | פרק 13 - המשקיע</x:v>
      </x:c>
      <x:c r="F242" s="9" t="str">
        <x:f>IF(D242="","",IF(COUNTIFS('Видео'!$A$7:$A$1508,D242)=1,INDEX('Видео'!$R$7:$R$1508,MATCH(D242,'Видео'!$A$7:$A$1508,0)),"ID не найден"))</x:f>
        <x:v>C002</x:v>
      </x:c>
      <x:c r="G242" s="9" t="str">
        <x:f>IF(D242="","",IF(COUNTIFS('Видео'!$A$7:$A$1508,D242)=1,INDEX('Видео'!$D$7:$D$1508,MATCH(D242,'Видео'!$A$7:$A$1508,0)),"ID не найден"))</x:f>
        <x:v>Сериал</x:v>
      </x:c>
      <x:c r="H242" s="10" t="str">
        <x:f>IF(D242="","",IF(COUNTIFS('Видео'!$A$7:$A$1508,D242)=1,INDEX('Видео'!$F$7:$F$1508,MATCH(D242,'Видео'!$A$7:$A$1508,0)),"ID не найден"))</x:f>
        <x:v>B1–B2 (гипотеза)</x:v>
      </x:c>
      <x:c r="I242" s="18" t="n">
        <x:f>IF(D242="","",IF(COUNTIFS('Видео'!$A$7:$A$1508,D242)=1,INDEX('Видео'!$G$7:$G$1508,MATCH(D242,'Видео'!$A$7:$A$1508,0)),"ID не найден"))</x:f>
        <x:v>25.1</x:v>
      </x:c>
      <x:c r="J242" s="18" t="n">
        <x:v>10</x:v>
      </x:c>
      <x:c r="K242" s="10" t="str">
        <x:f>IF(D242="","",IF(COUNTIFS('Видео'!$A$7:$A$1508,D242)=1,INDEX('Видео'!$AI$7:$AI$1508,MATCH(D242,'Видео'!$A$7:$A$1508,0)),"ID не найден"))</x:f>
        <x:v>Нужна редактура</x:v>
      </x:c>
      <x:c r="L242" s="19" t="str">
        <x:v>1mqzYFbEzcg</x:v>
      </x:c>
      <x:c r="M242" s="10" t="str">
        <x:f>IF(L242="","",IF(COUNTIFS('Видео'!$A$7:$A$1508,L242)=1,INDEX('Видео'!$B$7:$B$1508,MATCH(L242,'Видео'!$A$7:$A$1508,0)),"ID не найден"))</x:f>
        <x:v>איך ייראה אות המערכה של מלחמת ה-7 באוקטובר?</x:v>
      </x:c>
      <x:c r="N242" s="10" t="str"/>
      <x:c r="O242" s="10" t="str">
        <x:f>IF(D242="","",IF(COUNTIFS('Видео'!$A$7:$A$1508,D242)=1,INDEX('Видео'!$M$7:$M$1508,MATCH(D242,'Видео'!$A$7:$A$1508,0)),"ID не найден"))</x:f>
        <x:v>Эпизод 13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42" s="11" t="str">
        <x:f>IF(D242="","",IF(COUNTIFS('Видео'!$A$7:$A$1508,D242)=1,INDEX('Видео'!$U$7:$U$1508,MATCH(D242,'Видео'!$A$7:$A$1508,0)),"ID не найден"))</x:f>
        <x:v>https://www.youtube.com/watch?v=JUfVRoaHvDg</x:v>
      </x:c>
      <x:c r="Q242" s="17" t="str">
        <x:v>Предложено</x:v>
      </x:c>
      <x:c r="R242" s="17" t="str"/>
      <x:c r="S242" s="10" t="str"/>
      <x:c r="T242" s="10" t="str">
        <x:v>При недоступной серии приостановить сюжетную ветку; резерв — самостоятельное видео</x:v>
      </x:c>
      <x:c r="U242" s="9" t="str">
        <x:f>IF(D242="","Выбрать видео",IF(COUNTIFS($D$7:$D$371,D242)&gt;1,"Повтор","Без повтора"))</x:f>
        <x:v>Без повтора</x:v>
      </x:c>
    </x:row>
    <x:row r="243" ht="60" customHeight="1">
      <x:c r="A243" s="16" t="n">
        <x:v>46545</x:v>
      </x:c>
      <x:c r="B243" s="9" t="str">
        <x:v>Пн</x:v>
      </x:c>
      <x:c r="C243" s="10" t="str">
        <x:v>Интервью</x:v>
      </x:c>
      <x:c r="D243" s="19" t="str">
        <x:v>_eab_qGKG4k</x:v>
      </x:c>
      <x:c r="E243" s="10" t="str">
        <x:f>IF(D243="","",IF(COUNTIFS('Видео'!$A$7:$A$1508,D243)=1,INDEX('Видео'!$B$7:$B$1508,MATCH(D243,'Видео'!$A$7:$A$1508,0)),"ID не найден"))</x:f>
        <x:v>פגישה עם רוני קובן עונה 8 | אביגדור ליברמן</x:v>
      </x:c>
      <x:c r="F243" s="9" t="str">
        <x:f>IF(D243="","",IF(COUNTIFS('Видео'!$A$7:$A$1508,D243)=1,INDEX('Видео'!$R$7:$R$1508,MATCH(D243,'Видео'!$A$7:$A$1508,0)),"ID не найден"))</x:f>
        <x:v>C015</x:v>
      </x:c>
      <x:c r="G243" s="9" t="str">
        <x:f>IF(D243="","",IF(COUNTIFS('Видео'!$A$7:$A$1508,D243)=1,INDEX('Видео'!$D$7:$D$1508,MATCH(D243,'Видео'!$A$7:$A$1508,0)),"ID не найден"))</x:f>
        <x:v>Интервью</x:v>
      </x:c>
      <x:c r="H243" s="10" t="str">
        <x:f>IF(D243="","",IF(COUNTIFS('Видео'!$A$7:$A$1508,D243)=1,INDEX('Видео'!$F$7:$F$1508,MATCH(D243,'Видео'!$A$7:$A$1508,0)),"ID не найден"))</x:f>
        <x:v>B2–C1 (гипотеза)</x:v>
      </x:c>
      <x:c r="I243" s="18" t="n">
        <x:f>IF(D243="","",IF(COUNTIFS('Видео'!$A$7:$A$1508,D243)=1,INDEX('Видео'!$G$7:$G$1508,MATCH(D243,'Видео'!$A$7:$A$1508,0)),"ID не найден"))</x:f>
        <x:v>33.1</x:v>
      </x:c>
      <x:c r="J243" s="18" t="n">
        <x:v>10</x:v>
      </x:c>
      <x:c r="K243" s="10" t="str">
        <x:f>IF(D243="","",IF(COUNTIFS('Видео'!$A$7:$A$1508,D243)=1,INDEX('Видео'!$AI$7:$AI$1508,MATCH(D243,'Видео'!$A$7:$A$1508,0)),"ID не найден"))</x:f>
        <x:v>Нужна редактура</x:v>
      </x:c>
      <x:c r="L243" s="19" t="str">
        <x:v>cUrLzefPxu0</x:v>
      </x:c>
      <x:c r="M243" s="10" t="str">
        <x:f>IF(L243="","",IF(COUNTIFS('Видео'!$A$7:$A$1508,L243)=1,INDEX('Видео'!$B$7:$B$1508,MATCH(L243,'Видео'!$A$7:$A$1508,0)),"ID не найден"))</x:f>
        <x:v>פגישה עם רוני קובן עונה 10 | לוסי אהריש</x:v>
      </x:c>
      <x:c r="N243" s="10" t="str"/>
      <x:c r="O243" s="10" t="str">
        <x:f>IF(D243="","",IF(COUNTIFS('Видео'!$A$7:$A$1508,D243)=1,INDEX('Видео'!$M$7:$M$1508,MATCH(D243,'Видео'!$A$7:$A$1508,0)),"ID не найден"))</x:f>
        <x:v>Тема / гость: אביגדור ליברמן. Просмотры в списке выше медианы выборки этого цикла в 2.12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243" s="11" t="str">
        <x:f>IF(D243="","",IF(COUNTIFS('Видео'!$A$7:$A$1508,D243)=1,INDEX('Видео'!$U$7:$U$1508,MATCH(D243,'Видео'!$A$7:$A$1508,0)),"ID не найден"))</x:f>
        <x:v>https://www.youtube.com/watch?v=_eab_qGKG4k</x:v>
      </x:c>
      <x:c r="Q243" s="17" t="str">
        <x:v>Предложено</x:v>
      </x:c>
      <x:c r="R243" s="17" t="str"/>
      <x:c r="S243" s="10" t="str"/>
      <x:c r="T243" s="10" t="str">
        <x:v>Резерв меняет выбор видео; снова проверить повод, аудиторию и все редакторские условия</x:v>
      </x:c>
      <x:c r="U243" s="9" t="str">
        <x:f>IF(D243="","Выбрать видео",IF(COUNTIFS($D$7:$D$371,D243)&gt;1,"Повтор","Без повтора"))</x:f>
        <x:v>Без повтора</x:v>
      </x:c>
    </x:row>
    <x:row r="244" ht="60" customHeight="1">
      <x:c r="A244" s="16" t="n">
        <x:v>46546</x:v>
      </x:c>
      <x:c r="B244" s="9" t="str">
        <x:v>Вт</x:v>
      </x:c>
      <x:c r="C244" s="10" t="str">
        <x:v>Образование</x:v>
      </x:c>
      <x:c r="D244" s="19" t="str">
        <x:v>Astv7HswZLc</x:v>
      </x:c>
      <x:c r="E244" s="10" t="str">
        <x:f>IF(D244="","",IF(COUNTIFS('Видео'!$A$7:$A$1508,D244)=1,INDEX('Видео'!$B$7:$B$1508,MATCH(D244,'Видео'!$A$7:$A$1508,0)),"ID не найден"))</x:f>
        <x:v>מנדל והאפונים - חוקי התורשה</x:v>
      </x:c>
      <x:c r="F244" s="9" t="str">
        <x:f>IF(D244="","",IF(COUNTIFS('Видео'!$A$7:$A$1508,D244)=1,INDEX('Видео'!$R$7:$R$1508,MATCH(D244,'Видео'!$A$7:$A$1508,0)),"ID не найден"))</x:f>
        <x:v>C063</x:v>
      </x:c>
      <x:c r="G244" s="9" t="str">
        <x:f>IF(D244="","",IF(COUNTIFS('Видео'!$A$7:$A$1508,D244)=1,INDEX('Видео'!$D$7:$D$1508,MATCH(D244,'Видео'!$A$7:$A$1508,0)),"ID не найден"))</x:f>
        <x:v>Образование</x:v>
      </x:c>
      <x:c r="H244" s="10" t="str">
        <x:f>IF(D244="","",IF(COUNTIFS('Видео'!$A$7:$A$1508,D244)=1,INDEX('Видео'!$F$7:$F$1508,MATCH(D244,'Видео'!$A$7:$A$1508,0)),"ID не найден"))</x:f>
        <x:v>B1–B2 (гипотеза)</x:v>
      </x:c>
      <x:c r="I244" s="18" t="n">
        <x:f>IF(D244="","",IF(COUNTIFS('Видео'!$A$7:$A$1508,D244)=1,INDEX('Видео'!$G$7:$G$1508,MATCH(D244,'Видео'!$A$7:$A$1508,0)),"ID не найден"))</x:f>
        <x:v>4.6</x:v>
      </x:c>
      <x:c r="J244" s="18" t="n">
        <x:v>5</x:v>
      </x:c>
      <x:c r="K244" s="10" t="str">
        <x:f>IF(D244="","",IF(COUNTIFS('Видео'!$A$7:$A$1508,D244)=1,INDEX('Видео'!$AI$7:$AI$1508,MATCH(D244,'Видео'!$A$7:$A$1508,0)),"ID не найден"))</x:f>
        <x:v>Нужна редактура</x:v>
      </x:c>
      <x:c r="L244" s="19" t="str">
        <x:v>y65k8W8vVqs</x:v>
      </x:c>
      <x:c r="M244" s="10" t="str">
        <x:f>IF(L244="","",IF(COUNTIFS('Видео'!$A$7:$A$1508,L244)=1,INDEX('Видео'!$B$7:$B$1508,MATCH(L244,'Видео'!$A$7:$A$1508,0)),"ID не найден"))</x:f>
        <x:v>גלילאו עונה 9 | איך אפשר ליצור מגדל בלונים? 🎈</x:v>
      </x:c>
      <x:c r="N244" s="10" t="str"/>
      <x:c r="O244" s="10" t="str">
        <x:f>IF(D244="","",IF(COUNTIFS('Видео'!$A$7:$A$1508,D244)=1,INDEX('Видео'!$M$7:$M$1508,MATCH(D244,'Видео'!$A$7:$A$1508,0)),"ID не найден"))</x:f>
        <x:v>Завершённый короткий просмотр около 5 мин. Просмотры в списке выше медианы выборки этого цикла в 3.27 раза. История открытия соединяет научный интерес и последовательный рассказ.</x:v>
      </x:c>
      <x:c r="P244" s="11" t="str">
        <x:f>IF(D244="","",IF(COUNTIFS('Видео'!$A$7:$A$1508,D244)=1,INDEX('Видео'!$U$7:$U$1508,MATCH(D244,'Видео'!$A$7:$A$1508,0)),"ID не найден"))</x:f>
        <x:v>https://www.youtube.com/watch?v=Astv7HswZLc</x:v>
      </x:c>
      <x:c r="Q244" s="17" t="str">
        <x:v>Предложено</x:v>
      </x:c>
      <x:c r="R244" s="17" t="str"/>
      <x:c r="S244" s="10" t="str"/>
      <x:c r="T244" s="10" t="str">
        <x:v>Резерв меняет выбор видео; снова проверить повод, аудиторию и все редакторские условия</x:v>
      </x:c>
      <x:c r="U244" s="9" t="str">
        <x:f>IF(D244="","Выбрать видео",IF(COUNTIFS($D$7:$D$371,D244)&gt;1,"Повтор","Без повтора"))</x:f>
        <x:v>Без повтора</x:v>
      </x:c>
    </x:row>
    <x:row r="245" ht="60" customHeight="1">
      <x:c r="A245" s="16" t="n">
        <x:v>46547</x:v>
      </x:c>
      <x:c r="B245" s="9" t="str">
        <x:v>Ср</x:v>
      </x:c>
      <x:c r="C245" s="10" t="str">
        <x:v>Быт</x:v>
      </x:c>
      <x:c r="D245" s="19" t="str">
        <x:v>wmQNGOyX7BE</x:v>
      </x:c>
      <x:c r="E245" s="10" t="str">
        <x:f>IF(D245="","",IF(COUNTIFS('Видео'!$A$7:$A$1508,D245)=1,INDEX('Видео'!$B$7:$B$1508,MATCH(D245,'Видео'!$A$7:$A$1508,0)),"ID не найден"))</x:f>
        <x:v>ליגה ג' ⚽ | אף פעם לא תלכי לבד - פרק 5 - פרק הסיום!</x:v>
      </x:c>
      <x:c r="F245" s="9" t="str">
        <x:f>IF(D245="","",IF(COUNTIFS('Видео'!$A$7:$A$1508,D245)=1,INDEX('Видео'!$R$7:$R$1508,MATCH(D245,'Видео'!$A$7:$A$1508,0)),"ID не найден"))</x:f>
        <x:v>C039</x:v>
      </x:c>
      <x:c r="G245" s="9" t="str">
        <x:f>IF(D245="","",IF(COUNTIFS('Видео'!$A$7:$A$1508,D245)=1,INDEX('Видео'!$D$7:$D$1508,MATCH(D245,'Видео'!$A$7:$A$1508,0)),"ID не найден"))</x:f>
        <x:v>Быт</x:v>
      </x:c>
      <x:c r="H245" s="10" t="str">
        <x:f>IF(D245="","",IF(COUNTIFS('Видео'!$A$7:$A$1508,D245)=1,INDEX('Видео'!$F$7:$F$1508,MATCH(D245,'Видео'!$A$7:$A$1508,0)),"ID не найден"))</x:f>
        <x:v>B2–C1 (гипотеза)</x:v>
      </x:c>
      <x:c r="I245" s="18" t="n">
        <x:f>IF(D245="","",IF(COUNTIFS('Видео'!$A$7:$A$1508,D245)=1,INDEX('Видео'!$G$7:$G$1508,MATCH(D245,'Видео'!$A$7:$A$1508,0)),"ID не найден"))</x:f>
        <x:v>41.9</x:v>
      </x:c>
      <x:c r="J245" s="18" t="n">
        <x:v>10</x:v>
      </x:c>
      <x:c r="K245" s="10" t="str">
        <x:f>IF(D245="","",IF(COUNTIFS('Видео'!$A$7:$A$1508,D245)=1,INDEX('Видео'!$AI$7:$AI$1508,MATCH(D245,'Видео'!$A$7:$A$1508,0)),"ID не найден"))</x:f>
        <x:v>Нужна редактура</x:v>
      </x:c>
      <x:c r="L245" s="19" t="str">
        <x:v>pK5Q01hn1aI</x:v>
      </x:c>
      <x:c r="M245" s="10" t="str">
        <x:f>IF(L245="","",IF(COUNTIFS('Видео'!$A$7:$A$1508,L245)=1,INDEX('Видео'!$B$7:$B$1508,MATCH(L245,'Видео'!$A$7:$A$1508,0)),"ID не найден"))</x:f>
        <x:v>שום פלפל ושמן זית עונה 3 | ליאור רז</x:v>
      </x:c>
      <x:c r="N245" s="10" t="str"/>
      <x:c r="O245" s="10" t="str">
        <x:f>IF(D245="","",IF(COUNTIFS('Видео'!$A$7:$A$1508,D245)=1,INDEX('Видео'!$M$7:$M$1508,MATCH(D245,'Видео'!$A$7:$A$1508,0)),"ID не найден"))</x:f>
        <x:v>Тема: ליגה ג' ⚽ | אף פעם לא תלכי לבד - פרק 5 - פרק הסיום!. Любительский футбол показывает местные сообщества вне привычного образа Тель-Авива.</x:v>
      </x:c>
      <x:c r="P245" s="11" t="str">
        <x:f>IF(D245="","",IF(COUNTIFS('Видео'!$A$7:$A$1508,D245)=1,INDEX('Видео'!$U$7:$U$1508,MATCH(D245,'Видео'!$A$7:$A$1508,0)),"ID не найден"))</x:f>
        <x:v>https://www.youtube.com/watch?v=wmQNGOyX7BE</x:v>
      </x:c>
      <x:c r="Q245" s="17" t="str">
        <x:v>Предложено</x:v>
      </x:c>
      <x:c r="R245" s="17" t="str"/>
      <x:c r="S245" s="10" t="str"/>
      <x:c r="T245" s="10" t="str">
        <x:v>Резерв меняет выбор видео; снова проверить повод, аудиторию и все редакторские условия</x:v>
      </x:c>
      <x:c r="U245" s="9" t="str">
        <x:f>IF(D245="","Выбрать видео",IF(COUNTIFS($D$7:$D$371,D245)&gt;1,"Повтор","Без повтора"))</x:f>
        <x:v>Без повтора</x:v>
      </x:c>
    </x:row>
    <x:row r="246" ht="60" customHeight="1">
      <x:c r="A246" s="16" t="n">
        <x:v>46548</x:v>
      </x:c>
      <x:c r="B246" s="9" t="str">
        <x:v>Чт</x:v>
      </x:c>
      <x:c r="C246" s="10" t="str">
        <x:v>История</x:v>
      </x:c>
      <x:c r="D246" s="19" t="str">
        <x:v>pZHaUMn3vD8</x:v>
      </x:c>
      <x:c r="E246" s="10" t="str">
        <x:f>IF(D246="","",IF(COUNTIFS('Видео'!$A$7:$A$1508,D246)=1,INDEX('Видео'!$B$7:$B$1508,MATCH(D246,'Видео'!$A$7:$A$1508,0)),"ID не найден"))</x:f>
        <x:v>בחזרה למצרים | שיעור 2 – מתן תורה ליהודי מצרים – איגרת אריסטיאס | פרופ' נח חכם</x:v>
      </x:c>
      <x:c r="F246" s="9" t="str">
        <x:f>IF(D246="","",IF(COUNTIFS('Видео'!$A$7:$A$1508,D246)=1,INDEX('Видео'!$R$7:$R$1508,MATCH(D246,'Видео'!$A$7:$A$1508,0)),"ID не найден"))</x:f>
        <x:v>C066</x:v>
      </x:c>
      <x:c r="G246" s="9" t="str">
        <x:f>IF(D246="","",IF(COUNTIFS('Видео'!$A$7:$A$1508,D246)=1,INDEX('Видео'!$D$7:$D$1508,MATCH(D246,'Видео'!$A$7:$A$1508,0)),"ID не найден"))</x:f>
        <x:v>История</x:v>
      </x:c>
      <x:c r="H246" s="10" t="str">
        <x:f>IF(D246="","",IF(COUNTIFS('Видео'!$A$7:$A$1508,D246)=1,INDEX('Видео'!$F$7:$F$1508,MATCH(D246,'Видео'!$A$7:$A$1508,0)),"ID не найден"))</x:f>
        <x:v>B2–C1 (гипотеза)</x:v>
      </x:c>
      <x:c r="I246" s="18" t="n">
        <x:f>IF(D246="","",IF(COUNTIFS('Видео'!$A$7:$A$1508,D246)=1,INDEX('Видео'!$G$7:$G$1508,MATCH(D246,'Видео'!$A$7:$A$1508,0)),"ID не найден"))</x:f>
        <x:v>36.9</x:v>
      </x:c>
      <x:c r="J246" s="18" t="n">
        <x:v>10</x:v>
      </x:c>
      <x:c r="K246" s="10" t="str">
        <x:f>IF(D246="","",IF(COUNTIFS('Видео'!$A$7:$A$1508,D246)=1,INDEX('Видео'!$AI$7:$AI$1508,MATCH(D246,'Видео'!$A$7:$A$1508,0)),"ID не найден"))</x:f>
        <x:v>Нужна редактура</x:v>
      </x:c>
      <x:c r="L246" s="19" t="str">
        <x:v>EQsLfQ9Na_w</x:v>
      </x:c>
      <x:c r="M246" s="10" t="str">
        <x:f>IF(L246="","",IF(COUNTIFS('Видео'!$A$7:$A$1508,L246)=1,INDEX('Видео'!$B$7:$B$1508,MATCH(L246,'Видео'!$A$7:$A$1508,0)),"ID не найден"))</x:f>
        <x:v>ריצוי, מחילה וכשלון אצל חז"ל | שיעור 5 – מסליחה בתלמוד אל הלכות תשובה | ד"ר איתי מרינברג-מיליקובסקי</x:v>
      </x:c>
      <x:c r="N246" s="10" t="str">
        <x:v>Шавуот начинается вечером: текст и традиция</x:v>
      </x:c>
      <x:c r="O246" s="10" t="str">
        <x:f>IF(D246="","",IF(COUNTIFS('Видео'!$A$7:$A$1508,D246)=1,INDEX('Видео'!$M$7:$M$1508,MATCH(D246,'Видео'!$A$7:$A$1508,0)),"ID не найден"))</x:f>
        <x:v>Тема: בחזרה למצרים | שיעור 2 – מתן תורה ליהודי מצרים – איגרת אריסטיאס | פרופ' נח חכם. Египетская еврейская история расширяет каталог за пределы европейского опыта.</x:v>
      </x:c>
      <x:c r="P246" s="11" t="str">
        <x:f>IF(D246="","",IF(COUNTIFS('Видео'!$A$7:$A$1508,D246)=1,INDEX('Видео'!$U$7:$U$1508,MATCH(D246,'Видео'!$A$7:$A$1508,0)),"ID не найден"))</x:f>
        <x:v>https://www.youtube.com/watch?v=pZHaUMn3vD8</x:v>
      </x:c>
      <x:c r="Q246" s="17" t="str">
        <x:v>Предложено</x:v>
      </x:c>
      <x:c r="R246" s="17" t="str"/>
      <x:c r="S246" s="10" t="str">
        <x:v>https://www.hebcal.com/holidays/2027?i=on</x:v>
      </x:c>
      <x:c r="T246" s="10" t="str">
        <x:v>Резерв меняет выбор видео; снова проверить повод, аудиторию и все редакторские условия</x:v>
      </x:c>
      <x:c r="U246" s="9" t="str">
        <x:f>IF(D246="","Выбрать видео",IF(COUNTIFS($D$7:$D$371,D246)&gt;1,"Повтор","Без повтора"))</x:f>
        <x:v>Без повтора</x:v>
      </x:c>
    </x:row>
    <x:row r="247" ht="60" customHeight="1">
      <x:c r="A247" s="16" t="n">
        <x:v>46549</x:v>
      </x:c>
      <x:c r="B247" s="9" t="str">
        <x:v>Пт</x:v>
      </x:c>
      <x:c r="C247" s="10" t="str">
        <x:v>История</x:v>
      </x:c>
      <x:c r="D247" s="19" t="str">
        <x:v>rPzhjHEQsEw</x:v>
      </x:c>
      <x:c r="E247" s="10" t="str">
        <x:f>IF(D247="","",IF(COUNTIFS('Видео'!$A$7:$A$1508,D247)=1,INDEX('Видео'!$B$7:$B$1508,MATCH(D247,'Видео'!$A$7:$A$1508,0)),"ID не найден"))</x:f>
        <x:v>תולדות העברית דרך האטימולוגיה | שיעור 2 - מגלות בבל לארץ ישראל וחזרה | אילון גלעד</x:v>
      </x:c>
      <x:c r="F247" s="9" t="str">
        <x:f>IF(D247="","",IF(COUNTIFS('Видео'!$A$7:$A$1508,D247)=1,INDEX('Видео'!$R$7:$R$1508,MATCH(D247,'Видео'!$A$7:$A$1508,0)),"ID не найден"))</x:f>
        <x:v>C065</x:v>
      </x:c>
      <x:c r="G247" s="9" t="str">
        <x:f>IF(D247="","",IF(COUNTIFS('Видео'!$A$7:$A$1508,D247)=1,INDEX('Видео'!$D$7:$D$1508,MATCH(D247,'Видео'!$A$7:$A$1508,0)),"ID не найден"))</x:f>
        <x:v>История</x:v>
      </x:c>
      <x:c r="H247" s="10" t="str">
        <x:f>IF(D247="","",IF(COUNTIFS('Видео'!$A$7:$A$1508,D247)=1,INDEX('Видео'!$F$7:$F$1508,MATCH(D247,'Видео'!$A$7:$A$1508,0)),"ID не найден"))</x:f>
        <x:v>B2–C1 (гипотеза)</x:v>
      </x:c>
      <x:c r="I247" s="18" t="n">
        <x:f>IF(D247="","",IF(COUNTIFS('Видео'!$A$7:$A$1508,D247)=1,INDEX('Видео'!$G$7:$G$1508,MATCH(D247,'Видео'!$A$7:$A$1508,0)),"ID не найден"))</x:f>
        <x:v>37.1</x:v>
      </x:c>
      <x:c r="J247" s="18" t="n">
        <x:v>10</x:v>
      </x:c>
      <x:c r="K247" s="10" t="str">
        <x:f>IF(D247="","",IF(COUNTIFS('Видео'!$A$7:$A$1508,D247)=1,INDEX('Видео'!$AI$7:$AI$1508,MATCH(D247,'Видео'!$A$7:$A$1508,0)),"ID не найден"))</x:f>
        <x:v>Нужна редактура</x:v>
      </x:c>
      <x:c r="L247" s="19" t="str">
        <x:v>Wu1I85b_NNY</x:v>
      </x:c>
      <x:c r="M247" s="10" t="str">
        <x:f>IF(L247="","",IF(COUNTIFS('Видео'!$A$7:$A$1508,L247)=1,INDEX('Видео'!$B$7:$B$1508,MATCH(L247,'Видео'!$A$7:$A$1508,0)),"ID не найден"))</x:f>
        <x:v>העברים | "6 פרקי אבות" - אבות ישורון | כאן דוקו</x:v>
      </x:c>
      <x:c r="N247" s="10" t="str"/>
      <x:c r="O247" s="10" t="str">
        <x:f>IF(D247="","",IF(COUNTIFS('Видео'!$A$7:$A$1508,D247)=1,INDEX('Видео'!$M$7:$M$1508,MATCH(D247,'Видео'!$A$7:$A$1508,0)),"ID не найден"))</x:f>
        <x:v>Тема: תולדות העברית דרך האטימולוגיה | שיעור 2 - מגלות בבל לארץ ישראל וחזרה | אילון גלעד. Этимология связывает слово с историей культуры и даёт прямую ценность изучающим язык.</x:v>
      </x:c>
      <x:c r="P247" s="11" t="str">
        <x:f>IF(D247="","",IF(COUNTIFS('Видео'!$A$7:$A$1508,D247)=1,INDEX('Видео'!$U$7:$U$1508,MATCH(D247,'Видео'!$A$7:$A$1508,0)),"ID не найден"))</x:f>
        <x:v>https://www.youtube.com/watch?v=rPzhjHEQsEw</x:v>
      </x:c>
      <x:c r="Q247" s="17" t="str">
        <x:v>Предложено</x:v>
      </x:c>
      <x:c r="R247" s="17" t="str"/>
      <x:c r="S247" s="10" t="str"/>
      <x:c r="T247" s="10" t="str">
        <x:v>Резерв меняет выбор видео; снова проверить повод, аудиторию и все редакторские условия</x:v>
      </x:c>
      <x:c r="U247" s="9" t="str">
        <x:f>IF(D247="","Выбрать видео",IF(COUNTIFS($D$7:$D$371,D247)&gt;1,"Повтор","Без повтора"))</x:f>
        <x:v>Без повтора</x:v>
      </x:c>
    </x:row>
    <x:row r="248" ht="60" customHeight="1">
      <x:c r="A248" s="16" t="n">
        <x:v>46550</x:v>
      </x:c>
      <x:c r="B248" s="9" t="str">
        <x:v>Сб</x:v>
      </x:c>
      <x:c r="C248" s="10" t="str">
        <x:v>Общество</x:v>
      </x:c>
      <x:c r="D248" s="19" t="str">
        <x:v>azMhGZep7lo</x:v>
      </x:c>
      <x:c r="E248" s="10" t="str">
        <x:f>IF(D248="","",IF(COUNTIFS('Видео'!$A$7:$A$1508,D248)=1,INDEX('Видео'!$B$7:$B$1508,MATCH(D248,'Видео'!$A$7:$A$1508,0)),"ID не найден"))</x:f>
        <x:v>סליחה על השאלה עונה 3 💙 | אלימות במשפחה</x:v>
      </x:c>
      <x:c r="F248" s="9" t="str">
        <x:f>IF(D248="","",IF(COUNTIFS('Видео'!$A$7:$A$1508,D248)=1,INDEX('Видео'!$R$7:$R$1508,MATCH(D248,'Видео'!$A$7:$A$1508,0)),"ID не найден"))</x:f>
        <x:v>C019</x:v>
      </x:c>
      <x:c r="G248" s="9" t="str">
        <x:f>IF(D248="","",IF(COUNTIFS('Видео'!$A$7:$A$1508,D248)=1,INDEX('Видео'!$D$7:$D$1508,MATCH(D248,'Видео'!$A$7:$A$1508,0)),"ID не найден"))</x:f>
        <x:v>Общество</x:v>
      </x:c>
      <x:c r="H248" s="10" t="str">
        <x:f>IF(D248="","",IF(COUNTIFS('Видео'!$A$7:$A$1508,D248)=1,INDEX('Видео'!$F$7:$F$1508,MATCH(D248,'Видео'!$A$7:$A$1508,0)),"ID не найден"))</x:f>
        <x:v>B1–B2 (гипотеза)</x:v>
      </x:c>
      <x:c r="I248" s="18" t="n">
        <x:f>IF(D248="","",IF(COUNTIFS('Видео'!$A$7:$A$1508,D248)=1,INDEX('Видео'!$G$7:$G$1508,MATCH(D248,'Видео'!$A$7:$A$1508,0)),"ID не найден"))</x:f>
        <x:v>26.6</x:v>
      </x:c>
      <x:c r="J248" s="18" t="n">
        <x:v>10</x:v>
      </x:c>
      <x:c r="K248" s="10" t="str">
        <x:f>IF(D248="","",IF(COUNTIFS('Видео'!$A$7:$A$1508,D248)=1,INDEX('Видео'!$AI$7:$AI$1508,MATCH(D248,'Видео'!$A$7:$A$1508,0)),"ID не найден"))</x:f>
        <x:v>Нужна редактура</x:v>
      </x:c>
      <x:c r="L248" s="19" t="str">
        <x:v>8Eg3-g0KCKo</x:v>
      </x:c>
      <x:c r="M248" s="10" t="str">
        <x:f>IF(L248="","",IF(COUNTIFS('Видео'!$A$7:$A$1508,L248)=1,INDEX('Видео'!$B$7:$B$1508,MATCH(L248,'Видео'!$A$7:$A$1508,0)),"ID не найден"))</x:f>
        <x:v>סליחה על השאלה | מתמודדים עם מחלות נפש</x:v>
      </x:c>
      <x:c r="N248" s="10" t="str"/>
      <x:c r="O248" s="10" t="str">
        <x:f>IF(D248="","",IF(COUNTIFS('Видео'!$A$7:$A$1508,D248)=1,INDEX('Видео'!$M$7:$M$1508,MATCH(D248,'Видео'!$A$7:$A$1508,0)),"ID не найден"))</x:f>
        <x:v>Тема: סליחה על השאלה עונה 3 💙 | אלימות במשפחה. Одинаковый вопрос разным людям позволяет сравнить ответы и акценты. Формат вводит социальные группы через их собственную речь.</x:v>
      </x:c>
      <x:c r="P248" s="11" t="str">
        <x:f>IF(D248="","",IF(COUNTIFS('Видео'!$A$7:$A$1508,D248)=1,INDEX('Видео'!$U$7:$U$1508,MATCH(D248,'Видео'!$A$7:$A$1508,0)),"ID не найден"))</x:f>
        <x:v>https://www.youtube.com/watch?v=azMhGZep7lo</x:v>
      </x:c>
      <x:c r="Q248" s="17" t="str">
        <x:v>Предложено</x:v>
      </x:c>
      <x:c r="R248" s="17" t="str"/>
      <x:c r="S248" s="10" t="str"/>
      <x:c r="T248" s="10" t="str">
        <x:v>Резерв меняет выбор видео; снова проверить повод, аудиторию и все редакторские условия</x:v>
      </x:c>
      <x:c r="U248" s="9" t="str">
        <x:f>IF(D248="","Выбрать видео",IF(COUNTIFS($D$7:$D$371,D248)&gt;1,"Повтор","Без повтора"))</x:f>
        <x:v>Без повтора</x:v>
      </x:c>
    </x:row>
    <x:row r="249" ht="60" customHeight="1">
      <x:c r="A249" s="16" t="n">
        <x:v>46551</x:v>
      </x:c>
      <x:c r="B249" s="9" t="str">
        <x:v>Вс</x:v>
      </x:c>
      <x:c r="C249" s="10" t="str">
        <x:v>Сериал</x:v>
      </x:c>
      <x:c r="D249" s="19" t="str">
        <x:v>6MRvKxhiJmg</x:v>
      </x:c>
      <x:c r="E249" s="10" t="str">
        <x:f>IF(D249="","",IF(COUNTIFS('Видео'!$A$7:$A$1508,D249)=1,INDEX('Видео'!$B$7:$B$1508,MATCH(D249,'Видео'!$A$7:$A$1508,0)),"ID не найден"))</x:f>
        <x:v>קופה ראשית עונה 4🛒 | פרק 14 - יום האהבה</x:v>
      </x:c>
      <x:c r="F249" s="9" t="str">
        <x:f>IF(D249="","",IF(COUNTIFS('Видео'!$A$7:$A$1508,D249)=1,INDEX('Видео'!$R$7:$R$1508,MATCH(D249,'Видео'!$A$7:$A$1508,0)),"ID не найден"))</x:f>
        <x:v>C002</x:v>
      </x:c>
      <x:c r="G249" s="9" t="str">
        <x:f>IF(D249="","",IF(COUNTIFS('Видео'!$A$7:$A$1508,D249)=1,INDEX('Видео'!$D$7:$D$1508,MATCH(D249,'Видео'!$A$7:$A$1508,0)),"ID не найден"))</x:f>
        <x:v>Сериал</x:v>
      </x:c>
      <x:c r="H249" s="10" t="str">
        <x:f>IF(D249="","",IF(COUNTIFS('Видео'!$A$7:$A$1508,D249)=1,INDEX('Видео'!$F$7:$F$1508,MATCH(D249,'Видео'!$A$7:$A$1508,0)),"ID не найден"))</x:f>
        <x:v>B1–B2 (гипотеза)</x:v>
      </x:c>
      <x:c r="I249" s="18" t="n">
        <x:f>IF(D249="","",IF(COUNTIFS('Видео'!$A$7:$A$1508,D249)=1,INDEX('Видео'!$G$7:$G$1508,MATCH(D249,'Видео'!$A$7:$A$1508,0)),"ID не найден"))</x:f>
        <x:v>24.8</x:v>
      </x:c>
      <x:c r="J249" s="18" t="n">
        <x:v>10</x:v>
      </x:c>
      <x:c r="K249" s="10" t="str">
        <x:f>IF(D249="","",IF(COUNTIFS('Видео'!$A$7:$A$1508,D249)=1,INDEX('Видео'!$AI$7:$AI$1508,MATCH(D249,'Видео'!$A$7:$A$1508,0)),"ID не найден"))</x:f>
        <x:v>Нужна редактура</x:v>
      </x:c>
      <x:c r="L249" s="19" t="str">
        <x:v>aQUwWW-EAa4</x:v>
      </x:c>
      <x:c r="M249" s="10" t="str">
        <x:f>IF(L249="","",IF(COUNTIFS('Видео'!$A$7:$A$1508,L249)=1,INDEX('Видео'!$B$7:$B$1508,MATCH(L249,'Видео'!$A$7:$A$1508,0)),"ID не найден"))</x:f>
        <x:v>איך סופרים את כמות האנשים בהפגנה? | כאן מסבירים</x:v>
      </x:c>
      <x:c r="N249" s="10" t="str"/>
      <x:c r="O249" s="10" t="str">
        <x:f>IF(D249="","",IF(COUNTIFS('Видео'!$A$7:$A$1508,D249)=1,INDEX('Видео'!$M$7:$M$1508,MATCH(D249,'Видео'!$A$7:$A$1508,0)),"ID не найден"))</x:f>
        <x:v>Эпизод 14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49" s="11" t="str">
        <x:f>IF(D249="","",IF(COUNTIFS('Видео'!$A$7:$A$1508,D249)=1,INDEX('Видео'!$U$7:$U$1508,MATCH(D249,'Видео'!$A$7:$A$1508,0)),"ID не найден"))</x:f>
        <x:v>https://www.youtube.com/watch?v=6MRvKxhiJmg</x:v>
      </x:c>
      <x:c r="Q249" s="17" t="str">
        <x:v>Предложено</x:v>
      </x:c>
      <x:c r="R249" s="17" t="str"/>
      <x:c r="S249" s="10" t="str"/>
      <x:c r="T249" s="10" t="str">
        <x:v>При недоступной серии приостановить сюжетную ветку; резерв — самостоятельное видео</x:v>
      </x:c>
      <x:c r="U249" s="9" t="str">
        <x:f>IF(D249="","Выбрать видео",IF(COUNTIFS($D$7:$D$371,D249)&gt;1,"Повтор","Без повтора"))</x:f>
        <x:v>Без повтора</x:v>
      </x:c>
    </x:row>
    <x:row r="250" ht="60" customHeight="1">
      <x:c r="A250" s="16" t="n">
        <x:v>46552</x:v>
      </x:c>
      <x:c r="B250" s="9" t="str">
        <x:v>Пн</x:v>
      </x:c>
      <x:c r="C250" s="10" t="str">
        <x:v>Интервью</x:v>
      </x:c>
      <x:c r="D250" s="19" t="str">
        <x:v>LUia--Pcjtk</x:v>
      </x:c>
      <x:c r="E250" s="10" t="str">
        <x:f>IF(D250="","",IF(COUNTIFS('Видео'!$A$7:$A$1508,D250)=1,INDEX('Видео'!$B$7:$B$1508,MATCH(D250,'Видео'!$A$7:$A$1508,0)),"ID не найден"))</x:f>
        <x:v>פגישה עם רוני קובן עונה 7 | פרק 9 - יהורם גאון</x:v>
      </x:c>
      <x:c r="F250" s="9" t="str">
        <x:f>IF(D250="","",IF(COUNTIFS('Видео'!$A$7:$A$1508,D250)=1,INDEX('Видео'!$R$7:$R$1508,MATCH(D250,'Видео'!$A$7:$A$1508,0)),"ID не найден"))</x:f>
        <x:v>C016</x:v>
      </x:c>
      <x:c r="G250" s="9" t="str">
        <x:f>IF(D250="","",IF(COUNTIFS('Видео'!$A$7:$A$1508,D250)=1,INDEX('Видео'!$D$7:$D$1508,MATCH(D250,'Видео'!$A$7:$A$1508,0)),"ID не найден"))</x:f>
        <x:v>Интервью</x:v>
      </x:c>
      <x:c r="H250" s="10" t="str">
        <x:f>IF(D250="","",IF(COUNTIFS('Видео'!$A$7:$A$1508,D250)=1,INDEX('Видео'!$F$7:$F$1508,MATCH(D250,'Видео'!$A$7:$A$1508,0)),"ID не найден"))</x:f>
        <x:v>B2–C1 (гипотеза)</x:v>
      </x:c>
      <x:c r="I250" s="18" t="n">
        <x:f>IF(D250="","",IF(COUNTIFS('Видео'!$A$7:$A$1508,D250)=1,INDEX('Видео'!$G$7:$G$1508,MATCH(D250,'Видео'!$A$7:$A$1508,0)),"ID не найден"))</x:f>
        <x:v>29.8</x:v>
      </x:c>
      <x:c r="J250" s="18" t="n">
        <x:v>10</x:v>
      </x:c>
      <x:c r="K250" s="10" t="str">
        <x:f>IF(D250="","",IF(COUNTIFS('Видео'!$A$7:$A$1508,D250)=1,INDEX('Видео'!$AI$7:$AI$1508,MATCH(D250,'Видео'!$A$7:$A$1508,0)),"ID не найден"))</x:f>
        <x:v>Нужна редактура</x:v>
      </x:c>
      <x:c r="L250" s="19" t="str">
        <x:v>y0vaLVF54ok</x:v>
      </x:c>
      <x:c r="M250" s="10" t="str">
        <x:f>IF(L250="","",IF(COUNTIFS('Видео'!$A$7:$A$1508,L250)=1,INDEX('Видео'!$B$7:$B$1508,MATCH(L250,'Видео'!$A$7:$A$1508,0)),"ID не найден"))</x:f>
        <x:v>אחרון המוהיקנים של השמאל המדיני. נגד הרוח 12 עם חיים רמון וד"ר יעקב בן שמש</x:v>
      </x:c>
      <x:c r="N250" s="10" t="str"/>
      <x:c r="O250" s="10" t="str">
        <x:f>IF(D250="","",IF(COUNTIFS('Видео'!$A$7:$A$1508,D250)=1,INDEX('Видео'!$M$7:$M$1508,MATCH(D250,'Видео'!$A$7:$A$1508,0)),"ID не найден"))</x:f>
        <x:v>Тема / гость: פרק 9 - יהורם גאון. Просмотры в списке выше медианы выборки этого цикла в 3.94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250" s="11" t="str">
        <x:f>IF(D250="","",IF(COUNTIFS('Видео'!$A$7:$A$1508,D250)=1,INDEX('Видео'!$U$7:$U$1508,MATCH(D250,'Видео'!$A$7:$A$1508,0)),"ID не найден"))</x:f>
        <x:v>https://www.youtube.com/watch?v=LUia--Pcjtk</x:v>
      </x:c>
      <x:c r="Q250" s="17" t="str">
        <x:v>Предложено</x:v>
      </x:c>
      <x:c r="R250" s="17" t="str"/>
      <x:c r="S250" s="10" t="str"/>
      <x:c r="T250" s="10" t="str">
        <x:v>Резерв меняет выбор видео; снова проверить повод, аудиторию и все редакторские условия</x:v>
      </x:c>
      <x:c r="U250" s="9" t="str">
        <x:f>IF(D250="","Выбрать видео",IF(COUNTIFS($D$7:$D$371,D250)&gt;1,"Повтор","Без повтора"))</x:f>
        <x:v>Без повтора</x:v>
      </x:c>
    </x:row>
    <x:row r="251" ht="60" customHeight="1">
      <x:c r="A251" s="16" t="n">
        <x:v>46553</x:v>
      </x:c>
      <x:c r="B251" s="9" t="str">
        <x:v>Вт</x:v>
      </x:c>
      <x:c r="C251" s="10" t="str">
        <x:v>Образование</x:v>
      </x:c>
      <x:c r="D251" s="19" t="str">
        <x:v>Ll3yKFl2zH4</x:v>
      </x:c>
      <x:c r="E251" s="10" t="str">
        <x:f>IF(D251="","",IF(COUNTIFS('Видео'!$A$7:$A$1508,D251)=1,INDEX('Видео'!$B$7:$B$1508,MATCH(D251,'Видео'!$A$7:$A$1508,0)),"ID не найден"))</x:f>
        <x:v>קיסמי שיניים זזים מעצמם ויוצרים כוכב</x:v>
      </x:c>
      <x:c r="F251" s="9" t="str">
        <x:f>IF(D251="","",IF(COUNTIFS('Видео'!$A$7:$A$1508,D251)=1,INDEX('Видео'!$R$7:$R$1508,MATCH(D251,'Видео'!$A$7:$A$1508,0)),"ID не найден"))</x:f>
        <x:v>C064</x:v>
      </x:c>
      <x:c r="G251" s="9" t="str">
        <x:f>IF(D251="","",IF(COUNTIFS('Видео'!$A$7:$A$1508,D251)=1,INDEX('Видео'!$D$7:$D$1508,MATCH(D251,'Видео'!$A$7:$A$1508,0)),"ID не найден"))</x:f>
        <x:v>Образование</x:v>
      </x:c>
      <x:c r="H251" s="10" t="str">
        <x:f>IF(D251="","",IF(COUNTIFS('Видео'!$A$7:$A$1508,D251)=1,INDEX('Видео'!$F$7:$F$1508,MATCH(D251,'Видео'!$A$7:$A$1508,0)),"ID не найден"))</x:f>
        <x:v>B1–B2 (гипотеза)</x:v>
      </x:c>
      <x:c r="I251" s="18" t="n">
        <x:f>IF(D251="","",IF(COUNTIFS('Видео'!$A$7:$A$1508,D251)=1,INDEX('Видео'!$G$7:$G$1508,MATCH(D251,'Видео'!$A$7:$A$1508,0)),"ID не найден"))</x:f>
        <x:v>1.9</x:v>
      </x:c>
      <x:c r="J251" s="18" t="n">
        <x:v>5</x:v>
      </x:c>
      <x:c r="K251" s="10" t="str">
        <x:f>IF(D251="","",IF(COUNTIFS('Видео'!$A$7:$A$1508,D251)=1,INDEX('Видео'!$AI$7:$AI$1508,MATCH(D251,'Видео'!$A$7:$A$1508,0)),"ID не найден"))</x:f>
        <x:v>Нужна редактура</x:v>
      </x:c>
      <x:c r="L251" s="19" t="str">
        <x:v>YldLQOQ-Hkg</x:v>
      </x:c>
      <x:c r="M251" s="10" t="str">
        <x:f>IF(L251="","",IF(COUNTIFS('Видео'!$A$7:$A$1508,L251)=1,INDEX('Видео'!$B$7:$B$1508,MATCH(L251,'Видео'!$A$7:$A$1508,0)),"ID не найден"))</x:f>
        <x:v>פרפר נחמד 🦋 | פרק 5 - מה מצחיק?</x:v>
      </x:c>
      <x:c r="N251" s="10" t="str"/>
      <x:c r="O251" s="10" t="str">
        <x:f>IF(D251="","",IF(COUNTIFS('Видео'!$A$7:$A$1508,D251)=1,INDEX('Видео'!$M$7:$M$1508,MATCH(D251,'Видео'!$A$7:$A$1508,0)),"ID не найден"))</x:f>
        <x:v>Завершённый короткий просмотр около 2 мин. Просмотры в списке выше медианы выборки этого цикла в 7.14 раза. Тема среды расширяет предложение для экологически заинтересованной аудитории.</x:v>
      </x:c>
      <x:c r="P251" s="11" t="str">
        <x:f>IF(D251="","",IF(COUNTIFS('Видео'!$A$7:$A$1508,D251)=1,INDEX('Видео'!$U$7:$U$1508,MATCH(D251,'Видео'!$A$7:$A$1508,0)),"ID не найден"))</x:f>
        <x:v>https://www.youtube.com/watch?v=Ll3yKFl2zH4</x:v>
      </x:c>
      <x:c r="Q251" s="17" t="str">
        <x:v>Предложено</x:v>
      </x:c>
      <x:c r="R251" s="17" t="str"/>
      <x:c r="S251" s="10" t="str"/>
      <x:c r="T251" s="10" t="str">
        <x:v>Резерв меняет выбор видео; снова проверить повод, аудиторию и все редакторские условия</x:v>
      </x:c>
      <x:c r="U251" s="9" t="str">
        <x:f>IF(D251="","Выбрать видео",IF(COUNTIFS($D$7:$D$371,D251)&gt;1,"Повтор","Без повтора"))</x:f>
        <x:v>Без повтора</x:v>
      </x:c>
    </x:row>
    <x:row r="252" ht="60" customHeight="1">
      <x:c r="A252" s="16" t="n">
        <x:v>46554</x:v>
      </x:c>
      <x:c r="B252" s="9" t="str">
        <x:v>Ср</x:v>
      </x:c>
      <x:c r="C252" s="10" t="str">
        <x:v>Быт</x:v>
      </x:c>
      <x:c r="D252" s="19" t="str">
        <x:v>Qw-kcsiyuMs</x:v>
      </x:c>
      <x:c r="E252" s="10" t="str">
        <x:f>IF(D252="","",IF(COUNTIFS('Видео'!$A$7:$A$1508,D252)=1,INDEX('Видео'!$B$7:$B$1508,MATCH(D252,'Видео'!$A$7:$A$1508,0)),"ID не найден"))</x:f>
        <x:v>"הדוס על הבמה ולא מפריע לו ערומים ערומות" | דוקותיים עם די ג'יי חרדי</x:v>
      </x:c>
      <x:c r="F252" s="9" t="str">
        <x:f>IF(D252="","",IF(COUNTIFS('Видео'!$A$7:$A$1508,D252)=1,INDEX('Видео'!$R$7:$R$1508,MATCH(D252,'Видео'!$A$7:$A$1508,0)),"ID не найден"))</x:f>
        <x:v>C043</x:v>
      </x:c>
      <x:c r="G252" s="9" t="str">
        <x:f>IF(D252="","",IF(COUNTIFS('Видео'!$A$7:$A$1508,D252)=1,INDEX('Видео'!$D$7:$D$1508,MATCH(D252,'Видео'!$A$7:$A$1508,0)),"ID не найден"))</x:f>
        <x:v>Быт</x:v>
      </x:c>
      <x:c r="H252" s="10" t="str">
        <x:f>IF(D252="","",IF(COUNTIFS('Видео'!$A$7:$A$1508,D252)=1,INDEX('Видео'!$F$7:$F$1508,MATCH(D252,'Видео'!$A$7:$A$1508,0)),"ID не найден"))</x:f>
        <x:v>B1–B2 (гипотеза)</x:v>
      </x:c>
      <x:c r="I252" s="18" t="n">
        <x:f>IF(D252="","",IF(COUNTIFS('Видео'!$A$7:$A$1508,D252)=1,INDEX('Видео'!$G$7:$G$1508,MATCH(D252,'Видео'!$A$7:$A$1508,0)),"ID не найден"))</x:f>
        <x:v>6.8</x:v>
      </x:c>
      <x:c r="J252" s="18" t="n">
        <x:v>5</x:v>
      </x:c>
      <x:c r="K252" s="10" t="str">
        <x:f>IF(D252="","",IF(COUNTIFS('Видео'!$A$7:$A$1508,D252)=1,INDEX('Видео'!$AI$7:$AI$1508,MATCH(D252,'Видео'!$A$7:$A$1508,0)),"ID не найден"))</x:f>
        <x:v>Нужна редактура</x:v>
      </x:c>
      <x:c r="L252" s="19" t="str">
        <x:v>zzxvh_bhDkA</x:v>
      </x:c>
      <x:c r="M252" s="10" t="str">
        <x:f>IF(L252="","",IF(COUNTIFS('Видео'!$A$7:$A$1508,L252)=1,INDEX('Видео'!$B$7:$B$1508,MATCH(L252,'Видео'!$A$7:$A$1508,0)),"ID не найден"))</x:f>
        <x:v>בואו לאכול איתי עונה 9 | דרום - חלק ג' (פרק 3)</x:v>
      </x:c>
      <x:c r="N252" s="10" t="str"/>
      <x:c r="O252" s="10" t="str">
        <x:f>IF(D252="","",IF(COUNTIFS('Видео'!$A$7:$A$1508,D252)=1,INDEX('Видео'!$M$7:$M$1508,MATCH(D252,'Видео'!$A$7:$A$1508,0)),"ID не найден"))</x:f>
        <x:v>Завершённый короткий просмотр около 7 мин. Просмотры в списке выше медианы выборки этого цикла в 4.0 раза. Короткая история реального человека подходит для ежедневной привычки. Разные профессии и места расширяют взгляд на страну.</x:v>
      </x:c>
      <x:c r="P252" s="11" t="str">
        <x:f>IF(D252="","",IF(COUNTIFS('Видео'!$A$7:$A$1508,D252)=1,INDEX('Видео'!$U$7:$U$1508,MATCH(D252,'Видео'!$A$7:$A$1508,0)),"ID не найден"))</x:f>
        <x:v>https://www.youtube.com/watch?v=Qw-kcsiyuMs</x:v>
      </x:c>
      <x:c r="Q252" s="17" t="str">
        <x:v>Предложено</x:v>
      </x:c>
      <x:c r="R252" s="17" t="str"/>
      <x:c r="S252" s="10" t="str"/>
      <x:c r="T252" s="10" t="str">
        <x:v>Резерв меняет выбор видео; снова проверить повод, аудиторию и все редакторские условия</x:v>
      </x:c>
      <x:c r="U252" s="9" t="str">
        <x:f>IF(D252="","Выбрать видео",IF(COUNTIFS($D$7:$D$371,D252)&gt;1,"Повтор","Без повтора"))</x:f>
        <x:v>Без повтора</x:v>
      </x:c>
    </x:row>
    <x:row r="253" ht="60" customHeight="1">
      <x:c r="A253" s="16" t="n">
        <x:v>46555</x:v>
      </x:c>
      <x:c r="B253" s="9" t="str">
        <x:v>Чт</x:v>
      </x:c>
      <x:c r="C253" s="10" t="str">
        <x:v>Сериал</x:v>
      </x:c>
      <x:c r="D253" s="19" t="str">
        <x:v>jEpMMeHQSBU</x:v>
      </x:c>
      <x:c r="E253" s="10" t="str">
        <x:f>IF(D253="","",IF(COUNTIFS('Видео'!$A$7:$A$1508,D253)=1,INDEX('Видео'!$B$7:$B$1508,MATCH(D253,'Видео'!$A$7:$A$1508,0)),"ID не найден"))</x:f>
        <x:v>כראמל 🐱 | חתול קסום - פרק 4</x:v>
      </x:c>
      <x:c r="F253" s="9" t="str">
        <x:f>IF(D253="","",IF(COUNTIFS('Видео'!$A$7:$A$1508,D253)=1,INDEX('Видео'!$R$7:$R$1508,MATCH(D253,'Видео'!$A$7:$A$1508,0)),"ID не найден"))</x:f>
        <x:v>C053</x:v>
      </x:c>
      <x:c r="G253" s="9" t="str">
        <x:f>IF(D253="","",IF(COUNTIFS('Видео'!$A$7:$A$1508,D253)=1,INDEX('Видео'!$D$7:$D$1508,MATCH(D253,'Видео'!$A$7:$A$1508,0)),"ID не найден"))</x:f>
        <x:v>Сериал</x:v>
      </x:c>
      <x:c r="H253" s="10" t="str">
        <x:f>IF(D253="","",IF(COUNTIFS('Видео'!$A$7:$A$1508,D253)=1,INDEX('Видео'!$F$7:$F$1508,MATCH(D253,'Видео'!$A$7:$A$1508,0)),"ID не найден"))</x:f>
        <x:v>A2–B1 (гипотеза)</x:v>
      </x:c>
      <x:c r="I253" s="18" t="n">
        <x:f>IF(D253="","",IF(COUNTIFS('Видео'!$A$7:$A$1508,D253)=1,INDEX('Видео'!$G$7:$G$1508,MATCH(D253,'Видео'!$A$7:$A$1508,0)),"ID не найден"))</x:f>
        <x:v>26.4</x:v>
      </x:c>
      <x:c r="J253" s="18" t="n">
        <x:v>10</x:v>
      </x:c>
      <x:c r="K253" s="10" t="str">
        <x:f>IF(D253="","",IF(COUNTIFS('Видео'!$A$7:$A$1508,D253)=1,INDEX('Видео'!$AI$7:$AI$1508,MATCH(D253,'Видео'!$A$7:$A$1508,0)),"ID не найден"))</x:f>
        <x:v>Нужна редактура</x:v>
      </x:c>
      <x:c r="L253" s="19" t="str">
        <x:v>nIDueCUzTa8</x:v>
      </x:c>
      <x:c r="M253" s="10" t="str">
        <x:f>IF(L253="","",IF(COUNTIFS('Видео'!$A$7:$A$1508,L253)=1,INDEX('Видео'!$B$7:$B$1508,MATCH(L253,'Видео'!$A$7:$A$1508,0)),"ID не найден"))</x:f>
        <x:v>איך נקבעים שמות של מבצעים צבאיים? | #כאן_מסבירים</x:v>
      </x:c>
      <x:c r="N253" s="10" t="str"/>
      <x:c r="O253" s="10" t="str">
        <x:f>IF(D253="","",IF(COUNTIFS('Видео'!$A$7:$A$1508,D253)=1,INDEX('Видео'!$M$7:$M$1508,MATCH(D253,'Видео'!$A$7:$A$1508,0)),"ID не найден"))</x:f>
        <x:v>Эпизод 4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253" s="11" t="str">
        <x:f>IF(D253="","",IF(COUNTIFS('Видео'!$A$7:$A$1508,D253)=1,INDEX('Видео'!$U$7:$U$1508,MATCH(D253,'Видео'!$A$7:$A$1508,0)),"ID не найден"))</x:f>
        <x:v>https://www.youtube.com/watch?v=jEpMMeHQSBU</x:v>
      </x:c>
      <x:c r="Q253" s="17" t="str">
        <x:v>Предложено</x:v>
      </x:c>
      <x:c r="R253" s="17" t="str"/>
      <x:c r="S253" s="10" t="str"/>
      <x:c r="T253" s="10" t="str">
        <x:v>При недоступной серии приостановить сюжетную ветку; резерв — самостоятельное видео</x:v>
      </x:c>
      <x:c r="U253" s="9" t="str">
        <x:f>IF(D253="","Выбрать видео",IF(COUNTIFS($D$7:$D$371,D253)&gt;1,"Повтор","Без повтора"))</x:f>
        <x:v>Без повтора</x:v>
      </x:c>
    </x:row>
    <x:row r="254" ht="60" customHeight="1">
      <x:c r="A254" s="16" t="n">
        <x:v>46556</x:v>
      </x:c>
      <x:c r="B254" s="9" t="str">
        <x:v>Пт</x:v>
      </x:c>
      <x:c r="C254" s="10" t="str">
        <x:v>Культура</x:v>
      </x:c>
      <x:c r="D254" s="19" t="str">
        <x:v>g9Bzu1En100</x:v>
      </x:c>
      <x:c r="E254" s="10" t="str">
        <x:f>IF(D254="","",IF(COUNTIFS('Видео'!$A$7:$A$1508,D254)=1,INDEX('Видео'!$B$7:$B$1508,MATCH(D254,'Видео'!$A$7:$A$1508,0)),"ID не найден"))</x:f>
        <x:v>סיפורים מהכורסה 🛋️ | להיות קומיקאי - פרק 9</x:v>
      </x:c>
      <x:c r="F254" s="9" t="str">
        <x:f>IF(D254="","",IF(COUNTIFS('Видео'!$A$7:$A$1508,D254)=1,INDEX('Видео'!$R$7:$R$1508,MATCH(D254,'Видео'!$A$7:$A$1508,0)),"ID не найден"))</x:f>
        <x:v>C025</x:v>
      </x:c>
      <x:c r="G254" s="9" t="str">
        <x:f>IF(D254="","",IF(COUNTIFS('Видео'!$A$7:$A$1508,D254)=1,INDEX('Видео'!$D$7:$D$1508,MATCH(D254,'Видео'!$A$7:$A$1508,0)),"ID не найден"))</x:f>
        <x:v>Культура</x:v>
      </x:c>
      <x:c r="H254" s="10" t="str">
        <x:f>IF(D254="","",IF(COUNTIFS('Видео'!$A$7:$A$1508,D254)=1,INDEX('Видео'!$F$7:$F$1508,MATCH(D254,'Видео'!$A$7:$A$1508,0)),"ID не найден"))</x:f>
        <x:v>B2–C1 (гипотеза)</x:v>
      </x:c>
      <x:c r="I254" s="18" t="n">
        <x:f>IF(D254="","",IF(COUNTIFS('Видео'!$A$7:$A$1508,D254)=1,INDEX('Видео'!$G$7:$G$1508,MATCH(D254,'Видео'!$A$7:$A$1508,0)),"ID не найден"))</x:f>
        <x:v>29</x:v>
      </x:c>
      <x:c r="J254" s="18" t="n">
        <x:v>10</x:v>
      </x:c>
      <x:c r="K254" s="10" t="str">
        <x:f>IF(D254="","",IF(COUNTIFS('Видео'!$A$7:$A$1508,D254)=1,INDEX('Видео'!$AI$7:$AI$1508,MATCH(D254,'Видео'!$A$7:$A$1508,0)),"ID не найден"))</x:f>
        <x:v>Нужна редактура</x:v>
      </x:c>
      <x:c r="L254" s="19" t="str">
        <x:v>1nG5BDUdiMU</x:v>
      </x:c>
      <x:c r="M254" s="10" t="str">
        <x:f>IF(L254="","",IF(COUNTIFS('Видео'!$A$7:$A$1508,L254)=1,INDEX('Видео'!$B$7:$B$1508,MATCH(L254,'Видео'!$A$7:$A$1508,0)),"ID не найден"))</x:f>
        <x:v>שיר אחד 🎤 עונה 2 | יהודה פוליקר - חלון לים התיכון</x:v>
      </x:c>
      <x:c r="N254" s="10" t="str"/>
      <x:c r="O254" s="10" t="str">
        <x:f>IF(D254="","",IF(COUNTIFS('Видео'!$A$7:$A$1508,D254)=1,INDEX('Видео'!$M$7:$M$1508,MATCH(D254,'Видео'!$A$7:$A$1508,0)),"ID не найден"))</x:f>
        <x:v>Тема: סיפורים מהכורסה 🛋️ | להיות קומיקאי - פרק 9. Короткие личные истории и комики дают материал для пересказа и знакомства с культурными кодами.</x:v>
      </x:c>
      <x:c r="P254" s="11" t="str">
        <x:f>IF(D254="","",IF(COUNTIFS('Видео'!$A$7:$A$1508,D254)=1,INDEX('Видео'!$U$7:$U$1508,MATCH(D254,'Видео'!$A$7:$A$1508,0)),"ID не найден"))</x:f>
        <x:v>https://www.youtube.com/watch?v=g9Bzu1En100</x:v>
      </x:c>
      <x:c r="Q254" s="17" t="str">
        <x:v>Предложено</x:v>
      </x:c>
      <x:c r="R254" s="17" t="str"/>
      <x:c r="S254" s="10" t="str"/>
      <x:c r="T254" s="10" t="str">
        <x:v>Резерв меняет выбор видео; снова проверить повод, аудиторию и все редакторские условия</x:v>
      </x:c>
      <x:c r="U254" s="9" t="str">
        <x:f>IF(D254="","Выбрать видео",IF(COUNTIFS($D$7:$D$371,D254)&gt;1,"Повтор","Без повтора"))</x:f>
        <x:v>Без повтора</x:v>
      </x:c>
    </x:row>
    <x:row r="255" ht="60" customHeight="1">
      <x:c r="A255" s="16" t="n">
        <x:v>46557</x:v>
      </x:c>
      <x:c r="B255" s="9" t="str">
        <x:v>Сб</x:v>
      </x:c>
      <x:c r="C255" s="10" t="str">
        <x:v>Общество</x:v>
      </x:c>
      <x:c r="D255" s="19" t="str">
        <x:v>yteYdaFNLy0</x:v>
      </x:c>
      <x:c r="E255" s="10" t="str">
        <x:f>IF(D255="","",IF(COUNTIFS('Видео'!$A$7:$A$1508,D255)=1,INDEX('Видео'!$B$7:$B$1508,MATCH(D255,'Видео'!$A$7:$A$1508,0)),"ID не найден"))</x:f>
        <x:v>סליחה על השאלה עונה 2 | יוצאי כתות</x:v>
      </x:c>
      <x:c r="F255" s="9" t="str">
        <x:f>IF(D255="","",IF(COUNTIFS('Видео'!$A$7:$A$1508,D255)=1,INDEX('Видео'!$R$7:$R$1508,MATCH(D255,'Видео'!$A$7:$A$1508,0)),"ID не найден"))</x:f>
        <x:v>C020</x:v>
      </x:c>
      <x:c r="G255" s="9" t="str">
        <x:f>IF(D255="","",IF(COUNTIFS('Видео'!$A$7:$A$1508,D255)=1,INDEX('Видео'!$D$7:$D$1508,MATCH(D255,'Видео'!$A$7:$A$1508,0)),"ID не найден"))</x:f>
        <x:v>Общество</x:v>
      </x:c>
      <x:c r="H255" s="10" t="str">
        <x:f>IF(D255="","",IF(COUNTIFS('Видео'!$A$7:$A$1508,D255)=1,INDEX('Видео'!$F$7:$F$1508,MATCH(D255,'Видео'!$A$7:$A$1508,0)),"ID не найден"))</x:f>
        <x:v>B1–B2 (гипотеза)</x:v>
      </x:c>
      <x:c r="I255" s="18" t="n">
        <x:f>IF(D255="","",IF(COUNTIFS('Видео'!$A$7:$A$1508,D255)=1,INDEX('Видео'!$G$7:$G$1508,MATCH(D255,'Видео'!$A$7:$A$1508,0)),"ID не найден"))</x:f>
        <x:v>26.3</x:v>
      </x:c>
      <x:c r="J255" s="18" t="n">
        <x:v>10</x:v>
      </x:c>
      <x:c r="K255" s="10" t="str">
        <x:f>IF(D255="","",IF(COUNTIFS('Видео'!$A$7:$A$1508,D255)=1,INDEX('Видео'!$AI$7:$AI$1508,MATCH(D255,'Видео'!$A$7:$A$1508,0)),"ID не найден"))</x:f>
        <x:v>Нужна редактура</x:v>
      </x:c>
      <x:c r="L255" s="19" t="str">
        <x:v>UFDcYcad4Jo</x:v>
      </x:c>
      <x:c r="M255" s="10" t="str">
        <x:f>IF(L255="","",IF(COUNTIFS('Видео'!$A$7:$A$1508,L255)=1,INDEX('Видео'!$B$7:$B$1508,MATCH(L255,'Видео'!$A$7:$A$1508,0)),"ID не найден"))</x:f>
        <x:v>סליחה על השאלה | חולים במחלה סופנית</x:v>
      </x:c>
      <x:c r="N255" s="10" t="str"/>
      <x:c r="O255" s="10" t="str">
        <x:f>IF(D255="","",IF(COUNTIFS('Видео'!$A$7:$A$1508,D255)=1,INDEX('Видео'!$M$7:$M$1508,MATCH(D255,'Видео'!$A$7:$A$1508,0)),"ID не найден"))</x:f>
        <x:v>Тема: סליחה על השאלה עונה 2 | יוצאי כתות. Одинаковый вопрос разным людям позволяет сравнить ответы и акценты. Формат вводит социальные группы через их собственную речь.</x:v>
      </x:c>
      <x:c r="P255" s="11" t="str">
        <x:f>IF(D255="","",IF(COUNTIFS('Видео'!$A$7:$A$1508,D255)=1,INDEX('Видео'!$U$7:$U$1508,MATCH(D255,'Видео'!$A$7:$A$1508,0)),"ID не найден"))</x:f>
        <x:v>https://www.youtube.com/watch?v=yteYdaFNLy0</x:v>
      </x:c>
      <x:c r="Q255" s="17" t="str">
        <x:v>Предложено</x:v>
      </x:c>
      <x:c r="R255" s="17" t="str"/>
      <x:c r="S255" s="10" t="str"/>
      <x:c r="T255" s="10" t="str">
        <x:v>Резерв меняет выбор видео; снова проверить повод, аудиторию и все редакторские условия</x:v>
      </x:c>
      <x:c r="U255" s="9" t="str">
        <x:f>IF(D255="","Выбрать видео",IF(COUNTIFS($D$7:$D$371,D255)&gt;1,"Повтор","Без повтора"))</x:f>
        <x:v>Без повтора</x:v>
      </x:c>
    </x:row>
    <x:row r="256" ht="60" customHeight="1">
      <x:c r="A256" s="16" t="n">
        <x:v>46558</x:v>
      </x:c>
      <x:c r="B256" s="9" t="str">
        <x:v>Вс</x:v>
      </x:c>
      <x:c r="C256" s="10" t="str">
        <x:v>Сериал</x:v>
      </x:c>
      <x:c r="D256" s="19" t="str">
        <x:v>4T2lUsxZc50</x:v>
      </x:c>
      <x:c r="E256" s="10" t="str">
        <x:f>IF(D256="","",IF(COUNTIFS('Видео'!$A$7:$A$1508,D256)=1,INDEX('Видео'!$B$7:$B$1508,MATCH(D256,'Видео'!$A$7:$A$1508,0)),"ID не найден"))</x:f>
        <x:v>קופה ראשית עונה 4🛒 | פרק 15 - אתגר המיקרו</x:v>
      </x:c>
      <x:c r="F256" s="9" t="str">
        <x:f>IF(D256="","",IF(COUNTIFS('Видео'!$A$7:$A$1508,D256)=1,INDEX('Видео'!$R$7:$R$1508,MATCH(D256,'Видео'!$A$7:$A$1508,0)),"ID не найден"))</x:f>
        <x:v>C002</x:v>
      </x:c>
      <x:c r="G256" s="9" t="str">
        <x:f>IF(D256="","",IF(COUNTIFS('Видео'!$A$7:$A$1508,D256)=1,INDEX('Видео'!$D$7:$D$1508,MATCH(D256,'Видео'!$A$7:$A$1508,0)),"ID не найден"))</x:f>
        <x:v>Сериал</x:v>
      </x:c>
      <x:c r="H256" s="10" t="str">
        <x:f>IF(D256="","",IF(COUNTIFS('Видео'!$A$7:$A$1508,D256)=1,INDEX('Видео'!$F$7:$F$1508,MATCH(D256,'Видео'!$A$7:$A$1508,0)),"ID не найден"))</x:f>
        <x:v>B1–B2 (гипотеза)</x:v>
      </x:c>
      <x:c r="I256" s="18" t="n">
        <x:f>IF(D256="","",IF(COUNTIFS('Видео'!$A$7:$A$1508,D256)=1,INDEX('Видео'!$G$7:$G$1508,MATCH(D256,'Видео'!$A$7:$A$1508,0)),"ID не найден"))</x:f>
        <x:v>24.8</x:v>
      </x:c>
      <x:c r="J256" s="18" t="n">
        <x:v>10</x:v>
      </x:c>
      <x:c r="K256" s="10" t="str">
        <x:f>IF(D256="","",IF(COUNTIFS('Видео'!$A$7:$A$1508,D256)=1,INDEX('Видео'!$AI$7:$AI$1508,MATCH(D256,'Видео'!$A$7:$A$1508,0)),"ID не найден"))</x:f>
        <x:v>Нужна редактура</x:v>
      </x:c>
      <x:c r="L256" s="19" t="str">
        <x:v>FAXI1eAnp0A</x:v>
      </x:c>
      <x:c r="M256" s="10" t="str">
        <x:f>IF(L256="","",IF(COUNTIFS('Видео'!$A$7:$A$1508,L256)=1,INDEX('Видео'!$B$7:$B$1508,MATCH(L256,'Видео'!$A$7:$A$1508,0)),"ID не найден"))</x:f>
        <x:v>דוקותיים: דור אוסף פוקימונים כבר 30 שנה</x:v>
      </x:c>
      <x:c r="N256" s="10" t="str"/>
      <x:c r="O256" s="10" t="str">
        <x:f>IF(D256="","",IF(COUNTIFS('Видео'!$A$7:$A$1508,D256)=1,INDEX('Видео'!$M$7:$M$1508,MATCH(D256,'Видео'!$A$7:$A$1508,0)),"ID не найден"))</x:f>
        <x:v>Эпизод 15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56" s="11" t="str">
        <x:f>IF(D256="","",IF(COUNTIFS('Видео'!$A$7:$A$1508,D256)=1,INDEX('Видео'!$U$7:$U$1508,MATCH(D256,'Видео'!$A$7:$A$1508,0)),"ID не найден"))</x:f>
        <x:v>https://www.youtube.com/watch?v=4T2lUsxZc50</x:v>
      </x:c>
      <x:c r="Q256" s="17" t="str">
        <x:v>Предложено</x:v>
      </x:c>
      <x:c r="R256" s="17" t="str"/>
      <x:c r="S256" s="10" t="str"/>
      <x:c r="T256" s="10" t="str">
        <x:v>При недоступной серии приостановить сюжетную ветку; резерв — самостоятельное видео</x:v>
      </x:c>
      <x:c r="U256" s="9" t="str">
        <x:f>IF(D256="","Выбрать видео",IF(COUNTIFS($D$7:$D$371,D256)&gt;1,"Повтор","Без повтора"))</x:f>
        <x:v>Без повтора</x:v>
      </x:c>
    </x:row>
    <x:row r="257" ht="60" customHeight="1">
      <x:c r="A257" s="16" t="n">
        <x:v>46559</x:v>
      </x:c>
      <x:c r="B257" s="9" t="str">
        <x:v>Пн</x:v>
      </x:c>
      <x:c r="C257" s="10" t="str">
        <x:v>Интервью</x:v>
      </x:c>
      <x:c r="D257" s="19" t="str">
        <x:v>7Qyxp6731BA</x:v>
      </x:c>
      <x:c r="E257" s="10" t="str">
        <x:f>IF(D257="","",IF(COUNTIFS('Видео'!$A$7:$A$1508,D257)=1,INDEX('Видео'!$B$7:$B$1508,MATCH(D257,'Видео'!$A$7:$A$1508,0)),"ID не найден"))</x:f>
        <x:v>פגישה עם רוני קובן עונה 6 | פרק 1 - קובי מידן</x:v>
      </x:c>
      <x:c r="F257" s="9" t="str">
        <x:f>IF(D257="","",IF(COUNTIFS('Видео'!$A$7:$A$1508,D257)=1,INDEX('Видео'!$R$7:$R$1508,MATCH(D257,'Видео'!$A$7:$A$1508,0)),"ID не найден"))</x:f>
        <x:v>C017</x:v>
      </x:c>
      <x:c r="G257" s="9" t="str">
        <x:f>IF(D257="","",IF(COUNTIFS('Видео'!$A$7:$A$1508,D257)=1,INDEX('Видео'!$D$7:$D$1508,MATCH(D257,'Видео'!$A$7:$A$1508,0)),"ID не найден"))</x:f>
        <x:v>Интервью</x:v>
      </x:c>
      <x:c r="H257" s="10" t="str">
        <x:f>IF(D257="","",IF(COUNTIFS('Видео'!$A$7:$A$1508,D257)=1,INDEX('Видео'!$F$7:$F$1508,MATCH(D257,'Видео'!$A$7:$A$1508,0)),"ID не найден"))</x:f>
        <x:v>B2–C1 (гипотеза)</x:v>
      </x:c>
      <x:c r="I257" s="18" t="n">
        <x:f>IF(D257="","",IF(COUNTIFS('Видео'!$A$7:$A$1508,D257)=1,INDEX('Видео'!$G$7:$G$1508,MATCH(D257,'Видео'!$A$7:$A$1508,0)),"ID не найден"))</x:f>
        <x:v>31</x:v>
      </x:c>
      <x:c r="J257" s="18" t="n">
        <x:v>10</x:v>
      </x:c>
      <x:c r="K257" s="10" t="str">
        <x:f>IF(D257="","",IF(COUNTIFS('Видео'!$A$7:$A$1508,D257)=1,INDEX('Видео'!$AI$7:$AI$1508,MATCH(D257,'Видео'!$A$7:$A$1508,0)),"ID не найден"))</x:f>
        <x:v>Нужна редактура</x:v>
      </x:c>
      <x:c r="L257" s="19" t="str">
        <x:v>WYLZpGnwqFU</x:v>
      </x:c>
      <x:c r="M257" s="10" t="str">
        <x:f>IF(L257="","",IF(COUNTIFS('Видео'!$A$7:$A$1508,L257)=1,INDEX('Видео'!$B$7:$B$1508,MATCH(L257,'Видео'!$A$7:$A$1508,0)),"ID не найден"))</x:f>
        <x:v>עלינו לא יעשו 9/11. אין מצב. משמורת משותפת עם עירית לינור וגדי טאוב</x:v>
      </x:c>
      <x:c r="N257" s="10" t="str"/>
      <x:c r="O257" s="10" t="str">
        <x:f>IF(D257="","",IF(COUNTIFS('Видео'!$A$7:$A$1508,D257)=1,INDEX('Видео'!$M$7:$M$1508,MATCH(D257,'Видео'!$A$7:$A$1508,0)),"ID не найден"))</x:f>
        <x:v>Тема / гость: פרק 1 - קובי מידן.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257" s="11" t="str">
        <x:f>IF(D257="","",IF(COUNTIFS('Видео'!$A$7:$A$1508,D257)=1,INDEX('Видео'!$U$7:$U$1508,MATCH(D257,'Видео'!$A$7:$A$1508,0)),"ID не найден"))</x:f>
        <x:v>https://www.youtube.com/watch?v=7Qyxp6731BA</x:v>
      </x:c>
      <x:c r="Q257" s="17" t="str">
        <x:v>Предложено</x:v>
      </x:c>
      <x:c r="R257" s="17" t="str"/>
      <x:c r="S257" s="10" t="str"/>
      <x:c r="T257" s="10" t="str">
        <x:v>Резерв меняет выбор видео; снова проверить повод, аудиторию и все редакторские условия</x:v>
      </x:c>
      <x:c r="U257" s="9" t="str">
        <x:f>IF(D257="","Выбрать видео",IF(COUNTIFS($D$7:$D$371,D257)&gt;1,"Повтор","Без повтора"))</x:f>
        <x:v>Без повтора</x:v>
      </x:c>
    </x:row>
    <x:row r="258" ht="60" customHeight="1">
      <x:c r="A258" s="16" t="n">
        <x:v>46560</x:v>
      </x:c>
      <x:c r="B258" s="9" t="str">
        <x:v>Вт</x:v>
      </x:c>
      <x:c r="C258" s="10" t="str">
        <x:v>Образование</x:v>
      </x:c>
      <x:c r="D258" s="19" t="str">
        <x:v>8OIonxZGeL4</x:v>
      </x:c>
      <x:c r="E258" s="10" t="str">
        <x:f>IF(D258="","",IF(COUNTIFS('Видео'!$A$7:$A$1508,D258)=1,INDEX('Видео'!$B$7:$B$1508,MATCH(D258,'Видео'!$A$7:$A$1508,0)),"ID не найден"))</x:f>
        <x:v>כיצד "לשאוב" מים לתוך כוס באמצעות נר בוער?</x:v>
      </x:c>
      <x:c r="F258" s="9" t="str">
        <x:f>IF(D258="","",IF(COUNTIFS('Видео'!$A$7:$A$1508,D258)=1,INDEX('Видео'!$R$7:$R$1508,MATCH(D258,'Видео'!$A$7:$A$1508,0)),"ID не найден"))</x:f>
        <x:v>C090</x:v>
      </x:c>
      <x:c r="G258" s="9" t="str">
        <x:f>IF(D258="","",IF(COUNTIFS('Видео'!$A$7:$A$1508,D258)=1,INDEX('Видео'!$D$7:$D$1508,MATCH(D258,'Видео'!$A$7:$A$1508,0)),"ID не найден"))</x:f>
        <x:v>Образование</x:v>
      </x:c>
      <x:c r="H258" s="10" t="str">
        <x:f>IF(D258="","",IF(COUNTIFS('Видео'!$A$7:$A$1508,D258)=1,INDEX('Видео'!$F$7:$F$1508,MATCH(D258,'Видео'!$A$7:$A$1508,0)),"ID не найден"))</x:f>
        <x:v>B1–B2 (гипотеза)</x:v>
      </x:c>
      <x:c r="I258" s="18" t="n">
        <x:f>IF(D258="","",IF(COUNTIFS('Видео'!$A$7:$A$1508,D258)=1,INDEX('Видео'!$G$7:$G$1508,MATCH(D258,'Видео'!$A$7:$A$1508,0)),"ID не найден"))</x:f>
        <x:v>1.7</x:v>
      </x:c>
      <x:c r="J258" s="18" t="n">
        <x:v>5</x:v>
      </x:c>
      <x:c r="K258" s="10" t="str">
        <x:f>IF(D258="","",IF(COUNTIFS('Видео'!$A$7:$A$1508,D258)=1,INDEX('Видео'!$AI$7:$AI$1508,MATCH(D258,'Видео'!$A$7:$A$1508,0)),"ID не найден"))</x:f>
        <x:v>Нужна редактура</x:v>
      </x:c>
      <x:c r="L258" s="19" t="str">
        <x:v>w7IOtPD_zUQ</x:v>
      </x:c>
      <x:c r="M258" s="10" t="str">
        <x:f>IF(L258="","",IF(COUNTIFS('Видео'!$A$7:$A$1508,L258)=1,INDEX('Видео'!$B$7:$B$1508,MATCH(L258,'Видео'!$A$7:$A$1508,0)),"ID не найден"))</x:f>
        <x:v>גלילאו עונה 9 | איך מכינים ארוחה מאוויר?💨</x:v>
      </x:c>
      <x:c r="N258" s="10" t="str"/>
      <x:c r="O258" s="10" t="str">
        <x:f>IF(D258="","",IF(COUNTIFS('Видео'!$A$7:$A$1508,D258)=1,INDEX('Видео'!$M$7:$M$1508,MATCH(D258,'Видео'!$A$7:$A$1508,0)),"ID не найден"))</x:f>
        <x:v>Завершённый короткий просмотр около 2 мин. Просмотры в списке выше медианы выборки этого цикла в 2.83 раза. Научные сюжеты, отобранные издателем к Хануке, дают сезонный вход через демонстрацию и удивление.</x:v>
      </x:c>
      <x:c r="P258" s="11" t="str">
        <x:f>IF(D258="","",IF(COUNTIFS('Видео'!$A$7:$A$1508,D258)=1,INDEX('Видео'!$U$7:$U$1508,MATCH(D258,'Видео'!$A$7:$A$1508,0)),"ID не найден"))</x:f>
        <x:v>https://www.youtube.com/watch?v=8OIonxZGeL4</x:v>
      </x:c>
      <x:c r="Q258" s="17" t="str">
        <x:v>Предложено</x:v>
      </x:c>
      <x:c r="R258" s="17" t="str"/>
      <x:c r="S258" s="10" t="str"/>
      <x:c r="T258" s="10" t="str">
        <x:v>Резерв меняет выбор видео; снова проверить повод, аудиторию и все редакторские условия</x:v>
      </x:c>
      <x:c r="U258" s="9" t="str">
        <x:f>IF(D258="","Выбрать видео",IF(COUNTIFS($D$7:$D$371,D258)&gt;1,"Повтор","Без повтора"))</x:f>
        <x:v>Без повтора</x:v>
      </x:c>
    </x:row>
    <x:row r="259" ht="60" customHeight="1">
      <x:c r="A259" s="16" t="n">
        <x:v>46561</x:v>
      </x:c>
      <x:c r="B259" s="9" t="str">
        <x:v>Ср</x:v>
      </x:c>
      <x:c r="C259" s="10" t="str">
        <x:v>Быт</x:v>
      </x:c>
      <x:c r="D259" s="19" t="str">
        <x:v>T3g3roUGVgs</x:v>
      </x:c>
      <x:c r="E259" s="10" t="str">
        <x:f>IF(D259="","",IF(COUNTIFS('Видео'!$A$7:$A$1508,D259)=1,INDEX('Видео'!$B$7:$B$1508,MATCH(D259,'Видео'!$A$7:$A$1508,0)),"ID не найден"))</x:f>
        <x:v>למה יש פילבוקס בכניסה לאשדוד? | בצד הדרך</x:v>
      </x:c>
      <x:c r="F259" s="9" t="str">
        <x:f>IF(D259="","",IF(COUNTIFS('Видео'!$A$7:$A$1508,D259)=1,INDEX('Видео'!$R$7:$R$1508,MATCH(D259,'Видео'!$A$7:$A$1508,0)),"ID не найден"))</x:f>
        <x:v>C047</x:v>
      </x:c>
      <x:c r="G259" s="9" t="str">
        <x:f>IF(D259="","",IF(COUNTIFS('Видео'!$A$7:$A$1508,D259)=1,INDEX('Видео'!$D$7:$D$1508,MATCH(D259,'Видео'!$A$7:$A$1508,0)),"ID не найден"))</x:f>
        <x:v>Быт</x:v>
      </x:c>
      <x:c r="H259" s="10" t="str">
        <x:f>IF(D259="","",IF(COUNTIFS('Видео'!$A$7:$A$1508,D259)=1,INDEX('Видео'!$F$7:$F$1508,MATCH(D259,'Видео'!$A$7:$A$1508,0)),"ID не найден"))</x:f>
        <x:v>B1–B2 (гипотеза)</x:v>
      </x:c>
      <x:c r="I259" s="18" t="n">
        <x:f>IF(D259="","",IF(COUNTIFS('Видео'!$A$7:$A$1508,D259)=1,INDEX('Видео'!$G$7:$G$1508,MATCH(D259,'Видео'!$A$7:$A$1508,0)),"ID не найден"))</x:f>
        <x:v>2.5</x:v>
      </x:c>
      <x:c r="J259" s="18" t="n">
        <x:v>5</x:v>
      </x:c>
      <x:c r="K259" s="10" t="str">
        <x:f>IF(D259="","",IF(COUNTIFS('Видео'!$A$7:$A$1508,D259)=1,INDEX('Видео'!$AI$7:$AI$1508,MATCH(D259,'Видео'!$A$7:$A$1508,0)),"ID не найден"))</x:f>
        <x:v>Нужна редактура</x:v>
      </x:c>
      <x:c r="L259" s="19" t="str">
        <x:v>gR-3j3iR6OM</x:v>
      </x:c>
      <x:c r="M259" s="10" t="str">
        <x:f>IF(L259="","",IF(COUNTIFS('Видео'!$A$7:$A$1508,L259)=1,INDEX('Видео'!$B$7:$B$1508,MATCH(L259,'Видео'!$A$7:$A$1508,0)),"ID не найден"))</x:f>
        <x:v>בואו לאכול איתי עונה 9 | תל אביב חלק ב' (פרק 12)</x:v>
      </x:c>
      <x:c r="N259" s="10" t="str"/>
      <x:c r="O259" s="10" t="str">
        <x:f>IF(D259="","",IF(COUNTIFS('Видео'!$A$7:$A$1508,D259)=1,INDEX('Видео'!$M$7:$M$1508,MATCH(D259,'Видео'!$A$7:$A$1508,0)),"ID не найден"))</x:f>
        <x:v>Завершённый короткий просмотр около 2 мин. Короткие истории мест помогают освоить страну через реальные маршруты и городскую среду.</x:v>
      </x:c>
      <x:c r="P259" s="11" t="str">
        <x:f>IF(D259="","",IF(COUNTIFS('Видео'!$A$7:$A$1508,D259)=1,INDEX('Видео'!$U$7:$U$1508,MATCH(D259,'Видео'!$A$7:$A$1508,0)),"ID не найден"))</x:f>
        <x:v>https://www.youtube.com/watch?v=T3g3roUGVgs</x:v>
      </x:c>
      <x:c r="Q259" s="17" t="str">
        <x:v>Предложено</x:v>
      </x:c>
      <x:c r="R259" s="17" t="str"/>
      <x:c r="S259" s="10" t="str"/>
      <x:c r="T259" s="10" t="str">
        <x:v>Резерв меняет выбор видео; снова проверить повод, аудиторию и все редакторские условия</x:v>
      </x:c>
      <x:c r="U259" s="9" t="str">
        <x:f>IF(D259="","Выбрать видео",IF(COUNTIFS($D$7:$D$371,D259)&gt;1,"Повтор","Без повтора"))</x:f>
        <x:v>Без повтора</x:v>
      </x:c>
    </x:row>
    <x:row r="260" ht="60" customHeight="1">
      <x:c r="A260" s="16" t="n">
        <x:v>46562</x:v>
      </x:c>
      <x:c r="B260" s="9" t="str">
        <x:v>Чт</x:v>
      </x:c>
      <x:c r="C260" s="10" t="str">
        <x:v>Сериал</x:v>
      </x:c>
      <x:c r="D260" s="19" t="str">
        <x:v>a2MQCH7xpxc</x:v>
      </x:c>
      <x:c r="E260" s="10" t="str">
        <x:f>IF(D260="","",IF(COUNTIFS('Видео'!$A$7:$A$1508,D260)=1,INDEX('Видео'!$B$7:$B$1508,MATCH(D260,'Видео'!$A$7:$A$1508,0)),"ID не найден"))</x:f>
        <x:v>כראמל 🐱 | גנב בטירה - פרק 5</x:v>
      </x:c>
      <x:c r="F260" s="9" t="str">
        <x:f>IF(D260="","",IF(COUNTIFS('Видео'!$A$7:$A$1508,D260)=1,INDEX('Видео'!$R$7:$R$1508,MATCH(D260,'Видео'!$A$7:$A$1508,0)),"ID не найден"))</x:f>
        <x:v>C053</x:v>
      </x:c>
      <x:c r="G260" s="9" t="str">
        <x:f>IF(D260="","",IF(COUNTIFS('Видео'!$A$7:$A$1508,D260)=1,INDEX('Видео'!$D$7:$D$1508,MATCH(D260,'Видео'!$A$7:$A$1508,0)),"ID не найден"))</x:f>
        <x:v>Сериал</x:v>
      </x:c>
      <x:c r="H260" s="10" t="str">
        <x:f>IF(D260="","",IF(COUNTIFS('Видео'!$A$7:$A$1508,D260)=1,INDEX('Видео'!$F$7:$F$1508,MATCH(D260,'Видео'!$A$7:$A$1508,0)),"ID не найден"))</x:f>
        <x:v>A2–B1 (гипотеза)</x:v>
      </x:c>
      <x:c r="I260" s="18" t="n">
        <x:f>IF(D260="","",IF(COUNTIFS('Видео'!$A$7:$A$1508,D260)=1,INDEX('Видео'!$G$7:$G$1508,MATCH(D260,'Видео'!$A$7:$A$1508,0)),"ID не найден"))</x:f>
        <x:v>27.3</x:v>
      </x:c>
      <x:c r="J260" s="18" t="n">
        <x:v>10</x:v>
      </x:c>
      <x:c r="K260" s="10" t="str">
        <x:f>IF(D260="","",IF(COUNTIFS('Видео'!$A$7:$A$1508,D260)=1,INDEX('Видео'!$AI$7:$AI$1508,MATCH(D260,'Видео'!$A$7:$A$1508,0)),"ID не найден"))</x:f>
        <x:v>Нужна редактура</x:v>
      </x:c>
      <x:c r="L260" s="19" t="str">
        <x:v>hdJeLswDP7U</x:v>
      </x:c>
      <x:c r="M260" s="10" t="str">
        <x:f>IF(L260="","",IF(COUNTIFS('Видео'!$A$7:$A$1508,L260)=1,INDEX('Видео'!$B$7:$B$1508,MATCH(L260,'Видео'!$A$7:$A$1508,0)),"ID не найден"))</x:f>
        <x:v>"נבואת עזה" של הפרופסור</x:v>
      </x:c>
      <x:c r="N260" s="10" t="str"/>
      <x:c r="O260" s="10" t="str">
        <x:f>IF(D260="","",IF(COUNTIFS('Видео'!$A$7:$A$1508,D260)=1,INDEX('Видео'!$M$7:$M$1508,MATCH(D260,'Видео'!$A$7:$A$1508,0)),"ID не найден"))</x:f>
        <x:v>Эпизод 5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260" s="11" t="str">
        <x:f>IF(D260="","",IF(COUNTIFS('Видео'!$A$7:$A$1508,D260)=1,INDEX('Видео'!$U$7:$U$1508,MATCH(D260,'Видео'!$A$7:$A$1508,0)),"ID не найден"))</x:f>
        <x:v>https://www.youtube.com/watch?v=a2MQCH7xpxc</x:v>
      </x:c>
      <x:c r="Q260" s="17" t="str">
        <x:v>Предложено</x:v>
      </x:c>
      <x:c r="R260" s="17" t="str"/>
      <x:c r="S260" s="10" t="str"/>
      <x:c r="T260" s="10" t="str">
        <x:v>При недоступной серии приостановить сюжетную ветку; резерв — самостоятельное видео</x:v>
      </x:c>
      <x:c r="U260" s="9" t="str">
        <x:f>IF(D260="","Выбрать видео",IF(COUNTIFS($D$7:$D$371,D260)&gt;1,"Повтор","Без повтора"))</x:f>
        <x:v>Без повтора</x:v>
      </x:c>
    </x:row>
    <x:row r="261" ht="60" customHeight="1">
      <x:c r="A261" s="16" t="n">
        <x:v>46563</x:v>
      </x:c>
      <x:c r="B261" s="9" t="str">
        <x:v>Пт</x:v>
      </x:c>
      <x:c r="C261" s="10" t="str">
        <x:v>История</x:v>
      </x:c>
      <x:c r="D261" s="19" t="str">
        <x:v>YZEzPq6-3Sc</x:v>
      </x:c>
      <x:c r="E261" s="10" t="str">
        <x:f>IF(D261="","",IF(COUNTIFS('Видео'!$A$7:$A$1508,D261)=1,INDEX('Видео'!$B$7:$B$1508,MATCH(D261,'Видео'!$A$7:$A$1508,0)),"ID не найден"))</x:f>
        <x:v>דיואן יהודי תימן | שיעור 2 - טקסט | ד"ר תום פוגל</x:v>
      </x:c>
      <x:c r="F261" s="9" t="str">
        <x:f>IF(D261="","",IF(COUNTIFS('Видео'!$A$7:$A$1508,D261)=1,INDEX('Видео'!$R$7:$R$1508,MATCH(D261,'Видео'!$A$7:$A$1508,0)),"ID не найден"))</x:f>
        <x:v>C067</x:v>
      </x:c>
      <x:c r="G261" s="9" t="str">
        <x:f>IF(D261="","",IF(COUNTIFS('Видео'!$A$7:$A$1508,D261)=1,INDEX('Видео'!$D$7:$D$1508,MATCH(D261,'Видео'!$A$7:$A$1508,0)),"ID не найден"))</x:f>
        <x:v>История</x:v>
      </x:c>
      <x:c r="H261" s="10" t="str">
        <x:f>IF(D261="","",IF(COUNTIFS('Видео'!$A$7:$A$1508,D261)=1,INDEX('Видео'!$F$7:$F$1508,MATCH(D261,'Видео'!$A$7:$A$1508,0)),"ID не найден"))</x:f>
        <x:v>B2–C1 (гипотеза)</x:v>
      </x:c>
      <x:c r="I261" s="18" t="n">
        <x:f>IF(D261="","",IF(COUNTIFS('Видео'!$A$7:$A$1508,D261)=1,INDEX('Видео'!$G$7:$G$1508,MATCH(D261,'Видео'!$A$7:$A$1508,0)),"ID не найден"))</x:f>
        <x:v>37.4</x:v>
      </x:c>
      <x:c r="J261" s="18" t="n">
        <x:v>10</x:v>
      </x:c>
      <x:c r="K261" s="10" t="str">
        <x:f>IF(D261="","",IF(COUNTIFS('Видео'!$A$7:$A$1508,D261)=1,INDEX('Видео'!$AI$7:$AI$1508,MATCH(D261,'Видео'!$A$7:$A$1508,0)),"ID не найден"))</x:f>
        <x:v>Нужна редактура</x:v>
      </x:c>
      <x:c r="L261" s="19" t="str">
        <x:v>dUsYnittGKA</x:v>
      </x:c>
      <x:c r="M261" s="10" t="str">
        <x:f>IF(L261="","",IF(COUNTIFS('Видео'!$A$7:$A$1508,L261)=1,INDEX('Видео'!$B$7:$B$1508,MATCH(L261,'Видео'!$A$7:$A$1508,0)),"ID не найден"))</x:f>
        <x:v>חמש קריאות בהגות ציונית | שיעור 4 - נחמן סירקין | פרופ' ישראל ברטל</x:v>
      </x:c>
      <x:c r="N261" s="10" t="str"/>
      <x:c r="O261" s="10" t="str">
        <x:f>IF(D261="","",IF(COUNTIFS('Видео'!$A$7:$A$1508,D261)=1,INDEX('Видео'!$M$7:$M$1508,MATCH(D261,'Видео'!$A$7:$A$1508,0)),"ID не найден"))</x:f>
        <x:v>Тема: דיואן יהודי תימן | שיעור 2 - טקסט | ד"ר תום פוגל. Йеменская традиция показывает разнообразие еврейской культуры.</x:v>
      </x:c>
      <x:c r="P261" s="11" t="str">
        <x:f>IF(D261="","",IF(COUNTIFS('Видео'!$A$7:$A$1508,D261)=1,INDEX('Видео'!$U$7:$U$1508,MATCH(D261,'Видео'!$A$7:$A$1508,0)),"ID не найден"))</x:f>
        <x:v>https://www.youtube.com/watch?v=YZEzPq6-3Sc</x:v>
      </x:c>
      <x:c r="Q261" s="17" t="str">
        <x:v>Предложено</x:v>
      </x:c>
      <x:c r="R261" s="17" t="str"/>
      <x:c r="S261" s="10" t="str"/>
      <x:c r="T261" s="10" t="str">
        <x:v>Резерв меняет выбор видео; снова проверить повод, аудиторию и все редакторские условия</x:v>
      </x:c>
      <x:c r="U261" s="9" t="str">
        <x:f>IF(D261="","Выбрать видео",IF(COUNTIFS($D$7:$D$371,D261)&gt;1,"Повтор","Без повтора"))</x:f>
        <x:v>Без повтора</x:v>
      </x:c>
    </x:row>
    <x:row r="262" ht="60" customHeight="1">
      <x:c r="A262" s="16" t="n">
        <x:v>46564</x:v>
      </x:c>
      <x:c r="B262" s="9" t="str">
        <x:v>Сб</x:v>
      </x:c>
      <x:c r="C262" s="10" t="str">
        <x:v>Общество</x:v>
      </x:c>
      <x:c r="D262" s="19" t="str">
        <x:v>7wrVvCbg3vg</x:v>
      </x:c>
      <x:c r="E262" s="10" t="str">
        <x:f>IF(D262="","",IF(COUNTIFS('Видео'!$A$7:$A$1508,D262)=1,INDEX('Видео'!$B$7:$B$1508,MATCH(D262,'Видео'!$A$7:$A$1508,0)),"ID не найден"))</x:f>
        <x:v>סליחה על השאלה | אסירים משוחררים - פרק אחרון לעונה!</x:v>
      </x:c>
      <x:c r="F262" s="9" t="str">
        <x:f>IF(D262="","",IF(COUNTIFS('Видео'!$A$7:$A$1508,D262)=1,INDEX('Видео'!$R$7:$R$1508,MATCH(D262,'Видео'!$A$7:$A$1508,0)),"ID не найден"))</x:f>
        <x:v>C021</x:v>
      </x:c>
      <x:c r="G262" s="9" t="str">
        <x:f>IF(D262="","",IF(COUNTIFS('Видео'!$A$7:$A$1508,D262)=1,INDEX('Видео'!$D$7:$D$1508,MATCH(D262,'Видео'!$A$7:$A$1508,0)),"ID не найден"))</x:f>
        <x:v>Общество</x:v>
      </x:c>
      <x:c r="H262" s="10" t="str">
        <x:f>IF(D262="","",IF(COUNTIFS('Видео'!$A$7:$A$1508,D262)=1,INDEX('Видео'!$F$7:$F$1508,MATCH(D262,'Видео'!$A$7:$A$1508,0)),"ID не найден"))</x:f>
        <x:v>B1–B2 (гипотеза)</x:v>
      </x:c>
      <x:c r="I262" s="18" t="n">
        <x:f>IF(D262="","",IF(COUNTIFS('Видео'!$A$7:$A$1508,D262)=1,INDEX('Видео'!$G$7:$G$1508,MATCH(D262,'Видео'!$A$7:$A$1508,0)),"ID не найден"))</x:f>
        <x:v>23</x:v>
      </x:c>
      <x:c r="J262" s="18" t="n">
        <x:v>10</x:v>
      </x:c>
      <x:c r="K262" s="10" t="str">
        <x:f>IF(D262="","",IF(COUNTIFS('Видео'!$A$7:$A$1508,D262)=1,INDEX('Видео'!$AI$7:$AI$1508,MATCH(D262,'Видео'!$A$7:$A$1508,0)),"ID не найден"))</x:f>
        <x:v>Нужна редактура</x:v>
      </x:c>
      <x:c r="L262" s="19" t="str">
        <x:v>9JHDCngGnMM</x:v>
      </x:c>
      <x:c r="M262" s="10" t="str">
        <x:f>IF(L262="","",IF(COUNTIFS('Видео'!$A$7:$A$1508,L262)=1,INDEX('Видео'!$B$7:$B$1508,MATCH(L262,'Видео'!$A$7:$A$1508,0)),"ID не найден"))</x:f>
        <x:v>סליחה על השאלה | ילדים ממשפחות גאות</x:v>
      </x:c>
      <x:c r="N262" s="10" t="str"/>
      <x:c r="O262" s="10" t="str">
        <x:f>IF(D262="","",IF(COUNTIFS('Видео'!$A$7:$A$1508,D262)=1,INDEX('Видео'!$M$7:$M$1508,MATCH(D262,'Видео'!$A$7:$A$1508,0)),"ID не найден"))</x:f>
        <x:v>Тема: סליחה על השאלה | אסירים משוחררים - פרק אחרון לעונה!. Одинаковый вопрос разным людям позволяет сравнить ответы и акценты. Формат вводит социальные группы через их собственную речь.</x:v>
      </x:c>
      <x:c r="P262" s="11" t="str">
        <x:f>IF(D262="","",IF(COUNTIFS('Видео'!$A$7:$A$1508,D262)=1,INDEX('Видео'!$U$7:$U$1508,MATCH(D262,'Видео'!$A$7:$A$1508,0)),"ID не найден"))</x:f>
        <x:v>https://www.youtube.com/watch?v=7wrVvCbg3vg</x:v>
      </x:c>
      <x:c r="Q262" s="17" t="str">
        <x:v>Предложено</x:v>
      </x:c>
      <x:c r="R262" s="17" t="str"/>
      <x:c r="S262" s="10" t="str"/>
      <x:c r="T262" s="10" t="str">
        <x:v>Резерв меняет выбор видео; снова проверить повод, аудиторию и все редакторские условия</x:v>
      </x:c>
      <x:c r="U262" s="9" t="str">
        <x:f>IF(D262="","Выбрать видео",IF(COUNTIFS($D$7:$D$371,D262)&gt;1,"Повтор","Без повтора"))</x:f>
        <x:v>Без повтора</x:v>
      </x:c>
    </x:row>
    <x:row r="263" ht="60" customHeight="1">
      <x:c r="A263" s="16" t="n">
        <x:v>46565</x:v>
      </x:c>
      <x:c r="B263" s="9" t="str">
        <x:v>Вс</x:v>
      </x:c>
      <x:c r="C263" s="10" t="str">
        <x:v>Сериал</x:v>
      </x:c>
      <x:c r="D263" s="19" t="str">
        <x:v>NSBysaSZ3jg</x:v>
      </x:c>
      <x:c r="E263" s="10" t="str">
        <x:f>IF(D263="","",IF(COUNTIFS('Видео'!$A$7:$A$1508,D263)=1,INDEX('Видео'!$B$7:$B$1508,MATCH(D263,'Видео'!$A$7:$A$1508,0)),"ID не найден"))</x:f>
        <x:v>קופה ראשית עונה 4🛒 | פרק 16 - המחליפה</x:v>
      </x:c>
      <x:c r="F263" s="9" t="str">
        <x:f>IF(D263="","",IF(COUNTIFS('Видео'!$A$7:$A$1508,D263)=1,INDEX('Видео'!$R$7:$R$1508,MATCH(D263,'Видео'!$A$7:$A$1508,0)),"ID не найден"))</x:f>
        <x:v>C002</x:v>
      </x:c>
      <x:c r="G263" s="9" t="str">
        <x:f>IF(D263="","",IF(COUNTIFS('Видео'!$A$7:$A$1508,D263)=1,INDEX('Видео'!$D$7:$D$1508,MATCH(D263,'Видео'!$A$7:$A$1508,0)),"ID не найден"))</x:f>
        <x:v>Сериал</x:v>
      </x:c>
      <x:c r="H263" s="10" t="str">
        <x:f>IF(D263="","",IF(COUNTIFS('Видео'!$A$7:$A$1508,D263)=1,INDEX('Видео'!$F$7:$F$1508,MATCH(D263,'Видео'!$A$7:$A$1508,0)),"ID не найден"))</x:f>
        <x:v>B1–B2 (гипотеза)</x:v>
      </x:c>
      <x:c r="I263" s="18" t="n">
        <x:f>IF(D263="","",IF(COUNTIFS('Видео'!$A$7:$A$1508,D263)=1,INDEX('Видео'!$G$7:$G$1508,MATCH(D263,'Видео'!$A$7:$A$1508,0)),"ID не найден"))</x:f>
        <x:v>25.8</x:v>
      </x:c>
      <x:c r="J263" s="18" t="n">
        <x:v>10</x:v>
      </x:c>
      <x:c r="K263" s="10" t="str">
        <x:f>IF(D263="","",IF(COUNTIFS('Видео'!$A$7:$A$1508,D263)=1,INDEX('Видео'!$AI$7:$AI$1508,MATCH(D263,'Видео'!$A$7:$A$1508,0)),"ID не найден"))</x:f>
        <x:v>Нужна редактура</x:v>
      </x:c>
      <x:c r="L263" s="19" t="str">
        <x:v>AkgYmVoZM4M</x:v>
      </x:c>
      <x:c r="M263" s="10" t="str">
        <x:f>IF(L263="","",IF(COUNTIFS('Видео'!$A$7:$A$1508,L263)=1,INDEX('Видео'!$B$7:$B$1508,MATCH(L263,'Видео'!$A$7:$A$1508,0)),"ID не найден"))</x:f>
        <x:v>איך לטבול ביסקוויט בתה בלי שיפול?</x:v>
      </x:c>
      <x:c r="N263" s="10" t="str"/>
      <x:c r="O263" s="10" t="str">
        <x:f>IF(D263="","",IF(COUNTIFS('Видео'!$A$7:$A$1508,D263)=1,INDEX('Видео'!$M$7:$M$1508,MATCH(D263,'Видео'!$A$7:$A$1508,0)),"ID не найден"))</x:f>
        <x:v>Эпизод 16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63" s="11" t="str">
        <x:f>IF(D263="","",IF(COUNTIFS('Видео'!$A$7:$A$1508,D263)=1,INDEX('Видео'!$U$7:$U$1508,MATCH(D263,'Видео'!$A$7:$A$1508,0)),"ID не найден"))</x:f>
        <x:v>https://www.youtube.com/watch?v=NSBysaSZ3jg</x:v>
      </x:c>
      <x:c r="Q263" s="17" t="str">
        <x:v>Предложено</x:v>
      </x:c>
      <x:c r="R263" s="17" t="str"/>
      <x:c r="S263" s="10" t="str"/>
      <x:c r="T263" s="10" t="str">
        <x:v>При недоступной серии приостановить сюжетную ветку; резерв — самостоятельное видео</x:v>
      </x:c>
      <x:c r="U263" s="9" t="str">
        <x:f>IF(D263="","Выбрать видео",IF(COUNTIFS($D$7:$D$371,D263)&gt;1,"Повтор","Без повтора"))</x:f>
        <x:v>Без повтора</x:v>
      </x:c>
    </x:row>
    <x:row r="264" ht="60" customHeight="1">
      <x:c r="A264" s="16" t="n">
        <x:v>46566</x:v>
      </x:c>
      <x:c r="B264" s="9" t="str">
        <x:v>Пн</x:v>
      </x:c>
      <x:c r="C264" s="10" t="str">
        <x:v>Интервью</x:v>
      </x:c>
      <x:c r="D264" s="19" t="str">
        <x:v>-Vmu_fdaDM8</x:v>
      </x:c>
      <x:c r="E264" s="10" t="str">
        <x:f>IF(D264="","",IF(COUNTIFS('Видео'!$A$7:$A$1508,D264)=1,INDEX('Видео'!$B$7:$B$1508,MATCH(D264,'Видео'!$A$7:$A$1508,0)),"ID не найден"))</x:f>
        <x:v>שיחה עם עודד הרוש: הרב יצחק פנגר I התכנית המלאה</x:v>
      </x:c>
      <x:c r="F264" s="9" t="str">
        <x:f>IF(D264="","",IF(COUNTIFS('Видео'!$A$7:$A$1508,D264)=1,INDEX('Видео'!$R$7:$R$1508,MATCH(D264,'Видео'!$A$7:$A$1508,0)),"ID не найден"))</x:f>
        <x:v>C082</x:v>
      </x:c>
      <x:c r="G264" s="9" t="str">
        <x:f>IF(D264="","",IF(COUNTIFS('Видео'!$A$7:$A$1508,D264)=1,INDEX('Видео'!$D$7:$D$1508,MATCH(D264,'Видео'!$A$7:$A$1508,0)),"ID не найден"))</x:f>
        <x:v>Интервью</x:v>
      </x:c>
      <x:c r="H264" s="10" t="str">
        <x:f>IF(D264="","",IF(COUNTIFS('Видео'!$A$7:$A$1508,D264)=1,INDEX('Видео'!$F$7:$F$1508,MATCH(D264,'Видео'!$A$7:$A$1508,0)),"ID не найден"))</x:f>
        <x:v>B2–C1 (гипотеза)</x:v>
      </x:c>
      <x:c r="I264" s="18" t="n">
        <x:f>IF(D264="","",IF(COUNTIFS('Видео'!$A$7:$A$1508,D264)=1,INDEX('Видео'!$G$7:$G$1508,MATCH(D264,'Видео'!$A$7:$A$1508,0)),"ID не найден"))</x:f>
        <x:v>43.4</x:v>
      </x:c>
      <x:c r="J264" s="18" t="n">
        <x:v>10</x:v>
      </x:c>
      <x:c r="K264" s="10" t="str">
        <x:f>IF(D264="","",IF(COUNTIFS('Видео'!$A$7:$A$1508,D264)=1,INDEX('Видео'!$AI$7:$AI$1508,MATCH(D264,'Видео'!$A$7:$A$1508,0)),"ID не найден"))</x:f>
        <x:v>Нужна редактура</x:v>
      </x:c>
      <x:c r="L264" s="19" t="str">
        <x:v>gCjwI5tAf9Y</x:v>
      </x:c>
      <x:c r="M264" s="10" t="str">
        <x:f>IF(L264="","",IF(COUNTIFS('Видео'!$A$7:$A$1508,L264)=1,INDEX('Видео'!$B$7:$B$1508,MATCH(L264,'Видео'!$A$7:$A$1508,0)),"ID не найден"))</x:f>
        <x:v>הצומת | הסודות מאחורי הלוחמה הפסיכולוגית - אם חשבתם שהיא דילגה עליכם, תחשבו שוב</x:v>
      </x:c>
      <x:c r="N264" s="10" t="str"/>
      <x:c r="O264" s="10" t="str">
        <x:f>IF(D264="","",IF(COUNTIFS('Видео'!$A$7:$A$1508,D264)=1,INDEX('Видео'!$M$7:$M$1508,MATCH(D264,'Видео'!$A$7:$A$1508,0)),"ID не найден"))</x:f>
        <x:v>Тема / гость: שיחה עם עודד הרוש: הרב יצחק פנגר I התכנית המלאה. Просмотры в списке выше медианы выборки этого цикла в 2.37 раза. Дополняет биографические интервью другим ведущим и кругом гостей.</x:v>
      </x:c>
      <x:c r="P264" s="11" t="str">
        <x:f>IF(D264="","",IF(COUNTIFS('Видео'!$A$7:$A$1508,D264)=1,INDEX('Видео'!$U$7:$U$1508,MATCH(D264,'Видео'!$A$7:$A$1508,0)),"ID не найден"))</x:f>
        <x:v>https://www.youtube.com/watch?v=-Vmu_fdaDM8</x:v>
      </x:c>
      <x:c r="Q264" s="17" t="str">
        <x:v>Предложено</x:v>
      </x:c>
      <x:c r="R264" s="17" t="str"/>
      <x:c r="S264" s="10" t="str"/>
      <x:c r="T264" s="10" t="str">
        <x:v>Резерв меняет выбор видео; снова проверить повод, аудиторию и все редакторские условия</x:v>
      </x:c>
      <x:c r="U264" s="9" t="str">
        <x:f>IF(D264="","Выбрать видео",IF(COUNTIFS($D$7:$D$371,D264)&gt;1,"Повтор","Без повтора"))</x:f>
        <x:v>Без повтора</x:v>
      </x:c>
    </x:row>
    <x:row r="265" ht="60" customHeight="1">
      <x:c r="A265" s="16" t="n">
        <x:v>46567</x:v>
      </x:c>
      <x:c r="B265" s="9" t="str">
        <x:v>Вт</x:v>
      </x:c>
      <x:c r="C265" s="10" t="str">
        <x:v>Образование</x:v>
      </x:c>
      <x:c r="D265" s="19" t="str">
        <x:v>0re04hlL4ck</x:v>
      </x:c>
      <x:c r="E265" s="10" t="str">
        <x:f>IF(D265="","",IF(COUNTIFS('Видео'!$A$7:$A$1508,D265)=1,INDEX('Видео'!$B$7:$B$1508,MATCH(D265,'Видео'!$A$7:$A$1508,0)),"ID не найден"))</x:f>
        <x:v>יוניקורנז | פרק 3 - אומת הסייבר</x:v>
      </x:c>
      <x:c r="F265" s="9" t="str">
        <x:f>IF(D265="","",IF(COUNTIFS('Видео'!$A$7:$A$1508,D265)=1,INDEX('Видео'!$R$7:$R$1508,MATCH(D265,'Видео'!$A$7:$A$1508,0)),"ID не найден"))</x:f>
        <x:v>C034</x:v>
      </x:c>
      <x:c r="G265" s="9" t="str">
        <x:f>IF(D265="","",IF(COUNTIFS('Видео'!$A$7:$A$1508,D265)=1,INDEX('Видео'!$D$7:$D$1508,MATCH(D265,'Видео'!$A$7:$A$1508,0)),"ID не найден"))</x:f>
        <x:v>Образование</x:v>
      </x:c>
      <x:c r="H265" s="10" t="str">
        <x:f>IF(D265="","",IF(COUNTIFS('Видео'!$A$7:$A$1508,D265)=1,INDEX('Видео'!$F$7:$F$1508,MATCH(D265,'Видео'!$A$7:$A$1508,0)),"ID не найден"))</x:f>
        <x:v>B2–C1 (гипотеза)</x:v>
      </x:c>
      <x:c r="I265" s="18" t="n">
        <x:f>IF(D265="","",IF(COUNTIFS('Видео'!$A$7:$A$1508,D265)=1,INDEX('Видео'!$G$7:$G$1508,MATCH(D265,'Видео'!$A$7:$A$1508,0)),"ID не найден"))</x:f>
        <x:v>45.9</x:v>
      </x:c>
      <x:c r="J265" s="18" t="n">
        <x:v>10</x:v>
      </x:c>
      <x:c r="K265" s="10" t="str">
        <x:f>IF(D265="","",IF(COUNTIFS('Видео'!$A$7:$A$1508,D265)=1,INDEX('Видео'!$AI$7:$AI$1508,MATCH(D265,'Видео'!$A$7:$A$1508,0)),"ID не найден"))</x:f>
        <x:v>Нужна редактура</x:v>
      </x:c>
      <x:c r="L265" s="19" t="str">
        <x:v>7kPh58_tibM</x:v>
      </x:c>
      <x:c r="M265" s="10" t="str">
        <x:f>IF(L265="","",IF(COUNTIFS('Видео'!$A$7:$A$1508,L265)=1,INDEX('Видео'!$B$7:$B$1508,MATCH(L265,'Видео'!$A$7:$A$1508,0)),"ID не найден"))</x:f>
        <x:v>גלילאו עונה 9 | איך חיים במינוס 50 מעלות? ❄</x:v>
      </x:c>
      <x:c r="N265" s="10" t="str"/>
      <x:c r="O265" s="10" t="str">
        <x:f>IF(D265="","",IF(COUNTIFS('Видео'!$A$7:$A$1508,D265)=1,INDEX('Видео'!$M$7:$M$1508,MATCH(D265,'Видео'!$A$7:$A$1508,0)),"ID не найден"))</x:f>
        <x:v>Тема: יוניקורנז | פרק 3 - אומת הסייבר. Израильский технологический сектор привлекает профессиональную аудиторию. Нужная лексика работы, бизнеса и инноваций.</x:v>
      </x:c>
      <x:c r="P265" s="11" t="str">
        <x:f>IF(D265="","",IF(COUNTIFS('Видео'!$A$7:$A$1508,D265)=1,INDEX('Видео'!$U$7:$U$1508,MATCH(D265,'Видео'!$A$7:$A$1508,0)),"ID не найден"))</x:f>
        <x:v>https://www.youtube.com/watch?v=0re04hlL4ck</x:v>
      </x:c>
      <x:c r="Q265" s="17" t="str">
        <x:v>Предложено</x:v>
      </x:c>
      <x:c r="R265" s="17" t="str"/>
      <x:c r="S265" s="10" t="str"/>
      <x:c r="T265" s="10" t="str">
        <x:v>Резерв меняет выбор видео; снова проверить повод, аудиторию и все редакторские условия</x:v>
      </x:c>
      <x:c r="U265" s="9" t="str">
        <x:f>IF(D265="","Выбрать видео",IF(COUNTIFS($D$7:$D$371,D265)&gt;1,"Повтор","Без повтора"))</x:f>
        <x:v>Без повтора</x:v>
      </x:c>
    </x:row>
    <x:row r="266" ht="60" customHeight="1">
      <x:c r="A266" s="16" t="n">
        <x:v>46568</x:v>
      </x:c>
      <x:c r="B266" s="9" t="str">
        <x:v>Ср</x:v>
      </x:c>
      <x:c r="C266" s="10" t="str">
        <x:v>Быт</x:v>
      </x:c>
      <x:c r="D266" s="19" t="str">
        <x:v>2d-CpsoL5Ao</x:v>
      </x:c>
      <x:c r="E266" s="10" t="str">
        <x:f>IF(D266="","",IF(COUNTIFS('Видео'!$A$7:$A$1508,D266)=1,INDEX('Видео'!$B$7:$B$1508,MATCH(D266,'Видео'!$A$7:$A$1508,0)),"ID не найден"))</x:f>
        <x:v>מכות רצח וצבע אדום: איך מאבטחים מסיבה של אלפי אנשים?</x:v>
      </x:c>
      <x:c r="F266" s="9" t="str">
        <x:f>IF(D266="","",IF(COUNTIFS('Видео'!$A$7:$A$1508,D266)=1,INDEX('Видео'!$R$7:$R$1508,MATCH(D266,'Видео'!$A$7:$A$1508,0)),"ID не найден"))</x:f>
        <x:v>C048</x:v>
      </x:c>
      <x:c r="G266" s="9" t="str">
        <x:f>IF(D266="","",IF(COUNTIFS('Видео'!$A$7:$A$1508,D266)=1,INDEX('Видео'!$D$7:$D$1508,MATCH(D266,'Видео'!$A$7:$A$1508,0)),"ID не найден"))</x:f>
        <x:v>Быт</x:v>
      </x:c>
      <x:c r="H266" s="10" t="str">
        <x:f>IF(D266="","",IF(COUNTIFS('Видео'!$A$7:$A$1508,D266)=1,INDEX('Видео'!$F$7:$F$1508,MATCH(D266,'Видео'!$A$7:$A$1508,0)),"ID не найден"))</x:f>
        <x:v>B1–B2 (гипотеза)</x:v>
      </x:c>
      <x:c r="I266" s="18" t="n">
        <x:f>IF(D266="","",IF(COUNTIFS('Видео'!$A$7:$A$1508,D266)=1,INDEX('Видео'!$G$7:$G$1508,MATCH(D266,'Видео'!$A$7:$A$1508,0)),"ID не найден"))</x:f>
        <x:v>6.1</x:v>
      </x:c>
      <x:c r="J266" s="18" t="n">
        <x:v>5</x:v>
      </x:c>
      <x:c r="K266" s="10" t="str">
        <x:f>IF(D266="","",IF(COUNTIFS('Видео'!$A$7:$A$1508,D266)=1,INDEX('Видео'!$AI$7:$AI$1508,MATCH(D266,'Видео'!$A$7:$A$1508,0)),"ID не найден"))</x:f>
        <x:v>Нужна редактура</x:v>
      </x:c>
      <x:c r="L266" s="19" t="str">
        <x:v>DeL1ER5Td2c</x:v>
      </x:c>
      <x:c r="M266" s="10" t="str">
        <x:f>IF(L266="","",IF(COUNTIFS('Видео'!$A$7:$A$1508,L266)=1,INDEX('Видео'!$B$7:$B$1508,MATCH(L266,'Видео'!$A$7:$A$1508,0)),"ID не найден"))</x:f>
        <x:v>בואו לאכול איתי עונה 8 | צפון - חלק ב' (פרק 2)</x:v>
      </x:c>
      <x:c r="N266" s="10" t="str"/>
      <x:c r="O266" s="10" t="str">
        <x:f>IF(D266="","",IF(COUNTIFS('Видео'!$A$7:$A$1508,D266)=1,INDEX('Видео'!$M$7:$M$1508,MATCH(D266,'Видео'!$A$7:$A$1508,0)),"ID не найден"))</x:f>
        <x:v>Завершённый короткий просмотр около 6 мин. Просмотры в списке выше медианы выборки этого цикла в 1.85 раза. День в жизни специалиста связывает язык с конкретными действиями и рабочей средой.</x:v>
      </x:c>
      <x:c r="P266" s="11" t="str">
        <x:f>IF(D266="","",IF(COUNTIFS('Видео'!$A$7:$A$1508,D266)=1,INDEX('Видео'!$U$7:$U$1508,MATCH(D266,'Видео'!$A$7:$A$1508,0)),"ID не найден"))</x:f>
        <x:v>https://www.youtube.com/watch?v=2d-CpsoL5Ao</x:v>
      </x:c>
      <x:c r="Q266" s="17" t="str">
        <x:v>Предложено</x:v>
      </x:c>
      <x:c r="R266" s="17" t="str"/>
      <x:c r="S266" s="10" t="str"/>
      <x:c r="T266" s="10" t="str">
        <x:v>Резерв меняет выбор видео; снова проверить повод, аудиторию и все редакторские условия</x:v>
      </x:c>
      <x:c r="U266" s="9" t="str">
        <x:f>IF(D266="","Выбрать видео",IF(COUNTIFS($D$7:$D$371,D266)&gt;1,"Повтор","Без повтора"))</x:f>
        <x:v>Без повтора</x:v>
      </x:c>
    </x:row>
    <x:row r="267" ht="60" customHeight="1">
      <x:c r="A267" s="16" t="n">
        <x:v>46569</x:v>
      </x:c>
      <x:c r="B267" s="9" t="str">
        <x:v>Чт</x:v>
      </x:c>
      <x:c r="C267" s="10" t="str">
        <x:v>Сериал</x:v>
      </x:c>
      <x:c r="D267" s="19" t="str">
        <x:v>LWxfewWBzoU</x:v>
      </x:c>
      <x:c r="E267" s="10" t="str">
        <x:f>IF(D267="","",IF(COUNTIFS('Видео'!$A$7:$A$1508,D267)=1,INDEX('Видео'!$B$7:$B$1508,MATCH(D267,'Видео'!$A$7:$A$1508,0)),"ID не найден"))</x:f>
        <x:v>כראמל 🐱 | צ'אנג צ'י - פרק 6</x:v>
      </x:c>
      <x:c r="F267" s="9" t="str">
        <x:f>IF(D267="","",IF(COUNTIFS('Видео'!$A$7:$A$1508,D267)=1,INDEX('Видео'!$R$7:$R$1508,MATCH(D267,'Видео'!$A$7:$A$1508,0)),"ID не найден"))</x:f>
        <x:v>C053</x:v>
      </x:c>
      <x:c r="G267" s="9" t="str">
        <x:f>IF(D267="","",IF(COUNTIFS('Видео'!$A$7:$A$1508,D267)=1,INDEX('Видео'!$D$7:$D$1508,MATCH(D267,'Видео'!$A$7:$A$1508,0)),"ID не найден"))</x:f>
        <x:v>Сериал</x:v>
      </x:c>
      <x:c r="H267" s="10" t="str">
        <x:f>IF(D267="","",IF(COUNTIFS('Видео'!$A$7:$A$1508,D267)=1,INDEX('Видео'!$F$7:$F$1508,MATCH(D267,'Видео'!$A$7:$A$1508,0)),"ID не найден"))</x:f>
        <x:v>A2–B1 (гипотеза)</x:v>
      </x:c>
      <x:c r="I267" s="18" t="n">
        <x:f>IF(D267="","",IF(COUNTIFS('Видео'!$A$7:$A$1508,D267)=1,INDEX('Видео'!$G$7:$G$1508,MATCH(D267,'Видео'!$A$7:$A$1508,0)),"ID не найден"))</x:f>
        <x:v>26.1</x:v>
      </x:c>
      <x:c r="J267" s="18" t="n">
        <x:v>10</x:v>
      </x:c>
      <x:c r="K267" s="10" t="str">
        <x:f>IF(D267="","",IF(COUNTIFS('Видео'!$A$7:$A$1508,D267)=1,INDEX('Видео'!$AI$7:$AI$1508,MATCH(D267,'Видео'!$A$7:$A$1508,0)),"ID не найден"))</x:f>
        <x:v>Нужна редактура</x:v>
      </x:c>
      <x:c r="L267" s="19" t="str">
        <x:v>RPUIg1vATdQ</x:v>
      </x:c>
      <x:c r="M267" s="10" t="str">
        <x:f>IF(L267="","",IF(COUNTIFS('Видео'!$A$7:$A$1508,L267)=1,INDEX('Видео'!$B$7:$B$1508,MATCH(L267,'Видео'!$A$7:$A$1508,0)),"ID не найден"))</x:f>
        <x:v>לשבור את הקרח - איך הגוף שלנו מגיב לקור?</x:v>
      </x:c>
      <x:c r="N267" s="10" t="str"/>
      <x:c r="O267" s="10" t="str">
        <x:f>IF(D267="","",IF(COUNTIFS('Видео'!$A$7:$A$1508,D267)=1,INDEX('Видео'!$M$7:$M$1508,MATCH(D267,'Видео'!$A$7:$A$1508,0)),"ID не найден"))</x:f>
        <x:v>Эпизод 6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267" s="11" t="str">
        <x:f>IF(D267="","",IF(COUNTIFS('Видео'!$A$7:$A$1508,D267)=1,INDEX('Видео'!$U$7:$U$1508,MATCH(D267,'Видео'!$A$7:$A$1508,0)),"ID не найден"))</x:f>
        <x:v>https://www.youtube.com/watch?v=LWxfewWBzoU</x:v>
      </x:c>
      <x:c r="Q267" s="17" t="str">
        <x:v>Предложено</x:v>
      </x:c>
      <x:c r="R267" s="17" t="str"/>
      <x:c r="S267" s="10" t="str"/>
      <x:c r="T267" s="10" t="str">
        <x:v>При недоступной серии приостановить сюжетную ветку; резерв — самостоятельное видео</x:v>
      </x:c>
      <x:c r="U267" s="9" t="str">
        <x:f>IF(D267="","Выбрать видео",IF(COUNTIFS($D$7:$D$371,D267)&gt;1,"Повтор","Без повтора"))</x:f>
        <x:v>Без повтора</x:v>
      </x:c>
    </x:row>
    <x:row r="268" ht="60" customHeight="1">
      <x:c r="A268" s="16" t="n">
        <x:v>46570</x:v>
      </x:c>
      <x:c r="B268" s="9" t="str">
        <x:v>Пт</x:v>
      </x:c>
      <x:c r="C268" s="10" t="str">
        <x:v>Культура</x:v>
      </x:c>
      <x:c r="D268" s="19" t="str">
        <x:v>cwgGE1QKD8E</x:v>
      </x:c>
      <x:c r="E268" s="10" t="str">
        <x:f>IF(D268="","",IF(COUNTIFS('Видео'!$A$7:$A$1508,D268)=1,INDEX('Видео'!$B$7:$B$1508,MATCH(D268,'Видео'!$A$7:$A$1508,0)),"ID не найден"))</x:f>
        <x:v>היהודים באים  - פרק 3 | כאן 11 לשעבר רשות השידור</x:v>
      </x:c>
      <x:c r="F268" s="9" t="str">
        <x:f>IF(D268="","",IF(COUNTIFS('Видео'!$A$7:$A$1508,D268)=1,INDEX('Видео'!$R$7:$R$1508,MATCH(D268,'Видео'!$A$7:$A$1508,0)),"ID не найден"))</x:f>
        <x:v>C026</x:v>
      </x:c>
      <x:c r="G268" s="9" t="str">
        <x:f>IF(D268="","",IF(COUNTIFS('Видео'!$A$7:$A$1508,D268)=1,INDEX('Видео'!$D$7:$D$1508,MATCH(D268,'Видео'!$A$7:$A$1508,0)),"ID не найден"))</x:f>
        <x:v>Культура</x:v>
      </x:c>
      <x:c r="H268" s="10" t="str">
        <x:f>IF(D268="","",IF(COUNTIFS('Видео'!$A$7:$A$1508,D268)=1,INDEX('Видео'!$F$7:$F$1508,MATCH(D268,'Видео'!$A$7:$A$1508,0)),"ID не найден"))</x:f>
        <x:v>B2–C1 (гипотеза)</x:v>
      </x:c>
      <x:c r="I268" s="18" t="n">
        <x:f>IF(D268="","",IF(COUNTIFS('Видео'!$A$7:$A$1508,D268)=1,INDEX('Видео'!$G$7:$G$1508,MATCH(D268,'Видео'!$A$7:$A$1508,0)),"ID не найден"))</x:f>
        <x:v>23.9</x:v>
      </x:c>
      <x:c r="J268" s="18" t="n">
        <x:v>10</x:v>
      </x:c>
      <x:c r="K268" s="10" t="str">
        <x:f>IF(D268="","",IF(COUNTIFS('Видео'!$A$7:$A$1508,D268)=1,INDEX('Видео'!$AI$7:$AI$1508,MATCH(D268,'Видео'!$A$7:$A$1508,0)),"ID не найден"))</x:f>
        <x:v>Нужна редактура</x:v>
      </x:c>
      <x:c r="L268" s="19" t="str">
        <x:v>nuQ0CboYpOs</x:v>
      </x:c>
      <x:c r="M268" s="10" t="str">
        <x:f>IF(L268="","",IF(COUNTIFS('Видео'!$A$7:$A$1508,L268)=1,INDEX('Видео'!$B$7:$B$1508,MATCH(L268,'Видео'!$A$7:$A$1508,0)),"ID не найден"))</x:f>
        <x:v>שיר אחד 🎤 עיבוד טלוויזיוני להסכת | תיסלם - חצבים פורחים</x:v>
      </x:c>
      <x:c r="N268" s="10" t="str"/>
      <x:c r="O268" s="10" t="str">
        <x:f>IF(D268="","",IF(COUNTIFS('Видео'!$A$7:$A$1508,D268)=1,INDEX('Видео'!$M$7:$M$1508,MATCH(D268,'Видео'!$A$7:$A$1508,0)),"ID не найден"))</x:f>
        <x:v>Тема: היהודים באים  - פרק 3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P268" s="11" t="str">
        <x:f>IF(D268="","",IF(COUNTIFS('Видео'!$A$7:$A$1508,D268)=1,INDEX('Видео'!$U$7:$U$1508,MATCH(D268,'Видео'!$A$7:$A$1508,0)),"ID не найден"))</x:f>
        <x:v>https://www.youtube.com/watch?v=cwgGE1QKD8E</x:v>
      </x:c>
      <x:c r="Q268" s="17" t="str">
        <x:v>Предложено</x:v>
      </x:c>
      <x:c r="R268" s="17" t="str"/>
      <x:c r="S268" s="10" t="str"/>
      <x:c r="T268" s="10" t="str">
        <x:v>Резерв меняет выбор видео; снова проверить повод, аудиторию и все редакторские условия</x:v>
      </x:c>
      <x:c r="U268" s="9" t="str">
        <x:f>IF(D268="","Выбрать видео",IF(COUNTIFS($D$7:$D$371,D268)&gt;1,"Повтор","Без повтора"))</x:f>
        <x:v>Без повтора</x:v>
      </x:c>
    </x:row>
    <x:row r="269" ht="60" customHeight="1">
      <x:c r="A269" s="16" t="n">
        <x:v>46571</x:v>
      </x:c>
      <x:c r="B269" s="9" t="str">
        <x:v>Сб</x:v>
      </x:c>
      <x:c r="C269" s="10" t="str">
        <x:v>Память</x:v>
      </x:c>
      <x:c r="D269" s="19" t="str">
        <x:v>aVo1Mf3suoo</x:v>
      </x:c>
      <x:c r="E269" s="10" t="str">
        <x:f>IF(D269="","",IF(COUNTIFS('Видео'!$A$7:$A$1508,D269)=1,INDEX('Видео'!$B$7:$B$1508,MATCH(D269,'Видео'!$A$7:$A$1508,0)),"ID не найден"))</x:f>
        <x:v>חוץ. יום. שבת - סרטי דוקו של יוצרים צעירים מהעוטף על ה-7.10 | וידויים- סרטם של עמית אראל ועומר דאידה</x:v>
      </x:c>
      <x:c r="F269" s="9" t="str">
        <x:f>IF(D269="","",IF(COUNTIFS('Видео'!$A$7:$A$1508,D269)=1,INDEX('Видео'!$R$7:$R$1508,MATCH(D269,'Видео'!$A$7:$A$1508,0)),"ID не найден"))</x:f>
        <x:v>C042</x:v>
      </x:c>
      <x:c r="G269" s="9" t="str">
        <x:f>IF(D269="","",IF(COUNTIFS('Видео'!$A$7:$A$1508,D269)=1,INDEX('Видео'!$D$7:$D$1508,MATCH(D269,'Видео'!$A$7:$A$1508,0)),"ID не найден"))</x:f>
        <x:v>Память</x:v>
      </x:c>
      <x:c r="H269" s="10" t="str">
        <x:f>IF(D269="","",IF(COUNTIFS('Видео'!$A$7:$A$1508,D269)=1,INDEX('Видео'!$F$7:$F$1508,MATCH(D269,'Видео'!$A$7:$A$1508,0)),"ID не найден"))</x:f>
        <x:v>B2–C1 (гипотеза)</x:v>
      </x:c>
      <x:c r="I269" s="18" t="n">
        <x:f>IF(D269="","",IF(COUNTIFS('Видео'!$A$7:$A$1508,D269)=1,INDEX('Видео'!$G$7:$G$1508,MATCH(D269,'Видео'!$A$7:$A$1508,0)),"ID не найден"))</x:f>
        <x:v>12.7</x:v>
      </x:c>
      <x:c r="J269" s="18" t="n">
        <x:v>10</x:v>
      </x:c>
      <x:c r="K269" s="10" t="str">
        <x:f>IF(D269="","",IF(COUNTIFS('Видео'!$A$7:$A$1508,D269)=1,INDEX('Видео'!$AI$7:$AI$1508,MATCH(D269,'Видео'!$A$7:$A$1508,0)),"ID не найден"))</x:f>
        <x:v>Нужна редактура</x:v>
      </x:c>
      <x:c r="L269" s="19" t="str">
        <x:v>0-WDEbclEqM</x:v>
      </x:c>
      <x:c r="M269" s="10" t="str">
        <x:f>IF(L269="","",IF(COUNTIFS('Видео'!$A$7:$A$1508,L269)=1,INDEX('Видео'!$B$7:$B$1508,MATCH(L269,'Видео'!$A$7:$A$1508,0)),"ID не найден"))</x:f>
        <x:v>אנטישמיות בקולוניות הצרפתיות במאה ה 19| גורלן של קהילות יהודיות  בשואה</x:v>
      </x:c>
      <x:c r="N269" s="10" t="str">
        <x:v>Ежемесячная добровольная рубрика памяти 7 октября</x:v>
      </x:c>
      <x:c r="O269" s="10" t="str">
        <x:f>IF(D269="","",IF(COUNTIFS('Видео'!$A$7:$A$1508,D269)=1,INDEX('Видео'!$M$7:$M$1508,MATCH(D269,'Видео'!$A$7:$A$1508,0)),"ID не найден"))</x:f>
        <x:v>Тема: חוץ. יום. שבת - סרטי דוקו של יוצרים צעירים מהעוטף על ה-7.10 | וידויים- סרטם של עמית אראל ועומר דאידה. Взгляд молодых авторов добавляет личную перспективу к журналистским реконструкциям.</x:v>
      </x:c>
      <x:c r="P269" s="11" t="str">
        <x:f>IF(D269="","",IF(COUNTIFS('Видео'!$A$7:$A$1508,D269)=1,INDEX('Видео'!$U$7:$U$1508,MATCH(D269,'Видео'!$A$7:$A$1508,0)),"ID не найден"))</x:f>
        <x:v>https://www.youtube.com/watch?v=aVo1Mf3suoo</x:v>
      </x:c>
      <x:c r="Q269" s="17" t="str">
        <x:v>Предложено</x:v>
      </x:c>
      <x:c r="R269" s="17" t="str"/>
      <x:c r="S269" s="10" t="str">
        <x:v>Редакционная периодичность, не памятная дата</x:v>
      </x:c>
      <x:c r="T269" s="10" t="str">
        <x:v>Резерв меняет выбор видео; снова проверить повод, аудиторию и все редакторские условия</x:v>
      </x:c>
      <x:c r="U269" s="9" t="str">
        <x:f>IF(D269="","Выбрать видео",IF(COUNTIFS($D$7:$D$371,D269)&gt;1,"Повтор","Без повтора"))</x:f>
        <x:v>Без повтора</x:v>
      </x:c>
    </x:row>
    <x:row r="270" ht="60" customHeight="1">
      <x:c r="A270" s="16" t="n">
        <x:v>46572</x:v>
      </x:c>
      <x:c r="B270" s="9" t="str">
        <x:v>Вс</x:v>
      </x:c>
      <x:c r="C270" s="10" t="str">
        <x:v>Сериал</x:v>
      </x:c>
      <x:c r="D270" s="19" t="str">
        <x:v>dFg16e0vhuU</x:v>
      </x:c>
      <x:c r="E270" s="10" t="str">
        <x:f>IF(D270="","",IF(COUNTIFS('Видео'!$A$7:$A$1508,D270)=1,INDEX('Видео'!$B$7:$B$1508,MATCH(D270,'Видео'!$A$7:$A$1508,0)),"ID не найден"))</x:f>
        <x:v>קופה ראשית עונה 4🛒 | פרק 17 - הטוסט של גריאני</x:v>
      </x:c>
      <x:c r="F270" s="9" t="str">
        <x:f>IF(D270="","",IF(COUNTIFS('Видео'!$A$7:$A$1508,D270)=1,INDEX('Видео'!$R$7:$R$1508,MATCH(D270,'Видео'!$A$7:$A$1508,0)),"ID не найден"))</x:f>
        <x:v>C002</x:v>
      </x:c>
      <x:c r="G270" s="9" t="str">
        <x:f>IF(D270="","",IF(COUNTIFS('Видео'!$A$7:$A$1508,D270)=1,INDEX('Видео'!$D$7:$D$1508,MATCH(D270,'Видео'!$A$7:$A$1508,0)),"ID не найден"))</x:f>
        <x:v>Сериал</x:v>
      </x:c>
      <x:c r="H270" s="10" t="str">
        <x:f>IF(D270="","",IF(COUNTIFS('Видео'!$A$7:$A$1508,D270)=1,INDEX('Видео'!$F$7:$F$1508,MATCH(D270,'Видео'!$A$7:$A$1508,0)),"ID не найден"))</x:f>
        <x:v>B1–B2 (гипотеза)</x:v>
      </x:c>
      <x:c r="I270" s="18" t="n">
        <x:f>IF(D270="","",IF(COUNTIFS('Видео'!$A$7:$A$1508,D270)=1,INDEX('Видео'!$G$7:$G$1508,MATCH(D270,'Видео'!$A$7:$A$1508,0)),"ID не найден"))</x:f>
        <x:v>23.5</x:v>
      </x:c>
      <x:c r="J270" s="18" t="n">
        <x:v>10</x:v>
      </x:c>
      <x:c r="K270" s="10" t="str">
        <x:f>IF(D270="","",IF(COUNTIFS('Видео'!$A$7:$A$1508,D270)=1,INDEX('Видео'!$AI$7:$AI$1508,MATCH(D270,'Видео'!$A$7:$A$1508,0)),"ID не найден"))</x:f>
        <x:v>Нужна редактура</x:v>
      </x:c>
      <x:c r="L270" s="19" t="str">
        <x:v>YZTBWfWTFbE</x:v>
      </x:c>
      <x:c r="M270" s="10" t="str">
        <x:f>IF(L270="","",IF(COUNTIFS('Видео'!$A$7:$A$1508,L270)=1,INDEX('Видео'!$B$7:$B$1508,MATCH(L270,'Видео'!$A$7:$A$1508,0)),"ID не найден"))</x:f>
        <x:v>דוקותיים: החקלאי שלא עזב את נתיב העשרה מסכם 100 ימים של בדידות</x:v>
      </x:c>
      <x:c r="N270" s="10" t="str"/>
      <x:c r="O270" s="10" t="str">
        <x:f>IF(D270="","",IF(COUNTIFS('Видео'!$A$7:$A$1508,D270)=1,INDEX('Видео'!$M$7:$M$1508,MATCH(D270,'Видео'!$A$7:$A$1508,0)),"ID не найден"))</x:f>
        <x:v>Эпизод 17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70" s="11" t="str">
        <x:f>IF(D270="","",IF(COUNTIFS('Видео'!$A$7:$A$1508,D270)=1,INDEX('Видео'!$U$7:$U$1508,MATCH(D270,'Видео'!$A$7:$A$1508,0)),"ID не найден"))</x:f>
        <x:v>https://www.youtube.com/watch?v=dFg16e0vhuU</x:v>
      </x:c>
      <x:c r="Q270" s="17" t="str">
        <x:v>Предложено</x:v>
      </x:c>
      <x:c r="R270" s="17" t="str"/>
      <x:c r="S270" s="10" t="str"/>
      <x:c r="T270" s="10" t="str">
        <x:v>При недоступной серии приостановить сюжетную ветку; резерв — самостоятельное видео</x:v>
      </x:c>
      <x:c r="U270" s="9" t="str">
        <x:f>IF(D270="","Выбрать видео",IF(COUNTIFS($D$7:$D$371,D270)&gt;1,"Повтор","Без повтора"))</x:f>
        <x:v>Без повтора</x:v>
      </x:c>
    </x:row>
    <x:row r="271" ht="60" customHeight="1">
      <x:c r="A271" s="16" t="n">
        <x:v>46573</x:v>
      </x:c>
      <x:c r="B271" s="9" t="str">
        <x:v>Пн</x:v>
      </x:c>
      <x:c r="C271" s="10" t="str">
        <x:v>Интервью</x:v>
      </x:c>
      <x:c r="D271" s="19" t="str">
        <x:v>kKUpPYNqPBQ</x:v>
      </x:c>
      <x:c r="E271" s="10" t="str">
        <x:f>IF(D271="","",IF(COUNTIFS('Видео'!$A$7:$A$1508,D271)=1,INDEX('Видео'!$B$7:$B$1508,MATCH(D271,'Видео'!$A$7:$A$1508,0)),"ID не найден"))</x:f>
        <x:v>הצומת | "המפעיל הוא במאי" - מקסים בניסטי</x:v>
      </x:c>
      <x:c r="F271" s="9" t="str">
        <x:f>IF(D271="","",IF(COUNTIFS('Видео'!$A$7:$A$1508,D271)=1,INDEX('Видео'!$R$7:$R$1508,MATCH(D271,'Видео'!$A$7:$A$1508,0)),"ID не найден"))</x:f>
        <x:v>C086</x:v>
      </x:c>
      <x:c r="G271" s="9" t="str">
        <x:f>IF(D271="","",IF(COUNTIFS('Видео'!$A$7:$A$1508,D271)=1,INDEX('Видео'!$D$7:$D$1508,MATCH(D271,'Видео'!$A$7:$A$1508,0)),"ID не найден"))</x:f>
        <x:v>Интервью</x:v>
      </x:c>
      <x:c r="H271" s="10" t="str">
        <x:f>IF(D271="","",IF(COUNTIFS('Видео'!$A$7:$A$1508,D271)=1,INDEX('Видео'!$F$7:$F$1508,MATCH(D271,'Видео'!$A$7:$A$1508,0)),"ID не найден"))</x:f>
        <x:v>B2–C1 (гипотеза)</x:v>
      </x:c>
      <x:c r="I271" s="18" t="n">
        <x:f>IF(D271="","",IF(COUNTIFS('Видео'!$A$7:$A$1508,D271)=1,INDEX('Видео'!$G$7:$G$1508,MATCH(D271,'Видео'!$A$7:$A$1508,0)),"ID не найден"))</x:f>
        <x:v>65.5</x:v>
      </x:c>
      <x:c r="J271" s="18" t="n">
        <x:v>10</x:v>
      </x:c>
      <x:c r="K271" s="10" t="str">
        <x:f>IF(D271="","",IF(COUNTIFS('Видео'!$A$7:$A$1508,D271)=1,INDEX('Видео'!$AI$7:$AI$1508,MATCH(D271,'Видео'!$A$7:$A$1508,0)),"ID не найден"))</x:f>
        <x:v>Нужна редактура</x:v>
      </x:c>
      <x:c r="L271" s="19" t="str">
        <x:v>WF4rzo3Vw1s</x:v>
      </x:c>
      <x:c r="M271" s="10" t="str">
        <x:f>IF(L271="","",IF(COUNTIFS('Видео'!$A$7:$A$1508,L271)=1,INDEX('Видео'!$B$7:$B$1508,MATCH(L271,'Видео'!$A$7:$A$1508,0)),"ID не найден"))</x:f>
        <x:v>הצומת | מהוואי לסיירת וליהדות: מסעו של לוחם הגרילה שהפך למאמן של היחידות המיוחדות - נדב צדוק יאיר</x:v>
      </x:c>
      <x:c r="N271" s="10" t="str"/>
      <x:c r="O271" s="10" t="str">
        <x:f>IF(D271="","",IF(COUNTIFS('Видео'!$A$7:$A$1508,D271)=1,INDEX('Видео'!$M$7:$M$1508,MATCH(D271,'Видео'!$A$7:$A$1508,0)),"ID не найден"))</x:f>
        <x:v>Тема / гость: "המפעיל הוא במאי" - מקסים בניסטי. Просмотры в списке выше медианы выборки этого цикла в 2.44 раза. Связь с уже выбранным владельцем источником. Длинные разговоры дают разные профессиональные и общественные биографии.</x:v>
      </x:c>
      <x:c r="P271" s="11" t="str">
        <x:f>IF(D271="","",IF(COUNTIFS('Видео'!$A$7:$A$1508,D271)=1,INDEX('Видео'!$U$7:$U$1508,MATCH(D271,'Видео'!$A$7:$A$1508,0)),"ID не найден"))</x:f>
        <x:v>https://www.youtube.com/watch?v=kKUpPYNqPBQ</x:v>
      </x:c>
      <x:c r="Q271" s="17" t="str">
        <x:v>Предложено</x:v>
      </x:c>
      <x:c r="R271" s="17" t="str"/>
      <x:c r="S271" s="10" t="str"/>
      <x:c r="T271" s="10" t="str">
        <x:v>Резерв меняет выбор видео; снова проверить повод, аудиторию и все редакторские условия</x:v>
      </x:c>
      <x:c r="U271" s="9" t="str">
        <x:f>IF(D271="","Выбрать видео",IF(COUNTIFS($D$7:$D$371,D271)&gt;1,"Повтор","Без повтора"))</x:f>
        <x:v>Без повтора</x:v>
      </x:c>
    </x:row>
    <x:row r="272" ht="60" customHeight="1">
      <x:c r="A272" s="16" t="n">
        <x:v>46574</x:v>
      </x:c>
      <x:c r="B272" s="9" t="str">
        <x:v>Вт</x:v>
      </x:c>
      <x:c r="C272" s="10" t="str">
        <x:v>Образование</x:v>
      </x:c>
      <x:c r="D272" s="19" t="str">
        <x:v>oKJxjsrUkBk</x:v>
      </x:c>
      <x:c r="E272" s="10" t="str">
        <x:f>IF(D272="","",IF(COUNTIFS('Видео'!$A$7:$A$1508,D272)=1,INDEX('Видео'!$B$7:$B$1508,MATCH(D272,'Видео'!$A$7:$A$1508,0)),"ID не найден"))</x:f>
        <x:v>עונה חדשה 🔥 מתחת לבלטות עונה 2 | פרק 1 - החיים במינוס</x:v>
      </x:c>
      <x:c r="F272" s="9" t="str">
        <x:f>IF(D272="","",IF(COUNTIFS('Видео'!$A$7:$A$1508,D272)=1,INDEX('Видео'!$R$7:$R$1508,MATCH(D272,'Видео'!$A$7:$A$1508,0)),"ID не найден"))</x:f>
        <x:v>C035</x:v>
      </x:c>
      <x:c r="G272" s="9" t="str">
        <x:f>IF(D272="","",IF(COUNTIFS('Видео'!$A$7:$A$1508,D272)=1,INDEX('Видео'!$D$7:$D$1508,MATCH(D272,'Видео'!$A$7:$A$1508,0)),"ID не найден"))</x:f>
        <x:v>Образование</x:v>
      </x:c>
      <x:c r="H272" s="10" t="str">
        <x:f>IF(D272="","",IF(COUNTIFS('Видео'!$A$7:$A$1508,D272)=1,INDEX('Видео'!$F$7:$F$1508,MATCH(D272,'Видео'!$A$7:$A$1508,0)),"ID не найден"))</x:f>
        <x:v>B2–C1 (гипотеза)</x:v>
      </x:c>
      <x:c r="I272" s="18" t="n">
        <x:f>IF(D272="","",IF(COUNTIFS('Видео'!$A$7:$A$1508,D272)=1,INDEX('Видео'!$G$7:$G$1508,MATCH(D272,'Видео'!$A$7:$A$1508,0)),"ID не найден"))</x:f>
        <x:v>37.5</x:v>
      </x:c>
      <x:c r="J272" s="18" t="n">
        <x:v>10</x:v>
      </x:c>
      <x:c r="K272" s="10" t="str">
        <x:f>IF(D272="","",IF(COUNTIFS('Видео'!$A$7:$A$1508,D272)=1,INDEX('Видео'!$AI$7:$AI$1508,MATCH(D272,'Видео'!$A$7:$A$1508,0)),"ID не найден"))</x:f>
        <x:v>Нужна редактура</x:v>
      </x:c>
      <x:c r="L272" s="19" t="str">
        <x:v>6rLL5kDAHts</x:v>
      </x:c>
      <x:c r="M272" s="10" t="str">
        <x:f>IF(L272="","",IF(COUNTIFS('Видео'!$A$7:$A$1508,L272)=1,INDEX('Видео'!$B$7:$B$1508,MATCH(L272,'Видео'!$A$7:$A$1508,0)),"ID не найден"))</x:f>
        <x:v>פרפר נחמד 🦋 | פרק 4 - איזה פחד</x:v>
      </x:c>
      <x:c r="N272" s="10" t="str"/>
      <x:c r="O272" s="10" t="str">
        <x:f>IF(D272="","",IF(COUNTIFS('Видео'!$A$7:$A$1508,D272)=1,INDEX('Видео'!$M$7:$M$1508,MATCH(D272,'Видео'!$A$7:$A$1508,0)),"ID не найден"))</x:f>
        <x:v>Тема: עונה חדשה 🔥 מתחת לבלטות עונה 2 | פרק 1 - החיים במינוס. Экономические объяснения связывают личные деньги и общественные решения. Это самостоятельная аудитория за пределами сериалов.</x:v>
      </x:c>
      <x:c r="P272" s="11" t="str">
        <x:f>IF(D272="","",IF(COUNTIFS('Видео'!$A$7:$A$1508,D272)=1,INDEX('Видео'!$U$7:$U$1508,MATCH(D272,'Видео'!$A$7:$A$1508,0)),"ID не найден"))</x:f>
        <x:v>https://www.youtube.com/watch?v=oKJxjsrUkBk</x:v>
      </x:c>
      <x:c r="Q272" s="17" t="str">
        <x:v>Предложено</x:v>
      </x:c>
      <x:c r="R272" s="17" t="str"/>
      <x:c r="S272" s="10" t="str"/>
      <x:c r="T272" s="10" t="str">
        <x:v>Резерв меняет выбор видео; снова проверить повод, аудиторию и все редакторские условия</x:v>
      </x:c>
      <x:c r="U272" s="9" t="str">
        <x:f>IF(D272="","Выбрать видео",IF(COUNTIFS($D$7:$D$371,D272)&gt;1,"Повтор","Без повтора"))</x:f>
        <x:v>Без повтора</x:v>
      </x:c>
    </x:row>
    <x:row r="273" ht="60" customHeight="1">
      <x:c r="A273" s="16" t="n">
        <x:v>46575</x:v>
      </x:c>
      <x:c r="B273" s="9" t="str">
        <x:v>Ср</x:v>
      </x:c>
      <x:c r="C273" s="10" t="str">
        <x:v>Быт</x:v>
      </x:c>
      <x:c r="D273" s="19" t="str">
        <x:v>XtNYQcaGsJg</x:v>
      </x:c>
      <x:c r="E273" s="10" t="str">
        <x:f>IF(D273="","",IF(COUNTIFS('Видео'!$A$7:$A$1508,D273)=1,INDEX('Видео'!$B$7:$B$1508,MATCH(D273,'Видео'!$A$7:$A$1508,0)),"ID не найден"))</x:f>
        <x:v>"בני ברק יכולה להיות הסיליקון שטייטל": חרדים עושים הייטק | דוקותיים tech</x:v>
      </x:c>
      <x:c r="F273" s="9" t="str">
        <x:f>IF(D273="","",IF(COUNTIFS('Видео'!$A$7:$A$1508,D273)=1,INDEX('Видео'!$R$7:$R$1508,MATCH(D273,'Видео'!$A$7:$A$1508,0)),"ID не найден"))</x:f>
        <x:v>C051</x:v>
      </x:c>
      <x:c r="G273" s="9" t="str">
        <x:f>IF(D273="","",IF(COUNTIFS('Видео'!$A$7:$A$1508,D273)=1,INDEX('Видео'!$D$7:$D$1508,MATCH(D273,'Видео'!$A$7:$A$1508,0)),"ID не найден"))</x:f>
        <x:v>Быт</x:v>
      </x:c>
      <x:c r="H273" s="10" t="str">
        <x:f>IF(D273="","",IF(COUNTIFS('Видео'!$A$7:$A$1508,D273)=1,INDEX('Видео'!$F$7:$F$1508,MATCH(D273,'Видео'!$A$7:$A$1508,0)),"ID не найден"))</x:f>
        <x:v>B1–B2 (гипотеза)</x:v>
      </x:c>
      <x:c r="I273" s="18" t="n">
        <x:f>IF(D273="","",IF(COUNTIFS('Видео'!$A$7:$A$1508,D273)=1,INDEX('Видео'!$G$7:$G$1508,MATCH(D273,'Видео'!$A$7:$A$1508,0)),"ID не найден"))</x:f>
        <x:v>6.5</x:v>
      </x:c>
      <x:c r="J273" s="18" t="n">
        <x:v>5</x:v>
      </x:c>
      <x:c r="K273" s="10" t="str">
        <x:f>IF(D273="","",IF(COUNTIFS('Видео'!$A$7:$A$1508,D273)=1,INDEX('Видео'!$AI$7:$AI$1508,MATCH(D273,'Видео'!$A$7:$A$1508,0)),"ID не найден"))</x:f>
        <x:v>Нужна редактура</x:v>
      </x:c>
      <x:c r="L273" s="19" t="str">
        <x:v>EI0g6P_tDaY</x:v>
      </x:c>
      <x:c r="M273" s="10" t="str">
        <x:f>IF(L273="","",IF(COUNTIFS('Видео'!$A$7:$A$1508,L273)=1,INDEX('Видео'!$B$7:$B$1508,MATCH(L273,'Видео'!$A$7:$A$1508,0)),"ID не найден"))</x:f>
        <x:v>בואו לאכול איתי עונה 9 | דרום - חלק ה' (פרק 5)</x:v>
      </x:c>
      <x:c r="N273" s="10" t="str"/>
      <x:c r="O273" s="10" t="str">
        <x:f>IF(D273="","",IF(COUNTIFS('Видео'!$A$7:$A$1508,D273)=1,INDEX('Видео'!$M$7:$M$1508,MATCH(D273,'Видео'!$A$7:$A$1508,0)),"ID не найден"))</x:f>
        <x:v>Завершённый короткий просмотр около 7 мин. Человеческая история в технологической среде соединяет профессиональный интерес и короткий формат.</x:v>
      </x:c>
      <x:c r="P273" s="11" t="str">
        <x:f>IF(D273="","",IF(COUNTIFS('Видео'!$A$7:$A$1508,D273)=1,INDEX('Видео'!$U$7:$U$1508,MATCH(D273,'Видео'!$A$7:$A$1508,0)),"ID не найден"))</x:f>
        <x:v>https://www.youtube.com/watch?v=XtNYQcaGsJg</x:v>
      </x:c>
      <x:c r="Q273" s="17" t="str">
        <x:v>Предложено</x:v>
      </x:c>
      <x:c r="R273" s="17" t="str"/>
      <x:c r="S273" s="10" t="str"/>
      <x:c r="T273" s="10" t="str">
        <x:v>Резерв меняет выбор видео; снова проверить повод, аудиторию и все редакторские условия</x:v>
      </x:c>
      <x:c r="U273" s="9" t="str">
        <x:f>IF(D273="","Выбрать видео",IF(COUNTIFS($D$7:$D$371,D273)&gt;1,"Повтор","Без повтора"))</x:f>
        <x:v>Без повтора</x:v>
      </x:c>
    </x:row>
    <x:row r="274" ht="60" customHeight="1">
      <x:c r="A274" s="16" t="n">
        <x:v>46576</x:v>
      </x:c>
      <x:c r="B274" s="9" t="str">
        <x:v>Чт</x:v>
      </x:c>
      <x:c r="C274" s="10" t="str">
        <x:v>Сериал</x:v>
      </x:c>
      <x:c r="D274" s="19" t="str">
        <x:v>tisFJ4c2kT4</x:v>
      </x:c>
      <x:c r="E274" s="10" t="str">
        <x:f>IF(D274="","",IF(COUNTIFS('Видео'!$A$7:$A$1508,D274)=1,INDEX('Видео'!$B$7:$B$1508,MATCH(D274,'Видео'!$A$7:$A$1508,0)),"ID не найден"))</x:f>
        <x:v>כראמל 🐱 | בלום הרקדנית - פרק 7</x:v>
      </x:c>
      <x:c r="F274" s="9" t="str">
        <x:f>IF(D274="","",IF(COUNTIFS('Видео'!$A$7:$A$1508,D274)=1,INDEX('Видео'!$R$7:$R$1508,MATCH(D274,'Видео'!$A$7:$A$1508,0)),"ID не найден"))</x:f>
        <x:v>C053</x:v>
      </x:c>
      <x:c r="G274" s="9" t="str">
        <x:f>IF(D274="","",IF(COUNTIFS('Видео'!$A$7:$A$1508,D274)=1,INDEX('Видео'!$D$7:$D$1508,MATCH(D274,'Видео'!$A$7:$A$1508,0)),"ID не найден"))</x:f>
        <x:v>Сериал</x:v>
      </x:c>
      <x:c r="H274" s="10" t="str">
        <x:f>IF(D274="","",IF(COUNTIFS('Видео'!$A$7:$A$1508,D274)=1,INDEX('Видео'!$F$7:$F$1508,MATCH(D274,'Видео'!$A$7:$A$1508,0)),"ID не найден"))</x:f>
        <x:v>A2–B1 (гипотеза)</x:v>
      </x:c>
      <x:c r="I274" s="18" t="n">
        <x:f>IF(D274="","",IF(COUNTIFS('Видео'!$A$7:$A$1508,D274)=1,INDEX('Видео'!$G$7:$G$1508,MATCH(D274,'Видео'!$A$7:$A$1508,0)),"ID не найден"))</x:f>
        <x:v>27</x:v>
      </x:c>
      <x:c r="J274" s="18" t="n">
        <x:v>10</x:v>
      </x:c>
      <x:c r="K274" s="10" t="str">
        <x:f>IF(D274="","",IF(COUNTIFS('Видео'!$A$7:$A$1508,D274)=1,INDEX('Видео'!$AI$7:$AI$1508,MATCH(D274,'Видео'!$A$7:$A$1508,0)),"ID не найден"))</x:f>
        <x:v>Нужна редактура</x:v>
      </x:c>
      <x:c r="L274" s="19" t="str">
        <x:v>Rp6Kbz4P8UY</x:v>
      </x:c>
      <x:c r="M274" s="10" t="str">
        <x:f>IF(L274="","",IF(COUNTIFS('Видео'!$A$7:$A$1508,L274)=1,INDEX('Видео'!$B$7:$B$1508,MATCH(L274,'Видео'!$A$7:$A$1508,0)),"ID не найден"))</x:f>
        <x:v>אנטילופה בקרון וקללות מהנוסעים: הפקח ברכבת הקלה לא מתרגש מכלום | זום אין</x:v>
      </x:c>
      <x:c r="N274" s="10" t="str"/>
      <x:c r="O274" s="10" t="str">
        <x:f>IF(D274="","",IF(COUNTIFS('Видео'!$A$7:$A$1508,D274)=1,INDEX('Видео'!$M$7:$M$1508,MATCH(D274,'Видео'!$A$7:$A$1508,0)),"ID не найден"))</x:f>
        <x:v>Эпизод 7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274" s="11" t="str">
        <x:f>IF(D274="","",IF(COUNTIFS('Видео'!$A$7:$A$1508,D274)=1,INDEX('Видео'!$U$7:$U$1508,MATCH(D274,'Видео'!$A$7:$A$1508,0)),"ID не найден"))</x:f>
        <x:v>https://www.youtube.com/watch?v=tisFJ4c2kT4</x:v>
      </x:c>
      <x:c r="Q274" s="17" t="str">
        <x:v>Предложено</x:v>
      </x:c>
      <x:c r="R274" s="17" t="str"/>
      <x:c r="S274" s="10" t="str"/>
      <x:c r="T274" s="10" t="str">
        <x:v>При недоступной серии приостановить сюжетную ветку; резерв — самостоятельное видео</x:v>
      </x:c>
      <x:c r="U274" s="9" t="str">
        <x:f>IF(D274="","Выбрать видео",IF(COUNTIFS($D$7:$D$371,D274)&gt;1,"Повтор","Без повтора"))</x:f>
        <x:v>Без повтора</x:v>
      </x:c>
    </x:row>
    <x:row r="275" ht="60" customHeight="1">
      <x:c r="A275" s="16" t="n">
        <x:v>46577</x:v>
      </x:c>
      <x:c r="B275" s="9" t="str">
        <x:v>Пт</x:v>
      </x:c>
      <x:c r="C275" s="10" t="str">
        <x:v>История</x:v>
      </x:c>
      <x:c r="D275" s="19" t="str">
        <x:v>4bQg-HtdcI8</x:v>
      </x:c>
      <x:c r="E275" s="10" t="str">
        <x:f>IF(D275="","",IF(COUNTIFS('Видео'!$A$7:$A$1508,D275)=1,INDEX('Видео'!$B$7:$B$1508,MATCH(D275,'Видео'!$A$7:$A$1508,0)),"ID не найден"))</x:f>
        <x:v>ספרות הלאדינו | שיעור 2 - קומפלאש די יוסף הצדיק | ד"ר אליעזר פאפו</x:v>
      </x:c>
      <x:c r="F275" s="9" t="str">
        <x:f>IF(D275="","",IF(COUNTIFS('Видео'!$A$7:$A$1508,D275)=1,INDEX('Видео'!$R$7:$R$1508,MATCH(D275,'Видео'!$A$7:$A$1508,0)),"ID не найден"))</x:f>
        <x:v>C068</x:v>
      </x:c>
      <x:c r="G275" s="9" t="str">
        <x:f>IF(D275="","",IF(COUNTIFS('Видео'!$A$7:$A$1508,D275)=1,INDEX('Видео'!$D$7:$D$1508,MATCH(D275,'Видео'!$A$7:$A$1508,0)),"ID не найден"))</x:f>
        <x:v>История</x:v>
      </x:c>
      <x:c r="H275" s="10" t="str">
        <x:f>IF(D275="","",IF(COUNTIFS('Видео'!$A$7:$A$1508,D275)=1,INDEX('Видео'!$F$7:$F$1508,MATCH(D275,'Видео'!$A$7:$A$1508,0)),"ID не найден"))</x:f>
        <x:v>B2–C1 (гипотеза)</x:v>
      </x:c>
      <x:c r="I275" s="18" t="n">
        <x:f>IF(D275="","",IF(COUNTIFS('Видео'!$A$7:$A$1508,D275)=1,INDEX('Видео'!$G$7:$G$1508,MATCH(D275,'Видео'!$A$7:$A$1508,0)),"ID не найден"))</x:f>
        <x:v>32</x:v>
      </x:c>
      <x:c r="J275" s="18" t="n">
        <x:v>10</x:v>
      </x:c>
      <x:c r="K275" s="10" t="str">
        <x:f>IF(D275="","",IF(COUNTIFS('Видео'!$A$7:$A$1508,D275)=1,INDEX('Видео'!$AI$7:$AI$1508,MATCH(D275,'Видео'!$A$7:$A$1508,0)),"ID не найден"))</x:f>
        <x:v>Нужна редактура</x:v>
      </x:c>
      <x:c r="L275" s="19" t="str">
        <x:v>D7qLMcys2Dw</x:v>
      </x:c>
      <x:c r="M275" s="10" t="str">
        <x:f>IF(L275="","",IF(COUNTIFS('Видео'!$A$7:$A$1508,L275)=1,INDEX('Видео'!$B$7:$B$1508,MATCH(L275,'Видео'!$A$7:$A$1508,0)),"ID не найден"))</x:f>
        <x:v>חמש קריאות בהגות ציונית | שיעור 3 - בנימין זאב הרצל | פרופ' ישראל ברטל</x:v>
      </x:c>
      <x:c r="N275" s="10" t="str"/>
      <x:c r="O275" s="10" t="str">
        <x:f>IF(D275="","",IF(COUNTIFS('Видео'!$A$7:$A$1508,D275)=1,INDEX('Видео'!$M$7:$M$1508,MATCH(D275,'Видео'!$A$7:$A$1508,0)),"ID не найден"))</x:f>
        <x:v>Тема: ספרות הלאדינו | שיעור 2 - קומפלאש די יוסף הצדיק | ד"ר אליעזר פאפו. Ладино вводит сефардскую культурную историю через лекцию на иврите.</x:v>
      </x:c>
      <x:c r="P275" s="11" t="str">
        <x:f>IF(D275="","",IF(COUNTIFS('Видео'!$A$7:$A$1508,D275)=1,INDEX('Видео'!$U$7:$U$1508,MATCH(D275,'Видео'!$A$7:$A$1508,0)),"ID не найден"))</x:f>
        <x:v>https://www.youtube.com/watch?v=4bQg-HtdcI8</x:v>
      </x:c>
      <x:c r="Q275" s="17" t="str">
        <x:v>Предложено</x:v>
      </x:c>
      <x:c r="R275" s="17" t="str"/>
      <x:c r="S275" s="10" t="str"/>
      <x:c r="T275" s="10" t="str">
        <x:v>Резерв меняет выбор видео; снова проверить повод, аудиторию и все редакторские условия</x:v>
      </x:c>
      <x:c r="U275" s="9" t="str">
        <x:f>IF(D275="","Выбрать видео",IF(COUNTIFS($D$7:$D$371,D275)&gt;1,"Повтор","Без повтора"))</x:f>
        <x:v>Без повтора</x:v>
      </x:c>
    </x:row>
    <x:row r="276" ht="60" customHeight="1">
      <x:c r="A276" s="16" t="n">
        <x:v>46578</x:v>
      </x:c>
      <x:c r="B276" s="9" t="str">
        <x:v>Сб</x:v>
      </x:c>
      <x:c r="C276" s="10" t="str">
        <x:v>Общество</x:v>
      </x:c>
      <x:c r="D276" s="19" t="str">
        <x:v>JbzMiIQWd70</x:v>
      </x:c>
      <x:c r="E276" s="10" t="str">
        <x:f>IF(D276="","",IF(COUNTIFS('Видео'!$A$7:$A$1508,D276)=1,INDEX('Видео'!$B$7:$B$1508,MATCH(D276,'Видео'!$A$7:$A$1508,0)),"ID не найден"))</x:f>
        <x:v>נייעס 📰 | "סוֺף דַבָר הכֺל נשְמַע" - פרק 5 (ואחרון)</x:v>
      </x:c>
      <x:c r="F276" s="9" t="str">
        <x:f>IF(D276="","",IF(COUNTIFS('Видео'!$A$7:$A$1508,D276)=1,INDEX('Видео'!$R$7:$R$1508,MATCH(D276,'Видео'!$A$7:$A$1508,0)),"ID не найден"))</x:f>
        <x:v>C033</x:v>
      </x:c>
      <x:c r="G276" s="9" t="str">
        <x:f>IF(D276="","",IF(COUNTIFS('Видео'!$A$7:$A$1508,D276)=1,INDEX('Видео'!$D$7:$D$1508,MATCH(D276,'Видео'!$A$7:$A$1508,0)),"ID не найден"))</x:f>
        <x:v>Общество</x:v>
      </x:c>
      <x:c r="H276" s="10" t="str">
        <x:f>IF(D276="","",IF(COUNTIFS('Видео'!$A$7:$A$1508,D276)=1,INDEX('Видео'!$F$7:$F$1508,MATCH(D276,'Видео'!$A$7:$A$1508,0)),"ID не найден"))</x:f>
        <x:v>B2–C1 (гипотеза)</x:v>
      </x:c>
      <x:c r="I276" s="18" t="n">
        <x:f>IF(D276="","",IF(COUNTIFS('Видео'!$A$7:$A$1508,D276)=1,INDEX('Видео'!$G$7:$G$1508,MATCH(D276,'Видео'!$A$7:$A$1508,0)),"ID не найден"))</x:f>
        <x:v>45.8</x:v>
      </x:c>
      <x:c r="J276" s="18" t="n">
        <x:v>10</x:v>
      </x:c>
      <x:c r="K276" s="10" t="str">
        <x:f>IF(D276="","",IF(COUNTIFS('Видео'!$A$7:$A$1508,D276)=1,INDEX('Видео'!$AI$7:$AI$1508,MATCH(D276,'Видео'!$A$7:$A$1508,0)),"ID не найден"))</x:f>
        <x:v>Нужна редактура</x:v>
      </x:c>
      <x:c r="L276" s="19" t="str">
        <x:v>shQYVExPUQ4</x:v>
      </x:c>
      <x:c r="M276" s="10" t="str">
        <x:f>IF(L276="","",IF(COUNTIFS('Видео'!$A$7:$A$1508,L276)=1,INDEX('Видео'!$B$7:$B$1508,MATCH(L276,'Видео'!$A$7:$A$1508,0)),"ID не найден"))</x:f>
        <x:v>זמן אמת עונה 9 | פרק 8 - גרעין של אמת - האם באמת הצלחנו להביס את האיראנים?</x:v>
      </x:c>
      <x:c r="N276" s="10" t="str"/>
      <x:c r="O276" s="10" t="str">
        <x:f>IF(D276="","",IF(COUNTIFS('Видео'!$A$7:$A$1508,D276)=1,INDEX('Видео'!$M$7:$M$1508,MATCH(D276,'Видео'!$A$7:$A$1508,0)),"ID не найден"))</x:f>
        <x:v>Тема: נייעס 📰 | "סוֺף דַבָר הכֺל נשְמַע" - פרק 5 (ואחרון). Медиа внутри харедим дают вход в часто незнакомую культурную среду и лексику.</x:v>
      </x:c>
      <x:c r="P276" s="11" t="str">
        <x:f>IF(D276="","",IF(COUNTIFS('Видео'!$A$7:$A$1508,D276)=1,INDEX('Видео'!$U$7:$U$1508,MATCH(D276,'Видео'!$A$7:$A$1508,0)),"ID не найден"))</x:f>
        <x:v>https://www.youtube.com/watch?v=JbzMiIQWd70</x:v>
      </x:c>
      <x:c r="Q276" s="17" t="str">
        <x:v>Предложено</x:v>
      </x:c>
      <x:c r="R276" s="17" t="str"/>
      <x:c r="S276" s="10" t="str"/>
      <x:c r="T276" s="10" t="str">
        <x:v>Резерв меняет выбор видео; снова проверить повод, аудиторию и все редакторские условия</x:v>
      </x:c>
      <x:c r="U276" s="9" t="str">
        <x:f>IF(D276="","Выбрать видео",IF(COUNTIFS($D$7:$D$371,D276)&gt;1,"Повтор","Без повтора"))</x:f>
        <x:v>Без повтора</x:v>
      </x:c>
    </x:row>
    <x:row r="277" ht="60" customHeight="1">
      <x:c r="A277" s="16" t="n">
        <x:v>46579</x:v>
      </x:c>
      <x:c r="B277" s="9" t="str">
        <x:v>Вс</x:v>
      </x:c>
      <x:c r="C277" s="10" t="str">
        <x:v>Сериал</x:v>
      </x:c>
      <x:c r="D277" s="19" t="str">
        <x:v>9Ab0ieHY9rg</x:v>
      </x:c>
      <x:c r="E277" s="10" t="str">
        <x:f>IF(D277="","",IF(COUNTIFS('Видео'!$A$7:$A$1508,D277)=1,INDEX('Видео'!$B$7:$B$1508,MATCH(D277,'Видео'!$A$7:$A$1508,0)),"ID не найден"))</x:f>
        <x:v>קופה ראשית עונה 4🛒 | פרק 18 - אמנון עובד בסופר</x:v>
      </x:c>
      <x:c r="F277" s="9" t="str">
        <x:f>IF(D277="","",IF(COUNTIFS('Видео'!$A$7:$A$1508,D277)=1,INDEX('Видео'!$R$7:$R$1508,MATCH(D277,'Видео'!$A$7:$A$1508,0)),"ID не найден"))</x:f>
        <x:v>C002</x:v>
      </x:c>
      <x:c r="G277" s="9" t="str">
        <x:f>IF(D277="","",IF(COUNTIFS('Видео'!$A$7:$A$1508,D277)=1,INDEX('Видео'!$D$7:$D$1508,MATCH(D277,'Видео'!$A$7:$A$1508,0)),"ID не найден"))</x:f>
        <x:v>Сериал</x:v>
      </x:c>
      <x:c r="H277" s="10" t="str">
        <x:f>IF(D277="","",IF(COUNTIFS('Видео'!$A$7:$A$1508,D277)=1,INDEX('Видео'!$F$7:$F$1508,MATCH(D277,'Видео'!$A$7:$A$1508,0)),"ID не найден"))</x:f>
        <x:v>B1–B2 (гипотеза)</x:v>
      </x:c>
      <x:c r="I277" s="18" t="n">
        <x:f>IF(D277="","",IF(COUNTIFS('Видео'!$A$7:$A$1508,D277)=1,INDEX('Видео'!$G$7:$G$1508,MATCH(D277,'Видео'!$A$7:$A$1508,0)),"ID не найден"))</x:f>
        <x:v>25.8</x:v>
      </x:c>
      <x:c r="J277" s="18" t="n">
        <x:v>10</x:v>
      </x:c>
      <x:c r="K277" s="10" t="str">
        <x:f>IF(D277="","",IF(COUNTIFS('Видео'!$A$7:$A$1508,D277)=1,INDEX('Видео'!$AI$7:$AI$1508,MATCH(D277,'Видео'!$A$7:$A$1508,0)),"ID не найден"))</x:f>
        <x:v>Нужна редактура</x:v>
      </x:c>
      <x:c r="L277" s="19" t="str">
        <x:v>1-QQZ9_Vzac</x:v>
      </x:c>
      <x:c r="M277" s="10" t="str">
        <x:f>IF(L277="","",IF(COUNTIFS('Видео'!$A$7:$A$1508,L277)=1,INDEX('Видео'!$B$7:$B$1508,MATCH(L277,'Видео'!$A$7:$A$1508,0)),"ID не найден"))</x:f>
        <x:v>למה תרגום שמות סרטים זה עסק קטלני של כישלון גורלי? | כאן סקרנים</x:v>
      </x:c>
      <x:c r="N277" s="10" t="str"/>
      <x:c r="O277" s="10" t="str">
        <x:f>IF(D277="","",IF(COUNTIFS('Видео'!$A$7:$A$1508,D277)=1,INDEX('Видео'!$M$7:$M$1508,MATCH(D277,'Видео'!$A$7:$A$1508,0)),"ID не найден"))</x:f>
        <x:v>Эпизод 18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77" s="11" t="str">
        <x:f>IF(D277="","",IF(COUNTIFS('Видео'!$A$7:$A$1508,D277)=1,INDEX('Видео'!$U$7:$U$1508,MATCH(D277,'Видео'!$A$7:$A$1508,0)),"ID не найден"))</x:f>
        <x:v>https://www.youtube.com/watch?v=9Ab0ieHY9rg</x:v>
      </x:c>
      <x:c r="Q277" s="17" t="str">
        <x:v>Предложено</x:v>
      </x:c>
      <x:c r="R277" s="17" t="str"/>
      <x:c r="S277" s="10" t="str"/>
      <x:c r="T277" s="10" t="str">
        <x:v>При недоступной серии приостановить сюжетную ветку; резерв — самостоятельное видео</x:v>
      </x:c>
      <x:c r="U277" s="9" t="str">
        <x:f>IF(D277="","Выбрать видео",IF(COUNTIFS($D$7:$D$371,D277)&gt;1,"Повтор","Без повтора"))</x:f>
        <x:v>Без повтора</x:v>
      </x:c>
    </x:row>
    <x:row r="278" ht="60" customHeight="1">
      <x:c r="A278" s="16" t="n">
        <x:v>46580</x:v>
      </x:c>
      <x:c r="B278" s="9" t="str">
        <x:v>Пн</x:v>
      </x:c>
      <x:c r="C278" s="10" t="str">
        <x:v>Интервью</x:v>
      </x:c>
      <x:c r="D278" s="19" t="str">
        <x:v>ppQNdcvKbF4</x:v>
      </x:c>
      <x:c r="E278" s="10" t="str">
        <x:f>IF(D278="","",IF(COUNTIFS('Видео'!$A$7:$A$1508,D278)=1,INDEX('Видео'!$B$7:$B$1508,MATCH(D278,'Видео'!$A$7:$A$1508,0)),"ID не найден"))</x:f>
        <x:v>כך ייעשה לאיש שמעז לבקר את אייזנקוט. שומר סף 402 עם אל"מ רונן כהן.</x:v>
      </x:c>
      <x:c r="F278" s="9" t="str">
        <x:f>IF(D278="","",IF(COUNTIFS('Видео'!$A$7:$A$1508,D278)=1,INDEX('Видео'!$R$7:$R$1508,MATCH(D278,'Видео'!$A$7:$A$1508,0)),"ID не найден"))</x:f>
        <x:v>C087</x:v>
      </x:c>
      <x:c r="G278" s="9" t="str">
        <x:f>IF(D278="","",IF(COUNTIFS('Видео'!$A$7:$A$1508,D278)=1,INDEX('Видео'!$D$7:$D$1508,MATCH(D278,'Видео'!$A$7:$A$1508,0)),"ID не найден"))</x:f>
        <x:v>Интервью</x:v>
      </x:c>
      <x:c r="H278" s="10" t="str">
        <x:f>IF(D278="","",IF(COUNTIFS('Видео'!$A$7:$A$1508,D278)=1,INDEX('Видео'!$F$7:$F$1508,MATCH(D278,'Видео'!$A$7:$A$1508,0)),"ID не найден"))</x:f>
        <x:v>B2–C1 (гипотеза)</x:v>
      </x:c>
      <x:c r="I278" s="18" t="n">
        <x:f>IF(D278="","",IF(COUNTIFS('Видео'!$A$7:$A$1508,D278)=1,INDEX('Видео'!$G$7:$G$1508,MATCH(D278,'Видео'!$A$7:$A$1508,0)),"ID не найден"))</x:f>
        <x:v>45.9</x:v>
      </x:c>
      <x:c r="J278" s="18" t="n">
        <x:v>10</x:v>
      </x:c>
      <x:c r="K278" s="10" t="str">
        <x:f>IF(D278="","",IF(COUNTIFS('Видео'!$A$7:$A$1508,D278)=1,INDEX('Видео'!$AI$7:$AI$1508,MATCH(D278,'Видео'!$A$7:$A$1508,0)),"ID не найден"))</x:f>
        <x:v>Нужна редактура</x:v>
      </x:c>
      <x:c r="L278" s="19" t="str">
        <x:v>dI8U5KZorT0</x:v>
      </x:c>
      <x:c r="M278" s="10" t="str">
        <x:f>IF(L278="","",IF(COUNTIFS('Видео'!$A$7:$A$1508,L278)=1,INDEX('Видео'!$B$7:$B$1508,MATCH(L278,'Видео'!$A$7:$A$1508,0)),"ID не найден"))</x:f>
        <x:v>פגישה עם רוני קובן עונה 7 | פרק 14 - רבקה מיכאלי</x:v>
      </x:c>
      <x:c r="N278" s="10" t="str"/>
      <x:c r="O278" s="10" t="str">
        <x:f>IF(D278="","",IF(COUNTIFS('Видео'!$A$7:$A$1508,D278)=1,INDEX('Видео'!$M$7:$M$1508,MATCH(D278,'Видео'!$A$7:$A$1508,0)),"ID не найден"))</x:f>
        <x:v>Тема / гость: כך ייעשה לאיש שמעז לבקר את אייזנקוט. שומר סף 402 עם אל"מ רונן כהן.. Просмотры в списке выше медианы выборки этого цикла в 1.55 раза. Источник для аудитории общественных дебатов; полезен при явной атрибуции позиции ведущего и гостя.</x:v>
      </x:c>
      <x:c r="P278" s="11" t="str">
        <x:f>IF(D278="","",IF(COUNTIFS('Видео'!$A$7:$A$1508,D278)=1,INDEX('Видео'!$U$7:$U$1508,MATCH(D278,'Видео'!$A$7:$A$1508,0)),"ID не найден"))</x:f>
        <x:v>https://www.youtube.com/watch?v=ppQNdcvKbF4</x:v>
      </x:c>
      <x:c r="Q278" s="17" t="str">
        <x:v>Предложено</x:v>
      </x:c>
      <x:c r="R278" s="17" t="str"/>
      <x:c r="S278" s="10" t="str"/>
      <x:c r="T278" s="10" t="str">
        <x:v>Резерв меняет выбор видео; снова проверить повод, аудиторию и все редакторские условия</x:v>
      </x:c>
      <x:c r="U278" s="9" t="str">
        <x:f>IF(D278="","Выбрать видео",IF(COUNTIFS($D$7:$D$371,D278)&gt;1,"Повтор","Без повтора"))</x:f>
        <x:v>Без повтора</x:v>
      </x:c>
    </x:row>
    <x:row r="279" ht="60" customHeight="1">
      <x:c r="A279" s="16" t="n">
        <x:v>46581</x:v>
      </x:c>
      <x:c r="B279" s="9" t="str">
        <x:v>Вт</x:v>
      </x:c>
      <x:c r="C279" s="10" t="str">
        <x:v>Образование</x:v>
      </x:c>
      <x:c r="D279" s="19" t="str">
        <x:v>G5N_7WKMwY8</x:v>
      </x:c>
      <x:c r="E279" s="10" t="str">
        <x:f>IF(D279="","",IF(COUNTIFS('Видео'!$A$7:$A$1508,D279)=1,INDEX('Видео'!$B$7:$B$1508,MATCH(D279,'Видео'!$A$7:$A$1508,0)),"ID не найден"))</x:f>
        <x:v>המרדף עונה 9 | פרק 3</x:v>
      </x:c>
      <x:c r="F279" s="9" t="str">
        <x:f>IF(D279="","",IF(COUNTIFS('Видео'!$A$7:$A$1508,D279)=1,INDEX('Видео'!$R$7:$R$1508,MATCH(D279,'Видео'!$A$7:$A$1508,0)),"ID не найден"))</x:f>
        <x:v>C037</x:v>
      </x:c>
      <x:c r="G279" s="9" t="str">
        <x:f>IF(D279="","",IF(COUNTIFS('Видео'!$A$7:$A$1508,D279)=1,INDEX('Видео'!$D$7:$D$1508,MATCH(D279,'Видео'!$A$7:$A$1508,0)),"ID не найден"))</x:f>
        <x:v>Образование</x:v>
      </x:c>
      <x:c r="H279" s="10" t="str">
        <x:f>IF(D279="","",IF(COUNTIFS('Видео'!$A$7:$A$1508,D279)=1,INDEX('Видео'!$F$7:$F$1508,MATCH(D279,'Видео'!$A$7:$A$1508,0)),"ID не найден"))</x:f>
        <x:v>B1–B2 (гипотеза)</x:v>
      </x:c>
      <x:c r="I279" s="18" t="n">
        <x:f>IF(D279="","",IF(COUNTIFS('Видео'!$A$7:$A$1508,D279)=1,INDEX('Видео'!$G$7:$G$1508,MATCH(D279,'Видео'!$A$7:$A$1508,0)),"ID не найден"))</x:f>
        <x:v>54.8</x:v>
      </x:c>
      <x:c r="J279" s="18" t="n">
        <x:v>10</x:v>
      </x:c>
      <x:c r="K279" s="10" t="str">
        <x:f>IF(D279="","",IF(COUNTIFS('Видео'!$A$7:$A$1508,D279)=1,INDEX('Видео'!$AI$7:$AI$1508,MATCH(D279,'Видео'!$A$7:$A$1508,0)),"ID не найден"))</x:f>
        <x:v>Нужна редактура</x:v>
      </x:c>
      <x:c r="L279" s="19" t="str">
        <x:v>eEksnw3JVOY</x:v>
      </x:c>
      <x:c r="M279" s="10" t="str">
        <x:f>IF(L279="","",IF(COUNTIFS('Видео'!$A$7:$A$1508,L279)=1,INDEX('Видео'!$B$7:$B$1508,MATCH(L279,'Видео'!$A$7:$A$1508,0)),"ID не найден"))</x:f>
        <x:v>גלילאו עונה 9 | איך אפשר לייצר ברקים? ⚡</x:v>
      </x:c>
      <x:c r="N279" s="10" t="str"/>
      <x:c r="O279" s="10" t="str">
        <x:f>IF(D279="","",IF(COUNTIFS('Видео'!$A$7:$A$1508,D279)=1,INDEX('Видео'!$M$7:$M$1508,MATCH(D279,'Видео'!$A$7:$A$1508,0)),"ID не найден"))</x:f>
        <x:v>Тема: המרדף עונה 9 | פרק 3. Просмотры в списке выше медианы выборки этого цикла в 2.13 раза. Викторина предлагает естественный формат проверки понимания и обсуждения ответа.</x:v>
      </x:c>
      <x:c r="P279" s="11" t="str">
        <x:f>IF(D279="","",IF(COUNTIFS('Видео'!$A$7:$A$1508,D279)=1,INDEX('Видео'!$U$7:$U$1508,MATCH(D279,'Видео'!$A$7:$A$1508,0)),"ID не найден"))</x:f>
        <x:v>https://www.youtube.com/watch?v=G5N_7WKMwY8</x:v>
      </x:c>
      <x:c r="Q279" s="17" t="str">
        <x:v>Предложено</x:v>
      </x:c>
      <x:c r="R279" s="17" t="str"/>
      <x:c r="S279" s="10" t="str"/>
      <x:c r="T279" s="10" t="str">
        <x:v>Резерв меняет выбор видео; снова проверить повод, аудиторию и все редакторские условия</x:v>
      </x:c>
      <x:c r="U279" s="9" t="str">
        <x:f>IF(D279="","Выбрать видео",IF(COUNTIFS($D$7:$D$371,D279)&gt;1,"Повтор","Без повтора"))</x:f>
        <x:v>Без повтора</x:v>
      </x:c>
    </x:row>
    <x:row r="280" ht="60" customHeight="1">
      <x:c r="A280" s="16" t="n">
        <x:v>46582</x:v>
      </x:c>
      <x:c r="B280" s="9" t="str">
        <x:v>Ср</x:v>
      </x:c>
      <x:c r="C280" s="10" t="str">
        <x:v>Быт</x:v>
      </x:c>
      <x:c r="D280" s="19" t="str">
        <x:v>PFyh8OezW-s</x:v>
      </x:c>
      <x:c r="E280" s="10" t="str">
        <x:f>IF(D280="","",IF(COUNTIFS('Видео'!$A$7:$A$1508,D280)=1,INDEX('Видео'!$B$7:$B$1508,MATCH(D280,'Видео'!$A$7:$A$1508,0)),"ID не найден"))</x:f>
        <x:v>בואו לאכול איתי עונה 9 | דרום - חלק ב' (פרק 2)</x:v>
      </x:c>
      <x:c r="F280" s="9" t="str">
        <x:f>IF(D280="","",IF(COUNTIFS('Видео'!$A$7:$A$1508,D280)=1,INDEX('Видео'!$R$7:$R$1508,MATCH(D280,'Видео'!$A$7:$A$1508,0)),"ID не найден"))</x:f>
        <x:v>C022</x:v>
      </x:c>
      <x:c r="G280" s="9" t="str">
        <x:f>IF(D280="","",IF(COUNTIFS('Видео'!$A$7:$A$1508,D280)=1,INDEX('Видео'!$D$7:$D$1508,MATCH(D280,'Видео'!$A$7:$A$1508,0)),"ID не найден"))</x:f>
        <x:v>Быт</x:v>
      </x:c>
      <x:c r="H280" s="10" t="str">
        <x:f>IF(D280="","",IF(COUNTIFS('Видео'!$A$7:$A$1508,D280)=1,INDEX('Видео'!$F$7:$F$1508,MATCH(D280,'Видео'!$A$7:$A$1508,0)),"ID не найден"))</x:f>
        <x:v>B1–B2 (гипотеза)</x:v>
      </x:c>
      <x:c r="I280" s="18" t="n">
        <x:f>IF(D280="","",IF(COUNTIFS('Видео'!$A$7:$A$1508,D280)=1,INDEX('Видео'!$G$7:$G$1508,MATCH(D280,'Видео'!$A$7:$A$1508,0)),"ID не найден"))</x:f>
        <x:v>29.5</x:v>
      </x:c>
      <x:c r="J280" s="18" t="n">
        <x:v>10</x:v>
      </x:c>
      <x:c r="K280" s="10" t="str">
        <x:f>IF(D280="","",IF(COUNTIFS('Видео'!$A$7:$A$1508,D280)=1,INDEX('Видео'!$AI$7:$AI$1508,MATCH(D280,'Видео'!$A$7:$A$1508,0)),"ID не найден"))</x:f>
        <x:v>Нужна редактура</x:v>
      </x:c>
      <x:c r="L280" s="19" t="str">
        <x:v>D6Fge-MTsP4</x:v>
      </x:c>
      <x:c r="M280" s="10" t="str">
        <x:f>IF(L280="","",IF(COUNTIFS('Видео'!$A$7:$A$1508,L280)=1,INDEX('Видео'!$B$7:$B$1508,MATCH(L280,'Видео'!$A$7:$A$1508,0)),"ID не найден"))</x:f>
        <x:v>בואו לאכול איתי עונה 9 | ירושלים - חלק ב' (פרק 7)</x:v>
      </x:c>
      <x:c r="N280" s="10" t="str"/>
      <x:c r="O280" s="10" t="str">
        <x:f>IF(D280="","",IF(COUNTIFS('Видео'!$A$7:$A$1508,D280)=1,INDEX('Видео'!$M$7:$M$1508,MATCH(D280,'Видео'!$A$7:$A$1508,0)),"ID не найден"))</x:f>
        <x:v>Тема: בואו לאכול איתי עונה 9 | דרום - חלק ב' (פרק 2). Еда снижает порог входа для широкой аудитории. В одном выпуске встречаются приглашения, оценки, знакомство и бытовые споры.</x:v>
      </x:c>
      <x:c r="P280" s="11" t="str">
        <x:f>IF(D280="","",IF(COUNTIFS('Видео'!$A$7:$A$1508,D280)=1,INDEX('Видео'!$U$7:$U$1508,MATCH(D280,'Видео'!$A$7:$A$1508,0)),"ID не найден"))</x:f>
        <x:v>https://www.youtube.com/watch?v=PFyh8OezW-s</x:v>
      </x:c>
      <x:c r="Q280" s="17" t="str">
        <x:v>Предложено</x:v>
      </x:c>
      <x:c r="R280" s="17" t="str"/>
      <x:c r="S280" s="10" t="str"/>
      <x:c r="T280" s="10" t="str">
        <x:v>Резерв меняет выбор видео; снова проверить повод, аудиторию и все редакторские условия</x:v>
      </x:c>
      <x:c r="U280" s="9" t="str">
        <x:f>IF(D280="","Выбрать видео",IF(COUNTIFS($D$7:$D$371,D280)&gt;1,"Повтор","Без повтора"))</x:f>
        <x:v>Без повтора</x:v>
      </x:c>
    </x:row>
    <x:row r="281" ht="60" customHeight="1">
      <x:c r="A281" s="16" t="n">
        <x:v>46583</x:v>
      </x:c>
      <x:c r="B281" s="9" t="str">
        <x:v>Чт</x:v>
      </x:c>
      <x:c r="C281" s="10" t="str">
        <x:v>Сериал</x:v>
      </x:c>
      <x:c r="D281" s="19" t="str">
        <x:v>2oV4JL5Sf20</x:v>
      </x:c>
      <x:c r="E281" s="10" t="str">
        <x:f>IF(D281="","",IF(COUNTIFS('Видео'!$A$7:$A$1508,D281)=1,INDEX('Видео'!$B$7:$B$1508,MATCH(D281,'Видео'!$A$7:$A$1508,0)),"ID не найден"))</x:f>
        <x:v>כראמל 🐱 | ג'יין - פרק 8</x:v>
      </x:c>
      <x:c r="F281" s="9" t="str">
        <x:f>IF(D281="","",IF(COUNTIFS('Видео'!$A$7:$A$1508,D281)=1,INDEX('Видео'!$R$7:$R$1508,MATCH(D281,'Видео'!$A$7:$A$1508,0)),"ID не найден"))</x:f>
        <x:v>C053</x:v>
      </x:c>
      <x:c r="G281" s="9" t="str">
        <x:f>IF(D281="","",IF(COUNTIFS('Видео'!$A$7:$A$1508,D281)=1,INDEX('Видео'!$D$7:$D$1508,MATCH(D281,'Видео'!$A$7:$A$1508,0)),"ID не найден"))</x:f>
        <x:v>Сериал</x:v>
      </x:c>
      <x:c r="H281" s="10" t="str">
        <x:f>IF(D281="","",IF(COUNTIFS('Видео'!$A$7:$A$1508,D281)=1,INDEX('Видео'!$F$7:$F$1508,MATCH(D281,'Видео'!$A$7:$A$1508,0)),"ID не найден"))</x:f>
        <x:v>A2–B1 (гипотеза)</x:v>
      </x:c>
      <x:c r="I281" s="18" t="n">
        <x:f>IF(D281="","",IF(COUNTIFS('Видео'!$A$7:$A$1508,D281)=1,INDEX('Видео'!$G$7:$G$1508,MATCH(D281,'Видео'!$A$7:$A$1508,0)),"ID не найден"))</x:f>
        <x:v>26.2</x:v>
      </x:c>
      <x:c r="J281" s="18" t="n">
        <x:v>10</x:v>
      </x:c>
      <x:c r="K281" s="10" t="str">
        <x:f>IF(D281="","",IF(COUNTIFS('Видео'!$A$7:$A$1508,D281)=1,INDEX('Видео'!$AI$7:$AI$1508,MATCH(D281,'Видео'!$A$7:$A$1508,0)),"ID не найден"))</x:f>
        <x:v>Нужна редактура</x:v>
      </x:c>
      <x:c r="L281" s="19" t="str">
        <x:v>8kJDN6aebZg</x:v>
      </x:c>
      <x:c r="M281" s="10" t="str">
        <x:f>IF(L281="","",IF(COUNTIFS('Видео'!$A$7:$A$1508,L281)=1,INDEX('Видео'!$B$7:$B$1508,MATCH(L281,'Видео'!$A$7:$A$1508,0)),"ID не найден"))</x:f>
        <x:v>חיות כיס | עצות כלכליות לפי עשור</x:v>
      </x:c>
      <x:c r="N281" s="10" t="str"/>
      <x:c r="O281" s="10" t="str">
        <x:f>IF(D281="","",IF(COUNTIFS('Видео'!$A$7:$A$1508,D281)=1,INDEX('Видео'!$M$7:$M$1508,MATCH(D281,'Видео'!$A$7:$A$1508,0)),"ID не найден"))</x:f>
        <x:v>Эпизод 8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281" s="11" t="str">
        <x:f>IF(D281="","",IF(COUNTIFS('Видео'!$A$7:$A$1508,D281)=1,INDEX('Видео'!$U$7:$U$1508,MATCH(D281,'Видео'!$A$7:$A$1508,0)),"ID не найден"))</x:f>
        <x:v>https://www.youtube.com/watch?v=2oV4JL5Sf20</x:v>
      </x:c>
      <x:c r="Q281" s="17" t="str">
        <x:v>Предложено</x:v>
      </x:c>
      <x:c r="R281" s="17" t="str"/>
      <x:c r="S281" s="10" t="str"/>
      <x:c r="T281" s="10" t="str">
        <x:v>При недоступной серии приостановить сюжетную ветку; резерв — самостоятельное видео</x:v>
      </x:c>
      <x:c r="U281" s="9" t="str">
        <x:f>IF(D281="","Выбрать видео",IF(COUNTIFS($D$7:$D$371,D281)&gt;1,"Повтор","Без повтора"))</x:f>
        <x:v>Без повтора</x:v>
      </x:c>
    </x:row>
    <x:row r="282" ht="60" customHeight="1">
      <x:c r="A282" s="16" t="n">
        <x:v>46584</x:v>
      </x:c>
      <x:c r="B282" s="9" t="str">
        <x:v>Пт</x:v>
      </x:c>
      <x:c r="C282" s="10" t="str">
        <x:v>Культура</x:v>
      </x:c>
      <x:c r="D282" s="19" t="str">
        <x:v>Ho3tYTd1ODo</x:v>
      </x:c>
      <x:c r="E282" s="10" t="str">
        <x:f>IF(D282="","",IF(COUNTIFS('Видео'!$A$7:$A$1508,D282)=1,INDEX('Видео'!$B$7:$B$1508,MATCH(D282,'Видео'!$A$7:$A$1508,0)),"ID не найден"))</x:f>
        <x:v>שיר אחד 🎤 עיבוד טלוויזיוני להסכת | מירי מסיקה - אף אחת</x:v>
      </x:c>
      <x:c r="F282" s="9" t="str">
        <x:f>IF(D282="","",IF(COUNTIFS('Видео'!$A$7:$A$1508,D282)=1,INDEX('Видео'!$R$7:$R$1508,MATCH(D282,'Видео'!$A$7:$A$1508,0)),"ID не найден"))</x:f>
        <x:v>C027</x:v>
      </x:c>
      <x:c r="G282" s="9" t="str">
        <x:f>IF(D282="","",IF(COUNTIFS('Видео'!$A$7:$A$1508,D282)=1,INDEX('Видео'!$D$7:$D$1508,MATCH(D282,'Видео'!$A$7:$A$1508,0)),"ID не найден"))</x:f>
        <x:v>Культура</x:v>
      </x:c>
      <x:c r="H282" s="10" t="str">
        <x:f>IF(D282="","",IF(COUNTIFS('Видео'!$A$7:$A$1508,D282)=1,INDEX('Видео'!$F$7:$F$1508,MATCH(D282,'Видео'!$A$7:$A$1508,0)),"ID не найден"))</x:f>
        <x:v>B1–B2 (гипотеза)</x:v>
      </x:c>
      <x:c r="I282" s="18" t="n">
        <x:f>IF(D282="","",IF(COUNTIFS('Видео'!$A$7:$A$1508,D282)=1,INDEX('Видео'!$G$7:$G$1508,MATCH(D282,'Видео'!$A$7:$A$1508,0)),"ID не найден"))</x:f>
        <x:v>28.4</x:v>
      </x:c>
      <x:c r="J282" s="18" t="n">
        <x:v>10</x:v>
      </x:c>
      <x:c r="K282" s="10" t="str">
        <x:f>IF(D282="","",IF(COUNTIFS('Видео'!$A$7:$A$1508,D282)=1,INDEX('Видео'!$AI$7:$AI$1508,MATCH(D282,'Видео'!$A$7:$A$1508,0)),"ID не найден"))</x:f>
        <x:v>Нужна редактура</x:v>
      </x:c>
      <x:c r="L282" s="19" t="str">
        <x:v>ZqxybhDrJYI</x:v>
      </x:c>
      <x:c r="M282" s="10" t="str">
        <x:f>IF(L282="","",IF(COUNTIFS('Видео'!$A$7:$A$1508,L282)=1,INDEX('Видео'!$B$7:$B$1508,MATCH(L282,'Видео'!$A$7:$A$1508,0)),"ID не найден"))</x:f>
        <x:v>סיפורים מהכורסה 🛋️ | על חו"ל - פרק 8</x:v>
      </x:c>
      <x:c r="N282" s="10" t="str"/>
      <x:c r="O282" s="10" t="str">
        <x:f>IF(D282="","",IF(COUNTIFS('Видео'!$A$7:$A$1508,D282)=1,INDEX('Видео'!$M$7:$M$1508,MATCH(D282,'Видео'!$A$7:$A$1508,0)),"ID не найден"))</x:f>
        <x:v>Тема: שיר אחד 🎤 עיבוד טלוויזיוני להסכת | מירי מסיקה - אף אחת. Просмотры в списке выше медианы выборки этого цикла в 1.72 раза. История одной песни связывает музыку, биографию и эпоху. Подходит зрителям, которым политическая повестка менее интересна.</x:v>
      </x:c>
      <x:c r="P282" s="11" t="str">
        <x:f>IF(D282="","",IF(COUNTIFS('Видео'!$A$7:$A$1508,D282)=1,INDEX('Видео'!$U$7:$U$1508,MATCH(D282,'Видео'!$A$7:$A$1508,0)),"ID не найден"))</x:f>
        <x:v>https://www.youtube.com/watch?v=Ho3tYTd1ODo</x:v>
      </x:c>
      <x:c r="Q282" s="17" t="str">
        <x:v>Предложено</x:v>
      </x:c>
      <x:c r="R282" s="17" t="str"/>
      <x:c r="S282" s="10" t="str"/>
      <x:c r="T282" s="10" t="str">
        <x:v>Резерв меняет выбор видео; снова проверить повод, аудиторию и все редакторские условия</x:v>
      </x:c>
      <x:c r="U282" s="9" t="str">
        <x:f>IF(D282="","Выбрать видео",IF(COUNTIFS($D$7:$D$371,D282)&gt;1,"Повтор","Без повтора"))</x:f>
        <x:v>Без повтора</x:v>
      </x:c>
    </x:row>
    <x:row r="283" ht="60" customHeight="1">
      <x:c r="A283" s="16" t="n">
        <x:v>46585</x:v>
      </x:c>
      <x:c r="B283" s="9" t="str">
        <x:v>Сб</x:v>
      </x:c>
      <x:c r="C283" s="10" t="str">
        <x:v>Общество</x:v>
      </x:c>
      <x:c r="D283" s="19" t="str">
        <x:v>hfnK7_o8iMw</x:v>
      </x:c>
      <x:c r="E283" s="10" t="str">
        <x:f>IF(D283="","",IF(COUNTIFS('Видео'!$A$7:$A$1508,D283)=1,INDEX('Видео'!$B$7:$B$1508,MATCH(D283,'Видео'!$A$7:$A$1508,0)),"ID не найден"))</x:f>
        <x:v>זמן אמת עונה 9 | פרק 6 - שטח פרוץ: מה עשו אהוד ברק ומפקד 8200 עם נשק אסטרטגי של מדינת ישראל?</x:v>
      </x:c>
      <x:c r="F283" s="9" t="str">
        <x:f>IF(D283="","",IF(COUNTIFS('Видео'!$A$7:$A$1508,D283)=1,INDEX('Видео'!$R$7:$R$1508,MATCH(D283,'Видео'!$A$7:$A$1508,0)),"ID не найден"))</x:f>
        <x:v>C040</x:v>
      </x:c>
      <x:c r="G283" s="9" t="str">
        <x:f>IF(D283="","",IF(COUNTIFS('Видео'!$A$7:$A$1508,D283)=1,INDEX('Видео'!$D$7:$D$1508,MATCH(D283,'Видео'!$A$7:$A$1508,0)),"ID не найден"))</x:f>
        <x:v>Общество</x:v>
      </x:c>
      <x:c r="H283" s="10" t="str">
        <x:f>IF(D283="","",IF(COUNTIFS('Видео'!$A$7:$A$1508,D283)=1,INDEX('Видео'!$F$7:$F$1508,MATCH(D283,'Видео'!$A$7:$A$1508,0)),"ID не найден"))</x:f>
        <x:v>B2–C1 (гипотеза)</x:v>
      </x:c>
      <x:c r="I283" s="18" t="n">
        <x:f>IF(D283="","",IF(COUNTIFS('Видео'!$A$7:$A$1508,D283)=1,INDEX('Видео'!$G$7:$G$1508,MATCH(D283,'Видео'!$A$7:$A$1508,0)),"ID не найден"))</x:f>
        <x:v>60.7</x:v>
      </x:c>
      <x:c r="J283" s="18" t="n">
        <x:v>10</x:v>
      </x:c>
      <x:c r="K283" s="10" t="str">
        <x:f>IF(D283="","",IF(COUNTIFS('Видео'!$A$7:$A$1508,D283)=1,INDEX('Видео'!$AI$7:$AI$1508,MATCH(D283,'Видео'!$A$7:$A$1508,0)),"ID не найден"))</x:f>
        <x:v>Нужна редактура</x:v>
      </x:c>
      <x:c r="L283" s="19" t="str">
        <x:v>qLOv9-CpmZ4</x:v>
      </x:c>
      <x:c r="M283" s="10" t="str">
        <x:f>IF(L283="","",IF(COUNTIFS('Видео'!$A$7:$A$1508,L283)=1,INDEX('Видео'!$B$7:$B$1508,MATCH(L283,'Видео'!$A$7:$A$1508,0)),"ID не найден"))</x:f>
        <x:v>סליחה על השאלה ילדים 3 | ילדים נמוכים</x:v>
      </x:c>
      <x:c r="N283" s="10" t="str"/>
      <x:c r="O283" s="10" t="str">
        <x:f>IF(D283="","",IF(COUNTIFS('Видео'!$A$7:$A$1508,D283)=1,INDEX('Видео'!$M$7:$M$1508,MATCH(D283,'Видео'!$A$7:$A$1508,0)),"ID не найден"))</x:f>
        <x:v>Тема: זמן אמת עונה 9 | פרק 6 - שטח פרוץ: מה עשו אהוד ברק ומפקד 8200 עם נשק אסטרטגי של מדינת ישראל?. Просмотры в списке выше медианы выборки этого цикла в 2.08 раза. Расследования привлекают любителей документального жанра и дают материал для критического чтения медиа.</x:v>
      </x:c>
      <x:c r="P283" s="11" t="str">
        <x:f>IF(D283="","",IF(COUNTIFS('Видео'!$A$7:$A$1508,D283)=1,INDEX('Видео'!$U$7:$U$1508,MATCH(D283,'Видео'!$A$7:$A$1508,0)),"ID не найден"))</x:f>
        <x:v>https://www.youtube.com/watch?v=hfnK7_o8iMw</x:v>
      </x:c>
      <x:c r="Q283" s="17" t="str">
        <x:v>Предложено</x:v>
      </x:c>
      <x:c r="R283" s="17" t="str"/>
      <x:c r="S283" s="10" t="str"/>
      <x:c r="T283" s="10" t="str">
        <x:v>Резерв меняет выбор видео; снова проверить повод, аудиторию и все редакторские условия</x:v>
      </x:c>
      <x:c r="U283" s="9" t="str">
        <x:f>IF(D283="","Выбрать видео",IF(COUNTIFS($D$7:$D$371,D283)&gt;1,"Повтор","Без повтора"))</x:f>
        <x:v>Без повтора</x:v>
      </x:c>
    </x:row>
    <x:row r="284" ht="60" customHeight="1">
      <x:c r="A284" s="16" t="n">
        <x:v>46586</x:v>
      </x:c>
      <x:c r="B284" s="9" t="str">
        <x:v>Вс</x:v>
      </x:c>
      <x:c r="C284" s="10" t="str">
        <x:v>Сериал</x:v>
      </x:c>
      <x:c r="D284" s="19" t="str">
        <x:v>GL2KeRhl5YY</x:v>
      </x:c>
      <x:c r="E284" s="10" t="str">
        <x:f>IF(D284="","",IF(COUNTIFS('Видео'!$A$7:$A$1508,D284)=1,INDEX('Видео'!$B$7:$B$1508,MATCH(D284,'Видео'!$A$7:$A$1508,0)),"ID не найден"))</x:f>
        <x:v>קופה ראשית עונה 4🛒 | פרק 19 - הצתה מאוחרת</x:v>
      </x:c>
      <x:c r="F284" s="9" t="str">
        <x:f>IF(D284="","",IF(COUNTIFS('Видео'!$A$7:$A$1508,D284)=1,INDEX('Видео'!$R$7:$R$1508,MATCH(D284,'Видео'!$A$7:$A$1508,0)),"ID не найден"))</x:f>
        <x:v>C002</x:v>
      </x:c>
      <x:c r="G284" s="9" t="str">
        <x:f>IF(D284="","",IF(COUNTIFS('Видео'!$A$7:$A$1508,D284)=1,INDEX('Видео'!$D$7:$D$1508,MATCH(D284,'Видео'!$A$7:$A$1508,0)),"ID не найден"))</x:f>
        <x:v>Сериал</x:v>
      </x:c>
      <x:c r="H284" s="10" t="str">
        <x:f>IF(D284="","",IF(COUNTIFS('Видео'!$A$7:$A$1508,D284)=1,INDEX('Видео'!$F$7:$F$1508,MATCH(D284,'Видео'!$A$7:$A$1508,0)),"ID не найден"))</x:f>
        <x:v>B1–B2 (гипотеза)</x:v>
      </x:c>
      <x:c r="I284" s="18" t="n">
        <x:f>IF(D284="","",IF(COUNTIFS('Видео'!$A$7:$A$1508,D284)=1,INDEX('Видео'!$G$7:$G$1508,MATCH(D284,'Видео'!$A$7:$A$1508,0)),"ID не найден"))</x:f>
        <x:v>26.3</x:v>
      </x:c>
      <x:c r="J284" s="18" t="n">
        <x:v>10</x:v>
      </x:c>
      <x:c r="K284" s="10" t="str">
        <x:f>IF(D284="","",IF(COUNTIFS('Видео'!$A$7:$A$1508,D284)=1,INDEX('Видео'!$AI$7:$AI$1508,MATCH(D284,'Видео'!$A$7:$A$1508,0)),"ID не найден"))</x:f>
        <x:v>Нужна редактура</x:v>
      </x:c>
      <x:c r="L284" s="19" t="str">
        <x:v>z0YYvggPJh0</x:v>
      </x:c>
      <x:c r="M284" s="10" t="str">
        <x:f>IF(L284="","",IF(COUNTIFS('Видео'!$A$7:$A$1508,L284)=1,INDEX('Видео'!$B$7:$B$1508,MATCH(L284,'Видео'!$A$7:$A$1508,0)),"ID не найден"))</x:f>
        <x:v>כלבים מריחים מחלות</x:v>
      </x:c>
      <x:c r="N284" s="10" t="str"/>
      <x:c r="O284" s="10" t="str">
        <x:f>IF(D284="","",IF(COUNTIFS('Видео'!$A$7:$A$1508,D284)=1,INDEX('Видео'!$M$7:$M$1508,MATCH(D284,'Видео'!$A$7:$A$1508,0)),"ID не найден"))</x:f>
        <x:v>Эпизод 19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84" s="11" t="str">
        <x:f>IF(D284="","",IF(COUNTIFS('Видео'!$A$7:$A$1508,D284)=1,INDEX('Видео'!$U$7:$U$1508,MATCH(D284,'Видео'!$A$7:$A$1508,0)),"ID не найден"))</x:f>
        <x:v>https://www.youtube.com/watch?v=GL2KeRhl5YY</x:v>
      </x:c>
      <x:c r="Q284" s="17" t="str">
        <x:v>Предложено</x:v>
      </x:c>
      <x:c r="R284" s="17" t="str"/>
      <x:c r="S284" s="10" t="str"/>
      <x:c r="T284" s="10" t="str">
        <x:v>При недоступной серии приостановить сюжетную ветку; резерв — самостоятельное видео</x:v>
      </x:c>
      <x:c r="U284" s="9" t="str">
        <x:f>IF(D284="","Выбрать видео",IF(COUNTIFS($D$7:$D$371,D284)&gt;1,"Повтор","Без повтора"))</x:f>
        <x:v>Без повтора</x:v>
      </x:c>
    </x:row>
    <x:row r="285" ht="60" customHeight="1">
      <x:c r="A285" s="16" t="n">
        <x:v>46587</x:v>
      </x:c>
      <x:c r="B285" s="9" t="str">
        <x:v>Пн</x:v>
      </x:c>
      <x:c r="C285" s="10" t="str">
        <x:v>Интервью</x:v>
      </x:c>
      <x:c r="D285" s="19" t="str">
        <x:v>xVqngylj7d0</x:v>
      </x:c>
      <x:c r="E285" s="10" t="str">
        <x:f>IF(D285="","",IF(COUNTIFS('Видео'!$A$7:$A$1508,D285)=1,INDEX('Видео'!$B$7:$B$1508,MATCH(D285,'Видео'!$A$7:$A$1508,0)),"ID не найден"))</x:f>
        <x:v>האמת על האחים המוסלמים, פרק 7: הפרגמטיזם הרדיקלי של התנועה האסלאמית – ד״ר נסיה שמר</x:v>
      </x:c>
      <x:c r="F285" s="9" t="str">
        <x:f>IF(D285="","",IF(COUNTIFS('Видео'!$A$7:$A$1508,D285)=1,INDEX('Видео'!$R$7:$R$1508,MATCH(D285,'Видео'!$A$7:$A$1508,0)),"ID не найден"))</x:f>
        <x:v>C088</x:v>
      </x:c>
      <x:c r="G285" s="9" t="str">
        <x:f>IF(D285="","",IF(COUNTIFS('Видео'!$A$7:$A$1508,D285)=1,INDEX('Видео'!$D$7:$D$1508,MATCH(D285,'Видео'!$A$7:$A$1508,0)),"ID не найден"))</x:f>
        <x:v>Интервью</x:v>
      </x:c>
      <x:c r="H285" s="10" t="str">
        <x:f>IF(D285="","",IF(COUNTIFS('Видео'!$A$7:$A$1508,D285)=1,INDEX('Видео'!$F$7:$F$1508,MATCH(D285,'Видео'!$A$7:$A$1508,0)),"ID не найден"))</x:f>
        <x:v>B2–C1 (гипотеза)</x:v>
      </x:c>
      <x:c r="I285" s="18" t="n">
        <x:f>IF(D285="","",IF(COUNTIFS('Видео'!$A$7:$A$1508,D285)=1,INDEX('Видео'!$G$7:$G$1508,MATCH(D285,'Видео'!$A$7:$A$1508,0)),"ID не найден"))</x:f>
        <x:v>84.9</x:v>
      </x:c>
      <x:c r="J285" s="18" t="n">
        <x:v>10</x:v>
      </x:c>
      <x:c r="K285" s="10" t="str">
        <x:f>IF(D285="","",IF(COUNTIFS('Видео'!$A$7:$A$1508,D285)=1,INDEX('Видео'!$AI$7:$AI$1508,MATCH(D285,'Видео'!$A$7:$A$1508,0)),"ID не найден"))</x:f>
        <x:v>Нужна редактура</x:v>
      </x:c>
      <x:c r="L285" s="19" t="str">
        <x:v>lxqLKAJm8T4</x:v>
      </x:c>
      <x:c r="M285" s="10" t="str">
        <x:f>IF(L285="","",IF(COUNTIFS('Видео'!$A$7:$A$1508,L285)=1,INDEX('Видео'!$B$7:$B$1508,MATCH(L285,'Видео'!$A$7:$A$1508,0)),"ID не найден"))</x:f>
        <x:v>פגישה עם רוני קובן עונה 10 | בן כספית</x:v>
      </x:c>
      <x:c r="N285" s="10" t="str"/>
      <x:c r="O285" s="10" t="str">
        <x:f>IF(D285="","",IF(COUNTIFS('Видео'!$A$7:$A$1508,D285)=1,INDEX('Видео'!$M$7:$M$1508,MATCH(D285,'Видео'!$A$7:$A$1508,0)),"ID не найден"))</x:f>
        <x:v>Тема / гость: האמת על האחים המוסלמים, פרק 7: הפרגמטיזם הרדיקלי של התנועה האסלאמית – ד״ר נסיה שמר. Дополнительная перспектива в общественной дискуссии. Включать по конкретной теме и гостю, а не по одной популярности.</x:v>
      </x:c>
      <x:c r="P285" s="11" t="str">
        <x:f>IF(D285="","",IF(COUNTIFS('Видео'!$A$7:$A$1508,D285)=1,INDEX('Видео'!$U$7:$U$1508,MATCH(D285,'Видео'!$A$7:$A$1508,0)),"ID не найден"))</x:f>
        <x:v>https://www.youtube.com/watch?v=xVqngylj7d0</x:v>
      </x:c>
      <x:c r="Q285" s="17" t="str">
        <x:v>Предложено</x:v>
      </x:c>
      <x:c r="R285" s="17" t="str"/>
      <x:c r="S285" s="10" t="str"/>
      <x:c r="T285" s="10" t="str">
        <x:v>Резерв меняет выбор видео; снова проверить повод, аудиторию и все редакторские условия</x:v>
      </x:c>
      <x:c r="U285" s="9" t="str">
        <x:f>IF(D285="","Выбрать видео",IF(COUNTIFS($D$7:$D$371,D285)&gt;1,"Повтор","Без повтора"))</x:f>
        <x:v>Без повтора</x:v>
      </x:c>
    </x:row>
    <x:row r="286" ht="60" customHeight="1">
      <x:c r="A286" s="16" t="n">
        <x:v>46588</x:v>
      </x:c>
      <x:c r="B286" s="9" t="str">
        <x:v>Вт</x:v>
      </x:c>
      <x:c r="C286" s="10" t="str">
        <x:v>Образование</x:v>
      </x:c>
      <x:c r="D286" s="19" t="str">
        <x:v>Ne4zBjeBcOU</x:v>
      </x:c>
      <x:c r="E286" s="10" t="str">
        <x:f>IF(D286="","",IF(COUNTIFS('Видео'!$A$7:$A$1508,D286)=1,INDEX('Видео'!$B$7:$B$1508,MATCH(D286,'Видео'!$A$7:$A$1508,0)),"ID не найден"))</x:f>
        <x:v>מהי טכנולוגיית ה-5G ואיך היא תשפיע על חיינו? | זה אמיתי?</x:v>
      </x:c>
      <x:c r="F286" s="9" t="str">
        <x:f>IF(D286="","",IF(COUNTIFS('Видео'!$A$7:$A$1508,D286)=1,INDEX('Видео'!$R$7:$R$1508,MATCH(D286,'Видео'!$A$7:$A$1508,0)),"ID не найден"))</x:f>
        <x:v>C044</x:v>
      </x:c>
      <x:c r="G286" s="9" t="str">
        <x:f>IF(D286="","",IF(COUNTIFS('Видео'!$A$7:$A$1508,D286)=1,INDEX('Видео'!$D$7:$D$1508,MATCH(D286,'Видео'!$A$7:$A$1508,0)),"ID не найден"))</x:f>
        <x:v>Образование</x:v>
      </x:c>
      <x:c r="H286" s="10" t="str">
        <x:f>IF(D286="","",IF(COUNTIFS('Видео'!$A$7:$A$1508,D286)=1,INDEX('Видео'!$F$7:$F$1508,MATCH(D286,'Видео'!$A$7:$A$1508,0)),"ID не найден"))</x:f>
        <x:v>B1–B2 (гипотеза)</x:v>
      </x:c>
      <x:c r="I286" s="18" t="n">
        <x:f>IF(D286="","",IF(COUNTIFS('Видео'!$A$7:$A$1508,D286)=1,INDEX('Видео'!$G$7:$G$1508,MATCH(D286,'Видео'!$A$7:$A$1508,0)),"ID не найден"))</x:f>
        <x:v>11</x:v>
      </x:c>
      <x:c r="J286" s="18" t="n">
        <x:v>10</x:v>
      </x:c>
      <x:c r="K286" s="10" t="str">
        <x:f>IF(D286="","",IF(COUNTIFS('Видео'!$A$7:$A$1508,D286)=1,INDEX('Видео'!$AI$7:$AI$1508,MATCH(D286,'Видео'!$A$7:$A$1508,0)),"ID не найден"))</x:f>
        <x:v>Нужна редактура</x:v>
      </x:c>
      <x:c r="L286" s="19" t="str">
        <x:v>nYiJI4sV6os</x:v>
      </x:c>
      <x:c r="M286" s="10" t="str">
        <x:f>IF(L286="","",IF(COUNTIFS('Видео'!$A$7:$A$1508,L286)=1,INDEX('Видео'!$B$7:$B$1508,MATCH(L286,'Видео'!$A$7:$A$1508,0)),"ID не найден"))</x:f>
        <x:v>מתחת לבלטות | פרק 5 ואחרון - מי מרוויח מהמחירים הגבוהים?</x:v>
      </x:c>
      <x:c r="N286" s="10" t="str"/>
      <x:c r="O286" s="10" t="str">
        <x:f>IF(D286="","",IF(COUNTIFS('Видео'!$A$7:$A$1508,D286)=1,INDEX('Видео'!$M$7:$M$1508,MATCH(D286,'Видео'!$A$7:$A$1508,0)),"ID не найден"))</x:f>
        <x:v>Тема: מהי טכנולוגיית ה-5G ואיך היא תשפיע על חיינו? | זה אמיתי?. Просмотры в списке выше медианы выборки этого цикла в 2.46 раза. Один понятный вопрос даёт завершённый короткий выпуск и повод поделиться им.</x:v>
      </x:c>
      <x:c r="P286" s="11" t="str">
        <x:f>IF(D286="","",IF(COUNTIFS('Видео'!$A$7:$A$1508,D286)=1,INDEX('Видео'!$U$7:$U$1508,MATCH(D286,'Видео'!$A$7:$A$1508,0)),"ID не найден"))</x:f>
        <x:v>https://www.youtube.com/watch?v=Ne4zBjeBcOU</x:v>
      </x:c>
      <x:c r="Q286" s="17" t="str">
        <x:v>Предложено</x:v>
      </x:c>
      <x:c r="R286" s="17" t="str"/>
      <x:c r="S286" s="10" t="str"/>
      <x:c r="T286" s="10" t="str">
        <x:v>Резерв меняет выбор видео; снова проверить повод, аудиторию и все редакторские условия</x:v>
      </x:c>
      <x:c r="U286" s="9" t="str">
        <x:f>IF(D286="","Выбрать видео",IF(COUNTIFS($D$7:$D$371,D286)&gt;1,"Повтор","Без повтора"))</x:f>
        <x:v>Без повтора</x:v>
      </x:c>
    </x:row>
    <x:row r="287" ht="60" customHeight="1">
      <x:c r="A287" s="16" t="n">
        <x:v>46589</x:v>
      </x:c>
      <x:c r="B287" s="9" t="str">
        <x:v>Ср</x:v>
      </x:c>
      <x:c r="C287" s="10" t="str">
        <x:v>Быт</x:v>
      </x:c>
      <x:c r="D287" s="19" t="str">
        <x:v>qOxok9yKnMI</x:v>
      </x:c>
      <x:c r="E287" s="10" t="str">
        <x:f>IF(D287="","",IF(COUNTIFS('Видео'!$A$7:$A$1508,D287)=1,INDEX('Видео'!$B$7:$B$1508,MATCH(D287,'Видео'!$A$7:$A$1508,0)),"ID не найден"))</x:f>
        <x:v>בואו לאכול איתי עונה 8 | צפון - חלק ה' (פרק 5)</x:v>
      </x:c>
      <x:c r="F287" s="9" t="str">
        <x:f>IF(D287="","",IF(COUNTIFS('Видео'!$A$7:$A$1508,D287)=1,INDEX('Видео'!$R$7:$R$1508,MATCH(D287,'Видео'!$A$7:$A$1508,0)),"ID не найден"))</x:f>
        <x:v>C023</x:v>
      </x:c>
      <x:c r="G287" s="9" t="str">
        <x:f>IF(D287="","",IF(COUNTIFS('Видео'!$A$7:$A$1508,D287)=1,INDEX('Видео'!$D$7:$D$1508,MATCH(D287,'Видео'!$A$7:$A$1508,0)),"ID не найден"))</x:f>
        <x:v>Быт</x:v>
      </x:c>
      <x:c r="H287" s="10" t="str">
        <x:f>IF(D287="","",IF(COUNTIFS('Видео'!$A$7:$A$1508,D287)=1,INDEX('Видео'!$F$7:$F$1508,MATCH(D287,'Видео'!$A$7:$A$1508,0)),"ID не найден"))</x:f>
        <x:v>B1–B2 (гипотеза)</x:v>
      </x:c>
      <x:c r="I287" s="18" t="n">
        <x:f>IF(D287="","",IF(COUNTIFS('Видео'!$A$7:$A$1508,D287)=1,INDEX('Видео'!$G$7:$G$1508,MATCH(D287,'Видео'!$A$7:$A$1508,0)),"ID не найден"))</x:f>
        <x:v>27.6</x:v>
      </x:c>
      <x:c r="J287" s="18" t="n">
        <x:v>10</x:v>
      </x:c>
      <x:c r="K287" s="10" t="str">
        <x:f>IF(D287="","",IF(COUNTIFS('Видео'!$A$7:$A$1508,D287)=1,INDEX('Видео'!$AI$7:$AI$1508,MATCH(D287,'Видео'!$A$7:$A$1508,0)),"ID не найден"))</x:f>
        <x:v>Нужна редактура</x:v>
      </x:c>
      <x:c r="L287" s="19" t="str">
        <x:v>B2cjP4L84Oo</x:v>
      </x:c>
      <x:c r="M287" s="10" t="str">
        <x:f>IF(L287="","",IF(COUNTIFS('Видео'!$A$7:$A$1508,L287)=1,INDEX('Видео'!$B$7:$B$1508,MATCH(L287,'Видео'!$A$7:$A$1508,0)),"ID не найден"))</x:f>
        <x:v>בואו לאכול איתי עונה 8 | צפון - חלק ג' (פרק 3)</x:v>
      </x:c>
      <x:c r="N287" s="10" t="str"/>
      <x:c r="O287" s="10" t="str">
        <x:f>IF(D287="","",IF(COUNTIFS('Видео'!$A$7:$A$1508,D287)=1,INDEX('Видео'!$M$7:$M$1508,MATCH(D287,'Видео'!$A$7:$A$1508,0)),"ID не найден"))</x:f>
        <x:v>Тема: בואו לאכול איתי עונה 8 | צפון - חלק ה' (פרק 5). Еда снижает порог входа для широкой аудитории. В одном выпуске встречаются приглашения, оценки, знакомство и бытовые споры.</x:v>
      </x:c>
      <x:c r="P287" s="11" t="str">
        <x:f>IF(D287="","",IF(COUNTIFS('Видео'!$A$7:$A$1508,D287)=1,INDEX('Видео'!$U$7:$U$1508,MATCH(D287,'Видео'!$A$7:$A$1508,0)),"ID не найден"))</x:f>
        <x:v>https://www.youtube.com/watch?v=qOxok9yKnMI</x:v>
      </x:c>
      <x:c r="Q287" s="17" t="str">
        <x:v>Предложено</x:v>
      </x:c>
      <x:c r="R287" s="17" t="str"/>
      <x:c r="S287" s="10" t="str"/>
      <x:c r="T287" s="10" t="str">
        <x:v>Резерв меняет выбор видео; снова проверить повод, аудиторию и все редакторские условия</x:v>
      </x:c>
      <x:c r="U287" s="9" t="str">
        <x:f>IF(D287="","Выбрать видео",IF(COUNTIFS($D$7:$D$371,D287)&gt;1,"Повтор","Без повтора"))</x:f>
        <x:v>Без повтора</x:v>
      </x:c>
    </x:row>
    <x:row r="288" ht="60" customHeight="1">
      <x:c r="A288" s="16" t="n">
        <x:v>46590</x:v>
      </x:c>
      <x:c r="B288" s="9" t="str">
        <x:v>Чт</x:v>
      </x:c>
      <x:c r="C288" s="10" t="str">
        <x:v>Сериал</x:v>
      </x:c>
      <x:c r="D288" s="19" t="str">
        <x:v>4m-N-FdvShE</x:v>
      </x:c>
      <x:c r="E288" s="10" t="str">
        <x:f>IF(D288="","",IF(COUNTIFS('Видео'!$A$7:$A$1508,D288)=1,INDEX('Видео'!$B$7:$B$1508,MATCH(D288,'Видео'!$A$7:$A$1508,0)),"ID не найден"))</x:f>
        <x:v>כראמל 🐱 | החברה החדשה של כראמל - פרק 9</x:v>
      </x:c>
      <x:c r="F288" s="9" t="str">
        <x:f>IF(D288="","",IF(COUNTIFS('Видео'!$A$7:$A$1508,D288)=1,INDEX('Видео'!$R$7:$R$1508,MATCH(D288,'Видео'!$A$7:$A$1508,0)),"ID не найден"))</x:f>
        <x:v>C053</x:v>
      </x:c>
      <x:c r="G288" s="9" t="str">
        <x:f>IF(D288="","",IF(COUNTIFS('Видео'!$A$7:$A$1508,D288)=1,INDEX('Видео'!$D$7:$D$1508,MATCH(D288,'Видео'!$A$7:$A$1508,0)),"ID не найден"))</x:f>
        <x:v>Сериал</x:v>
      </x:c>
      <x:c r="H288" s="10" t="str">
        <x:f>IF(D288="","",IF(COUNTIFS('Видео'!$A$7:$A$1508,D288)=1,INDEX('Видео'!$F$7:$F$1508,MATCH(D288,'Видео'!$A$7:$A$1508,0)),"ID не найден"))</x:f>
        <x:v>A2–B1 (гипотеза)</x:v>
      </x:c>
      <x:c r="I288" s="18" t="n">
        <x:f>IF(D288="","",IF(COUNTIFS('Видео'!$A$7:$A$1508,D288)=1,INDEX('Видео'!$G$7:$G$1508,MATCH(D288,'Видео'!$A$7:$A$1508,0)),"ID не найден"))</x:f>
        <x:v>25.9</x:v>
      </x:c>
      <x:c r="J288" s="18" t="n">
        <x:v>10</x:v>
      </x:c>
      <x:c r="K288" s="10" t="str">
        <x:f>IF(D288="","",IF(COUNTIFS('Видео'!$A$7:$A$1508,D288)=1,INDEX('Видео'!$AI$7:$AI$1508,MATCH(D288,'Видео'!$A$7:$A$1508,0)),"ID не найден"))</x:f>
        <x:v>Нужна редактура</x:v>
      </x:c>
      <x:c r="L288" s="19" t="str">
        <x:v>2TUPI8oEVAo</x:v>
      </x:c>
      <x:c r="M288" s="10" t="str">
        <x:f>IF(L288="","",IF(COUNTIFS('Видео'!$A$7:$A$1508,L288)=1,INDEX('Видео'!$B$7:$B$1508,MATCH(L288,'Видео'!$A$7:$A$1508,0)),"ID не найден"))</x:f>
        <x:v>"גברים אוהבים להראות את הצלקות, נשים רוצות להסתיר" | דוקותיים: מקעקעת רפואית</x:v>
      </x:c>
      <x:c r="N288" s="10" t="str"/>
      <x:c r="O288" s="10" t="str">
        <x:f>IF(D288="","",IF(COUNTIFS('Видео'!$A$7:$A$1508,D288)=1,INDEX('Видео'!$M$7:$M$1508,MATCH(D288,'Видео'!$A$7:$A$1508,0)),"ID не найден"))</x:f>
        <x:v>Эпизод 9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288" s="11" t="str">
        <x:f>IF(D288="","",IF(COUNTIFS('Видео'!$A$7:$A$1508,D288)=1,INDEX('Видео'!$U$7:$U$1508,MATCH(D288,'Видео'!$A$7:$A$1508,0)),"ID не найден"))</x:f>
        <x:v>https://www.youtube.com/watch?v=4m-N-FdvShE</x:v>
      </x:c>
      <x:c r="Q288" s="17" t="str">
        <x:v>Предложено</x:v>
      </x:c>
      <x:c r="R288" s="17" t="str"/>
      <x:c r="S288" s="10" t="str"/>
      <x:c r="T288" s="10" t="str">
        <x:v>При недоступной серии приостановить сюжетную ветку; резерв — самостоятельное видео</x:v>
      </x:c>
      <x:c r="U288" s="9" t="str">
        <x:f>IF(D288="","Выбрать видео",IF(COUNTIFS($D$7:$D$371,D288)&gt;1,"Повтор","Без повтора"))</x:f>
        <x:v>Без повтора</x:v>
      </x:c>
    </x:row>
    <x:row r="289" ht="60" customHeight="1">
      <x:c r="A289" s="16" t="n">
        <x:v>46591</x:v>
      </x:c>
      <x:c r="B289" s="9" t="str">
        <x:v>Пт</x:v>
      </x:c>
      <x:c r="C289" s="10" t="str">
        <x:v>История</x:v>
      </x:c>
      <x:c r="D289" s="19" t="str">
        <x:v>mFs9mUgvrIA</x:v>
      </x:c>
      <x:c r="E289" s="10" t="str">
        <x:f>IF(D289="","",IF(COUNTIFS('Видео'!$A$7:$A$1508,D289)=1,INDEX('Видео'!$B$7:$B$1508,MATCH(D289,'Видео'!$A$7:$A$1508,0)),"ID не найден"))</x:f>
        <x:v>חמש קריאות בהגות ציונית | שיעור 2 - אליעזר בן־יהודה | פרופ' ישראל ברטל</x:v>
      </x:c>
      <x:c r="F289" s="9" t="str">
        <x:f>IF(D289="","",IF(COUNTIFS('Видео'!$A$7:$A$1508,D289)=1,INDEX('Видео'!$R$7:$R$1508,MATCH(D289,'Видео'!$A$7:$A$1508,0)),"ID не найден"))</x:f>
        <x:v>C069</x:v>
      </x:c>
      <x:c r="G289" s="9" t="str">
        <x:f>IF(D289="","",IF(COUNTIFS('Видео'!$A$7:$A$1508,D289)=1,INDEX('Видео'!$D$7:$D$1508,MATCH(D289,'Видео'!$A$7:$A$1508,0)),"ID не найден"))</x:f>
        <x:v>История</x:v>
      </x:c>
      <x:c r="H289" s="10" t="str">
        <x:f>IF(D289="","",IF(COUNTIFS('Видео'!$A$7:$A$1508,D289)=1,INDEX('Видео'!$F$7:$F$1508,MATCH(D289,'Видео'!$A$7:$A$1508,0)),"ID не найден"))</x:f>
        <x:v>B2–C1 (гипотеза)</x:v>
      </x:c>
      <x:c r="I289" s="18" t="n">
        <x:f>IF(D289="","",IF(COUNTIFS('Видео'!$A$7:$A$1508,D289)=1,INDEX('Видео'!$G$7:$G$1508,MATCH(D289,'Видео'!$A$7:$A$1508,0)),"ID не найден"))</x:f>
        <x:v>43.4</x:v>
      </x:c>
      <x:c r="J289" s="18" t="n">
        <x:v>10</x:v>
      </x:c>
      <x:c r="K289" s="10" t="str">
        <x:f>IF(D289="","",IF(COUNTIFS('Видео'!$A$7:$A$1508,D289)=1,INDEX('Видео'!$AI$7:$AI$1508,MATCH(D289,'Видео'!$A$7:$A$1508,0)),"ID не найден"))</x:f>
        <x:v>Нужна редактура</x:v>
      </x:c>
      <x:c r="L289" s="19" t="str">
        <x:v>onW3_LNmfxc</x:v>
      </x:c>
      <x:c r="M289" s="10" t="str">
        <x:f>IF(L289="","",IF(COUNTIFS('Видео'!$A$7:$A$1508,L289)=1,INDEX('Видео'!$B$7:$B$1508,MATCH(L289,'Видео'!$A$7:$A$1508,0)),"ID не найден"))</x:f>
        <x:v>תלמודו של עגנון | שיעור 4 - מדירה לדירה | פרופ' חיים וייס</x:v>
      </x:c>
      <x:c r="N289" s="10" t="str"/>
      <x:c r="O289" s="10" t="str">
        <x:f>IF(D289="","",IF(COUNTIFS('Видео'!$A$7:$A$1508,D289)=1,INDEX('Видео'!$M$7:$M$1508,MATCH(D289,'Видео'!$A$7:$A$1508,0)),"ID не найден"))</x:f>
        <x:v>Тема: חמש קריאות בהגות ציונית | שיעור 2 - אליעזר בן־יהודה | פרופ' ישראל ברטל. Серия предлагает академический вход в разные тексты и идеи сионизма.</x:v>
      </x:c>
      <x:c r="P289" s="11" t="str">
        <x:f>IF(D289="","",IF(COUNTIFS('Видео'!$A$7:$A$1508,D289)=1,INDEX('Видео'!$U$7:$U$1508,MATCH(D289,'Видео'!$A$7:$A$1508,0)),"ID не найден"))</x:f>
        <x:v>https://www.youtube.com/watch?v=mFs9mUgvrIA</x:v>
      </x:c>
      <x:c r="Q289" s="17" t="str">
        <x:v>Предложено</x:v>
      </x:c>
      <x:c r="R289" s="17" t="str"/>
      <x:c r="S289" s="10" t="str"/>
      <x:c r="T289" s="10" t="str">
        <x:v>Резерв меняет выбор видео; снова проверить повод, аудиторию и все редакторские условия</x:v>
      </x:c>
      <x:c r="U289" s="9" t="str">
        <x:f>IF(D289="","Выбрать видео",IF(COUNTIFS($D$7:$D$371,D289)&gt;1,"Повтор","Без повтора"))</x:f>
        <x:v>Без повтора</x:v>
      </x:c>
    </x:row>
    <x:row r="290" ht="60" customHeight="1">
      <x:c r="A290" s="16" t="n">
        <x:v>46592</x:v>
      </x:c>
      <x:c r="B290" s="9" t="str">
        <x:v>Сб</x:v>
      </x:c>
      <x:c r="C290" s="10" t="str">
        <x:v>Общество</x:v>
      </x:c>
      <x:c r="D290" s="19" t="str">
        <x:v>CQ4dktzDF4M</x:v>
      </x:c>
      <x:c r="E290" s="10" t="str">
        <x:f>IF(D290="","",IF(COUNTIFS('Видео'!$A$7:$A$1508,D290)=1,INDEX('Видео'!$B$7:$B$1508,MATCH(D290,'Видео'!$A$7:$A$1508,0)),"ID не найден"))</x:f>
        <x:v>כאן מקשיבים: הייתי משרתת</x:v>
      </x:c>
      <x:c r="F290" s="9" t="str">
        <x:f>IF(D290="","",IF(COUNTIFS('Видео'!$A$7:$A$1508,D290)=1,INDEX('Видео'!$R$7:$R$1508,MATCH(D290,'Видео'!$A$7:$A$1508,0)),"ID не найден"))</x:f>
        <x:v>C046</x:v>
      </x:c>
      <x:c r="G290" s="9" t="str">
        <x:f>IF(D290="","",IF(COUNTIFS('Видео'!$A$7:$A$1508,D290)=1,INDEX('Видео'!$D$7:$D$1508,MATCH(D290,'Видео'!$A$7:$A$1508,0)),"ID не найден"))</x:f>
        <x:v>Общество</x:v>
      </x:c>
      <x:c r="H290" s="10" t="str">
        <x:f>IF(D290="","",IF(COUNTIFS('Видео'!$A$7:$A$1508,D290)=1,INDEX('Видео'!$F$7:$F$1508,MATCH(D290,'Видео'!$A$7:$A$1508,0)),"ID не найден"))</x:f>
        <x:v>B1–B2 (гипотеза)</x:v>
      </x:c>
      <x:c r="I290" s="18" t="n">
        <x:f>IF(D290="","",IF(COUNTIFS('Видео'!$A$7:$A$1508,D290)=1,INDEX('Видео'!$G$7:$G$1508,MATCH(D290,'Видео'!$A$7:$A$1508,0)),"ID не найден"))</x:f>
        <x:v>16.5</x:v>
      </x:c>
      <x:c r="J290" s="18" t="n">
        <x:v>10</x:v>
      </x:c>
      <x:c r="K290" s="10" t="str">
        <x:f>IF(D290="","",IF(COUNTIFS('Видео'!$A$7:$A$1508,D290)=1,INDEX('Видео'!$AI$7:$AI$1508,MATCH(D290,'Видео'!$A$7:$A$1508,0)),"ID не найден"))</x:f>
        <x:v>Нужна редактура</x:v>
      </x:c>
      <x:c r="L290" s="19" t="str">
        <x:v>6_ucnMFfGEc</x:v>
      </x:c>
      <x:c r="M290" s="10" t="str">
        <x:f>IF(L290="","",IF(COUNTIFS('Видео'!$A$7:$A$1508,L290)=1,INDEX('Видео'!$B$7:$B$1508,MATCH(L290,'Видео'!$A$7:$A$1508,0)),"ID не найден"))</x:f>
        <x:v>משפחה בהסעה 🚙 | פרק 5 - ביקורת גבולות</x:v>
      </x:c>
      <x:c r="N290" s="10" t="str"/>
      <x:c r="O290" s="10" t="str">
        <x:f>IF(D290="","",IF(COUNTIFS('Видео'!$A$7:$A$1508,D290)=1,INDEX('Видео'!$M$7:$M$1508,MATCH(D290,'Видео'!$A$7:$A$1508,0)),"ID не найден"))</x:f>
        <x:v>Тема: כאן מקשיבים: הייתי משרתת. Просмотры в списке выше медианы выборки этого цикла в 8.83 раза. Личный монолог позволяет сосредоточиться на одном голосе и эмоциональной лексике.</x:v>
      </x:c>
      <x:c r="P290" s="11" t="str">
        <x:f>IF(D290="","",IF(COUNTIFS('Видео'!$A$7:$A$1508,D290)=1,INDEX('Видео'!$U$7:$U$1508,MATCH(D290,'Видео'!$A$7:$A$1508,0)),"ID не найден"))</x:f>
        <x:v>https://www.youtube.com/watch?v=CQ4dktzDF4M</x:v>
      </x:c>
      <x:c r="Q290" s="17" t="str">
        <x:v>Предложено</x:v>
      </x:c>
      <x:c r="R290" s="17" t="str"/>
      <x:c r="S290" s="10" t="str"/>
      <x:c r="T290" s="10" t="str">
        <x:v>Резерв меняет выбор видео; снова проверить повод, аудиторию и все редакторские условия</x:v>
      </x:c>
      <x:c r="U290" s="9" t="str">
        <x:f>IF(D290="","Выбрать видео",IF(COUNTIFS($D$7:$D$371,D290)&gt;1,"Повтор","Без повтора"))</x:f>
        <x:v>Без повтора</x:v>
      </x:c>
    </x:row>
    <x:row r="291" ht="60" customHeight="1">
      <x:c r="A291" s="16" t="n">
        <x:v>46593</x:v>
      </x:c>
      <x:c r="B291" s="9" t="str">
        <x:v>Вс</x:v>
      </x:c>
      <x:c r="C291" s="10" t="str">
        <x:v>Сериал</x:v>
      </x:c>
      <x:c r="D291" s="19" t="str">
        <x:v>kUgwDdxQ2i0</x:v>
      </x:c>
      <x:c r="E291" s="10" t="str">
        <x:f>IF(D291="","",IF(COUNTIFS('Видео'!$A$7:$A$1508,D291)=1,INDEX('Видео'!$B$7:$B$1508,MATCH(D291,'Видео'!$A$7:$A$1508,0)),"ID не найден"))</x:f>
        <x:v>קופה ראשית עונה 4🛒 | פרק 20 - ראמזי חזור הביתה - פרק אחרון לעונה</x:v>
      </x:c>
      <x:c r="F291" s="9" t="str">
        <x:f>IF(D291="","",IF(COUNTIFS('Видео'!$A$7:$A$1508,D291)=1,INDEX('Видео'!$R$7:$R$1508,MATCH(D291,'Видео'!$A$7:$A$1508,0)),"ID не найден"))</x:f>
        <x:v>C002</x:v>
      </x:c>
      <x:c r="G291" s="9" t="str">
        <x:f>IF(D291="","",IF(COUNTIFS('Видео'!$A$7:$A$1508,D291)=1,INDEX('Видео'!$D$7:$D$1508,MATCH(D291,'Видео'!$A$7:$A$1508,0)),"ID не найден"))</x:f>
        <x:v>Сериал</x:v>
      </x:c>
      <x:c r="H291" s="10" t="str">
        <x:f>IF(D291="","",IF(COUNTIFS('Видео'!$A$7:$A$1508,D291)=1,INDEX('Видео'!$F$7:$F$1508,MATCH(D291,'Видео'!$A$7:$A$1508,0)),"ID не найден"))</x:f>
        <x:v>B1–B2 (гипотеза)</x:v>
      </x:c>
      <x:c r="I291" s="18" t="n">
        <x:f>IF(D291="","",IF(COUNTIFS('Видео'!$A$7:$A$1508,D291)=1,INDEX('Видео'!$G$7:$G$1508,MATCH(D291,'Видео'!$A$7:$A$1508,0)),"ID не найден"))</x:f>
        <x:v>27.7</x:v>
      </x:c>
      <x:c r="J291" s="18" t="n">
        <x:v>10</x:v>
      </x:c>
      <x:c r="K291" s="10" t="str">
        <x:f>IF(D291="","",IF(COUNTIFS('Видео'!$A$7:$A$1508,D291)=1,INDEX('Видео'!$AI$7:$AI$1508,MATCH(D291,'Видео'!$A$7:$A$1508,0)),"ID не найден"))</x:f>
        <x:v>Нужна редактура</x:v>
      </x:c>
      <x:c r="L291" s="19" t="str">
        <x:v>bVvspzl-sbA</x:v>
      </x:c>
      <x:c r="M291" s="10" t="str">
        <x:f>IF(L291="","",IF(COUNTIFS('Видео'!$A$7:$A$1508,L291)=1,INDEX('Видео'!$B$7:$B$1508,MATCH(L291,'Видео'!$A$7:$A$1508,0)),"ID не найден"))</x:f>
        <x:v>איך הכי כדאי לנקות? | כאן מסבירים</x:v>
      </x:c>
      <x:c r="N291" s="10" t="str"/>
      <x:c r="O291" s="10" t="str">
        <x:f>IF(D291="","",IF(COUNTIFS('Видео'!$A$7:$A$1508,D291)=1,INDEX('Видео'!$M$7:$M$1508,MATCH(D291,'Видео'!$A$7:$A$1508,0)),"ID не найден"))</x:f>
        <x:v>Эпизод 20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91" s="11" t="str">
        <x:f>IF(D291="","",IF(COUNTIFS('Видео'!$A$7:$A$1508,D291)=1,INDEX('Видео'!$U$7:$U$1508,MATCH(D291,'Видео'!$A$7:$A$1508,0)),"ID не найден"))</x:f>
        <x:v>https://www.youtube.com/watch?v=kUgwDdxQ2i0</x:v>
      </x:c>
      <x:c r="Q291" s="17" t="str">
        <x:v>Предложено</x:v>
      </x:c>
      <x:c r="R291" s="17" t="str"/>
      <x:c r="S291" s="10" t="str"/>
      <x:c r="T291" s="10" t="str">
        <x:v>При недоступной серии приостановить сюжетную ветку; резерв — самостоятельное видео</x:v>
      </x:c>
      <x:c r="U291" s="9" t="str">
        <x:f>IF(D291="","Выбрать видео",IF(COUNTIFS($D$7:$D$371,D291)&gt;1,"Повтор","Без повтора"))</x:f>
        <x:v>Без повтора</x:v>
      </x:c>
    </x:row>
    <x:row r="292" ht="60" customHeight="1">
      <x:c r="A292" s="16" t="n">
        <x:v>46594</x:v>
      </x:c>
      <x:c r="B292" s="9" t="str">
        <x:v>Пн</x:v>
      </x:c>
      <x:c r="C292" s="10" t="str">
        <x:v>Интервью</x:v>
      </x:c>
      <x:c r="D292" s="19" t="str">
        <x:v>k30246NW6yo</x:v>
      </x:c>
      <x:c r="E292" s="10" t="str">
        <x:f>IF(D292="","",IF(COUNTIFS('Видео'!$A$7:$A$1508,D292)=1,INDEX('Видео'!$B$7:$B$1508,MATCH(D292,'Видео'!$A$7:$A$1508,0)),"ID не найден"))</x:f>
        <x:v>איך זה שכוכב | ראיון אחרון ומיוחד של רוני קובן עם מתי כספי</x:v>
      </x:c>
      <x:c r="F292" s="9" t="str">
        <x:f>IF(D292="","",IF(COUNTIFS('Видео'!$A$7:$A$1508,D292)=1,INDEX('Видео'!$R$7:$R$1508,MATCH(D292,'Видео'!$A$7:$A$1508,0)),"ID не найден"))</x:f>
        <x:v>C013</x:v>
      </x:c>
      <x:c r="G292" s="9" t="str">
        <x:f>IF(D292="","",IF(COUNTIFS('Видео'!$A$7:$A$1508,D292)=1,INDEX('Видео'!$D$7:$D$1508,MATCH(D292,'Видео'!$A$7:$A$1508,0)),"ID не найден"))</x:f>
        <x:v>Интервью</x:v>
      </x:c>
      <x:c r="H292" s="10" t="str">
        <x:f>IF(D292="","",IF(COUNTIFS('Видео'!$A$7:$A$1508,D292)=1,INDEX('Видео'!$F$7:$F$1508,MATCH(D292,'Видео'!$A$7:$A$1508,0)),"ID не найден"))</x:f>
        <x:v>B2–C1 (гипотеза)</x:v>
      </x:c>
      <x:c r="I292" s="18" t="n">
        <x:f>IF(D292="","",IF(COUNTIFS('Видео'!$A$7:$A$1508,D292)=1,INDEX('Видео'!$G$7:$G$1508,MATCH(D292,'Видео'!$A$7:$A$1508,0)),"ID не найден"))</x:f>
        <x:v>53.6</x:v>
      </x:c>
      <x:c r="J292" s="18" t="n">
        <x:v>10</x:v>
      </x:c>
      <x:c r="K292" s="10" t="str">
        <x:f>IF(D292="","",IF(COUNTIFS('Видео'!$A$7:$A$1508,D292)=1,INDEX('Видео'!$AI$7:$AI$1508,MATCH(D292,'Видео'!$A$7:$A$1508,0)),"ID не найден"))</x:f>
        <x:v>Нужна редактура</x:v>
      </x:c>
      <x:c r="L292" s="19" t="str">
        <x:v>12JUoYl10-c</x:v>
      </x:c>
      <x:c r="M292" s="10" t="str">
        <x:f>IF(L292="","",IF(COUNTIFS('Видео'!$A$7:$A$1508,L292)=1,INDEX('Видео'!$B$7:$B$1508,MATCH(L292,'Видео'!$A$7:$A$1508,0)),"ID не найден"))</x:f>
        <x:v>פגישה עם רוני קובן עונה 10 | יובל רפאל</x:v>
      </x:c>
      <x:c r="N292" s="10" t="str"/>
      <x:c r="O292" s="10" t="str">
        <x:f>IF(D292="","",IF(COUNTIFS('Видео'!$A$7:$A$1508,D292)=1,INDEX('Видео'!$M$7:$M$1508,MATCH(D292,'Видео'!$A$7:$A$1508,0)),"ID не найден"))</x:f>
        <x:v>Тема / гость: ראיון אחרון ומיוחד של רוני קובן עם מתי כספי. Просмотры в списке выше медианы выборки этого цикла в 1.62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292" s="11" t="str">
        <x:f>IF(D292="","",IF(COUNTIFS('Видео'!$A$7:$A$1508,D292)=1,INDEX('Видео'!$U$7:$U$1508,MATCH(D292,'Видео'!$A$7:$A$1508,0)),"ID не найден"))</x:f>
        <x:v>https://www.youtube.com/watch?v=k30246NW6yo</x:v>
      </x:c>
      <x:c r="Q292" s="17" t="str">
        <x:v>Предложено</x:v>
      </x:c>
      <x:c r="R292" s="17" t="str"/>
      <x:c r="S292" s="10" t="str"/>
      <x:c r="T292" s="10" t="str">
        <x:v>Резерв меняет выбор видео; снова проверить повод, аудиторию и все редакторские условия</x:v>
      </x:c>
      <x:c r="U292" s="9" t="str">
        <x:f>IF(D292="","Выбрать видео",IF(COUNTIFS($D$7:$D$371,D292)&gt;1,"Повтор","Без повтора"))</x:f>
        <x:v>Без повтора</x:v>
      </x:c>
    </x:row>
    <x:row r="293" ht="60" customHeight="1">
      <x:c r="A293" s="16" t="n">
        <x:v>46595</x:v>
      </x:c>
      <x:c r="B293" s="9" t="str">
        <x:v>Вт</x:v>
      </x:c>
      <x:c r="C293" s="10" t="str">
        <x:v>Образование</x:v>
      </x:c>
      <x:c r="D293" s="19" t="str">
        <x:v>lMrc09731L0</x:v>
      </x:c>
      <x:c r="E293" s="10" t="str">
        <x:f>IF(D293="","",IF(COUNTIFS('Видео'!$A$7:$A$1508,D293)=1,INDEX('Видео'!$B$7:$B$1508,MATCH(D293,'Видео'!$A$7:$A$1508,0)),"ID не найден"))</x:f>
        <x:v>איך ח'מנאי הפך להיות האיש הכי חזק באיראן?</x:v>
      </x:c>
      <x:c r="F293" s="9" t="str">
        <x:f>IF(D293="","",IF(COUNTIFS('Видео'!$A$7:$A$1508,D293)=1,INDEX('Видео'!$R$7:$R$1508,MATCH(D293,'Видео'!$A$7:$A$1508,0)),"ID не найден"))</x:f>
        <x:v>C045</x:v>
      </x:c>
      <x:c r="G293" s="9" t="str">
        <x:f>IF(D293="","",IF(COUNTIFS('Видео'!$A$7:$A$1508,D293)=1,INDEX('Видео'!$D$7:$D$1508,MATCH(D293,'Видео'!$A$7:$A$1508,0)),"ID не найден"))</x:f>
        <x:v>Образование</x:v>
      </x:c>
      <x:c r="H293" s="10" t="str">
        <x:f>IF(D293="","",IF(COUNTIFS('Видео'!$A$7:$A$1508,D293)=1,INDEX('Видео'!$F$7:$F$1508,MATCH(D293,'Видео'!$A$7:$A$1508,0)),"ID не найден"))</x:f>
        <x:v>B1–B2 (гипотеза)</x:v>
      </x:c>
      <x:c r="I293" s="18" t="n">
        <x:f>IF(D293="","",IF(COUNTIFS('Видео'!$A$7:$A$1508,D293)=1,INDEX('Видео'!$G$7:$G$1508,MATCH(D293,'Видео'!$A$7:$A$1508,0)),"ID не найден"))</x:f>
        <x:v>1.5</x:v>
      </x:c>
      <x:c r="J293" s="18" t="n">
        <x:v>5</x:v>
      </x:c>
      <x:c r="K293" s="10" t="str">
        <x:f>IF(D293="","",IF(COUNTIFS('Видео'!$A$7:$A$1508,D293)=1,INDEX('Видео'!$AI$7:$AI$1508,MATCH(D293,'Видео'!$A$7:$A$1508,0)),"ID не найден"))</x:f>
        <x:v>Нужна редактура</x:v>
      </x:c>
      <x:c r="L293" s="19" t="str">
        <x:v>3rG0l0yiOJc</x:v>
      </x:c>
      <x:c r="M293" s="10" t="str">
        <x:f>IF(L293="","",IF(COUNTIFS('Видео'!$A$7:$A$1508,L293)=1,INDEX('Видео'!$B$7:$B$1508,MATCH(L293,'Видео'!$A$7:$A$1508,0)),"ID не найден"))</x:f>
        <x:v>גלילאו עונה 9 | למה צריך ג'וקים בעולם?</x:v>
      </x:c>
      <x:c r="N293" s="10" t="str"/>
      <x:c r="O293" s="10" t="str">
        <x:f>IF(D293="","",IF(COUNTIFS('Видео'!$A$7:$A$1508,D293)=1,INDEX('Видео'!$M$7:$M$1508,MATCH(D293,'Видео'!$A$7:$A$1508,0)),"ID не найден"))</x:f>
        <x:v>Завершённый короткий просмотр около 1 мин. Просмотры в списке выше медианы выборки этого цикла в 2.66 раза. Объясняющий формат снижает порог входа в незнакомые институты и общественные темы.</x:v>
      </x:c>
      <x:c r="P293" s="11" t="str">
        <x:f>IF(D293="","",IF(COUNTIFS('Видео'!$A$7:$A$1508,D293)=1,INDEX('Видео'!$U$7:$U$1508,MATCH(D293,'Видео'!$A$7:$A$1508,0)),"ID не найден"))</x:f>
        <x:v>https://www.youtube.com/watch?v=lMrc09731L0</x:v>
      </x:c>
      <x:c r="Q293" s="17" t="str">
        <x:v>Предложено</x:v>
      </x:c>
      <x:c r="R293" s="17" t="str"/>
      <x:c r="S293" s="10" t="str"/>
      <x:c r="T293" s="10" t="str">
        <x:v>Резерв меняет выбор видео; снова проверить повод, аудиторию и все редакторские условия</x:v>
      </x:c>
      <x:c r="U293" s="9" t="str">
        <x:f>IF(D293="","Выбрать видео",IF(COUNTIFS($D$7:$D$371,D293)&gt;1,"Повтор","Без повтора"))</x:f>
        <x:v>Без повтора</x:v>
      </x:c>
    </x:row>
    <x:row r="294" ht="60" customHeight="1">
      <x:c r="A294" s="16" t="n">
        <x:v>46596</x:v>
      </x:c>
      <x:c r="B294" s="9" t="str">
        <x:v>Ср</x:v>
      </x:c>
      <x:c r="C294" s="10" t="str">
        <x:v>Быт</x:v>
      </x:c>
      <x:c r="D294" s="19" t="str">
        <x:v>eie0DI--a3M</x:v>
      </x:c>
      <x:c r="E294" s="10" t="str">
        <x:f>IF(D294="","",IF(COUNTIFS('Видео'!$A$7:$A$1508,D294)=1,INDEX('Видео'!$B$7:$B$1508,MATCH(D294,'Видео'!$A$7:$A$1508,0)),"ID не найден"))</x:f>
        <x:v>שום פלפל ושמן זית עונה 3 | אמיר שורוש</x:v>
      </x:c>
      <x:c r="F294" s="9" t="str">
        <x:f>IF(D294="","",IF(COUNTIFS('Видео'!$A$7:$A$1508,D294)=1,INDEX('Видео'!$R$7:$R$1508,MATCH(D294,'Видео'!$A$7:$A$1508,0)),"ID не найден"))</x:f>
        <x:v>C024</x:v>
      </x:c>
      <x:c r="G294" s="9" t="str">
        <x:f>IF(D294="","",IF(COUNTIFS('Видео'!$A$7:$A$1508,D294)=1,INDEX('Видео'!$D$7:$D$1508,MATCH(D294,'Видео'!$A$7:$A$1508,0)),"ID не найден"))</x:f>
        <x:v>Быт</x:v>
      </x:c>
      <x:c r="H294" s="10" t="str">
        <x:f>IF(D294="","",IF(COUNTIFS('Видео'!$A$7:$A$1508,D294)=1,INDEX('Видео'!$F$7:$F$1508,MATCH(D294,'Видео'!$A$7:$A$1508,0)),"ID не найден"))</x:f>
        <x:v>B1–B2 (гипотеза)</x:v>
      </x:c>
      <x:c r="I294" s="18" t="n">
        <x:f>IF(D294="","",IF(COUNTIFS('Видео'!$A$7:$A$1508,D294)=1,INDEX('Видео'!$G$7:$G$1508,MATCH(D294,'Видео'!$A$7:$A$1508,0)),"ID не найден"))</x:f>
        <x:v>39.7</x:v>
      </x:c>
      <x:c r="J294" s="18" t="n">
        <x:v>10</x:v>
      </x:c>
      <x:c r="K294" s="10" t="str">
        <x:f>IF(D294="","",IF(COUNTIFS('Видео'!$A$7:$A$1508,D294)=1,INDEX('Видео'!$AI$7:$AI$1508,MATCH(D294,'Видео'!$A$7:$A$1508,0)),"ID не найден"))</x:f>
        <x:v>Нужна редактура</x:v>
      </x:c>
      <x:c r="L294" s="19" t="str">
        <x:v>zfTdpSdF9RY</x:v>
      </x:c>
      <x:c r="M294" s="10" t="str">
        <x:f>IF(L294="","",IF(COUNTIFS('Видео'!$A$7:$A$1508,L294)=1,INDEX('Видео'!$B$7:$B$1508,MATCH(L294,'Видео'!$A$7:$A$1508,0)),"ID не найден"))</x:f>
        <x:v>בואו לאכול איתי עונה 9 | השרון והכרמל - חלק א' (פרק 16)</x:v>
      </x:c>
      <x:c r="N294" s="10" t="str"/>
      <x:c r="O294" s="10" t="str">
        <x:f>IF(D294="","",IF(COUNTIFS('Видео'!$A$7:$A$1508,D294)=1,INDEX('Видео'!$M$7:$M$1508,MATCH(D294,'Видео'!$A$7:$A$1508,0)),"ID не найден"))</x:f>
        <x:v>Тема: שום פלפל ושמן זית עונה 3 | אמיר שורוש. Просмотры в списке выше медианы выборки этого цикла в 1.62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P294" s="11" t="str">
        <x:f>IF(D294="","",IF(COUNTIFS('Видео'!$A$7:$A$1508,D294)=1,INDEX('Видео'!$U$7:$U$1508,MATCH(D294,'Видео'!$A$7:$A$1508,0)),"ID не найден"))</x:f>
        <x:v>https://www.youtube.com/watch?v=eie0DI--a3M</x:v>
      </x:c>
      <x:c r="Q294" s="17" t="str">
        <x:v>Предложено</x:v>
      </x:c>
      <x:c r="R294" s="17" t="str"/>
      <x:c r="S294" s="10" t="str"/>
      <x:c r="T294" s="10" t="str">
        <x:v>Резерв меняет выбор видео; снова проверить повод, аудиторию и все редакторские условия</x:v>
      </x:c>
      <x:c r="U294" s="9" t="str">
        <x:f>IF(D294="","Выбрать видео",IF(COUNTIFS($D$7:$D$371,D294)&gt;1,"Повтор","Без повтора"))</x:f>
        <x:v>Без повтора</x:v>
      </x:c>
    </x:row>
    <x:row r="295" ht="60" customHeight="1">
      <x:c r="A295" s="16" t="n">
        <x:v>46597</x:v>
      </x:c>
      <x:c r="B295" s="9" t="str">
        <x:v>Чт</x:v>
      </x:c>
      <x:c r="C295" s="10" t="str">
        <x:v>Сериал</x:v>
      </x:c>
      <x:c r="D295" s="19" t="str">
        <x:v>4dcFbaev2Zw</x:v>
      </x:c>
      <x:c r="E295" s="10" t="str">
        <x:f>IF(D295="","",IF(COUNTIFS('Видео'!$A$7:$A$1508,D295)=1,INDEX('Видео'!$B$7:$B$1508,MATCH(D295,'Видео'!$A$7:$A$1508,0)),"ID не найден"))</x:f>
        <x:v>כראמל 🐱 | הצמיד - פרק 10</x:v>
      </x:c>
      <x:c r="F295" s="9" t="str">
        <x:f>IF(D295="","",IF(COUNTIFS('Видео'!$A$7:$A$1508,D295)=1,INDEX('Видео'!$R$7:$R$1508,MATCH(D295,'Видео'!$A$7:$A$1508,0)),"ID не найден"))</x:f>
        <x:v>C053</x:v>
      </x:c>
      <x:c r="G295" s="9" t="str">
        <x:f>IF(D295="","",IF(COUNTIFS('Видео'!$A$7:$A$1508,D295)=1,INDEX('Видео'!$D$7:$D$1508,MATCH(D295,'Видео'!$A$7:$A$1508,0)),"ID не найден"))</x:f>
        <x:v>Сериал</x:v>
      </x:c>
      <x:c r="H295" s="10" t="str">
        <x:f>IF(D295="","",IF(COUNTIFS('Видео'!$A$7:$A$1508,D295)=1,INDEX('Видео'!$F$7:$F$1508,MATCH(D295,'Видео'!$A$7:$A$1508,0)),"ID не найден"))</x:f>
        <x:v>A2–B1 (гипотеза)</x:v>
      </x:c>
      <x:c r="I295" s="18" t="n">
        <x:f>IF(D295="","",IF(COUNTIFS('Видео'!$A$7:$A$1508,D295)=1,INDEX('Видео'!$G$7:$G$1508,MATCH(D295,'Видео'!$A$7:$A$1508,0)),"ID не найден"))</x:f>
        <x:v>25.7</x:v>
      </x:c>
      <x:c r="J295" s="18" t="n">
        <x:v>10</x:v>
      </x:c>
      <x:c r="K295" s="10" t="str">
        <x:f>IF(D295="","",IF(COUNTIFS('Видео'!$A$7:$A$1508,D295)=1,INDEX('Видео'!$AI$7:$AI$1508,MATCH(D295,'Видео'!$A$7:$A$1508,0)),"ID не найден"))</x:f>
        <x:v>Нужна редактура</x:v>
      </x:c>
      <x:c r="L295" s="19" t="str">
        <x:v>Dl5T-mU7yxI</x:v>
      </x:c>
      <x:c r="M295" s="10" t="str">
        <x:f>IF(L295="","",IF(COUNTIFS('Видео'!$A$7:$A$1508,L295)=1,INDEX('Видео'!$B$7:$B$1508,MATCH(L295,'Видео'!$A$7:$A$1508,0)),"ID не найден"))</x:f>
        <x:v>יש כזה דבר שפעת מזגנים? 🤧 | כאן מסבירים</x:v>
      </x:c>
      <x:c r="N295" s="10" t="str"/>
      <x:c r="O295" s="10" t="str">
        <x:f>IF(D295="","",IF(COUNTIFS('Видео'!$A$7:$A$1508,D295)=1,INDEX('Видео'!$M$7:$M$1508,MATCH(D295,'Видео'!$A$7:$A$1508,0)),"ID не найден"))</x:f>
        <x:v>Эпизод 10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295" s="11" t="str">
        <x:f>IF(D295="","",IF(COUNTIFS('Видео'!$A$7:$A$1508,D295)=1,INDEX('Видео'!$U$7:$U$1508,MATCH(D295,'Видео'!$A$7:$A$1508,0)),"ID не найден"))</x:f>
        <x:v>https://www.youtube.com/watch?v=4dcFbaev2Zw</x:v>
      </x:c>
      <x:c r="Q295" s="17" t="str">
        <x:v>Предложено</x:v>
      </x:c>
      <x:c r="R295" s="17" t="str"/>
      <x:c r="S295" s="10" t="str"/>
      <x:c r="T295" s="10" t="str">
        <x:v>При недоступной серии приостановить сюжетную ветку; резерв — самостоятельное видео</x:v>
      </x:c>
      <x:c r="U295" s="9" t="str">
        <x:f>IF(D295="","Выбрать видео",IF(COUNTIFS($D$7:$D$371,D295)&gt;1,"Повтор","Без повтора"))</x:f>
        <x:v>Без повтора</x:v>
      </x:c>
    </x:row>
    <x:row r="296" ht="60" customHeight="1">
      <x:c r="A296" s="16" t="n">
        <x:v>46598</x:v>
      </x:c>
      <x:c r="B296" s="9" t="str">
        <x:v>Пт</x:v>
      </x:c>
      <x:c r="C296" s="10" t="str">
        <x:v>Культура</x:v>
      </x:c>
      <x:c r="D296" s="19" t="str">
        <x:v>lzugn7Sqzus</x:v>
      </x:c>
      <x:c r="E296" s="10" t="str">
        <x:f>IF(D296="","",IF(COUNTIFS('Видео'!$A$7:$A$1508,D296)=1,INDEX('Видео'!$B$7:$B$1508,MATCH(D296,'Видео'!$A$7:$A$1508,0)),"ID не найден"))</x:f>
        <x:v>דני רובס - פנים ושמות (לייב על בימת בית אבי חי)</x:v>
      </x:c>
      <x:c r="F296" s="9" t="str">
        <x:f>IF(D296="","",IF(COUNTIFS('Видео'!$A$7:$A$1508,D296)=1,INDEX('Видео'!$R$7:$R$1508,MATCH(D296,'Видео'!$A$7:$A$1508,0)),"ID не найден"))</x:f>
        <x:v>C075</x:v>
      </x:c>
      <x:c r="G296" s="9" t="str">
        <x:f>IF(D296="","",IF(COUNTIFS('Видео'!$A$7:$A$1508,D296)=1,INDEX('Видео'!$D$7:$D$1508,MATCH(D296,'Видео'!$A$7:$A$1508,0)),"ID не найден"))</x:f>
        <x:v>Культура</x:v>
      </x:c>
      <x:c r="H296" s="10" t="str">
        <x:f>IF(D296="","",IF(COUNTIFS('Видео'!$A$7:$A$1508,D296)=1,INDEX('Видео'!$F$7:$F$1508,MATCH(D296,'Видео'!$A$7:$A$1508,0)),"ID не найден"))</x:f>
        <x:v>B2–C1 (гипотеза)</x:v>
      </x:c>
      <x:c r="I296" s="18" t="n">
        <x:f>IF(D296="","",IF(COUNTIFS('Видео'!$A$7:$A$1508,D296)=1,INDEX('Видео'!$G$7:$G$1508,MATCH(D296,'Видео'!$A$7:$A$1508,0)),"ID не найден"))</x:f>
        <x:v>3.4</x:v>
      </x:c>
      <x:c r="J296" s="18" t="n">
        <x:v>5</x:v>
      </x:c>
      <x:c r="K296" s="10" t="str">
        <x:f>IF(D296="","",IF(COUNTIFS('Видео'!$A$7:$A$1508,D296)=1,INDEX('Видео'!$AI$7:$AI$1508,MATCH(D296,'Видео'!$A$7:$A$1508,0)),"ID не найден"))</x:f>
        <x:v>Нужна редактура</x:v>
      </x:c>
      <x:c r="L296" s="19" t="str">
        <x:v>7s0WngHcKuw</x:v>
      </x:c>
      <x:c r="M296" s="10" t="str">
        <x:f>IF(L296="","",IF(COUNTIFS('Видео'!$A$7:$A$1508,L296)=1,INDEX('Видео'!$B$7:$B$1508,MATCH(L296,'Видео'!$A$7:$A$1508,0)),"ID не найден"))</x:f>
        <x:v>ירדנה ארזי - בואי אימא (לייב על בימת בית אבי חי)</x:v>
      </x:c>
      <x:c r="N296" s="10" t="str"/>
      <x:c r="O296" s="10" t="str">
        <x:f>IF(D296="","",IF(COUNTIFS('Видео'!$A$7:$A$1508,D296)=1,INDEX('Видео'!$M$7:$M$1508,MATCH(D296,'Видео'!$A$7:$A$1508,0)),"ID не найден"))</x:f>
        <x:v>Завершённый короткий просмотр около 3 мин. Просмотры в списке выше медианы выборки этого цикла в 1.55 раза. Разговор о музыке и детстве создаёт вход через культурную близость и биографию.</x:v>
      </x:c>
      <x:c r="P296" s="11" t="str">
        <x:f>IF(D296="","",IF(COUNTIFS('Видео'!$A$7:$A$1508,D296)=1,INDEX('Видео'!$U$7:$U$1508,MATCH(D296,'Видео'!$A$7:$A$1508,0)),"ID не найден"))</x:f>
        <x:v>https://www.youtube.com/watch?v=lzugn7Sqzus</x:v>
      </x:c>
      <x:c r="Q296" s="17" t="str">
        <x:v>Предложено</x:v>
      </x:c>
      <x:c r="R296" s="17" t="str"/>
      <x:c r="S296" s="10" t="str"/>
      <x:c r="T296" s="10" t="str">
        <x:v>Резерв меняет выбор видео; снова проверить повод, аудиторию и все редакторские условия</x:v>
      </x:c>
      <x:c r="U296" s="9" t="str">
        <x:f>IF(D296="","Выбрать видео",IF(COUNTIFS($D$7:$D$371,D296)&gt;1,"Повтор","Без повтора"))</x:f>
        <x:v>Без повтора</x:v>
      </x:c>
    </x:row>
    <x:row r="297" ht="60" customHeight="1">
      <x:c r="A297" s="16" t="n">
        <x:v>46599</x:v>
      </x:c>
      <x:c r="B297" s="9" t="str">
        <x:v>Сб</x:v>
      </x:c>
      <x:c r="C297" s="10" t="str">
        <x:v>Общество</x:v>
      </x:c>
      <x:c r="D297" s="19" t="str">
        <x:v>yk5J_9gps8o</x:v>
      </x:c>
      <x:c r="E297" s="10" t="str">
        <x:f>IF(D297="","",IF(COUNTIFS('Видео'!$A$7:$A$1508,D297)=1,INDEX('Видео'!$B$7:$B$1508,MATCH(D297,'Видео'!$A$7:$A$1508,0)),"ID не найден"))</x:f>
        <x:v>סליחה על השאלה ילדים 3 | ילדים שנולדו מתרומת זרע</x:v>
      </x:c>
      <x:c r="F297" s="9" t="str">
        <x:f>IF(D297="","",IF(COUNTIFS('Видео'!$A$7:$A$1508,D297)=1,INDEX('Видео'!$R$7:$R$1508,MATCH(D297,'Видео'!$A$7:$A$1508,0)),"ID не найден"))</x:f>
        <x:v>C057</x:v>
      </x:c>
      <x:c r="G297" s="9" t="str">
        <x:f>IF(D297="","",IF(COUNTIFS('Видео'!$A$7:$A$1508,D297)=1,INDEX('Видео'!$D$7:$D$1508,MATCH(D297,'Видео'!$A$7:$A$1508,0)),"ID не найден"))</x:f>
        <x:v>Общество</x:v>
      </x:c>
      <x:c r="H297" s="10" t="str">
        <x:f>IF(D297="","",IF(COUNTIFS('Видео'!$A$7:$A$1508,D297)=1,INDEX('Видео'!$F$7:$F$1508,MATCH(D297,'Видео'!$A$7:$A$1508,0)),"ID не найден"))</x:f>
        <x:v>B1–B2 (гипотеза)</x:v>
      </x:c>
      <x:c r="I297" s="18" t="n">
        <x:f>IF(D297="","",IF(COUNTIFS('Видео'!$A$7:$A$1508,D297)=1,INDEX('Видео'!$G$7:$G$1508,MATCH(D297,'Видео'!$A$7:$A$1508,0)),"ID не найден"))</x:f>
        <x:v>14.9</x:v>
      </x:c>
      <x:c r="J297" s="18" t="n">
        <x:v>10</x:v>
      </x:c>
      <x:c r="K297" s="10" t="str">
        <x:f>IF(D297="","",IF(COUNTIFS('Видео'!$A$7:$A$1508,D297)=1,INDEX('Видео'!$AI$7:$AI$1508,MATCH(D297,'Видео'!$A$7:$A$1508,0)),"ID не найден"))</x:f>
        <x:v>Нужна редактура</x:v>
      </x:c>
      <x:c r="L297" s="19" t="str">
        <x:v>WyYW-KsVx5U</x:v>
      </x:c>
      <x:c r="M297" s="10" t="str">
        <x:f>IF(L297="","",IF(COUNTIFS('Видео'!$A$7:$A$1508,L297)=1,INDEX('Видео'!$B$7:$B$1508,MATCH(L297,'Видео'!$A$7:$A$1508,0)),"ID не найден"))</x:f>
        <x:v>סליחה על השאלה | נמוכי קומה</x:v>
      </x:c>
      <x:c r="N297" s="10" t="str"/>
      <x:c r="O297" s="10" t="str">
        <x:f>IF(D297="","",IF(COUNTIFS('Видео'!$A$7:$A$1508,D297)=1,INDEX('Видео'!$M$7:$M$1508,MATCH(D297,'Видео'!$A$7:$A$1508,0)),"ID не найден"))</x:f>
        <x:v>Тема: סליחה על השאלה ילדים 3 | ילדים שנולדו מתרומת זרע. Ответы детей дают отдельную перспективу на социальные темы и школьную жизнь.</x:v>
      </x:c>
      <x:c r="P297" s="11" t="str">
        <x:f>IF(D297="","",IF(COUNTIFS('Видео'!$A$7:$A$1508,D297)=1,INDEX('Видео'!$U$7:$U$1508,MATCH(D297,'Видео'!$A$7:$A$1508,0)),"ID не найден"))</x:f>
        <x:v>https://www.youtube.com/watch?v=yk5J_9gps8o</x:v>
      </x:c>
      <x:c r="Q297" s="17" t="str">
        <x:v>Предложено</x:v>
      </x:c>
      <x:c r="R297" s="17" t="str"/>
      <x:c r="S297" s="10" t="str"/>
      <x:c r="T297" s="10" t="str">
        <x:v>Резерв меняет выбор видео; снова проверить повод, аудиторию и все редакторские условия</x:v>
      </x:c>
      <x:c r="U297" s="9" t="str">
        <x:f>IF(D297="","Выбрать видео",IF(COUNTIFS($D$7:$D$371,D297)&gt;1,"Повтор","Без повтора"))</x:f>
        <x:v>Без повтора</x:v>
      </x:c>
    </x:row>
    <x:row r="298" ht="60" customHeight="1">
      <x:c r="A298" s="16" t="n">
        <x:v>46600</x:v>
      </x:c>
      <x:c r="B298" s="9" t="str">
        <x:v>Вс</x:v>
      </x:c>
      <x:c r="C298" s="10" t="str">
        <x:v>Сериал</x:v>
      </x:c>
      <x:c r="D298" s="19" t="str">
        <x:v>iL686rbf82M</x:v>
      </x:c>
      <x:c r="E298" s="10" t="str">
        <x:f>IF(D298="","",IF(COUNTIFS('Видео'!$A$7:$A$1508,D298)=1,INDEX('Видео'!$B$7:$B$1508,MATCH(D298,'Видео'!$A$7:$A$1508,0)),"ID не найден"))</x:f>
        <x:v>קופה ראשית עונה 5 🛒 | פרק 1 - כפרות</x:v>
      </x:c>
      <x:c r="F298" s="9" t="str">
        <x:f>IF(D298="","",IF(COUNTIFS('Видео'!$A$7:$A$1508,D298)=1,INDEX('Видео'!$R$7:$R$1508,MATCH(D298,'Видео'!$A$7:$A$1508,0)),"ID не найден"))</x:f>
        <x:v>C001</x:v>
      </x:c>
      <x:c r="G298" s="9" t="str">
        <x:f>IF(D298="","",IF(COUNTIFS('Видео'!$A$7:$A$1508,D298)=1,INDEX('Видео'!$D$7:$D$1508,MATCH(D298,'Видео'!$A$7:$A$1508,0)),"ID не найден"))</x:f>
        <x:v>Сериал</x:v>
      </x:c>
      <x:c r="H298" s="10" t="str">
        <x:f>IF(D298="","",IF(COUNTIFS('Видео'!$A$7:$A$1508,D298)=1,INDEX('Видео'!$F$7:$F$1508,MATCH(D298,'Видео'!$A$7:$A$1508,0)),"ID не найден"))</x:f>
        <x:v>B1–B2 (гипотеза)</x:v>
      </x:c>
      <x:c r="I298" s="18" t="n">
        <x:f>IF(D298="","",IF(COUNTIFS('Видео'!$A$7:$A$1508,D298)=1,INDEX('Видео'!$G$7:$G$1508,MATCH(D298,'Видео'!$A$7:$A$1508,0)),"ID не найден"))</x:f>
        <x:v>24</x:v>
      </x:c>
      <x:c r="J298" s="18" t="n">
        <x:v>10</x:v>
      </x:c>
      <x:c r="K298" s="10" t="str">
        <x:f>IF(D298="","",IF(COUNTIFS('Видео'!$A$7:$A$1508,D298)=1,INDEX('Видео'!$AI$7:$AI$1508,MATCH(D298,'Видео'!$A$7:$A$1508,0)),"ID не найден"))</x:f>
        <x:v>Нужна редактура</x:v>
      </x:c>
      <x:c r="L298" s="19" t="str">
        <x:v>_LYt1siwHMk</x:v>
      </x:c>
      <x:c r="M298" s="10" t="str">
        <x:f>IF(L298="","",IF(COUNTIFS('Видео'!$A$7:$A$1508,L298)=1,INDEX('Видео'!$B$7:$B$1508,MATCH(L298,'Видео'!$A$7:$A$1508,0)),"ID не найден"))</x:f>
        <x:v>"באנו לכבות שריפה ותקפו את הצוות": יום בחיי לוחם אש במדורות ל"ג בעומר | זום אין</x:v>
      </x:c>
      <x:c r="N298" s="10" t="str"/>
      <x:c r="O298" s="10" t="str">
        <x:f>IF(D298="","",IF(COUNTIFS('Видео'!$A$7:$A$1508,D298)=1,INDEX('Видео'!$M$7:$M$1508,MATCH(D298,'Видео'!$A$7:$A$1508,0)),"ID не найден"))</x:f>
        <x:v>Эпизод 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298" s="11" t="str">
        <x:f>IF(D298="","",IF(COUNTIFS('Видео'!$A$7:$A$1508,D298)=1,INDEX('Видео'!$U$7:$U$1508,MATCH(D298,'Видео'!$A$7:$A$1508,0)),"ID не найден"))</x:f>
        <x:v>https://www.youtube.com/watch?v=iL686rbf82M</x:v>
      </x:c>
      <x:c r="Q298" s="17" t="str">
        <x:v>Предложено</x:v>
      </x:c>
      <x:c r="R298" s="17" t="str"/>
      <x:c r="S298" s="10" t="str"/>
      <x:c r="T298" s="10" t="str">
        <x:v>При недоступной серии приостановить сюжетную ветку; резерв — самостоятельное видео</x:v>
      </x:c>
      <x:c r="U298" s="9" t="str">
        <x:f>IF(D298="","Выбрать видео",IF(COUNTIFS($D$7:$D$371,D298)&gt;1,"Повтор","Без повтора"))</x:f>
        <x:v>Без повтора</x:v>
      </x:c>
    </x:row>
    <x:row r="299" ht="60" customHeight="1">
      <x:c r="A299" s="16" t="n">
        <x:v>46601</x:v>
      </x:c>
      <x:c r="B299" s="9" t="str">
        <x:v>Пн</x:v>
      </x:c>
      <x:c r="C299" s="10" t="str">
        <x:v>Интервью</x:v>
      </x:c>
      <x:c r="D299" s="19" t="str">
        <x:v>BORPtn22hVU</x:v>
      </x:c>
      <x:c r="E299" s="10" t="str">
        <x:f>IF(D299="","",IF(COUNTIFS('Видео'!$A$7:$A$1508,D299)=1,INDEX('Видео'!$B$7:$B$1508,MATCH(D299,'Видео'!$A$7:$A$1508,0)),"ID не найден"))</x:f>
        <x:v>פגישה עם רוני קובן עונה 9 | יאיר לפיד</x:v>
      </x:c>
      <x:c r="F299" s="9" t="str">
        <x:f>IF(D299="","",IF(COUNTIFS('Видео'!$A$7:$A$1508,D299)=1,INDEX('Видео'!$R$7:$R$1508,MATCH(D299,'Видео'!$A$7:$A$1508,0)),"ID не найден"))</x:f>
        <x:v>C014</x:v>
      </x:c>
      <x:c r="G299" s="9" t="str">
        <x:f>IF(D299="","",IF(COUNTIFS('Видео'!$A$7:$A$1508,D299)=1,INDEX('Видео'!$D$7:$D$1508,MATCH(D299,'Видео'!$A$7:$A$1508,0)),"ID не найден"))</x:f>
        <x:v>Интервью</x:v>
      </x:c>
      <x:c r="H299" s="10" t="str">
        <x:f>IF(D299="","",IF(COUNTIFS('Видео'!$A$7:$A$1508,D299)=1,INDEX('Видео'!$F$7:$F$1508,MATCH(D299,'Видео'!$A$7:$A$1508,0)),"ID не найден"))</x:f>
        <x:v>B2–C1 (гипотеза)</x:v>
      </x:c>
      <x:c r="I299" s="18" t="n">
        <x:f>IF(D299="","",IF(COUNTIFS('Видео'!$A$7:$A$1508,D299)=1,INDEX('Видео'!$G$7:$G$1508,MATCH(D299,'Видео'!$A$7:$A$1508,0)),"ID не найден"))</x:f>
        <x:v>49</x:v>
      </x:c>
      <x:c r="J299" s="18" t="n">
        <x:v>10</x:v>
      </x:c>
      <x:c r="K299" s="10" t="str">
        <x:f>IF(D299="","",IF(COUNTIFS('Видео'!$A$7:$A$1508,D299)=1,INDEX('Видео'!$AI$7:$AI$1508,MATCH(D299,'Видео'!$A$7:$A$1508,0)),"ID не найден"))</x:f>
        <x:v>Нужна редактура</x:v>
      </x:c>
      <x:c r="L299" s="19" t="str">
        <x:v>Ayu98_JSeYk</x:v>
      </x:c>
      <x:c r="M299" s="10" t="str">
        <x:f>IF(L299="","",IF(COUNTIFS('Видео'!$A$7:$A$1508,L299)=1,INDEX('Видео'!$B$7:$B$1508,MATCH(L299,'Видео'!$A$7:$A$1508,0)),"ID не найден"))</x:f>
        <x:v>פגישה עם רוני קובן עונה 9 | שי גולדשטיין</x:v>
      </x:c>
      <x:c r="N299" s="10" t="str"/>
      <x:c r="O299" s="10" t="str">
        <x:f>IF(D299="","",IF(COUNTIFS('Видео'!$A$7:$A$1508,D299)=1,INDEX('Видео'!$M$7:$M$1508,MATCH(D299,'Видео'!$A$7:$A$1508,0)),"ID не найден"))</x:f>
        <x:v>Тема / гость: יאיר לפיד. Просмотры в списке выше медианы выборки этого цикла в 2.18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299" s="11" t="str">
        <x:f>IF(D299="","",IF(COUNTIFS('Видео'!$A$7:$A$1508,D299)=1,INDEX('Видео'!$U$7:$U$1508,MATCH(D299,'Видео'!$A$7:$A$1508,0)),"ID не найден"))</x:f>
        <x:v>https://www.youtube.com/watch?v=BORPtn22hVU</x:v>
      </x:c>
      <x:c r="Q299" s="17" t="str">
        <x:v>Предложено</x:v>
      </x:c>
      <x:c r="R299" s="17" t="str"/>
      <x:c r="S299" s="10" t="str"/>
      <x:c r="T299" s="10" t="str">
        <x:v>Резерв меняет выбор видео; снова проверить повод, аудиторию и все редакторские условия</x:v>
      </x:c>
      <x:c r="U299" s="9" t="str">
        <x:f>IF(D299="","Выбрать видео",IF(COUNTIFS($D$7:$D$371,D299)&gt;1,"Повтор","Без повтора"))</x:f>
        <x:v>Без повтора</x:v>
      </x:c>
    </x:row>
    <x:row r="300" ht="60" customHeight="1">
      <x:c r="A300" s="16" t="n">
        <x:v>46602</x:v>
      </x:c>
      <x:c r="B300" s="9" t="str">
        <x:v>Вт</x:v>
      </x:c>
      <x:c r="C300" s="10" t="str">
        <x:v>Образование</x:v>
      </x:c>
      <x:c r="D300" s="19" t="str">
        <x:v>aeeFnx0nzDI</x:v>
      </x:c>
      <x:c r="E300" s="10" t="str">
        <x:f>IF(D300="","",IF(COUNTIFS('Видео'!$A$7:$A$1508,D300)=1,INDEX('Видео'!$B$7:$B$1508,MATCH(D300,'Видео'!$A$7:$A$1508,0)),"ID не найден"))</x:f>
        <x:v>חיות כיס | למה אין מה לראות בנטפליקס? 📺🍿</x:v>
      </x:c>
      <x:c r="F300" s="9" t="str">
        <x:f>IF(D300="","",IF(COUNTIFS('Видео'!$A$7:$A$1508,D300)=1,INDEX('Видео'!$R$7:$R$1508,MATCH(D300,'Видео'!$A$7:$A$1508,0)),"ID не найден"))</x:f>
        <x:v>C049</x:v>
      </x:c>
      <x:c r="G300" s="9" t="str">
        <x:f>IF(D300="","",IF(COUNTIFS('Видео'!$A$7:$A$1508,D300)=1,INDEX('Видео'!$D$7:$D$1508,MATCH(D300,'Видео'!$A$7:$A$1508,0)),"ID не найден"))</x:f>
        <x:v>Образование</x:v>
      </x:c>
      <x:c r="H300" s="10" t="str">
        <x:f>IF(D300="","",IF(COUNTIFS('Видео'!$A$7:$A$1508,D300)=1,INDEX('Видео'!$F$7:$F$1508,MATCH(D300,'Видео'!$A$7:$A$1508,0)),"ID не найден"))</x:f>
        <x:v>B1–B2 (гипотеза)</x:v>
      </x:c>
      <x:c r="I300" s="18" t="n">
        <x:f>IF(D300="","",IF(COUNTIFS('Видео'!$A$7:$A$1508,D300)=1,INDEX('Видео'!$G$7:$G$1508,MATCH(D300,'Видео'!$A$7:$A$1508,0)),"ID не найден"))</x:f>
        <x:v>3.5</x:v>
      </x:c>
      <x:c r="J300" s="18" t="n">
        <x:v>5</x:v>
      </x:c>
      <x:c r="K300" s="10" t="str">
        <x:f>IF(D300="","",IF(COUNTIFS('Видео'!$A$7:$A$1508,D300)=1,INDEX('Видео'!$AI$7:$AI$1508,MATCH(D300,'Видео'!$A$7:$A$1508,0)),"ID не найден"))</x:f>
        <x:v>Нужна редактура</x:v>
      </x:c>
      <x:c r="L300" s="19" t="str">
        <x:v>HBgt0wi3Qg4</x:v>
      </x:c>
      <x:c r="M300" s="10" t="str">
        <x:f>IF(L300="","",IF(COUNTIFS('Видео'!$A$7:$A$1508,L300)=1,INDEX('Видео'!$B$7:$B$1508,MATCH(L300,'Видео'!$A$7:$A$1508,0)),"ID не найден"))</x:f>
        <x:v>גלילאו עונה 9 | ביקור אצל נמו 🐠</x:v>
      </x:c>
      <x:c r="N300" s="10" t="str"/>
      <x:c r="O300" s="10" t="str">
        <x:f>IF(D300="","",IF(COUNTIFS('Видео'!$A$7:$A$1508,D300)=1,INDEX('Видео'!$M$7:$M$1508,MATCH(D300,'Видео'!$A$7:$A$1508,0)),"ID не найден"))</x:f>
        <x:v>Завершённый короткий просмотр около 4 мин. Просмотры в списке выше медианы выборки этого цикла в 4.23 раза. Экономика через бытовой вопрос полезна зрителю с практической мотивацией.</x:v>
      </x:c>
      <x:c r="P300" s="11" t="str">
        <x:f>IF(D300="","",IF(COUNTIFS('Видео'!$A$7:$A$1508,D300)=1,INDEX('Видео'!$U$7:$U$1508,MATCH(D300,'Видео'!$A$7:$A$1508,0)),"ID не найден"))</x:f>
        <x:v>https://www.youtube.com/watch?v=aeeFnx0nzDI</x:v>
      </x:c>
      <x:c r="Q300" s="17" t="str">
        <x:v>Предложено</x:v>
      </x:c>
      <x:c r="R300" s="17" t="str"/>
      <x:c r="S300" s="10" t="str"/>
      <x:c r="T300" s="10" t="str">
        <x:v>Резерв меняет выбор видео; снова проверить повод, аудиторию и все редакторские условия</x:v>
      </x:c>
      <x:c r="U300" s="9" t="str">
        <x:f>IF(D300="","Выбрать видео",IF(COUNTIFS($D$7:$D$371,D300)&gt;1,"Повтор","Без повтора"))</x:f>
        <x:v>Без повтора</x:v>
      </x:c>
    </x:row>
    <x:row r="301" ht="60" customHeight="1">
      <x:c r="A301" s="16" t="n">
        <x:v>46603</x:v>
      </x:c>
      <x:c r="B301" s="9" t="str">
        <x:v>Ср</x:v>
      </x:c>
      <x:c r="C301" s="10" t="str">
        <x:v>Быт</x:v>
      </x:c>
      <x:c r="D301" s="19" t="str">
        <x:v>zzrt-R_zUGw</x:v>
      </x:c>
      <x:c r="E301" s="10" t="str">
        <x:f>IF(D301="","",IF(COUNTIFS('Видео'!$A$7:$A$1508,D301)=1,INDEX('Видео'!$B$7:$B$1508,MATCH(D301,'Видео'!$A$7:$A$1508,0)),"ID не найден"))</x:f>
        <x:v>טיול אחרי צבא - סובב ישראל 🚐🇮🇱 | פרק 5 -  מה שקורה באילת</x:v>
      </x:c>
      <x:c r="F301" s="9" t="str">
        <x:f>IF(D301="","",IF(COUNTIFS('Видео'!$A$7:$A$1508,D301)=1,INDEX('Видео'!$R$7:$R$1508,MATCH(D301,'Видео'!$A$7:$A$1508,0)),"ID не найден"))</x:f>
        <x:v>C038</x:v>
      </x:c>
      <x:c r="G301" s="9" t="str">
        <x:f>IF(D301="","",IF(COUNTIFS('Видео'!$A$7:$A$1508,D301)=1,INDEX('Видео'!$D$7:$D$1508,MATCH(D301,'Видео'!$A$7:$A$1508,0)),"ID не найден"))</x:f>
        <x:v>Быт</x:v>
      </x:c>
      <x:c r="H301" s="10" t="str">
        <x:f>IF(D301="","",IF(COUNTIFS('Видео'!$A$7:$A$1508,D301)=1,INDEX('Видео'!$F$7:$F$1508,MATCH(D301,'Видео'!$A$7:$A$1508,0)),"ID не найден"))</x:f>
        <x:v>B1–B2 (гипотеза)</x:v>
      </x:c>
      <x:c r="I301" s="18" t="n">
        <x:f>IF(D301="","",IF(COUNTIFS('Видео'!$A$7:$A$1508,D301)=1,INDEX('Видео'!$G$7:$G$1508,MATCH(D301,'Видео'!$A$7:$A$1508,0)),"ID не найден"))</x:f>
        <x:v>45.3</x:v>
      </x:c>
      <x:c r="J301" s="18" t="n">
        <x:v>10</x:v>
      </x:c>
      <x:c r="K301" s="10" t="str">
        <x:f>IF(D301="","",IF(COUNTIFS('Видео'!$A$7:$A$1508,D301)=1,INDEX('Видео'!$AI$7:$AI$1508,MATCH(D301,'Видео'!$A$7:$A$1508,0)),"ID не найден"))</x:f>
        <x:v>Нужна редактура</x:v>
      </x:c>
      <x:c r="L301" s="19" t="str">
        <x:v>Kjxtdx2-sC4</x:v>
      </x:c>
      <x:c r="M301" s="10" t="str">
        <x:f>IF(L301="","",IF(COUNTIFS('Видео'!$A$7:$A$1508,L301)=1,INDEX('Видео'!$B$7:$B$1508,MATCH(L301,'Видео'!$A$7:$A$1508,0)),"ID не найден"))</x:f>
        <x:v>בואו לאכול איתי עונה 8 | מישור החוף - חלק ה' (פרק 25) - פרק אחרון לעונה</x:v>
      </x:c>
      <x:c r="N301" s="10" t="str"/>
      <x:c r="O301" s="10" t="str">
        <x:f>IF(D301="","",IF(COUNTIFS('Видео'!$A$7:$A$1508,D301)=1,INDEX('Видео'!$M$7:$M$1508,MATCH(D301,'Видео'!$A$7:$A$1508,0)),"ID не найден"))</x:f>
        <x:v>Тема: טיול אחרי צבא - סובב ישראל 🚐🇮🇱 | פרק 5 -  מה שקורה באילת. Маршрут по стране помогает связывать язык с местами и планами путешествия. Визуальные подсказки облегчают понимание.</x:v>
      </x:c>
      <x:c r="P301" s="11" t="str">
        <x:f>IF(D301="","",IF(COUNTIFS('Видео'!$A$7:$A$1508,D301)=1,INDEX('Видео'!$U$7:$U$1508,MATCH(D301,'Видео'!$A$7:$A$1508,0)),"ID не найден"))</x:f>
        <x:v>https://www.youtube.com/watch?v=zzrt-R_zUGw</x:v>
      </x:c>
      <x:c r="Q301" s="17" t="str">
        <x:v>Предложено</x:v>
      </x:c>
      <x:c r="R301" s="17" t="str"/>
      <x:c r="S301" s="10" t="str"/>
      <x:c r="T301" s="10" t="str">
        <x:v>Резерв меняет выбор видео; снова проверить повод, аудиторию и все редакторские условия</x:v>
      </x:c>
      <x:c r="U301" s="9" t="str">
        <x:f>IF(D301="","Выбрать видео",IF(COUNTIFS($D$7:$D$371,D301)&gt;1,"Повтор","Без повтора"))</x:f>
        <x:v>Без повтора</x:v>
      </x:c>
    </x:row>
    <x:row r="302" ht="60" customHeight="1">
      <x:c r="A302" s="16" t="n">
        <x:v>46604</x:v>
      </x:c>
      <x:c r="B302" s="9" t="str">
        <x:v>Чт</x:v>
      </x:c>
      <x:c r="C302" s="10" t="str">
        <x:v>Сериал</x:v>
      </x:c>
      <x:c r="D302" s="19" t="str">
        <x:v>waKryO5iRsw</x:v>
      </x:c>
      <x:c r="E302" s="10" t="str">
        <x:f>IF(D302="","",IF(COUNTIFS('Видео'!$A$7:$A$1508,D302)=1,INDEX('Видео'!$B$7:$B$1508,MATCH(D302,'Видео'!$A$7:$A$1508,0)),"ID не найден"))</x:f>
        <x:v>כראמל 🐱 | בית היתומים - פרק 11</x:v>
      </x:c>
      <x:c r="F302" s="9" t="str">
        <x:f>IF(D302="","",IF(COUNTIFS('Видео'!$A$7:$A$1508,D302)=1,INDEX('Видео'!$R$7:$R$1508,MATCH(D302,'Видео'!$A$7:$A$1508,0)),"ID не найден"))</x:f>
        <x:v>C053</x:v>
      </x:c>
      <x:c r="G302" s="9" t="str">
        <x:f>IF(D302="","",IF(COUNTIFS('Видео'!$A$7:$A$1508,D302)=1,INDEX('Видео'!$D$7:$D$1508,MATCH(D302,'Видео'!$A$7:$A$1508,0)),"ID не найден"))</x:f>
        <x:v>Сериал</x:v>
      </x:c>
      <x:c r="H302" s="10" t="str">
        <x:f>IF(D302="","",IF(COUNTIFS('Видео'!$A$7:$A$1508,D302)=1,INDEX('Видео'!$F$7:$F$1508,MATCH(D302,'Видео'!$A$7:$A$1508,0)),"ID не найден"))</x:f>
        <x:v>A2–B1 (гипотеза)</x:v>
      </x:c>
      <x:c r="I302" s="18" t="n">
        <x:f>IF(D302="","",IF(COUNTIFS('Видео'!$A$7:$A$1508,D302)=1,INDEX('Видео'!$G$7:$G$1508,MATCH(D302,'Видео'!$A$7:$A$1508,0)),"ID не найден"))</x:f>
        <x:v>26.2</x:v>
      </x:c>
      <x:c r="J302" s="18" t="n">
        <x:v>10</x:v>
      </x:c>
      <x:c r="K302" s="10" t="str">
        <x:f>IF(D302="","",IF(COUNTIFS('Видео'!$A$7:$A$1508,D302)=1,INDEX('Видео'!$AI$7:$AI$1508,MATCH(D302,'Видео'!$A$7:$A$1508,0)),"ID не найден"))</x:f>
        <x:v>Нужна редактура</x:v>
      </x:c>
      <x:c r="L302" s="19" t="str">
        <x:v>hme2eRuR9lQ</x:v>
      </x:c>
      <x:c r="M302" s="10" t="str">
        <x:f>IF(L302="","",IF(COUNTIFS('Видео'!$A$7:$A$1508,L302)=1,INDEX('Видео'!$B$7:$B$1508,MATCH(L302,'Видео'!$A$7:$A$1508,0)),"ID не найден"))</x:f>
        <x:v>גברים או נשים - מי עושה יותר בבית? | חיות כיס</x:v>
      </x:c>
      <x:c r="N302" s="10" t="str"/>
      <x:c r="O302" s="10" t="str">
        <x:f>IF(D302="","",IF(COUNTIFS('Видео'!$A$7:$A$1508,D302)=1,INDEX('Видео'!$M$7:$M$1508,MATCH(D302,'Видео'!$A$7:$A$1508,0)),"ID не найден"))</x:f>
        <x:v>Эпизод 11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302" s="11" t="str">
        <x:f>IF(D302="","",IF(COUNTIFS('Видео'!$A$7:$A$1508,D302)=1,INDEX('Видео'!$U$7:$U$1508,MATCH(D302,'Видео'!$A$7:$A$1508,0)),"ID не найден"))</x:f>
        <x:v>https://www.youtube.com/watch?v=waKryO5iRsw</x:v>
      </x:c>
      <x:c r="Q302" s="17" t="str">
        <x:v>Предложено</x:v>
      </x:c>
      <x:c r="R302" s="17" t="str"/>
      <x:c r="S302" s="10" t="str"/>
      <x:c r="T302" s="10" t="str">
        <x:v>При недоступной серии приостановить сюжетную ветку; резерв — самостоятельное видео</x:v>
      </x:c>
      <x:c r="U302" s="9" t="str">
        <x:f>IF(D302="","Выбрать видео",IF(COUNTIFS($D$7:$D$371,D302)&gt;1,"Повтор","Без повтора"))</x:f>
        <x:v>Без повтора</x:v>
      </x:c>
    </x:row>
    <x:row r="303" ht="60" customHeight="1">
      <x:c r="A303" s="16" t="n">
        <x:v>46605</x:v>
      </x:c>
      <x:c r="B303" s="9" t="str">
        <x:v>Пт</x:v>
      </x:c>
      <x:c r="C303" s="10" t="str">
        <x:v>История</x:v>
      </x:c>
      <x:c r="D303" s="19" t="str">
        <x:v>-A6WhYz6h24</x:v>
      </x:c>
      <x:c r="E303" s="10" t="str">
        <x:f>IF(D303="","",IF(COUNTIFS('Видео'!$A$7:$A$1508,D303)=1,INDEX('Видео'!$B$7:$B$1508,MATCH(D303,'Видео'!$A$7:$A$1508,0)),"ID не найден"))</x:f>
        <x:v>כתובות מימי המקרא | שיעור 4 - כתובת בלעם מדיר-עלא | פרופ' חגי משגב</x:v>
      </x:c>
      <x:c r="F303" s="9" t="str">
        <x:f>IF(D303="","",IF(COUNTIFS('Видео'!$A$7:$A$1508,D303)=1,INDEX('Видео'!$R$7:$R$1508,MATCH(D303,'Видео'!$A$7:$A$1508,0)),"ID не найден"))</x:f>
        <x:v>C070</x:v>
      </x:c>
      <x:c r="G303" s="9" t="str">
        <x:f>IF(D303="","",IF(COUNTIFS('Видео'!$A$7:$A$1508,D303)=1,INDEX('Видео'!$D$7:$D$1508,MATCH(D303,'Видео'!$A$7:$A$1508,0)),"ID не найден"))</x:f>
        <x:v>История</x:v>
      </x:c>
      <x:c r="H303" s="10" t="str">
        <x:f>IF(D303="","",IF(COUNTIFS('Видео'!$A$7:$A$1508,D303)=1,INDEX('Видео'!$F$7:$F$1508,MATCH(D303,'Видео'!$A$7:$A$1508,0)),"ID не найден"))</x:f>
        <x:v>B2–C1 (гипотеза)</x:v>
      </x:c>
      <x:c r="I303" s="18" t="n">
        <x:f>IF(D303="","",IF(COUNTIFS('Видео'!$A$7:$A$1508,D303)=1,INDEX('Видео'!$G$7:$G$1508,MATCH(D303,'Видео'!$A$7:$A$1508,0)),"ID не найден"))</x:f>
        <x:v>39.8</x:v>
      </x:c>
      <x:c r="J303" s="18" t="n">
        <x:v>10</x:v>
      </x:c>
      <x:c r="K303" s="10" t="str">
        <x:f>IF(D303="","",IF(COUNTIFS('Видео'!$A$7:$A$1508,D303)=1,INDEX('Видео'!$AI$7:$AI$1508,MATCH(D303,'Видео'!$A$7:$A$1508,0)),"ID не найден"))</x:f>
        <x:v>Нужна редактура</x:v>
      </x:c>
      <x:c r="L303" s="19" t="str">
        <x:v>s5nsbR1rscM</x:v>
      </x:c>
      <x:c r="M303" s="10" t="str">
        <x:f>IF(L303="","",IF(COUNTIFS('Видео'!$A$7:$A$1508,L303)=1,INDEX('Видео'!$B$7:$B$1508,MATCH(L303,'Видео'!$A$7:$A$1508,0)),"ID не найден"))</x:f>
        <x:v>היסטוריה קצרה של חסידות ברסלב | שיעור 5 - חסידות ברסלב במחצית השניה של המאה ה-20 | פרופ' יונתן מאיר</x:v>
      </x:c>
      <x:c r="N303" s="10" t="str"/>
      <x:c r="O303" s="10" t="str">
        <x:f>IF(D303="","",IF(COUNTIFS('Видео'!$A$7:$A$1508,D303)=1,INDEX('Видео'!$M$7:$M$1508,MATCH(D303,'Видео'!$A$7:$A$1508,0)),"ID не найден"))</x:f>
        <x:v>Тема: כתובות מימי המקרא | שיעור 4 - כתובת בלעם מדיר-עלא | פרופ' חגי משגב. Эпиграфика связывает историю языка с материальными источниками.</x:v>
      </x:c>
      <x:c r="P303" s="11" t="str">
        <x:f>IF(D303="","",IF(COUNTIFS('Видео'!$A$7:$A$1508,D303)=1,INDEX('Видео'!$U$7:$U$1508,MATCH(D303,'Видео'!$A$7:$A$1508,0)),"ID не найден"))</x:f>
        <x:v>https://www.youtube.com/watch?v=-A6WhYz6h24</x:v>
      </x:c>
      <x:c r="Q303" s="17" t="str">
        <x:v>Предложено</x:v>
      </x:c>
      <x:c r="R303" s="17" t="str"/>
      <x:c r="S303" s="10" t="str"/>
      <x:c r="T303" s="10" t="str">
        <x:v>Резерв меняет выбор видео; снова проверить повод, аудиторию и все редакторские условия</x:v>
      </x:c>
      <x:c r="U303" s="9" t="str">
        <x:f>IF(D303="","Выбрать видео",IF(COUNTIFS($D$7:$D$371,D303)&gt;1,"Повтор","Без повтора"))</x:f>
        <x:v>Без повтора</x:v>
      </x:c>
    </x:row>
    <x:row r="304" ht="60" customHeight="1">
      <x:c r="A304" s="16" t="n">
        <x:v>46606</x:v>
      </x:c>
      <x:c r="B304" s="9" t="str">
        <x:v>Сб</x:v>
      </x:c>
      <x:c r="C304" s="10" t="str">
        <x:v>Память</x:v>
      </x:c>
      <x:c r="D304" s="19" t="str">
        <x:v>9bG_Jaj02is</x:v>
      </x:c>
      <x:c r="E304" s="10" t="str">
        <x:f>IF(D304="","",IF(COUNTIFS('Видео'!$A$7:$A$1508,D304)=1,INDEX('Видео'!$B$7:$B$1508,MATCH(D304,'Видео'!$A$7:$A$1508,0)),"ID не найден"))</x:f>
        <x:v>חוץ. יום. שבת - סרטי דוקו של יוצרים צעירים מהעוטף על ה-7.10 | בין הסדינים - סרטה של רותם אלקיים</x:v>
      </x:c>
      <x:c r="F304" s="9" t="str">
        <x:f>IF(D304="","",IF(COUNTIFS('Видео'!$A$7:$A$1508,D304)=1,INDEX('Видео'!$R$7:$R$1508,MATCH(D304,'Видео'!$A$7:$A$1508,0)),"ID не найден"))</x:f>
        <x:v>C042</x:v>
      </x:c>
      <x:c r="G304" s="9" t="str">
        <x:f>IF(D304="","",IF(COUNTIFS('Видео'!$A$7:$A$1508,D304)=1,INDEX('Видео'!$D$7:$D$1508,MATCH(D304,'Видео'!$A$7:$A$1508,0)),"ID не найден"))</x:f>
        <x:v>Память</x:v>
      </x:c>
      <x:c r="H304" s="10" t="str">
        <x:f>IF(D304="","",IF(COUNTIFS('Видео'!$A$7:$A$1508,D304)=1,INDEX('Видео'!$F$7:$F$1508,MATCH(D304,'Видео'!$A$7:$A$1508,0)),"ID не найден"))</x:f>
        <x:v>B2–C1 (гипотеза)</x:v>
      </x:c>
      <x:c r="I304" s="18" t="n">
        <x:f>IF(D304="","",IF(COUNTIFS('Видео'!$A$7:$A$1508,D304)=1,INDEX('Видео'!$G$7:$G$1508,MATCH(D304,'Видео'!$A$7:$A$1508,0)),"ID не найден"))</x:f>
        <x:v>15.3</x:v>
      </x:c>
      <x:c r="J304" s="18" t="n">
        <x:v>10</x:v>
      </x:c>
      <x:c r="K304" s="10" t="str">
        <x:f>IF(D304="","",IF(COUNTIFS('Видео'!$A$7:$A$1508,D304)=1,INDEX('Видео'!$AI$7:$AI$1508,MATCH(D304,'Видео'!$A$7:$A$1508,0)),"ID не найден"))</x:f>
        <x:v>Нужна редактура</x:v>
      </x:c>
      <x:c r="L304" s="19" t="str">
        <x:v>wezOCqP29O4</x:v>
      </x:c>
      <x:c r="M304" s="10" t="str">
        <x:f>IF(L304="","",IF(COUNTIFS('Видео'!$A$7:$A$1508,L304)=1,INDEX('Видео'!$B$7:$B$1508,MATCH(L304,'Видео'!$A$7:$A$1508,0)),"ID не найден"))</x:f>
        <x:v>יהודים תחת שלטון צרפתי קולוניאלי | גורלן של קהילות יהודיות בשואה</x:v>
      </x:c>
      <x:c r="N304" s="10" t="str">
        <x:v>Ежемесячная добровольная рубрика памяти 7 октября</x:v>
      </x:c>
      <x:c r="O304" s="10" t="str">
        <x:f>IF(D304="","",IF(COUNTIFS('Видео'!$A$7:$A$1508,D304)=1,INDEX('Видео'!$M$7:$M$1508,MATCH(D304,'Видео'!$A$7:$A$1508,0)),"ID не найден"))</x:f>
        <x:v>Тема: חוץ. יום. שבת - סרטי דוקו של יוצרים צעירים מהעוטף על ה-7.10 | בין הסדינים - סרטה של רותם אלקיים. Взгляд молодых авторов добавляет личную перспективу к журналистским реконструкциям.</x:v>
      </x:c>
      <x:c r="P304" s="11" t="str">
        <x:f>IF(D304="","",IF(COUNTIFS('Видео'!$A$7:$A$1508,D304)=1,INDEX('Видео'!$U$7:$U$1508,MATCH(D304,'Видео'!$A$7:$A$1508,0)),"ID не найден"))</x:f>
        <x:v>https://www.youtube.com/watch?v=9bG_Jaj02is</x:v>
      </x:c>
      <x:c r="Q304" s="17" t="str">
        <x:v>Предложено</x:v>
      </x:c>
      <x:c r="R304" s="17" t="str"/>
      <x:c r="S304" s="10" t="str">
        <x:v>Редакционная периодичность, не памятная дата</x:v>
      </x:c>
      <x:c r="T304" s="10" t="str">
        <x:v>Резерв меняет выбор видео; снова проверить повод, аудиторию и все редакторские условия</x:v>
      </x:c>
      <x:c r="U304" s="9" t="str">
        <x:f>IF(D304="","Выбрать видео",IF(COUNTIFS($D$7:$D$371,D304)&gt;1,"Повтор","Без повтора"))</x:f>
        <x:v>Без повтора</x:v>
      </x:c>
    </x:row>
    <x:row r="305" ht="60" customHeight="1">
      <x:c r="A305" s="16" t="n">
        <x:v>46607</x:v>
      </x:c>
      <x:c r="B305" s="9" t="str">
        <x:v>Вс</x:v>
      </x:c>
      <x:c r="C305" s="10" t="str">
        <x:v>Сериал</x:v>
      </x:c>
      <x:c r="D305" s="19" t="str">
        <x:v>UKww1xabTNQ</x:v>
      </x:c>
      <x:c r="E305" s="10" t="str">
        <x:f>IF(D305="","",IF(COUNTIFS('Видео'!$A$7:$A$1508,D305)=1,INDEX('Видео'!$B$7:$B$1508,MATCH(D305,'Видео'!$A$7:$A$1508,0)),"ID не найден"))</x:f>
        <x:v>קופה ראשית עונה 5 🛒 | פרק 2 - הסטארט-אפ של כוכבה</x:v>
      </x:c>
      <x:c r="F305" s="9" t="str">
        <x:f>IF(D305="","",IF(COUNTIFS('Видео'!$A$7:$A$1508,D305)=1,INDEX('Видео'!$R$7:$R$1508,MATCH(D305,'Видео'!$A$7:$A$1508,0)),"ID не найден"))</x:f>
        <x:v>C001</x:v>
      </x:c>
      <x:c r="G305" s="9" t="str">
        <x:f>IF(D305="","",IF(COUNTIFS('Видео'!$A$7:$A$1508,D305)=1,INDEX('Видео'!$D$7:$D$1508,MATCH(D305,'Видео'!$A$7:$A$1508,0)),"ID не найден"))</x:f>
        <x:v>Сериал</x:v>
      </x:c>
      <x:c r="H305" s="10" t="str">
        <x:f>IF(D305="","",IF(COUNTIFS('Видео'!$A$7:$A$1508,D305)=1,INDEX('Видео'!$F$7:$F$1508,MATCH(D305,'Видео'!$A$7:$A$1508,0)),"ID не найден"))</x:f>
        <x:v>B1–B2 (гипотеза)</x:v>
      </x:c>
      <x:c r="I305" s="18" t="n">
        <x:f>IF(D305="","",IF(COUNTIFS('Видео'!$A$7:$A$1508,D305)=1,INDEX('Видео'!$G$7:$G$1508,MATCH(D305,'Видео'!$A$7:$A$1508,0)),"ID не найден"))</x:f>
        <x:v>24.6</x:v>
      </x:c>
      <x:c r="J305" s="18" t="n">
        <x:v>10</x:v>
      </x:c>
      <x:c r="K305" s="10" t="str">
        <x:f>IF(D305="","",IF(COUNTIFS('Видео'!$A$7:$A$1508,D305)=1,INDEX('Видео'!$AI$7:$AI$1508,MATCH(D305,'Видео'!$A$7:$A$1508,0)),"ID не найден"))</x:f>
        <x:v>Нужна редактура</x:v>
      </x:c>
      <x:c r="L305" s="19" t="str">
        <x:v>jfgl4iEeWSk</x:v>
      </x:c>
      <x:c r="M305" s="10" t="str">
        <x:f>IF(L305="","",IF(COUNTIFS('Видео'!$A$7:$A$1508,L305)=1,INDEX('Видео'!$B$7:$B$1508,MATCH(L305,'Видео'!$A$7:$A$1508,0)),"ID не найден"))</x:f>
        <x:v>"אתה פותח את המכסה ורואה ים של ג'וקים": יום בחיי המדביר הכי מפורסם במרכז | זום אין</x:v>
      </x:c>
      <x:c r="N305" s="10" t="str"/>
      <x:c r="O305" s="10" t="str">
        <x:f>IF(D305="","",IF(COUNTIFS('Видео'!$A$7:$A$1508,D305)=1,INDEX('Видео'!$M$7:$M$1508,MATCH(D305,'Видео'!$A$7:$A$1508,0)),"ID не найден"))</x:f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05" s="11" t="str">
        <x:f>IF(D305="","",IF(COUNTIFS('Видео'!$A$7:$A$1508,D305)=1,INDEX('Видео'!$U$7:$U$1508,MATCH(D305,'Видео'!$A$7:$A$1508,0)),"ID не найден"))</x:f>
        <x:v>https://www.youtube.com/watch?v=UKww1xabTNQ</x:v>
      </x:c>
      <x:c r="Q305" s="17" t="str">
        <x:v>Предложено</x:v>
      </x:c>
      <x:c r="R305" s="17" t="str"/>
      <x:c r="S305" s="10" t="str"/>
      <x:c r="T305" s="10" t="str">
        <x:v>При недоступной серии приостановить сюжетную ветку; резерв — самостоятельное видео</x:v>
      </x:c>
      <x:c r="U305" s="9" t="str">
        <x:f>IF(D305="","Выбрать видео",IF(COUNTIFS($D$7:$D$371,D305)&gt;1,"Повтор","Без повтора"))</x:f>
        <x:v>Без повтора</x:v>
      </x:c>
    </x:row>
    <x:row r="306" ht="60" customHeight="1">
      <x:c r="A306" s="16" t="n">
        <x:v>46608</x:v>
      </x:c>
      <x:c r="B306" s="9" t="str">
        <x:v>Пн</x:v>
      </x:c>
      <x:c r="C306" s="10" t="str">
        <x:v>Интервью</x:v>
      </x:c>
      <x:c r="D306" s="19" t="str">
        <x:v>z0laQ_uztXA</x:v>
      </x:c>
      <x:c r="E306" s="10" t="str">
        <x:f>IF(D306="","",IF(COUNTIFS('Видео'!$A$7:$A$1508,D306)=1,INDEX('Видео'!$B$7:$B$1508,MATCH(D306,'Видео'!$A$7:$A$1508,0)),"ID не найден"))</x:f>
        <x:v>פגישה עם רוני קובן עונה 8 | ליאור רז</x:v>
      </x:c>
      <x:c r="F306" s="9" t="str">
        <x:f>IF(D306="","",IF(COUNTIFS('Видео'!$A$7:$A$1508,D306)=1,INDEX('Видео'!$R$7:$R$1508,MATCH(D306,'Видео'!$A$7:$A$1508,0)),"ID не найден"))</x:f>
        <x:v>C015</x:v>
      </x:c>
      <x:c r="G306" s="9" t="str">
        <x:f>IF(D306="","",IF(COUNTIFS('Видео'!$A$7:$A$1508,D306)=1,INDEX('Видео'!$D$7:$D$1508,MATCH(D306,'Видео'!$A$7:$A$1508,0)),"ID не найден"))</x:f>
        <x:v>Интервью</x:v>
      </x:c>
      <x:c r="H306" s="10" t="str">
        <x:f>IF(D306="","",IF(COUNTIFS('Видео'!$A$7:$A$1508,D306)=1,INDEX('Видео'!$F$7:$F$1508,MATCH(D306,'Видео'!$A$7:$A$1508,0)),"ID не найден"))</x:f>
        <x:v>B2–C1 (гипотеза)</x:v>
      </x:c>
      <x:c r="I306" s="18" t="n">
        <x:f>IF(D306="","",IF(COUNTIFS('Видео'!$A$7:$A$1508,D306)=1,INDEX('Видео'!$G$7:$G$1508,MATCH(D306,'Видео'!$A$7:$A$1508,0)),"ID не найден"))</x:f>
        <x:v>30</x:v>
      </x:c>
      <x:c r="J306" s="18" t="n">
        <x:v>10</x:v>
      </x:c>
      <x:c r="K306" s="10" t="str">
        <x:f>IF(D306="","",IF(COUNTIFS('Видео'!$A$7:$A$1508,D306)=1,INDEX('Видео'!$AI$7:$AI$1508,MATCH(D306,'Видео'!$A$7:$A$1508,0)),"ID не найден"))</x:f>
        <x:v>Нужна редактура</x:v>
      </x:c>
      <x:c r="L306" s="19" t="str">
        <x:v>lTKIKRqd014</x:v>
      </x:c>
      <x:c r="M306" s="10" t="str">
        <x:f>IF(L306="","",IF(COUNTIFS('Видео'!$A$7:$A$1508,L306)=1,INDEX('Видео'!$B$7:$B$1508,MATCH(L306,'Видео'!$A$7:$A$1508,0)),"ID не найден"))</x:f>
        <x:v>פגישה עם רוני קובן עונה 7 | פרק 4 - קורין אלאל</x:v>
      </x:c>
      <x:c r="N306" s="10" t="str"/>
      <x:c r="O306" s="10" t="str">
        <x:f>IF(D306="","",IF(COUNTIFS('Видео'!$A$7:$A$1508,D306)=1,INDEX('Видео'!$M$7:$M$1508,MATCH(D306,'Видео'!$A$7:$A$1508,0)),"ID не найден"))</x:f>
        <x:v>Тема / гость: ליאור רז. Просмотры в списке выше медианы выборки этого цикла в 2.03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306" s="11" t="str">
        <x:f>IF(D306="","",IF(COUNTIFS('Видео'!$A$7:$A$1508,D306)=1,INDEX('Видео'!$U$7:$U$1508,MATCH(D306,'Видео'!$A$7:$A$1508,0)),"ID не найден"))</x:f>
        <x:v>https://www.youtube.com/watch?v=z0laQ_uztXA</x:v>
      </x:c>
      <x:c r="Q306" s="17" t="str">
        <x:v>Предложено</x:v>
      </x:c>
      <x:c r="R306" s="17" t="str"/>
      <x:c r="S306" s="10" t="str"/>
      <x:c r="T306" s="10" t="str">
        <x:v>Резерв меняет выбор видео; снова проверить повод, аудиторию и все редакторские условия</x:v>
      </x:c>
      <x:c r="U306" s="9" t="str">
        <x:f>IF(D306="","Выбрать видео",IF(COUNTIFS($D$7:$D$371,D306)&gt;1,"Повтор","Без повтора"))</x:f>
        <x:v>Без повтора</x:v>
      </x:c>
    </x:row>
    <x:row r="307" ht="60" customHeight="1">
      <x:c r="A307" s="16" t="n">
        <x:v>46609</x:v>
      </x:c>
      <x:c r="B307" s="9" t="str">
        <x:v>Вт</x:v>
      </x:c>
      <x:c r="C307" s="10" t="str">
        <x:v>Образование</x:v>
      </x:c>
      <x:c r="D307" s="19" t="str">
        <x:v>T7QhPlZGkFU</x:v>
      </x:c>
      <x:c r="E307" s="10" t="str">
        <x:f>IF(D307="","",IF(COUNTIFS('Видео'!$A$7:$A$1508,D307)=1,INDEX('Видео'!$B$7:$B$1508,MATCH(D307,'Видео'!$A$7:$A$1508,0)),"ID не найден"))</x:f>
        <x:v>האם החרם על קשיות הפלסטיק יציל את כדור הארץ? 🥤 | הכל סביבה</x:v>
      </x:c>
      <x:c r="F307" s="9" t="str">
        <x:f>IF(D307="","",IF(COUNTIFS('Видео'!$A$7:$A$1508,D307)=1,INDEX('Видео'!$R$7:$R$1508,MATCH(D307,'Видео'!$A$7:$A$1508,0)),"ID не найден"))</x:f>
        <x:v>C050</x:v>
      </x:c>
      <x:c r="G307" s="9" t="str">
        <x:f>IF(D307="","",IF(COUNTIFS('Видео'!$A$7:$A$1508,D307)=1,INDEX('Видео'!$D$7:$D$1508,MATCH(D307,'Видео'!$A$7:$A$1508,0)),"ID не найден"))</x:f>
        <x:v>Образование</x:v>
      </x:c>
      <x:c r="H307" s="10" t="str">
        <x:f>IF(D307="","",IF(COUNTIFS('Видео'!$A$7:$A$1508,D307)=1,INDEX('Видео'!$F$7:$F$1508,MATCH(D307,'Видео'!$A$7:$A$1508,0)),"ID не найден"))</x:f>
        <x:v>B1–B2 (гипотеза)</x:v>
      </x:c>
      <x:c r="I307" s="18" t="n">
        <x:f>IF(D307="","",IF(COUNTIFS('Видео'!$A$7:$A$1508,D307)=1,INDEX('Видео'!$G$7:$G$1508,MATCH(D307,'Видео'!$A$7:$A$1508,0)),"ID не найден"))</x:f>
        <x:v>5.3</x:v>
      </x:c>
      <x:c r="J307" s="18" t="n">
        <x:v>5</x:v>
      </x:c>
      <x:c r="K307" s="10" t="str">
        <x:f>IF(D307="","",IF(COUNTIFS('Видео'!$A$7:$A$1508,D307)=1,INDEX('Видео'!$AI$7:$AI$1508,MATCH(D307,'Видео'!$A$7:$A$1508,0)),"ID не найден"))</x:f>
        <x:v>Нужна редактура</x:v>
      </x:c>
      <x:c r="L307" s="19" t="str">
        <x:v>-b0AzuqVlas</x:v>
      </x:c>
      <x:c r="M307" s="10" t="str">
        <x:f>IF(L307="","",IF(COUNTIFS('Видео'!$A$7:$A$1508,L307)=1,INDEX('Видео'!$B$7:$B$1508,MATCH(L307,'Видео'!$A$7:$A$1508,0)),"ID не найден"))</x:f>
        <x:v>גלילאו עונה 9 | ארוחה מגזע עץ זה טעים? 🌳</x:v>
      </x:c>
      <x:c r="N307" s="10" t="str"/>
      <x:c r="O307" s="10" t="str">
        <x:f>IF(D307="","",IF(COUNTIFS('Видео'!$A$7:$A$1508,D307)=1,INDEX('Видео'!$M$7:$M$1508,MATCH(D307,'Видео'!$A$7:$A$1508,0)),"ID не найден"))</x:f>
        <x:v>Завершённый короткий просмотр около 5 мин. Экология вводит темы за пределами истории и политики и даёт визуально понятные объяснения.</x:v>
      </x:c>
      <x:c r="P307" s="11" t="str">
        <x:f>IF(D307="","",IF(COUNTIFS('Видео'!$A$7:$A$1508,D307)=1,INDEX('Видео'!$U$7:$U$1508,MATCH(D307,'Видео'!$A$7:$A$1508,0)),"ID не найден"))</x:f>
        <x:v>https://www.youtube.com/watch?v=T7QhPlZGkFU</x:v>
      </x:c>
      <x:c r="Q307" s="17" t="str">
        <x:v>Предложено</x:v>
      </x:c>
      <x:c r="R307" s="17" t="str"/>
      <x:c r="S307" s="10" t="str"/>
      <x:c r="T307" s="10" t="str">
        <x:v>Резерв меняет выбор видео; снова проверить повод, аудиторию и все редакторские условия</x:v>
      </x:c>
      <x:c r="U307" s="9" t="str">
        <x:f>IF(D307="","Выбрать видео",IF(COUNTIFS($D$7:$D$371,D307)&gt;1,"Повтор","Без повтора"))</x:f>
        <x:v>Без повтора</x:v>
      </x:c>
    </x:row>
    <x:row r="308" ht="60" customHeight="1">
      <x:c r="A308" s="16" t="n">
        <x:v>46610</x:v>
      </x:c>
      <x:c r="B308" s="9" t="str">
        <x:v>Ср</x:v>
      </x:c>
      <x:c r="C308" s="10" t="str">
        <x:v>Быт</x:v>
      </x:c>
      <x:c r="D308" s="19" t="str">
        <x:v>nqOkc_XaZoQ</x:v>
      </x:c>
      <x:c r="E308" s="10" t="str">
        <x:f>IF(D308="","",IF(COUNTIFS('Видео'!$A$7:$A$1508,D308)=1,INDEX('Видео'!$B$7:$B$1508,MATCH(D308,'Видео'!$A$7:$A$1508,0)),"ID не найден"))</x:f>
        <x:v>ליגה ג' ⚽ | הסורים על הגדרות - פרק 4</x:v>
      </x:c>
      <x:c r="F308" s="9" t="str">
        <x:f>IF(D308="","",IF(COUNTIFS('Видео'!$A$7:$A$1508,D308)=1,INDEX('Видео'!$R$7:$R$1508,MATCH(D308,'Видео'!$A$7:$A$1508,0)),"ID не найден"))</x:f>
        <x:v>C039</x:v>
      </x:c>
      <x:c r="G308" s="9" t="str">
        <x:f>IF(D308="","",IF(COUNTIFS('Видео'!$A$7:$A$1508,D308)=1,INDEX('Видео'!$D$7:$D$1508,MATCH(D308,'Видео'!$A$7:$A$1508,0)),"ID не найден"))</x:f>
        <x:v>Быт</x:v>
      </x:c>
      <x:c r="H308" s="10" t="str">
        <x:f>IF(D308="","",IF(COUNTIFS('Видео'!$A$7:$A$1508,D308)=1,INDEX('Видео'!$F$7:$F$1508,MATCH(D308,'Видео'!$A$7:$A$1508,0)),"ID не найден"))</x:f>
        <x:v>B2–C1 (гипотеза)</x:v>
      </x:c>
      <x:c r="I308" s="18" t="n">
        <x:f>IF(D308="","",IF(COUNTIFS('Видео'!$A$7:$A$1508,D308)=1,INDEX('Видео'!$G$7:$G$1508,MATCH(D308,'Видео'!$A$7:$A$1508,0)),"ID не найден"))</x:f>
        <x:v>39.3</x:v>
      </x:c>
      <x:c r="J308" s="18" t="n">
        <x:v>10</x:v>
      </x:c>
      <x:c r="K308" s="10" t="str">
        <x:f>IF(D308="","",IF(COUNTIFS('Видео'!$A$7:$A$1508,D308)=1,INDEX('Видео'!$AI$7:$AI$1508,MATCH(D308,'Видео'!$A$7:$A$1508,0)),"ID не найден"))</x:f>
        <x:v>Нужна редактура</x:v>
      </x:c>
      <x:c r="L308" s="19" t="str">
        <x:v>bHUv8u9lrOE</x:v>
      </x:c>
      <x:c r="M308" s="10" t="str">
        <x:f>IF(L308="","",IF(COUNTIFS('Видео'!$A$7:$A$1508,L308)=1,INDEX('Видео'!$B$7:$B$1508,MATCH(L308,'Видео'!$A$7:$A$1508,0)),"ID не найден"))</x:f>
        <x:v>שום פלפל ושמן זית עונה 3 | נטע ברזילי</x:v>
      </x:c>
      <x:c r="N308" s="10" t="str"/>
      <x:c r="O308" s="10" t="str">
        <x:f>IF(D308="","",IF(COUNTIFS('Видео'!$A$7:$A$1508,D308)=1,INDEX('Видео'!$M$7:$M$1508,MATCH(D308,'Видео'!$A$7:$A$1508,0)),"ID не найден"))</x:f>
        <x:v>Тема: ליגה ג' ⚽ | הסורים על הגדרות - פרק 4. Любительский футбол показывает местные сообщества вне привычного образа Тель-Авива.</x:v>
      </x:c>
      <x:c r="P308" s="11" t="str">
        <x:f>IF(D308="","",IF(COUNTIFS('Видео'!$A$7:$A$1508,D308)=1,INDEX('Видео'!$U$7:$U$1508,MATCH(D308,'Видео'!$A$7:$A$1508,0)),"ID не найден"))</x:f>
        <x:v>https://www.youtube.com/watch?v=nqOkc_XaZoQ</x:v>
      </x:c>
      <x:c r="Q308" s="17" t="str">
        <x:v>Предложено</x:v>
      </x:c>
      <x:c r="R308" s="17" t="str"/>
      <x:c r="S308" s="10" t="str"/>
      <x:c r="T308" s="10" t="str">
        <x:v>Резерв меняет выбор видео; снова проверить повод, аудиторию и все редакторские условия</x:v>
      </x:c>
      <x:c r="U308" s="9" t="str">
        <x:f>IF(D308="","Выбрать видео",IF(COUNTIFS($D$7:$D$371,D308)&gt;1,"Повтор","Без повтора"))</x:f>
        <x:v>Без повтора</x:v>
      </x:c>
    </x:row>
    <x:row r="309" ht="60" customHeight="1">
      <x:c r="A309" s="16" t="n">
        <x:v>46611</x:v>
      </x:c>
      <x:c r="B309" s="9" t="str">
        <x:v>Чт</x:v>
      </x:c>
      <x:c r="C309" s="10" t="str">
        <x:v>История</x:v>
      </x:c>
      <x:c r="D309" s="19" t="str">
        <x:v>AIdg74K8Cic</x:v>
      </x:c>
      <x:c r="E309" s="10" t="str">
        <x:f>IF(D309="","",IF(COUNTIFS('Видео'!$A$7:$A$1508,D309)=1,INDEX('Видео'!$B$7:$B$1508,MATCH(D309,'Видео'!$A$7:$A$1508,0)),"ID не найден"))</x:f>
        <x:v>והארץ הייתה תוהו ובוהו - תולדות ארץ ישראל | פרק 8: בין עצמאות לחורבן [HD]</x:v>
      </x:c>
      <x:c r="F309" s="9" t="str">
        <x:f>IF(D309="","",IF(COUNTIFS('Видео'!$A$7:$A$1508,D309)=1,INDEX('Видео'!$R$7:$R$1508,MATCH(D309,'Видео'!$A$7:$A$1508,0)),"ID не найден"))</x:f>
        <x:v>C031</x:v>
      </x:c>
      <x:c r="G309" s="9" t="str">
        <x:f>IF(D309="","",IF(COUNTIFS('Видео'!$A$7:$A$1508,D309)=1,INDEX('Видео'!$D$7:$D$1508,MATCH(D309,'Видео'!$A$7:$A$1508,0)),"ID не найден"))</x:f>
        <x:v>История</x:v>
      </x:c>
      <x:c r="H309" s="10" t="str">
        <x:f>IF(D309="","",IF(COUNTIFS('Видео'!$A$7:$A$1508,D309)=1,INDEX('Видео'!$F$7:$F$1508,MATCH(D309,'Видео'!$A$7:$A$1508,0)),"ID не найден"))</x:f>
        <x:v>B2–C1 (гипотеза)</x:v>
      </x:c>
      <x:c r="I309" s="18" t="n">
        <x:f>IF(D309="","",IF(COUNTIFS('Видео'!$A$7:$A$1508,D309)=1,INDEX('Видео'!$G$7:$G$1508,MATCH(D309,'Видео'!$A$7:$A$1508,0)),"ID не найден"))</x:f>
        <x:v>56.6</x:v>
      </x:c>
      <x:c r="J309" s="18" t="n">
        <x:v>10</x:v>
      </x:c>
      <x:c r="K309" s="10" t="str">
        <x:f>IF(D309="","",IF(COUNTIFS('Видео'!$A$7:$A$1508,D309)=1,INDEX('Видео'!$AI$7:$AI$1508,MATCH(D309,'Видео'!$A$7:$A$1508,0)),"ID не найден"))</x:f>
        <x:v>Нужна редактура</x:v>
      </x:c>
      <x:c r="L309" s="19" t="str">
        <x:v>BN54LDsPVzA</x:v>
      </x:c>
      <x:c r="M309" s="10" t="str">
        <x:f>IF(L309="","",IF(COUNTIFS('Видео'!$A$7:$A$1508,L309)=1,INDEX('Видео'!$B$7:$B$1508,MATCH(L309,'Видео'!$A$7:$A$1508,0)),"ID не найден"))</x:f>
        <x:v>תולדות העברית דרך האטימולוגיה | שיעור 4 - ההשכלה והתחייה | אילון גלעד</x:v>
      </x:c>
      <x:c r="N309" s="10" t="str">
        <x:v>Тиша бе-Ав: древняя история</x:v>
      </x:c>
      <x:c r="O309" s="10" t="str">
        <x:f>IF(D309="","",IF(COUNTIFS('Видео'!$A$7:$A$1508,D309)=1,INDEX('Видео'!$M$7:$M$1508,MATCH(D309,'Видео'!$A$7:$A$1508,0)),"ID не найден"))</x:f>
        <x:v>Тема: והארץ הייתה תוהו ובוהו - תולדות ארץ ישראל | פרק 8: בין עצמאות לחורבן [HD]. Цикл расширяет фокус от современной политики до многовековой истории страны. Визуальные материалы поддерживают понимание.</x:v>
      </x:c>
      <x:c r="P309" s="11" t="str">
        <x:f>IF(D309="","",IF(COUNTIFS('Видео'!$A$7:$A$1508,D309)=1,INDEX('Видео'!$U$7:$U$1508,MATCH(D309,'Видео'!$A$7:$A$1508,0)),"ID не найден"))</x:f>
        <x:v>https://www.youtube.com/watch?v=AIdg74K8Cic</x:v>
      </x:c>
      <x:c r="Q309" s="17" t="str">
        <x:v>Предложено</x:v>
      </x:c>
      <x:c r="R309" s="17" t="str"/>
      <x:c r="S309" s="10" t="str">
        <x:v>https://www.hebcal.com/holidays/2027?i=on</x:v>
      </x:c>
      <x:c r="T309" s="10" t="str">
        <x:v>Резерв меняет выбор видео; снова проверить повод, аудиторию и все редакторские условия</x:v>
      </x:c>
      <x:c r="U309" s="9" t="str">
        <x:f>IF(D309="","Выбрать видео",IF(COUNTIFS($D$7:$D$371,D309)&gt;1,"Повтор","Без повтора"))</x:f>
        <x:v>Без повтора</x:v>
      </x:c>
    </x:row>
    <x:row r="310" ht="60" customHeight="1">
      <x:c r="A310" s="16" t="n">
        <x:v>46612</x:v>
      </x:c>
      <x:c r="B310" s="9" t="str">
        <x:v>Пт</x:v>
      </x:c>
      <x:c r="C310" s="10" t="str">
        <x:v>Культура</x:v>
      </x:c>
      <x:c r="D310" s="19" t="str">
        <x:v>8t0g5hUE9RA</x:v>
      </x:c>
      <x:c r="E310" s="10" t="str">
        <x:f>IF(D310="","",IF(COUNTIFS('Видео'!$A$7:$A$1508,D310)=1,INDEX('Видео'!$B$7:$B$1508,MATCH(D310,'Видео'!$A$7:$A$1508,0)),"ID не найден"))</x:f>
        <x:v>סיפורו של בעל הקורא והחלום המטלטל של הרב</x:v>
      </x:c>
      <x:c r="F310" s="9" t="str">
        <x:f>IF(D310="","",IF(COUNTIFS('Видео'!$A$7:$A$1508,D310)=1,INDEX('Видео'!$R$7:$R$1508,MATCH(D310,'Видео'!$A$7:$A$1508,0)),"ID не найден"))</x:f>
        <x:v>C085</x:v>
      </x:c>
      <x:c r="G310" s="9" t="str">
        <x:f>IF(D310="","",IF(COUNTIFS('Видео'!$A$7:$A$1508,D310)=1,INDEX('Видео'!$D$7:$D$1508,MATCH(D310,'Видео'!$A$7:$A$1508,0)),"ID не найден"))</x:f>
        <x:v>Культура</x:v>
      </x:c>
      <x:c r="H310" s="10" t="str">
        <x:f>IF(D310="","",IF(COUNTIFS('Видео'!$A$7:$A$1508,D310)=1,INDEX('Видео'!$F$7:$F$1508,MATCH(D310,'Видео'!$A$7:$A$1508,0)),"ID не найден"))</x:f>
        <x:v>B1–B2 (гипотеза)</x:v>
      </x:c>
      <x:c r="I310" s="18" t="n">
        <x:f>IF(D310="","",IF(COUNTIFS('Видео'!$A$7:$A$1508,D310)=1,INDEX('Видео'!$G$7:$G$1508,MATCH(D310,'Видео'!$A$7:$A$1508,0)),"ID не найден"))</x:f>
        <x:v>2</x:v>
      </x:c>
      <x:c r="J310" s="18" t="n">
        <x:v>5</x:v>
      </x:c>
      <x:c r="K310" s="10" t="str">
        <x:f>IF(D310="","",IF(COUNTIFS('Видео'!$A$7:$A$1508,D310)=1,INDEX('Видео'!$AI$7:$AI$1508,MATCH(D310,'Видео'!$A$7:$A$1508,0)),"ID не найден"))</x:f>
        <x:v>Нужна редактура</x:v>
      </x:c>
      <x:c r="L310" s="19" t="str">
        <x:v>_74P_HjxlJ4</x:v>
      </x:c>
      <x:c r="M310" s="10" t="str">
        <x:f>IF(L310="","",IF(COUNTIFS('Видео'!$A$7:$A$1508,L310)=1,INDEX('Видео'!$B$7:$B$1508,MATCH(L310,'Видео'!$A$7:$A$1508,0)),"ID не найден"))</x:f>
        <x:v>סיפורים מהכורסה 🛋️ | על גוף ונפש - פרק 2</x:v>
      </x:c>
      <x:c r="N310" s="10" t="str"/>
      <x:c r="O310" s="10" t="str">
        <x:f>IF(D310="","",IF(COUNTIFS('Видео'!$A$7:$A$1508,D310)=1,INDEX('Видео'!$M$7:$M$1508,MATCH(D310,'Видео'!$A$7:$A$1508,0)),"ID не найден"))</x:f>
        <x:v>Завершённый короткий просмотр около 2 мин. Просмотры в списке выше медианы выборки этого цикла в 1.67 раза. Истории мудрецов Востока расширяют предложение для традиционно ориентированных зрителей.</x:v>
      </x:c>
      <x:c r="P310" s="11" t="str">
        <x:f>IF(D310="","",IF(COUNTIFS('Видео'!$A$7:$A$1508,D310)=1,INDEX('Видео'!$U$7:$U$1508,MATCH(D310,'Видео'!$A$7:$A$1508,0)),"ID не найден"))</x:f>
        <x:v>https://www.youtube.com/watch?v=8t0g5hUE9RA</x:v>
      </x:c>
      <x:c r="Q310" s="17" t="str">
        <x:v>Предложено</x:v>
      </x:c>
      <x:c r="R310" s="17" t="str"/>
      <x:c r="S310" s="10" t="str"/>
      <x:c r="T310" s="10" t="str">
        <x:v>Резерв меняет выбор видео; снова проверить повод, аудиторию и все редакторские условия</x:v>
      </x:c>
      <x:c r="U310" s="9" t="str">
        <x:f>IF(D310="","Выбрать видео",IF(COUNTIFS($D$7:$D$371,D310)&gt;1,"Повтор","Без повтора"))</x:f>
        <x:v>Без повтора</x:v>
      </x:c>
    </x:row>
    <x:row r="311" ht="60" customHeight="1">
      <x:c r="A311" s="16" t="n">
        <x:v>46613</x:v>
      </x:c>
      <x:c r="B311" s="9" t="str">
        <x:v>Сб</x:v>
      </x:c>
      <x:c r="C311" s="10" t="str">
        <x:v>Общество</x:v>
      </x:c>
      <x:c r="D311" s="19" t="str">
        <x:v>NODZW79ovrs</x:v>
      </x:c>
      <x:c r="E311" s="10" t="str">
        <x:f>IF(D311="","",IF(COUNTIFS('Видео'!$A$7:$A$1508,D311)=1,INDEX('Видео'!$B$7:$B$1508,MATCH(D311,'Видео'!$A$7:$A$1508,0)),"ID не найден"))</x:f>
        <x:v>איך הגיע נער בן 17 למעצר במרתפי השב״כ?</x:v>
      </x:c>
      <x:c r="F311" s="9" t="str">
        <x:f>IF(D311="","",IF(COUNTIFS('Видео'!$A$7:$A$1508,D311)=1,INDEX('Видео'!$R$7:$R$1508,MATCH(D311,'Видео'!$A$7:$A$1508,0)),"ID не найден"))</x:f>
        <x:v>C081</x:v>
      </x:c>
      <x:c r="G311" s="9" t="str">
        <x:f>IF(D311="","",IF(COUNTIFS('Видео'!$A$7:$A$1508,D311)=1,INDEX('Видео'!$D$7:$D$1508,MATCH(D311,'Видео'!$A$7:$A$1508,0)),"ID не найден"))</x:f>
        <x:v>Общество</x:v>
      </x:c>
      <x:c r="H311" s="10" t="str">
        <x:f>IF(D311="","",IF(COUNTIFS('Видео'!$A$7:$A$1508,D311)=1,INDEX('Видео'!$F$7:$F$1508,MATCH(D311,'Видео'!$A$7:$A$1508,0)),"ID не найден"))</x:f>
        <x:v>B2–C1 (гипотеза)</x:v>
      </x:c>
      <x:c r="I311" s="18" t="n">
        <x:f>IF(D311="","",IF(COUNTIFS('Видео'!$A$7:$A$1508,D311)=1,INDEX('Видео'!$G$7:$G$1508,MATCH(D311,'Видео'!$A$7:$A$1508,0)),"ID не найден"))</x:f>
        <x:v>6.6</x:v>
      </x:c>
      <x:c r="J311" s="18" t="n">
        <x:v>5</x:v>
      </x:c>
      <x:c r="K311" s="10" t="str">
        <x:f>IF(D311="","",IF(COUNTIFS('Видео'!$A$7:$A$1508,D311)=1,INDEX('Видео'!$AI$7:$AI$1508,MATCH(D311,'Видео'!$A$7:$A$1508,0)),"ID не найден"))</x:f>
        <x:v>Нужна редактура</x:v>
      </x:c>
      <x:c r="L311" s="19" t="str">
        <x:v>KZYouvJq7hw</x:v>
      </x:c>
      <x:c r="M311" s="10" t="str">
        <x:f>IF(L311="","",IF(COUNTIFS('Видео'!$A$7:$A$1508,L311)=1,INDEX('Видео'!$B$7:$B$1508,MATCH(L311,'Видео'!$A$7:$A$1508,0)),"ID не найден"))</x:f>
        <x:v>כאן מקשיבים: אמי הביולוגית הייתה זונה</x:v>
      </x:c>
      <x:c r="N311" s="10" t="str"/>
      <x:c r="O311" s="10" t="str">
        <x:f>IF(D311="","",IF(COUNTIFS('Видео'!$A$7:$A$1508,D311)=1,INDEX('Видео'!$M$7:$M$1508,MATCH(D311,'Видео'!$A$7:$A$1508,0)),"ID не найден"))</x:f>
        <x:v>Завершённый короткий просмотр около 7 мин. Просмотры в списке выше медианы выборки этого цикла в 4.33 раза. Второй редакционный источник помогает не ограничиваться одной журналистской повесткой.</x:v>
      </x:c>
      <x:c r="P311" s="11" t="str">
        <x:f>IF(D311="","",IF(COUNTIFS('Видео'!$A$7:$A$1508,D311)=1,INDEX('Видео'!$U$7:$U$1508,MATCH(D311,'Видео'!$A$7:$A$1508,0)),"ID не найден"))</x:f>
        <x:v>https://www.youtube.com/watch?v=NODZW79ovrs</x:v>
      </x:c>
      <x:c r="Q311" s="17" t="str">
        <x:v>Предложено</x:v>
      </x:c>
      <x:c r="R311" s="17" t="str"/>
      <x:c r="S311" s="10" t="str"/>
      <x:c r="T311" s="10" t="str">
        <x:v>Резерв меняет выбор видео; снова проверить повод, аудиторию и все редакторские условия</x:v>
      </x:c>
      <x:c r="U311" s="9" t="str">
        <x:f>IF(D311="","Выбрать видео",IF(COUNTIFS($D$7:$D$371,D311)&gt;1,"Повтор","Без повтора"))</x:f>
        <x:v>Без повтора</x:v>
      </x:c>
    </x:row>
    <x:row r="312" ht="60" customHeight="1">
      <x:c r="A312" s="16" t="n">
        <x:v>46614</x:v>
      </x:c>
      <x:c r="B312" s="9" t="str">
        <x:v>Вс</x:v>
      </x:c>
      <x:c r="C312" s="10" t="str">
        <x:v>Сериал</x:v>
      </x:c>
      <x:c r="D312" s="19" t="str">
        <x:v>ihH9gucGRS4</x:v>
      </x:c>
      <x:c r="E312" s="10" t="str">
        <x:f>IF(D312="","",IF(COUNTIFS('Видео'!$A$7:$A$1508,D312)=1,INDEX('Видео'!$B$7:$B$1508,MATCH(D312,'Видео'!$A$7:$A$1508,0)),"ID не найден"))</x:f>
        <x:v>קופה ראשית עונה 5 🛒 | פרק 3 - שברת שילמת</x:v>
      </x:c>
      <x:c r="F312" s="9" t="str">
        <x:f>IF(D312="","",IF(COUNTIFS('Видео'!$A$7:$A$1508,D312)=1,INDEX('Видео'!$R$7:$R$1508,MATCH(D312,'Видео'!$A$7:$A$1508,0)),"ID не найден"))</x:f>
        <x:v>C001</x:v>
      </x:c>
      <x:c r="G312" s="9" t="str">
        <x:f>IF(D312="","",IF(COUNTIFS('Видео'!$A$7:$A$1508,D312)=1,INDEX('Видео'!$D$7:$D$1508,MATCH(D312,'Видео'!$A$7:$A$1508,0)),"ID не найден"))</x:f>
        <x:v>Сериал</x:v>
      </x:c>
      <x:c r="H312" s="10" t="str">
        <x:f>IF(D312="","",IF(COUNTIFS('Видео'!$A$7:$A$1508,D312)=1,INDEX('Видео'!$F$7:$F$1508,MATCH(D312,'Видео'!$A$7:$A$1508,0)),"ID не найден"))</x:f>
        <x:v>B1–B2 (гипотеза)</x:v>
      </x:c>
      <x:c r="I312" s="18" t="n">
        <x:f>IF(D312="","",IF(COUNTIFS('Видео'!$A$7:$A$1508,D312)=1,INDEX('Видео'!$G$7:$G$1508,MATCH(D312,'Видео'!$A$7:$A$1508,0)),"ID не найден"))</x:f>
        <x:v>22.6</x:v>
      </x:c>
      <x:c r="J312" s="18" t="n">
        <x:v>10</x:v>
      </x:c>
      <x:c r="K312" s="10" t="str">
        <x:f>IF(D312="","",IF(COUNTIFS('Видео'!$A$7:$A$1508,D312)=1,INDEX('Видео'!$AI$7:$AI$1508,MATCH(D312,'Видео'!$A$7:$A$1508,0)),"ID не найден"))</x:f>
        <x:v>Нужна редактура</x:v>
      </x:c>
      <x:c r="L312" s="19" t="str">
        <x:v>aPAvVnf2WxM</x:v>
      </x:c>
      <x:c r="M312" s="10" t="str">
        <x:f>IF(L312="","",IF(COUNTIFS('Видео'!$A$7:$A$1508,L312)=1,INDEX('Видео'!$B$7:$B$1508,MATCH(L312,'Видео'!$A$7:$A$1508,0)),"ID не найден"))</x:f>
        <x:v>לחות יובש ועומס חום</x:v>
      </x:c>
      <x:c r="N312" s="10" t="str"/>
      <x:c r="O312" s="10" t="str">
        <x:f>IF(D312="","",IF(COUNTIFS('Видео'!$A$7:$A$1508,D312)=1,INDEX('Видео'!$M$7:$M$1508,MATCH(D312,'Видео'!$A$7:$A$1508,0)),"ID не найден"))</x:f>
        <x:v>Эпизод 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12" s="11" t="str">
        <x:f>IF(D312="","",IF(COUNTIFS('Видео'!$A$7:$A$1508,D312)=1,INDEX('Видео'!$U$7:$U$1508,MATCH(D312,'Видео'!$A$7:$A$1508,0)),"ID не найден"))</x:f>
        <x:v>https://www.youtube.com/watch?v=ihH9gucGRS4</x:v>
      </x:c>
      <x:c r="Q312" s="17" t="str">
        <x:v>Предложено</x:v>
      </x:c>
      <x:c r="R312" s="17" t="str"/>
      <x:c r="S312" s="10" t="str"/>
      <x:c r="T312" s="10" t="str">
        <x:v>При недоступной серии приостановить сюжетную ветку; резерв — самостоятельное видео</x:v>
      </x:c>
      <x:c r="U312" s="9" t="str">
        <x:f>IF(D312="","Выбрать видео",IF(COUNTIFS($D$7:$D$371,D312)&gt;1,"Повтор","Без повтора"))</x:f>
        <x:v>Без повтора</x:v>
      </x:c>
    </x:row>
    <x:row r="313" ht="60" customHeight="1">
      <x:c r="A313" s="16" t="n">
        <x:v>46615</x:v>
      </x:c>
      <x:c r="B313" s="9" t="str">
        <x:v>Пн</x:v>
      </x:c>
      <x:c r="C313" s="10" t="str">
        <x:v>Интервью</x:v>
      </x:c>
      <x:c r="D313" s="19" t="str">
        <x:v>QTET0rZ-CCI</x:v>
      </x:c>
      <x:c r="E313" s="10" t="str">
        <x:f>IF(D313="","",IF(COUNTIFS('Видео'!$A$7:$A$1508,D313)=1,INDEX('Видео'!$B$7:$B$1508,MATCH(D313,'Видео'!$A$7:$A$1508,0)),"ID не найден"))</x:f>
        <x:v>פגישה עם רוני קובן עונה 7 | פרק 12 - ארז טל</x:v>
      </x:c>
      <x:c r="F313" s="9" t="str">
        <x:f>IF(D313="","",IF(COUNTIFS('Видео'!$A$7:$A$1508,D313)=1,INDEX('Видео'!$R$7:$R$1508,MATCH(D313,'Видео'!$A$7:$A$1508,0)),"ID не найден"))</x:f>
        <x:v>C016</x:v>
      </x:c>
      <x:c r="G313" s="9" t="str">
        <x:f>IF(D313="","",IF(COUNTIFS('Видео'!$A$7:$A$1508,D313)=1,INDEX('Видео'!$D$7:$D$1508,MATCH(D313,'Видео'!$A$7:$A$1508,0)),"ID не найден"))</x:f>
        <x:v>Интервью</x:v>
      </x:c>
      <x:c r="H313" s="10" t="str">
        <x:f>IF(D313="","",IF(COUNTIFS('Видео'!$A$7:$A$1508,D313)=1,INDEX('Видео'!$F$7:$F$1508,MATCH(D313,'Видео'!$A$7:$A$1508,0)),"ID не найден"))</x:f>
        <x:v>B2–C1 (гипотеза)</x:v>
      </x:c>
      <x:c r="I313" s="18" t="n">
        <x:f>IF(D313="","",IF(COUNTIFS('Видео'!$A$7:$A$1508,D313)=1,INDEX('Видео'!$G$7:$G$1508,MATCH(D313,'Видео'!$A$7:$A$1508,0)),"ID не найден"))</x:f>
        <x:v>31.7</x:v>
      </x:c>
      <x:c r="J313" s="18" t="n">
        <x:v>10</x:v>
      </x:c>
      <x:c r="K313" s="10" t="str">
        <x:f>IF(D313="","",IF(COUNTIFS('Видео'!$A$7:$A$1508,D313)=1,INDEX('Видео'!$AI$7:$AI$1508,MATCH(D313,'Видео'!$A$7:$A$1508,0)),"ID не найден"))</x:f>
        <x:v>Нужна редактура</x:v>
      </x:c>
      <x:c r="L313" s="19" t="str">
        <x:v>hVRsGzU4A6k</x:v>
      </x:c>
      <x:c r="M313" s="10" t="str">
        <x:f>IF(L313="","",IF(COUNTIFS('Видео'!$A$7:$A$1508,L313)=1,INDEX('Видео'!$B$7:$B$1508,MATCH(L313,'Видео'!$A$7:$A$1508,0)),"ID не найден"))</x:f>
        <x:v>הציבור יותר חכם ממה שנדמה לקמפיינרים. שומר סף 399 עם הפרסומאי נועם פתחי</x:v>
      </x:c>
      <x:c r="N313" s="10" t="str"/>
      <x:c r="O313" s="10" t="str">
        <x:f>IF(D313="","",IF(COUNTIFS('Видео'!$A$7:$A$1508,D313)=1,INDEX('Видео'!$M$7:$M$1508,MATCH(D313,'Видео'!$A$7:$A$1508,0)),"ID не найден"))</x:f>
        <x:v>Тема / гость: פרק 12 - ארז טל. Просмотры в списке выше медианы выборки этого цикла в 2.38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313" s="11" t="str">
        <x:f>IF(D313="","",IF(COUNTIFS('Видео'!$A$7:$A$1508,D313)=1,INDEX('Видео'!$U$7:$U$1508,MATCH(D313,'Видео'!$A$7:$A$1508,0)),"ID не найден"))</x:f>
        <x:v>https://www.youtube.com/watch?v=QTET0rZ-CCI</x:v>
      </x:c>
      <x:c r="Q313" s="17" t="str">
        <x:v>Предложено</x:v>
      </x:c>
      <x:c r="R313" s="17" t="str"/>
      <x:c r="S313" s="10" t="str"/>
      <x:c r="T313" s="10" t="str">
        <x:v>Резерв меняет выбор видео; снова проверить повод, аудиторию и все редакторские условия</x:v>
      </x:c>
      <x:c r="U313" s="9" t="str">
        <x:f>IF(D313="","Выбрать видео",IF(COUNTIFS($D$7:$D$371,D313)&gt;1,"Повтор","Без повтора"))</x:f>
        <x:v>Без повтора</x:v>
      </x:c>
    </x:row>
    <x:row r="314" ht="60" customHeight="1">
      <x:c r="A314" s="16" t="n">
        <x:v>46616</x:v>
      </x:c>
      <x:c r="B314" s="9" t="str">
        <x:v>Вт</x:v>
      </x:c>
      <x:c r="C314" s="10" t="str">
        <x:v>Образование</x:v>
      </x:c>
      <x:c r="D314" s="19" t="str">
        <x:v>D21BVFOBF2c</x:v>
      </x:c>
      <x:c r="E314" s="10" t="str">
        <x:f>IF(D314="","",IF(COUNTIFS('Видео'!$A$7:$A$1508,D314)=1,INDEX('Видео'!$B$7:$B$1508,MATCH(D314,'Видео'!$A$7:$A$1508,0)),"ID не найден"))</x:f>
        <x:v>גלילאו עונה 9 | זה נכון שאנחנו עשויים בעיקר מחיידקים?</x:v>
      </x:c>
      <x:c r="F314" s="9" t="str">
        <x:f>IF(D314="","",IF(COUNTIFS('Видео'!$A$7:$A$1508,D314)=1,INDEX('Видео'!$R$7:$R$1508,MATCH(D314,'Видео'!$A$7:$A$1508,0)),"ID не найден"))</x:f>
        <x:v>C056</x:v>
      </x:c>
      <x:c r="G314" s="9" t="str">
        <x:f>IF(D314="","",IF(COUNTIFS('Видео'!$A$7:$A$1508,D314)=1,INDEX('Видео'!$D$7:$D$1508,MATCH(D314,'Видео'!$A$7:$A$1508,0)),"ID не найден"))</x:f>
        <x:v>Образование</x:v>
      </x:c>
      <x:c r="H314" s="10" t="str">
        <x:f>IF(D314="","",IF(COUNTIFS('Видео'!$A$7:$A$1508,D314)=1,INDEX('Видео'!$F$7:$F$1508,MATCH(D314,'Видео'!$A$7:$A$1508,0)),"ID не найден"))</x:f>
        <x:v>B1–B2 (гипотеза)</x:v>
      </x:c>
      <x:c r="I314" s="18" t="n">
        <x:f>IF(D314="","",IF(COUNTIFS('Видео'!$A$7:$A$1508,D314)=1,INDEX('Видео'!$G$7:$G$1508,MATCH(D314,'Видео'!$A$7:$A$1508,0)),"ID не найден"))</x:f>
        <x:v>24.2</x:v>
      </x:c>
      <x:c r="J314" s="18" t="n">
        <x:v>10</x:v>
      </x:c>
      <x:c r="K314" s="10" t="str">
        <x:f>IF(D314="","",IF(COUNTIFS('Видео'!$A$7:$A$1508,D314)=1,INDEX('Видео'!$AI$7:$AI$1508,MATCH(D314,'Видео'!$A$7:$A$1508,0)),"ID не найден"))</x:f>
        <x:v>Нужна редактура</x:v>
      </x:c>
      <x:c r="L314" s="19" t="str">
        <x:v>KRxH2GyEub4</x:v>
      </x:c>
      <x:c r="M314" s="10" t="str">
        <x:f>IF(L314="","",IF(COUNTIFS('Видео'!$A$7:$A$1508,L314)=1,INDEX('Видео'!$B$7:$B$1508,MATCH(L314,'Видео'!$A$7:$A$1508,0)),"ID не найден"))</x:f>
        <x:v>גלילאו עונה 9 | מה הקשר בין יוטיוב לגלידה? 🍦</x:v>
      </x:c>
      <x:c r="N314" s="10" t="str"/>
      <x:c r="O314" s="10" t="str">
        <x:f>IF(D314="","",IF(COUNTIFS('Видео'!$A$7:$A$1508,D314)=1,INDEX('Видео'!$M$7:$M$1508,MATCH(D314,'Видео'!$A$7:$A$1508,0)),"ID не найден"))</x:f>
        <x:v>Тема: גלילאו עונה 9 | זה נכון שאנחנו עשויים בעיקר מחיידקים?. Просмотры в списке выше медианы выборки этого цикла в 2.25 раза. Ведущий и визуальные демонстрации помогают понимать новые слова. Формат подходит любителям научно-популярного видео.</x:v>
      </x:c>
      <x:c r="P314" s="11" t="str">
        <x:f>IF(D314="","",IF(COUNTIFS('Видео'!$A$7:$A$1508,D314)=1,INDEX('Видео'!$U$7:$U$1508,MATCH(D314,'Видео'!$A$7:$A$1508,0)),"ID не найден"))</x:f>
        <x:v>https://www.youtube.com/watch?v=D21BVFOBF2c</x:v>
      </x:c>
      <x:c r="Q314" s="17" t="str">
        <x:v>Предложено</x:v>
      </x:c>
      <x:c r="R314" s="17" t="str"/>
      <x:c r="S314" s="10" t="str"/>
      <x:c r="T314" s="10" t="str">
        <x:v>Резерв меняет выбор видео; снова проверить повод, аудиторию и все редакторские условия</x:v>
      </x:c>
      <x:c r="U314" s="9" t="str">
        <x:f>IF(D314="","Выбрать видео",IF(COUNTIFS($D$7:$D$371,D314)&gt;1,"Повтор","Без повтора"))</x:f>
        <x:v>Без повтора</x:v>
      </x:c>
    </x:row>
    <x:row r="315" ht="60" customHeight="1">
      <x:c r="A315" s="16" t="n">
        <x:v>46617</x:v>
      </x:c>
      <x:c r="B315" s="9" t="str">
        <x:v>Ср</x:v>
      </x:c>
      <x:c r="C315" s="10" t="str">
        <x:v>Быт</x:v>
      </x:c>
      <x:c r="D315" s="19" t="str">
        <x:v>S_xM55s4_lc</x:v>
      </x:c>
      <x:c r="E315" s="10" t="str">
        <x:f>IF(D315="","",IF(COUNTIFS('Видео'!$A$7:$A$1508,D315)=1,INDEX('Видео'!$B$7:$B$1508,MATCH(D315,'Видео'!$A$7:$A$1508,0)),"ID не найден"))</x:f>
        <x:v>דוקותיים | רכבת בפיג׳מה: איתי אשר הלך לבקר את האנשים שעברו לישון במרחב המוגן בתחנת הרכבת הקלה</x:v>
      </x:c>
      <x:c r="F315" s="9" t="str">
        <x:f>IF(D315="","",IF(COUNTIFS('Видео'!$A$7:$A$1508,D315)=1,INDEX('Видео'!$R$7:$R$1508,MATCH(D315,'Видео'!$A$7:$A$1508,0)),"ID не найден"))</x:f>
        <x:v>C043</x:v>
      </x:c>
      <x:c r="G315" s="9" t="str">
        <x:f>IF(D315="","",IF(COUNTIFS('Видео'!$A$7:$A$1508,D315)=1,INDEX('Видео'!$D$7:$D$1508,MATCH(D315,'Видео'!$A$7:$A$1508,0)),"ID не найден"))</x:f>
        <x:v>Быт</x:v>
      </x:c>
      <x:c r="H315" s="10" t="str">
        <x:f>IF(D315="","",IF(COUNTIFS('Видео'!$A$7:$A$1508,D315)=1,INDEX('Видео'!$F$7:$F$1508,MATCH(D315,'Видео'!$A$7:$A$1508,0)),"ID не найден"))</x:f>
        <x:v>B1–B2 (гипотеза)</x:v>
      </x:c>
      <x:c r="I315" s="18" t="n">
        <x:f>IF(D315="","",IF(COUNTIFS('Видео'!$A$7:$A$1508,D315)=1,INDEX('Видео'!$G$7:$G$1508,MATCH(D315,'Видео'!$A$7:$A$1508,0)),"ID не найден"))</x:f>
        <x:v>2.9</x:v>
      </x:c>
      <x:c r="J315" s="18" t="n">
        <x:v>5</x:v>
      </x:c>
      <x:c r="K315" s="10" t="str">
        <x:f>IF(D315="","",IF(COUNTIFS('Видео'!$A$7:$A$1508,D315)=1,INDEX('Видео'!$AI$7:$AI$1508,MATCH(D315,'Видео'!$A$7:$A$1508,0)),"ID не найден"))</x:f>
        <x:v>Нужна редактура</x:v>
      </x:c>
      <x:c r="L315" s="19" t="str">
        <x:v>diQre3cw_xE</x:v>
      </x:c>
      <x:c r="M315" s="10" t="str">
        <x:f>IF(L315="","",IF(COUNTIFS('Видео'!$A$7:$A$1508,L315)=1,INDEX('Видео'!$B$7:$B$1508,MATCH(L315,'Видео'!$A$7:$A$1508,0)),"ID не найден"))</x:f>
        <x:v>בואו לאכול איתי עונה 8 | צפון - חלק ד' (פרק 4)</x:v>
      </x:c>
      <x:c r="N315" s="10" t="str"/>
      <x:c r="O315" s="10" t="str">
        <x:f>IF(D315="","",IF(COUNTIFS('Видео'!$A$7:$A$1508,D315)=1,INDEX('Видео'!$M$7:$M$1508,MATCH(D315,'Видео'!$A$7:$A$1508,0)),"ID не найден"))</x:f>
        <x:v>Завершённый короткий просмотр около 3 мин. Просмотры в списке выше медианы выборки этого цикла в 3.72 раза. Короткая история реального человека подходит для ежедневной привычки. Разные профессии и места расширяют взгляд на страну.</x:v>
      </x:c>
      <x:c r="P315" s="11" t="str">
        <x:f>IF(D315="","",IF(COUNTIFS('Видео'!$A$7:$A$1508,D315)=1,INDEX('Видео'!$U$7:$U$1508,MATCH(D315,'Видео'!$A$7:$A$1508,0)),"ID не найден"))</x:f>
        <x:v>https://www.youtube.com/watch?v=S_xM55s4_lc</x:v>
      </x:c>
      <x:c r="Q315" s="17" t="str">
        <x:v>Предложено</x:v>
      </x:c>
      <x:c r="R315" s="17" t="str"/>
      <x:c r="S315" s="10" t="str"/>
      <x:c r="T315" s="10" t="str">
        <x:v>Резерв меняет выбор видео; снова проверить повод, аудиторию и все редакторские условия</x:v>
      </x:c>
      <x:c r="U315" s="9" t="str">
        <x:f>IF(D315="","Выбрать видео",IF(COUNTIFS($D$7:$D$371,D315)&gt;1,"Повтор","Без повтора"))</x:f>
        <x:v>Без повтора</x:v>
      </x:c>
    </x:row>
    <x:row r="316" ht="60" customHeight="1">
      <x:c r="A316" s="16" t="n">
        <x:v>46618</x:v>
      </x:c>
      <x:c r="B316" s="9" t="str">
        <x:v>Чт</x:v>
      </x:c>
      <x:c r="C316" s="10" t="str">
        <x:v>Сериал</x:v>
      </x:c>
      <x:c r="D316" s="19" t="str">
        <x:v>dP98MQMoNIc</x:v>
      </x:c>
      <x:c r="E316" s="10" t="str">
        <x:f>IF(D316="","",IF(COUNTIFS('Видео'!$A$7:$A$1508,D316)=1,INDEX('Видео'!$B$7:$B$1508,MATCH(D316,'Видео'!$A$7:$A$1508,0)),"ID не найден"))</x:f>
        <x:v>כראמל 🐱 | אל תוך היער - פרק 12</x:v>
      </x:c>
      <x:c r="F316" s="9" t="str">
        <x:f>IF(D316="","",IF(COUNTIFS('Видео'!$A$7:$A$1508,D316)=1,INDEX('Видео'!$R$7:$R$1508,MATCH(D316,'Видео'!$A$7:$A$1508,0)),"ID не найден"))</x:f>
        <x:v>C053</x:v>
      </x:c>
      <x:c r="G316" s="9" t="str">
        <x:f>IF(D316="","",IF(COUNTIFS('Видео'!$A$7:$A$1508,D316)=1,INDEX('Видео'!$D$7:$D$1508,MATCH(D316,'Видео'!$A$7:$A$1508,0)),"ID не найден"))</x:f>
        <x:v>Сериал</x:v>
      </x:c>
      <x:c r="H316" s="10" t="str">
        <x:f>IF(D316="","",IF(COUNTIFS('Видео'!$A$7:$A$1508,D316)=1,INDEX('Видео'!$F$7:$F$1508,MATCH(D316,'Видео'!$A$7:$A$1508,0)),"ID не найден"))</x:f>
        <x:v>A2–B1 (гипотеза)</x:v>
      </x:c>
      <x:c r="I316" s="18" t="n">
        <x:f>IF(D316="","",IF(COUNTIFS('Видео'!$A$7:$A$1508,D316)=1,INDEX('Видео'!$G$7:$G$1508,MATCH(D316,'Видео'!$A$7:$A$1508,0)),"ID не найден"))</x:f>
        <x:v>27.3</x:v>
      </x:c>
      <x:c r="J316" s="18" t="n">
        <x:v>10</x:v>
      </x:c>
      <x:c r="K316" s="10" t="str">
        <x:f>IF(D316="","",IF(COUNTIFS('Видео'!$A$7:$A$1508,D316)=1,INDEX('Видео'!$AI$7:$AI$1508,MATCH(D316,'Видео'!$A$7:$A$1508,0)),"ID не найден"))</x:f>
        <x:v>Нужна редактура</x:v>
      </x:c>
      <x:c r="L316" s="19" t="str">
        <x:v>lF03IYL6T-E</x:v>
      </x:c>
      <x:c r="M316" s="10" t="str">
        <x:f>IF(L316="","",IF(COUNTIFS('Видео'!$A$7:$A$1508,L316)=1,INDEX('Видео'!$B$7:$B$1508,MATCH(L316,'Видео'!$A$7:$A$1508,0)),"ID не найден"))</x:f>
        <x:v>ניסוי חבצלות מים - מדע בבית שצולם בבית, בסגר</x:v>
      </x:c>
      <x:c r="N316" s="10" t="str"/>
      <x:c r="O316" s="10" t="str">
        <x:f>IF(D316="","",IF(COUNTIFS('Видео'!$A$7:$A$1508,D316)=1,INDEX('Видео'!$M$7:$M$1508,MATCH(D316,'Видео'!$A$7:$A$1508,0)),"ID не найден"))</x:f>
        <x:v>Эпизод 12 в знакомой сюжетной ветке.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P316" s="11" t="str">
        <x:f>IF(D316="","",IF(COUNTIFS('Видео'!$A$7:$A$1508,D316)=1,INDEX('Видео'!$U$7:$U$1508,MATCH(D316,'Видео'!$A$7:$A$1508,0)),"ID не найден"))</x:f>
        <x:v>https://www.youtube.com/watch?v=dP98MQMoNIc</x:v>
      </x:c>
      <x:c r="Q316" s="17" t="str">
        <x:v>Предложено</x:v>
      </x:c>
      <x:c r="R316" s="17" t="str"/>
      <x:c r="S316" s="10" t="str"/>
      <x:c r="T316" s="10" t="str">
        <x:v>При недоступной серии приостановить сюжетную ветку; резерв — самостоятельное видео</x:v>
      </x:c>
      <x:c r="U316" s="9" t="str">
        <x:f>IF(D316="","Выбрать видео",IF(COUNTIFS($D$7:$D$371,D316)&gt;1,"Повтор","Без повтора"))</x:f>
        <x:v>Без повтора</x:v>
      </x:c>
    </x:row>
    <x:row r="317" ht="60" customHeight="1">
      <x:c r="A317" s="16" t="n">
        <x:v>46619</x:v>
      </x:c>
      <x:c r="B317" s="9" t="str">
        <x:v>Пт</x:v>
      </x:c>
      <x:c r="C317" s="10" t="str">
        <x:v>История</x:v>
      </x:c>
      <x:c r="D317" s="19" t="str">
        <x:v>VasSTIEP8Tk</x:v>
      </x:c>
      <x:c r="E317" s="10" t="str">
        <x:f>IF(D317="","",IF(COUNTIFS('Видео'!$A$7:$A$1508,D317)=1,INDEX('Видео'!$B$7:$B$1508,MATCH(D317,'Видео'!$A$7:$A$1508,0)),"ID не найден"))</x:f>
        <x:v>תלמודו של עגנון | שיעור 2 - שני תלמידי חכמים | פרופ' חיים וייס</x:v>
      </x:c>
      <x:c r="F317" s="9" t="str">
        <x:f>IF(D317="","",IF(COUNTIFS('Видео'!$A$7:$A$1508,D317)=1,INDEX('Видео'!$R$7:$R$1508,MATCH(D317,'Видео'!$A$7:$A$1508,0)),"ID не найден"))</x:f>
        <x:v>C071</x:v>
      </x:c>
      <x:c r="G317" s="9" t="str">
        <x:f>IF(D317="","",IF(COUNTIFS('Видео'!$A$7:$A$1508,D317)=1,INDEX('Видео'!$D$7:$D$1508,MATCH(D317,'Видео'!$A$7:$A$1508,0)),"ID не найден"))</x:f>
        <x:v>История</x:v>
      </x:c>
      <x:c r="H317" s="10" t="str">
        <x:f>IF(D317="","",IF(COUNTIFS('Видео'!$A$7:$A$1508,D317)=1,INDEX('Видео'!$F$7:$F$1508,MATCH(D317,'Видео'!$A$7:$A$1508,0)),"ID не найден"))</x:f>
        <x:v>B2–C1 (гипотеза)</x:v>
      </x:c>
      <x:c r="I317" s="18" t="n">
        <x:f>IF(D317="","",IF(COUNTIFS('Видео'!$A$7:$A$1508,D317)=1,INDEX('Видео'!$G$7:$G$1508,MATCH(D317,'Видео'!$A$7:$A$1508,0)),"ID не найден"))</x:f>
        <x:v>42.8</x:v>
      </x:c>
      <x:c r="J317" s="18" t="n">
        <x:v>10</x:v>
      </x:c>
      <x:c r="K317" s="10" t="str">
        <x:f>IF(D317="","",IF(COUNTIFS('Видео'!$A$7:$A$1508,D317)=1,INDEX('Видео'!$AI$7:$AI$1508,MATCH(D317,'Видео'!$A$7:$A$1508,0)),"ID не найден"))</x:f>
        <x:v>Нужна редактура</x:v>
      </x:c>
      <x:c r="L317" s="19" t="str">
        <x:v>MYN-SusMbco</x:v>
      </x:c>
      <x:c r="M317" s="10" t="str">
        <x:f>IF(L317="","",IF(COUNTIFS('Видео'!$A$7:$A$1508,L317)=1,INDEX('Видео'!$B$7:$B$1508,MATCH(L317,'Видео'!$A$7:$A$1508,0)),"ID не найден"))</x:f>
        <x:v>ריצוי, מחילה וכשלון אצל חז"ל | שיעור 4 – מאן סליק לעילא ואתא ואמר? | ד"ר איתי מרינברג-מיליקובסקי</x:v>
      </x:c>
      <x:c r="N317" s="10" t="str"/>
      <x:c r="O317" s="10" t="str">
        <x:f>IF(D317="","",IF(COUNTIFS('Видео'!$A$7:$A$1508,D317)=1,INDEX('Видео'!$M$7:$M$1508,MATCH(D317,'Видео'!$A$7:$A$1508,0)),"ID не найден"))</x:f>
        <x:v>Тема: תלמודו של עגנון | שיעור 2 - שני תלמידי חכמים | פרופ' חיים וייס. Агнон связывает классическую литературу и еврейскую текстовую традицию.</x:v>
      </x:c>
      <x:c r="P317" s="11" t="str">
        <x:f>IF(D317="","",IF(COUNTIFS('Видео'!$A$7:$A$1508,D317)=1,INDEX('Видео'!$U$7:$U$1508,MATCH(D317,'Видео'!$A$7:$A$1508,0)),"ID не найден"))</x:f>
        <x:v>https://www.youtube.com/watch?v=VasSTIEP8Tk</x:v>
      </x:c>
      <x:c r="Q317" s="17" t="str">
        <x:v>Предложено</x:v>
      </x:c>
      <x:c r="R317" s="17" t="str"/>
      <x:c r="S317" s="10" t="str"/>
      <x:c r="T317" s="10" t="str">
        <x:v>Резерв меняет выбор видео; снова проверить повод, аудиторию и все редакторские условия</x:v>
      </x:c>
      <x:c r="U317" s="9" t="str">
        <x:f>IF(D317="","Выбрать видео",IF(COUNTIFS($D$7:$D$371,D317)&gt;1,"Повтор","Без повтора"))</x:f>
        <x:v>Без повтора</x:v>
      </x:c>
    </x:row>
    <x:row r="318" ht="60" customHeight="1">
      <x:c r="A318" s="16" t="n">
        <x:v>46620</x:v>
      </x:c>
      <x:c r="B318" s="9" t="str">
        <x:v>Сб</x:v>
      </x:c>
      <x:c r="C318" s="10" t="str">
        <x:v>Общество</x:v>
      </x:c>
      <x:c r="D318" s="19" t="str">
        <x:v>gLSY9fXgUoo</x:v>
      </x:c>
      <x:c r="E318" s="10" t="str">
        <x:f>IF(D318="","",IF(COUNTIFS('Видео'!$A$7:$A$1508,D318)=1,INDEX('Видео'!$B$7:$B$1508,MATCH(D318,'Видео'!$A$7:$A$1508,0)),"ID не найден"))</x:f>
        <x:v>הדרום הפרוע: מחדל המשילות בנגב | חלק ב</x:v>
      </x:c>
      <x:c r="F318" s="9" t="str">
        <x:f>IF(D318="","",IF(COUNTIFS('Видео'!$A$7:$A$1508,D318)=1,INDEX('Видео'!$R$7:$R$1508,MATCH(D318,'Видео'!$A$7:$A$1508,0)),"ID не найден"))</x:f>
        <x:v>C084</x:v>
      </x:c>
      <x:c r="G318" s="9" t="str">
        <x:f>IF(D318="","",IF(COUNTIFS('Видео'!$A$7:$A$1508,D318)=1,INDEX('Видео'!$D$7:$D$1508,MATCH(D318,'Видео'!$A$7:$A$1508,0)),"ID не найден"))</x:f>
        <x:v>Общество</x:v>
      </x:c>
      <x:c r="H318" s="10" t="str">
        <x:f>IF(D318="","",IF(COUNTIFS('Видео'!$A$7:$A$1508,D318)=1,INDEX('Видео'!$F$7:$F$1508,MATCH(D318,'Видео'!$A$7:$A$1508,0)),"ID не найден"))</x:f>
        <x:v>B2–C1 (гипотеза)</x:v>
      </x:c>
      <x:c r="I318" s="18" t="n">
        <x:f>IF(D318="","",IF(COUNTIFS('Видео'!$A$7:$A$1508,D318)=1,INDEX('Видео'!$G$7:$G$1508,MATCH(D318,'Видео'!$A$7:$A$1508,0)),"ID не найден"))</x:f>
        <x:v>23.4</x:v>
      </x:c>
      <x:c r="J318" s="18" t="n">
        <x:v>10</x:v>
      </x:c>
      <x:c r="K318" s="10" t="str">
        <x:f>IF(D318="","",IF(COUNTIFS('Видео'!$A$7:$A$1508,D318)=1,INDEX('Видео'!$AI$7:$AI$1508,MATCH(D318,'Видео'!$A$7:$A$1508,0)),"ID не найден"))</x:f>
        <x:v>Нужна редактура</x:v>
      </x:c>
      <x:c r="L318" s="19" t="str">
        <x:v>S0V7_Ag9Nek</x:v>
      </x:c>
      <x:c r="M318" s="10" t="str">
        <x:f>IF(L318="","",IF(COUNTIFS('Видео'!$A$7:$A$1508,L318)=1,INDEX('Видео'!$B$7:$B$1508,MATCH(L318,'Видео'!$A$7:$A$1508,0)),"ID не найден"))</x:f>
        <x:v>כאן מקשיבים: חשבתי שבגללי אבא שלי נעלם</x:v>
      </x:c>
      <x:c r="N318" s="10" t="str"/>
      <x:c r="O318" s="10" t="str">
        <x:f>IF(D318="","",IF(COUNTIFS('Видео'!$A$7:$A$1508,D318)=1,INDEX('Видео'!$M$7:$M$1508,MATCH(D318,'Видео'!$A$7:$A$1508,0)),"ID не найден"))</x:f>
        <x:v>Тема: הדרום הפרוע: מחדל המשילות בנגב | חלק ב. Региональная тема расширяет фокус за пределы центра страны. Не смешивать с другим циклом 7.10 — גרסת יו״ש.</x:v>
      </x:c>
      <x:c r="P318" s="11" t="str">
        <x:f>IF(D318="","",IF(COUNTIFS('Видео'!$A$7:$A$1508,D318)=1,INDEX('Видео'!$U$7:$U$1508,MATCH(D318,'Видео'!$A$7:$A$1508,0)),"ID не найден"))</x:f>
        <x:v>https://www.youtube.com/watch?v=gLSY9fXgUoo</x:v>
      </x:c>
      <x:c r="Q318" s="17" t="str">
        <x:v>Предложено</x:v>
      </x:c>
      <x:c r="R318" s="17" t="str"/>
      <x:c r="S318" s="10" t="str"/>
      <x:c r="T318" s="10" t="str">
        <x:v>Резерв меняет выбор видео; снова проверить повод, аудиторию и все редакторские условия</x:v>
      </x:c>
      <x:c r="U318" s="9" t="str">
        <x:f>IF(D318="","Выбрать видео",IF(COUNTIFS($D$7:$D$371,D318)&gt;1,"Повтор","Без повтора"))</x:f>
        <x:v>Без повтора</x:v>
      </x:c>
    </x:row>
    <x:row r="319" ht="60" customHeight="1">
      <x:c r="A319" s="16" t="n">
        <x:v>46621</x:v>
      </x:c>
      <x:c r="B319" s="9" t="str">
        <x:v>Вс</x:v>
      </x:c>
      <x:c r="C319" s="10" t="str">
        <x:v>Сериал</x:v>
      </x:c>
      <x:c r="D319" s="19" t="str">
        <x:v>OWUaTKTQ-bo</x:v>
      </x:c>
      <x:c r="E319" s="10" t="str">
        <x:f>IF(D319="","",IF(COUNTIFS('Видео'!$A$7:$A$1508,D319)=1,INDEX('Видео'!$B$7:$B$1508,MATCH(D319,'Видео'!$A$7:$A$1508,0)),"ID не найден"))</x:f>
        <x:v>קופה ראשית עונה 5 🛒 | פרק 4 - דניס קמחי</x:v>
      </x:c>
      <x:c r="F319" s="9" t="str">
        <x:f>IF(D319="","",IF(COUNTIFS('Видео'!$A$7:$A$1508,D319)=1,INDEX('Видео'!$R$7:$R$1508,MATCH(D319,'Видео'!$A$7:$A$1508,0)),"ID не найден"))</x:f>
        <x:v>C001</x:v>
      </x:c>
      <x:c r="G319" s="9" t="str">
        <x:f>IF(D319="","",IF(COUNTIFS('Видео'!$A$7:$A$1508,D319)=1,INDEX('Видео'!$D$7:$D$1508,MATCH(D319,'Видео'!$A$7:$A$1508,0)),"ID не найден"))</x:f>
        <x:v>Сериал</x:v>
      </x:c>
      <x:c r="H319" s="10" t="str">
        <x:f>IF(D319="","",IF(COUNTIFS('Видео'!$A$7:$A$1508,D319)=1,INDEX('Видео'!$F$7:$F$1508,MATCH(D319,'Видео'!$A$7:$A$1508,0)),"ID не найден"))</x:f>
        <x:v>B1–B2 (гипотеза)</x:v>
      </x:c>
      <x:c r="I319" s="18" t="n">
        <x:f>IF(D319="","",IF(COUNTIFS('Видео'!$A$7:$A$1508,D319)=1,INDEX('Видео'!$G$7:$G$1508,MATCH(D319,'Видео'!$A$7:$A$1508,0)),"ID не найден"))</x:f>
        <x:v>26.5</x:v>
      </x:c>
      <x:c r="J319" s="18" t="n">
        <x:v>10</x:v>
      </x:c>
      <x:c r="K319" s="10" t="str">
        <x:f>IF(D319="","",IF(COUNTIFS('Видео'!$A$7:$A$1508,D319)=1,INDEX('Видео'!$AI$7:$AI$1508,MATCH(D319,'Видео'!$A$7:$A$1508,0)),"ID не найден"))</x:f>
        <x:v>Нужна редактура</x:v>
      </x:c>
      <x:c r="L319" s="19" t="str">
        <x:v>Rkayn7Lzu5k</x:v>
      </x:c>
      <x:c r="M319" s="10" t="str">
        <x:f>IF(L319="","",IF(COUNTIFS('Видео'!$A$7:$A$1508,L319)=1,INDEX('Видео'!$B$7:$B$1508,MATCH(L319,'Видео'!$A$7:$A$1508,0)),"ID не найден"))</x:f>
        <x:v>דוקותיים | בן ישראל סלע מתופף ברחוב</x:v>
      </x:c>
      <x:c r="N319" s="10" t="str"/>
      <x:c r="O319" s="10" t="str">
        <x:f>IF(D319="","",IF(COUNTIFS('Видео'!$A$7:$A$1508,D319)=1,INDEX('Видео'!$M$7:$M$1508,MATCH(D319,'Видео'!$A$7:$A$1508,0)),"ID не найден"))</x:f>
        <x:v>Эпизод 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19" s="11" t="str">
        <x:f>IF(D319="","",IF(COUNTIFS('Видео'!$A$7:$A$1508,D319)=1,INDEX('Видео'!$U$7:$U$1508,MATCH(D319,'Видео'!$A$7:$A$1508,0)),"ID не найден"))</x:f>
        <x:v>https://www.youtube.com/watch?v=OWUaTKTQ-bo</x:v>
      </x:c>
      <x:c r="Q319" s="17" t="str">
        <x:v>Предложено</x:v>
      </x:c>
      <x:c r="R319" s="17" t="str"/>
      <x:c r="S319" s="10" t="str"/>
      <x:c r="T319" s="10" t="str">
        <x:v>При недоступной серии приостановить сюжетную ветку; резерв — самостоятельное видео</x:v>
      </x:c>
      <x:c r="U319" s="9" t="str">
        <x:f>IF(D319="","Выбрать видео",IF(COUNTIFS($D$7:$D$371,D319)&gt;1,"Повтор","Без повтора"))</x:f>
        <x:v>Без повтора</x:v>
      </x:c>
    </x:row>
    <x:row r="320" ht="60" customHeight="1">
      <x:c r="A320" s="16" t="n">
        <x:v>46622</x:v>
      </x:c>
      <x:c r="B320" s="9" t="str">
        <x:v>Пн</x:v>
      </x:c>
      <x:c r="C320" s="10" t="str">
        <x:v>Интервью</x:v>
      </x:c>
      <x:c r="D320" s="19" t="str">
        <x:v>LQ5TYkjfLXg</x:v>
      </x:c>
      <x:c r="E320" s="10" t="str">
        <x:f>IF(D320="","",IF(COUNTIFS('Видео'!$A$7:$A$1508,D320)=1,INDEX('Видео'!$B$7:$B$1508,MATCH(D320,'Видео'!$A$7:$A$1508,0)),"ID не найден"))</x:f>
        <x:v>פגישה עם רוני קובן עונה 6 | פרק 4 - בועז ביסמוט</x:v>
      </x:c>
      <x:c r="F320" s="9" t="str">
        <x:f>IF(D320="","",IF(COUNTIFS('Видео'!$A$7:$A$1508,D320)=1,INDEX('Видео'!$R$7:$R$1508,MATCH(D320,'Видео'!$A$7:$A$1508,0)),"ID не найден"))</x:f>
        <x:v>C017</x:v>
      </x:c>
      <x:c r="G320" s="9" t="str">
        <x:f>IF(D320="","",IF(COUNTIFS('Видео'!$A$7:$A$1508,D320)=1,INDEX('Видео'!$D$7:$D$1508,MATCH(D320,'Видео'!$A$7:$A$1508,0)),"ID не найден"))</x:f>
        <x:v>Интервью</x:v>
      </x:c>
      <x:c r="H320" s="10" t="str">
        <x:f>IF(D320="","",IF(COUNTIFS('Видео'!$A$7:$A$1508,D320)=1,INDEX('Видео'!$F$7:$F$1508,MATCH(D320,'Видео'!$A$7:$A$1508,0)),"ID не найден"))</x:f>
        <x:v>B2–C1 (гипотеза)</x:v>
      </x:c>
      <x:c r="I320" s="18" t="n">
        <x:f>IF(D320="","",IF(COUNTIFS('Видео'!$A$7:$A$1508,D320)=1,INDEX('Видео'!$G$7:$G$1508,MATCH(D320,'Видео'!$A$7:$A$1508,0)),"ID не найден"))</x:f>
        <x:v>29.7</x:v>
      </x:c>
      <x:c r="J320" s="18" t="n">
        <x:v>10</x:v>
      </x:c>
      <x:c r="K320" s="10" t="str">
        <x:f>IF(D320="","",IF(COUNTIFS('Видео'!$A$7:$A$1508,D320)=1,INDEX('Видео'!$AI$7:$AI$1508,MATCH(D320,'Видео'!$A$7:$A$1508,0)),"ID не найден"))</x:f>
        <x:v>Нужна редактура</x:v>
      </x:c>
      <x:c r="L320" s="19" t="str">
        <x:v>meDyga4EadE</x:v>
      </x:c>
      <x:c r="M320" s="10" t="str">
        <x:f>IF(L320="","",IF(COUNTIFS('Видео'!$A$7:$A$1508,L320)=1,INDEX('Видео'!$B$7:$B$1508,MATCH(L320,'Видео'!$A$7:$A$1508,0)),"ID не найден"))</x:f>
        <x:v>פרק 129: קפלניסטים, קפלניסטים בכל מקום</x:v>
      </x:c>
      <x:c r="N320" s="10" t="str"/>
      <x:c r="O320" s="10" t="str">
        <x:f>IF(D320="","",IF(COUNTIFS('Видео'!$A$7:$A$1508,D320)=1,INDEX('Видео'!$M$7:$M$1508,MATCH(D320,'Видео'!$A$7:$A$1508,0)),"ID не найден"))</x:f>
        <x:v>Тема / гость: פרק 4 - בועז ביסמוט.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320" s="11" t="str">
        <x:f>IF(D320="","",IF(COUNTIFS('Видео'!$A$7:$A$1508,D320)=1,INDEX('Видео'!$U$7:$U$1508,MATCH(D320,'Видео'!$A$7:$A$1508,0)),"ID не найден"))</x:f>
        <x:v>https://www.youtube.com/watch?v=LQ5TYkjfLXg</x:v>
      </x:c>
      <x:c r="Q320" s="17" t="str">
        <x:v>Предложено</x:v>
      </x:c>
      <x:c r="R320" s="17" t="str"/>
      <x:c r="S320" s="10" t="str"/>
      <x:c r="T320" s="10" t="str">
        <x:v>Резерв меняет выбор видео; снова проверить повод, аудиторию и все редакторские условия</x:v>
      </x:c>
      <x:c r="U320" s="9" t="str">
        <x:f>IF(D320="","Выбрать видео",IF(COUNTIFS($D$7:$D$371,D320)&gt;1,"Повтор","Без повтора"))</x:f>
        <x:v>Без повтора</x:v>
      </x:c>
    </x:row>
    <x:row r="321" ht="60" customHeight="1">
      <x:c r="A321" s="16" t="n">
        <x:v>46623</x:v>
      </x:c>
      <x:c r="B321" s="9" t="str">
        <x:v>Вт</x:v>
      </x:c>
      <x:c r="C321" s="10" t="str">
        <x:v>Образование</x:v>
      </x:c>
      <x:c r="D321" s="19" t="str">
        <x:v>P53sSOvqdNc</x:v>
      </x:c>
      <x:c r="E321" s="10" t="str">
        <x:f>IF(D321="","",IF(COUNTIFS('Видео'!$A$7:$A$1508,D321)=1,INDEX('Видео'!$B$7:$B$1508,MATCH(D321,'Видео'!$A$7:$A$1508,0)),"ID не найден"))</x:f>
        <x:v>פרפר נחמד 🦋 | פרק 3 - מי בא לים</x:v>
      </x:c>
      <x:c r="F321" s="9" t="str">
        <x:f>IF(D321="","",IF(COUNTIFS('Видео'!$A$7:$A$1508,D321)=1,INDEX('Видео'!$R$7:$R$1508,MATCH(D321,'Видео'!$A$7:$A$1508,0)),"ID не найден"))</x:f>
        <x:v>C058</x:v>
      </x:c>
      <x:c r="G321" s="9" t="str">
        <x:f>IF(D321="","",IF(COUNTIFS('Видео'!$A$7:$A$1508,D321)=1,INDEX('Видео'!$D$7:$D$1508,MATCH(D321,'Видео'!$A$7:$A$1508,0)),"ID не найден"))</x:f>
        <x:v>Образование</x:v>
      </x:c>
      <x:c r="H321" s="10" t="str">
        <x:f>IF(D321="","",IF(COUNTIFS('Видео'!$A$7:$A$1508,D321)=1,INDEX('Видео'!$F$7:$F$1508,MATCH(D321,'Видео'!$A$7:$A$1508,0)),"ID не найден"))</x:f>
        <x:v>A1–A2 (гипотеза)</x:v>
      </x:c>
      <x:c r="I321" s="18" t="n">
        <x:f>IF(D321="","",IF(COUNTIFS('Видео'!$A$7:$A$1508,D321)=1,INDEX('Видео'!$G$7:$G$1508,MATCH(D321,'Видео'!$A$7:$A$1508,0)),"ID не найден"))</x:f>
        <x:v>23.3</x:v>
      </x:c>
      <x:c r="J321" s="18" t="n">
        <x:v>10</x:v>
      </x:c>
      <x:c r="K321" s="10" t="str">
        <x:f>IF(D321="","",IF(COUNTIFS('Видео'!$A$7:$A$1508,D321)=1,INDEX('Видео'!$AI$7:$AI$1508,MATCH(D321,'Видео'!$A$7:$A$1508,0)),"ID не найден"))</x:f>
        <x:v>Нужна редактура</x:v>
      </x:c>
      <x:c r="L321" s="19" t="str">
        <x:v>GEx9pCZumhc</x:v>
      </x:c>
      <x:c r="M321" s="10" t="str">
        <x:f>IF(L321="","",IF(COUNTIFS('Видео'!$A$7:$A$1508,L321)=1,INDEX('Видео'!$B$7:$B$1508,MATCH(L321,'Видео'!$A$7:$A$1508,0)),"ID не найден"))</x:f>
        <x:v>פרפר נחמד 🦋 | פרק 8  - החבורה הסודית</x:v>
      </x:c>
      <x:c r="N321" s="10" t="str"/>
      <x:c r="O321" s="10" t="str">
        <x:f>IF(D321="","",IF(COUNTIFS('Видео'!$A$7:$A$1508,D321)=1,INDEX('Видео'!$M$7:$M$1508,MATCH(D321,'Видео'!$A$7:$A$1508,0)),"ID не найден"))</x:f>
        <x:v>Тема: פרפר נחמד 🦋 | פרק 3 - מי בא לים. Просмотры в списке выше медианы выборки этого цикла в 2.24 раза. Повторы, песенки и визуальные действия подходят для семейного входа в язык. Взрослым предлагать как отдельную опцию.</x:v>
      </x:c>
      <x:c r="P321" s="11" t="str">
        <x:f>IF(D321="","",IF(COUNTIFS('Видео'!$A$7:$A$1508,D321)=1,INDEX('Видео'!$U$7:$U$1508,MATCH(D321,'Видео'!$A$7:$A$1508,0)),"ID не найден"))</x:f>
        <x:v>https://www.youtube.com/watch?v=P53sSOvqdNc</x:v>
      </x:c>
      <x:c r="Q321" s="17" t="str">
        <x:v>Предложено</x:v>
      </x:c>
      <x:c r="R321" s="17" t="str"/>
      <x:c r="S321" s="10" t="str"/>
      <x:c r="T321" s="10" t="str">
        <x:v>Резерв меняет выбор видео; снова проверить повод, аудиторию и все редакторские условия</x:v>
      </x:c>
      <x:c r="U321" s="9" t="str">
        <x:f>IF(D321="","Выбрать видео",IF(COUNTIFS($D$7:$D$371,D321)&gt;1,"Повтор","Без повтора"))</x:f>
        <x:v>Без повтора</x:v>
      </x:c>
    </x:row>
    <x:row r="322" ht="60" customHeight="1">
      <x:c r="A322" s="16" t="n">
        <x:v>46624</x:v>
      </x:c>
      <x:c r="B322" s="9" t="str">
        <x:v>Ср</x:v>
      </x:c>
      <x:c r="C322" s="10" t="str">
        <x:v>Быт</x:v>
      </x:c>
      <x:c r="D322" s="19" t="str">
        <x:v>eX0eZNkwRdc</x:v>
      </x:c>
      <x:c r="E322" s="10" t="str">
        <x:f>IF(D322="","",IF(COUNTIFS('Видео'!$A$7:$A$1508,D322)=1,INDEX('Видео'!$B$7:$B$1508,MATCH(D322,'Видео'!$A$7:$A$1508,0)),"ID не найден"))</x:f>
        <x:v>האם מגרש הרוסים בירושלים שייך לרוסיה? 🪆  | בצד הדרך</x:v>
      </x:c>
      <x:c r="F322" s="9" t="str">
        <x:f>IF(D322="","",IF(COUNTIFS('Видео'!$A$7:$A$1508,D322)=1,INDEX('Видео'!$R$7:$R$1508,MATCH(D322,'Видео'!$A$7:$A$1508,0)),"ID не найден"))</x:f>
        <x:v>C047</x:v>
      </x:c>
      <x:c r="G322" s="9" t="str">
        <x:f>IF(D322="","",IF(COUNTIFS('Видео'!$A$7:$A$1508,D322)=1,INDEX('Видео'!$D$7:$D$1508,MATCH(D322,'Видео'!$A$7:$A$1508,0)),"ID не найден"))</x:f>
        <x:v>Быт</x:v>
      </x:c>
      <x:c r="H322" s="10" t="str">
        <x:f>IF(D322="","",IF(COUNTIFS('Видео'!$A$7:$A$1508,D322)=1,INDEX('Видео'!$F$7:$F$1508,MATCH(D322,'Видео'!$A$7:$A$1508,0)),"ID не найден"))</x:f>
        <x:v>B1–B2 (гипотеза)</x:v>
      </x:c>
      <x:c r="I322" s="18" t="n">
        <x:f>IF(D322="","",IF(COUNTIFS('Видео'!$A$7:$A$1508,D322)=1,INDEX('Видео'!$G$7:$G$1508,MATCH(D322,'Видео'!$A$7:$A$1508,0)),"ID не найден"))</x:f>
        <x:v>1.9</x:v>
      </x:c>
      <x:c r="J322" s="18" t="n">
        <x:v>5</x:v>
      </x:c>
      <x:c r="K322" s="10" t="str">
        <x:f>IF(D322="","",IF(COUNTIFS('Видео'!$A$7:$A$1508,D322)=1,INDEX('Видео'!$AI$7:$AI$1508,MATCH(D322,'Видео'!$A$7:$A$1508,0)),"ID не найден"))</x:f>
        <x:v>Нужна редактура</x:v>
      </x:c>
      <x:c r="L322" s="19" t="str">
        <x:v>3_UzGdnvI9Y</x:v>
      </x:c>
      <x:c r="M322" s="10" t="str">
        <x:f>IF(L322="","",IF(COUNTIFS('Видео'!$A$7:$A$1508,L322)=1,INDEX('Видео'!$B$7:$B$1508,MATCH(L322,'Видео'!$A$7:$A$1508,0)),"ID не найден"))</x:f>
        <x:v>דוקותיים עם כוכב הטיקטוק מטירה</x:v>
      </x:c>
      <x:c r="N322" s="10" t="str"/>
      <x:c r="O322" s="10" t="str">
        <x:f>IF(D322="","",IF(COUNTIFS('Видео'!$A$7:$A$1508,D322)=1,INDEX('Видео'!$M$7:$M$1508,MATCH(D322,'Видео'!$A$7:$A$1508,0)),"ID не найден"))</x:f>
        <x:v>Завершённый короткий просмотр около 2 мин. Просмотры ниже медианы цикла; выбирать за нишевую ценность, а не за массовый охват. Короткие истории мест помогают освоить страну через реальные маршруты и городскую среду.</x:v>
      </x:c>
      <x:c r="P322" s="11" t="str">
        <x:f>IF(D322="","",IF(COUNTIFS('Видео'!$A$7:$A$1508,D322)=1,INDEX('Видео'!$U$7:$U$1508,MATCH(D322,'Видео'!$A$7:$A$1508,0)),"ID не найден"))</x:f>
        <x:v>https://www.youtube.com/watch?v=eX0eZNkwRdc</x:v>
      </x:c>
      <x:c r="Q322" s="17" t="str">
        <x:v>Предложено</x:v>
      </x:c>
      <x:c r="R322" s="17" t="str"/>
      <x:c r="S322" s="10" t="str"/>
      <x:c r="T322" s="10" t="str">
        <x:v>Резерв меняет выбор видео; снова проверить повод, аудиторию и все редакторские условия</x:v>
      </x:c>
      <x:c r="U322" s="9" t="str">
        <x:f>IF(D322="","Выбрать видео",IF(COUNTIFS($D$7:$D$371,D322)&gt;1,"Повтор","Без повтора"))</x:f>
        <x:v>Без повтора</x:v>
      </x:c>
    </x:row>
    <x:row r="323" ht="60" customHeight="1">
      <x:c r="A323" s="16" t="n">
        <x:v>46625</x:v>
      </x:c>
      <x:c r="B323" s="9" t="str">
        <x:v>Чт</x:v>
      </x:c>
      <x:c r="C323" s="10" t="str">
        <x:v>Сериал</x:v>
      </x:c>
      <x:c r="D323" s="19" t="str">
        <x:v>we5cbKVOXGc</x:v>
      </x:c>
      <x:c r="E323" s="10" t="str">
        <x:f>IF(D323="","",IF(COUNTIFS('Видео'!$A$7:$A$1508,D323)=1,INDEX('Видео'!$B$7:$B$1508,MATCH(D323,'Видео'!$A$7:$A$1508,0)),"ID не найден"))</x:f>
        <x:v>כראמל 🐱 | המכשף - פרק 13</x:v>
      </x:c>
      <x:c r="F323" s="9" t="str">
        <x:f>IF(D323="","",IF(COUNTIFS('Видео'!$A$7:$A$1508,D323)=1,INDEX('Видео'!$R$7:$R$1508,MATCH(D323,'Видео'!$A$7:$A$1508,0)),"ID не найден"))</x:f>
        <x:v>C053</x:v>
      </x:c>
      <x:c r="G323" s="9" t="str">
        <x:f>IF(D323="","",IF(COUNTIFS('Видео'!$A$7:$A$1508,D323)=1,INDEX('Видео'!$D$7:$D$1508,MATCH(D323,'Видео'!$A$7:$A$1508,0)),"ID не найден"))</x:f>
        <x:v>Сериал</x:v>
      </x:c>
      <x:c r="H323" s="10" t="str">
        <x:f>IF(D323="","",IF(COUNTIFS('Видео'!$A$7:$A$1508,D323)=1,INDEX('Видео'!$F$7:$F$1508,MATCH(D323,'Видео'!$A$7:$A$1508,0)),"ID не найден"))</x:f>
        <x:v>A2–B1 (гипотеза)</x:v>
      </x:c>
      <x:c r="I323" s="18" t="n">
        <x:f>IF(D323="","",IF(COUNTIFS('Видео'!$A$7:$A$1508,D323)=1,INDEX('Видео'!$G$7:$G$1508,MATCH(D323,'Видео'!$A$7:$A$1508,0)),"ID не найден"))</x:f>
        <x:v>27.2</x:v>
      </x:c>
      <x:c r="J323" s="18" t="n">
        <x:v>10</x:v>
      </x:c>
      <x:c r="K323" s="10" t="str">
        <x:f>IF(D323="","",IF(COUNTIFS('Видео'!$A$7:$A$1508,D323)=1,INDEX('Видео'!$AI$7:$AI$1508,MATCH(D323,'Видео'!$A$7:$A$1508,0)),"ID не найден"))</x:f>
        <x:v>Нужна редактура</x:v>
      </x:c>
      <x:c r="L323" s="19" t="str">
        <x:v>LWlC34AneKw</x:v>
      </x:c>
      <x:c r="M323" s="10" t="str">
        <x:f>IF(L323="","",IF(COUNTIFS('Видео'!$A$7:$A$1508,L323)=1,INDEX('Видео'!$B$7:$B$1508,MATCH(L323,'Видео'!$A$7:$A$1508,0)),"ID не найден"))</x:f>
        <x:v>איתן נהרג בקרב ויעל ממשיכה לגדל 7 ילדים | דוקותיים</x:v>
      </x:c>
      <x:c r="N323" s="10" t="str"/>
      <x:c r="O323" s="10" t="str">
        <x:f>IF(D323="","",IF(COUNTIFS('Видео'!$A$7:$A$1508,D323)=1,INDEX('Видео'!$M$7:$M$1508,MATCH(D323,'Видео'!$A$7:$A$1508,0)),"ID не найден"))</x:f>
        <x:v>Эпизод 13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323" s="11" t="str">
        <x:f>IF(D323="","",IF(COUNTIFS('Видео'!$A$7:$A$1508,D323)=1,INDEX('Видео'!$U$7:$U$1508,MATCH(D323,'Видео'!$A$7:$A$1508,0)),"ID не найден"))</x:f>
        <x:v>https://www.youtube.com/watch?v=we5cbKVOXGc</x:v>
      </x:c>
      <x:c r="Q323" s="17" t="str">
        <x:v>Предложено</x:v>
      </x:c>
      <x:c r="R323" s="17" t="str"/>
      <x:c r="S323" s="10" t="str"/>
      <x:c r="T323" s="10" t="str">
        <x:v>При недоступной серии приостановить сюжетную ветку; резерв — самостоятельное видео</x:v>
      </x:c>
      <x:c r="U323" s="9" t="str">
        <x:f>IF(D323="","Выбрать видео",IF(COUNTIFS($D$7:$D$371,D323)&gt;1,"Повтор","Без повтора"))</x:f>
        <x:v>Без повтора</x:v>
      </x:c>
    </x:row>
    <x:row r="324" ht="60" customHeight="1">
      <x:c r="A324" s="16" t="n">
        <x:v>46626</x:v>
      </x:c>
      <x:c r="B324" s="9" t="str">
        <x:v>Пт</x:v>
      </x:c>
      <x:c r="C324" s="10" t="str">
        <x:v>Культура</x:v>
      </x:c>
      <x:c r="D324" s="19" t="str">
        <x:v>XA0RZ-LQlKs</x:v>
      </x:c>
      <x:c r="E324" s="10" t="str">
        <x:f>IF(D324="","",IF(COUNTIFS('Видео'!$A$7:$A$1508,D324)=1,INDEX('Видео'!$B$7:$B$1508,MATCH(D324,'Видео'!$A$7:$A$1508,0)),"ID не найден"))</x:f>
        <x:v>סיפורים מהכורסה 🛋️ | על הורים וילדים - פרק 6</x:v>
      </x:c>
      <x:c r="F324" s="9" t="str">
        <x:f>IF(D324="","",IF(COUNTIFS('Видео'!$A$7:$A$1508,D324)=1,INDEX('Видео'!$R$7:$R$1508,MATCH(D324,'Видео'!$A$7:$A$1508,0)),"ID не найден"))</x:f>
        <x:v>C025</x:v>
      </x:c>
      <x:c r="G324" s="9" t="str">
        <x:f>IF(D324="","",IF(COUNTIFS('Видео'!$A$7:$A$1508,D324)=1,INDEX('Видео'!$D$7:$D$1508,MATCH(D324,'Видео'!$A$7:$A$1508,0)),"ID не найден"))</x:f>
        <x:v>Культура</x:v>
      </x:c>
      <x:c r="H324" s="10" t="str">
        <x:f>IF(D324="","",IF(COUNTIFS('Видео'!$A$7:$A$1508,D324)=1,INDEX('Видео'!$F$7:$F$1508,MATCH(D324,'Видео'!$A$7:$A$1508,0)),"ID не найден"))</x:f>
        <x:v>B2–C1 (гипотеза)</x:v>
      </x:c>
      <x:c r="I324" s="18" t="n">
        <x:f>IF(D324="","",IF(COUNTIFS('Видео'!$A$7:$A$1508,D324)=1,INDEX('Видео'!$G$7:$G$1508,MATCH(D324,'Видео'!$A$7:$A$1508,0)),"ID не найден"))</x:f>
        <x:v>29.3</x:v>
      </x:c>
      <x:c r="J324" s="18" t="n">
        <x:v>10</x:v>
      </x:c>
      <x:c r="K324" s="10" t="str">
        <x:f>IF(D324="","",IF(COUNTIFS('Видео'!$A$7:$A$1508,D324)=1,INDEX('Видео'!$AI$7:$AI$1508,MATCH(D324,'Видео'!$A$7:$A$1508,0)),"ID не найден"))</x:f>
        <x:v>Нужна редактура</x:v>
      </x:c>
      <x:c r="L324" s="19" t="str">
        <x:v>hUqpTFrzWF8</x:v>
      </x:c>
      <x:c r="M324" s="10" t="str">
        <x:f>IF(L324="","",IF(COUNTIFS('Видео'!$A$7:$A$1508,L324)=1,INDEX('Видео'!$B$7:$B$1508,MATCH(L324,'Видео'!$A$7:$A$1508,0)),"ID не найден"))</x:f>
        <x:v>מה קרה כאשר הרב המקובל פגש את העיוורת?</x:v>
      </x:c>
      <x:c r="N324" s="10" t="str"/>
      <x:c r="O324" s="10" t="str">
        <x:f>IF(D324="","",IF(COUNTIFS('Видео'!$A$7:$A$1508,D324)=1,INDEX('Видео'!$M$7:$M$1508,MATCH(D324,'Видео'!$A$7:$A$1508,0)),"ID не найден"))</x:f>
        <x:v>Тема: סיפורים מהכורסה 🛋️ | על הורים וילדים - פרק 6. Короткие личные истории и комики дают материал для пересказа и знакомства с культурными кодами.</x:v>
      </x:c>
      <x:c r="P324" s="11" t="str">
        <x:f>IF(D324="","",IF(COUNTIFS('Видео'!$A$7:$A$1508,D324)=1,INDEX('Видео'!$U$7:$U$1508,MATCH(D324,'Видео'!$A$7:$A$1508,0)),"ID не найден"))</x:f>
        <x:v>https://www.youtube.com/watch?v=XA0RZ-LQlKs</x:v>
      </x:c>
      <x:c r="Q324" s="17" t="str">
        <x:v>Предложено</x:v>
      </x:c>
      <x:c r="R324" s="17" t="str"/>
      <x:c r="S324" s="10" t="str"/>
      <x:c r="T324" s="10" t="str">
        <x:v>Резерв меняет выбор видео; снова проверить повод, аудиторию и все редакторские условия</x:v>
      </x:c>
      <x:c r="U324" s="9" t="str">
        <x:f>IF(D324="","Выбрать видео",IF(COUNTIFS($D$7:$D$371,D324)&gt;1,"Повтор","Без повтора"))</x:f>
        <x:v>Без повтора</x:v>
      </x:c>
    </x:row>
    <x:row r="325" ht="60" customHeight="1">
      <x:c r="A325" s="16" t="n">
        <x:v>46627</x:v>
      </x:c>
      <x:c r="B325" s="9" t="str">
        <x:v>Сб</x:v>
      </x:c>
      <x:c r="C325" s="10" t="str">
        <x:v>Общество</x:v>
      </x:c>
      <x:c r="D325" s="19" t="str">
        <x:v>Dj5Y9IPR0XM</x:v>
      </x:c>
      <x:c r="E325" s="10" t="str">
        <x:f>IF(D325="","",IF(COUNTIFS('Видео'!$A$7:$A$1508,D325)=1,INDEX('Видео'!$B$7:$B$1508,MATCH(D325,'Видео'!$A$7:$A$1508,0)),"ID не найден"))</x:f>
        <x:v>משפחה בהסעה 🚙 | פרק 4 - שוברים דיסטנס</x:v>
      </x:c>
      <x:c r="F325" s="9" t="str">
        <x:f>IF(D325="","",IF(COUNTIFS('Видео'!$A$7:$A$1508,D325)=1,INDEX('Видео'!$R$7:$R$1508,MATCH(D325,'Видео'!$A$7:$A$1508,0)),"ID не найден"))</x:f>
        <x:v>C011</x:v>
      </x:c>
      <x:c r="G325" s="9" t="str">
        <x:f>IF(D325="","",IF(COUNTIFS('Видео'!$A$7:$A$1508,D325)=1,INDEX('Видео'!$D$7:$D$1508,MATCH(D325,'Видео'!$A$7:$A$1508,0)),"ID не найден"))</x:f>
        <x:v>Общество</x:v>
      </x:c>
      <x:c r="H325" s="10" t="str">
        <x:f>IF(D325="","",IF(COUNTIFS('Видео'!$A$7:$A$1508,D325)=1,INDEX('Видео'!$F$7:$F$1508,MATCH(D325,'Видео'!$A$7:$A$1508,0)),"ID не найден"))</x:f>
        <x:v>B1–B2 (гипотеза)</x:v>
      </x:c>
      <x:c r="I325" s="18" t="n">
        <x:f>IF(D325="","",IF(COUNTIFS('Видео'!$A$7:$A$1508,D325)=1,INDEX('Видео'!$G$7:$G$1508,MATCH(D325,'Видео'!$A$7:$A$1508,0)),"ID не найден"))</x:f>
        <x:v>28.1</x:v>
      </x:c>
      <x:c r="J325" s="18" t="n">
        <x:v>10</x:v>
      </x:c>
      <x:c r="K325" s="10" t="str">
        <x:f>IF(D325="","",IF(COUNTIFS('Видео'!$A$7:$A$1508,D325)=1,INDEX('Видео'!$AI$7:$AI$1508,MATCH(D325,'Видео'!$A$7:$A$1508,0)),"ID не найден"))</x:f>
        <x:v>Нужна редактура</x:v>
      </x:c>
      <x:c r="L325" s="19" t="str">
        <x:v>zUC6NT0nAyY</x:v>
      </x:c>
      <x:c r="M325" s="10" t="str">
        <x:f>IF(L325="","",IF(COUNTIFS('Видео'!$A$7:$A$1508,L325)=1,INDEX('Видео'!$B$7:$B$1508,MATCH(L325,'Видео'!$A$7:$A$1508,0)),"ID не найден"))</x:f>
        <x:v>כאן מקשיבים: גם אני איבדתי ילד</x:v>
      </x:c>
      <x:c r="N325" s="10" t="str"/>
      <x:c r="O325" s="10" t="str">
        <x:f>IF(D325="","",IF(COUNTIFS('Видео'!$A$7:$A$1508,D325)=1,INDEX('Видео'!$M$7:$M$1508,MATCH(D325,'Видео'!$A$7:$A$1508,0)),"ID не найден"))</x:f>
        <x:v>Тема: משפחה בהסעה 🚙 | פרק 4 - שוברים דיסטנס. Разговоры семьи в машине дают естественную смену тем и короткие реплики. Расширяют предложение для родителей и семейного просмотра.</x:v>
      </x:c>
      <x:c r="P325" s="11" t="str">
        <x:f>IF(D325="","",IF(COUNTIFS('Видео'!$A$7:$A$1508,D325)=1,INDEX('Видео'!$U$7:$U$1508,MATCH(D325,'Видео'!$A$7:$A$1508,0)),"ID не найден"))</x:f>
        <x:v>https://www.youtube.com/watch?v=Dj5Y9IPR0XM</x:v>
      </x:c>
      <x:c r="Q325" s="17" t="str">
        <x:v>Предложено</x:v>
      </x:c>
      <x:c r="R325" s="17" t="str"/>
      <x:c r="S325" s="10" t="str"/>
      <x:c r="T325" s="10" t="str">
        <x:v>Резерв меняет выбор видео; снова проверить повод, аудиторию и все редакторские условия</x:v>
      </x:c>
      <x:c r="U325" s="9" t="str">
        <x:f>IF(D325="","Выбрать видео",IF(COUNTIFS($D$7:$D$371,D325)&gt;1,"Повтор","Без повтора"))</x:f>
        <x:v>Без повтора</x:v>
      </x:c>
    </x:row>
    <x:row r="326" ht="60" customHeight="1">
      <x:c r="A326" s="16" t="n">
        <x:v>46628</x:v>
      </x:c>
      <x:c r="B326" s="9" t="str">
        <x:v>Вс</x:v>
      </x:c>
      <x:c r="C326" s="10" t="str">
        <x:v>Сериал</x:v>
      </x:c>
      <x:c r="D326" s="19" t="str">
        <x:v>hqyK0VQVsPQ</x:v>
      </x:c>
      <x:c r="E326" s="10" t="str">
        <x:f>IF(D326="","",IF(COUNTIFS('Видео'!$A$7:$A$1508,D326)=1,INDEX('Видео'!$B$7:$B$1508,MATCH(D326,'Видео'!$A$7:$A$1508,0)),"ID не найден"))</x:f>
        <x:v>קופה ראשית עונה 5 🛒 | פרק 5 - טלפונובלה</x:v>
      </x:c>
      <x:c r="F326" s="9" t="str">
        <x:f>IF(D326="","",IF(COUNTIFS('Видео'!$A$7:$A$1508,D326)=1,INDEX('Видео'!$R$7:$R$1508,MATCH(D326,'Видео'!$A$7:$A$1508,0)),"ID не найден"))</x:f>
        <x:v>C001</x:v>
      </x:c>
      <x:c r="G326" s="9" t="str">
        <x:f>IF(D326="","",IF(COUNTIFS('Видео'!$A$7:$A$1508,D326)=1,INDEX('Видео'!$D$7:$D$1508,MATCH(D326,'Видео'!$A$7:$A$1508,0)),"ID не найден"))</x:f>
        <x:v>Сериал</x:v>
      </x:c>
      <x:c r="H326" s="10" t="str">
        <x:f>IF(D326="","",IF(COUNTIFS('Видео'!$A$7:$A$1508,D326)=1,INDEX('Видео'!$F$7:$F$1508,MATCH(D326,'Видео'!$A$7:$A$1508,0)),"ID не найден"))</x:f>
        <x:v>B1–B2 (гипотеза)</x:v>
      </x:c>
      <x:c r="I326" s="18" t="n">
        <x:f>IF(D326="","",IF(COUNTIFS('Видео'!$A$7:$A$1508,D326)=1,INDEX('Видео'!$G$7:$G$1508,MATCH(D326,'Видео'!$A$7:$A$1508,0)),"ID не найден"))</x:f>
        <x:v>23.2</x:v>
      </x:c>
      <x:c r="J326" s="18" t="n">
        <x:v>10</x:v>
      </x:c>
      <x:c r="K326" s="10" t="str">
        <x:f>IF(D326="","",IF(COUNTIFS('Видео'!$A$7:$A$1508,D326)=1,INDEX('Видео'!$AI$7:$AI$1508,MATCH(D326,'Видео'!$A$7:$A$1508,0)),"ID не найден"))</x:f>
        <x:v>Нужна редактура</x:v>
      </x:c>
      <x:c r="L326" s="19" t="str">
        <x:v>VTI76jURYiM</x:v>
      </x:c>
      <x:c r="M326" s="10" t="str">
        <x:f>IF(L326="","",IF(COUNTIFS('Видео'!$A$7:$A$1508,L326)=1,INDEX('Видео'!$B$7:$B$1508,MATCH(L326,'Видео'!$A$7:$A$1508,0)),"ID не найден"))</x:f>
        <x:v>עלייה בשכר המינימום תגרום לאבטלה? | חיות כיס</x:v>
      </x:c>
      <x:c r="N326" s="10" t="str"/>
      <x:c r="O326" s="10" t="str">
        <x:f>IF(D326="","",IF(COUNTIFS('Видео'!$A$7:$A$1508,D326)=1,INDEX('Видео'!$M$7:$M$1508,MATCH(D326,'Видео'!$A$7:$A$1508,0)),"ID не найден"))</x:f>
        <x:v>Эпизод 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26" s="11" t="str">
        <x:f>IF(D326="","",IF(COUNTIFS('Видео'!$A$7:$A$1508,D326)=1,INDEX('Видео'!$U$7:$U$1508,MATCH(D326,'Видео'!$A$7:$A$1508,0)),"ID не найден"))</x:f>
        <x:v>https://www.youtube.com/watch?v=hqyK0VQVsPQ</x:v>
      </x:c>
      <x:c r="Q326" s="17" t="str">
        <x:v>Предложено</x:v>
      </x:c>
      <x:c r="R326" s="17" t="str"/>
      <x:c r="S326" s="10" t="str"/>
      <x:c r="T326" s="10" t="str">
        <x:v>При недоступной серии приостановить сюжетную ветку; резерв — самостоятельное видео</x:v>
      </x:c>
      <x:c r="U326" s="9" t="str">
        <x:f>IF(D326="","Выбрать видео",IF(COUNTIFS($D$7:$D$371,D326)&gt;1,"Повтор","Без повтора"))</x:f>
        <x:v>Без повтора</x:v>
      </x:c>
    </x:row>
    <x:row r="327" ht="60" customHeight="1">
      <x:c r="A327" s="16" t="n">
        <x:v>46629</x:v>
      </x:c>
      <x:c r="B327" s="9" t="str">
        <x:v>Пн</x:v>
      </x:c>
      <x:c r="C327" s="10" t="str">
        <x:v>Интервью</x:v>
      </x:c>
      <x:c r="D327" s="19" t="str">
        <x:v>IScLRUafVzg</x:v>
      </x:c>
      <x:c r="E327" s="10" t="str">
        <x:f>IF(D327="","",IF(COUNTIFS('Видео'!$A$7:$A$1508,D327)=1,INDEX('Видео'!$B$7:$B$1508,MATCH(D327,'Видео'!$A$7:$A$1508,0)),"ID не найден"))</x:f>
        <x:v>שיחה עם עודד הרוש: - חני נחמיאס I התכנית המלאה</x:v>
      </x:c>
      <x:c r="F327" s="9" t="str">
        <x:f>IF(D327="","",IF(COUNTIFS('Видео'!$A$7:$A$1508,D327)=1,INDEX('Видео'!$R$7:$R$1508,MATCH(D327,'Видео'!$A$7:$A$1508,0)),"ID не найден"))</x:f>
        <x:v>C082</x:v>
      </x:c>
      <x:c r="G327" s="9" t="str">
        <x:f>IF(D327="","",IF(COUNTIFS('Видео'!$A$7:$A$1508,D327)=1,INDEX('Видео'!$D$7:$D$1508,MATCH(D327,'Видео'!$A$7:$A$1508,0)),"ID не найден"))</x:f>
        <x:v>Интервью</x:v>
      </x:c>
      <x:c r="H327" s="10" t="str">
        <x:f>IF(D327="","",IF(COUNTIFS('Видео'!$A$7:$A$1508,D327)=1,INDEX('Видео'!$F$7:$F$1508,MATCH(D327,'Видео'!$A$7:$A$1508,0)),"ID не найден"))</x:f>
        <x:v>B2–C1 (гипотеза)</x:v>
      </x:c>
      <x:c r="I327" s="18" t="n">
        <x:f>IF(D327="","",IF(COUNTIFS('Видео'!$A$7:$A$1508,D327)=1,INDEX('Видео'!$G$7:$G$1508,MATCH(D327,'Видео'!$A$7:$A$1508,0)),"ID не найден"))</x:f>
        <x:v>37.5</x:v>
      </x:c>
      <x:c r="J327" s="18" t="n">
        <x:v>10</x:v>
      </x:c>
      <x:c r="K327" s="10" t="str">
        <x:f>IF(D327="","",IF(COUNTIFS('Видео'!$A$7:$A$1508,D327)=1,INDEX('Видео'!$AI$7:$AI$1508,MATCH(D327,'Видео'!$A$7:$A$1508,0)),"ID не найден"))</x:f>
        <x:v>Нужна редактура</x:v>
      </x:c>
      <x:c r="L327" s="19" t="str">
        <x:v>FLFpnGZ62Ek</x:v>
      </x:c>
      <x:c r="M327" s="10" t="str">
        <x:f>IF(L327="","",IF(COUNTIFS('Видео'!$A$7:$A$1508,L327)=1,INDEX('Видео'!$B$7:$B$1508,MATCH(L327,'Видео'!$A$7:$A$1508,0)),"ID не найден"))</x:f>
        <x:v>שיחה עם עודד הרוש: ד"ר אבישי בן חיים I התכנית המלאה</x:v>
      </x:c>
      <x:c r="N327" s="10" t="str"/>
      <x:c r="O327" s="10" t="str">
        <x:f>IF(D327="","",IF(COUNTIFS('Видео'!$A$7:$A$1508,D327)=1,INDEX('Видео'!$M$7:$M$1508,MATCH(D327,'Видео'!$A$7:$A$1508,0)),"ID не найден"))</x:f>
        <x:v>Тема / гость: שיחה עם עודד הרוש: - חני נחמיאס I התכנית המלאה. Просмотры в списке выше медианы выборки этого цикла в 2.21 раза. Дополняет биографические интервью другим ведущим и кругом гостей.</x:v>
      </x:c>
      <x:c r="P327" s="11" t="str">
        <x:f>IF(D327="","",IF(COUNTIFS('Видео'!$A$7:$A$1508,D327)=1,INDEX('Видео'!$U$7:$U$1508,MATCH(D327,'Видео'!$A$7:$A$1508,0)),"ID не найден"))</x:f>
        <x:v>https://www.youtube.com/watch?v=IScLRUafVzg</x:v>
      </x:c>
      <x:c r="Q327" s="17" t="str">
        <x:v>Предложено</x:v>
      </x:c>
      <x:c r="R327" s="17" t="str"/>
      <x:c r="S327" s="10" t="str"/>
      <x:c r="T327" s="10" t="str">
        <x:v>Резерв меняет выбор видео; снова проверить повод, аудиторию и все редакторские условия</x:v>
      </x:c>
      <x:c r="U327" s="9" t="str">
        <x:f>IF(D327="","Выбрать видео",IF(COUNTIFS($D$7:$D$371,D327)&gt;1,"Повтор","Без повтора"))</x:f>
        <x:v>Без повтора</x:v>
      </x:c>
    </x:row>
    <x:row r="328" ht="60" customHeight="1">
      <x:c r="A328" s="16" t="n">
        <x:v>46630</x:v>
      </x:c>
      <x:c r="B328" s="9" t="str">
        <x:v>Вт</x:v>
      </x:c>
      <x:c r="C328" s="10" t="str">
        <x:v>Образование</x:v>
      </x:c>
      <x:c r="D328" s="19" t="str">
        <x:v>JmsO6d9SoAQ</x:v>
      </x:c>
      <x:c r="E328" s="10" t="str">
        <x:f>IF(D328="","",IF(COUNTIFS('Видео'!$A$7:$A$1508,D328)=1,INDEX('Видео'!$B$7:$B$1508,MATCH(D328,'Видео'!$A$7:$A$1508,0)),"ID не найден"))</x:f>
        <x:v>דובים ודבש</x:v>
      </x:c>
      <x:c r="F328" s="9" t="str">
        <x:f>IF(D328="","",IF(COUNTIFS('Видео'!$A$7:$A$1508,D328)=1,INDEX('Видео'!$R$7:$R$1508,MATCH(D328,'Видео'!$A$7:$A$1508,0)),"ID не найден"))</x:f>
        <x:v>C059</x:v>
      </x:c>
      <x:c r="G328" s="9" t="str">
        <x:f>IF(D328="","",IF(COUNTIFS('Видео'!$A$7:$A$1508,D328)=1,INDEX('Видео'!$D$7:$D$1508,MATCH(D328,'Видео'!$A$7:$A$1508,0)),"ID не найден"))</x:f>
        <x:v>Образование</x:v>
      </x:c>
      <x:c r="H328" s="10" t="str">
        <x:f>IF(D328="","",IF(COUNTIFS('Видео'!$A$7:$A$1508,D328)=1,INDEX('Видео'!$F$7:$F$1508,MATCH(D328,'Видео'!$A$7:$A$1508,0)),"ID не найден"))</x:f>
        <x:v>B1–B2 (гипотеза)</x:v>
      </x:c>
      <x:c r="I328" s="18" t="n">
        <x:f>IF(D328="","",IF(COUNTIFS('Видео'!$A$7:$A$1508,D328)=1,INDEX('Видео'!$G$7:$G$1508,MATCH(D328,'Видео'!$A$7:$A$1508,0)),"ID не найден"))</x:f>
        <x:v>2.2</x:v>
      </x:c>
      <x:c r="J328" s="18" t="n">
        <x:v>5</x:v>
      </x:c>
      <x:c r="K328" s="10" t="str">
        <x:f>IF(D328="","",IF(COUNTIFS('Видео'!$A$7:$A$1508,D328)=1,INDEX('Видео'!$AI$7:$AI$1508,MATCH(D328,'Видео'!$A$7:$A$1508,0)),"ID не найден"))</x:f>
        <x:v>Нужна редактура</x:v>
      </x:c>
      <x:c r="L328" s="19" t="str">
        <x:v>5zaf-K2jvDA</x:v>
      </x:c>
      <x:c r="M328" s="10" t="str">
        <x:f>IF(L328="","",IF(COUNTIFS('Видео'!$A$7:$A$1508,L328)=1,INDEX('Видео'!$B$7:$B$1508,MATCH(L328,'Видео'!$A$7:$A$1508,0)),"ID не найден"))</x:f>
        <x:v>פרפר נחמד 🦋 | פרק 9 - השכנה החדשה</x:v>
      </x:c>
      <x:c r="N328" s="10" t="str"/>
      <x:c r="O328" s="10" t="str">
        <x:f>IF(D328="","",IF(COUNTIFS('Видео'!$A$7:$A$1508,D328)=1,INDEX('Видео'!$M$7:$M$1508,MATCH(D328,'Видео'!$A$7:$A$1508,0)),"ID не найден"))</x:f>
        <x:v>Завершённый короткий просмотр около 2 мин. Научный ответ на конкретный вопрос даёт завершённый материал на короткую сессию.</x:v>
      </x:c>
      <x:c r="P328" s="11" t="str">
        <x:f>IF(D328="","",IF(COUNTIFS('Видео'!$A$7:$A$1508,D328)=1,INDEX('Видео'!$U$7:$U$1508,MATCH(D328,'Видео'!$A$7:$A$1508,0)),"ID не найден"))</x:f>
        <x:v>https://www.youtube.com/watch?v=JmsO6d9SoAQ</x:v>
      </x:c>
      <x:c r="Q328" s="17" t="str">
        <x:v>Предложено</x:v>
      </x:c>
      <x:c r="R328" s="17" t="str"/>
      <x:c r="S328" s="10" t="str"/>
      <x:c r="T328" s="10" t="str">
        <x:v>Резерв меняет выбор видео; снова проверить повод, аудиторию и все редакторские условия</x:v>
      </x:c>
      <x:c r="U328" s="9" t="str">
        <x:f>IF(D328="","Выбрать видео",IF(COUNTIFS($D$7:$D$371,D328)&gt;1,"Повтор","Без повтора"))</x:f>
        <x:v>Без повтора</x:v>
      </x:c>
    </x:row>
    <x:row r="329" ht="60" customHeight="1">
      <x:c r="A329" s="16" t="n">
        <x:v>46631</x:v>
      </x:c>
      <x:c r="B329" s="9" t="str">
        <x:v>Ср</x:v>
      </x:c>
      <x:c r="C329" s="10" t="str">
        <x:v>Быт</x:v>
      </x:c>
      <x:c r="D329" s="19" t="str">
        <x:v>_OUPPbttyjw</x:v>
      </x:c>
      <x:c r="E329" s="10" t="str">
        <x:f>IF(D329="","",IF(COUNTIFS('Видео'!$A$7:$A$1508,D329)=1,INDEX('Видео'!$B$7:$B$1508,MATCH(D329,'Видео'!$A$7:$A$1508,0)),"ID не найден"))</x:f>
        <x:v>"שימו לב, נפלטה מדוזה עם שיניים": המציל בחוף הנפרד מחזיר את כולם בשלום | זום אין</x:v>
      </x:c>
      <x:c r="F329" s="9" t="str">
        <x:f>IF(D329="","",IF(COUNTIFS('Видео'!$A$7:$A$1508,D329)=1,INDEX('Видео'!$R$7:$R$1508,MATCH(D329,'Видео'!$A$7:$A$1508,0)),"ID не найден"))</x:f>
        <x:v>C048</x:v>
      </x:c>
      <x:c r="G329" s="9" t="str">
        <x:f>IF(D329="","",IF(COUNTIFS('Видео'!$A$7:$A$1508,D329)=1,INDEX('Видео'!$D$7:$D$1508,MATCH(D329,'Видео'!$A$7:$A$1508,0)),"ID не найден"))</x:f>
        <x:v>Быт</x:v>
      </x:c>
      <x:c r="H329" s="10" t="str">
        <x:f>IF(D329="","",IF(COUNTIFS('Видео'!$A$7:$A$1508,D329)=1,INDEX('Видео'!$F$7:$F$1508,MATCH(D329,'Видео'!$A$7:$A$1508,0)),"ID не найден"))</x:f>
        <x:v>B1–B2 (гипотеза)</x:v>
      </x:c>
      <x:c r="I329" s="18" t="n">
        <x:f>IF(D329="","",IF(COUNTIFS('Видео'!$A$7:$A$1508,D329)=1,INDEX('Видео'!$G$7:$G$1508,MATCH(D329,'Видео'!$A$7:$A$1508,0)),"ID не найден"))</x:f>
        <x:v>5.6</x:v>
      </x:c>
      <x:c r="J329" s="18" t="n">
        <x:v>5</x:v>
      </x:c>
      <x:c r="K329" s="10" t="str">
        <x:f>IF(D329="","",IF(COUNTIFS('Видео'!$A$7:$A$1508,D329)=1,INDEX('Видео'!$AI$7:$AI$1508,MATCH(D329,'Видео'!$A$7:$A$1508,0)),"ID не найден"))</x:f>
        <x:v>Нужна редактура</x:v>
      </x:c>
      <x:c r="L329" s="19" t="str">
        <x:v>Zu-_UOVm17I</x:v>
      </x:c>
      <x:c r="M329" s="10" t="str">
        <x:f>IF(L329="","",IF(COUNTIFS('Видео'!$A$7:$A$1508,L329)=1,INDEX('Видео'!$B$7:$B$1508,MATCH(L329,'Видео'!$A$7:$A$1508,0)),"ID не найден"))</x:f>
        <x:v>בואו לאכול איתי עונה 8 | ירושלים - חלק ג' (פרק 8)</x:v>
      </x:c>
      <x:c r="N329" s="10" t="str"/>
      <x:c r="O329" s="10" t="str">
        <x:f>IF(D329="","",IF(COUNTIFS('Видео'!$A$7:$A$1508,D329)=1,INDEX('Видео'!$M$7:$M$1508,MATCH(D329,'Видео'!$A$7:$A$1508,0)),"ID не найден"))</x:f>
        <x:v>Завершённый короткий просмотр около 6 мин. Просмотры в списке выше медианы выборки этого цикла в 1.7 раза. День в жизни специалиста связывает язык с конкретными действиями и рабочей средой.</x:v>
      </x:c>
      <x:c r="P329" s="11" t="str">
        <x:f>IF(D329="","",IF(COUNTIFS('Видео'!$A$7:$A$1508,D329)=1,INDEX('Видео'!$U$7:$U$1508,MATCH(D329,'Видео'!$A$7:$A$1508,0)),"ID не найден"))</x:f>
        <x:v>https://www.youtube.com/watch?v=_OUPPbttyjw</x:v>
      </x:c>
      <x:c r="Q329" s="17" t="str">
        <x:v>Предложено</x:v>
      </x:c>
      <x:c r="R329" s="17" t="str"/>
      <x:c r="S329" s="10" t="str"/>
      <x:c r="T329" s="10" t="str">
        <x:v>Резерв меняет выбор видео; снова проверить повод, аудиторию и все редакторские условия</x:v>
      </x:c>
      <x:c r="U329" s="9" t="str">
        <x:f>IF(D329="","Выбрать видео",IF(COUNTIFS($D$7:$D$371,D329)&gt;1,"Повтор","Без повтора"))</x:f>
        <x:v>Без повтора</x:v>
      </x:c>
    </x:row>
    <x:row r="330" ht="60" customHeight="1">
      <x:c r="A330" s="16" t="n">
        <x:v>46632</x:v>
      </x:c>
      <x:c r="B330" s="9" t="str">
        <x:v>Чт</x:v>
      </x:c>
      <x:c r="C330" s="10" t="str">
        <x:v>Сериал</x:v>
      </x:c>
      <x:c r="D330" s="19" t="str">
        <x:v>EtYdM-Hqg8Y</x:v>
      </x:c>
      <x:c r="E330" s="10" t="str">
        <x:f>IF(D330="","",IF(COUNTIFS('Видео'!$A$7:$A$1508,D330)=1,INDEX('Видео'!$B$7:$B$1508,MATCH(D330,'Видео'!$A$7:$A$1508,0)),"ID не найден"))</x:f>
        <x:v>כראמל 🐱 | הדודה של ג'יין - פרק 14</x:v>
      </x:c>
      <x:c r="F330" s="9" t="str">
        <x:f>IF(D330="","",IF(COUNTIFS('Видео'!$A$7:$A$1508,D330)=1,INDEX('Видео'!$R$7:$R$1508,MATCH(D330,'Видео'!$A$7:$A$1508,0)),"ID не найден"))</x:f>
        <x:v>C053</x:v>
      </x:c>
      <x:c r="G330" s="9" t="str">
        <x:f>IF(D330="","",IF(COUNTIFS('Видео'!$A$7:$A$1508,D330)=1,INDEX('Видео'!$D$7:$D$1508,MATCH(D330,'Видео'!$A$7:$A$1508,0)),"ID не найден"))</x:f>
        <x:v>Сериал</x:v>
      </x:c>
      <x:c r="H330" s="10" t="str">
        <x:f>IF(D330="","",IF(COUNTIFS('Видео'!$A$7:$A$1508,D330)=1,INDEX('Видео'!$F$7:$F$1508,MATCH(D330,'Видео'!$A$7:$A$1508,0)),"ID не найден"))</x:f>
        <x:v>A2–B1 (гипотеза)</x:v>
      </x:c>
      <x:c r="I330" s="18" t="n">
        <x:f>IF(D330="","",IF(COUNTIFS('Видео'!$A$7:$A$1508,D330)=1,INDEX('Видео'!$G$7:$G$1508,MATCH(D330,'Видео'!$A$7:$A$1508,0)),"ID не найден"))</x:f>
        <x:v>27.2</x:v>
      </x:c>
      <x:c r="J330" s="18" t="n">
        <x:v>10</x:v>
      </x:c>
      <x:c r="K330" s="10" t="str">
        <x:f>IF(D330="","",IF(COUNTIFS('Видео'!$A$7:$A$1508,D330)=1,INDEX('Видео'!$AI$7:$AI$1508,MATCH(D330,'Видео'!$A$7:$A$1508,0)),"ID не найден"))</x:f>
        <x:v>Нужна редактура</x:v>
      </x:c>
      <x:c r="L330" s="19" t="str">
        <x:v>z9gjga1t8f8</x:v>
      </x:c>
      <x:c r="M330" s="10" t="str">
        <x:f>IF(L330="","",IF(COUNTIFS('Видео'!$A$7:$A$1508,L330)=1,INDEX('Видео'!$B$7:$B$1508,MATCH(L330,'Видео'!$A$7:$A$1508,0)),"ID не найден"))</x:f>
        <x:v>ענן חביתה</x:v>
      </x:c>
      <x:c r="N330" s="10" t="str"/>
      <x:c r="O330" s="10" t="str">
        <x:f>IF(D330="","",IF(COUNTIFS('Видео'!$A$7:$A$1508,D330)=1,INDEX('Видео'!$M$7:$M$1508,MATCH(D330,'Видео'!$A$7:$A$1508,0)),"ID не найден"))</x:f>
        <x:v>Эпизод 14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330" s="11" t="str">
        <x:f>IF(D330="","",IF(COUNTIFS('Видео'!$A$7:$A$1508,D330)=1,INDEX('Видео'!$U$7:$U$1508,MATCH(D330,'Видео'!$A$7:$A$1508,0)),"ID не найден"))</x:f>
        <x:v>https://www.youtube.com/watch?v=EtYdM-Hqg8Y</x:v>
      </x:c>
      <x:c r="Q330" s="17" t="str">
        <x:v>Предложено</x:v>
      </x:c>
      <x:c r="R330" s="17" t="str"/>
      <x:c r="S330" s="10" t="str"/>
      <x:c r="T330" s="10" t="str">
        <x:v>При недоступной серии приостановить сюжетную ветку; резерв — самостоятельное видео</x:v>
      </x:c>
      <x:c r="U330" s="9" t="str">
        <x:f>IF(D330="","Выбрать видео",IF(COUNTIFS($D$7:$D$371,D330)&gt;1,"Повтор","Без повтора"))</x:f>
        <x:v>Без повтора</x:v>
      </x:c>
    </x:row>
    <x:row r="331" ht="60" customHeight="1">
      <x:c r="A331" s="16" t="n">
        <x:v>46633</x:v>
      </x:c>
      <x:c r="B331" s="9" t="str">
        <x:v>Пт</x:v>
      </x:c>
      <x:c r="C331" s="10" t="str">
        <x:v>История</x:v>
      </x:c>
      <x:c r="D331" s="19" t="str">
        <x:v>bvpfpOSuCgM</x:v>
      </x:c>
      <x:c r="E331" s="10" t="str">
        <x:f>IF(D331="","",IF(COUNTIFS('Видео'!$A$7:$A$1508,D331)=1,INDEX('Видео'!$B$7:$B$1508,MATCH(D331,'Видео'!$A$7:$A$1508,0)),"ID не найден"))</x:f>
        <x:v>המסות של ח"נ ביאליק | שיעור 2 - הלכה ואגדה ב | ד"ר רני יגר</x:v>
      </x:c>
      <x:c r="F331" s="9" t="str">
        <x:f>IF(D331="","",IF(COUNTIFS('Видео'!$A$7:$A$1508,D331)=1,INDEX('Видео'!$R$7:$R$1508,MATCH(D331,'Видео'!$A$7:$A$1508,0)),"ID не найден"))</x:f>
        <x:v>C072</x:v>
      </x:c>
      <x:c r="G331" s="9" t="str">
        <x:f>IF(D331="","",IF(COUNTIFS('Видео'!$A$7:$A$1508,D331)=1,INDEX('Видео'!$D$7:$D$1508,MATCH(D331,'Видео'!$A$7:$A$1508,0)),"ID не найден"))</x:f>
        <x:v>История</x:v>
      </x:c>
      <x:c r="H331" s="10" t="str">
        <x:f>IF(D331="","",IF(COUNTIFS('Видео'!$A$7:$A$1508,D331)=1,INDEX('Видео'!$F$7:$F$1508,MATCH(D331,'Видео'!$A$7:$A$1508,0)),"ID не найден"))</x:f>
        <x:v>B2–C1 (гипотеза)</x:v>
      </x:c>
      <x:c r="I331" s="18" t="n">
        <x:f>IF(D331="","",IF(COUNTIFS('Видео'!$A$7:$A$1508,D331)=1,INDEX('Видео'!$G$7:$G$1508,MATCH(D331,'Видео'!$A$7:$A$1508,0)),"ID не найден"))</x:f>
        <x:v>44.3</x:v>
      </x:c>
      <x:c r="J331" s="18" t="n">
        <x:v>10</x:v>
      </x:c>
      <x:c r="K331" s="10" t="str">
        <x:f>IF(D331="","",IF(COUNTIFS('Видео'!$A$7:$A$1508,D331)=1,INDEX('Видео'!$AI$7:$AI$1508,MATCH(D331,'Видео'!$A$7:$A$1508,0)),"ID не найден"))</x:f>
        <x:v>Нужна редактура</x:v>
      </x:c>
      <x:c r="L331" s="19" t="str">
        <x:v>J3m0oKDhWvw</x:v>
      </x:c>
      <x:c r="M331" s="10" t="str">
        <x:f>IF(L331="","",IF(COUNTIFS('Видео'!$A$7:$A$1508,L331)=1,INDEX('Видео'!$B$7:$B$1508,MATCH(L331,'Видео'!$A$7:$A$1508,0)),"ID не найден"))</x:f>
        <x:v>והארץ הייתה תוהו ובוהו - תולדות ארץ ישראל | פרק 7: הממלכה האחרונה [HD]</x:v>
      </x:c>
      <x:c r="N331" s="10" t="str"/>
      <x:c r="O331" s="10" t="str">
        <x:f>IF(D331="","",IF(COUNTIFS('Видео'!$A$7:$A$1508,D331)=1,INDEX('Видео'!$M$7:$M$1508,MATCH(D331,'Видео'!$A$7:$A$1508,0)),"ID не найден"))</x:f>
        <x:v>Тема: המסות של ח"נ ביאליק | שיעור 2 - הלכה ואגדה ב | ד"ר רני יגר. Бялик даёт устойчивую культурную тему для аудитории книг и истории иврита.</x:v>
      </x:c>
      <x:c r="P331" s="11" t="str">
        <x:f>IF(D331="","",IF(COUNTIFS('Видео'!$A$7:$A$1508,D331)=1,INDEX('Видео'!$U$7:$U$1508,MATCH(D331,'Видео'!$A$7:$A$1508,0)),"ID не найден"))</x:f>
        <x:v>https://www.youtube.com/watch?v=bvpfpOSuCgM</x:v>
      </x:c>
      <x:c r="Q331" s="17" t="str">
        <x:v>Предложено</x:v>
      </x:c>
      <x:c r="R331" s="17" t="str"/>
      <x:c r="S331" s="10" t="str"/>
      <x:c r="T331" s="10" t="str">
        <x:v>Резерв меняет выбор видео; снова проверить повод, аудиторию и все редакторские условия</x:v>
      </x:c>
      <x:c r="U331" s="9" t="str">
        <x:f>IF(D331="","Выбрать видео",IF(COUNTIFS($D$7:$D$371,D331)&gt;1,"Повтор","Без повтора"))</x:f>
        <x:v>Без повтора</x:v>
      </x:c>
    </x:row>
    <x:row r="332" ht="60" customHeight="1">
      <x:c r="A332" s="16" t="n">
        <x:v>46634</x:v>
      </x:c>
      <x:c r="B332" s="9" t="str">
        <x:v>Сб</x:v>
      </x:c>
      <x:c r="C332" s="10" t="str">
        <x:v>Общество</x:v>
      </x:c>
      <x:c r="D332" s="19" t="str">
        <x:v>Jh5V-JtMJxg</x:v>
      </x:c>
      <x:c r="E332" s="10" t="str">
        <x:f>IF(D332="","",IF(COUNTIFS('Видео'!$A$7:$A$1508,D332)=1,INDEX('Видео'!$B$7:$B$1508,MATCH(D332,'Видео'!$A$7:$A$1508,0)),"ID не найден"))</x:f>
        <x:v>סליחה על השאלה עונה 4 | פונדקאיות</x:v>
      </x:c>
      <x:c r="F332" s="9" t="str">
        <x:f>IF(D332="","",IF(COUNTIFS('Видео'!$A$7:$A$1508,D332)=1,INDEX('Видео'!$R$7:$R$1508,MATCH(D332,'Видео'!$A$7:$A$1508,0)),"ID не найден"))</x:f>
        <x:v>C018</x:v>
      </x:c>
      <x:c r="G332" s="9" t="str">
        <x:f>IF(D332="","",IF(COUNTIFS('Видео'!$A$7:$A$1508,D332)=1,INDEX('Видео'!$D$7:$D$1508,MATCH(D332,'Видео'!$A$7:$A$1508,0)),"ID не найден"))</x:f>
        <x:v>Общество</x:v>
      </x:c>
      <x:c r="H332" s="10" t="str">
        <x:f>IF(D332="","",IF(COUNTIFS('Видео'!$A$7:$A$1508,D332)=1,INDEX('Видео'!$F$7:$F$1508,MATCH(D332,'Видео'!$A$7:$A$1508,0)),"ID не найден"))</x:f>
        <x:v>B1–B2 (гипотеза)</x:v>
      </x:c>
      <x:c r="I332" s="18" t="n">
        <x:f>IF(D332="","",IF(COUNTIFS('Видео'!$A$7:$A$1508,D332)=1,INDEX('Видео'!$G$7:$G$1508,MATCH(D332,'Видео'!$A$7:$A$1508,0)),"ID не найден"))</x:f>
        <x:v>25.6</x:v>
      </x:c>
      <x:c r="J332" s="18" t="n">
        <x:v>10</x:v>
      </x:c>
      <x:c r="K332" s="10" t="str">
        <x:f>IF(D332="","",IF(COUNTIFS('Видео'!$A$7:$A$1508,D332)=1,INDEX('Видео'!$AI$7:$AI$1508,MATCH(D332,'Видео'!$A$7:$A$1508,0)),"ID не найден"))</x:f>
        <x:v>Нужна редактура</x:v>
      </x:c>
      <x:c r="L332" s="19" t="str">
        <x:v>9oOh4lNTuqM</x:v>
      </x:c>
      <x:c r="M332" s="10" t="str">
        <x:f>IF(L332="","",IF(COUNTIFS('Видео'!$A$7:$A$1508,L332)=1,INDEX('Видео'!$B$7:$B$1508,MATCH(L332,'Видео'!$A$7:$A$1508,0)),"ID не найден"))</x:f>
        <x:v>סליחה על השאלה עונה 2 | יוצאי אתיופיה</x:v>
      </x:c>
      <x:c r="N332" s="10" t="str"/>
      <x:c r="O332" s="10" t="str">
        <x:f>IF(D332="","",IF(COUNTIFS('Видео'!$A$7:$A$1508,D332)=1,INDEX('Видео'!$M$7:$M$1508,MATCH(D332,'Видео'!$A$7:$A$1508,0)),"ID не найден"))</x:f>
        <x:v>Тема: סליחה על השאלה עונה 4 | פונדקאיות. Одинаковый вопрос разным людям позволяет сравнить ответы и акценты. Формат вводит социальные группы через их собственную речь.</x:v>
      </x:c>
      <x:c r="P332" s="11" t="str">
        <x:f>IF(D332="","",IF(COUNTIFS('Видео'!$A$7:$A$1508,D332)=1,INDEX('Видео'!$U$7:$U$1508,MATCH(D332,'Видео'!$A$7:$A$1508,0)),"ID не найден"))</x:f>
        <x:v>https://www.youtube.com/watch?v=Jh5V-JtMJxg</x:v>
      </x:c>
      <x:c r="Q332" s="17" t="str">
        <x:v>Предложено</x:v>
      </x:c>
      <x:c r="R332" s="17" t="str"/>
      <x:c r="S332" s="10" t="str"/>
      <x:c r="T332" s="10" t="str">
        <x:v>Резерв меняет выбор видео; снова проверить повод, аудиторию и все редакторские условия</x:v>
      </x:c>
      <x:c r="U332" s="9" t="str">
        <x:f>IF(D332="","Выбрать видео",IF(COUNTIFS($D$7:$D$371,D332)&gt;1,"Повтор","Без повтора"))</x:f>
        <x:v>Без повтора</x:v>
      </x:c>
    </x:row>
    <x:row r="333" ht="60" customHeight="1">
      <x:c r="A333" s="16" t="n">
        <x:v>46635</x:v>
      </x:c>
      <x:c r="B333" s="9" t="str">
        <x:v>Вс</x:v>
      </x:c>
      <x:c r="C333" s="10" t="str">
        <x:v>Сериал</x:v>
      </x:c>
      <x:c r="D333" s="19" t="str">
        <x:v>9m-aRG2DHYk</x:v>
      </x:c>
      <x:c r="E333" s="10" t="str">
        <x:f>IF(D333="","",IF(COUNTIFS('Видео'!$A$7:$A$1508,D333)=1,INDEX('Видео'!$B$7:$B$1508,MATCH(D333,'Видео'!$A$7:$A$1508,0)),"ID не найден"))</x:f>
        <x:v>קופה ראשית עונה 5 🛒 | פרק 6 - גזענות קירחים</x:v>
      </x:c>
      <x:c r="F333" s="9" t="str">
        <x:f>IF(D333="","",IF(COUNTIFS('Видео'!$A$7:$A$1508,D333)=1,INDEX('Видео'!$R$7:$R$1508,MATCH(D333,'Видео'!$A$7:$A$1508,0)),"ID не найден"))</x:f>
        <x:v>C001</x:v>
      </x:c>
      <x:c r="G333" s="9" t="str">
        <x:f>IF(D333="","",IF(COUNTIFS('Видео'!$A$7:$A$1508,D333)=1,INDEX('Видео'!$D$7:$D$1508,MATCH(D333,'Видео'!$A$7:$A$1508,0)),"ID не найден"))</x:f>
        <x:v>Сериал</x:v>
      </x:c>
      <x:c r="H333" s="10" t="str">
        <x:f>IF(D333="","",IF(COUNTIFS('Видео'!$A$7:$A$1508,D333)=1,INDEX('Видео'!$F$7:$F$1508,MATCH(D333,'Видео'!$A$7:$A$1508,0)),"ID не найден"))</x:f>
        <x:v>B1–B2 (гипотеза)</x:v>
      </x:c>
      <x:c r="I333" s="18" t="n">
        <x:f>IF(D333="","",IF(COUNTIFS('Видео'!$A$7:$A$1508,D333)=1,INDEX('Видео'!$G$7:$G$1508,MATCH(D333,'Видео'!$A$7:$A$1508,0)),"ID не найден"))</x:f>
        <x:v>23.6</x:v>
      </x:c>
      <x:c r="J333" s="18" t="n">
        <x:v>10</x:v>
      </x:c>
      <x:c r="K333" s="10" t="str">
        <x:f>IF(D333="","",IF(COUNTIFS('Видео'!$A$7:$A$1508,D333)=1,INDEX('Видео'!$AI$7:$AI$1508,MATCH(D333,'Видео'!$A$7:$A$1508,0)),"ID не найден"))</x:f>
        <x:v>Нужна редактура</x:v>
      </x:c>
      <x:c r="L333" s="19" t="str">
        <x:v>74MAQFOq_AE</x:v>
      </x:c>
      <x:c r="M333" s="10" t="str">
        <x:f>IF(L333="","",IF(COUNTIFS('Видео'!$A$7:$A$1508,L333)=1,INDEX('Видео'!$B$7:$B$1508,MATCH(L333,'Видео'!$A$7:$A$1508,0)),"ID не найден"))</x:f>
        <x:v>ביצים בצבעים</x:v>
      </x:c>
      <x:c r="N333" s="10" t="str"/>
      <x:c r="O333" s="10" t="str">
        <x:f>IF(D333="","",IF(COUNTIFS('Видео'!$A$7:$A$1508,D333)=1,INDEX('Видео'!$M$7:$M$1508,MATCH(D333,'Видео'!$A$7:$A$1508,0)),"ID не найден"))</x:f>
        <x:v>Эпизод 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33" s="11" t="str">
        <x:f>IF(D333="","",IF(COUNTIFS('Видео'!$A$7:$A$1508,D333)=1,INDEX('Видео'!$U$7:$U$1508,MATCH(D333,'Видео'!$A$7:$A$1508,0)),"ID не найден"))</x:f>
        <x:v>https://www.youtube.com/watch?v=9m-aRG2DHYk</x:v>
      </x:c>
      <x:c r="Q333" s="17" t="str">
        <x:v>Предложено</x:v>
      </x:c>
      <x:c r="R333" s="17" t="str"/>
      <x:c r="S333" s="10" t="str"/>
      <x:c r="T333" s="10" t="str">
        <x:v>При недоступной серии приостановить сюжетную ветку; резерв — самостоятельное видео</x:v>
      </x:c>
      <x:c r="U333" s="9" t="str">
        <x:f>IF(D333="","Выбрать видео",IF(COUNTIFS($D$7:$D$371,D333)&gt;1,"Повтор","Без повтора"))</x:f>
        <x:v>Без повтора</x:v>
      </x:c>
    </x:row>
    <x:row r="334" ht="60" customHeight="1">
      <x:c r="A334" s="16" t="n">
        <x:v>46636</x:v>
      </x:c>
      <x:c r="B334" s="9" t="str">
        <x:v>Пн</x:v>
      </x:c>
      <x:c r="C334" s="10" t="str">
        <x:v>Интервью</x:v>
      </x:c>
      <x:c r="D334" s="19" t="str">
        <x:v>aQWVdJ1HcBY</x:v>
      </x:c>
      <x:c r="E334" s="10" t="str">
        <x:f>IF(D334="","",IF(COUNTIFS('Видео'!$A$7:$A$1508,D334)=1,INDEX('Видео'!$B$7:$B$1508,MATCH(D334,'Видео'!$A$7:$A$1508,0)),"ID не найден"))</x:f>
        <x:v>הצומת | הסקיל-סט שמאפשר ללוחם חשאי להיטמע מבלי להיחשף - ״רמי״</x:v>
      </x:c>
      <x:c r="F334" s="9" t="str">
        <x:f>IF(D334="","",IF(COUNTIFS('Видео'!$A$7:$A$1508,D334)=1,INDEX('Видео'!$R$7:$R$1508,MATCH(D334,'Видео'!$A$7:$A$1508,0)),"ID не найден"))</x:f>
        <x:v>C086</x:v>
      </x:c>
      <x:c r="G334" s="9" t="str">
        <x:f>IF(D334="","",IF(COUNTIFS('Видео'!$A$7:$A$1508,D334)=1,INDEX('Видео'!$D$7:$D$1508,MATCH(D334,'Видео'!$A$7:$A$1508,0)),"ID не найден"))</x:f>
        <x:v>Интервью</x:v>
      </x:c>
      <x:c r="H334" s="10" t="str">
        <x:f>IF(D334="","",IF(COUNTIFS('Видео'!$A$7:$A$1508,D334)=1,INDEX('Видео'!$F$7:$F$1508,MATCH(D334,'Видео'!$A$7:$A$1508,0)),"ID не найден"))</x:f>
        <x:v>B2–C1 (гипотеза)</x:v>
      </x:c>
      <x:c r="I334" s="18" t="n">
        <x:f>IF(D334="","",IF(COUNTIFS('Видео'!$A$7:$A$1508,D334)=1,INDEX('Видео'!$G$7:$G$1508,MATCH(D334,'Видео'!$A$7:$A$1508,0)),"ID не найден"))</x:f>
        <x:v>57.3</x:v>
      </x:c>
      <x:c r="J334" s="18" t="n">
        <x:v>10</x:v>
      </x:c>
      <x:c r="K334" s="10" t="str">
        <x:f>IF(D334="","",IF(COUNTIFS('Видео'!$A$7:$A$1508,D334)=1,INDEX('Видео'!$AI$7:$AI$1508,MATCH(D334,'Видео'!$A$7:$A$1508,0)),"ID не найден"))</x:f>
        <x:v>Нужна редактура</x:v>
      </x:c>
      <x:c r="L334" s="19" t="str">
        <x:v>MPvNogGRsO4</x:v>
      </x:c>
      <x:c r="M334" s="10" t="str">
        <x:f>IF(L334="","",IF(COUNTIFS('Видео'!$A$7:$A$1508,L334)=1,INDEX('Видео'!$B$7:$B$1508,MATCH(L334,'Видео'!$A$7:$A$1508,0)),"ID не найден"))</x:f>
        <x:v>שיחה עם עודד הרוש: השרה מאי גולן I התכנית המלאה</x:v>
      </x:c>
      <x:c r="N334" s="10" t="str"/>
      <x:c r="O334" s="10" t="str">
        <x:f>IF(D334="","",IF(COUNTIFS('Видео'!$A$7:$A$1508,D334)=1,INDEX('Видео'!$M$7:$M$1508,MATCH(D334,'Видео'!$A$7:$A$1508,0)),"ID не найден"))</x:f>
        <x:v>Тема / гость: הסקיל-סט שמאפשר ללוחם חשאי להיטמע מבלי להיחשף - ״רמי״. Просмотры в списке выше медианы выборки этого цикла в 2.02 раза. Связь с уже выбранным владельцем источником. Длинные разговоры дают разные профессиональные и общественные биографии.</x:v>
      </x:c>
      <x:c r="P334" s="11" t="str">
        <x:f>IF(D334="","",IF(COUNTIFS('Видео'!$A$7:$A$1508,D334)=1,INDEX('Видео'!$U$7:$U$1508,MATCH(D334,'Видео'!$A$7:$A$1508,0)),"ID не найден"))</x:f>
        <x:v>https://www.youtube.com/watch?v=aQWVdJ1HcBY</x:v>
      </x:c>
      <x:c r="Q334" s="17" t="str">
        <x:v>Предложено</x:v>
      </x:c>
      <x:c r="R334" s="17" t="str"/>
      <x:c r="S334" s="10" t="str"/>
      <x:c r="T334" s="10" t="str">
        <x:v>Резерв меняет выбор видео; снова проверить повод, аудиторию и все редакторские условия</x:v>
      </x:c>
      <x:c r="U334" s="9" t="str">
        <x:f>IF(D334="","Выбрать видео",IF(COUNTIFS($D$7:$D$371,D334)&gt;1,"Повтор","Без повтора"))</x:f>
        <x:v>Без повтора</x:v>
      </x:c>
    </x:row>
    <x:row r="335" ht="60" customHeight="1">
      <x:c r="A335" s="16" t="n">
        <x:v>46637</x:v>
      </x:c>
      <x:c r="B335" s="9" t="str">
        <x:v>Вт</x:v>
      </x:c>
      <x:c r="C335" s="10" t="str">
        <x:v>Образование</x:v>
      </x:c>
      <x:c r="D335" s="19" t="str">
        <x:v>bo2tPbgJc4I</x:v>
      </x:c>
      <x:c r="E335" s="10" t="str">
        <x:f>IF(D335="","",IF(COUNTIFS('Видео'!$A$7:$A$1508,D335)=1,INDEX('Видео'!$B$7:$B$1508,MATCH(D335,'Видео'!$A$7:$A$1508,0)),"ID не найден"))</x:f>
        <x:v>חשוב לדעת: איך לכבות סיר שמן בוער</x:v>
      </x:c>
      <x:c r="F335" s="9" t="str">
        <x:f>IF(D335="","",IF(COUNTIFS('Видео'!$A$7:$A$1508,D335)=1,INDEX('Видео'!$R$7:$R$1508,MATCH(D335,'Видео'!$A$7:$A$1508,0)),"ID не найден"))</x:f>
        <x:v>C060</x:v>
      </x:c>
      <x:c r="G335" s="9" t="str">
        <x:f>IF(D335="","",IF(COUNTIFS('Видео'!$A$7:$A$1508,D335)=1,INDEX('Видео'!$D$7:$D$1508,MATCH(D335,'Видео'!$A$7:$A$1508,0)),"ID не найден"))</x:f>
        <x:v>Образование</x:v>
      </x:c>
      <x:c r="H335" s="10" t="str">
        <x:f>IF(D335="","",IF(COUNTIFS('Видео'!$A$7:$A$1508,D335)=1,INDEX('Видео'!$F$7:$F$1508,MATCH(D335,'Видео'!$A$7:$A$1508,0)),"ID не найден"))</x:f>
        <x:v>B1–B2 (гипотеза)</x:v>
      </x:c>
      <x:c r="I335" s="18" t="n">
        <x:f>IF(D335="","",IF(COUNTIFS('Видео'!$A$7:$A$1508,D335)=1,INDEX('Видео'!$G$7:$G$1508,MATCH(D335,'Видео'!$A$7:$A$1508,0)),"ID не найден"))</x:f>
        <x:v>2.9</x:v>
      </x:c>
      <x:c r="J335" s="18" t="n">
        <x:v>5</x:v>
      </x:c>
      <x:c r="K335" s="10" t="str">
        <x:f>IF(D335="","",IF(COUNTIFS('Видео'!$A$7:$A$1508,D335)=1,INDEX('Видео'!$AI$7:$AI$1508,MATCH(D335,'Видео'!$A$7:$A$1508,0)),"ID не найден"))</x:f>
        <x:v>Нужна редактура</x:v>
      </x:c>
      <x:c r="L335" s="19" t="str">
        <x:v>fePOnCqZxSw</x:v>
      </x:c>
      <x:c r="M335" s="10" t="str">
        <x:f>IF(L335="","",IF(COUNTIFS('Видео'!$A$7:$A$1508,L335)=1,INDEX('Видео'!$B$7:$B$1508,MATCH(L335,'Видео'!$A$7:$A$1508,0)),"ID не найден"))</x:f>
        <x:v>המרדף עונה 9 | פרק 14</x:v>
      </x:c>
      <x:c r="N335" s="10" t="str"/>
      <x:c r="O335" s="10" t="str">
        <x:f>IF(D335="","",IF(COUNTIFS('Видео'!$A$7:$A$1508,D335)=1,INDEX('Видео'!$M$7:$M$1508,MATCH(D335,'Видео'!$A$7:$A$1508,0)),"ID не найден"))</x:f>
        <x:v>Завершённый короткий просмотр около 3 мин. Просмотры в списке выше медианы выборки этого цикла в 3.35 раза. Неожиданный научный факт поддерживает любопытство и интерес к короткому просмотру.</x:v>
      </x:c>
      <x:c r="P335" s="11" t="str">
        <x:f>IF(D335="","",IF(COUNTIFS('Видео'!$A$7:$A$1508,D335)=1,INDEX('Видео'!$U$7:$U$1508,MATCH(D335,'Видео'!$A$7:$A$1508,0)),"ID не найден"))</x:f>
        <x:v>https://www.youtube.com/watch?v=bo2tPbgJc4I</x:v>
      </x:c>
      <x:c r="Q335" s="17" t="str">
        <x:v>Предложено</x:v>
      </x:c>
      <x:c r="R335" s="17" t="str"/>
      <x:c r="S335" s="10" t="str"/>
      <x:c r="T335" s="10" t="str">
        <x:v>Резерв меняет выбор видео; снова проверить повод, аудиторию и все редакторские условия</x:v>
      </x:c>
      <x:c r="U335" s="9" t="str">
        <x:f>IF(D335="","Выбрать видео",IF(COUNTIFS($D$7:$D$371,D335)&gt;1,"Повтор","Без повтора"))</x:f>
        <x:v>Без повтора</x:v>
      </x:c>
    </x:row>
    <x:row r="336" ht="60" customHeight="1">
      <x:c r="A336" s="16" t="n">
        <x:v>46638</x:v>
      </x:c>
      <x:c r="B336" s="9" t="str">
        <x:v>Ср</x:v>
      </x:c>
      <x:c r="C336" s="10" t="str">
        <x:v>Быт</x:v>
      </x:c>
      <x:c r="D336" s="19" t="str">
        <x:v>RuGh7XE8AHw</x:v>
      </x:c>
      <x:c r="E336" s="10" t="str">
        <x:f>IF(D336="","",IF(COUNTIFS('Видео'!$A$7:$A$1508,D336)=1,INDEX('Видео'!$B$7:$B$1508,MATCH(D336,'Видео'!$A$7:$A$1508,0)),"ID не найден"))</x:f>
        <x:v>"רמות שכר שלא הכרנו כשהיינו בגיל שלהם". כשאמזון משקיעה ב-Allcloud | דוקותיים tech</x:v>
      </x:c>
      <x:c r="F336" s="9" t="str">
        <x:f>IF(D336="","",IF(COUNTIFS('Видео'!$A$7:$A$1508,D336)=1,INDEX('Видео'!$R$7:$R$1508,MATCH(D336,'Видео'!$A$7:$A$1508,0)),"ID не найден"))</x:f>
        <x:v>C051</x:v>
      </x:c>
      <x:c r="G336" s="9" t="str">
        <x:f>IF(D336="","",IF(COUNTIFS('Видео'!$A$7:$A$1508,D336)=1,INDEX('Видео'!$D$7:$D$1508,MATCH(D336,'Видео'!$A$7:$A$1508,0)),"ID не найден"))</x:f>
        <x:v>Быт</x:v>
      </x:c>
      <x:c r="H336" s="10" t="str">
        <x:f>IF(D336="","",IF(COUNTIFS('Видео'!$A$7:$A$1508,D336)=1,INDEX('Видео'!$F$7:$F$1508,MATCH(D336,'Видео'!$A$7:$A$1508,0)),"ID не найден"))</x:f>
        <x:v>B1–B2 (гипотеза)</x:v>
      </x:c>
      <x:c r="I336" s="18" t="n">
        <x:f>IF(D336="","",IF(COUNTIFS('Видео'!$A$7:$A$1508,D336)=1,INDEX('Видео'!$G$7:$G$1508,MATCH(D336,'Видео'!$A$7:$A$1508,0)),"ID не найден"))</x:f>
        <x:v>7</x:v>
      </x:c>
      <x:c r="J336" s="18" t="n">
        <x:v>5</x:v>
      </x:c>
      <x:c r="K336" s="10" t="str">
        <x:f>IF(D336="","",IF(COUNTIFS('Видео'!$A$7:$A$1508,D336)=1,INDEX('Видео'!$AI$7:$AI$1508,MATCH(D336,'Видео'!$A$7:$A$1508,0)),"ID не найден"))</x:f>
        <x:v>Нужна редактура</x:v>
      </x:c>
      <x:c r="L336" s="19" t="str">
        <x:v>xIU1WMDxiRY</x:v>
      </x:c>
      <x:c r="M336" s="10" t="str">
        <x:f>IF(L336="","",IF(COUNTIFS('Видео'!$A$7:$A$1508,L336)=1,INDEX('Видео'!$B$7:$B$1508,MATCH(L336,'Видео'!$A$7:$A$1508,0)),"ID не найден"))</x:f>
        <x:v>שום פלפל ושמן זית עונה 2 | רוני דלומי</x:v>
      </x:c>
      <x:c r="N336" s="10" t="str"/>
      <x:c r="O336" s="10" t="str">
        <x:f>IF(D336="","",IF(COUNTIFS('Видео'!$A$7:$A$1508,D336)=1,INDEX('Видео'!$M$7:$M$1508,MATCH(D336,'Видео'!$A$7:$A$1508,0)),"ID не найден"))</x:f>
        <x:v>Завершённый короткий просмотр около 7 мин. Человеческая история в технологической среде соединяет профессиональный интерес и короткий формат.</x:v>
      </x:c>
      <x:c r="P336" s="11" t="str">
        <x:f>IF(D336="","",IF(COUNTIFS('Видео'!$A$7:$A$1508,D336)=1,INDEX('Видео'!$U$7:$U$1508,MATCH(D336,'Видео'!$A$7:$A$1508,0)),"ID не найден"))</x:f>
        <x:v>https://www.youtube.com/watch?v=RuGh7XE8AHw</x:v>
      </x:c>
      <x:c r="Q336" s="17" t="str">
        <x:v>Предложено</x:v>
      </x:c>
      <x:c r="R336" s="17" t="str"/>
      <x:c r="S336" s="10" t="str"/>
      <x:c r="T336" s="10" t="str">
        <x:v>Резерв меняет выбор видео; снова проверить повод, аудиторию и все редакторские условия</x:v>
      </x:c>
      <x:c r="U336" s="9" t="str">
        <x:f>IF(D336="","Выбрать видео",IF(COUNTIFS($D$7:$D$371,D336)&gt;1,"Повтор","Без повтора"))</x:f>
        <x:v>Без повтора</x:v>
      </x:c>
    </x:row>
    <x:row r="337" ht="60" customHeight="1">
      <x:c r="A337" s="16" t="n">
        <x:v>46639</x:v>
      </x:c>
      <x:c r="B337" s="9" t="str">
        <x:v>Чт</x:v>
      </x:c>
      <x:c r="C337" s="10" t="str">
        <x:v>Сериал</x:v>
      </x:c>
      <x:c r="D337" s="19" t="str">
        <x:v>xmth0eQfM-c</x:v>
      </x:c>
      <x:c r="E337" s="10" t="str">
        <x:f>IF(D337="","",IF(COUNTIFS('Видео'!$A$7:$A$1508,D337)=1,INDEX('Видео'!$B$7:$B$1508,MATCH(D337,'Видео'!$A$7:$A$1508,0)),"ID не найден"))</x:f>
        <x:v>כראמל 🐱 | שובה של סיסיליה - פרק 15</x:v>
      </x:c>
      <x:c r="F337" s="9" t="str">
        <x:f>IF(D337="","",IF(COUNTIFS('Видео'!$A$7:$A$1508,D337)=1,INDEX('Видео'!$R$7:$R$1508,MATCH(D337,'Видео'!$A$7:$A$1508,0)),"ID не найден"))</x:f>
        <x:v>C053</x:v>
      </x:c>
      <x:c r="G337" s="9" t="str">
        <x:f>IF(D337="","",IF(COUNTIFS('Видео'!$A$7:$A$1508,D337)=1,INDEX('Видео'!$D$7:$D$1508,MATCH(D337,'Видео'!$A$7:$A$1508,0)),"ID не найден"))</x:f>
        <x:v>Сериал</x:v>
      </x:c>
      <x:c r="H337" s="10" t="str">
        <x:f>IF(D337="","",IF(COUNTIFS('Видео'!$A$7:$A$1508,D337)=1,INDEX('Видео'!$F$7:$F$1508,MATCH(D337,'Видео'!$A$7:$A$1508,0)),"ID не найден"))</x:f>
        <x:v>A2–B1 (гипотеза)</x:v>
      </x:c>
      <x:c r="I337" s="18" t="n">
        <x:f>IF(D337="","",IF(COUNTIFS('Видео'!$A$7:$A$1508,D337)=1,INDEX('Видео'!$G$7:$G$1508,MATCH(D337,'Видео'!$A$7:$A$1508,0)),"ID не найден"))</x:f>
        <x:v>26</x:v>
      </x:c>
      <x:c r="J337" s="18" t="n">
        <x:v>10</x:v>
      </x:c>
      <x:c r="K337" s="10" t="str">
        <x:f>IF(D337="","",IF(COUNTIFS('Видео'!$A$7:$A$1508,D337)=1,INDEX('Видео'!$AI$7:$AI$1508,MATCH(D337,'Видео'!$A$7:$A$1508,0)),"ID не найден"))</x:f>
        <x:v>Нужна редактура</x:v>
      </x:c>
      <x:c r="L337" s="19" t="str">
        <x:v>GDBJrotrDGg</x:v>
      </x:c>
      <x:c r="M337" s="10" t="str">
        <x:f>IF(L337="","",IF(COUNTIFS('Видео'!$A$7:$A$1508,L337)=1,INDEX('Видео'!$B$7:$B$1508,MATCH(L337,'Видео'!$A$7:$A$1508,0)),"ID не найден"))</x:f>
        <x:v>דוקותיים | עומר מדבר עם קופים במקלט הכי גדול בעולם</x:v>
      </x:c>
      <x:c r="N337" s="10" t="str"/>
      <x:c r="O337" s="10" t="str">
        <x:f>IF(D337="","",IF(COUNTIFS('Видео'!$A$7:$A$1508,D337)=1,INDEX('Видео'!$M$7:$M$1508,MATCH(D337,'Видео'!$A$7:$A$1508,0)),"ID не найден"))</x:f>
        <x:v>Эпизод 15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337" s="11" t="str">
        <x:f>IF(D337="","",IF(COUNTIFS('Видео'!$A$7:$A$1508,D337)=1,INDEX('Видео'!$U$7:$U$1508,MATCH(D337,'Видео'!$A$7:$A$1508,0)),"ID не найден"))</x:f>
        <x:v>https://www.youtube.com/watch?v=xmth0eQfM-c</x:v>
      </x:c>
      <x:c r="Q337" s="17" t="str">
        <x:v>Предложено</x:v>
      </x:c>
      <x:c r="R337" s="17" t="str"/>
      <x:c r="S337" s="10" t="str"/>
      <x:c r="T337" s="10" t="str">
        <x:v>При недоступной серии приостановить сюжетную ветку; резерв — самостоятельное видео</x:v>
      </x:c>
      <x:c r="U337" s="9" t="str">
        <x:f>IF(D337="","Выбрать видео",IF(COUNTIFS($D$7:$D$371,D337)&gt;1,"Повтор","Без повтора"))</x:f>
        <x:v>Без повтора</x:v>
      </x:c>
    </x:row>
    <x:row r="338" ht="60" customHeight="1">
      <x:c r="A338" s="16" t="n">
        <x:v>46640</x:v>
      </x:c>
      <x:c r="B338" s="9" t="str">
        <x:v>Пт</x:v>
      </x:c>
      <x:c r="C338" s="10" t="str">
        <x:v>Культура</x:v>
      </x:c>
      <x:c r="D338" s="19" t="str">
        <x:v>p4c9dL0Ve0w</x:v>
      </x:c>
      <x:c r="E338" s="10" t="str">
        <x:f>IF(D338="","",IF(COUNTIFS('Видео'!$A$7:$A$1508,D338)=1,INDEX('Видео'!$B$7:$B$1508,MATCH(D338,'Видео'!$A$7:$A$1508,0)),"ID не найден"))</x:f>
        <x:v>היהודים באים - פרק 5 | כאן 11 לשעבר רשות השידור</x:v>
      </x:c>
      <x:c r="F338" s="9" t="str">
        <x:f>IF(D338="","",IF(COUNTIFS('Видео'!$A$7:$A$1508,D338)=1,INDEX('Видео'!$R$7:$R$1508,MATCH(D338,'Видео'!$A$7:$A$1508,0)),"ID не найден"))</x:f>
        <x:v>C026</x:v>
      </x:c>
      <x:c r="G338" s="9" t="str">
        <x:f>IF(D338="","",IF(COUNTIFS('Видео'!$A$7:$A$1508,D338)=1,INDEX('Видео'!$D$7:$D$1508,MATCH(D338,'Видео'!$A$7:$A$1508,0)),"ID не найден"))</x:f>
        <x:v>Культура</x:v>
      </x:c>
      <x:c r="H338" s="10" t="str">
        <x:f>IF(D338="","",IF(COUNTIFS('Видео'!$A$7:$A$1508,D338)=1,INDEX('Видео'!$F$7:$F$1508,MATCH(D338,'Видео'!$A$7:$A$1508,0)),"ID не найден"))</x:f>
        <x:v>B2–C1 (гипотеза)</x:v>
      </x:c>
      <x:c r="I338" s="18" t="n">
        <x:f>IF(D338="","",IF(COUNTIFS('Видео'!$A$7:$A$1508,D338)=1,INDEX('Видео'!$G$7:$G$1508,MATCH(D338,'Видео'!$A$7:$A$1508,0)),"ID не найден"))</x:f>
        <x:v>23.9</x:v>
      </x:c>
      <x:c r="J338" s="18" t="n">
        <x:v>10</x:v>
      </x:c>
      <x:c r="K338" s="10" t="str">
        <x:f>IF(D338="","",IF(COUNTIFS('Видео'!$A$7:$A$1508,D338)=1,INDEX('Видео'!$AI$7:$AI$1508,MATCH(D338,'Видео'!$A$7:$A$1508,0)),"ID не найден"))</x:f>
        <x:v>Нужна редактура</x:v>
      </x:c>
      <x:c r="L338" s="19" t="str">
        <x:v>b8X13M7dkqE</x:v>
      </x:c>
      <x:c r="M338" s="10" t="str">
        <x:f>IF(L338="","",IF(COUNTIFS('Видео'!$A$7:$A$1508,L338)=1,INDEX('Видео'!$B$7:$B$1508,MATCH(L338,'Видео'!$A$7:$A$1508,0)),"ID не найден"))</x:f>
        <x:v>מה היו שני האירועים שהשפיעו על חייו של הרב חזן?</x:v>
      </x:c>
      <x:c r="N338" s="10" t="str"/>
      <x:c r="O338" s="10" t="str">
        <x:f>IF(D338="","",IF(COUNTIFS('Видео'!$A$7:$A$1508,D338)=1,INDEX('Видео'!$M$7:$M$1508,MATCH(D338,'Видео'!$A$7:$A$1508,0)),"ID не найден"))</x:f>
        <x:v>Тема: היהודים באים - פרק 5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P338" s="11" t="str">
        <x:f>IF(D338="","",IF(COUNTIFS('Видео'!$A$7:$A$1508,D338)=1,INDEX('Видео'!$U$7:$U$1508,MATCH(D338,'Видео'!$A$7:$A$1508,0)),"ID не найден"))</x:f>
        <x:v>https://www.youtube.com/watch?v=p4c9dL0Ve0w</x:v>
      </x:c>
      <x:c r="Q338" s="17" t="str">
        <x:v>Предложено</x:v>
      </x:c>
      <x:c r="R338" s="17" t="str"/>
      <x:c r="S338" s="10" t="str"/>
      <x:c r="T338" s="10" t="str">
        <x:v>Резерв меняет выбор видео; снова проверить повод, аудиторию и все редакторские условия</x:v>
      </x:c>
      <x:c r="U338" s="9" t="str">
        <x:f>IF(D338="","Выбрать видео",IF(COUNTIFS($D$7:$D$371,D338)&gt;1,"Повтор","Без повтора"))</x:f>
        <x:v>Без повтора</x:v>
      </x:c>
    </x:row>
    <x:row r="339" ht="60" customHeight="1">
      <x:c r="A339" s="16" t="n">
        <x:v>46641</x:v>
      </x:c>
      <x:c r="B339" s="9" t="str">
        <x:v>Сб</x:v>
      </x:c>
      <x:c r="C339" s="10" t="str">
        <x:v>Общество</x:v>
      </x:c>
      <x:c r="D339" s="19" t="str">
        <x:v>qfIl2dcZgbk</x:v>
      </x:c>
      <x:c r="E339" s="10" t="str">
        <x:f>IF(D339="","",IF(COUNTIFS('Видео'!$A$7:$A$1508,D339)=1,INDEX('Видео'!$B$7:$B$1508,MATCH(D339,'Видео'!$A$7:$A$1508,0)),"ID не найден"))</x:f>
        <x:v>סליחה על השאלה עונה 3 💙 | חירשים</x:v>
      </x:c>
      <x:c r="F339" s="9" t="str">
        <x:f>IF(D339="","",IF(COUNTIFS('Видео'!$A$7:$A$1508,D339)=1,INDEX('Видео'!$R$7:$R$1508,MATCH(D339,'Видео'!$A$7:$A$1508,0)),"ID не найден"))</x:f>
        <x:v>C019</x:v>
      </x:c>
      <x:c r="G339" s="9" t="str">
        <x:f>IF(D339="","",IF(COUNTIFS('Видео'!$A$7:$A$1508,D339)=1,INDEX('Видео'!$D$7:$D$1508,MATCH(D339,'Видео'!$A$7:$A$1508,0)),"ID не найден"))</x:f>
        <x:v>Общество</x:v>
      </x:c>
      <x:c r="H339" s="10" t="str">
        <x:f>IF(D339="","",IF(COUNTIFS('Видео'!$A$7:$A$1508,D339)=1,INDEX('Видео'!$F$7:$F$1508,MATCH(D339,'Видео'!$A$7:$A$1508,0)),"ID не найден"))</x:f>
        <x:v>B1–B2 (гипотеза)</x:v>
      </x:c>
      <x:c r="I339" s="18" t="n">
        <x:f>IF(D339="","",IF(COUNTIFS('Видео'!$A$7:$A$1508,D339)=1,INDEX('Видео'!$G$7:$G$1508,MATCH(D339,'Видео'!$A$7:$A$1508,0)),"ID не найден"))</x:f>
        <x:v>25.1</x:v>
      </x:c>
      <x:c r="J339" s="18" t="n">
        <x:v>10</x:v>
      </x:c>
      <x:c r="K339" s="10" t="str">
        <x:f>IF(D339="","",IF(COUNTIFS('Видео'!$A$7:$A$1508,D339)=1,INDEX('Видео'!$AI$7:$AI$1508,MATCH(D339,'Видео'!$A$7:$A$1508,0)),"ID не найден"))</x:f>
        <x:v>Нужна редактура</x:v>
      </x:c>
      <x:c r="L339" s="19" t="str">
        <x:v>DXRlVnD2Sn0</x:v>
      </x:c>
      <x:c r="M339" s="10" t="str">
        <x:f>IF(L339="","",IF(COUNTIFS('Видео'!$A$7:$A$1508,L339)=1,INDEX('Видео'!$B$7:$B$1508,MATCH(L339,'Видео'!$A$7:$A$1508,0)),"ID не найден"))</x:f>
        <x:v>זמן אמת עונה 9 | פרק 3 - משפט שדה: מה באמת קרה בשדה תימן?</x:v>
      </x:c>
      <x:c r="N339" s="10" t="str"/>
      <x:c r="O339" s="10" t="str">
        <x:f>IF(D339="","",IF(COUNTIFS('Видео'!$A$7:$A$1508,D339)=1,INDEX('Видео'!$M$7:$M$1508,MATCH(D339,'Видео'!$A$7:$A$1508,0)),"ID не найден"))</x:f>
        <x:v>Тема: סליחה על השאלה עונה 3 💙 | חירשים. Одинаковый вопрос разным людям позволяет сравнить ответы и акценты. Формат вводит социальные группы через их собственную речь.</x:v>
      </x:c>
      <x:c r="P339" s="11" t="str">
        <x:f>IF(D339="","",IF(COUNTIFS('Видео'!$A$7:$A$1508,D339)=1,INDEX('Видео'!$U$7:$U$1508,MATCH(D339,'Видео'!$A$7:$A$1508,0)),"ID не найден"))</x:f>
        <x:v>https://www.youtube.com/watch?v=qfIl2dcZgbk</x:v>
      </x:c>
      <x:c r="Q339" s="17" t="str">
        <x:v>Предложено</x:v>
      </x:c>
      <x:c r="R339" s="17" t="str"/>
      <x:c r="S339" s="10" t="str"/>
      <x:c r="T339" s="10" t="str">
        <x:v>Резерв меняет выбор видео; снова проверить повод, аудиторию и все редакторские условия</x:v>
      </x:c>
      <x:c r="U339" s="9" t="str">
        <x:f>IF(D339="","Выбрать видео",IF(COUNTIFS($D$7:$D$371,D339)&gt;1,"Повтор","Без повтора"))</x:f>
        <x:v>Без повтора</x:v>
      </x:c>
    </x:row>
    <x:row r="340" ht="60" customHeight="1">
      <x:c r="A340" s="16" t="n">
        <x:v>46642</x:v>
      </x:c>
      <x:c r="B340" s="9" t="str">
        <x:v>Вс</x:v>
      </x:c>
      <x:c r="C340" s="10" t="str">
        <x:v>Сериал</x:v>
      </x:c>
      <x:c r="D340" s="19" t="str">
        <x:v>KMR00mcwuHw</x:v>
      </x:c>
      <x:c r="E340" s="10" t="str">
        <x:f>IF(D340="","",IF(COUNTIFS('Видео'!$A$7:$A$1508,D340)=1,INDEX('Видео'!$B$7:$B$1508,MATCH(D340,'Видео'!$A$7:$A$1508,0)),"ID не найден"))</x:f>
        <x:v>קופה ראשית עונה 5 🛒 | פרק 7 - אבא של כוכבה</x:v>
      </x:c>
      <x:c r="F340" s="9" t="str">
        <x:f>IF(D340="","",IF(COUNTIFS('Видео'!$A$7:$A$1508,D340)=1,INDEX('Видео'!$R$7:$R$1508,MATCH(D340,'Видео'!$A$7:$A$1508,0)),"ID не найден"))</x:f>
        <x:v>C001</x:v>
      </x:c>
      <x:c r="G340" s="9" t="str">
        <x:f>IF(D340="","",IF(COUNTIFS('Видео'!$A$7:$A$1508,D340)=1,INDEX('Видео'!$D$7:$D$1508,MATCH(D340,'Видео'!$A$7:$A$1508,0)),"ID не найден"))</x:f>
        <x:v>Сериал</x:v>
      </x:c>
      <x:c r="H340" s="10" t="str">
        <x:f>IF(D340="","",IF(COUNTIFS('Видео'!$A$7:$A$1508,D340)=1,INDEX('Видео'!$F$7:$F$1508,MATCH(D340,'Видео'!$A$7:$A$1508,0)),"ID не найден"))</x:f>
        <x:v>B1–B2 (гипотеза)</x:v>
      </x:c>
      <x:c r="I340" s="18" t="n">
        <x:f>IF(D340="","",IF(COUNTIFS('Видео'!$A$7:$A$1508,D340)=1,INDEX('Видео'!$G$7:$G$1508,MATCH(D340,'Видео'!$A$7:$A$1508,0)),"ID не найден"))</x:f>
        <x:v>25.9</x:v>
      </x:c>
      <x:c r="J340" s="18" t="n">
        <x:v>10</x:v>
      </x:c>
      <x:c r="K340" s="10" t="str">
        <x:f>IF(D340="","",IF(COUNTIFS('Видео'!$A$7:$A$1508,D340)=1,INDEX('Видео'!$AI$7:$AI$1508,MATCH(D340,'Видео'!$A$7:$A$1508,0)),"ID не найден"))</x:f>
        <x:v>Нужна редактура</x:v>
      </x:c>
      <x:c r="L340" s="19" t="str">
        <x:v>_TFQ3brtZXw</x:v>
      </x:c>
      <x:c r="M340" s="10" t="str">
        <x:f>IF(L340="","",IF(COUNTIFS('Видео'!$A$7:$A$1508,L340)=1,INDEX('Видео'!$B$7:$B$1508,MATCH(L340,'Видео'!$A$7:$A$1508,0)),"ID не найден"))</x:f>
        <x:v>לוחמי האש לא מוותרים על קרית שמונה | דוקותיים</x:v>
      </x:c>
      <x:c r="N340" s="10" t="str"/>
      <x:c r="O340" s="10" t="str">
        <x:f>IF(D340="","",IF(COUNTIFS('Видео'!$A$7:$A$1508,D340)=1,INDEX('Видео'!$M$7:$M$1508,MATCH(D340,'Видео'!$A$7:$A$1508,0)),"ID не найден"))</x:f>
        <x:v>Эпизод 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40" s="11" t="str">
        <x:f>IF(D340="","",IF(COUNTIFS('Видео'!$A$7:$A$1508,D340)=1,INDEX('Видео'!$U$7:$U$1508,MATCH(D340,'Видео'!$A$7:$A$1508,0)),"ID не найден"))</x:f>
        <x:v>https://www.youtube.com/watch?v=KMR00mcwuHw</x:v>
      </x:c>
      <x:c r="Q340" s="17" t="str">
        <x:v>Предложено</x:v>
      </x:c>
      <x:c r="R340" s="17" t="str"/>
      <x:c r="S340" s="10" t="str"/>
      <x:c r="T340" s="10" t="str">
        <x:v>При недоступной серии приостановить сюжетную ветку; резерв — самостоятельное видео</x:v>
      </x:c>
      <x:c r="U340" s="9" t="str">
        <x:f>IF(D340="","Выбрать видео",IF(COUNTIFS($D$7:$D$371,D340)&gt;1,"Повтор","Без повтора"))</x:f>
        <x:v>Без повтора</x:v>
      </x:c>
    </x:row>
    <x:row r="341" ht="60" customHeight="1">
      <x:c r="A341" s="16" t="n">
        <x:v>46643</x:v>
      </x:c>
      <x:c r="B341" s="9" t="str">
        <x:v>Пн</x:v>
      </x:c>
      <x:c r="C341" s="10" t="str">
        <x:v>Интервью</x:v>
      </x:c>
      <x:c r="D341" s="19" t="str">
        <x:v>wWBZ-OXXVtM</x:v>
      </x:c>
      <x:c r="E341" s="10" t="str">
        <x:f>IF(D341="","",IF(COUNTIFS('Видео'!$A$7:$A$1508,D341)=1,INDEX('Видео'!$B$7:$B$1508,MATCH(D341,'Видео'!$A$7:$A$1508,0)),"ID не найден"))</x:f>
        <x:v>שותפות אזרחית? ג'יהאד אזרחי! המאבק הדתי של מנסור עבאס במדינת ישראל - פרוייקט מיוחד</x:v>
      </x:c>
      <x:c r="F341" s="9" t="str">
        <x:f>IF(D341="","",IF(COUNTIFS('Видео'!$A$7:$A$1508,D341)=1,INDEX('Видео'!$R$7:$R$1508,MATCH(D341,'Видео'!$A$7:$A$1508,0)),"ID не найден"))</x:f>
        <x:v>C087</x:v>
      </x:c>
      <x:c r="G341" s="9" t="str">
        <x:f>IF(D341="","",IF(COUNTIFS('Видео'!$A$7:$A$1508,D341)=1,INDEX('Видео'!$D$7:$D$1508,MATCH(D341,'Видео'!$A$7:$A$1508,0)),"ID не найден"))</x:f>
        <x:v>Интервью</x:v>
      </x:c>
      <x:c r="H341" s="10" t="str">
        <x:f>IF(D341="","",IF(COUNTIFS('Видео'!$A$7:$A$1508,D341)=1,INDEX('Видео'!$F$7:$F$1508,MATCH(D341,'Видео'!$A$7:$A$1508,0)),"ID не найден"))</x:f>
        <x:v>B2–C1 (гипотеза)</x:v>
      </x:c>
      <x:c r="I341" s="18" t="n">
        <x:f>IF(D341="","",IF(COUNTIFS('Видео'!$A$7:$A$1508,D341)=1,INDEX('Видео'!$G$7:$G$1508,MATCH(D341,'Видео'!$A$7:$A$1508,0)),"ID не найден"))</x:f>
        <x:v>98.4</x:v>
      </x:c>
      <x:c r="J341" s="18" t="n">
        <x:v>10</x:v>
      </x:c>
      <x:c r="K341" s="10" t="str">
        <x:f>IF(D341="","",IF(COUNTIFS('Видео'!$A$7:$A$1508,D341)=1,INDEX('Видео'!$AI$7:$AI$1508,MATCH(D341,'Видео'!$A$7:$A$1508,0)),"ID не найден"))</x:f>
        <x:v>Нужна редактура</x:v>
      </x:c>
      <x:c r="L341" s="19" t="str">
        <x:v>6qRZfLv_0x4</x:v>
      </x:c>
      <x:c r="M341" s="10" t="str">
        <x:f>IF(L341="","",IF(COUNTIFS('Видео'!$A$7:$A$1508,L341)=1,INDEX('Видео'!$B$7:$B$1508,MATCH(L341,'Видео'!$A$7:$A$1508,0)),"ID не найден"))</x:f>
        <x:v>פגישה עם רוני קובן עונה 8 | גיל חובב</x:v>
      </x:c>
      <x:c r="N341" s="10" t="str"/>
      <x:c r="O341" s="10" t="str">
        <x:f>IF(D341="","",IF(COUNTIFS('Видео'!$A$7:$A$1508,D341)=1,INDEX('Видео'!$M$7:$M$1508,MATCH(D341,'Видео'!$A$7:$A$1508,0)),"ID не найден"))</x:f>
        <x:v>Тема / гость: שותפות אזרחית? ג'יהאד אזרחי! המאבק הדתי של מנסור עבאס במדינת ישראל - פרוייקט מיוחד. Просмотры в списке выше медианы выборки этого цикла в 1.52 раза. Источник для аудитории общественных дебатов; полезен при явной атрибуции позиции ведущего и гостя.</x:v>
      </x:c>
      <x:c r="P341" s="11" t="str">
        <x:f>IF(D341="","",IF(COUNTIFS('Видео'!$A$7:$A$1508,D341)=1,INDEX('Видео'!$U$7:$U$1508,MATCH(D341,'Видео'!$A$7:$A$1508,0)),"ID не найден"))</x:f>
        <x:v>https://www.youtube.com/watch?v=wWBZ-OXXVtM</x:v>
      </x:c>
      <x:c r="Q341" s="17" t="str">
        <x:v>Предложено</x:v>
      </x:c>
      <x:c r="R341" s="17" t="str"/>
      <x:c r="S341" s="10" t="str"/>
      <x:c r="T341" s="10" t="str">
        <x:v>Резерв меняет выбор видео; снова проверить повод, аудиторию и все редакторские условия</x:v>
      </x:c>
      <x:c r="U341" s="9" t="str">
        <x:f>IF(D341="","Выбрать видео",IF(COUNTIFS($D$7:$D$371,D341)&gt;1,"Повтор","Без повтора"))</x:f>
        <x:v>Без повтора</x:v>
      </x:c>
    </x:row>
    <x:row r="342" ht="60" customHeight="1">
      <x:c r="A342" s="16" t="n">
        <x:v>46644</x:v>
      </x:c>
      <x:c r="B342" s="9" t="str">
        <x:v>Вт</x:v>
      </x:c>
      <x:c r="C342" s="10" t="str">
        <x:v>Образование</x:v>
      </x:c>
      <x:c r="D342" s="19" t="str">
        <x:v>zieKg5w0y5A</x:v>
      </x:c>
      <x:c r="E342" s="10" t="str">
        <x:f>IF(D342="","",IF(COUNTIFS('Видео'!$A$7:$A$1508,D342)=1,INDEX('Видео'!$B$7:$B$1508,MATCH(D342,'Видео'!$A$7:$A$1508,0)),"ID не найден"))</x:f>
        <x:v>ניסוי אלכוג׳ל וביצה - ניסוי מדע בבית שצולם בבית, בסגר</x:v>
      </x:c>
      <x:c r="F342" s="9" t="str">
        <x:f>IF(D342="","",IF(COUNTIFS('Видео'!$A$7:$A$1508,D342)=1,INDEX('Видео'!$R$7:$R$1508,MATCH(D342,'Видео'!$A$7:$A$1508,0)),"ID не найден"))</x:f>
        <x:v>C061</x:v>
      </x:c>
      <x:c r="G342" s="9" t="str">
        <x:f>IF(D342="","",IF(COUNTIFS('Видео'!$A$7:$A$1508,D342)=1,INDEX('Видео'!$D$7:$D$1508,MATCH(D342,'Видео'!$A$7:$A$1508,0)),"ID не найден"))</x:f>
        <x:v>Образование</x:v>
      </x:c>
      <x:c r="H342" s="10" t="str">
        <x:f>IF(D342="","",IF(COUNTIFS('Видео'!$A$7:$A$1508,D342)=1,INDEX('Видео'!$F$7:$F$1508,MATCH(D342,'Видео'!$A$7:$A$1508,0)),"ID не найден"))</x:f>
        <x:v>B1–B2 (гипотеза)</x:v>
      </x:c>
      <x:c r="I342" s="18" t="n">
        <x:f>IF(D342="","",IF(COUNTIFS('Видео'!$A$7:$A$1508,D342)=1,INDEX('Видео'!$G$7:$G$1508,MATCH(D342,'Видео'!$A$7:$A$1508,0)),"ID не найден"))</x:f>
        <x:v>4.2</x:v>
      </x:c>
      <x:c r="J342" s="18" t="n">
        <x:v>5</x:v>
      </x:c>
      <x:c r="K342" s="10" t="str">
        <x:f>IF(D342="","",IF(COUNTIFS('Видео'!$A$7:$A$1508,D342)=1,INDEX('Видео'!$AI$7:$AI$1508,MATCH(D342,'Видео'!$A$7:$A$1508,0)),"ID не найден"))</x:f>
        <x:v>Нужна редактура</x:v>
      </x:c>
      <x:c r="L342" s="19" t="str">
        <x:v>n0mds3jvIIM</x:v>
      </x:c>
      <x:c r="M342" s="10" t="str">
        <x:f>IF(L342="","",IF(COUNTIFS('Видео'!$A$7:$A$1508,L342)=1,INDEX('Видео'!$B$7:$B$1508,MATCH(L342,'Видео'!$A$7:$A$1508,0)),"ID не найден"))</x:f>
        <x:v>פרפר נחמד 🦋 | פרק 12 - מעט, הרבה, המון</x:v>
      </x:c>
      <x:c r="N342" s="10" t="str"/>
      <x:c r="O342" s="10" t="str">
        <x:f>IF(D342="","",IF(COUNTIFS('Видео'!$A$7:$A$1508,D342)=1,INDEX('Видео'!$M$7:$M$1508,MATCH(D342,'Видео'!$A$7:$A$1508,0)),"ID не найден"))</x:f>
        <x:v>Завершённый короткий просмотр около 4 мин. Совместная демонстрация даёт родителям и детям сценарий общения на иврите.</x:v>
      </x:c>
      <x:c r="P342" s="11" t="str">
        <x:f>IF(D342="","",IF(COUNTIFS('Видео'!$A$7:$A$1508,D342)=1,INDEX('Видео'!$U$7:$U$1508,MATCH(D342,'Видео'!$A$7:$A$1508,0)),"ID не найден"))</x:f>
        <x:v>https://www.youtube.com/watch?v=zieKg5w0y5A</x:v>
      </x:c>
      <x:c r="Q342" s="17" t="str">
        <x:v>Предложено</x:v>
      </x:c>
      <x:c r="R342" s="17" t="str"/>
      <x:c r="S342" s="10" t="str"/>
      <x:c r="T342" s="10" t="str">
        <x:v>Резерв меняет выбор видео; снова проверить повод, аудиторию и все редакторские условия</x:v>
      </x:c>
      <x:c r="U342" s="9" t="str">
        <x:f>IF(D342="","Выбрать видео",IF(COUNTIFS($D$7:$D$371,D342)&gt;1,"Повтор","Без повтора"))</x:f>
        <x:v>Без повтора</x:v>
      </x:c>
    </x:row>
    <x:row r="343" ht="60" customHeight="1">
      <x:c r="A343" s="16" t="n">
        <x:v>46645</x:v>
      </x:c>
      <x:c r="B343" s="9" t="str">
        <x:v>Ср</x:v>
      </x:c>
      <x:c r="C343" s="10" t="str">
        <x:v>Быт</x:v>
      </x:c>
      <x:c r="D343" s="19" t="str">
        <x:v>NVSvQOBHh8s</x:v>
      </x:c>
      <x:c r="E343" s="10" t="str">
        <x:f>IF(D343="","",IF(COUNTIFS('Видео'!$A$7:$A$1508,D343)=1,INDEX('Видео'!$B$7:$B$1508,MATCH(D343,'Видео'!$A$7:$A$1508,0)),"ID не найден"))</x:f>
        <x:v>בואו לאכול איתי עונה 9 | דרום - חלק ד' (פרק 4)</x:v>
      </x:c>
      <x:c r="F343" s="9" t="str">
        <x:f>IF(D343="","",IF(COUNTIFS('Видео'!$A$7:$A$1508,D343)=1,INDEX('Видео'!$R$7:$R$1508,MATCH(D343,'Видео'!$A$7:$A$1508,0)),"ID не найден"))</x:f>
        <x:v>C022</x:v>
      </x:c>
      <x:c r="G343" s="9" t="str">
        <x:f>IF(D343="","",IF(COUNTIFS('Видео'!$A$7:$A$1508,D343)=1,INDEX('Видео'!$D$7:$D$1508,MATCH(D343,'Видео'!$A$7:$A$1508,0)),"ID не найден"))</x:f>
        <x:v>Быт</x:v>
      </x:c>
      <x:c r="H343" s="10" t="str">
        <x:f>IF(D343="","",IF(COUNTIFS('Видео'!$A$7:$A$1508,D343)=1,INDEX('Видео'!$F$7:$F$1508,MATCH(D343,'Видео'!$A$7:$A$1508,0)),"ID не найден"))</x:f>
        <x:v>B1–B2 (гипотеза)</x:v>
      </x:c>
      <x:c r="I343" s="18" t="n">
        <x:f>IF(D343="","",IF(COUNTIFS('Видео'!$A$7:$A$1508,D343)=1,INDEX('Видео'!$G$7:$G$1508,MATCH(D343,'Видео'!$A$7:$A$1508,0)),"ID не найден"))</x:f>
        <x:v>27.6</x:v>
      </x:c>
      <x:c r="J343" s="18" t="n">
        <x:v>10</x:v>
      </x:c>
      <x:c r="K343" s="10" t="str">
        <x:f>IF(D343="","",IF(COUNTIFS('Видео'!$A$7:$A$1508,D343)=1,INDEX('Видео'!$AI$7:$AI$1508,MATCH(D343,'Видео'!$A$7:$A$1508,0)),"ID не найден"))</x:f>
        <x:v>Нужна редактура</x:v>
      </x:c>
      <x:c r="L343" s="19" t="str">
        <x:v>zG9mJOLg8Q0</x:v>
      </x:c>
      <x:c r="M343" s="10" t="str">
        <x:f>IF(L343="","",IF(COUNTIFS('Видео'!$A$7:$A$1508,L343)=1,INDEX('Видео'!$B$7:$B$1508,MATCH(L343,'Видео'!$A$7:$A$1508,0)),"ID не найден"))</x:f>
        <x:v>בואו לאכול איתי עונה 9 | ירושלים - חלק ג' (פרק 8)</x:v>
      </x:c>
      <x:c r="N343" s="10" t="str"/>
      <x:c r="O343" s="10" t="str">
        <x:f>IF(D343="","",IF(COUNTIFS('Видео'!$A$7:$A$1508,D343)=1,INDEX('Видео'!$M$7:$M$1508,MATCH(D343,'Видео'!$A$7:$A$1508,0)),"ID не найден"))</x:f>
        <x:v>Тема: בואו לאכול איתי עונה 9 | דרום - חלק ד' (פרק 4). Еда снижает порог входа для широкой аудитории. В одном выпуске встречаются приглашения, оценки, знакомство и бытовые споры.</x:v>
      </x:c>
      <x:c r="P343" s="11" t="str">
        <x:f>IF(D343="","",IF(COUNTIFS('Видео'!$A$7:$A$1508,D343)=1,INDEX('Видео'!$U$7:$U$1508,MATCH(D343,'Видео'!$A$7:$A$1508,0)),"ID не найден"))</x:f>
        <x:v>https://www.youtube.com/watch?v=NVSvQOBHh8s</x:v>
      </x:c>
      <x:c r="Q343" s="17" t="str">
        <x:v>Предложено</x:v>
      </x:c>
      <x:c r="R343" s="17" t="str"/>
      <x:c r="S343" s="10" t="str"/>
      <x:c r="T343" s="10" t="str">
        <x:v>Резерв меняет выбор видео; снова проверить повод, аудиторию и все редакторские условия</x:v>
      </x:c>
      <x:c r="U343" s="9" t="str">
        <x:f>IF(D343="","Выбрать видео",IF(COUNTIFS($D$7:$D$371,D343)&gt;1,"Повтор","Без повтора"))</x:f>
        <x:v>Без повтора</x:v>
      </x:c>
    </x:row>
    <x:row r="344" ht="60" customHeight="1">
      <x:c r="A344" s="16" t="n">
        <x:v>46646</x:v>
      </x:c>
      <x:c r="B344" s="9" t="str">
        <x:v>Чт</x:v>
      </x:c>
      <x:c r="C344" s="10" t="str">
        <x:v>Сериал</x:v>
      </x:c>
      <x:c r="D344" s="19" t="str">
        <x:v>58H-eLFR7y0</x:v>
      </x:c>
      <x:c r="E344" s="10" t="str">
        <x:f>IF(D344="","",IF(COUNTIFS('Видео'!$A$7:$A$1508,D344)=1,INDEX('Видео'!$B$7:$B$1508,MATCH(D344,'Видео'!$A$7:$A$1508,0)),"ID не найден"))</x:f>
        <x:v>כראמל 🐱 | בלום לב זהב - פרק 16</x:v>
      </x:c>
      <x:c r="F344" s="9" t="str">
        <x:f>IF(D344="","",IF(COUNTIFS('Видео'!$A$7:$A$1508,D344)=1,INDEX('Видео'!$R$7:$R$1508,MATCH(D344,'Видео'!$A$7:$A$1508,0)),"ID не найден"))</x:f>
        <x:v>C053</x:v>
      </x:c>
      <x:c r="G344" s="9" t="str">
        <x:f>IF(D344="","",IF(COUNTIFS('Видео'!$A$7:$A$1508,D344)=1,INDEX('Видео'!$D$7:$D$1508,MATCH(D344,'Видео'!$A$7:$A$1508,0)),"ID не найден"))</x:f>
        <x:v>Сериал</x:v>
      </x:c>
      <x:c r="H344" s="10" t="str">
        <x:f>IF(D344="","",IF(COUNTIFS('Видео'!$A$7:$A$1508,D344)=1,INDEX('Видео'!$F$7:$F$1508,MATCH(D344,'Видео'!$A$7:$A$1508,0)),"ID не найден"))</x:f>
        <x:v>A2–B1 (гипотеза)</x:v>
      </x:c>
      <x:c r="I344" s="18" t="n">
        <x:f>IF(D344="","",IF(COUNTIFS('Видео'!$A$7:$A$1508,D344)=1,INDEX('Видео'!$G$7:$G$1508,MATCH(D344,'Видео'!$A$7:$A$1508,0)),"ID не найден"))</x:f>
        <x:v>27.2</x:v>
      </x:c>
      <x:c r="J344" s="18" t="n">
        <x:v>10</x:v>
      </x:c>
      <x:c r="K344" s="10" t="str">
        <x:f>IF(D344="","",IF(COUNTIFS('Видео'!$A$7:$A$1508,D344)=1,INDEX('Видео'!$AI$7:$AI$1508,MATCH(D344,'Видео'!$A$7:$A$1508,0)),"ID не найден"))</x:f>
        <x:v>Нужна редактура</x:v>
      </x:c>
      <x:c r="L344" s="19" t="str">
        <x:v>HWNc0A9nZNA</x:v>
      </x:c>
      <x:c r="M344" s="10" t="str">
        <x:f>IF(L344="","",IF(COUNTIFS('Видео'!$A$7:$A$1508,L344)=1,INDEX('Видео'!$B$7:$B$1508,MATCH(L344,'Видео'!$A$7:$A$1508,0)),"ID не найден"))</x:f>
        <x:v>כאן מסבירים | למה אנחנו שוכחים סדרות?</x:v>
      </x:c>
      <x:c r="N344" s="10" t="str"/>
      <x:c r="O344" s="10" t="str">
        <x:f>IF(D344="","",IF(COUNTIFS('Видео'!$A$7:$A$1508,D344)=1,INDEX('Видео'!$M$7:$M$1508,MATCH(D344,'Видео'!$A$7:$A$1508,0)),"ID не найден"))</x:f>
        <x:v>Эпизод 16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344" s="11" t="str">
        <x:f>IF(D344="","",IF(COUNTIFS('Видео'!$A$7:$A$1508,D344)=1,INDEX('Видео'!$U$7:$U$1508,MATCH(D344,'Видео'!$A$7:$A$1508,0)),"ID не найден"))</x:f>
        <x:v>https://www.youtube.com/watch?v=58H-eLFR7y0</x:v>
      </x:c>
      <x:c r="Q344" s="17" t="str">
        <x:v>Предложено</x:v>
      </x:c>
      <x:c r="R344" s="17" t="str"/>
      <x:c r="S344" s="10" t="str"/>
      <x:c r="T344" s="10" t="str">
        <x:v>При недоступной серии приостановить сюжетную ветку; резерв — самостоятельное видео</x:v>
      </x:c>
      <x:c r="U344" s="9" t="str">
        <x:f>IF(D344="","Выбрать видео",IF(COUNTIFS($D$7:$D$371,D344)&gt;1,"Повтор","Без повтора"))</x:f>
        <x:v>Без повтора</x:v>
      </x:c>
    </x:row>
    <x:row r="345" ht="60" customHeight="1">
      <x:c r="A345" s="16" t="n">
        <x:v>46647</x:v>
      </x:c>
      <x:c r="B345" s="9" t="str">
        <x:v>Пт</x:v>
      </x:c>
      <x:c r="C345" s="10" t="str">
        <x:v>История</x:v>
      </x:c>
      <x:c r="D345" s="19" t="str">
        <x:v>K8mBCU2UVU4</x:v>
      </x:c>
      <x:c r="E345" s="10" t="str">
        <x:f>IF(D345="","",IF(COUNTIFS('Видео'!$A$7:$A$1508,D345)=1,INDEX('Видео'!$B$7:$B$1508,MATCH(D345,'Видео'!$A$7:$A$1508,0)),"ID не найден"))</x:f>
        <x:v>היסטוריה קצרה של חסידות ברסלב | שיעור 2 - חזיונותיו של ר' נחמן מברסלב | פרופ' יונתן מאיר</x:v>
      </x:c>
      <x:c r="F345" s="9" t="str">
        <x:f>IF(D345="","",IF(COUNTIFS('Видео'!$A$7:$A$1508,D345)=1,INDEX('Видео'!$R$7:$R$1508,MATCH(D345,'Видео'!$A$7:$A$1508,0)),"ID не найден"))</x:f>
        <x:v>C073</x:v>
      </x:c>
      <x:c r="G345" s="9" t="str">
        <x:f>IF(D345="","",IF(COUNTIFS('Видео'!$A$7:$A$1508,D345)=1,INDEX('Видео'!$D$7:$D$1508,MATCH(D345,'Видео'!$A$7:$A$1508,0)),"ID не найден"))</x:f>
        <x:v>История</x:v>
      </x:c>
      <x:c r="H345" s="10" t="str">
        <x:f>IF(D345="","",IF(COUNTIFS('Видео'!$A$7:$A$1508,D345)=1,INDEX('Видео'!$F$7:$F$1508,MATCH(D345,'Видео'!$A$7:$A$1508,0)),"ID не найден"))</x:f>
        <x:v>B2–C1 (гипотеза)</x:v>
      </x:c>
      <x:c r="I345" s="18" t="n">
        <x:f>IF(D345="","",IF(COUNTIFS('Видео'!$A$7:$A$1508,D345)=1,INDEX('Видео'!$G$7:$G$1508,MATCH(D345,'Видео'!$A$7:$A$1508,0)),"ID не найден"))</x:f>
        <x:v>44.1</x:v>
      </x:c>
      <x:c r="J345" s="18" t="n">
        <x:v>10</x:v>
      </x:c>
      <x:c r="K345" s="10" t="str">
        <x:f>IF(D345="","",IF(COUNTIFS('Видео'!$A$7:$A$1508,D345)=1,INDEX('Видео'!$AI$7:$AI$1508,MATCH(D345,'Видео'!$A$7:$A$1508,0)),"ID не найден"))</x:f>
        <x:v>Нужна редактура</x:v>
      </x:c>
      <x:c r="L345" s="19" t="str">
        <x:v>Y5YaakUEH9Q</x:v>
      </x:c>
      <x:c r="M345" s="10" t="str">
        <x:f>IF(L345="","",IF(COUNTIFS('Видео'!$A$7:$A$1508,L345)=1,INDEX('Видео'!$B$7:$B$1508,MATCH(L345,'Видео'!$A$7:$A$1508,0)),"ID не найден"))</x:f>
        <x:v>העברים | "שיר ידידות" - רבי דוד בוזגלו | כאן דוקו</x:v>
      </x:c>
      <x:c r="N345" s="10" t="str"/>
      <x:c r="O345" s="10" t="str">
        <x:f>IF(D345="","",IF(COUNTIFS('Видео'!$A$7:$A$1508,D345)=1,INDEX('Видео'!$M$7:$M$1508,MATCH(D345,'Видео'!$A$7:$A$1508,0)),"ID не найден"))</x:f>
        <x:v>Тема: היסטוריה קצרה של חסידות ברסלב | שיעור 2 - חזיונותיו של ר' נחמן מברסלב | פרופ' יונתן מאיר. История движения помогает понять современную религиозную среду без ежедневной политики.</x:v>
      </x:c>
      <x:c r="P345" s="11" t="str">
        <x:f>IF(D345="","",IF(COUNTIFS('Видео'!$A$7:$A$1508,D345)=1,INDEX('Видео'!$U$7:$U$1508,MATCH(D345,'Видео'!$A$7:$A$1508,0)),"ID не найден"))</x:f>
        <x:v>https://www.youtube.com/watch?v=K8mBCU2UVU4</x:v>
      </x:c>
      <x:c r="Q345" s="17" t="str">
        <x:v>Предложено</x:v>
      </x:c>
      <x:c r="R345" s="17" t="str"/>
      <x:c r="S345" s="10" t="str"/>
      <x:c r="T345" s="10" t="str">
        <x:v>Резерв меняет выбор видео; снова проверить повод, аудиторию и все редакторские условия</x:v>
      </x:c>
      <x:c r="U345" s="9" t="str">
        <x:f>IF(D345="","Выбрать видео",IF(COUNTIFS($D$7:$D$371,D345)&gt;1,"Повтор","Без повтора"))</x:f>
        <x:v>Без повтора</x:v>
      </x:c>
    </x:row>
    <x:row r="346" ht="60" customHeight="1">
      <x:c r="A346" s="16" t="n">
        <x:v>46648</x:v>
      </x:c>
      <x:c r="B346" s="9" t="str">
        <x:v>Сб</x:v>
      </x:c>
      <x:c r="C346" s="10" t="str">
        <x:v>Общество</x:v>
      </x:c>
      <x:c r="D346" s="19" t="str">
        <x:v>Ex4cI62TuF4</x:v>
      </x:c>
      <x:c r="E346" s="10" t="str">
        <x:f>IF(D346="","",IF(COUNTIFS('Видео'!$A$7:$A$1508,D346)=1,INDEX('Видео'!$B$7:$B$1508,MATCH(D346,'Видео'!$A$7:$A$1508,0)),"ID не найден"))</x:f>
        <x:v>סליחה על השאלה עונה 2 | פוסט טראומה צבאית</x:v>
      </x:c>
      <x:c r="F346" s="9" t="str">
        <x:f>IF(D346="","",IF(COUNTIFS('Видео'!$A$7:$A$1508,D346)=1,INDEX('Видео'!$R$7:$R$1508,MATCH(D346,'Видео'!$A$7:$A$1508,0)),"ID не найден"))</x:f>
        <x:v>C020</x:v>
      </x:c>
      <x:c r="G346" s="9" t="str">
        <x:f>IF(D346="","",IF(COUNTIFS('Видео'!$A$7:$A$1508,D346)=1,INDEX('Видео'!$D$7:$D$1508,MATCH(D346,'Видео'!$A$7:$A$1508,0)),"ID не найден"))</x:f>
        <x:v>Общество</x:v>
      </x:c>
      <x:c r="H346" s="10" t="str">
        <x:f>IF(D346="","",IF(COUNTIFS('Видео'!$A$7:$A$1508,D346)=1,INDEX('Видео'!$F$7:$F$1508,MATCH(D346,'Видео'!$A$7:$A$1508,0)),"ID не найден"))</x:f>
        <x:v>B1–B2 (гипотеза)</x:v>
      </x:c>
      <x:c r="I346" s="18" t="n">
        <x:f>IF(D346="","",IF(COUNTIFS('Видео'!$A$7:$A$1508,D346)=1,INDEX('Видео'!$G$7:$G$1508,MATCH(D346,'Видео'!$A$7:$A$1508,0)),"ID не найден"))</x:f>
        <x:v>25.8</x:v>
      </x:c>
      <x:c r="J346" s="18" t="n">
        <x:v>10</x:v>
      </x:c>
      <x:c r="K346" s="10" t="str">
        <x:f>IF(D346="","",IF(COUNTIFS('Видео'!$A$7:$A$1508,D346)=1,INDEX('Видео'!$AI$7:$AI$1508,MATCH(D346,'Видео'!$A$7:$A$1508,0)),"ID не найден"))</x:f>
        <x:v>Нужна редактура</x:v>
      </x:c>
      <x:c r="L346" s="19" t="str">
        <x:v>KXZpV7vqdUM</x:v>
      </x:c>
      <x:c r="M346" s="10" t="str">
        <x:f>IF(L346="","",IF(COUNTIFS('Видео'!$A$7:$A$1508,L346)=1,INDEX('Видео'!$B$7:$B$1508,MATCH(L346,'Видео'!$A$7:$A$1508,0)),"ID не найден"))</x:f>
        <x:v>כאן מקשיבים: "הרגשתי שנולדתי פגומה"</x:v>
      </x:c>
      <x:c r="N346" s="10" t="str"/>
      <x:c r="O346" s="10" t="str">
        <x:f>IF(D346="","",IF(COUNTIFS('Видео'!$A$7:$A$1508,D346)=1,INDEX('Видео'!$M$7:$M$1508,MATCH(D346,'Видео'!$A$7:$A$1508,0)),"ID не найден"))</x:f>
        <x:v>Тема: סליחה על השאלה עונה 2 | פוסט טראומה צבאית. Одинаковый вопрос разным людям позволяет сравнить ответы и акценты. Формат вводит социальные группы через их собственную речь.</x:v>
      </x:c>
      <x:c r="P346" s="11" t="str">
        <x:f>IF(D346="","",IF(COUNTIFS('Видео'!$A$7:$A$1508,D346)=1,INDEX('Видео'!$U$7:$U$1508,MATCH(D346,'Видео'!$A$7:$A$1508,0)),"ID не найден"))</x:f>
        <x:v>https://www.youtube.com/watch?v=Ex4cI62TuF4</x:v>
      </x:c>
      <x:c r="Q346" s="17" t="str">
        <x:v>Предложено</x:v>
      </x:c>
      <x:c r="R346" s="17" t="str"/>
      <x:c r="S346" s="10" t="str"/>
      <x:c r="T346" s="10" t="str">
        <x:v>Резерв меняет выбор видео; снова проверить повод, аудиторию и все редакторские условия</x:v>
      </x:c>
      <x:c r="U346" s="9" t="str">
        <x:f>IF(D346="","Выбрать видео",IF(COUNTIFS($D$7:$D$371,D346)&gt;1,"Повтор","Без повтора"))</x:f>
        <x:v>Без повтора</x:v>
      </x:c>
    </x:row>
    <x:row r="347" ht="60" customHeight="1">
      <x:c r="A347" s="16" t="n">
        <x:v>46649</x:v>
      </x:c>
      <x:c r="B347" s="9" t="str">
        <x:v>Вс</x:v>
      </x:c>
      <x:c r="C347" s="10" t="str">
        <x:v>Сериал</x:v>
      </x:c>
      <x:c r="D347" s="19" t="str">
        <x:v>Pqp5r24VXHI</x:v>
      </x:c>
      <x:c r="E347" s="10" t="str">
        <x:f>IF(D347="","",IF(COUNTIFS('Видео'!$A$7:$A$1508,D347)=1,INDEX('Видео'!$B$7:$B$1508,MATCH(D347,'Видео'!$A$7:$A$1508,0)),"ID не найден"))</x:f>
        <x:v>קופה ראשית עונה 5 🛒 | פרק 8 - התרומה</x:v>
      </x:c>
      <x:c r="F347" s="9" t="str">
        <x:f>IF(D347="","",IF(COUNTIFS('Видео'!$A$7:$A$1508,D347)=1,INDEX('Видео'!$R$7:$R$1508,MATCH(D347,'Видео'!$A$7:$A$1508,0)),"ID не найден"))</x:f>
        <x:v>C001</x:v>
      </x:c>
      <x:c r="G347" s="9" t="str">
        <x:f>IF(D347="","",IF(COUNTIFS('Видео'!$A$7:$A$1508,D347)=1,INDEX('Видео'!$D$7:$D$1508,MATCH(D347,'Видео'!$A$7:$A$1508,0)),"ID не найден"))</x:f>
        <x:v>Сериал</x:v>
      </x:c>
      <x:c r="H347" s="10" t="str">
        <x:f>IF(D347="","",IF(COUNTIFS('Видео'!$A$7:$A$1508,D347)=1,INDEX('Видео'!$F$7:$F$1508,MATCH(D347,'Видео'!$A$7:$A$1508,0)),"ID не найден"))</x:f>
        <x:v>B1–B2 (гипотеза)</x:v>
      </x:c>
      <x:c r="I347" s="18" t="n">
        <x:f>IF(D347="","",IF(COUNTIFS('Видео'!$A$7:$A$1508,D347)=1,INDEX('Видео'!$G$7:$G$1508,MATCH(D347,'Видео'!$A$7:$A$1508,0)),"ID не найден"))</x:f>
        <x:v>25</x:v>
      </x:c>
      <x:c r="J347" s="18" t="n">
        <x:v>10</x:v>
      </x:c>
      <x:c r="K347" s="10" t="str">
        <x:f>IF(D347="","",IF(COUNTIFS('Видео'!$A$7:$A$1508,D347)=1,INDEX('Видео'!$AI$7:$AI$1508,MATCH(D347,'Видео'!$A$7:$A$1508,0)),"ID не найден"))</x:f>
        <x:v>Нужна редактура</x:v>
      </x:c>
      <x:c r="L347" s="19" t="str">
        <x:v>XRGyJNvWSHQ</x:v>
      </x:c>
      <x:c r="M347" s="10" t="str">
        <x:f>IF(L347="","",IF(COUNTIFS('Видео'!$A$7:$A$1508,L347)=1,INDEX('Видео'!$B$7:$B$1508,MATCH(L347,'Видео'!$A$7:$A$1508,0)),"ID не найден"))</x:f>
        <x:v>איך להדליק נר כבוי מהעשן שעולה ממנו</x:v>
      </x:c>
      <x:c r="N347" s="10" t="str"/>
      <x:c r="O347" s="10" t="str">
        <x:f>IF(D347="","",IF(COUNTIFS('Видео'!$A$7:$A$1508,D347)=1,INDEX('Видео'!$M$7:$M$1508,MATCH(D347,'Видео'!$A$7:$A$1508,0)),"ID не найден"))</x:f>
        <x:v>Эпизод 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47" s="11" t="str">
        <x:f>IF(D347="","",IF(COUNTIFS('Видео'!$A$7:$A$1508,D347)=1,INDEX('Видео'!$U$7:$U$1508,MATCH(D347,'Видео'!$A$7:$A$1508,0)),"ID не найден"))</x:f>
        <x:v>https://www.youtube.com/watch?v=Pqp5r24VXHI</x:v>
      </x:c>
      <x:c r="Q347" s="17" t="str">
        <x:v>Предложено</x:v>
      </x:c>
      <x:c r="R347" s="17" t="str"/>
      <x:c r="S347" s="10" t="str"/>
      <x:c r="T347" s="10" t="str">
        <x:v>При недоступной серии приостановить сюжетную ветку; резерв — самостоятельное видео</x:v>
      </x:c>
      <x:c r="U347" s="9" t="str">
        <x:f>IF(D347="","Выбрать видео",IF(COUNTIFS($D$7:$D$371,D347)&gt;1,"Повтор","Без повтора"))</x:f>
        <x:v>Без повтора</x:v>
      </x:c>
    </x:row>
    <x:row r="348" ht="60" customHeight="1">
      <x:c r="A348" s="16" t="n">
        <x:v>46650</x:v>
      </x:c>
      <x:c r="B348" s="9" t="str">
        <x:v>Пн</x:v>
      </x:c>
      <x:c r="C348" s="10" t="str">
        <x:v>Интервью</x:v>
      </x:c>
      <x:c r="D348" s="19" t="str">
        <x:v>SbF5iVQivBc</x:v>
      </x:c>
      <x:c r="E348" s="10" t="str">
        <x:f>IF(D348="","",IF(COUNTIFS('Видео'!$A$7:$A$1508,D348)=1,INDEX('Видео'!$B$7:$B$1508,MATCH(D348,'Видео'!$A$7:$A$1508,0)),"ID не найден"))</x:f>
        <x:v>פרק 126: ההסכם הרע של טראמפ</x:v>
      </x:c>
      <x:c r="F348" s="9" t="str">
        <x:f>IF(D348="","",IF(COUNTIFS('Видео'!$A$7:$A$1508,D348)=1,INDEX('Видео'!$R$7:$R$1508,MATCH(D348,'Видео'!$A$7:$A$1508,0)),"ID не найден"))</x:f>
        <x:v>C088</x:v>
      </x:c>
      <x:c r="G348" s="9" t="str">
        <x:f>IF(D348="","",IF(COUNTIFS('Видео'!$A$7:$A$1508,D348)=1,INDEX('Видео'!$D$7:$D$1508,MATCH(D348,'Видео'!$A$7:$A$1508,0)),"ID не найден"))</x:f>
        <x:v>Интервью</x:v>
      </x:c>
      <x:c r="H348" s="10" t="str">
        <x:f>IF(D348="","",IF(COUNTIFS('Видео'!$A$7:$A$1508,D348)=1,INDEX('Видео'!$F$7:$F$1508,MATCH(D348,'Видео'!$A$7:$A$1508,0)),"ID не найден"))</x:f>
        <x:v>B2–C1 (гипотеза)</x:v>
      </x:c>
      <x:c r="I348" s="18" t="n">
        <x:f>IF(D348="","",IF(COUNTIFS('Видео'!$A$7:$A$1508,D348)=1,INDEX('Видео'!$G$7:$G$1508,MATCH(D348,'Видео'!$A$7:$A$1508,0)),"ID не найден"))</x:f>
        <x:v>48.9</x:v>
      </x:c>
      <x:c r="J348" s="18" t="n">
        <x:v>10</x:v>
      </x:c>
      <x:c r="K348" s="10" t="str">
        <x:f>IF(D348="","",IF(COUNTIFS('Видео'!$A$7:$A$1508,D348)=1,INDEX('Видео'!$AI$7:$AI$1508,MATCH(D348,'Видео'!$A$7:$A$1508,0)),"ID не найден"))</x:f>
        <x:v>Нужна редактура</x:v>
      </x:c>
      <x:c r="L348" s="19" t="str">
        <x:v>zHJcfkJGjAM</x:v>
      </x:c>
      <x:c r="M348" s="10" t="str">
        <x:f>IF(L348="","",IF(COUNTIFS('Видео'!$A$7:$A$1508,L348)=1,INDEX('Видео'!$B$7:$B$1508,MATCH(L348,'Видео'!$A$7:$A$1508,0)),"ID не найден"))</x:f>
        <x:v>עירית וגדי מסכמים את תשפ״ו. משמורת משותפת 46</x:v>
      </x:c>
      <x:c r="N348" s="10" t="str"/>
      <x:c r="O348" s="10" t="str">
        <x:f>IF(D348="","",IF(COUNTIFS('Видео'!$A$7:$A$1508,D348)=1,INDEX('Видео'!$M$7:$M$1508,MATCH(D348,'Видео'!$A$7:$A$1508,0)),"ID не найден"))</x:f>
        <x:v>Тема / гость: פרק 126: ההסכם הרע של טראמפ. Дополнительная перспектива в общественной дискуссии. Включать по конкретной теме и гостю, а не по одной популярности.</x:v>
      </x:c>
      <x:c r="P348" s="11" t="str">
        <x:f>IF(D348="","",IF(COUNTIFS('Видео'!$A$7:$A$1508,D348)=1,INDEX('Видео'!$U$7:$U$1508,MATCH(D348,'Видео'!$A$7:$A$1508,0)),"ID не найден"))</x:f>
        <x:v>https://www.youtube.com/watch?v=SbF5iVQivBc</x:v>
      </x:c>
      <x:c r="Q348" s="17" t="str">
        <x:v>Предложено</x:v>
      </x:c>
      <x:c r="R348" s="17" t="str"/>
      <x:c r="S348" s="10" t="str"/>
      <x:c r="T348" s="10" t="str">
        <x:v>Резерв меняет выбор видео; снова проверить повод, аудиторию и все редакторские условия</x:v>
      </x:c>
      <x:c r="U348" s="9" t="str">
        <x:f>IF(D348="","Выбрать видео",IF(COUNTIFS($D$7:$D$371,D348)&gt;1,"Повтор","Без повтора"))</x:f>
        <x:v>Без повтора</x:v>
      </x:c>
    </x:row>
    <x:row r="349" ht="60" customHeight="1">
      <x:c r="A349" s="16" t="n">
        <x:v>46651</x:v>
      </x:c>
      <x:c r="B349" s="9" t="str">
        <x:v>Вт</x:v>
      </x:c>
      <x:c r="C349" s="10" t="str">
        <x:v>Образование</x:v>
      </x:c>
      <x:c r="D349" s="19" t="str">
        <x:v>DrSw3N48onE</x:v>
      </x:c>
      <x:c r="E349" s="10" t="str">
        <x:f>IF(D349="","",IF(COUNTIFS('Видео'!$A$7:$A$1508,D349)=1,INDEX('Видео'!$B$7:$B$1508,MATCH(D349,'Видео'!$A$7:$A$1508,0)),"ID не найден"))</x:f>
        <x:v>איך להכין גבישי סוכר ענקיים?</x:v>
      </x:c>
      <x:c r="F349" s="9" t="str">
        <x:f>IF(D349="","",IF(COUNTIFS('Видео'!$A$7:$A$1508,D349)=1,INDEX('Видео'!$R$7:$R$1508,MATCH(D349,'Видео'!$A$7:$A$1508,0)),"ID не найден"))</x:f>
        <x:v>C062</x:v>
      </x:c>
      <x:c r="G349" s="9" t="str">
        <x:f>IF(D349="","",IF(COUNTIFS('Видео'!$A$7:$A$1508,D349)=1,INDEX('Видео'!$D$7:$D$1508,MATCH(D349,'Видео'!$A$7:$A$1508,0)),"ID не найден"))</x:f>
        <x:v>Образование</x:v>
      </x:c>
      <x:c r="H349" s="10" t="str">
        <x:f>IF(D349="","",IF(COUNTIFS('Видео'!$A$7:$A$1508,D349)=1,INDEX('Видео'!$F$7:$F$1508,MATCH(D349,'Видео'!$A$7:$A$1508,0)),"ID не найден"))</x:f>
        <x:v>B1–B2 (гипотеза)</x:v>
      </x:c>
      <x:c r="I349" s="18" t="n">
        <x:f>IF(D349="","",IF(COUNTIFS('Видео'!$A$7:$A$1508,D349)=1,INDEX('Видео'!$G$7:$G$1508,MATCH(D349,'Видео'!$A$7:$A$1508,0)),"ID не найден"))</x:f>
        <x:v>6.4</x:v>
      </x:c>
      <x:c r="J349" s="18" t="n">
        <x:v>5</x:v>
      </x:c>
      <x:c r="K349" s="10" t="str">
        <x:f>IF(D349="","",IF(COUNTIFS('Видео'!$A$7:$A$1508,D349)=1,INDEX('Видео'!$AI$7:$AI$1508,MATCH(D349,'Видео'!$A$7:$A$1508,0)),"ID не найден"))</x:f>
        <x:v>Нужна редактура</x:v>
      </x:c>
      <x:c r="L349" s="19" t="str">
        <x:v>YGhkIsDyclg</x:v>
      </x:c>
      <x:c r="M349" s="10" t="str">
        <x:f>IF(L349="","",IF(COUNTIFS('Видео'!$A$7:$A$1508,L349)=1,INDEX('Видео'!$B$7:$B$1508,MATCH(L349,'Видео'!$A$7:$A$1508,0)),"ID не найден"))</x:f>
        <x:v>גלילאו עונה 9 | אפשר לשרוף קמח? 🔥</x:v>
      </x:c>
      <x:c r="N349" s="10" t="str"/>
      <x:c r="O349" s="10" t="str">
        <x:f>IF(D349="","",IF(COUNTIFS('Видео'!$A$7:$A$1508,D349)=1,INDEX('Видео'!$M$7:$M$1508,MATCH(D349,'Видео'!$A$7:$A$1508,0)),"ID не найден"))</x:f>
        <x:v>Завершённый короткий просмотр около 6 мин. Просмотры в списке выше медианы выборки этого цикла в 4.35 раза. Бытовая ситуация помогает понимать научную лексику через знакомое действие.</x:v>
      </x:c>
      <x:c r="P349" s="11" t="str">
        <x:f>IF(D349="","",IF(COUNTIFS('Видео'!$A$7:$A$1508,D349)=1,INDEX('Видео'!$U$7:$U$1508,MATCH(D349,'Видео'!$A$7:$A$1508,0)),"ID не найден"))</x:f>
        <x:v>https://www.youtube.com/watch?v=DrSw3N48onE</x:v>
      </x:c>
      <x:c r="Q349" s="17" t="str">
        <x:v>Предложено</x:v>
      </x:c>
      <x:c r="R349" s="17" t="str"/>
      <x:c r="S349" s="10" t="str"/>
      <x:c r="T349" s="10" t="str">
        <x:v>Резерв меняет выбор видео; снова проверить повод, аудиторию и все редакторские условия</x:v>
      </x:c>
      <x:c r="U349" s="9" t="str">
        <x:f>IF(D349="","Выбрать видео",IF(COUNTIFS($D$7:$D$371,D349)&gt;1,"Повтор","Без повтора"))</x:f>
        <x:v>Без повтора</x:v>
      </x:c>
    </x:row>
    <x:row r="350" ht="60" customHeight="1">
      <x:c r="A350" s="16" t="n">
        <x:v>46652</x:v>
      </x:c>
      <x:c r="B350" s="9" t="str">
        <x:v>Ср</x:v>
      </x:c>
      <x:c r="C350" s="10" t="str">
        <x:v>Быт</x:v>
      </x:c>
      <x:c r="D350" s="19" t="str">
        <x:v>aw0npIaD54Q</x:v>
      </x:c>
      <x:c r="E350" s="10" t="str">
        <x:f>IF(D350="","",IF(COUNTIFS('Видео'!$A$7:$A$1508,D350)=1,INDEX('Видео'!$B$7:$B$1508,MATCH(D350,'Видео'!$A$7:$A$1508,0)),"ID не найден"))</x:f>
        <x:v>בואו לאכול איתי עונה 8 | מרכז - חלק א' (פרק 16)</x:v>
      </x:c>
      <x:c r="F350" s="9" t="str">
        <x:f>IF(D350="","",IF(COUNTIFS('Видео'!$A$7:$A$1508,D350)=1,INDEX('Видео'!$R$7:$R$1508,MATCH(D350,'Видео'!$A$7:$A$1508,0)),"ID не найден"))</x:f>
        <x:v>C023</x:v>
      </x:c>
      <x:c r="G350" s="9" t="str">
        <x:f>IF(D350="","",IF(COUNTIFS('Видео'!$A$7:$A$1508,D350)=1,INDEX('Видео'!$D$7:$D$1508,MATCH(D350,'Видео'!$A$7:$A$1508,0)),"ID не найден"))</x:f>
        <x:v>Быт</x:v>
      </x:c>
      <x:c r="H350" s="10" t="str">
        <x:f>IF(D350="","",IF(COUNTIFS('Видео'!$A$7:$A$1508,D350)=1,INDEX('Видео'!$F$7:$F$1508,MATCH(D350,'Видео'!$A$7:$A$1508,0)),"ID не найден"))</x:f>
        <x:v>B1–B2 (гипотеза)</x:v>
      </x:c>
      <x:c r="I350" s="18" t="n">
        <x:f>IF(D350="","",IF(COUNTIFS('Видео'!$A$7:$A$1508,D350)=1,INDEX('Видео'!$G$7:$G$1508,MATCH(D350,'Видео'!$A$7:$A$1508,0)),"ID не найден"))</x:f>
        <x:v>28.4</x:v>
      </x:c>
      <x:c r="J350" s="18" t="n">
        <x:v>10</x:v>
      </x:c>
      <x:c r="K350" s="10" t="str">
        <x:f>IF(D350="","",IF(COUNTIFS('Видео'!$A$7:$A$1508,D350)=1,INDEX('Видео'!$AI$7:$AI$1508,MATCH(D350,'Видео'!$A$7:$A$1508,0)),"ID не найден"))</x:f>
        <x:v>Нужна редактура</x:v>
      </x:c>
      <x:c r="L350" s="19" t="str">
        <x:v>pIeNkzVduyE</x:v>
      </x:c>
      <x:c r="M350" s="10" t="str">
        <x:f>IF(L350="","",IF(COUNTIFS('Видео'!$A$7:$A$1508,L350)=1,INDEX('Видео'!$B$7:$B$1508,MATCH(L350,'Видео'!$A$7:$A$1508,0)),"ID не найден"))</x:f>
        <x:v>בואו לאכול איתי עונה 8 | דרום - חלק ב' (פרק 12)</x:v>
      </x:c>
      <x:c r="N350" s="10" t="str"/>
      <x:c r="O350" s="10" t="str">
        <x:f>IF(D350="","",IF(COUNTIFS('Видео'!$A$7:$A$1508,D350)=1,INDEX('Видео'!$M$7:$M$1508,MATCH(D350,'Видео'!$A$7:$A$1508,0)),"ID не найден"))</x:f>
        <x:v>Тема: בואו לאכול איתי עונה 8 | מרכז - חלק א' (פרק 16). Еда снижает порог входа для широкой аудитории. В одном выпуске встречаются приглашения, оценки, знакомство и бытовые споры.</x:v>
      </x:c>
      <x:c r="P350" s="11" t="str">
        <x:f>IF(D350="","",IF(COUNTIFS('Видео'!$A$7:$A$1508,D350)=1,INDEX('Видео'!$U$7:$U$1508,MATCH(D350,'Видео'!$A$7:$A$1508,0)),"ID не найден"))</x:f>
        <x:v>https://www.youtube.com/watch?v=aw0npIaD54Q</x:v>
      </x:c>
      <x:c r="Q350" s="17" t="str">
        <x:v>Предложено</x:v>
      </x:c>
      <x:c r="R350" s="17" t="str"/>
      <x:c r="S350" s="10" t="str"/>
      <x:c r="T350" s="10" t="str">
        <x:v>Резерв меняет выбор видео; снова проверить повод, аудиторию и все редакторские условия</x:v>
      </x:c>
      <x:c r="U350" s="9" t="str">
        <x:f>IF(D350="","Выбрать видео",IF(COUNTIFS($D$7:$D$371,D350)&gt;1,"Повтор","Без повтора"))</x:f>
        <x:v>Без повтора</x:v>
      </x:c>
    </x:row>
    <x:row r="351" ht="60" customHeight="1">
      <x:c r="A351" s="16" t="n">
        <x:v>46653</x:v>
      </x:c>
      <x:c r="B351" s="9" t="str">
        <x:v>Чт</x:v>
      </x:c>
      <x:c r="C351" s="10" t="str">
        <x:v>Сериал</x:v>
      </x:c>
      <x:c r="D351" s="19" t="str">
        <x:v>_AxTk2GLc0I</x:v>
      </x:c>
      <x:c r="E351" s="10" t="str">
        <x:f>IF(D351="","",IF(COUNTIFS('Видео'!$A$7:$A$1508,D351)=1,INDEX('Видео'!$B$7:$B$1508,MATCH(D351,'Видео'!$A$7:$A$1508,0)),"ID не найден"))</x:f>
        <x:v>כראמל 🐱 | זו לא סתם אבן - פרק 17</x:v>
      </x:c>
      <x:c r="F351" s="9" t="str">
        <x:f>IF(D351="","",IF(COUNTIFS('Видео'!$A$7:$A$1508,D351)=1,INDEX('Видео'!$R$7:$R$1508,MATCH(D351,'Видео'!$A$7:$A$1508,0)),"ID не найден"))</x:f>
        <x:v>C053</x:v>
      </x:c>
      <x:c r="G351" s="9" t="str">
        <x:f>IF(D351="","",IF(COUNTIFS('Видео'!$A$7:$A$1508,D351)=1,INDEX('Видео'!$D$7:$D$1508,MATCH(D351,'Видео'!$A$7:$A$1508,0)),"ID не найден"))</x:f>
        <x:v>Сериал</x:v>
      </x:c>
      <x:c r="H351" s="10" t="str">
        <x:f>IF(D351="","",IF(COUNTIFS('Видео'!$A$7:$A$1508,D351)=1,INDEX('Видео'!$F$7:$F$1508,MATCH(D351,'Видео'!$A$7:$A$1508,0)),"ID не найден"))</x:f>
        <x:v>A2–B1 (гипотеза)</x:v>
      </x:c>
      <x:c r="I351" s="18" t="n">
        <x:f>IF(D351="","",IF(COUNTIFS('Видео'!$A$7:$A$1508,D351)=1,INDEX('Видео'!$G$7:$G$1508,MATCH(D351,'Видео'!$A$7:$A$1508,0)),"ID не найден"))</x:f>
        <x:v>27.1</x:v>
      </x:c>
      <x:c r="J351" s="18" t="n">
        <x:v>10</x:v>
      </x:c>
      <x:c r="K351" s="10" t="str">
        <x:f>IF(D351="","",IF(COUNTIFS('Видео'!$A$7:$A$1508,D351)=1,INDEX('Видео'!$AI$7:$AI$1508,MATCH(D351,'Видео'!$A$7:$A$1508,0)),"ID не найден"))</x:f>
        <x:v>Нужна редактура</x:v>
      </x:c>
      <x:c r="L351" s="19" t="str">
        <x:v>G_ljlf_Bswk</x:v>
      </x:c>
      <x:c r="M351" s="10" t="str">
        <x:f>IF(L351="","",IF(COUNTIFS('Видео'!$A$7:$A$1508,L351)=1,INDEX('Видео'!$B$7:$B$1508,MATCH(L351,'Видео'!$A$7:$A$1508,0)),"ID не найден"))</x:f>
        <x:v>למה משכירים לנו דירות בחוזה לשנה אחת? | חיות כיס</x:v>
      </x:c>
      <x:c r="N351" s="10" t="str"/>
      <x:c r="O351" s="10" t="str">
        <x:f>IF(D351="","",IF(COUNTIFS('Видео'!$A$7:$A$1508,D351)=1,INDEX('Видео'!$M$7:$M$1508,MATCH(D351,'Видео'!$A$7:$A$1508,0)),"ID не найден"))</x:f>
        <x:v>Эпизод 17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351" s="11" t="str">
        <x:f>IF(D351="","",IF(COUNTIFS('Видео'!$A$7:$A$1508,D351)=1,INDEX('Видео'!$U$7:$U$1508,MATCH(D351,'Видео'!$A$7:$A$1508,0)),"ID не найден"))</x:f>
        <x:v>https://www.youtube.com/watch?v=_AxTk2GLc0I</x:v>
      </x:c>
      <x:c r="Q351" s="17" t="str">
        <x:v>Предложено</x:v>
      </x:c>
      <x:c r="R351" s="17" t="str"/>
      <x:c r="S351" s="10" t="str"/>
      <x:c r="T351" s="10" t="str">
        <x:v>При недоступной серии приостановить сюжетную ветку; резерв — самостоятельное видео</x:v>
      </x:c>
      <x:c r="U351" s="9" t="str">
        <x:f>IF(D351="","Выбрать видео",IF(COUNTIFS($D$7:$D$371,D351)&gt;1,"Повтор","Без повтора"))</x:f>
        <x:v>Без повтора</x:v>
      </x:c>
    </x:row>
    <x:row r="352" ht="60" customHeight="1">
      <x:c r="A352" s="16" t="n">
        <x:v>46654</x:v>
      </x:c>
      <x:c r="B352" s="9" t="str">
        <x:v>Пт</x:v>
      </x:c>
      <x:c r="C352" s="10" t="str">
        <x:v>Культура</x:v>
      </x:c>
      <x:c r="D352" s="19" t="str">
        <x:v>yXYGT-s3ZeI</x:v>
      </x:c>
      <x:c r="E352" s="10" t="str">
        <x:f>IF(D352="","",IF(COUNTIFS('Видео'!$A$7:$A$1508,D352)=1,INDEX('Видео'!$B$7:$B$1508,MATCH(D352,'Видео'!$A$7:$A$1508,0)),"ID не найден"))</x:f>
        <x:v>שיר אחד עונה 2 | דני סנדרסון - זאת שמעל לכל המצופה</x:v>
      </x:c>
      <x:c r="F352" s="9" t="str">
        <x:f>IF(D352="","",IF(COUNTIFS('Видео'!$A$7:$A$1508,D352)=1,INDEX('Видео'!$R$7:$R$1508,MATCH(D352,'Видео'!$A$7:$A$1508,0)),"ID не найден"))</x:f>
        <x:v>C027</x:v>
      </x:c>
      <x:c r="G352" s="9" t="str">
        <x:f>IF(D352="","",IF(COUNTIFS('Видео'!$A$7:$A$1508,D352)=1,INDEX('Видео'!$D$7:$D$1508,MATCH(D352,'Видео'!$A$7:$A$1508,0)),"ID не найден"))</x:f>
        <x:v>Культура</x:v>
      </x:c>
      <x:c r="H352" s="10" t="str">
        <x:f>IF(D352="","",IF(COUNTIFS('Видео'!$A$7:$A$1508,D352)=1,INDEX('Видео'!$F$7:$F$1508,MATCH(D352,'Видео'!$A$7:$A$1508,0)),"ID не найден"))</x:f>
        <x:v>B1–B2 (гипотеза)</x:v>
      </x:c>
      <x:c r="I352" s="18" t="n">
        <x:f>IF(D352="","",IF(COUNTIFS('Видео'!$A$7:$A$1508,D352)=1,INDEX('Видео'!$G$7:$G$1508,MATCH(D352,'Видео'!$A$7:$A$1508,0)),"ID не найден"))</x:f>
        <x:v>27.6</x:v>
      </x:c>
      <x:c r="J352" s="18" t="n">
        <x:v>10</x:v>
      </x:c>
      <x:c r="K352" s="10" t="str">
        <x:f>IF(D352="","",IF(COUNTIFS('Видео'!$A$7:$A$1508,D352)=1,INDEX('Видео'!$AI$7:$AI$1508,MATCH(D352,'Видео'!$A$7:$A$1508,0)),"ID не найден"))</x:f>
        <x:v>Нужна редактура</x:v>
      </x:c>
      <x:c r="L352" s="19" t="str">
        <x:v>ewhu0mjCJ4E</x:v>
      </x:c>
      <x:c r="M352" s="10" t="str">
        <x:f>IF(L352="","",IF(COUNTIFS('Видео'!$A$7:$A$1508,L352)=1,INDEX('Видео'!$B$7:$B$1508,MATCH(L352,'Видео'!$A$7:$A$1508,0)),"ID не найден"))</x:f>
        <x:v>סיפורים מהכורסה 🛋️ | על קידמה וטכנולוגיה - פרק 4</x:v>
      </x:c>
      <x:c r="N352" s="10" t="str"/>
      <x:c r="O352" s="10" t="str">
        <x:f>IF(D352="","",IF(COUNTIFS('Видео'!$A$7:$A$1508,D352)=1,INDEX('Видео'!$M$7:$M$1508,MATCH(D352,'Видео'!$A$7:$A$1508,0)),"ID не найден"))</x:f>
        <x:v>Тема: שיר אחד עונה 2 | דני סנדרסון - זאת שמעל לכל המצופה. Просмотры в списке выше медианы выборки этого цикла в 1.67 раза. История одной песни связывает музыку, биографию и эпоху. Подходит зрителям, которым политическая повестка менее интересна.</x:v>
      </x:c>
      <x:c r="P352" s="11" t="str">
        <x:f>IF(D352="","",IF(COUNTIFS('Видео'!$A$7:$A$1508,D352)=1,INDEX('Видео'!$U$7:$U$1508,MATCH(D352,'Видео'!$A$7:$A$1508,0)),"ID не найден"))</x:f>
        <x:v>https://www.youtube.com/watch?v=yXYGT-s3ZeI</x:v>
      </x:c>
      <x:c r="Q352" s="17" t="str">
        <x:v>Предложено</x:v>
      </x:c>
      <x:c r="R352" s="17" t="str"/>
      <x:c r="S352" s="10" t="str"/>
      <x:c r="T352" s="10" t="str">
        <x:v>Резерв меняет выбор видео; снова проверить повод, аудиторию и все редакторские условия</x:v>
      </x:c>
      <x:c r="U352" s="9" t="str">
        <x:f>IF(D352="","Выбрать видео",IF(COUNTIFS($D$7:$D$371,D352)&gt;1,"Повтор","Без повтора"))</x:f>
        <x:v>Без повтора</x:v>
      </x:c>
    </x:row>
    <x:row r="353" ht="60" customHeight="1">
      <x:c r="A353" s="16" t="n">
        <x:v>46655</x:v>
      </x:c>
      <x:c r="B353" s="9" t="str">
        <x:v>Сб</x:v>
      </x:c>
      <x:c r="C353" s="10" t="str">
        <x:v>Общество</x:v>
      </x:c>
      <x:c r="D353" s="19" t="str">
        <x:v>V0b84TS9l9I</x:v>
      </x:c>
      <x:c r="E353" s="10" t="str">
        <x:f>IF(D353="","",IF(COUNTIFS('Видео'!$A$7:$A$1508,D353)=1,INDEX('Видео'!$B$7:$B$1508,MATCH(D353,'Видео'!$A$7:$A$1508,0)),"ID не найден"))</x:f>
        <x:v>סליחה על השאלה | שמנים</x:v>
      </x:c>
      <x:c r="F353" s="9" t="str">
        <x:f>IF(D353="","",IF(COUNTIFS('Видео'!$A$7:$A$1508,D353)=1,INDEX('Видео'!$R$7:$R$1508,MATCH(D353,'Видео'!$A$7:$A$1508,0)),"ID не найден"))</x:f>
        <x:v>C021</x:v>
      </x:c>
      <x:c r="G353" s="9" t="str">
        <x:f>IF(D353="","",IF(COUNTIFS('Видео'!$A$7:$A$1508,D353)=1,INDEX('Видео'!$D$7:$D$1508,MATCH(D353,'Видео'!$A$7:$A$1508,0)),"ID не найден"))</x:f>
        <x:v>Общество</x:v>
      </x:c>
      <x:c r="H353" s="10" t="str">
        <x:f>IF(D353="","",IF(COUNTIFS('Видео'!$A$7:$A$1508,D353)=1,INDEX('Видео'!$F$7:$F$1508,MATCH(D353,'Видео'!$A$7:$A$1508,0)),"ID не найден"))</x:f>
        <x:v>B1–B2 (гипотеза)</x:v>
      </x:c>
      <x:c r="I353" s="18" t="n">
        <x:f>IF(D353="","",IF(COUNTIFS('Видео'!$A$7:$A$1508,D353)=1,INDEX('Видео'!$G$7:$G$1508,MATCH(D353,'Видео'!$A$7:$A$1508,0)),"ID не найден"))</x:f>
        <x:v>25.2</x:v>
      </x:c>
      <x:c r="J353" s="18" t="n">
        <x:v>10</x:v>
      </x:c>
      <x:c r="K353" s="10" t="str">
        <x:f>IF(D353="","",IF(COUNTIFS('Видео'!$A$7:$A$1508,D353)=1,INDEX('Видео'!$AI$7:$AI$1508,MATCH(D353,'Видео'!$A$7:$A$1508,0)),"ID не найден"))</x:f>
        <x:v>Нужна редактура</x:v>
      </x:c>
      <x:c r="L353" s="19" t="str">
        <x:v>ay80GD7NNEM</x:v>
      </x:c>
      <x:c r="M353" s="10" t="str">
        <x:f>IF(L353="","",IF(COUNTIFS('Видео'!$A$7:$A$1508,L353)=1,INDEX('Видео'!$B$7:$B$1508,MATCH(L353,'Видео'!$A$7:$A$1508,0)),"ID не найден"))</x:f>
        <x:v>כאן מקשיבים: התמודדתי עם מחלת הסרטן של בתי בעודי בהריון</x:v>
      </x:c>
      <x:c r="N353" s="10" t="str"/>
      <x:c r="O353" s="10" t="str">
        <x:f>IF(D353="","",IF(COUNTIFS('Видео'!$A$7:$A$1508,D353)=1,INDEX('Видео'!$M$7:$M$1508,MATCH(D353,'Видео'!$A$7:$A$1508,0)),"ID не найден"))</x:f>
        <x:v>Тема: סליחה על השאלה | שמנים. Одинаковый вопрос разным людям позволяет сравнить ответы и акценты. Формат вводит социальные группы через их собственную речь.</x:v>
      </x:c>
      <x:c r="P353" s="11" t="str">
        <x:f>IF(D353="","",IF(COUNTIFS('Видео'!$A$7:$A$1508,D353)=1,INDEX('Видео'!$U$7:$U$1508,MATCH(D353,'Видео'!$A$7:$A$1508,0)),"ID не найден"))</x:f>
        <x:v>https://www.youtube.com/watch?v=V0b84TS9l9I</x:v>
      </x:c>
      <x:c r="Q353" s="17" t="str">
        <x:v>Предложено</x:v>
      </x:c>
      <x:c r="R353" s="17" t="str"/>
      <x:c r="S353" s="10" t="str"/>
      <x:c r="T353" s="10" t="str">
        <x:v>Резерв меняет выбор видео; снова проверить повод, аудиторию и все редакторские условия</x:v>
      </x:c>
      <x:c r="U353" s="9" t="str">
        <x:f>IF(D353="","Выбрать видео",IF(COUNTIFS($D$7:$D$371,D353)&gt;1,"Повтор","Без повтора"))</x:f>
        <x:v>Без повтора</x:v>
      </x:c>
    </x:row>
    <x:row r="354" ht="60" customHeight="1">
      <x:c r="A354" s="16" t="n">
        <x:v>46656</x:v>
      </x:c>
      <x:c r="B354" s="9" t="str">
        <x:v>Вс</x:v>
      </x:c>
      <x:c r="C354" s="10" t="str">
        <x:v>Сериал</x:v>
      </x:c>
      <x:c r="D354" s="19" t="str">
        <x:v>YvxVA7sxdks</x:v>
      </x:c>
      <x:c r="E354" s="10" t="str">
        <x:f>IF(D354="","",IF(COUNTIFS('Видео'!$A$7:$A$1508,D354)=1,INDEX('Видео'!$B$7:$B$1508,MATCH(D354,'Видео'!$A$7:$A$1508,0)),"ID не найден"))</x:f>
        <x:v>קופה ראשית עונה 5 🛒 | פרק 9 - לדפוק חתונה</x:v>
      </x:c>
      <x:c r="F354" s="9" t="str">
        <x:f>IF(D354="","",IF(COUNTIFS('Видео'!$A$7:$A$1508,D354)=1,INDEX('Видео'!$R$7:$R$1508,MATCH(D354,'Видео'!$A$7:$A$1508,0)),"ID не найден"))</x:f>
        <x:v>C001</x:v>
      </x:c>
      <x:c r="G354" s="9" t="str">
        <x:f>IF(D354="","",IF(COUNTIFS('Видео'!$A$7:$A$1508,D354)=1,INDEX('Видео'!$D$7:$D$1508,MATCH(D354,'Видео'!$A$7:$A$1508,0)),"ID не найден"))</x:f>
        <x:v>Сериал</x:v>
      </x:c>
      <x:c r="H354" s="10" t="str">
        <x:f>IF(D354="","",IF(COUNTIFS('Видео'!$A$7:$A$1508,D354)=1,INDEX('Видео'!$F$7:$F$1508,MATCH(D354,'Видео'!$A$7:$A$1508,0)),"ID не найден"))</x:f>
        <x:v>B1–B2 (гипотеза)</x:v>
      </x:c>
      <x:c r="I354" s="18" t="n">
        <x:f>IF(D354="","",IF(COUNTIFS('Видео'!$A$7:$A$1508,D354)=1,INDEX('Видео'!$G$7:$G$1508,MATCH(D354,'Видео'!$A$7:$A$1508,0)),"ID не найден"))</x:f>
        <x:v>22.3</x:v>
      </x:c>
      <x:c r="J354" s="18" t="n">
        <x:v>10</x:v>
      </x:c>
      <x:c r="K354" s="10" t="str">
        <x:f>IF(D354="","",IF(COUNTIFS('Видео'!$A$7:$A$1508,D354)=1,INDEX('Видео'!$AI$7:$AI$1508,MATCH(D354,'Видео'!$A$7:$A$1508,0)),"ID не найден"))</x:f>
        <x:v>Нужна редактура</x:v>
      </x:c>
      <x:c r="L354" s="19" t="str">
        <x:v>oXtJx6bWcwg</x:v>
      </x:c>
      <x:c r="M354" s="10" t="str">
        <x:f>IF(L354="","",IF(COUNTIFS('Видео'!$A$7:$A$1508,L354)=1,INDEX('Видео'!$B$7:$B$1508,MATCH(L354,'Видео'!$A$7:$A$1508,0)),"ID не найден"))</x:f>
        <x:v>פרחים לבנים בכל מיני צבעים</x:v>
      </x:c>
      <x:c r="N354" s="10" t="str"/>
      <x:c r="O354" s="10" t="str">
        <x:f>IF(D354="","",IF(COUNTIFS('Видео'!$A$7:$A$1508,D354)=1,INDEX('Видео'!$M$7:$M$1508,MATCH(D354,'Видео'!$A$7:$A$1508,0)),"ID не найден"))</x:f>
        <x:v>Эпизод 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54" s="11" t="str">
        <x:f>IF(D354="","",IF(COUNTIFS('Видео'!$A$7:$A$1508,D354)=1,INDEX('Видео'!$U$7:$U$1508,MATCH(D354,'Видео'!$A$7:$A$1508,0)),"ID не найден"))</x:f>
        <x:v>https://www.youtube.com/watch?v=YvxVA7sxdks</x:v>
      </x:c>
      <x:c r="Q354" s="17" t="str">
        <x:v>Предложено</x:v>
      </x:c>
      <x:c r="R354" s="17" t="str"/>
      <x:c r="S354" s="10" t="str"/>
      <x:c r="T354" s="10" t="str">
        <x:v>При недоступной серии приостановить сюжетную ветку; резерв — самостоятельное видео</x:v>
      </x:c>
      <x:c r="U354" s="9" t="str">
        <x:f>IF(D354="","Выбрать видео",IF(COUNTIFS($D$7:$D$371,D354)&gt;1,"Повтор","Без повтора"))</x:f>
        <x:v>Без повтора</x:v>
      </x:c>
    </x:row>
    <x:row r="355" ht="60" customHeight="1">
      <x:c r="A355" s="16" t="n">
        <x:v>46657</x:v>
      </x:c>
      <x:c r="B355" s="9" t="str">
        <x:v>Пн</x:v>
      </x:c>
      <x:c r="C355" s="10" t="str">
        <x:v>Интервью</x:v>
      </x:c>
      <x:c r="D355" s="19" t="str">
        <x:v>deXKs6_5An0</x:v>
      </x:c>
      <x:c r="E355" s="10" t="str">
        <x:f>IF(D355="","",IF(COUNTIFS('Видео'!$A$7:$A$1508,D355)=1,INDEX('Видео'!$B$7:$B$1508,MATCH(D355,'Видео'!$A$7:$A$1508,0)),"ID не найден"))</x:f>
        <x:v>פגישה עם רוני קובן עונה 10 | אביחי אדרעי</x:v>
      </x:c>
      <x:c r="F355" s="9" t="str">
        <x:f>IF(D355="","",IF(COUNTIFS('Видео'!$A$7:$A$1508,D355)=1,INDEX('Видео'!$R$7:$R$1508,MATCH(D355,'Видео'!$A$7:$A$1508,0)),"ID не найден"))</x:f>
        <x:v>C013</x:v>
      </x:c>
      <x:c r="G355" s="9" t="str">
        <x:f>IF(D355="","",IF(COUNTIFS('Видео'!$A$7:$A$1508,D355)=1,INDEX('Видео'!$D$7:$D$1508,MATCH(D355,'Видео'!$A$7:$A$1508,0)),"ID не найден"))</x:f>
        <x:v>Интервью</x:v>
      </x:c>
      <x:c r="H355" s="10" t="str">
        <x:f>IF(D355="","",IF(COUNTIFS('Видео'!$A$7:$A$1508,D355)=1,INDEX('Видео'!$F$7:$F$1508,MATCH(D355,'Видео'!$A$7:$A$1508,0)),"ID не найден"))</x:f>
        <x:v>B2–C1 (гипотеза)</x:v>
      </x:c>
      <x:c r="I355" s="18" t="n">
        <x:f>IF(D355="","",IF(COUNTIFS('Видео'!$A$7:$A$1508,D355)=1,INDEX('Видео'!$G$7:$G$1508,MATCH(D355,'Видео'!$A$7:$A$1508,0)),"ID не найден"))</x:f>
        <x:v>37.5</x:v>
      </x:c>
      <x:c r="J355" s="18" t="n">
        <x:v>10</x:v>
      </x:c>
      <x:c r="K355" s="10" t="str">
        <x:f>IF(D355="","",IF(COUNTIFS('Видео'!$A$7:$A$1508,D355)=1,INDEX('Видео'!$AI$7:$AI$1508,MATCH(D355,'Видео'!$A$7:$A$1508,0)),"ID не найден"))</x:f>
        <x:v>Нужна редактура</x:v>
      </x:c>
      <x:c r="L355" s="19" t="str">
        <x:v>Bo_4zrOj8SQ</x:v>
      </x:c>
      <x:c r="M355" s="10" t="str">
        <x:f>IF(L355="","",IF(COUNTIFS('Видео'!$A$7:$A$1508,L355)=1,INDEX('Видео'!$B$7:$B$1508,MATCH(L355,'Видео'!$A$7:$A$1508,0)),"ID не найден"))</x:f>
        <x:v>פגישה עם רוני קובן עונה 10 | רותי ברודו</x:v>
      </x:c>
      <x:c r="N355" s="10" t="str"/>
      <x:c r="O355" s="10" t="str">
        <x:f>IF(D355="","",IF(COUNTIFS('Видео'!$A$7:$A$1508,D355)=1,INDEX('Видео'!$M$7:$M$1508,MATCH(D355,'Видео'!$A$7:$A$1508,0)),"ID не найден"))</x:f>
        <x:v>Тема / гость: אביחי אדרעי.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355" s="11" t="str">
        <x:f>IF(D355="","",IF(COUNTIFS('Видео'!$A$7:$A$1508,D355)=1,INDEX('Видео'!$U$7:$U$1508,MATCH(D355,'Видео'!$A$7:$A$1508,0)),"ID не найден"))</x:f>
        <x:v>https://www.youtube.com/watch?v=deXKs6_5An0</x:v>
      </x:c>
      <x:c r="Q355" s="17" t="str">
        <x:v>Предложено</x:v>
      </x:c>
      <x:c r="R355" s="17" t="str"/>
      <x:c r="S355" s="10" t="str"/>
      <x:c r="T355" s="10" t="str">
        <x:v>Резерв меняет выбор видео; снова проверить повод, аудиторию и все редакторские условия</x:v>
      </x:c>
      <x:c r="U355" s="9" t="str">
        <x:f>IF(D355="","Выбрать видео",IF(COUNTIFS($D$7:$D$371,D355)&gt;1,"Повтор","Без повтора"))</x:f>
        <x:v>Без повтора</x:v>
      </x:c>
    </x:row>
    <x:row r="356" ht="60" customHeight="1">
      <x:c r="A356" s="16" t="n">
        <x:v>46658</x:v>
      </x:c>
      <x:c r="B356" s="9" t="str">
        <x:v>Вт</x:v>
      </x:c>
      <x:c r="C356" s="10" t="str">
        <x:v>Образование</x:v>
      </x:c>
      <x:c r="D356" s="19" t="str">
        <x:v>_vyjrgU7hng</x:v>
      </x:c>
      <x:c r="E356" s="10" t="str">
        <x:f>IF(D356="","",IF(COUNTIFS('Видео'!$A$7:$A$1508,D356)=1,INDEX('Видео'!$B$7:$B$1508,MATCH(D356,'Видео'!$A$7:$A$1508,0)),"ID не найден"))</x:f>
        <x:v>מה הסיכוי לזכות בלוטו ובמנוי פיס?</x:v>
      </x:c>
      <x:c r="F356" s="9" t="str">
        <x:f>IF(D356="","",IF(COUNTIFS('Видео'!$A$7:$A$1508,D356)=1,INDEX('Видео'!$R$7:$R$1508,MATCH(D356,'Видео'!$A$7:$A$1508,0)),"ID не найден"))</x:f>
        <x:v>C063</x:v>
      </x:c>
      <x:c r="G356" s="9" t="str">
        <x:f>IF(D356="","",IF(COUNTIFS('Видео'!$A$7:$A$1508,D356)=1,INDEX('Видео'!$D$7:$D$1508,MATCH(D356,'Видео'!$A$7:$A$1508,0)),"ID не найден"))</x:f>
        <x:v>Образование</x:v>
      </x:c>
      <x:c r="H356" s="10" t="str">
        <x:f>IF(D356="","",IF(COUNTIFS('Видео'!$A$7:$A$1508,D356)=1,INDEX('Видео'!$F$7:$F$1508,MATCH(D356,'Видео'!$A$7:$A$1508,0)),"ID не найден"))</x:f>
        <x:v>B1–B2 (гипотеза)</x:v>
      </x:c>
      <x:c r="I356" s="18" t="n">
        <x:f>IF(D356="","",IF(COUNTIFS('Видео'!$A$7:$A$1508,D356)=1,INDEX('Видео'!$G$7:$G$1508,MATCH(D356,'Видео'!$A$7:$A$1508,0)),"ID не найден"))</x:f>
        <x:v>2.6</x:v>
      </x:c>
      <x:c r="J356" s="18" t="n">
        <x:v>5</x:v>
      </x:c>
      <x:c r="K356" s="10" t="str">
        <x:f>IF(D356="","",IF(COUNTIFS('Видео'!$A$7:$A$1508,D356)=1,INDEX('Видео'!$AI$7:$AI$1508,MATCH(D356,'Видео'!$A$7:$A$1508,0)),"ID не найден"))</x:f>
        <x:v>Нужна редактура</x:v>
      </x:c>
      <x:c r="L356" s="19" t="str">
        <x:v>1Gfk2_yMjv0</x:v>
      </x:c>
      <x:c r="M356" s="10" t="str">
        <x:f>IF(L356="","",IF(COUNTIFS('Видео'!$A$7:$A$1508,L356)=1,INDEX('Видео'!$B$7:$B$1508,MATCH(L356,'Видео'!$A$7:$A$1508,0)),"ID не найден"))</x:f>
        <x:v>פרפר נחמד 🦋 | פרק 7 - בץ החוקר</x:v>
      </x:c>
      <x:c r="N356" s="10" t="str"/>
      <x:c r="O356" s="10" t="str">
        <x:f>IF(D356="","",IF(COUNTIFS('Видео'!$A$7:$A$1508,D356)=1,INDEX('Видео'!$M$7:$M$1508,MATCH(D356,'Видео'!$A$7:$A$1508,0)),"ID не найден"))</x:f>
        <x:v>Завершённый короткий просмотр около 3 мин. История открытия соединяет научный интерес и последовательный рассказ.</x:v>
      </x:c>
      <x:c r="P356" s="11" t="str">
        <x:f>IF(D356="","",IF(COUNTIFS('Видео'!$A$7:$A$1508,D356)=1,INDEX('Видео'!$U$7:$U$1508,MATCH(D356,'Видео'!$A$7:$A$1508,0)),"ID не найден"))</x:f>
        <x:v>https://www.youtube.com/watch?v=_vyjrgU7hng</x:v>
      </x:c>
      <x:c r="Q356" s="17" t="str">
        <x:v>Предложено</x:v>
      </x:c>
      <x:c r="R356" s="17" t="str"/>
      <x:c r="S356" s="10" t="str"/>
      <x:c r="T356" s="10" t="str">
        <x:v>Резерв меняет выбор видео; снова проверить повод, аудиторию и все редакторские условия</x:v>
      </x:c>
      <x:c r="U356" s="9" t="str">
        <x:f>IF(D356="","Выбрать видео",IF(COUNTIFS($D$7:$D$371,D356)&gt;1,"Повтор","Без повтора"))</x:f>
        <x:v>Без повтора</x:v>
      </x:c>
    </x:row>
    <x:row r="357" ht="60" customHeight="1">
      <x:c r="A357" s="16" t="n">
        <x:v>46659</x:v>
      </x:c>
      <x:c r="B357" s="9" t="str">
        <x:v>Ср</x:v>
      </x:c>
      <x:c r="C357" s="10" t="str">
        <x:v>Быт</x:v>
      </x:c>
      <x:c r="D357" s="19" t="str">
        <x:v>tqpSo3_xUMc</x:v>
      </x:c>
      <x:c r="E357" s="10" t="str">
        <x:f>IF(D357="","",IF(COUNTIFS('Видео'!$A$7:$A$1508,D357)=1,INDEX('Видео'!$B$7:$B$1508,MATCH(D357,'Видео'!$A$7:$A$1508,0)),"ID не найден"))</x:f>
        <x:v>שום פלפל ושמן זית עונה 2 | אוראל צברי</x:v>
      </x:c>
      <x:c r="F357" s="9" t="str">
        <x:f>IF(D357="","",IF(COUNTIFS('Видео'!$A$7:$A$1508,D357)=1,INDEX('Видео'!$R$7:$R$1508,MATCH(D357,'Видео'!$A$7:$A$1508,0)),"ID не найден"))</x:f>
        <x:v>C024</x:v>
      </x:c>
      <x:c r="G357" s="9" t="str">
        <x:f>IF(D357="","",IF(COUNTIFS('Видео'!$A$7:$A$1508,D357)=1,INDEX('Видео'!$D$7:$D$1508,MATCH(D357,'Видео'!$A$7:$A$1508,0)),"ID не найден"))</x:f>
        <x:v>Быт</x:v>
      </x:c>
      <x:c r="H357" s="10" t="str">
        <x:f>IF(D357="","",IF(COUNTIFS('Видео'!$A$7:$A$1508,D357)=1,INDEX('Видео'!$F$7:$F$1508,MATCH(D357,'Видео'!$A$7:$A$1508,0)),"ID не найден"))</x:f>
        <x:v>B1–B2 (гипотеза)</x:v>
      </x:c>
      <x:c r="I357" s="18" t="n">
        <x:f>IF(D357="","",IF(COUNTIFS('Видео'!$A$7:$A$1508,D357)=1,INDEX('Видео'!$G$7:$G$1508,MATCH(D357,'Видео'!$A$7:$A$1508,0)),"ID не найден"))</x:f>
        <x:v>41.6</x:v>
      </x:c>
      <x:c r="J357" s="18" t="n">
        <x:v>10</x:v>
      </x:c>
      <x:c r="K357" s="10" t="str">
        <x:f>IF(D357="","",IF(COUNTIFS('Видео'!$A$7:$A$1508,D357)=1,INDEX('Видео'!$AI$7:$AI$1508,MATCH(D357,'Видео'!$A$7:$A$1508,0)),"ID не найден"))</x:f>
        <x:v>Нужна редактура</x:v>
      </x:c>
      <x:c r="L357" s="19" t="str">
        <x:v>9c7kCmZe80w</x:v>
      </x:c>
      <x:c r="M357" s="10" t="str">
        <x:f>IF(L357="","",IF(COUNTIFS('Видео'!$A$7:$A$1508,L357)=1,INDEX('Видео'!$B$7:$B$1508,MATCH(L357,'Видео'!$A$7:$A$1508,0)),"ID не найден"))</x:f>
        <x:v>בואו לאכול איתי עונה 9 | השרון והכרמל - חלק ב' (פרק 17)</x:v>
      </x:c>
      <x:c r="N357" s="10" t="str"/>
      <x:c r="O357" s="10" t="str">
        <x:f>IF(D357="","",IF(COUNTIFS('Видео'!$A$7:$A$1508,D357)=1,INDEX('Видео'!$M$7:$M$1508,MATCH(D357,'Видео'!$A$7:$A$1508,0)),"ID не найден"))</x:f>
        <x:v>Тема: שום פלפל ושמן זית עונה 2 | אוראל צברי. Просмотры в списке выше медианы выборки этого цикла в 1.62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P357" s="11" t="str">
        <x:f>IF(D357="","",IF(COUNTIFS('Видео'!$A$7:$A$1508,D357)=1,INDEX('Видео'!$U$7:$U$1508,MATCH(D357,'Видео'!$A$7:$A$1508,0)),"ID не найден"))</x:f>
        <x:v>https://www.youtube.com/watch?v=tqpSo3_xUMc</x:v>
      </x:c>
      <x:c r="Q357" s="17" t="str">
        <x:v>Предложено</x:v>
      </x:c>
      <x:c r="R357" s="17" t="str"/>
      <x:c r="S357" s="10" t="str"/>
      <x:c r="T357" s="10" t="str">
        <x:v>Резерв меняет выбор видео; снова проверить повод, аудиторию и все редакторские условия</x:v>
      </x:c>
      <x:c r="U357" s="9" t="str">
        <x:f>IF(D357="","Выбрать видео",IF(COUNTIFS($D$7:$D$371,D357)&gt;1,"Повтор","Без повтора"))</x:f>
        <x:v>Без повтора</x:v>
      </x:c>
    </x:row>
    <x:row r="358" ht="60" customHeight="1">
      <x:c r="A358" s="16" t="n">
        <x:v>46660</x:v>
      </x:c>
      <x:c r="B358" s="9" t="str">
        <x:v>Чт</x:v>
      </x:c>
      <x:c r="C358" s="10" t="str">
        <x:v>Сериал</x:v>
      </x:c>
      <x:c r="D358" s="19" t="str">
        <x:v>3Y6i7JAGu3I</x:v>
      </x:c>
      <x:c r="E358" s="10" t="str">
        <x:f>IF(D358="","",IF(COUNTIFS('Видео'!$A$7:$A$1508,D358)=1,INDEX('Видео'!$B$7:$B$1508,MATCH(D358,'Видео'!$A$7:$A$1508,0)),"ID не найден"))</x:f>
        <x:v>כראמל 🐱 | תמונה למזכרת - פרק 18</x:v>
      </x:c>
      <x:c r="F358" s="9" t="str">
        <x:f>IF(D358="","",IF(COUNTIFS('Видео'!$A$7:$A$1508,D358)=1,INDEX('Видео'!$R$7:$R$1508,MATCH(D358,'Видео'!$A$7:$A$1508,0)),"ID не найден"))</x:f>
        <x:v>C053</x:v>
      </x:c>
      <x:c r="G358" s="9" t="str">
        <x:f>IF(D358="","",IF(COUNTIFS('Видео'!$A$7:$A$1508,D358)=1,INDEX('Видео'!$D$7:$D$1508,MATCH(D358,'Видео'!$A$7:$A$1508,0)),"ID не найден"))</x:f>
        <x:v>Сериал</x:v>
      </x:c>
      <x:c r="H358" s="10" t="str">
        <x:f>IF(D358="","",IF(COUNTIFS('Видео'!$A$7:$A$1508,D358)=1,INDEX('Видео'!$F$7:$F$1508,MATCH(D358,'Видео'!$A$7:$A$1508,0)),"ID не найден"))</x:f>
        <x:v>A2–B1 (гипотеза)</x:v>
      </x:c>
      <x:c r="I358" s="18" t="n">
        <x:f>IF(D358="","",IF(COUNTIFS('Видео'!$A$7:$A$1508,D358)=1,INDEX('Видео'!$G$7:$G$1508,MATCH(D358,'Видео'!$A$7:$A$1508,0)),"ID не найден"))</x:f>
        <x:v>27</x:v>
      </x:c>
      <x:c r="J358" s="18" t="n">
        <x:v>10</x:v>
      </x:c>
      <x:c r="K358" s="10" t="str">
        <x:f>IF(D358="","",IF(COUNTIFS('Видео'!$A$7:$A$1508,D358)=1,INDEX('Видео'!$AI$7:$AI$1508,MATCH(D358,'Видео'!$A$7:$A$1508,0)),"ID не найден"))</x:f>
        <x:v>Нужна редактура</x:v>
      </x:c>
      <x:c r="L358" s="19" t="str">
        <x:v>ScwJduq3Mh4</x:v>
      </x:c>
      <x:c r="M358" s="10" t="str">
        <x:f>IF(L358="","",IF(COUNTIFS('Видео'!$A$7:$A$1508,L358)=1,INDEX('Видео'!$B$7:$B$1508,MATCH(L358,'Видео'!$A$7:$A$1508,0)),"ID не найден"))</x:f>
        <x:v>מטופלת שבלעה סכין ופחים על הצוות: איך נראית משמרת של אחות בחדר מיון? | זום אין</x:v>
      </x:c>
      <x:c r="N358" s="10" t="str"/>
      <x:c r="O358" s="10" t="str">
        <x:f>IF(D358="","",IF(COUNTIFS('Видео'!$A$7:$A$1508,D358)=1,INDEX('Видео'!$M$7:$M$1508,MATCH(D358,'Видео'!$A$7:$A$1508,0)),"ID не найден"))</x:f>
        <x:v>Эпизод 18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P358" s="11" t="str">
        <x:f>IF(D358="","",IF(COUNTIFS('Видео'!$A$7:$A$1508,D358)=1,INDEX('Видео'!$U$7:$U$1508,MATCH(D358,'Видео'!$A$7:$A$1508,0)),"ID не найден"))</x:f>
        <x:v>https://www.youtube.com/watch?v=3Y6i7JAGu3I</x:v>
      </x:c>
      <x:c r="Q358" s="17" t="str">
        <x:v>Предложено</x:v>
      </x:c>
      <x:c r="R358" s="17" t="str"/>
      <x:c r="S358" s="10" t="str"/>
      <x:c r="T358" s="10" t="str">
        <x:v>При недоступной серии приостановить сюжетную ветку; резерв — самостоятельное видео</x:v>
      </x:c>
      <x:c r="U358" s="9" t="str">
        <x:f>IF(D358="","Выбрать видео",IF(COUNTIFS($D$7:$D$371,D358)&gt;1,"Повтор","Без повтора"))</x:f>
        <x:v>Без повтора</x:v>
      </x:c>
    </x:row>
    <x:row r="359" ht="60" customHeight="1">
      <x:c r="A359" s="16" t="n">
        <x:v>46661</x:v>
      </x:c>
      <x:c r="B359" s="9" t="str">
        <x:v>Пт</x:v>
      </x:c>
      <x:c r="C359" s="10" t="str">
        <x:v>Культура</x:v>
      </x:c>
      <x:c r="D359" s="19" t="str">
        <x:v>Ikg3u2kb_AY</x:v>
      </x:c>
      <x:c r="E359" s="10" t="str">
        <x:f>IF(D359="","",IF(COUNTIFS('Видео'!$A$7:$A$1508,D359)=1,INDEX('Видео'!$B$7:$B$1508,MATCH(D359,'Видео'!$A$7:$A$1508,0)),"ID не найден"))</x:f>
        <x:v>המשל שבחר רבי יעקב לספר - ברגע הכי מרגש בשנה</x:v>
      </x:c>
      <x:c r="F359" s="9" t="str">
        <x:f>IF(D359="","",IF(COUNTIFS('Видео'!$A$7:$A$1508,D359)=1,INDEX('Видео'!$R$7:$R$1508,MATCH(D359,'Видео'!$A$7:$A$1508,0)),"ID не найден"))</x:f>
        <x:v>C085</x:v>
      </x:c>
      <x:c r="G359" s="9" t="str">
        <x:f>IF(D359="","",IF(COUNTIFS('Видео'!$A$7:$A$1508,D359)=1,INDEX('Видео'!$D$7:$D$1508,MATCH(D359,'Видео'!$A$7:$A$1508,0)),"ID не найден"))</x:f>
        <x:v>Культура</x:v>
      </x:c>
      <x:c r="H359" s="10" t="str">
        <x:f>IF(D359="","",IF(COUNTIFS('Видео'!$A$7:$A$1508,D359)=1,INDEX('Видео'!$F$7:$F$1508,MATCH(D359,'Видео'!$A$7:$A$1508,0)),"ID не найден"))</x:f>
        <x:v>B1–B2 (гипотеза)</x:v>
      </x:c>
      <x:c r="I359" s="18" t="n">
        <x:f>IF(D359="","",IF(COUNTIFS('Видео'!$A$7:$A$1508,D359)=1,INDEX('Видео'!$G$7:$G$1508,MATCH(D359,'Видео'!$A$7:$A$1508,0)),"ID не найден"))</x:f>
        <x:v>1.9</x:v>
      </x:c>
      <x:c r="J359" s="18" t="n">
        <x:v>5</x:v>
      </x:c>
      <x:c r="K359" s="10" t="str">
        <x:f>IF(D359="","",IF(COUNTIFS('Видео'!$A$7:$A$1508,D359)=1,INDEX('Видео'!$AI$7:$AI$1508,MATCH(D359,'Видео'!$A$7:$A$1508,0)),"ID не найден"))</x:f>
        <x:v>Нужна редактура</x:v>
      </x:c>
      <x:c r="L359" s="19" t="str">
        <x:v>2M8ezaCd6YE</x:v>
      </x:c>
      <x:c r="M359" s="10" t="str">
        <x:f>IF(L359="","",IF(COUNTIFS('Видео'!$A$7:$A$1508,L359)=1,INDEX('Видео'!$B$7:$B$1508,MATCH(L359,'Видео'!$A$7:$A$1508,0)),"ID не найден"))</x:f>
        <x:v>סיפורים מהכורסה 🛋️ | על אמונה ומסורת - פרק 7</x:v>
      </x:c>
      <x:c r="N359" s="10" t="str">
        <x:v>Рош ха-Шана начинается вечером: сезонный рассказ еврейской мудрости</x:v>
      </x:c>
      <x:c r="O359" s="10" t="str">
        <x:f>IF(D359="","",IF(COUNTIFS('Видео'!$A$7:$A$1508,D359)=1,INDEX('Видео'!$M$7:$M$1508,MATCH(D359,'Видео'!$A$7:$A$1508,0)),"ID не найден"))</x:f>
        <x:v>Завершённый короткий просмотр около 2 мин. Истории мудрецов Востока расширяют предложение для традиционно ориентированных зрителей.</x:v>
      </x:c>
      <x:c r="P359" s="11" t="str">
        <x:f>IF(D359="","",IF(COUNTIFS('Видео'!$A$7:$A$1508,D359)=1,INDEX('Видео'!$U$7:$U$1508,MATCH(D359,'Видео'!$A$7:$A$1508,0)),"ID не найден"))</x:f>
        <x:v>https://www.youtube.com/watch?v=Ikg3u2kb_AY</x:v>
      </x:c>
      <x:c r="Q359" s="17" t="str">
        <x:v>Предложено</x:v>
      </x:c>
      <x:c r="R359" s="17" t="str"/>
      <x:c r="S359" s="10" t="str">
        <x:v>https://www.hebcal.com/holidays/2027?i=on</x:v>
      </x:c>
      <x:c r="T359" s="10" t="str">
        <x:v>Резерв меняет выбор видео; снова проверить повод, аудиторию и все редакторские условия</x:v>
      </x:c>
      <x:c r="U359" s="9" t="str">
        <x:f>IF(D359="","Выбрать видео",IF(COUNTIFS($D$7:$D$371,D359)&gt;1,"Повтор","Без повтора"))</x:f>
        <x:v>Без повтора</x:v>
      </x:c>
    </x:row>
    <x:row r="360" ht="60" customHeight="1">
      <x:c r="A360" s="16" t="n">
        <x:v>46662</x:v>
      </x:c>
      <x:c r="B360" s="9" t="str">
        <x:v>Сб</x:v>
      </x:c>
      <x:c r="C360" s="10" t="str">
        <x:v>Общество</x:v>
      </x:c>
      <x:c r="D360" s="19" t="str">
        <x:v>sXvU-0cfsIs</x:v>
      </x:c>
      <x:c r="E360" s="10" t="str">
        <x:f>IF(D360="","",IF(COUNTIFS('Видео'!$A$7:$A$1508,D360)=1,INDEX('Видео'!$B$7:$B$1508,MATCH(D360,'Видео'!$A$7:$A$1508,0)),"ID не найден"))</x:f>
        <x:v>נייעס 📰 | "חֲטאְנו לְפַניךָ" - פרק 4</x:v>
      </x:c>
      <x:c r="F360" s="9" t="str">
        <x:f>IF(D360="","",IF(COUNTIFS('Видео'!$A$7:$A$1508,D360)=1,INDEX('Видео'!$R$7:$R$1508,MATCH(D360,'Видео'!$A$7:$A$1508,0)),"ID не найден"))</x:f>
        <x:v>C033</x:v>
      </x:c>
      <x:c r="G360" s="9" t="str">
        <x:f>IF(D360="","",IF(COUNTIFS('Видео'!$A$7:$A$1508,D360)=1,INDEX('Видео'!$D$7:$D$1508,MATCH(D360,'Видео'!$A$7:$A$1508,0)),"ID не найден"))</x:f>
        <x:v>Общество</x:v>
      </x:c>
      <x:c r="H360" s="10" t="str">
        <x:f>IF(D360="","",IF(COUNTIFS('Видео'!$A$7:$A$1508,D360)=1,INDEX('Видео'!$F$7:$F$1508,MATCH(D360,'Видео'!$A$7:$A$1508,0)),"ID не найден"))</x:f>
        <x:v>B2–C1 (гипотеза)</x:v>
      </x:c>
      <x:c r="I360" s="18" t="n">
        <x:f>IF(D360="","",IF(COUNTIFS('Видео'!$A$7:$A$1508,D360)=1,INDEX('Видео'!$G$7:$G$1508,MATCH(D360,'Видео'!$A$7:$A$1508,0)),"ID не найден"))</x:f>
        <x:v>42.4</x:v>
      </x:c>
      <x:c r="J360" s="18" t="n">
        <x:v>10</x:v>
      </x:c>
      <x:c r="K360" s="10" t="str">
        <x:f>IF(D360="","",IF(COUNTIFS('Видео'!$A$7:$A$1508,D360)=1,INDEX('Видео'!$AI$7:$AI$1508,MATCH(D360,'Видео'!$A$7:$A$1508,0)),"ID не найден"))</x:f>
        <x:v>Нужна редактура</x:v>
      </x:c>
      <x:c r="L360" s="19" t="str">
        <x:v>hJ5yvsRJLKk</x:v>
      </x:c>
      <x:c r="M360" s="10" t="str">
        <x:f>IF(L360="","",IF(COUNTIFS('Видео'!$A$7:$A$1508,L360)=1,INDEX('Видео'!$B$7:$B$1508,MATCH(L360,'Видео'!$A$7:$A$1508,0)),"ID не найден"))</x:f>
        <x:v>הסודות של בן גביר | מבצע ״לחלץ את שרה״</x:v>
      </x:c>
      <x:c r="N360" s="10" t="str"/>
      <x:c r="O360" s="10" t="str">
        <x:f>IF(D360="","",IF(COUNTIFS('Видео'!$A$7:$A$1508,D360)=1,INDEX('Видео'!$M$7:$M$1508,MATCH(D360,'Видео'!$A$7:$A$1508,0)),"ID не найден"))</x:f>
        <x:v>Тема: נייעס 📰 | "חֲטאְנו לְפַניךָ" - פרק 4. Медиа внутри харедим дают вход в часто незнакомую культурную среду и лексику.</x:v>
      </x:c>
      <x:c r="P360" s="11" t="str">
        <x:f>IF(D360="","",IF(COUNTIFS('Видео'!$A$7:$A$1508,D360)=1,INDEX('Видео'!$U$7:$U$1508,MATCH(D360,'Видео'!$A$7:$A$1508,0)),"ID не найден"))</x:f>
        <x:v>https://www.youtube.com/watch?v=sXvU-0cfsIs</x:v>
      </x:c>
      <x:c r="Q360" s="17" t="str">
        <x:v>Предложено</x:v>
      </x:c>
      <x:c r="R360" s="17" t="str"/>
      <x:c r="S360" s="10" t="str"/>
      <x:c r="T360" s="10" t="str">
        <x:v>Резерв меняет выбор видео; снова проверить повод, аудиторию и все редакторские условия</x:v>
      </x:c>
      <x:c r="U360" s="9" t="str">
        <x:f>IF(D360="","Выбрать видео",IF(COUNTIFS($D$7:$D$371,D360)&gt;1,"Повтор","Без повтора"))</x:f>
        <x:v>Без повтора</x:v>
      </x:c>
    </x:row>
    <x:row r="361" ht="60" customHeight="1">
      <x:c r="A361" s="16" t="n">
        <x:v>46663</x:v>
      </x:c>
      <x:c r="B361" s="9" t="str">
        <x:v>Вс</x:v>
      </x:c>
      <x:c r="C361" s="10" t="str">
        <x:v>Сериал</x:v>
      </x:c>
      <x:c r="D361" s="19" t="str">
        <x:v>Np6j5oLwLts</x:v>
      </x:c>
      <x:c r="E361" s="10" t="str">
        <x:f>IF(D361="","",IF(COUNTIFS('Видео'!$A$7:$A$1508,D361)=1,INDEX('Видео'!$B$7:$B$1508,MATCH(D361,'Видео'!$A$7:$A$1508,0)),"ID не найден"))</x:f>
        <x:v>קופה ראשית עונה 5 🛒 | פרק 10 - הטיפ של ראמזי</x:v>
      </x:c>
      <x:c r="F361" s="9" t="str">
        <x:f>IF(D361="","",IF(COUNTIFS('Видео'!$A$7:$A$1508,D361)=1,INDEX('Видео'!$R$7:$R$1508,MATCH(D361,'Видео'!$A$7:$A$1508,0)),"ID не найден"))</x:f>
        <x:v>C001</x:v>
      </x:c>
      <x:c r="G361" s="9" t="str">
        <x:f>IF(D361="","",IF(COUNTIFS('Видео'!$A$7:$A$1508,D361)=1,INDEX('Видео'!$D$7:$D$1508,MATCH(D361,'Видео'!$A$7:$A$1508,0)),"ID не найден"))</x:f>
        <x:v>Сериал</x:v>
      </x:c>
      <x:c r="H361" s="10" t="str">
        <x:f>IF(D361="","",IF(COUNTIFS('Видео'!$A$7:$A$1508,D361)=1,INDEX('Видео'!$F$7:$F$1508,MATCH(D361,'Видео'!$A$7:$A$1508,0)),"ID не найден"))</x:f>
        <x:v>B1–B2 (гипотеза)</x:v>
      </x:c>
      <x:c r="I361" s="18" t="n">
        <x:f>IF(D361="","",IF(COUNTIFS('Видео'!$A$7:$A$1508,D361)=1,INDEX('Видео'!$G$7:$G$1508,MATCH(D361,'Видео'!$A$7:$A$1508,0)),"ID не найден"))</x:f>
        <x:v>23.4</x:v>
      </x:c>
      <x:c r="J361" s="18" t="n">
        <x:v>10</x:v>
      </x:c>
      <x:c r="K361" s="10" t="str">
        <x:f>IF(D361="","",IF(COUNTIFS('Видео'!$A$7:$A$1508,D361)=1,INDEX('Видео'!$AI$7:$AI$1508,MATCH(D361,'Видео'!$A$7:$A$1508,0)),"ID не найден"))</x:f>
        <x:v>Нужна редактура</x:v>
      </x:c>
      <x:c r="L361" s="19" t="str">
        <x:v>b0Y5lrEJOBA</x:v>
      </x:c>
      <x:c r="M361" s="10" t="str">
        <x:f>IF(L361="","",IF(COUNTIFS('Видео'!$A$7:$A$1508,L361)=1,INDEX('Видео'!$B$7:$B$1508,MATCH(L361,'Видео'!$A$7:$A$1508,0)),"ID не найден"))</x:f>
        <x:v>המחיר הסביבתי של ''אופנה מהירה'' 👚 | הכל סביבה</x:v>
      </x:c>
      <x:c r="N361" s="10" t="str"/>
      <x:c r="O361" s="10" t="str">
        <x:f>IF(D361="","",IF(COUNTIFS('Видео'!$A$7:$A$1508,D361)=1,INDEX('Видео'!$M$7:$M$1508,MATCH(D361,'Видео'!$A$7:$A$1508,0)),"ID не найден"))</x:f>
        <x:v>Эпизод 10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P361" s="11" t="str">
        <x:f>IF(D361="","",IF(COUNTIFS('Видео'!$A$7:$A$1508,D361)=1,INDEX('Видео'!$U$7:$U$1508,MATCH(D361,'Видео'!$A$7:$A$1508,0)),"ID не найден"))</x:f>
        <x:v>https://www.youtube.com/watch?v=Np6j5oLwLts</x:v>
      </x:c>
      <x:c r="Q361" s="17" t="str">
        <x:v>Предложено</x:v>
      </x:c>
      <x:c r="R361" s="17" t="str"/>
      <x:c r="S361" s="10" t="str"/>
      <x:c r="T361" s="10" t="str">
        <x:v>При недоступной серии приостановить сюжетную ветку; резерв — самостоятельное видео</x:v>
      </x:c>
      <x:c r="U361" s="9" t="str">
        <x:f>IF(D361="","Выбрать видео",IF(COUNTIFS($D$7:$D$371,D361)&gt;1,"Повтор","Без повтора"))</x:f>
        <x:v>Без повтора</x:v>
      </x:c>
    </x:row>
    <x:row r="362" ht="60" customHeight="1">
      <x:c r="A362" s="16" t="n">
        <x:v>46664</x:v>
      </x:c>
      <x:c r="B362" s="9" t="str">
        <x:v>Пн</x:v>
      </x:c>
      <x:c r="C362" s="10" t="str">
        <x:v>Интервью</x:v>
      </x:c>
      <x:c r="D362" s="19" t="str">
        <x:v>_s0tFOu-b4k</x:v>
      </x:c>
      <x:c r="E362" s="10" t="str">
        <x:f>IF(D362="","",IF(COUNTIFS('Видео'!$A$7:$A$1508,D362)=1,INDEX('Видео'!$B$7:$B$1508,MATCH(D362,'Видео'!$A$7:$A$1508,0)),"ID не найден"))</x:f>
        <x:v>פגישה עם רוני קובן עונה 9 | אבישי בן חיים</x:v>
      </x:c>
      <x:c r="F362" s="9" t="str">
        <x:f>IF(D362="","",IF(COUNTIFS('Видео'!$A$7:$A$1508,D362)=1,INDEX('Видео'!$R$7:$R$1508,MATCH(D362,'Видео'!$A$7:$A$1508,0)),"ID не найден"))</x:f>
        <x:v>C014</x:v>
      </x:c>
      <x:c r="G362" s="9" t="str">
        <x:f>IF(D362="","",IF(COUNTIFS('Видео'!$A$7:$A$1508,D362)=1,INDEX('Видео'!$D$7:$D$1508,MATCH(D362,'Видео'!$A$7:$A$1508,0)),"ID не найден"))</x:f>
        <x:v>Интервью</x:v>
      </x:c>
      <x:c r="H362" s="10" t="str">
        <x:f>IF(D362="","",IF(COUNTIFS('Видео'!$A$7:$A$1508,D362)=1,INDEX('Видео'!$F$7:$F$1508,MATCH(D362,'Видео'!$A$7:$A$1508,0)),"ID не найден"))</x:f>
        <x:v>B2–C1 (гипотеза)</x:v>
      </x:c>
      <x:c r="I362" s="18" t="n">
        <x:f>IF(D362="","",IF(COUNTIFS('Видео'!$A$7:$A$1508,D362)=1,INDEX('Видео'!$G$7:$G$1508,MATCH(D362,'Видео'!$A$7:$A$1508,0)),"ID не найден"))</x:f>
        <x:v>38</x:v>
      </x:c>
      <x:c r="J362" s="18" t="n">
        <x:v>10</x:v>
      </x:c>
      <x:c r="K362" s="10" t="str">
        <x:f>IF(D362="","",IF(COUNTIFS('Видео'!$A$7:$A$1508,D362)=1,INDEX('Видео'!$AI$7:$AI$1508,MATCH(D362,'Видео'!$A$7:$A$1508,0)),"ID не найден"))</x:f>
        <x:v>Нужна редактура</x:v>
      </x:c>
      <x:c r="L362" s="19" t="str">
        <x:v>aT_X3SKpyho</x:v>
      </x:c>
      <x:c r="M362" s="10" t="str">
        <x:f>IF(L362="","",IF(COUNTIFS('Видео'!$A$7:$A$1508,L362)=1,INDEX('Видео'!$B$7:$B$1508,MATCH(L362,'Видео'!$A$7:$A$1508,0)),"ID не найден"))</x:f>
        <x:v>פגישה עם רוני קובן עונה 9 | רני רהב</x:v>
      </x:c>
      <x:c r="N362" s="10" t="str"/>
      <x:c r="O362" s="10" t="str">
        <x:f>IF(D362="","",IF(COUNTIFS('Видео'!$A$7:$A$1508,D362)=1,INDEX('Видео'!$M$7:$M$1508,MATCH(D362,'Видео'!$A$7:$A$1508,0)),"ID не найден"))</x:f>
        <x:v>Тема / гость: אבישי בן חיים. Просмотры в списке выше медианы выборки этого цикла в 2.1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362" s="11" t="str">
        <x:f>IF(D362="","",IF(COUNTIFS('Видео'!$A$7:$A$1508,D362)=1,INDEX('Видео'!$U$7:$U$1508,MATCH(D362,'Видео'!$A$7:$A$1508,0)),"ID не найден"))</x:f>
        <x:v>https://www.youtube.com/watch?v=_s0tFOu-b4k</x:v>
      </x:c>
      <x:c r="Q362" s="17" t="str">
        <x:v>Предложено</x:v>
      </x:c>
      <x:c r="R362" s="17" t="str"/>
      <x:c r="S362" s="10" t="str"/>
      <x:c r="T362" s="10" t="str">
        <x:v>Резерв меняет выбор видео; снова проверить повод, аудиторию и все редакторские условия</x:v>
      </x:c>
      <x:c r="U362" s="9" t="str">
        <x:f>IF(D362="","Выбрать видео",IF(COUNTIFS($D$7:$D$371,D362)&gt;1,"Повтор","Без повтора"))</x:f>
        <x:v>Без повтора</x:v>
      </x:c>
    </x:row>
    <x:row r="363" ht="60" customHeight="1">
      <x:c r="A363" s="16" t="n">
        <x:v>46665</x:v>
      </x:c>
      <x:c r="B363" s="9" t="str">
        <x:v>Вт</x:v>
      </x:c>
      <x:c r="C363" s="10" t="str">
        <x:v>Образование</x:v>
      </x:c>
      <x:c r="D363" s="19" t="str">
        <x:v>6J76hDSmSSE</x:v>
      </x:c>
      <x:c r="E363" s="10" t="str">
        <x:f>IF(D363="","",IF(COUNTIFS('Видео'!$A$7:$A$1508,D363)=1,INDEX('Видео'!$B$7:$B$1508,MATCH(D363,'Видео'!$A$7:$A$1508,0)),"ID не найден"))</x:f>
        <x:v>כיצד למדוד ויטמין סי במזון?</x:v>
      </x:c>
      <x:c r="F363" s="9" t="str">
        <x:f>IF(D363="","",IF(COUNTIFS('Видео'!$A$7:$A$1508,D363)=1,INDEX('Видео'!$R$7:$R$1508,MATCH(D363,'Видео'!$A$7:$A$1508,0)),"ID не найден"))</x:f>
        <x:v>C064</x:v>
      </x:c>
      <x:c r="G363" s="9" t="str">
        <x:f>IF(D363="","",IF(COUNTIFS('Видео'!$A$7:$A$1508,D363)=1,INDEX('Видео'!$D$7:$D$1508,MATCH(D363,'Видео'!$A$7:$A$1508,0)),"ID не найден"))</x:f>
        <x:v>Образование</x:v>
      </x:c>
      <x:c r="H363" s="10" t="str">
        <x:f>IF(D363="","",IF(COUNTIFS('Видео'!$A$7:$A$1508,D363)=1,INDEX('Видео'!$F$7:$F$1508,MATCH(D363,'Видео'!$A$7:$A$1508,0)),"ID не найден"))</x:f>
        <x:v>B1–B2 (гипотеза)</x:v>
      </x:c>
      <x:c r="I363" s="18" t="n">
        <x:f>IF(D363="","",IF(COUNTIFS('Видео'!$A$7:$A$1508,D363)=1,INDEX('Видео'!$G$7:$G$1508,MATCH(D363,'Видео'!$A$7:$A$1508,0)),"ID не найден"))</x:f>
        <x:v>4.2</x:v>
      </x:c>
      <x:c r="J363" s="18" t="n">
        <x:v>5</x:v>
      </x:c>
      <x:c r="K363" s="10" t="str">
        <x:f>IF(D363="","",IF(COUNTIFS('Видео'!$A$7:$A$1508,D363)=1,INDEX('Видео'!$AI$7:$AI$1508,MATCH(D363,'Видео'!$A$7:$A$1508,0)),"ID не найден"))</x:f>
        <x:v>Нужна редактура</x:v>
      </x:c>
      <x:c r="L363" s="19" t="str">
        <x:v>EaoDXELxTCU</x:v>
      </x:c>
      <x:c r="M363" s="10" t="str">
        <x:f>IF(L363="","",IF(COUNTIFS('Видео'!$A$7:$A$1508,L363)=1,INDEX('Видео'!$B$7:$B$1508,MATCH(L363,'Видео'!$A$7:$A$1508,0)),"ID не найден"))</x:f>
        <x:v>מתחת לבלטות | פרק 4 - יוצאים מהמרכז</x:v>
      </x:c>
      <x:c r="N363" s="10" t="str"/>
      <x:c r="O363" s="10" t="str">
        <x:f>IF(D363="","",IF(COUNTIFS('Видео'!$A$7:$A$1508,D363)=1,INDEX('Видео'!$M$7:$M$1508,MATCH(D363,'Видео'!$A$7:$A$1508,0)),"ID не найден"))</x:f>
        <x:v>Завершённый короткий просмотр около 4 мин. Просмотры в списке выше медианы выборки этого цикла в 5.53 раза. Тема среды расширяет предложение для экологически заинтересованной аудитории.</x:v>
      </x:c>
      <x:c r="P363" s="11" t="str">
        <x:f>IF(D363="","",IF(COUNTIFS('Видео'!$A$7:$A$1508,D363)=1,INDEX('Видео'!$U$7:$U$1508,MATCH(D363,'Видео'!$A$7:$A$1508,0)),"ID не найден"))</x:f>
        <x:v>https://www.youtube.com/watch?v=6J76hDSmSSE</x:v>
      </x:c>
      <x:c r="Q363" s="17" t="str">
        <x:v>Предложено</x:v>
      </x:c>
      <x:c r="R363" s="17" t="str"/>
      <x:c r="S363" s="10" t="str"/>
      <x:c r="T363" s="10" t="str">
        <x:v>Резерв меняет выбор видео; снова проверить повод, аудиторию и все редакторские условия</x:v>
      </x:c>
      <x:c r="U363" s="9" t="str">
        <x:f>IF(D363="","Выбрать видео",IF(COUNTIFS($D$7:$D$371,D363)&gt;1,"Повтор","Без повтора"))</x:f>
        <x:v>Без повтора</x:v>
      </x:c>
    </x:row>
    <x:row r="364" ht="60" customHeight="1">
      <x:c r="A364" s="16" t="n">
        <x:v>46666</x:v>
      </x:c>
      <x:c r="B364" s="9" t="str">
        <x:v>Ср</x:v>
      </x:c>
      <x:c r="C364" s="10" t="str">
        <x:v>Быт</x:v>
      </x:c>
      <x:c r="D364" s="19" t="str">
        <x:v>BHMu-tuyG0A</x:v>
      </x:c>
      <x:c r="E364" s="10" t="str">
        <x:f>IF(D364="","",IF(COUNTIFS('Видео'!$A$7:$A$1508,D364)=1,INDEX('Видео'!$B$7:$B$1508,MATCH(D364,'Видео'!$A$7:$A$1508,0)),"ID не найден"))</x:f>
        <x:v>טיול אחרי צבא - סובב ישראל 🚐🇮🇱 | פרק 6 (ואחרון) - הביתה</x:v>
      </x:c>
      <x:c r="F364" s="9" t="str">
        <x:f>IF(D364="","",IF(COUNTIFS('Видео'!$A$7:$A$1508,D364)=1,INDEX('Видео'!$R$7:$R$1508,MATCH(D364,'Видео'!$A$7:$A$1508,0)),"ID не найден"))</x:f>
        <x:v>C038</x:v>
      </x:c>
      <x:c r="G364" s="9" t="str">
        <x:f>IF(D364="","",IF(COUNTIFS('Видео'!$A$7:$A$1508,D364)=1,INDEX('Видео'!$D$7:$D$1508,MATCH(D364,'Видео'!$A$7:$A$1508,0)),"ID не найден"))</x:f>
        <x:v>Быт</x:v>
      </x:c>
      <x:c r="H364" s="10" t="str">
        <x:f>IF(D364="","",IF(COUNTIFS('Видео'!$A$7:$A$1508,D364)=1,INDEX('Видео'!$F$7:$F$1508,MATCH(D364,'Видео'!$A$7:$A$1508,0)),"ID не найден"))</x:f>
        <x:v>B1–B2 (гипотеза)</x:v>
      </x:c>
      <x:c r="I364" s="18" t="n">
        <x:f>IF(D364="","",IF(COUNTIFS('Видео'!$A$7:$A$1508,D364)=1,INDEX('Видео'!$G$7:$G$1508,MATCH(D364,'Видео'!$A$7:$A$1508,0)),"ID не найден"))</x:f>
        <x:v>45.4</x:v>
      </x:c>
      <x:c r="J364" s="18" t="n">
        <x:v>10</x:v>
      </x:c>
      <x:c r="K364" s="10" t="str">
        <x:f>IF(D364="","",IF(COUNTIFS('Видео'!$A$7:$A$1508,D364)=1,INDEX('Видео'!$AI$7:$AI$1508,MATCH(D364,'Видео'!$A$7:$A$1508,0)),"ID не найден"))</x:f>
        <x:v>Нужна редактура</x:v>
      </x:c>
      <x:c r="L364" s="19" t="str">
        <x:v>ZNwcvsw4i6U</x:v>
      </x:c>
      <x:c r="M364" s="10" t="str">
        <x:f>IF(L364="","",IF(COUNTIFS('Видео'!$A$7:$A$1508,L364)=1,INDEX('Видео'!$B$7:$B$1508,MATCH(L364,'Видео'!$A$7:$A$1508,0)),"ID не найден"))</x:f>
        <x:v>בואו לאכול איתי עונה 8 | ירושלים - חלק ב' (פרק 7)</x:v>
      </x:c>
      <x:c r="N364" s="10" t="str"/>
      <x:c r="O364" s="10" t="str">
        <x:f>IF(D364="","",IF(COUNTIFS('Видео'!$A$7:$A$1508,D364)=1,INDEX('Видео'!$M$7:$M$1508,MATCH(D364,'Видео'!$A$7:$A$1508,0)),"ID не найден"))</x:f>
        <x:v>Тема: טיול אחרי צבא - סובב ישראל 🚐🇮🇱 | פרק 6 (ואחרון) - הביתה. Маршрут по стране помогает связывать язык с местами и планами путешествия. Визуальные подсказки облегчают понимание.</x:v>
      </x:c>
      <x:c r="P364" s="11" t="str">
        <x:f>IF(D364="","",IF(COUNTIFS('Видео'!$A$7:$A$1508,D364)=1,INDEX('Видео'!$U$7:$U$1508,MATCH(D364,'Видео'!$A$7:$A$1508,0)),"ID не найден"))</x:f>
        <x:v>https://www.youtube.com/watch?v=BHMu-tuyG0A</x:v>
      </x:c>
      <x:c r="Q364" s="17" t="str">
        <x:v>Предложено</x:v>
      </x:c>
      <x:c r="R364" s="17" t="str"/>
      <x:c r="S364" s="10" t="str"/>
      <x:c r="T364" s="10" t="str">
        <x:v>Резерв меняет выбор видео; снова проверить повод, аудиторию и все редакторские условия</x:v>
      </x:c>
      <x:c r="U364" s="9" t="str">
        <x:f>IF(D364="","Выбрать видео",IF(COUNTIFS($D$7:$D$371,D364)&gt;1,"Повтор","Без повтора"))</x:f>
        <x:v>Без повтора</x:v>
      </x:c>
    </x:row>
    <x:row r="365" ht="60" customHeight="1">
      <x:c r="A365" s="16" t="n">
        <x:v>46667</x:v>
      </x:c>
      <x:c r="B365" s="9" t="str">
        <x:v>Чт</x:v>
      </x:c>
      <x:c r="C365" s="10" t="str">
        <x:v>Память</x:v>
      </x:c>
      <x:c r="D365" s="19" t="str">
        <x:v>YncbYhkol3k</x:v>
      </x:c>
      <x:c r="E365" s="10" t="str">
        <x:f>IF(D365="","",IF(COUNTIFS('Видео'!$A$7:$A$1508,D365)=1,INDEX('Видео'!$B$7:$B$1508,MATCH(D365,'Видео'!$A$7:$A$1508,0)),"ID не найден"))</x:f>
        <x:v>חוץ. יום. שבת - סרטי דוקו של יוצרים צעירים מהעוטף על ה-7.10 | לא גיבורים - סרטו של צבי דוד</x:v>
      </x:c>
      <x:c r="F365" s="9" t="str">
        <x:f>IF(D365="","",IF(COUNTIFS('Видео'!$A$7:$A$1508,D365)=1,INDEX('Видео'!$R$7:$R$1508,MATCH(D365,'Видео'!$A$7:$A$1508,0)),"ID не найден"))</x:f>
        <x:v>C042</x:v>
      </x:c>
      <x:c r="G365" s="9" t="str">
        <x:f>IF(D365="","",IF(COUNTIFS('Видео'!$A$7:$A$1508,D365)=1,INDEX('Видео'!$D$7:$D$1508,MATCH(D365,'Видео'!$A$7:$A$1508,0)),"ID не найден"))</x:f>
        <x:v>Память</x:v>
      </x:c>
      <x:c r="H365" s="10" t="str">
        <x:f>IF(D365="","",IF(COUNTIFS('Видео'!$A$7:$A$1508,D365)=1,INDEX('Видео'!$F$7:$F$1508,MATCH(D365,'Видео'!$A$7:$A$1508,0)),"ID не найден"))</x:f>
        <x:v>B2–C1 (гипотеза)</x:v>
      </x:c>
      <x:c r="I365" s="18" t="n">
        <x:f>IF(D365="","",IF(COUNTIFS('Видео'!$A$7:$A$1508,D365)=1,INDEX('Видео'!$G$7:$G$1508,MATCH(D365,'Видео'!$A$7:$A$1508,0)),"ID не найден"))</x:f>
        <x:v>12</x:v>
      </x:c>
      <x:c r="J365" s="18" t="n">
        <x:v>10</x:v>
      </x:c>
      <x:c r="K365" s="10" t="str">
        <x:f>IF(D365="","",IF(COUNTIFS('Видео'!$A$7:$A$1508,D365)=1,INDEX('Видео'!$AI$7:$AI$1508,MATCH(D365,'Видео'!$A$7:$A$1508,0)),"ID не найден"))</x:f>
        <x:v>Нужна редактура</x:v>
      </x:c>
      <x:c r="L365" s="19" t="str">
        <x:v>DdOCWNZFnkU</x:v>
      </x:c>
      <x:c r="M365" s="10" t="str">
        <x:f>IF(L365="","",IF(COUNTIFS('Видео'!$A$7:$A$1508,L365)=1,INDEX('Видео'!$B$7:$B$1508,MATCH(L365,'Видео'!$A$7:$A$1508,0)),"ID не найден"))</x:f>
        <x:v>שאלות שרצינו לשאול – שיחות עם ניצולי שואה. פרק שלישי: חיים חדשים</x:v>
      </x:c>
      <x:c r="N365" s="10" t="str">
        <x:v>Гражданская годовщина 7 октября: память</x:v>
      </x:c>
      <x:c r="O365" s="10" t="str">
        <x:f>IF(D365="","",IF(COUNTIFS('Видео'!$A$7:$A$1508,D365)=1,INDEX('Видео'!$M$7:$M$1508,MATCH(D365,'Видео'!$A$7:$A$1508,0)),"ID не найден"))</x:f>
        <x:v>Тема: חוץ. יום. שבת - סרטי דוקו של יוצרים צעירים מהעוטף על ה-7.10 | לא גיבורים - סרטו של צבי דוד. Взгляд молодых авторов добавляет личную перспективу к журналистским реконструкциям.</x:v>
      </x:c>
      <x:c r="P365" s="11" t="str">
        <x:f>IF(D365="","",IF(COUNTIFS('Видео'!$A$7:$A$1508,D365)=1,INDEX('Видео'!$U$7:$U$1508,MATCH(D365,'Видео'!$A$7:$A$1508,0)),"ID не найден"))</x:f>
        <x:v>https://www.youtube.com/watch?v=YncbYhkol3k</x:v>
      </x:c>
      <x:c r="Q365" s="17" t="str">
        <x:v>Предложено</x:v>
      </x:c>
      <x:c r="R365" s="17" t="str"/>
      <x:c r="S365" s="10" t="str">
        <x:v>Редакционный гражданский календарь</x:v>
      </x:c>
      <x:c r="T365" s="10" t="str">
        <x:v>Резерв меняет выбор видео; снова проверить повод, аудиторию и все редакторские условия</x:v>
      </x:c>
      <x:c r="U365" s="9" t="str">
        <x:f>IF(D365="","Выбрать видео",IF(COUNTIFS($D$7:$D$371,D365)&gt;1,"Повтор","Без повтора"))</x:f>
        <x:v>Без повтора</x:v>
      </x:c>
    </x:row>
    <x:row r="366" ht="60" customHeight="1">
      <x:c r="A366" s="16" t="n">
        <x:v>46668</x:v>
      </x:c>
      <x:c r="B366" s="9" t="str">
        <x:v>Пт</x:v>
      </x:c>
      <x:c r="C366" s="10" t="str">
        <x:v>Культура</x:v>
      </x:c>
      <x:c r="D366" s="19" t="str">
        <x:v>z42XPXNP52M</x:v>
      </x:c>
      <x:c r="E366" s="10" t="str">
        <x:f>IF(D366="","",IF(COUNTIFS('Видео'!$A$7:$A$1508,D366)=1,INDEX('Видео'!$B$7:$B$1508,MATCH(D366,'Видео'!$A$7:$A$1508,0)),"ID не найден"))</x:f>
        <x:v>עלמה גוב - אפר ואבק (לייב על בימת בית אבי חי)</x:v>
      </x:c>
      <x:c r="F366" s="9" t="str">
        <x:f>IF(D366="","",IF(COUNTIFS('Видео'!$A$7:$A$1508,D366)=1,INDEX('Видео'!$R$7:$R$1508,MATCH(D366,'Видео'!$A$7:$A$1508,0)),"ID не найден"))</x:f>
        <x:v>C075</x:v>
      </x:c>
      <x:c r="G366" s="9" t="str">
        <x:f>IF(D366="","",IF(COUNTIFS('Видео'!$A$7:$A$1508,D366)=1,INDEX('Видео'!$D$7:$D$1508,MATCH(D366,'Видео'!$A$7:$A$1508,0)),"ID не найден"))</x:f>
        <x:v>Культура</x:v>
      </x:c>
      <x:c r="H366" s="10" t="str">
        <x:f>IF(D366="","",IF(COUNTIFS('Видео'!$A$7:$A$1508,D366)=1,INDEX('Видео'!$F$7:$F$1508,MATCH(D366,'Видео'!$A$7:$A$1508,0)),"ID не найден"))</x:f>
        <x:v>B2–C1 (гипотеза)</x:v>
      </x:c>
      <x:c r="I366" s="18" t="n">
        <x:f>IF(D366="","",IF(COUNTIFS('Видео'!$A$7:$A$1508,D366)=1,INDEX('Видео'!$G$7:$G$1508,MATCH(D366,'Видео'!$A$7:$A$1508,0)),"ID не найден"))</x:f>
        <x:v>4.4</x:v>
      </x:c>
      <x:c r="J366" s="18" t="n">
        <x:v>5</x:v>
      </x:c>
      <x:c r="K366" s="10" t="str">
        <x:f>IF(D366="","",IF(COUNTIFS('Видео'!$A$7:$A$1508,D366)=1,INDEX('Видео'!$AI$7:$AI$1508,MATCH(D366,'Видео'!$A$7:$A$1508,0)),"ID не найден"))</x:f>
        <x:v>Нужна редактура</x:v>
      </x:c>
      <x:c r="L366" s="19" t="str">
        <x:v>mlJznTLsYhM</x:v>
      </x:c>
      <x:c r="M366" s="10" t="str">
        <x:f>IF(L366="","",IF(COUNTIFS('Видео'!$A$7:$A$1508,L366)=1,INDEX('Видео'!$B$7:$B$1508,MATCH(L366,'Видео'!$A$7:$A$1508,0)),"ID не найден"))</x:f>
        <x:v>שיר אחד 🎤 עונה 2 | דנה אינטרנשיונל - דיווה</x:v>
      </x:c>
      <x:c r="N366" s="10" t="str"/>
      <x:c r="O366" s="10" t="str">
        <x:f>IF(D366="","",IF(COUNTIFS('Видео'!$A$7:$A$1508,D366)=1,INDEX('Видео'!$M$7:$M$1508,MATCH(D366,'Видео'!$A$7:$A$1508,0)),"ID не найден"))</x:f>
        <x:v>Завершённый короткий просмотр около 4 мин. Разговор о музыке и детстве создаёт вход через культурную близость и биографию.</x:v>
      </x:c>
      <x:c r="P366" s="11" t="str">
        <x:f>IF(D366="","",IF(COUNTIFS('Видео'!$A$7:$A$1508,D366)=1,INDEX('Видео'!$U$7:$U$1508,MATCH(D366,'Видео'!$A$7:$A$1508,0)),"ID не найден"))</x:f>
        <x:v>https://www.youtube.com/watch?v=z42XPXNP52M</x:v>
      </x:c>
      <x:c r="Q366" s="17" t="str">
        <x:v>Предложено</x:v>
      </x:c>
      <x:c r="R366" s="17" t="str"/>
      <x:c r="S366" s="10" t="str"/>
      <x:c r="T366" s="10" t="str">
        <x:v>Резерв меняет выбор видео; снова проверить повод, аудиторию и все редакторские условия</x:v>
      </x:c>
      <x:c r="U366" s="9" t="str">
        <x:f>IF(D366="","Выбрать видео",IF(COUNTIFS($D$7:$D$371,D366)&gt;1,"Повтор","Без повтора"))</x:f>
        <x:v>Без повтора</x:v>
      </x:c>
    </x:row>
    <x:row r="367" ht="60" customHeight="1">
      <x:c r="A367" s="16" t="n">
        <x:v>46669</x:v>
      </x:c>
      <x:c r="B367" s="9" t="str">
        <x:v>Сб</x:v>
      </x:c>
      <x:c r="C367" s="10" t="str">
        <x:v>Общество</x:v>
      </x:c>
      <x:c r="D367" s="19" t="str">
        <x:v>cLfsAjJO8no</x:v>
      </x:c>
      <x:c r="E367" s="10" t="str">
        <x:f>IF(D367="","",IF(COUNTIFS('Видео'!$A$7:$A$1508,D367)=1,INDEX('Видео'!$B$7:$B$1508,MATCH(D367,'Видео'!$A$7:$A$1508,0)),"ID не найден"))</x:f>
        <x:v>זמן אמת עונה 9 | פרק 7 - בר קופרשטיין מדבר</x:v>
      </x:c>
      <x:c r="F367" s="9" t="str">
        <x:f>IF(D367="","",IF(COUNTIFS('Видео'!$A$7:$A$1508,D367)=1,INDEX('Видео'!$R$7:$R$1508,MATCH(D367,'Видео'!$A$7:$A$1508,0)),"ID не найден"))</x:f>
        <x:v>C040</x:v>
      </x:c>
      <x:c r="G367" s="9" t="str">
        <x:f>IF(D367="","",IF(COUNTIFS('Видео'!$A$7:$A$1508,D367)=1,INDEX('Видео'!$D$7:$D$1508,MATCH(D367,'Видео'!$A$7:$A$1508,0)),"ID не найден"))</x:f>
        <x:v>Общество</x:v>
      </x:c>
      <x:c r="H367" s="10" t="str">
        <x:f>IF(D367="","",IF(COUNTIFS('Видео'!$A$7:$A$1508,D367)=1,INDEX('Видео'!$F$7:$F$1508,MATCH(D367,'Видео'!$A$7:$A$1508,0)),"ID не найден"))</x:f>
        <x:v>B2–C1 (гипотеза)</x:v>
      </x:c>
      <x:c r="I367" s="18" t="n">
        <x:f>IF(D367="","",IF(COUNTIFS('Видео'!$A$7:$A$1508,D367)=1,INDEX('Видео'!$G$7:$G$1508,MATCH(D367,'Видео'!$A$7:$A$1508,0)),"ID не найден"))</x:f>
        <x:v>74.7</x:v>
      </x:c>
      <x:c r="J367" s="18" t="n">
        <x:v>10</x:v>
      </x:c>
      <x:c r="K367" s="10" t="str">
        <x:f>IF(D367="","",IF(COUNTIFS('Видео'!$A$7:$A$1508,D367)=1,INDEX('Видео'!$AI$7:$AI$1508,MATCH(D367,'Видео'!$A$7:$A$1508,0)),"ID не найден"))</x:f>
        <x:v>Нужна редактура</x:v>
      </x:c>
      <x:c r="L367" s="19" t="str">
        <x:v>6kae52rN3zk</x:v>
      </x:c>
      <x:c r="M367" s="10" t="str">
        <x:f>IF(L367="","",IF(COUNTIFS('Видео'!$A$7:$A$1508,L367)=1,INDEX('Видео'!$B$7:$B$1508,MATCH(L367,'Видео'!$A$7:$A$1508,0)),"ID не найден"))</x:f>
        <x:v>כאן מקשיבים לגבר טרנס עם כיפה</x:v>
      </x:c>
      <x:c r="N367" s="10" t="str"/>
      <x:c r="O367" s="10" t="str">
        <x:f>IF(D367="","",IF(COUNTIFS('Видео'!$A$7:$A$1508,D367)=1,INDEX('Видео'!$M$7:$M$1508,MATCH(D367,'Видео'!$A$7:$A$1508,0)),"ID не найден"))</x:f>
        <x:v>Тема: זמן אמת עונה 9 | פרק 7 - בר קופרשטיין מדבר. Расследования привлекают любителей документального жанра и дают материал для критического чтения медиа.</x:v>
      </x:c>
      <x:c r="P367" s="11" t="str">
        <x:f>IF(D367="","",IF(COUNTIFS('Видео'!$A$7:$A$1508,D367)=1,INDEX('Видео'!$U$7:$U$1508,MATCH(D367,'Видео'!$A$7:$A$1508,0)),"ID не найден"))</x:f>
        <x:v>https://www.youtube.com/watch?v=cLfsAjJO8no</x:v>
      </x:c>
      <x:c r="Q367" s="17" t="str">
        <x:v>Предложено</x:v>
      </x:c>
      <x:c r="R367" s="17" t="str"/>
      <x:c r="S367" s="10" t="str"/>
      <x:c r="T367" s="10" t="str">
        <x:v>Резерв меняет выбор видео; снова проверить повод, аудиторию и все редакторские условия</x:v>
      </x:c>
      <x:c r="U367" s="9" t="str">
        <x:f>IF(D367="","Выбрать видео",IF(COUNTIFS($D$7:$D$371,D367)&gt;1,"Повтор","Без повтора"))</x:f>
        <x:v>Без повтора</x:v>
      </x:c>
    </x:row>
    <x:row r="368" ht="60" customHeight="1">
      <x:c r="A368" s="16" t="n">
        <x:v>46670</x:v>
      </x:c>
      <x:c r="B368" s="9" t="str">
        <x:v>Вс</x:v>
      </x:c>
      <x:c r="C368" s="10" t="str">
        <x:v>История</x:v>
      </x:c>
      <x:c r="D368" s="19" t="str">
        <x:v>--X-hJFnkR4</x:v>
      </x:c>
      <x:c r="E368" s="10" t="str">
        <x:f>IF(D368="","",IF(COUNTIFS('Видео'!$A$7:$A$1508,D368)=1,INDEX('Видео'!$B$7:$B$1508,MATCH(D368,'Видео'!$A$7:$A$1508,0)),"ID не найден"))</x:f>
        <x:v>ריצוי, מחילה וכשלון אצל חז"ל | שיעור 1 – בין אדם למקום ובין אדם לחברו | ד"ר איתי מרינברג-מיליקובסקי</x:v>
      </x:c>
      <x:c r="F368" s="9" t="str">
        <x:f>IF(D368="","",IF(COUNTIFS('Видео'!$A$7:$A$1508,D368)=1,INDEX('Видео'!$R$7:$R$1508,MATCH(D368,'Видео'!$A$7:$A$1508,0)),"ID не найден"))</x:f>
        <x:v>C089</x:v>
      </x:c>
      <x:c r="G368" s="9" t="str">
        <x:f>IF(D368="","",IF(COUNTIFS('Видео'!$A$7:$A$1508,D368)=1,INDEX('Видео'!$D$7:$D$1508,MATCH(D368,'Видео'!$A$7:$A$1508,0)),"ID не найден"))</x:f>
        <x:v>История</x:v>
      </x:c>
      <x:c r="H368" s="10" t="str">
        <x:f>IF(D368="","",IF(COUNTIFS('Видео'!$A$7:$A$1508,D368)=1,INDEX('Видео'!$F$7:$F$1508,MATCH(D368,'Видео'!$A$7:$A$1508,0)),"ID не найден"))</x:f>
        <x:v>B2–C1 (гипотеза)</x:v>
      </x:c>
      <x:c r="I368" s="18" t="n">
        <x:f>IF(D368="","",IF(COUNTIFS('Видео'!$A$7:$A$1508,D368)=1,INDEX('Видео'!$G$7:$G$1508,MATCH(D368,'Видео'!$A$7:$A$1508,0)),"ID не найден"))</x:f>
        <x:v>44</x:v>
      </x:c>
      <x:c r="J368" s="18" t="n">
        <x:v>10</x:v>
      </x:c>
      <x:c r="K368" s="10" t="str">
        <x:f>IF(D368="","",IF(COUNTIFS('Видео'!$A$7:$A$1508,D368)=1,INDEX('Видео'!$AI$7:$AI$1508,MATCH(D368,'Видео'!$A$7:$A$1508,0)),"ID не найден"))</x:f>
        <x:v>Нужна редактура</x:v>
      </x:c>
      <x:c r="L368" s="19" t="str">
        <x:v>PBP5W0Q5xyQ</x:v>
      </x:c>
      <x:c r="M368" s="10" t="str">
        <x:f>IF(L368="","",IF(COUNTIFS('Видео'!$A$7:$A$1508,L368)=1,INDEX('Видео'!$B$7:$B$1508,MATCH(L368,'Видео'!$A$7:$A$1508,0)),"ID не найден"))</x:f>
        <x:v>היסטוריה קצרה של חסידות ברסלב | שיעור 4 - הרנסנס של חסידות ברסלב בפולין | פרופ' יונתן מאיר</x:v>
      </x:c>
      <x:c r="N368" s="10" t="str">
        <x:v>Йом Кипур начинается вечером: традиция и размышление</x:v>
      </x:c>
      <x:c r="O368" s="10" t="str">
        <x:f>IF(D368="","",IF(COUNTIFS('Видео'!$A$7:$A$1508,D368)=1,INDEX('Видео'!$M$7:$M$1508,MATCH(D368,'Видео'!$A$7:$A$1508,0)),"ID не найден"))</x:f>
        <x:v>Тема: ריצוי, מחילה וכשלון אצל חז"ל | שיעור 1 – בין אדם למקום ובין אדם לחברו | ד"ר איתי מרינברג-מיליקובסקי. Просмотры в списке выше медианы выборки этого цикла в 1.8 раза. Тема прощения подходит для содержательного сезонного маршрута перед Йом Кипуром и для интереса к еврейской мысли.</x:v>
      </x:c>
      <x:c r="P368" s="11" t="str">
        <x:f>IF(D368="","",IF(COUNTIFS('Видео'!$A$7:$A$1508,D368)=1,INDEX('Видео'!$U$7:$U$1508,MATCH(D368,'Видео'!$A$7:$A$1508,0)),"ID не найден"))</x:f>
        <x:v>https://www.youtube.com/watch?v=--X-hJFnkR4</x:v>
      </x:c>
      <x:c r="Q368" s="17" t="str">
        <x:v>Предложено</x:v>
      </x:c>
      <x:c r="R368" s="17" t="str"/>
      <x:c r="S368" s="10" t="str">
        <x:v>https://www.hebcal.com/holidays/2027?i=on</x:v>
      </x:c>
      <x:c r="T368" s="10" t="str">
        <x:v>Резерв меняет выбор видео; снова проверить повод, аудиторию и все редакторские условия</x:v>
      </x:c>
      <x:c r="U368" s="9" t="str">
        <x:f>IF(D368="","Выбрать видео",IF(COUNTIFS($D$7:$D$371,D368)&gt;1,"Повтор","Без повтора"))</x:f>
        <x:v>Без повтора</x:v>
      </x:c>
    </x:row>
    <x:row r="369" ht="60" customHeight="1">
      <x:c r="A369" s="16" t="n">
        <x:v>46671</x:v>
      </x:c>
      <x:c r="B369" s="9" t="str">
        <x:v>Пн</x:v>
      </x:c>
      <x:c r="C369" s="10" t="str">
        <x:v>Интервью</x:v>
      </x:c>
      <x:c r="D369" s="19" t="str">
        <x:v>WdT20aG5TjA</x:v>
      </x:c>
      <x:c r="E369" s="10" t="str">
        <x:f>IF(D369="","",IF(COUNTIFS('Видео'!$A$7:$A$1508,D369)=1,INDEX('Видео'!$B$7:$B$1508,MATCH(D369,'Видео'!$A$7:$A$1508,0)),"ID не найден"))</x:f>
        <x:v>פגישה עם רוני קובן עונה 8 | סולימאן מסוודה</x:v>
      </x:c>
      <x:c r="F369" s="9" t="str">
        <x:f>IF(D369="","",IF(COUNTIFS('Видео'!$A$7:$A$1508,D369)=1,INDEX('Видео'!$R$7:$R$1508,MATCH(D369,'Видео'!$A$7:$A$1508,0)),"ID не найден"))</x:f>
        <x:v>C015</x:v>
      </x:c>
      <x:c r="G369" s="9" t="str">
        <x:f>IF(D369="","",IF(COUNTIFS('Видео'!$A$7:$A$1508,D369)=1,INDEX('Видео'!$D$7:$D$1508,MATCH(D369,'Видео'!$A$7:$A$1508,0)),"ID не найден"))</x:f>
        <x:v>Интервью</x:v>
      </x:c>
      <x:c r="H369" s="10" t="str">
        <x:f>IF(D369="","",IF(COUNTIFS('Видео'!$A$7:$A$1508,D369)=1,INDEX('Видео'!$F$7:$F$1508,MATCH(D369,'Видео'!$A$7:$A$1508,0)),"ID не найден"))</x:f>
        <x:v>B2–C1 (гипотеза)</x:v>
      </x:c>
      <x:c r="I369" s="18" t="n">
        <x:f>IF(D369="","",IF(COUNTIFS('Видео'!$A$7:$A$1508,D369)=1,INDEX('Видео'!$G$7:$G$1508,MATCH(D369,'Видео'!$A$7:$A$1508,0)),"ID не найден"))</x:f>
        <x:v>34.7</x:v>
      </x:c>
      <x:c r="J369" s="18" t="n">
        <x:v>10</x:v>
      </x:c>
      <x:c r="K369" s="10" t="str">
        <x:f>IF(D369="","",IF(COUNTIFS('Видео'!$A$7:$A$1508,D369)=1,INDEX('Видео'!$AI$7:$AI$1508,MATCH(D369,'Видео'!$A$7:$A$1508,0)),"ID не найден"))</x:f>
        <x:v>Нужна редактура</x:v>
      </x:c>
      <x:c r="L369" s="19" t="str">
        <x:v>P8t38aVgV4M</x:v>
      </x:c>
      <x:c r="M369" s="10" t="str">
        <x:f>IF(L369="","",IF(COUNTIFS('Видео'!$A$7:$A$1508,L369)=1,INDEX('Видео'!$B$7:$B$1508,MATCH(L369,'Видео'!$A$7:$A$1508,0)),"ID не найден"))</x:f>
        <x:v>פגישה עם רוני קובן עונה 10 | גיא מרוז</x:v>
      </x:c>
      <x:c r="N369" s="10" t="str"/>
      <x:c r="O369" s="10" t="str">
        <x:f>IF(D369="","",IF(COUNTIFS('Видео'!$A$7:$A$1508,D369)=1,INDEX('Видео'!$M$7:$M$1508,MATCH(D369,'Видео'!$A$7:$A$1508,0)),"ID не найден"))</x:f>
        <x:v>Тема / гость: סולימאן מסוודה. Просмотры в списке выше медианы выборки этого цикла в 2.02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P369" s="11" t="str">
        <x:f>IF(D369="","",IF(COUNTIFS('Видео'!$A$7:$A$1508,D369)=1,INDEX('Видео'!$U$7:$U$1508,MATCH(D369,'Видео'!$A$7:$A$1508,0)),"ID не найден"))</x:f>
        <x:v>https://www.youtube.com/watch?v=WdT20aG5TjA</x:v>
      </x:c>
      <x:c r="Q369" s="17" t="str">
        <x:v>Предложено</x:v>
      </x:c>
      <x:c r="R369" s="17" t="str"/>
      <x:c r="S369" s="10" t="str"/>
      <x:c r="T369" s="10" t="str">
        <x:v>Резерв меняет выбор видео; снова проверить повод, аудиторию и все редакторские условия</x:v>
      </x:c>
      <x:c r="U369" s="9" t="str">
        <x:f>IF(D369="","Выбрать видео",IF(COUNTIFS($D$7:$D$371,D369)&gt;1,"Повтор","Без повтора"))</x:f>
        <x:v>Без повтора</x:v>
      </x:c>
    </x:row>
    <x:row r="370" ht="60" customHeight="1">
      <x:c r="A370" s="16" t="n">
        <x:v>46672</x:v>
      </x:c>
      <x:c r="B370" s="9" t="str">
        <x:v>Вт</x:v>
      </x:c>
      <x:c r="C370" s="10" t="str">
        <x:v>Образование</x:v>
      </x:c>
      <x:c r="D370" s="19" t="str">
        <x:v>fj-iyzZkj6c</x:v>
      </x:c>
      <x:c r="E370" s="10" t="str">
        <x:f>IF(D370="","",IF(COUNTIFS('Видео'!$A$7:$A$1508,D370)=1,INDEX('Видео'!$B$7:$B$1508,MATCH(D370,'Видео'!$A$7:$A$1508,0)),"ID не найден"))</x:f>
        <x:v>איך לגרום לנר לבעור מתחת למים?</x:v>
      </x:c>
      <x:c r="F370" s="9" t="str">
        <x:f>IF(D370="","",IF(COUNTIFS('Видео'!$A$7:$A$1508,D370)=1,INDEX('Видео'!$R$7:$R$1508,MATCH(D370,'Видео'!$A$7:$A$1508,0)),"ID не найден"))</x:f>
        <x:v>C090</x:v>
      </x:c>
      <x:c r="G370" s="9" t="str">
        <x:f>IF(D370="","",IF(COUNTIFS('Видео'!$A$7:$A$1508,D370)=1,INDEX('Видео'!$D$7:$D$1508,MATCH(D370,'Видео'!$A$7:$A$1508,0)),"ID не найден"))</x:f>
        <x:v>Образование</x:v>
      </x:c>
      <x:c r="H370" s="10" t="str">
        <x:f>IF(D370="","",IF(COUNTIFS('Видео'!$A$7:$A$1508,D370)=1,INDEX('Видео'!$F$7:$F$1508,MATCH(D370,'Видео'!$A$7:$A$1508,0)),"ID не найден"))</x:f>
        <x:v>B1–B2 (гипотеза)</x:v>
      </x:c>
      <x:c r="I370" s="18" t="n">
        <x:f>IF(D370="","",IF(COUNTIFS('Видео'!$A$7:$A$1508,D370)=1,INDEX('Видео'!$G$7:$G$1508,MATCH(D370,'Видео'!$A$7:$A$1508,0)),"ID не найден"))</x:f>
        <x:v>1.5</x:v>
      </x:c>
      <x:c r="J370" s="18" t="n">
        <x:v>5</x:v>
      </x:c>
      <x:c r="K370" s="10" t="str">
        <x:f>IF(D370="","",IF(COUNTIFS('Видео'!$A$7:$A$1508,D370)=1,INDEX('Видео'!$AI$7:$AI$1508,MATCH(D370,'Видео'!$A$7:$A$1508,0)),"ID не найден"))</x:f>
        <x:v>Нужна редактура</x:v>
      </x:c>
      <x:c r="L370" s="19" t="str">
        <x:v>A6txEf_Q-ak</x:v>
      </x:c>
      <x:c r="M370" s="10" t="str">
        <x:f>IF(L370="","",IF(COUNTIFS('Видео'!$A$7:$A$1508,L370)=1,INDEX('Видео'!$B$7:$B$1508,MATCH(L370,'Видео'!$A$7:$A$1508,0)),"ID не найден"))</x:f>
        <x:v>המרדף עונה 9 | פרק 13</x:v>
      </x:c>
      <x:c r="N370" s="10" t="str"/>
      <x:c r="O370" s="10" t="str">
        <x:f>IF(D370="","",IF(COUNTIFS('Видео'!$A$7:$A$1508,D370)=1,INDEX('Видео'!$M$7:$M$1508,MATCH(D370,'Видео'!$A$7:$A$1508,0)),"ID не найден"))</x:f>
        <x:v>Завершённый короткий просмотр около 2 мин. Просмотры в списке выше медианы выборки этого цикла в 1.85 раза. Научные сюжеты, отобранные издателем к Хануке, дают сезонный вход через демонстрацию и удивление.</x:v>
      </x:c>
      <x:c r="P370" s="11" t="str">
        <x:f>IF(D370="","",IF(COUNTIFS('Видео'!$A$7:$A$1508,D370)=1,INDEX('Видео'!$U$7:$U$1508,MATCH(D370,'Видео'!$A$7:$A$1508,0)),"ID не найден"))</x:f>
        <x:v>https://www.youtube.com/watch?v=fj-iyzZkj6c</x:v>
      </x:c>
      <x:c r="Q370" s="17" t="str">
        <x:v>Предложено</x:v>
      </x:c>
      <x:c r="R370" s="17" t="str"/>
      <x:c r="S370" s="10" t="str"/>
      <x:c r="T370" s="10" t="str">
        <x:v>Резерв меняет выбор видео; снова проверить повод, аудиторию и все редакторские условия</x:v>
      </x:c>
      <x:c r="U370" s="9" t="str">
        <x:f>IF(D370="","Выбрать видео",IF(COUNTIFS($D$7:$D$371,D370)&gt;1,"Повтор","Без повтора"))</x:f>
        <x:v>Без повтора</x:v>
      </x:c>
    </x:row>
    <x:row r="371" ht="60" customHeight="1">
      <x:c r="A371" s="16" t="n">
        <x:v>46673</x:v>
      </x:c>
      <x:c r="B371" s="9" t="str">
        <x:v>Ср</x:v>
      </x:c>
      <x:c r="C371" s="10" t="str">
        <x:v>Быт</x:v>
      </x:c>
      <x:c r="D371" s="19" t="str">
        <x:v>ZXzI7sylxRc</x:v>
      </x:c>
      <x:c r="E371" s="10" t="str">
        <x:f>IF(D371="","",IF(COUNTIFS('Видео'!$A$7:$A$1508,D371)=1,INDEX('Видео'!$B$7:$B$1508,MATCH(D371,'Видео'!$A$7:$A$1508,0)),"ID не найден"))</x:f>
        <x:v>אבי פרץ שר את ''כשתגדל'' - מתוך ליגה ג' ⚽</x:v>
      </x:c>
      <x:c r="F371" s="9" t="str">
        <x:f>IF(D371="","",IF(COUNTIFS('Видео'!$A$7:$A$1508,D371)=1,INDEX('Видео'!$R$7:$R$1508,MATCH(D371,'Видео'!$A$7:$A$1508,0)),"ID не найден"))</x:f>
        <x:v>C039</x:v>
      </x:c>
      <x:c r="G371" s="9" t="str">
        <x:f>IF(D371="","",IF(COUNTIFS('Видео'!$A$7:$A$1508,D371)=1,INDEX('Видео'!$D$7:$D$1508,MATCH(D371,'Видео'!$A$7:$A$1508,0)),"ID не найден"))</x:f>
        <x:v>Быт</x:v>
      </x:c>
      <x:c r="H371" s="10" t="str">
        <x:f>IF(D371="","",IF(COUNTIFS('Видео'!$A$7:$A$1508,D371)=1,INDEX('Видео'!$F$7:$F$1508,MATCH(D371,'Видео'!$A$7:$A$1508,0)),"ID не найден"))</x:f>
        <x:v>B2–C1 (гипотеза)</x:v>
      </x:c>
      <x:c r="I371" s="18" t="n">
        <x:f>IF(D371="","",IF(COUNTIFS('Видео'!$A$7:$A$1508,D371)=1,INDEX('Видео'!$G$7:$G$1508,MATCH(D371,'Видео'!$A$7:$A$1508,0)),"ID не найден"))</x:f>
        <x:v>2.4</x:v>
      </x:c>
      <x:c r="J371" s="18" t="n">
        <x:v>5</x:v>
      </x:c>
      <x:c r="K371" s="10" t="str">
        <x:f>IF(D371="","",IF(COUNTIFS('Видео'!$A$7:$A$1508,D371)=1,INDEX('Видео'!$AI$7:$AI$1508,MATCH(D371,'Видео'!$A$7:$A$1508,0)),"ID не найден"))</x:f>
        <x:v>Нужна редактура</x:v>
      </x:c>
      <x:c r="L371" s="19" t="str">
        <x:v>gkZJegNbN1s</x:v>
      </x:c>
      <x:c r="M371" s="10" t="str">
        <x:f>IF(L371="","",IF(COUNTIFS('Видео'!$A$7:$A$1508,L371)=1,INDEX('Видео'!$B$7:$B$1508,MATCH(L371,'Видео'!$A$7:$A$1508,0)),"ID не найден"))</x:f>
        <x:v>בואו לאכול איתי עונה 8 | ירושלים - חלק ה' (פרק 10)</x:v>
      </x:c>
      <x:c r="N371" s="10" t="str"/>
      <x:c r="O371" s="10" t="str">
        <x:f>IF(D371="","",IF(COUNTIFS('Видео'!$A$7:$A$1508,D371)=1,INDEX('Видео'!$M$7:$M$1508,MATCH(D371,'Видео'!$A$7:$A$1508,0)),"ID не найден"))</x:f>
        <x:v>Завершённый короткий просмотр около 2 мин. Просмотры ниже медианы цикла; выбирать за нишевую ценность, а не за массовый охват. Любительский футбол показывает местные сообщества вне привычного образа Тель-Авива.</x:v>
      </x:c>
      <x:c r="P371" s="11" t="str">
        <x:f>IF(D371="","",IF(COUNTIFS('Видео'!$A$7:$A$1508,D371)=1,INDEX('Видео'!$U$7:$U$1508,MATCH(D371,'Видео'!$A$7:$A$1508,0)),"ID не найден"))</x:f>
        <x:v>https://www.youtube.com/watch?v=ZXzI7sylxRc</x:v>
      </x:c>
      <x:c r="Q371" s="17" t="str">
        <x:v>Предложено</x:v>
      </x:c>
      <x:c r="R371" s="17" t="str"/>
      <x:c r="S371" s="10" t="str"/>
      <x:c r="T371" s="10" t="str">
        <x:v>Резерв меняет выбор видео; снова проверить повод, аудиторию и все редакторские условия</x:v>
      </x:c>
      <x:c r="U371" s="9" t="str">
        <x:f>IF(D371="","Выбрать видео",IF(COUNTIFS($D$7:$D$371,D371)&gt;1,"Повтор","Без повтора"))</x:f>
        <x:v>Без повтора</x:v>
      </x:c>
    </x:row>
  </x:sheetData>
  <x:conditionalFormatting sqref="U7:U371">
    <x:cfRule type="expression" dxfId="3" priority="1">
      <x:formula>U7="Повтор"</x:formula>
    </x:cfRule>
  </x:conditionalFormatting>
  <x:conditionalFormatting sqref="K7:K371">
    <x:cfRule type="expression" dxfId="4" priority="2">
      <x:formula>K7="Готово"</x:formula>
    </x:cfRule>
  </x:conditionalFormatting>
  <x:dataValidations count="3">
    <x:dataValidation type="list" sqref="D7:D371">
      <x:formula1>INDIRECT("'Видео'!$A$7:$A$1508")</x:formula1>
    </x:dataValidation>
    <x:dataValidation type="list" sqref="L7:L371">
      <x:formula1>INDIRECT("'Видео'!$A$7:$A$1508")</x:formula1>
    </x:dataValidation>
    <x:dataValidation type="list" sqref="Q7:Q371">
      <x:formula1>"Предложено,Подготовка,Запланировано,Опубликовано,Отменено"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fa948e9b644a2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55" hidden="0" customWidth="1"/>
    <x:col min="3" max="3" width="28" hidden="0" customWidth="1"/>
    <x:col min="4" max="4" width="80" hidden="0" customWidth="1"/>
    <x:col min="5" max="5" width="18" hidden="0" customWidth="1"/>
    <x:col min="6" max="6" width="25" hidden="0" customWidth="1"/>
    <x:col min="7" max="7" width="17" hidden="0" customWidth="1"/>
    <x:col min="8" max="8" width="20" hidden="0" customWidth="1"/>
    <x:col min="9" max="9" width="27" hidden="0" customWidth="1"/>
    <x:col min="10" max="10" width="50" hidden="0" customWidth="1"/>
    <x:col min="11" max="11" width="16" hidden="0" customWidth="1"/>
    <x:col min="12" max="12" width="17" hidden="0" customWidth="1"/>
  </x:cols>
  <x:sheetData>
    <x:row r="2">
      <x:c r="A2" s="2" t="str">
        <x:v>Стартовые выпуски и сильные кандидаты каждого цикла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4" customHeight="1">
      <x:c r="A6" s="8" t="str">
        <x:v>YouTube ID</x:v>
      </x:c>
      <x:c r="B6" s="8" t="str">
        <x:v>Название оригинала</x:v>
      </x:c>
      <x:c r="C6" s="8" t="str">
        <x:v>Тема</x:v>
      </x:c>
      <x:c r="D6" s="8" t="str">
        <x:v>Почему выбрать — гипотеза</x:v>
      </x:c>
      <x:c r="E6" s="8" t="str">
        <x:v>Формат</x:v>
      </x:c>
      <x:c r="F6" s="8" t="str">
        <x:v>Уровень — гипотеза</x:v>
      </x:c>
      <x:c r="G6" s="8" t="str">
        <x:v>Просмотры</x:v>
      </x:c>
      <x:c r="H6" s="8" t="str">
        <x:v>× медианы цикла</x:v>
      </x:c>
      <x:c r="I6" s="8" t="str">
        <x:v>Готовность</x:v>
      </x:c>
      <x:c r="J6" s="8" t="str">
        <x:v>Ссылка на видео</x:v>
      </x:c>
      <x:c r="K6" s="8" t="str">
        <x:v>Подборка ID</x:v>
      </x:c>
      <x:c r="L6" s="8" t="str">
        <x:v>В плане года?</x:v>
      </x:c>
    </x:row>
    <x:row r="7" ht="60" customHeight="1">
      <x:c r="A7" s="9" t="str">
        <x:v>1czhcHL-YwA</x:v>
      </x:c>
      <x:c r="B7" s="10" t="str">
        <x:f>IF(A7="","",IF(COUNTIFS('Видео'!$A$7:$A$1508,A7)=1,INDEX('Видео'!$B$7:$B$1508,MATCH(A7,'Видео'!$A$7:$A$1508,0)),"ID не найден"))</x:f>
        <x:v>קופה ראשית עונה 4🛒 | פרק 1 - ריקוד מושחת</x:v>
      </x:c>
      <x:c r="C7" s="10" t="str">
        <x:f>IF(A7="","",IF(COUNTIFS('Видео'!$A$7:$A$1508,A7)=1,INDEX('Видео'!$C$7:$C$1508,MATCH(A7,'Видео'!$A$7:$A$1508,0)),"ID не найден"))</x:f>
        <x:v>Повседневность и юмор</x:v>
      </x:c>
      <x:c r="D7" s="10" t="str">
        <x:f>IF(A7="","",IF(COUNTIFS('Видео'!$A$7:$A$1508,A7)=1,INDEX('Видео'!$M$7:$M$1508,MATCH(A7,'Видео'!$A$7:$A$1508,0)),"ID не найден"))</x:f>
        <x:v>Эпизод 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E7" s="9" t="str">
        <x:f>IF(A7="","",IF(COUNTIFS('Видео'!$A$7:$A$1508,A7)=1,INDEX('Видео'!$D$7:$D$1508,MATCH(A7,'Видео'!$A$7:$A$1508,0)),"ID не найден"))</x:f>
        <x:v>Сериал</x:v>
      </x:c>
      <x:c r="F7" s="10" t="str">
        <x:f>IF(A7="","",IF(COUNTIFS('Видео'!$A$7:$A$1508,A7)=1,INDEX('Видео'!$F$7:$F$1508,MATCH(A7,'Видео'!$A$7:$A$1508,0)),"ID не найден"))</x:f>
        <x:v>B1–B2 (гипотеза)</x:v>
      </x:c>
      <x:c r="G7" s="14" t="n">
        <x:f>IF(A7="","",IF(COUNTIFS('Видео'!$A$7:$A$1508,A7)=1,INDEX('Видео'!$H$7:$H$1508,MATCH(A7,'Видео'!$A$7:$A$1508,0)),"ID не найден"))</x:f>
        <x:v>5901562</x:v>
      </x:c>
      <x:c r="H7" s="18" t="n">
        <x:f>IF(A7="","",IF(COUNTIFS('Видео'!$A$7:$A$1508,A7)=1,INDEX('Видео'!$L$7:$L$1508,MATCH(A7,'Видео'!$A$7:$A$1508,0)),"ID не найден"))</x:f>
        <x:v>0.9076923076923077</x:v>
      </x:c>
      <x:c r="I7" s="10" t="str">
        <x:f>IF(A7="","",IF(COUNTIFS('Видео'!$A$7:$A$1508,A7)=1,INDEX('Видео'!$AI$7:$AI$1508,MATCH(A7,'Видео'!$A$7:$A$1508,0)),"ID не найден"))</x:f>
        <x:v>Нужна редактура</x:v>
      </x:c>
      <x:c r="J7" s="11" t="str">
        <x:f>IF(A7="","",IF(COUNTIFS('Видео'!$A$7:$A$1508,A7)=1,INDEX('Видео'!$U$7:$U$1508,MATCH(A7,'Видео'!$A$7:$A$1508,0)),"ID не найден"))</x:f>
        <x:v>https://www.youtube.com/watch?v=1czhcHL-YwA</x:v>
      </x:c>
      <x:c r="K7" s="9" t="str">
        <x:v>C002</x:v>
      </x:c>
      <x:c r="L7" s="9" t="str">
        <x:v>Да</x:v>
      </x:c>
    </x:row>
    <x:row r="8" ht="60" customHeight="1">
      <x:c r="A8" s="9" t="str">
        <x:v>EaMcZYTxaDU</x:v>
      </x:c>
      <x:c r="B8" s="10" t="str">
        <x:f>IF(A8="","",IF(COUNTIFS('Видео'!$A$7:$A$1508,A8)=1,INDEX('Видео'!$B$7:$B$1508,MATCH(A8,'Видео'!$A$7:$A$1508,0)),"ID не найден"))</x:f>
        <x:v>קופה ראשית עונה 4🛒 | פרק 2 - הג'ל של ראמזי</x:v>
      </x:c>
      <x:c r="C8" s="10" t="str">
        <x:f>IF(A8="","",IF(COUNTIFS('Видео'!$A$7:$A$1508,A8)=1,INDEX('Видео'!$C$7:$C$1508,MATCH(A8,'Видео'!$A$7:$A$1508,0)),"ID не найден"))</x:f>
        <x:v>Повседневность и юмор</x:v>
      </x:c>
      <x:c r="D8" s="10" t="str">
        <x:f>IF(A8="","",IF(COUNTIFS('Видео'!$A$7:$A$1508,A8)=1,INDEX('Видео'!$M$7:$M$1508,MATCH(A8,'Видео'!$A$7:$A$1508,0)),"ID не найден"))</x:f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E8" s="9" t="str">
        <x:f>IF(A8="","",IF(COUNTIFS('Видео'!$A$7:$A$1508,A8)=1,INDEX('Видео'!$D$7:$D$1508,MATCH(A8,'Видео'!$A$7:$A$1508,0)),"ID не найден"))</x:f>
        <x:v>Сериал</x:v>
      </x:c>
      <x:c r="F8" s="10" t="str">
        <x:f>IF(A8="","",IF(COUNTIFS('Видео'!$A$7:$A$1508,A8)=1,INDEX('Видео'!$F$7:$F$1508,MATCH(A8,'Видео'!$A$7:$A$1508,0)),"ID не найден"))</x:f>
        <x:v>B1–B2 (гипотеза)</x:v>
      </x:c>
      <x:c r="G8" s="14" t="n">
        <x:f>IF(A8="","",IF(COUNTIFS('Видео'!$A$7:$A$1508,A8)=1,INDEX('Видео'!$H$7:$H$1508,MATCH(A8,'Видео'!$A$7:$A$1508,0)),"ID не найден"))</x:f>
        <x:v>6960907</x:v>
      </x:c>
      <x:c r="H8" s="18" t="n">
        <x:f>IF(A8="","",IF(COUNTIFS('Видео'!$A$7:$A$1508,A8)=1,INDEX('Видео'!$L$7:$L$1508,MATCH(A8,'Видео'!$A$7:$A$1508,0)),"ID не найден"))</x:f>
        <x:v>1.0615384615384615</x:v>
      </x:c>
      <x:c r="I8" s="10" t="str">
        <x:f>IF(A8="","",IF(COUNTIFS('Видео'!$A$7:$A$1508,A8)=1,INDEX('Видео'!$AI$7:$AI$1508,MATCH(A8,'Видео'!$A$7:$A$1508,0)),"ID не найден"))</x:f>
        <x:v>Нужна редактура</x:v>
      </x:c>
      <x:c r="J8" s="11" t="str">
        <x:f>IF(A8="","",IF(COUNTIFS('Видео'!$A$7:$A$1508,A8)=1,INDEX('Видео'!$U$7:$U$1508,MATCH(A8,'Видео'!$A$7:$A$1508,0)),"ID не найден"))</x:f>
        <x:v>https://www.youtube.com/watch?v=EaMcZYTxaDU</x:v>
      </x:c>
      <x:c r="K8" s="9" t="str">
        <x:v>C002</x:v>
      </x:c>
      <x:c r="L8" s="9" t="str">
        <x:v>Да</x:v>
      </x:c>
    </x:row>
    <x:row r="9" ht="60" customHeight="1">
      <x:c r="A9" s="9" t="str">
        <x:v>vPHTo9NsnNI</x:v>
      </x:c>
      <x:c r="B9" s="10" t="str">
        <x:f>IF(A9="","",IF(COUNTIFS('Видео'!$A$7:$A$1508,A9)=1,INDEX('Видео'!$B$7:$B$1508,MATCH(A9,'Видео'!$A$7:$A$1508,0)),"ID не найден"))</x:f>
        <x:v>קופה ראשית עונה 3🛒 | בקבוק בלי פקק - פרק 1</x:v>
      </x:c>
      <x:c r="C9" s="10" t="str">
        <x:f>IF(A9="","",IF(COUNTIFS('Видео'!$A$7:$A$1508,A9)=1,INDEX('Видео'!$C$7:$C$1508,MATCH(A9,'Видео'!$A$7:$A$1508,0)),"ID не найден"))</x:f>
        <x:v>Повседневность и юмор</x:v>
      </x:c>
      <x:c r="D9" s="10" t="str">
        <x:f>IF(A9="","",IF(COUNTIFS('Видео'!$A$7:$A$1508,A9)=1,INDEX('Видео'!$M$7:$M$1508,MATCH(A9,'Видео'!$A$7:$A$1508,0)),"ID не найден"))</x:f>
        <x:v>Эпизод 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E9" s="9" t="str">
        <x:f>IF(A9="","",IF(COUNTIFS('Видео'!$A$7:$A$1508,A9)=1,INDEX('Видео'!$D$7:$D$1508,MATCH(A9,'Видео'!$A$7:$A$1508,0)),"ID не найден"))</x:f>
        <x:v>Сериал</x:v>
      </x:c>
      <x:c r="F9" s="10" t="str">
        <x:f>IF(A9="","",IF(COUNTIFS('Видео'!$A$7:$A$1508,A9)=1,INDEX('Видео'!$F$7:$F$1508,MATCH(A9,'Видео'!$A$7:$A$1508,0)),"ID не найден"))</x:f>
        <x:v>B1–B2 (гипотеза)</x:v>
      </x:c>
      <x:c r="G9" s="14" t="n">
        <x:f>IF(A9="","",IF(COUNTIFS('Видео'!$A$7:$A$1508,A9)=1,INDEX('Видео'!$H$7:$H$1508,MATCH(A9,'Видео'!$A$7:$A$1508,0)),"ID не найден"))</x:f>
        <x:v>10890069</x:v>
      </x:c>
      <x:c r="H9" s="18" t="n">
        <x:f>IF(A9="","",IF(COUNTIFS('Видео'!$A$7:$A$1508,A9)=1,INDEX('Видео'!$L$7:$L$1508,MATCH(A9,'Видео'!$A$7:$A$1508,0)),"ID не найден"))</x:f>
        <x:v>1.3157894736842106</x:v>
      </x:c>
      <x:c r="I9" s="10" t="str">
        <x:f>IF(A9="","",IF(COUNTIFS('Видео'!$A$7:$A$1508,A9)=1,INDEX('Видео'!$AI$7:$AI$1508,MATCH(A9,'Видео'!$A$7:$A$1508,0)),"ID не найден"))</x:f>
        <x:v>Нужна редактура</x:v>
      </x:c>
      <x:c r="J9" s="11" t="str">
        <x:f>IF(A9="","",IF(COUNTIFS('Видео'!$A$7:$A$1508,A9)=1,INDEX('Видео'!$U$7:$U$1508,MATCH(A9,'Видео'!$A$7:$A$1508,0)),"ID не найден"))</x:f>
        <x:v>https://www.youtube.com/watch?v=vPHTo9NsnNI</x:v>
      </x:c>
      <x:c r="K9" s="9" t="str">
        <x:v>C003</x:v>
      </x:c>
      <x:c r="L9" s="9" t="str">
        <x:v>Да</x:v>
      </x:c>
    </x:row>
    <x:row r="10" ht="60" customHeight="1">
      <x:c r="A10" s="9" t="str">
        <x:v>Er030BPnVl0</x:v>
      </x:c>
      <x:c r="B10" s="10" t="str">
        <x:f>IF(A10="","",IF(COUNTIFS('Видео'!$A$7:$A$1508,A10)=1,INDEX('Видео'!$B$7:$B$1508,MATCH(A10,'Видео'!$A$7:$A$1508,0)),"ID не найден"))</x:f>
        <x:v>קופה ראשית עונה 3🛒 | קוקו וקוקו - פרק 2</x:v>
      </x:c>
      <x:c r="C10" s="10" t="str">
        <x:f>IF(A10="","",IF(COUNTIFS('Видео'!$A$7:$A$1508,A10)=1,INDEX('Видео'!$C$7:$C$1508,MATCH(A10,'Видео'!$A$7:$A$1508,0)),"ID не найден"))</x:f>
        <x:v>Повседневность и юмор</x:v>
      </x:c>
      <x:c r="D10" s="10" t="str">
        <x:f>IF(A10="","",IF(COUNTIFS('Видео'!$A$7:$A$1508,A10)=1,INDEX('Видео'!$M$7:$M$1508,MATCH(A10,'Видео'!$A$7:$A$1508,0)),"ID не найден"))</x:f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E10" s="9" t="str">
        <x:f>IF(A10="","",IF(COUNTIFS('Видео'!$A$7:$A$1508,A10)=1,INDEX('Видео'!$D$7:$D$1508,MATCH(A10,'Видео'!$A$7:$A$1508,0)),"ID не найден"))</x:f>
        <x:v>Сериал</x:v>
      </x:c>
      <x:c r="F10" s="10" t="str">
        <x:f>IF(A10="","",IF(COUNTIFS('Видео'!$A$7:$A$1508,A10)=1,INDEX('Видео'!$F$7:$F$1508,MATCH(A10,'Видео'!$A$7:$A$1508,0)),"ID не найден"))</x:f>
        <x:v>B1–B2 (гипотеза)</x:v>
      </x:c>
      <x:c r="G10" s="14" t="n">
        <x:f>IF(A10="","",IF(COUNTIFS('Видео'!$A$7:$A$1508,A10)=1,INDEX('Видео'!$H$7:$H$1508,MATCH(A10,'Видео'!$A$7:$A$1508,0)),"ID не найден"))</x:f>
        <x:v>7048778</x:v>
      </x:c>
      <x:c r="H10" s="18" t="n">
        <x:f>IF(A10="","",IF(COUNTIFS('Видео'!$A$7:$A$1508,A10)=1,INDEX('Видео'!$L$7:$L$1508,MATCH(A10,'Видео'!$A$7:$A$1508,0)),"ID не найден"))</x:f>
        <x:v>0.9210526315789473</x:v>
      </x:c>
      <x:c r="I10" s="10" t="str">
        <x:f>IF(A10="","",IF(COUNTIFS('Видео'!$A$7:$A$1508,A10)=1,INDEX('Видео'!$AI$7:$AI$1508,MATCH(A10,'Видео'!$A$7:$A$1508,0)),"ID не найден"))</x:f>
        <x:v>Нужна редактура</x:v>
      </x:c>
      <x:c r="J10" s="11" t="str">
        <x:f>IF(A10="","",IF(COUNTIFS('Видео'!$A$7:$A$1508,A10)=1,INDEX('Видео'!$U$7:$U$1508,MATCH(A10,'Видео'!$A$7:$A$1508,0)),"ID не найден"))</x:f>
        <x:v>https://www.youtube.com/watch?v=Er030BPnVl0</x:v>
      </x:c>
      <x:c r="K10" s="9" t="str">
        <x:v>C003</x:v>
      </x:c>
      <x:c r="L10" s="9" t="str">
        <x:v>Да</x:v>
      </x:c>
    </x:row>
    <x:row r="11" ht="60" customHeight="1">
      <x:c r="A11" s="9" t="str">
        <x:v>fSiYNiCuZiA</x:v>
      </x:c>
      <x:c r="B11" s="10" t="str">
        <x:f>IF(A11="","",IF(COUNTIFS('Видео'!$A$7:$A$1508,A11)=1,INDEX('Видео'!$B$7:$B$1508,MATCH(A11,'Видео'!$A$7:$A$1508,0)),"ID не найден"))</x:f>
        <x:v>המפקדת 📋 | פרק 1 - עיניים אליי! 🔥</x:v>
      </x:c>
      <x:c r="C11" s="10" t="str">
        <x:f>IF(A11="","",IF(COUNTIFS('Видео'!$A$7:$A$1508,A11)=1,INDEX('Видео'!$C$7:$C$1508,MATCH(A11,'Видео'!$A$7:$A$1508,0)),"ID не найден"))</x:f>
        <x:v>Общество и армия</x:v>
      </x:c>
      <x:c r="D11" s="10" t="str">
        <x:f>IF(A11="","",IF(COUNTIFS('Видео'!$A$7:$A$1508,A11)=1,INDEX('Видео'!$M$7:$M$1508,MATCH(A11,'Видео'!$A$7:$A$1508,0)),"ID не найден"))</x:f>
        <x:v>Эпизод 1 в знакомой сюжетной ветке. Просмотры в списке выше медианы выборки этого цикла в 1.61 раза. Армейская повседневность объясняет важный пласт израильских шуток и разговоров. Серийный сюжет поддерживает длительный просмотр.</x:v>
      </x:c>
      <x:c r="E11" s="9" t="str">
        <x:f>IF(A11="","",IF(COUNTIFS('Видео'!$A$7:$A$1508,A11)=1,INDEX('Видео'!$D$7:$D$1508,MATCH(A11,'Видео'!$A$7:$A$1508,0)),"ID не найден"))</x:f>
        <x:v>Сериал</x:v>
      </x:c>
      <x:c r="F11" s="10" t="str">
        <x:f>IF(A11="","",IF(COUNTIFS('Видео'!$A$7:$A$1508,A11)=1,INDEX('Видео'!$F$7:$F$1508,MATCH(A11,'Видео'!$A$7:$A$1508,0)),"ID не найден"))</x:f>
        <x:v>B2–C1 (гипотеза)</x:v>
      </x:c>
      <x:c r="G11" s="14" t="n">
        <x:f>IF(A11="","",IF(COUNTIFS('Видео'!$A$7:$A$1508,A11)=1,INDEX('Видео'!$H$7:$H$1508,MATCH(A11,'Видео'!$A$7:$A$1508,0)),"ID не найден"))</x:f>
        <x:v>1556731</x:v>
      </x:c>
      <x:c r="H11" s="18" t="n">
        <x:f>IF(A11="","",IF(COUNTIFS('Видео'!$A$7:$A$1508,A11)=1,INDEX('Видео'!$L$7:$L$1508,MATCH(A11,'Видео'!$A$7:$A$1508,0)),"ID не найден"))</x:f>
        <x:v>1.6137708445400754</x:v>
      </x:c>
      <x:c r="I11" s="10" t="str">
        <x:f>IF(A11="","",IF(COUNTIFS('Видео'!$A$7:$A$1508,A11)=1,INDEX('Видео'!$AI$7:$AI$1508,MATCH(A11,'Видео'!$A$7:$A$1508,0)),"ID не найден"))</x:f>
        <x:v>Нужна редактура</x:v>
      </x:c>
      <x:c r="J11" s="11" t="str">
        <x:f>IF(A11="","",IF(COUNTIFS('Видео'!$A$7:$A$1508,A11)=1,INDEX('Видео'!$U$7:$U$1508,MATCH(A11,'Видео'!$A$7:$A$1508,0)),"ID не найден"))</x:f>
        <x:v>https://www.youtube.com/watch?v=fSiYNiCuZiA</x:v>
      </x:c>
      <x:c r="K11" s="9" t="str">
        <x:v>C005</x:v>
      </x:c>
      <x:c r="L11" s="9" t="str">
        <x:v>Да</x:v>
      </x:c>
    </x:row>
    <x:row r="12" ht="60" customHeight="1">
      <x:c r="A12" s="9" t="str">
        <x:v>tZeQOxa2Em8</x:v>
      </x:c>
      <x:c r="B12" s="10" t="str">
        <x:f>IF(A12="","",IF(COUNTIFS('Видео'!$A$7:$A$1508,A12)=1,INDEX('Видео'!$B$7:$B$1508,MATCH(A12,'Видео'!$A$7:$A$1508,0)),"ID не найден"))</x:f>
        <x:v>המפקדת 📋 | פרק 2 - מה שלא הורג 🔥</x:v>
      </x:c>
      <x:c r="C12" s="10" t="str">
        <x:f>IF(A12="","",IF(COUNTIFS('Видео'!$A$7:$A$1508,A12)=1,INDEX('Видео'!$C$7:$C$1508,MATCH(A12,'Видео'!$A$7:$A$1508,0)),"ID не найден"))</x:f>
        <x:v>Общество и армия</x:v>
      </x:c>
      <x:c r="D12" s="10" t="str">
        <x:f>IF(A12="","",IF(COUNTIFS('Видео'!$A$7:$A$1508,A12)=1,INDEX('Видео'!$M$7:$M$1508,MATCH(A12,'Видео'!$A$7:$A$1508,0)),"ID не найден"))</x:f>
        <x:v>Эпизод 2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E12" s="9" t="str">
        <x:f>IF(A12="","",IF(COUNTIFS('Видео'!$A$7:$A$1508,A12)=1,INDEX('Видео'!$D$7:$D$1508,MATCH(A12,'Видео'!$A$7:$A$1508,0)),"ID не найден"))</x:f>
        <x:v>Сериал</x:v>
      </x:c>
      <x:c r="F12" s="10" t="str">
        <x:f>IF(A12="","",IF(COUNTIFS('Видео'!$A$7:$A$1508,A12)=1,INDEX('Видео'!$F$7:$F$1508,MATCH(A12,'Видео'!$A$7:$A$1508,0)),"ID не найден"))</x:f>
        <x:v>B2–C1 (гипотеза)</x:v>
      </x:c>
      <x:c r="G12" s="14" t="n">
        <x:f>IF(A12="","",IF(COUNTIFS('Видео'!$A$7:$A$1508,A12)=1,INDEX('Видео'!$H$7:$H$1508,MATCH(A12,'Видео'!$A$7:$A$1508,0)),"ID не найден"))</x:f>
        <x:v>1025884</x:v>
      </x:c>
      <x:c r="H12" s="18" t="n">
        <x:f>IF(A12="","",IF(COUNTIFS('Видео'!$A$7:$A$1508,A12)=1,INDEX('Видео'!$L$7:$L$1508,MATCH(A12,'Видео'!$A$7:$A$1508,0)),"ID не найден"))</x:f>
        <x:v>1.0758472296933836</x:v>
      </x:c>
      <x:c r="I12" s="10" t="str">
        <x:f>IF(A12="","",IF(COUNTIFS('Видео'!$A$7:$A$1508,A12)=1,INDEX('Видео'!$AI$7:$AI$1508,MATCH(A12,'Видео'!$A$7:$A$1508,0)),"ID не найден"))</x:f>
        <x:v>Нужна редактура</x:v>
      </x:c>
      <x:c r="J12" s="11" t="str">
        <x:f>IF(A12="","",IF(COUNTIFS('Видео'!$A$7:$A$1508,A12)=1,INDEX('Видео'!$U$7:$U$1508,MATCH(A12,'Видео'!$A$7:$A$1508,0)),"ID не найден"))</x:f>
        <x:v>https://www.youtube.com/watch?v=tZeQOxa2Em8</x:v>
      </x:c>
      <x:c r="K12" s="9" t="str">
        <x:v>C005</x:v>
      </x:c>
      <x:c r="L12" s="9" t="str">
        <x:v>Да</x:v>
      </x:c>
    </x:row>
    <x:row r="13" ht="60" customHeight="1">
      <x:c r="A13" s="9" t="str">
        <x:v>-F018872c_s</x:v>
      </x:c>
      <x:c r="B13" s="10" t="str">
        <x:f>IF(A13="","",IF(COUNTIFS('Видео'!$A$7:$A$1508,A13)=1,INDEX('Видео'!$B$7:$B$1508,MATCH(A13,'Видео'!$A$7:$A$1508,0)),"ID не найден"))</x:f>
        <x:v>חזרות - קומדיה (לא) רומנטית 🎭 | פרק 1</x:v>
      </x:c>
      <x:c r="C13" s="10" t="str">
        <x:f>IF(A13="","",IF(COUNTIFS('Видео'!$A$7:$A$1508,A13)=1,INDEX('Видео'!$C$7:$C$1508,MATCH(A13,'Видео'!$A$7:$A$1508,0)),"ID не найден"))</x:f>
        <x:v>Культура и отношения</x:v>
      </x:c>
      <x:c r="D13" s="10" t="str">
        <x:f>IF(A13="","",IF(COUNTIFS('Видео'!$A$7:$A$1508,A13)=1,INDEX('Видео'!$M$7:$M$1508,MATCH(A13,'Видео'!$A$7:$A$1508,0)),"ID не найден"))</x:f>
        <x:v>Эпизод 1 в знакомой сюжетной ветке. Просмотры в списке выше медианы выборки этого цикла в 1.54 раза. Современная комедия о театре расширяет каталог за пределы армии и политики. Диалоги подходят для темы работы и личных отношений.</x:v>
      </x:c>
      <x:c r="E13" s="9" t="str">
        <x:f>IF(A13="","",IF(COUNTIFS('Видео'!$A$7:$A$1508,A13)=1,INDEX('Видео'!$D$7:$D$1508,MATCH(A13,'Видео'!$A$7:$A$1508,0)),"ID не найден"))</x:f>
        <x:v>Сериал</x:v>
      </x:c>
      <x:c r="F13" s="10" t="str">
        <x:f>IF(A13="","",IF(COUNTIFS('Видео'!$A$7:$A$1508,A13)=1,INDEX('Видео'!$F$7:$F$1508,MATCH(A13,'Видео'!$A$7:$A$1508,0)),"ID не найден"))</x:f>
        <x:v>B2–C1 (гипотеза)</x:v>
      </x:c>
      <x:c r="G13" s="14" t="n">
        <x:f>IF(A13="","",IF(COUNTIFS('Видео'!$A$7:$A$1508,A13)=1,INDEX('Видео'!$H$7:$H$1508,MATCH(A13,'Видео'!$A$7:$A$1508,0)),"ID не найден"))</x:f>
        <x:v>723509</x:v>
      </x:c>
      <x:c r="H13" s="18" t="n">
        <x:f>IF(A13="","",IF(COUNTIFS('Видео'!$A$7:$A$1508,A13)=1,INDEX('Видео'!$L$7:$L$1508,MATCH(A13,'Видео'!$A$7:$A$1508,0)),"ID не найден"))</x:f>
        <x:v>1.5399361022364217</x:v>
      </x:c>
      <x:c r="I13" s="10" t="str">
        <x:f>IF(A13="","",IF(COUNTIFS('Видео'!$A$7:$A$1508,A13)=1,INDEX('Видео'!$AI$7:$AI$1508,MATCH(A13,'Видео'!$A$7:$A$1508,0)),"ID не найден"))</x:f>
        <x:v>Нужна редактура</x:v>
      </x:c>
      <x:c r="J13" s="11" t="str">
        <x:f>IF(A13="","",IF(COUNTIFS('Видео'!$A$7:$A$1508,A13)=1,INDEX('Видео'!$U$7:$U$1508,MATCH(A13,'Видео'!$A$7:$A$1508,0)),"ID не найден"))</x:f>
        <x:v>https://www.youtube.com/watch?v=-F018872c_s</x:v>
      </x:c>
      <x:c r="K13" s="9" t="str">
        <x:v>C007</x:v>
      </x:c>
      <x:c r="L13" s="9" t="str">
        <x:v>Да</x:v>
      </x:c>
    </x:row>
    <x:row r="14" ht="60" customHeight="1">
      <x:c r="A14" s="9" t="str">
        <x:v>QK2pWvDmN54</x:v>
      </x:c>
      <x:c r="B14" s="10" t="str">
        <x:f>IF(A14="","",IF(COUNTIFS('Видео'!$A$7:$A$1508,A14)=1,INDEX('Видео'!$B$7:$B$1508,MATCH(A14,'Видео'!$A$7:$A$1508,0)),"ID не найден"))</x:f>
        <x:v>חזרות - קומדיה (לא) רומנטית 🎭 | פרק 2</x:v>
      </x:c>
      <x:c r="C14" s="10" t="str">
        <x:f>IF(A14="","",IF(COUNTIFS('Видео'!$A$7:$A$1508,A14)=1,INDEX('Видео'!$C$7:$C$1508,MATCH(A14,'Видео'!$A$7:$A$1508,0)),"ID не найден"))</x:f>
        <x:v>Культура и отношения</x:v>
      </x:c>
      <x:c r="D14" s="10" t="str">
        <x:f>IF(A14="","",IF(COUNTIFS('Видео'!$A$7:$A$1508,A14)=1,INDEX('Видео'!$M$7:$M$1508,MATCH(A14,'Видео'!$A$7:$A$1508,0)),"ID не найден"))</x:f>
        <x:v>Эпизод 2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E14" s="9" t="str">
        <x:f>IF(A14="","",IF(COUNTIFS('Видео'!$A$7:$A$1508,A14)=1,INDEX('Видео'!$D$7:$D$1508,MATCH(A14,'Видео'!$A$7:$A$1508,0)),"ID не найден"))</x:f>
        <x:v>Сериал</x:v>
      </x:c>
      <x:c r="F14" s="10" t="str">
        <x:f>IF(A14="","",IF(COUNTIFS('Видео'!$A$7:$A$1508,A14)=1,INDEX('Видео'!$F$7:$F$1508,MATCH(A14,'Видео'!$A$7:$A$1508,0)),"ID не найден"))</x:f>
        <x:v>B2–C1 (гипотеза)</x:v>
      </x:c>
      <x:c r="G14" s="14" t="n">
        <x:f>IF(A14="","",IF(COUNTIFS('Видео'!$A$7:$A$1508,A14)=1,INDEX('Видео'!$H$7:$H$1508,MATCH(A14,'Видео'!$A$7:$A$1508,0)),"ID не найден"))</x:f>
        <x:v>490764</x:v>
      </x:c>
      <x:c r="H14" s="18" t="n">
        <x:f>IF(A14="","",IF(COUNTIFS('Видео'!$A$7:$A$1508,A14)=1,INDEX('Видео'!$L$7:$L$1508,MATCH(A14,'Видео'!$A$7:$A$1508,0)),"ID не найден"))</x:f>
        <x:v>1.0436634717784878</x:v>
      </x:c>
      <x:c r="I14" s="10" t="str">
        <x:f>IF(A14="","",IF(COUNTIFS('Видео'!$A$7:$A$1508,A14)=1,INDEX('Видео'!$AI$7:$AI$1508,MATCH(A14,'Видео'!$A$7:$A$1508,0)),"ID не найден"))</x:f>
        <x:v>Нужна редактура</x:v>
      </x:c>
      <x:c r="J14" s="11" t="str">
        <x:f>IF(A14="","",IF(COUNTIFS('Видео'!$A$7:$A$1508,A14)=1,INDEX('Видео'!$U$7:$U$1508,MATCH(A14,'Видео'!$A$7:$A$1508,0)),"ID не найден"))</x:f>
        <x:v>https://www.youtube.com/watch?v=QK2pWvDmN54</x:v>
      </x:c>
      <x:c r="K14" s="9" t="str">
        <x:v>C007</x:v>
      </x:c>
      <x:c r="L14" s="9" t="str">
        <x:v>Да</x:v>
      </x:c>
    </x:row>
    <x:row r="15" ht="60" customHeight="1">
      <x:c r="A15" s="9" t="str">
        <x:v>Kd4GMjffP9k</x:v>
      </x:c>
      <x:c r="B15" s="10" t="str">
        <x:f>IF(A15="","",IF(COUNTIFS('Видео'!$A$7:$A$1508,A15)=1,INDEX('Видео'!$B$7:$B$1508,MATCH(A15,'Видео'!$A$7:$A$1508,0)),"ID не найден"))</x:f>
        <x:v>פגישה עם רוני קובן עונה 10 | נועה קולר</x:v>
      </x:c>
      <x:c r="C15" s="10" t="str">
        <x:f>IF(A15="","",IF(COUNTIFS('Видео'!$A$7:$A$1508,A15)=1,INDEX('Видео'!$C$7:$C$1508,MATCH(A15,'Видео'!$A$7:$A$1508,0)),"ID не найден"))</x:f>
        <x:v>Люди Израиля</x:v>
      </x:c>
      <x:c r="D15" s="10" t="str">
        <x:f>IF(A15="","",IF(COUNTIFS('Видео'!$A$7:$A$1508,A15)=1,INDEX('Видео'!$M$7:$M$1508,MATCH(A15,'Видео'!$A$7:$A$1508,0)),"ID не найден"))</x:f>
        <x:v>Тема / гость: נועה קולר. Просмотры в списке выше медианы выборки этого цикла в 2.02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15" s="9" t="str">
        <x:f>IF(A15="","",IF(COUNTIFS('Видео'!$A$7:$A$1508,A15)=1,INDEX('Видео'!$D$7:$D$1508,MATCH(A15,'Видео'!$A$7:$A$1508,0)),"ID не найден"))</x:f>
        <x:v>Интервью</x:v>
      </x:c>
      <x:c r="F15" s="10" t="str">
        <x:f>IF(A15="","",IF(COUNTIFS('Видео'!$A$7:$A$1508,A15)=1,INDEX('Видео'!$F$7:$F$1508,MATCH(A15,'Видео'!$A$7:$A$1508,0)),"ID не найден"))</x:f>
        <x:v>B2–C1 (гипотеза)</x:v>
      </x:c>
      <x:c r="G15" s="14" t="n">
        <x:f>IF(A15="","",IF(COUNTIFS('Видео'!$A$7:$A$1508,A15)=1,INDEX('Видео'!$H$7:$H$1508,MATCH(A15,'Видео'!$A$7:$A$1508,0)),"ID не найден"))</x:f>
        <x:v>111262</x:v>
      </x:c>
      <x:c r="H15" s="18" t="n">
        <x:f>IF(A15="","",IF(COUNTIFS('Видео'!$A$7:$A$1508,A15)=1,INDEX('Видео'!$L$7:$L$1508,MATCH(A15,'Видео'!$A$7:$A$1508,0)),"ID не найден"))</x:f>
        <x:v>2.018181818181818</x:v>
      </x:c>
      <x:c r="I15" s="10" t="str">
        <x:f>IF(A15="","",IF(COUNTIFS('Видео'!$A$7:$A$1508,A15)=1,INDEX('Видео'!$AI$7:$AI$1508,MATCH(A15,'Видео'!$A$7:$A$1508,0)),"ID не найден"))</x:f>
        <x:v>Нужна редактура</x:v>
      </x:c>
      <x:c r="J15" s="11" t="str">
        <x:f>IF(A15="","",IF(COUNTIFS('Видео'!$A$7:$A$1508,A15)=1,INDEX('Видео'!$U$7:$U$1508,MATCH(A15,'Видео'!$A$7:$A$1508,0)),"ID не найден"))</x:f>
        <x:v>https://www.youtube.com/watch?v=Kd4GMjffP9k</x:v>
      </x:c>
      <x:c r="K15" s="9" t="str">
        <x:v>C013</x:v>
      </x:c>
      <x:c r="L15" s="9" t="str">
        <x:v>Да</x:v>
      </x:c>
    </x:row>
    <x:row r="16" ht="60" customHeight="1">
      <x:c r="A16" s="9" t="str">
        <x:v>oj72q5Aci_g</x:v>
      </x:c>
      <x:c r="B16" s="10" t="str">
        <x:f>IF(A16="","",IF(COUNTIFS('Видео'!$A$7:$A$1508,A16)=1,INDEX('Видео'!$B$7:$B$1508,MATCH(A16,'Видео'!$A$7:$A$1508,0)),"ID не найден"))</x:f>
        <x:v>פגישה עם רוני קובן עונה 10 | יעקב ברדוגו</x:v>
      </x:c>
      <x:c r="C16" s="10" t="str">
        <x:f>IF(A16="","",IF(COUNTIFS('Видео'!$A$7:$A$1508,A16)=1,INDEX('Видео'!$C$7:$C$1508,MATCH(A16,'Видео'!$A$7:$A$1508,0)),"ID не найден"))</x:f>
        <x:v>Люди Израиля</x:v>
      </x:c>
      <x:c r="D16" s="10" t="str">
        <x:f>IF(A16="","",IF(COUNTIFS('Видео'!$A$7:$A$1508,A16)=1,INDEX('Видео'!$M$7:$M$1508,MATCH(A16,'Видео'!$A$7:$A$1508,0)),"ID не найден"))</x:f>
        <x:v>Тема / гость: יעקב ברדוגו. Просмотры в списке выше медианы выборки этого цикла в 2.0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16" s="9" t="str">
        <x:f>IF(A16="","",IF(COUNTIFS('Видео'!$A$7:$A$1508,A16)=1,INDEX('Видео'!$D$7:$D$1508,MATCH(A16,'Видео'!$A$7:$A$1508,0)),"ID не найден"))</x:f>
        <x:v>Интервью</x:v>
      </x:c>
      <x:c r="F16" s="10" t="str">
        <x:f>IF(A16="","",IF(COUNTIFS('Видео'!$A$7:$A$1508,A16)=1,INDEX('Видео'!$F$7:$F$1508,MATCH(A16,'Видео'!$A$7:$A$1508,0)),"ID не найден"))</x:f>
        <x:v>B2–C1 (гипотеза)</x:v>
      </x:c>
      <x:c r="G16" s="14" t="n">
        <x:f>IF(A16="","",IF(COUNTIFS('Видео'!$A$7:$A$1508,A16)=1,INDEX('Видео'!$H$7:$H$1508,MATCH(A16,'Видео'!$A$7:$A$1508,0)),"ID не найден"))</x:f>
        <x:v>110207</x:v>
      </x:c>
      <x:c r="H16" s="18" t="n">
        <x:f>IF(A16="","",IF(COUNTIFS('Видео'!$A$7:$A$1508,A16)=1,INDEX('Видео'!$L$7:$L$1508,MATCH(A16,'Видео'!$A$7:$A$1508,0)),"ID не найден"))</x:f>
        <x:v>2</x:v>
      </x:c>
      <x:c r="I16" s="10" t="str">
        <x:f>IF(A16="","",IF(COUNTIFS('Видео'!$A$7:$A$1508,A16)=1,INDEX('Видео'!$AI$7:$AI$1508,MATCH(A16,'Видео'!$A$7:$A$1508,0)),"ID не найден"))</x:f>
        <x:v>Нужна редактура</x:v>
      </x:c>
      <x:c r="J16" s="11" t="str">
        <x:f>IF(A16="","",IF(COUNTIFS('Видео'!$A$7:$A$1508,A16)=1,INDEX('Видео'!$U$7:$U$1508,MATCH(A16,'Видео'!$A$7:$A$1508,0)),"ID не найден"))</x:f>
        <x:v>https://www.youtube.com/watch?v=oj72q5Aci_g</x:v>
      </x:c>
      <x:c r="K16" s="9" t="str">
        <x:v>C013</x:v>
      </x:c>
      <x:c r="L16" s="9" t="str">
        <x:v>Да</x:v>
      </x:c>
    </x:row>
    <x:row r="17" ht="60" customHeight="1">
      <x:c r="A17" s="9" t="str">
        <x:v>bYkOcZDBncw</x:v>
      </x:c>
      <x:c r="B17" s="10" t="str">
        <x:f>IF(A17="","",IF(COUNTIFS('Видео'!$A$7:$A$1508,A17)=1,INDEX('Видео'!$B$7:$B$1508,MATCH(A17,'Видео'!$A$7:$A$1508,0)),"ID не найден"))</x:f>
        <x:v>פגישה עם רוני קובן עונה 9 | צבי יחזקאלי</x:v>
      </x:c>
      <x:c r="C17" s="10" t="str">
        <x:f>IF(A17="","",IF(COUNTIFS('Видео'!$A$7:$A$1508,A17)=1,INDEX('Видео'!$C$7:$C$1508,MATCH(A17,'Видео'!$A$7:$A$1508,0)),"ID не найден"))</x:f>
        <x:v>Люди Израиля</x:v>
      </x:c>
      <x:c r="D17" s="10" t="str">
        <x:f>IF(A17="","",IF(COUNTIFS('Видео'!$A$7:$A$1508,A17)=1,INDEX('Видео'!$M$7:$M$1508,MATCH(A17,'Видео'!$A$7:$A$1508,0)),"ID не найден"))</x:f>
        <x:v>Тема / гость: צבי יחזקאלי. Просмотры в списке выше медианы выборки этого цикла в 3.99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17" s="9" t="str">
        <x:f>IF(A17="","",IF(COUNTIFS('Видео'!$A$7:$A$1508,A17)=1,INDEX('Видео'!$D$7:$D$1508,MATCH(A17,'Видео'!$A$7:$A$1508,0)),"ID не найден"))</x:f>
        <x:v>Интервью</x:v>
      </x:c>
      <x:c r="F17" s="10" t="str">
        <x:f>IF(A17="","",IF(COUNTIFS('Видео'!$A$7:$A$1508,A17)=1,INDEX('Видео'!$F$7:$F$1508,MATCH(A17,'Видео'!$A$7:$A$1508,0)),"ID не найден"))</x:f>
        <x:v>B2–C1 (гипотеза)</x:v>
      </x:c>
      <x:c r="G17" s="14" t="n">
        <x:f>IF(A17="","",IF(COUNTIFS('Видео'!$A$7:$A$1508,A17)=1,INDEX('Видео'!$H$7:$H$1508,MATCH(A17,'Видео'!$A$7:$A$1508,0)),"ID не найден"))</x:f>
        <x:v>271703</x:v>
      </x:c>
      <x:c r="H17" s="18" t="n">
        <x:f>IF(A17="","",IF(COUNTIFS('Видео'!$A$7:$A$1508,A17)=1,INDEX('Видео'!$L$7:$L$1508,MATCH(A17,'Видео'!$A$7:$A$1508,0)),"ID не найден"))</x:f>
        <x:v>3.985294117647059</x:v>
      </x:c>
      <x:c r="I17" s="10" t="str">
        <x:f>IF(A17="","",IF(COUNTIFS('Видео'!$A$7:$A$1508,A17)=1,INDEX('Видео'!$AI$7:$AI$1508,MATCH(A17,'Видео'!$A$7:$A$1508,0)),"ID не найден"))</x:f>
        <x:v>Нужна редактура</x:v>
      </x:c>
      <x:c r="J17" s="11" t="str">
        <x:f>IF(A17="","",IF(COUNTIFS('Видео'!$A$7:$A$1508,A17)=1,INDEX('Видео'!$U$7:$U$1508,MATCH(A17,'Видео'!$A$7:$A$1508,0)),"ID не найден"))</x:f>
        <x:v>https://www.youtube.com/watch?v=bYkOcZDBncw</x:v>
      </x:c>
      <x:c r="K17" s="9" t="str">
        <x:v>C014</x:v>
      </x:c>
      <x:c r="L17" s="9" t="str">
        <x:v>Да</x:v>
      </x:c>
    </x:row>
    <x:row r="18" ht="60" customHeight="1">
      <x:c r="A18" s="9" t="str">
        <x:v>Uo9R3x7vUnM</x:v>
      </x:c>
      <x:c r="B18" s="10" t="str">
        <x:f>IF(A18="","",IF(COUNTIFS('Видео'!$A$7:$A$1508,A18)=1,INDEX('Видео'!$B$7:$B$1508,MATCH(A18,'Видео'!$A$7:$A$1508,0)),"ID не найден"))</x:f>
        <x:v>פגישה עם רוני קובן עונה 9 | אייל ברקוביץ'</x:v>
      </x:c>
      <x:c r="C18" s="10" t="str">
        <x:f>IF(A18="","",IF(COUNTIFS('Видео'!$A$7:$A$1508,A18)=1,INDEX('Видео'!$C$7:$C$1508,MATCH(A18,'Видео'!$A$7:$A$1508,0)),"ID не найден"))</x:f>
        <x:v>Люди Израиля</x:v>
      </x:c>
      <x:c r="D18" s="10" t="str">
        <x:f>IF(A18="","",IF(COUNTIFS('Видео'!$A$7:$A$1508,A18)=1,INDEX('Видео'!$M$7:$M$1508,MATCH(A18,'Видео'!$A$7:$A$1508,0)),"ID не найден"))</x:f>
        <x:v>Тема / гость: אייל ברקוביץ'. Просмотры в списке выше медианы выборки этого цикла в 3.21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18" s="9" t="str">
        <x:f>IF(A18="","",IF(COUNTIFS('Видео'!$A$7:$A$1508,A18)=1,INDEX('Видео'!$D$7:$D$1508,MATCH(A18,'Видео'!$A$7:$A$1508,0)),"ID не найден"))</x:f>
        <x:v>Интервью</x:v>
      </x:c>
      <x:c r="F18" s="10" t="str">
        <x:f>IF(A18="","",IF(COUNTIFS('Видео'!$A$7:$A$1508,A18)=1,INDEX('Видео'!$F$7:$F$1508,MATCH(A18,'Видео'!$A$7:$A$1508,0)),"ID не найден"))</x:f>
        <x:v>B2–C1 (гипотеза)</x:v>
      </x:c>
      <x:c r="G18" s="14" t="n">
        <x:f>IF(A18="","",IF(COUNTIFS('Видео'!$A$7:$A$1508,A18)=1,INDEX('Видео'!$H$7:$H$1508,MATCH(A18,'Видео'!$A$7:$A$1508,0)),"ID не найден"))</x:f>
        <x:v>218886</x:v>
      </x:c>
      <x:c r="H18" s="18" t="n">
        <x:f>IF(A18="","",IF(COUNTIFS('Видео'!$A$7:$A$1508,A18)=1,INDEX('Видео'!$L$7:$L$1508,MATCH(A18,'Видео'!$A$7:$A$1508,0)),"ID не найден"))</x:f>
        <x:v>3.2058823529411766</x:v>
      </x:c>
      <x:c r="I18" s="10" t="str">
        <x:f>IF(A18="","",IF(COUNTIFS('Видео'!$A$7:$A$1508,A18)=1,INDEX('Видео'!$AI$7:$AI$1508,MATCH(A18,'Видео'!$A$7:$A$1508,0)),"ID не найден"))</x:f>
        <x:v>Нужна редактура</x:v>
      </x:c>
      <x:c r="J18" s="11" t="str">
        <x:f>IF(A18="","",IF(COUNTIFS('Видео'!$A$7:$A$1508,A18)=1,INDEX('Видео'!$U$7:$U$1508,MATCH(A18,'Видео'!$A$7:$A$1508,0)),"ID не найден"))</x:f>
        <x:v>https://www.youtube.com/watch?v=Uo9R3x7vUnM</x:v>
      </x:c>
      <x:c r="K18" s="9" t="str">
        <x:v>C014</x:v>
      </x:c>
      <x:c r="L18" s="9" t="str">
        <x:v>Да</x:v>
      </x:c>
    </x:row>
    <x:row r="19" ht="60" customHeight="1">
      <x:c r="A19" s="9" t="str">
        <x:v>PfM7CF9eUMU</x:v>
      </x:c>
      <x:c r="B19" s="10" t="str">
        <x:f>IF(A19="","",IF(COUNTIFS('Видео'!$A$7:$A$1508,A19)=1,INDEX('Видео'!$B$7:$B$1508,MATCH(A19,'Видео'!$A$7:$A$1508,0)),"ID не найден"))</x:f>
        <x:v>סליחה על השאלה עונה 3 💙 | הורים שילדיהם התאבדו</x:v>
      </x:c>
      <x:c r="C19" s="10" t="str">
        <x:f>IF(A19="","",IF(COUNTIFS('Видео'!$A$7:$A$1508,A19)=1,INDEX('Видео'!$C$7:$C$1508,MATCH(A19,'Видео'!$A$7:$A$1508,0)),"ID не найден"))</x:f>
        <x:v>Разнообразие общества</x:v>
      </x:c>
      <x:c r="D19" s="10" t="str">
        <x:f>IF(A19="","",IF(COUNTIFS('Видео'!$A$7:$A$1508,A19)=1,INDEX('Видео'!$M$7:$M$1508,MATCH(A19,'Видео'!$A$7:$A$1508,0)),"ID не найден"))</x:f>
        <x:v>Тема: סליחה על השאלה עונה 3 💙 | הורים שילדיהם התאבדו. Просмотры в списке выше медианы выборки этого цикла в 3.49 раза. Одинаковый вопрос разным людям позволяет сравнить ответы и акценты. Формат вводит социальные группы через их собственную речь.</x:v>
      </x:c>
      <x:c r="E19" s="9" t="str">
        <x:f>IF(A19="","",IF(COUNTIFS('Видео'!$A$7:$A$1508,A19)=1,INDEX('Видео'!$D$7:$D$1508,MATCH(A19,'Видео'!$A$7:$A$1508,0)),"ID не найден"))</x:f>
        <x:v>Общество</x:v>
      </x:c>
      <x:c r="F19" s="10" t="str">
        <x:f>IF(A19="","",IF(COUNTIFS('Видео'!$A$7:$A$1508,A19)=1,INDEX('Видео'!$F$7:$F$1508,MATCH(A19,'Видео'!$A$7:$A$1508,0)),"ID не найден"))</x:f>
        <x:v>B1–B2 (гипотеза)</x:v>
      </x:c>
      <x:c r="G19" s="14" t="n">
        <x:f>IF(A19="","",IF(COUNTIFS('Видео'!$A$7:$A$1508,A19)=1,INDEX('Видео'!$H$7:$H$1508,MATCH(A19,'Видео'!$A$7:$A$1508,0)),"ID не найден"))</x:f>
        <x:v>884179</x:v>
      </x:c>
      <x:c r="H19" s="18" t="n">
        <x:f>IF(A19="","",IF(COUNTIFS('Видео'!$A$7:$A$1508,A19)=1,INDEX('Видео'!$L$7:$L$1508,MATCH(A19,'Видео'!$A$7:$A$1508,0)),"ID не найден"))</x:f>
        <x:v>3.4871794871794872</x:v>
      </x:c>
      <x:c r="I19" s="10" t="str">
        <x:f>IF(A19="","",IF(COUNTIFS('Видео'!$A$7:$A$1508,A19)=1,INDEX('Видео'!$AI$7:$AI$1508,MATCH(A19,'Видео'!$A$7:$A$1508,0)),"ID не найден"))</x:f>
        <x:v>Нужна редактура</x:v>
      </x:c>
      <x:c r="J19" s="11" t="str">
        <x:f>IF(A19="","",IF(COUNTIFS('Видео'!$A$7:$A$1508,A19)=1,INDEX('Видео'!$U$7:$U$1508,MATCH(A19,'Видео'!$A$7:$A$1508,0)),"ID не найден"))</x:f>
        <x:v>https://www.youtube.com/watch?v=PfM7CF9eUMU</x:v>
      </x:c>
      <x:c r="K19" s="9" t="str">
        <x:v>C019</x:v>
      </x:c>
      <x:c r="L19" s="9" t="str">
        <x:v>Нет</x:v>
      </x:c>
    </x:row>
    <x:row r="20" ht="60" customHeight="1">
      <x:c r="A20" s="9" t="str">
        <x:v>D41rWcKGzQk</x:v>
      </x:c>
      <x:c r="B20" s="10" t="str">
        <x:f>IF(A20="","",IF(COUNTIFS('Видео'!$A$7:$A$1508,A20)=1,INDEX('Видео'!$B$7:$B$1508,MATCH(A20,'Видео'!$A$7:$A$1508,0)),"ID не найден"))</x:f>
        <x:v>סליחה על השאלה עונה 3 💙 | רווקות מאוחרת</x:v>
      </x:c>
      <x:c r="C20" s="10" t="str">
        <x:f>IF(A20="","",IF(COUNTIFS('Видео'!$A$7:$A$1508,A20)=1,INDEX('Видео'!$C$7:$C$1508,MATCH(A20,'Видео'!$A$7:$A$1508,0)),"ID не найден"))</x:f>
        <x:v>Разнообразие общества</x:v>
      </x:c>
      <x:c r="D20" s="10" t="str">
        <x:f>IF(A20="","",IF(COUNTIFS('Видео'!$A$7:$A$1508,A20)=1,INDEX('Видео'!$M$7:$M$1508,MATCH(A20,'Видео'!$A$7:$A$1508,0)),"ID не найден"))</x:f>
        <x:v>Тема: סליחה על השאלה עונה 3 💙 | רווקות מאוחרת. Просмотры в списке выше медианы выборки этого цикла в 1.92 раза. Одинаковый вопрос разным людям позволяет сравнить ответы и акценты. Формат вводит социальные группы через их собственную речь.</x:v>
      </x:c>
      <x:c r="E20" s="9" t="str">
        <x:f>IF(A20="","",IF(COUNTIFS('Видео'!$A$7:$A$1508,A20)=1,INDEX('Видео'!$D$7:$D$1508,MATCH(A20,'Видео'!$A$7:$A$1508,0)),"ID не найден"))</x:f>
        <x:v>Общество</x:v>
      </x:c>
      <x:c r="F20" s="10" t="str">
        <x:f>IF(A20="","",IF(COUNTIFS('Видео'!$A$7:$A$1508,A20)=1,INDEX('Видео'!$F$7:$F$1508,MATCH(A20,'Видео'!$A$7:$A$1508,0)),"ID не найден"))</x:f>
        <x:v>B1–B2 (гипотеза)</x:v>
      </x:c>
      <x:c r="G20" s="14" t="n">
        <x:f>IF(A20="","",IF(COUNTIFS('Видео'!$A$7:$A$1508,A20)=1,INDEX('Видео'!$H$7:$H$1508,MATCH(A20,'Видео'!$A$7:$A$1508,0)),"ID не найден"))</x:f>
        <x:v>487479</x:v>
      </x:c>
      <x:c r="H20" s="18" t="n">
        <x:f>IF(A20="","",IF(COUNTIFS('Видео'!$A$7:$A$1508,A20)=1,INDEX('Видео'!$L$7:$L$1508,MATCH(A20,'Видео'!$A$7:$A$1508,0)),"ID не найден"))</x:f>
        <x:v>1.921104536489152</x:v>
      </x:c>
      <x:c r="I20" s="10" t="str">
        <x:f>IF(A20="","",IF(COUNTIFS('Видео'!$A$7:$A$1508,A20)=1,INDEX('Видео'!$AI$7:$AI$1508,MATCH(A20,'Видео'!$A$7:$A$1508,0)),"ID не найден"))</x:f>
        <x:v>Нужна редактура</x:v>
      </x:c>
      <x:c r="J20" s="11" t="str">
        <x:f>IF(A20="","",IF(COUNTIFS('Видео'!$A$7:$A$1508,A20)=1,INDEX('Видео'!$U$7:$U$1508,MATCH(A20,'Видео'!$A$7:$A$1508,0)),"ID не найден"))</x:f>
        <x:v>https://www.youtube.com/watch?v=D41rWcKGzQk</x:v>
      </x:c>
      <x:c r="K20" s="9" t="str">
        <x:v>C019</x:v>
      </x:c>
      <x:c r="L20" s="9" t="str">
        <x:v>Да</x:v>
      </x:c>
    </x:row>
    <x:row r="21" ht="60" customHeight="1">
      <x:c r="A21" s="9" t="str">
        <x:v>StWbjB2i1Uw</x:v>
      </x:c>
      <x:c r="B21" s="10" t="str">
        <x:f>IF(A21="","",IF(COUNTIFS('Видео'!$A$7:$A$1508,A21)=1,INDEX('Видео'!$B$7:$B$1508,MATCH(A21,'Видео'!$A$7:$A$1508,0)),"ID не найден"))</x:f>
        <x:v>שום פלפל ושמן זית עונה 2 | אלי יצפאן</x:v>
      </x:c>
      <x:c r="C21" s="10" t="str">
        <x:f>IF(A21="","",IF(COUNTIFS('Видео'!$A$7:$A$1508,A21)=1,INDEX('Видео'!$C$7:$C$1508,MATCH(A21,'Видео'!$A$7:$A$1508,0)),"ID не найден"))</x:f>
        <x:v>Еда и повседневность</x:v>
      </x:c>
      <x:c r="D21" s="10" t="str">
        <x:f>IF(A21="","",IF(COUNTIFS('Видео'!$A$7:$A$1508,A21)=1,INDEX('Видео'!$M$7:$M$1508,MATCH(A21,'Видео'!$A$7:$A$1508,0)),"ID не найден"))</x:f>
        <x:v>Тема: שום פלפל ושמן זית עונה 2 | אלי יצפאן. Просмотры в списке выше медианы выборки этого цикла в 2.41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E21" s="9" t="str">
        <x:f>IF(A21="","",IF(COUNTIFS('Видео'!$A$7:$A$1508,A21)=1,INDEX('Видео'!$D$7:$D$1508,MATCH(A21,'Видео'!$A$7:$A$1508,0)),"ID не найден"))</x:f>
        <x:v>Быт</x:v>
      </x:c>
      <x:c r="F21" s="10" t="str">
        <x:f>IF(A21="","",IF(COUNTIFS('Видео'!$A$7:$A$1508,A21)=1,INDEX('Видео'!$F$7:$F$1508,MATCH(A21,'Видео'!$A$7:$A$1508,0)),"ID не найден"))</x:f>
        <x:v>B1–B2 (гипотеза)</x:v>
      </x:c>
      <x:c r="G21" s="14" t="n">
        <x:f>IF(A21="","",IF(COUNTIFS('Видео'!$A$7:$A$1508,A21)=1,INDEX('Видео'!$H$7:$H$1508,MATCH(A21,'Видео'!$A$7:$A$1508,0)),"ID не найден"))</x:f>
        <x:v>77900</x:v>
      </x:c>
      <x:c r="H21" s="18" t="n">
        <x:f>IF(A21="","",IF(COUNTIFS('Видео'!$A$7:$A$1508,A21)=1,INDEX('Видео'!$L$7:$L$1508,MATCH(A21,'Видео'!$A$7:$A$1508,0)),"ID не найден"))</x:f>
        <x:v>2.40625</x:v>
      </x:c>
      <x:c r="I21" s="10" t="str">
        <x:f>IF(A21="","",IF(COUNTIFS('Видео'!$A$7:$A$1508,A21)=1,INDEX('Видео'!$AI$7:$AI$1508,MATCH(A21,'Видео'!$A$7:$A$1508,0)),"ID не найден"))</x:f>
        <x:v>Нужна редактура</x:v>
      </x:c>
      <x:c r="J21" s="11" t="str">
        <x:f>IF(A21="","",IF(COUNTIFS('Видео'!$A$7:$A$1508,A21)=1,INDEX('Видео'!$U$7:$U$1508,MATCH(A21,'Видео'!$A$7:$A$1508,0)),"ID не найден"))</x:f>
        <x:v>https://www.youtube.com/watch?v=StWbjB2i1Uw</x:v>
      </x:c>
      <x:c r="K21" s="9" t="str">
        <x:v>C024</x:v>
      </x:c>
      <x:c r="L21" s="9" t="str">
        <x:v>Да</x:v>
      </x:c>
    </x:row>
    <x:row r="22" ht="60" customHeight="1">
      <x:c r="A22" s="9" t="str">
        <x:v>8S5rgP1sHNo</x:v>
      </x:c>
      <x:c r="B22" s="10" t="str">
        <x:f>IF(A22="","",IF(COUNTIFS('Видео'!$A$7:$A$1508,A22)=1,INDEX('Видео'!$B$7:$B$1508,MATCH(A22,'Видео'!$A$7:$A$1508,0)),"ID не найден"))</x:f>
        <x:v>שום פלפל ושמן זית עונה 3 | דניאל כהן</x:v>
      </x:c>
      <x:c r="C22" s="10" t="str">
        <x:f>IF(A22="","",IF(COUNTIFS('Видео'!$A$7:$A$1508,A22)=1,INDEX('Видео'!$C$7:$C$1508,MATCH(A22,'Видео'!$A$7:$A$1508,0)),"ID не найден"))</x:f>
        <x:v>Еда и повседневность</x:v>
      </x:c>
      <x:c r="D22" s="10" t="str">
        <x:f>IF(A22="","",IF(COUNTIFS('Видео'!$A$7:$A$1508,A22)=1,INDEX('Видео'!$M$7:$M$1508,MATCH(A22,'Видео'!$A$7:$A$1508,0)),"ID не найден"))</x:f>
        <x:v>Тема: שום פלפל ושמן זית עונה 3 | דניאל כהן. Просмотры в списке выше медианы выборки этого цикла в 1.88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E22" s="9" t="str">
        <x:f>IF(A22="","",IF(COUNTIFS('Видео'!$A$7:$A$1508,A22)=1,INDEX('Видео'!$D$7:$D$1508,MATCH(A22,'Видео'!$A$7:$A$1508,0)),"ID не найден"))</x:f>
        <x:v>Быт</x:v>
      </x:c>
      <x:c r="F22" s="10" t="str">
        <x:f>IF(A22="","",IF(COUNTIFS('Видео'!$A$7:$A$1508,A22)=1,INDEX('Видео'!$F$7:$F$1508,MATCH(A22,'Видео'!$A$7:$A$1508,0)),"ID не найден"))</x:f>
        <x:v>B1–B2 (гипотеза)</x:v>
      </x:c>
      <x:c r="G22" s="14" t="n">
        <x:f>IF(A22="","",IF(COUNTIFS('Видео'!$A$7:$A$1508,A22)=1,INDEX('Видео'!$H$7:$H$1508,MATCH(A22,'Видео'!$A$7:$A$1508,0)),"ID не найден"))</x:f>
        <x:v>60792</x:v>
      </x:c>
      <x:c r="H22" s="18" t="n">
        <x:f>IF(A22="","",IF(COUNTIFS('Видео'!$A$7:$A$1508,A22)=1,INDEX('Видео'!$L$7:$L$1508,MATCH(A22,'Видео'!$A$7:$A$1508,0)),"ID не найден"))</x:f>
        <x:v>1.875</x:v>
      </x:c>
      <x:c r="I22" s="10" t="str">
        <x:f>IF(A22="","",IF(COUNTIFS('Видео'!$A$7:$A$1508,A22)=1,INDEX('Видео'!$AI$7:$AI$1508,MATCH(A22,'Видео'!$A$7:$A$1508,0)),"ID не найден"))</x:f>
        <x:v>Нужна редактура</x:v>
      </x:c>
      <x:c r="J22" s="11" t="str">
        <x:f>IF(A22="","",IF(COUNTIFS('Видео'!$A$7:$A$1508,A22)=1,INDEX('Видео'!$U$7:$U$1508,MATCH(A22,'Видео'!$A$7:$A$1508,0)),"ID не найден"))</x:f>
        <x:v>https://www.youtube.com/watch?v=8S5rgP1sHNo</x:v>
      </x:c>
      <x:c r="K22" s="9" t="str">
        <x:v>C024</x:v>
      </x:c>
      <x:c r="L22" s="9" t="str">
        <x:v>Да</x:v>
      </x:c>
    </x:row>
    <x:row r="23" ht="60" customHeight="1">
      <x:c r="A23" s="9" t="str">
        <x:v>MyM2tHGz4Rc</x:v>
      </x:c>
      <x:c r="B23" s="10" t="str">
        <x:f>IF(A23="","",IF(COUNTIFS('Видео'!$A$7:$A$1508,A23)=1,INDEX('Видео'!$B$7:$B$1508,MATCH(A23,'Видео'!$A$7:$A$1508,0)),"ID не найден"))</x:f>
        <x:v>היהודים באים - פרק 1 | כאן 11 לשעבר רשות השידור</x:v>
      </x:c>
      <x:c r="C23" s="10" t="str">
        <x:f>IF(A23="","",IF(COUNTIFS('Видео'!$A$7:$A$1508,A23)=1,INDEX('Видео'!$C$7:$C$1508,MATCH(A23,'Видео'!$A$7:$A$1508,0)),"ID не найден"))</x:f>
        <x:v>История и сатира</x:v>
      </x:c>
      <x:c r="D23" s="10" t="str">
        <x:f>IF(A23="","",IF(COUNTIFS('Видео'!$A$7:$A$1508,A23)=1,INDEX('Видео'!$M$7:$M$1508,MATCH(A23,'Видео'!$A$7:$A$1508,0)),"ID не найден"))</x:f>
        <x:v>Тема: היהודים באים - פרק 1 | כאן 11 לשעבר רשות השידור. Просмотры в списке выше медианы выборки этого цикла в 1.76 раза.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E23" s="9" t="str">
        <x:f>IF(A23="","",IF(COUNTIFS('Видео'!$A$7:$A$1508,A23)=1,INDEX('Видео'!$D$7:$D$1508,MATCH(A23,'Видео'!$A$7:$A$1508,0)),"ID не найден"))</x:f>
        <x:v>Культура</x:v>
      </x:c>
      <x:c r="F23" s="10" t="str">
        <x:f>IF(A23="","",IF(COUNTIFS('Видео'!$A$7:$A$1508,A23)=1,INDEX('Видео'!$F$7:$F$1508,MATCH(A23,'Видео'!$A$7:$A$1508,0)),"ID не найден"))</x:f>
        <x:v>B2–C1 (гипотеза)</x:v>
      </x:c>
      <x:c r="G23" s="14" t="n">
        <x:f>IF(A23="","",IF(COUNTIFS('Видео'!$A$7:$A$1508,A23)=1,INDEX('Видео'!$H$7:$H$1508,MATCH(A23,'Видео'!$A$7:$A$1508,0)),"ID не найден"))</x:f>
        <x:v>1159812</x:v>
      </x:c>
      <x:c r="H23" s="18" t="n">
        <x:f>IF(A23="","",IF(COUNTIFS('Видео'!$A$7:$A$1508,A23)=1,INDEX('Видео'!$L$7:$L$1508,MATCH(A23,'Видео'!$A$7:$A$1508,0)),"ID не найден"))</x:f>
        <x:v>1.7628205128205128</x:v>
      </x:c>
      <x:c r="I23" s="10" t="str">
        <x:f>IF(A23="","",IF(COUNTIFS('Видео'!$A$7:$A$1508,A23)=1,INDEX('Видео'!$AI$7:$AI$1508,MATCH(A23,'Видео'!$A$7:$A$1508,0)),"ID не найден"))</x:f>
        <x:v>Нужна редактура</x:v>
      </x:c>
      <x:c r="J23" s="11" t="str">
        <x:f>IF(A23="","",IF(COUNTIFS('Видео'!$A$7:$A$1508,A23)=1,INDEX('Видео'!$U$7:$U$1508,MATCH(A23,'Видео'!$A$7:$A$1508,0)),"ID не найден"))</x:f>
        <x:v>https://www.youtube.com/watch?v=MyM2tHGz4Rc</x:v>
      </x:c>
      <x:c r="K23" s="9" t="str">
        <x:v>C026</x:v>
      </x:c>
      <x:c r="L23" s="9" t="str">
        <x:v>Да</x:v>
      </x:c>
    </x:row>
    <x:row r="24" ht="60" customHeight="1">
      <x:c r="A24" s="9" t="str">
        <x:v>xjbCmjGTE0g</x:v>
      </x:c>
      <x:c r="B24" s="10" t="str">
        <x:f>IF(A24="","",IF(COUNTIFS('Видео'!$A$7:$A$1508,A24)=1,INDEX('Видео'!$B$7:$B$1508,MATCH(A24,'Видео'!$A$7:$A$1508,0)),"ID не найден"))</x:f>
        <x:v>היהודים באים - פרק 2 | כאן 11 לשעבר רשות השידור</x:v>
      </x:c>
      <x:c r="C24" s="10" t="str">
        <x:f>IF(A24="","",IF(COUNTIFS('Видео'!$A$7:$A$1508,A24)=1,INDEX('Видео'!$C$7:$C$1508,MATCH(A24,'Видео'!$A$7:$A$1508,0)),"ID не найден"))</x:f>
        <x:v>История и сатира</x:v>
      </x:c>
      <x:c r="D24" s="10" t="str">
        <x:f>IF(A24="","",IF(COUNTIFS('Видео'!$A$7:$A$1508,A24)=1,INDEX('Видео'!$M$7:$M$1508,MATCH(A24,'Видео'!$A$7:$A$1508,0)),"ID не найден"))</x:f>
        <x:v>Тема: היהודים באים - פרק 2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E24" s="9" t="str">
        <x:f>IF(A24="","",IF(COUNTIFS('Видео'!$A$7:$A$1508,A24)=1,INDEX('Видео'!$D$7:$D$1508,MATCH(A24,'Видео'!$A$7:$A$1508,0)),"ID не найден"))</x:f>
        <x:v>Культура</x:v>
      </x:c>
      <x:c r="F24" s="10" t="str">
        <x:f>IF(A24="","",IF(COUNTIFS('Видео'!$A$7:$A$1508,A24)=1,INDEX('Видео'!$F$7:$F$1508,MATCH(A24,'Видео'!$A$7:$A$1508,0)),"ID не найден"))</x:f>
        <x:v>B2–C1 (гипотеза)</x:v>
      </x:c>
      <x:c r="G24" s="14" t="n">
        <x:f>IF(A24="","",IF(COUNTIFS('Видео'!$A$7:$A$1508,A24)=1,INDEX('Видео'!$H$7:$H$1508,MATCH(A24,'Видео'!$A$7:$A$1508,0)),"ID не найден"))</x:f>
        <x:v>799058</x:v>
      </x:c>
      <x:c r="H24" s="18" t="n">
        <x:f>IF(A24="","",IF(COUNTIFS('Видео'!$A$7:$A$1508,A24)=1,INDEX('Видео'!$L$7:$L$1508,MATCH(A24,'Видео'!$A$7:$A$1508,0)),"ID не найден"))</x:f>
        <x:v>1.2804487179487178</x:v>
      </x:c>
      <x:c r="I24" s="10" t="str">
        <x:f>IF(A24="","",IF(COUNTIFS('Видео'!$A$7:$A$1508,A24)=1,INDEX('Видео'!$AI$7:$AI$1508,MATCH(A24,'Видео'!$A$7:$A$1508,0)),"ID не найден"))</x:f>
        <x:v>Нужна редактура</x:v>
      </x:c>
      <x:c r="J24" s="11" t="str">
        <x:f>IF(A24="","",IF(COUNTIFS('Видео'!$A$7:$A$1508,A24)=1,INDEX('Видео'!$U$7:$U$1508,MATCH(A24,'Видео'!$A$7:$A$1508,0)),"ID не найден"))</x:f>
        <x:v>https://www.youtube.com/watch?v=xjbCmjGTE0g</x:v>
      </x:c>
      <x:c r="K24" s="9" t="str">
        <x:v>C026</x:v>
      </x:c>
      <x:c r="L24" s="9" t="str">
        <x:v>Да</x:v>
      </x:c>
    </x:row>
    <x:row r="25" ht="60" customHeight="1">
      <x:c r="A25" s="9" t="str">
        <x:v>vddNZE2tK2s</x:v>
      </x:c>
      <x:c r="B25" s="10" t="str">
        <x:f>IF(A25="","",IF(COUNTIFS('Видео'!$A$7:$A$1508,A25)=1,INDEX('Видео'!$B$7:$B$1508,MATCH(A25,'Видео'!$A$7:$A$1508,0)),"ID не найден"))</x:f>
        <x:v>שיר אחד 🎤 עיבוד טלוויזיוני להסכת | רביד פלוטניק - חסידה צחורה</x:v>
      </x:c>
      <x:c r="C25" s="10" t="str">
        <x:f>IF(A25="","",IF(COUNTIFS('Видео'!$A$7:$A$1508,A25)=1,INDEX('Видео'!$C$7:$C$1508,MATCH(A25,'Видео'!$A$7:$A$1508,0)),"ID не найден"))</x:f>
        <x:v>Музыка и культурная память</x:v>
      </x:c>
      <x:c r="D25" s="10" t="str">
        <x:f>IF(A25="","",IF(COUNTIFS('Видео'!$A$7:$A$1508,A25)=1,INDEX('Видео'!$M$7:$M$1508,MATCH(A25,'Видео'!$A$7:$A$1508,0)),"ID не найден"))</x:f>
        <x:v>Тема: שיר אחד 🎤 עיבוד טלוויזיוני להסכת | רביד פלוטניק - חסידה צחורה. Просмотры в списке выше медианы выборки этого цикла в 4.72 раза. История одной песни связывает музыку, биографию и эпоху. Подходит зрителям, которым политическая повестка менее интересна.</x:v>
      </x:c>
      <x:c r="E25" s="9" t="str">
        <x:f>IF(A25="","",IF(COUNTIFS('Видео'!$A$7:$A$1508,A25)=1,INDEX('Видео'!$D$7:$D$1508,MATCH(A25,'Видео'!$A$7:$A$1508,0)),"ID не найден"))</x:f>
        <x:v>Культура</x:v>
      </x:c>
      <x:c r="F25" s="10" t="str">
        <x:f>IF(A25="","",IF(COUNTIFS('Видео'!$A$7:$A$1508,A25)=1,INDEX('Видео'!$F$7:$F$1508,MATCH(A25,'Видео'!$A$7:$A$1508,0)),"ID не найден"))</x:f>
        <x:v>B1–B2 (гипотеза)</x:v>
      </x:c>
      <x:c r="G25" s="14" t="n">
        <x:f>IF(A25="","",IF(COUNTIFS('Видео'!$A$7:$A$1508,A25)=1,INDEX('Видео'!$H$7:$H$1508,MATCH(A25,'Видео'!$A$7:$A$1508,0)),"ID не найден"))</x:f>
        <x:v>203614</x:v>
      </x:c>
      <x:c r="H25" s="18" t="n">
        <x:f>IF(A25="","",IF(COUNTIFS('Видео'!$A$7:$A$1508,A25)=1,INDEX('Видео'!$L$7:$L$1508,MATCH(A25,'Видео'!$A$7:$A$1508,0)),"ID не найден"))</x:f>
        <x:v>4.72093023255814</x:v>
      </x:c>
      <x:c r="I25" s="10" t="str">
        <x:f>IF(A25="","",IF(COUNTIFS('Видео'!$A$7:$A$1508,A25)=1,INDEX('Видео'!$AI$7:$AI$1508,MATCH(A25,'Видео'!$A$7:$A$1508,0)),"ID не найден"))</x:f>
        <x:v>Нужна редактура</x:v>
      </x:c>
      <x:c r="J25" s="11" t="str">
        <x:f>IF(A25="","",IF(COUNTIFS('Видео'!$A$7:$A$1508,A25)=1,INDEX('Видео'!$U$7:$U$1508,MATCH(A25,'Видео'!$A$7:$A$1508,0)),"ID не найден"))</x:f>
        <x:v>https://www.youtube.com/watch?v=vddNZE2tK2s</x:v>
      </x:c>
      <x:c r="K25" s="9" t="str">
        <x:v>C027</x:v>
      </x:c>
      <x:c r="L25" s="9" t="str">
        <x:v>Да</x:v>
      </x:c>
    </x:row>
    <x:row r="26" ht="60" customHeight="1">
      <x:c r="A26" s="9" t="str">
        <x:v>Cwxg_6SHJsQ</x:v>
      </x:c>
      <x:c r="B26" s="10" t="str">
        <x:f>IF(A26="","",IF(COUNTIFS('Видео'!$A$7:$A$1508,A26)=1,INDEX('Видео'!$B$7:$B$1508,MATCH(A26,'Видео'!$A$7:$A$1508,0)),"ID не найден"))</x:f>
        <x:v>שיר אחד 🎤 עיבוד טלוויזיוני להסכת | חנן בן ארי - אלוף העולם</x:v>
      </x:c>
      <x:c r="C26" s="10" t="str">
        <x:f>IF(A26="","",IF(COUNTIFS('Видео'!$A$7:$A$1508,A26)=1,INDEX('Видео'!$C$7:$C$1508,MATCH(A26,'Видео'!$A$7:$A$1508,0)),"ID не найден"))</x:f>
        <x:v>Музыка и культурная память</x:v>
      </x:c>
      <x:c r="D26" s="10" t="str">
        <x:f>IF(A26="","",IF(COUNTIFS('Видео'!$A$7:$A$1508,A26)=1,INDEX('Видео'!$M$7:$M$1508,MATCH(A26,'Видео'!$A$7:$A$1508,0)),"ID не найден"))</x:f>
        <x:v>Тема: שיר אחד 🎤 עיבוד טלוויזיוני להסכת | חנן בן ארי - אלוף העולם. Просмотры в списке выше медианы выборки этого цикла в 4.4 раза. История одной песни связывает музыку, биографию и эпоху. Подходит зрителям, которым политическая повестка менее интересна.</x:v>
      </x:c>
      <x:c r="E26" s="9" t="str">
        <x:f>IF(A26="","",IF(COUNTIFS('Видео'!$A$7:$A$1508,A26)=1,INDEX('Видео'!$D$7:$D$1508,MATCH(A26,'Видео'!$A$7:$A$1508,0)),"ID не найден"))</x:f>
        <x:v>Культура</x:v>
      </x:c>
      <x:c r="F26" s="10" t="str">
        <x:f>IF(A26="","",IF(COUNTIFS('Видео'!$A$7:$A$1508,A26)=1,INDEX('Видео'!$F$7:$F$1508,MATCH(A26,'Видео'!$A$7:$A$1508,0)),"ID не найден"))</x:f>
        <x:v>B1–B2 (гипотеза)</x:v>
      </x:c>
      <x:c r="G26" s="14" t="n">
        <x:f>IF(A26="","",IF(COUNTIFS('Видео'!$A$7:$A$1508,A26)=1,INDEX('Видео'!$H$7:$H$1508,MATCH(A26,'Видео'!$A$7:$A$1508,0)),"ID не найден"))</x:f>
        <x:v>189131</x:v>
      </x:c>
      <x:c r="H26" s="18" t="n">
        <x:f>IF(A26="","",IF(COUNTIFS('Видео'!$A$7:$A$1508,A26)=1,INDEX('Видео'!$L$7:$L$1508,MATCH(A26,'Видео'!$A$7:$A$1508,0)),"ID не найден"))</x:f>
        <x:v>4.395348837209302</x:v>
      </x:c>
      <x:c r="I26" s="10" t="str">
        <x:f>IF(A26="","",IF(COUNTIFS('Видео'!$A$7:$A$1508,A26)=1,INDEX('Видео'!$AI$7:$AI$1508,MATCH(A26,'Видео'!$A$7:$A$1508,0)),"ID не найден"))</x:f>
        <x:v>Нужна редактура</x:v>
      </x:c>
      <x:c r="J26" s="11" t="str">
        <x:f>IF(A26="","",IF(COUNTIFS('Видео'!$A$7:$A$1508,A26)=1,INDEX('Видео'!$U$7:$U$1508,MATCH(A26,'Видео'!$A$7:$A$1508,0)),"ID не найден"))</x:f>
        <x:v>https://www.youtube.com/watch?v=Cwxg_6SHJsQ</x:v>
      </x:c>
      <x:c r="K26" s="9" t="str">
        <x:v>C027</x:v>
      </x:c>
      <x:c r="L26" s="9" t="str">
        <x:v>Да</x:v>
      </x:c>
    </x:row>
    <x:row r="27" ht="60" customHeight="1">
      <x:c r="A27" s="9" t="str">
        <x:v>v1AxvCDUcjU</x:v>
      </x:c>
      <x:c r="B27" s="10" t="str">
        <x:f>IF(A27="","",IF(COUNTIFS('Видео'!$A$7:$A$1508,A27)=1,INDEX('Видео'!$B$7:$B$1508,MATCH(A27,'Видео'!$A$7:$A$1508,0)),"ID не найден"))</x:f>
        <x:v>המנדט - הימים בהם שלטו הבריטים בארץ ישראל | פרק 1 - קונפליקט צריך זירה</x:v>
      </x:c>
      <x:c r="C27" s="10" t="str">
        <x:f>IF(A27="","",IF(COUNTIFS('Видео'!$A$7:$A$1508,A27)=1,INDEX('Видео'!$C$7:$C$1508,MATCH(A27,'Видео'!$A$7:$A$1508,0)),"ID не найден"))</x:f>
        <x:v>История Израиля</x:v>
      </x:c>
      <x:c r="D27" s="10" t="str">
        <x:f>IF(A27="","",IF(COUNTIFS('Видео'!$A$7:$A$1508,A27)=1,INDEX('Видео'!$M$7:$M$1508,MATCH(A27,'Видео'!$A$7:$A$1508,0)),"ID не найден"))</x:f>
        <x:v>Тема: המנדט - הימים בהם שלטו הבריטים בארץ ישראל | פרק 1 - קונפליקט צריך זירה. Связный документальный цикл помогает понять британский период и предпосылки создания государства.</x:v>
      </x:c>
      <x:c r="E27" s="9" t="str">
        <x:f>IF(A27="","",IF(COUNTIFS('Видео'!$A$7:$A$1508,A27)=1,INDEX('Видео'!$D$7:$D$1508,MATCH(A27,'Видео'!$A$7:$A$1508,0)),"ID не найден"))</x:f>
        <x:v>История</x:v>
      </x:c>
      <x:c r="F27" s="10" t="str">
        <x:f>IF(A27="","",IF(COUNTIFS('Видео'!$A$7:$A$1508,A27)=1,INDEX('Видео'!$F$7:$F$1508,MATCH(A27,'Видео'!$A$7:$A$1508,0)),"ID не найден"))</x:f>
        <x:v>B2–C1 (гипотеза)</x:v>
      </x:c>
      <x:c r="G27" s="14" t="n">
        <x:f>IF(A27="","",IF(COUNTIFS('Видео'!$A$7:$A$1508,A27)=1,INDEX('Видео'!$H$7:$H$1508,MATCH(A27,'Видео'!$A$7:$A$1508,0)),"ID не найден"))</x:f>
        <x:v>489536</x:v>
      </x:c>
      <x:c r="H27" s="18" t="str">
        <x:f>IF(A27="","",IF(COUNTIFS('Видео'!$A$7:$A$1508,A27)=1,INDEX('Видео'!$L$7:$L$1508,MATCH(A27,'Видео'!$A$7:$A$1508,0)),"ID не найден"))</x:f>
      </x:c>
      <x:c r="I27" s="10" t="str">
        <x:f>IF(A27="","",IF(COUNTIFS('Видео'!$A$7:$A$1508,A27)=1,INDEX('Видео'!$AI$7:$AI$1508,MATCH(A27,'Видео'!$A$7:$A$1508,0)),"ID не найден"))</x:f>
        <x:v>Нужна редактура</x:v>
      </x:c>
      <x:c r="J27" s="11" t="str">
        <x:f>IF(A27="","",IF(COUNTIFS('Видео'!$A$7:$A$1508,A27)=1,INDEX('Видео'!$U$7:$U$1508,MATCH(A27,'Видео'!$A$7:$A$1508,0)),"ID не найден"))</x:f>
        <x:v>https://www.youtube.com/watch?v=v1AxvCDUcjU</x:v>
      </x:c>
      <x:c r="K27" s="9" t="str">
        <x:v>C029</x:v>
      </x:c>
      <x:c r="L27" s="9" t="str">
        <x:v>Да</x:v>
      </x:c>
    </x:row>
    <x:row r="28" ht="60" customHeight="1">
      <x:c r="A28" s="9" t="str">
        <x:v>ntyg4dEoDek</x:v>
      </x:c>
      <x:c r="B28" s="10" t="str">
        <x:f>IF(A28="","",IF(COUNTIFS('Видео'!$A$7:$A$1508,A28)=1,INDEX('Видео'!$B$7:$B$1508,MATCH(A28,'Видео'!$A$7:$A$1508,0)),"ID не найден"))</x:f>
        <x:v>המנדט - הימים בהם שלטו הבריטים בארץ ישראל | פרק 3 - אימפריות נופלות</x:v>
      </x:c>
      <x:c r="C28" s="10" t="str">
        <x:f>IF(A28="","",IF(COUNTIFS('Видео'!$A$7:$A$1508,A28)=1,INDEX('Видео'!$C$7:$C$1508,MATCH(A28,'Видео'!$A$7:$A$1508,0)),"ID не найден"))</x:f>
        <x:v>История Израиля</x:v>
      </x:c>
      <x:c r="D28" s="10" t="str">
        <x:f>IF(A28="","",IF(COUNTIFS('Видео'!$A$7:$A$1508,A28)=1,INDEX('Видео'!$M$7:$M$1508,MATCH(A28,'Видео'!$A$7:$A$1508,0)),"ID не найден"))</x:f>
        <x:v>Тема: המנדט - הימים בהם שלטו הבריטים בארץ ישראל | פרק 3 - אימפריות נופלות. Связный документальный цикл помогает понять британский период и предпосылки создания государства.</x:v>
      </x:c>
      <x:c r="E28" s="9" t="str">
        <x:f>IF(A28="","",IF(COUNTIFS('Видео'!$A$7:$A$1508,A28)=1,INDEX('Видео'!$D$7:$D$1508,MATCH(A28,'Видео'!$A$7:$A$1508,0)),"ID не найден"))</x:f>
        <x:v>История</x:v>
      </x:c>
      <x:c r="F28" s="10" t="str">
        <x:f>IF(A28="","",IF(COUNTIFS('Видео'!$A$7:$A$1508,A28)=1,INDEX('Видео'!$F$7:$F$1508,MATCH(A28,'Видео'!$A$7:$A$1508,0)),"ID не найден"))</x:f>
        <x:v>B2–C1 (гипотеза)</x:v>
      </x:c>
      <x:c r="G28" s="14" t="n">
        <x:f>IF(A28="","",IF(COUNTIFS('Видео'!$A$7:$A$1508,A28)=1,INDEX('Видео'!$H$7:$H$1508,MATCH(A28,'Видео'!$A$7:$A$1508,0)),"ID не найден"))</x:f>
        <x:v>286231</x:v>
      </x:c>
      <x:c r="H28" s="18" t="str">
        <x:f>IF(A28="","",IF(COUNTIFS('Видео'!$A$7:$A$1508,A28)=1,INDEX('Видео'!$L$7:$L$1508,MATCH(A28,'Видео'!$A$7:$A$1508,0)),"ID не найден"))</x:f>
      </x:c>
      <x:c r="I28" s="10" t="str">
        <x:f>IF(A28="","",IF(COUNTIFS('Видео'!$A$7:$A$1508,A28)=1,INDEX('Видео'!$AI$7:$AI$1508,MATCH(A28,'Видео'!$A$7:$A$1508,0)),"ID не найден"))</x:f>
        <x:v>Нужна редактура</x:v>
      </x:c>
      <x:c r="J28" s="11" t="str">
        <x:f>IF(A28="","",IF(COUNTIFS('Видео'!$A$7:$A$1508,A28)=1,INDEX('Видео'!$U$7:$U$1508,MATCH(A28,'Видео'!$A$7:$A$1508,0)),"ID не найден"))</x:f>
        <x:v>https://www.youtube.com/watch?v=ntyg4dEoDek</x:v>
      </x:c>
      <x:c r="K28" s="9" t="str">
        <x:v>C029</x:v>
      </x:c>
      <x:c r="L28" s="9" t="str">
        <x:v>Да</x:v>
      </x:c>
    </x:row>
    <x:row r="29" ht="60" customHeight="1">
      <x:c r="A29" s="9" t="str">
        <x:v>b--K7OqtGZ8</x:v>
      </x:c>
      <x:c r="B29" s="10" t="str">
        <x:f>IF(A29="","",IF(COUNTIFS('Видео'!$A$7:$A$1508,A29)=1,INDEX('Видео'!$B$7:$B$1508,MATCH(A29,'Видео'!$A$7:$A$1508,0)),"ID не найден"))</x:f>
        <x:v>סדרה תיעודית חדשה על ההייטק הישראלי 🦄 יוניקורנז | פרק 1 - החלום האמריקאי.קום</x:v>
      </x:c>
      <x:c r="C29" s="10" t="str">
        <x:f>IF(A29="","",IF(COUNTIFS('Видео'!$A$7:$A$1508,A29)=1,INDEX('Видео'!$C$7:$C$1508,MATCH(A29,'Видео'!$A$7:$A$1508,0)),"ID не найден"))</x:f>
        <x:v>Технологии и работа</x:v>
      </x:c>
      <x:c r="D29" s="10" t="str">
        <x:f>IF(A29="","",IF(COUNTIFS('Видео'!$A$7:$A$1508,A29)=1,INDEX('Видео'!$M$7:$M$1508,MATCH(A29,'Видео'!$A$7:$A$1508,0)),"ID не найден"))</x:f>
        <x:v>Тема: סדרה תיעודית חדשה על ההייטק הישראלי 🦄 יוניקורנז | פרק 1 - החלום האמריקאי.קום. Израильский технологический сектор привлекает профессиональную аудиторию. Нужная лексика работы, бизнеса и инноваций.</x:v>
      </x:c>
      <x:c r="E29" s="9" t="str">
        <x:f>IF(A29="","",IF(COUNTIFS('Видео'!$A$7:$A$1508,A29)=1,INDEX('Видео'!$D$7:$D$1508,MATCH(A29,'Видео'!$A$7:$A$1508,0)),"ID не найден"))</x:f>
        <x:v>Образование</x:v>
      </x:c>
      <x:c r="F29" s="10" t="str">
        <x:f>IF(A29="","",IF(COUNTIFS('Видео'!$A$7:$A$1508,A29)=1,INDEX('Видео'!$F$7:$F$1508,MATCH(A29,'Видео'!$A$7:$A$1508,0)),"ID не найден"))</x:f>
        <x:v>B2–C1 (гипотеза)</x:v>
      </x:c>
      <x:c r="G29" s="14" t="n">
        <x:f>IF(A29="","",IF(COUNTIFS('Видео'!$A$7:$A$1508,A29)=1,INDEX('Видео'!$H$7:$H$1508,MATCH(A29,'Видео'!$A$7:$A$1508,0)),"ID не найден"))</x:f>
        <x:v>103208</x:v>
      </x:c>
      <x:c r="H29" s="18" t="str">
        <x:f>IF(A29="","",IF(COUNTIFS('Видео'!$A$7:$A$1508,A29)=1,INDEX('Видео'!$L$7:$L$1508,MATCH(A29,'Видео'!$A$7:$A$1508,0)),"ID не найден"))</x:f>
      </x:c>
      <x:c r="I29" s="10" t="str">
        <x:f>IF(A29="","",IF(COUNTIFS('Видео'!$A$7:$A$1508,A29)=1,INDEX('Видео'!$AI$7:$AI$1508,MATCH(A29,'Видео'!$A$7:$A$1508,0)),"ID не найден"))</x:f>
        <x:v>Нужна редактура</x:v>
      </x:c>
      <x:c r="J29" s="11" t="str">
        <x:f>IF(A29="","",IF(COUNTIFS('Видео'!$A$7:$A$1508,A29)=1,INDEX('Видео'!$U$7:$U$1508,MATCH(A29,'Видео'!$A$7:$A$1508,0)),"ID не найден"))</x:f>
        <x:v>https://www.youtube.com/watch?v=b--K7OqtGZ8</x:v>
      </x:c>
      <x:c r="K29" s="9" t="str">
        <x:v>C034</x:v>
      </x:c>
      <x:c r="L29" s="9" t="str">
        <x:v>Да</x:v>
      </x:c>
    </x:row>
    <x:row r="30" ht="60" customHeight="1">
      <x:c r="A30" s="9" t="str">
        <x:v>fKnv4D6k0Fs</x:v>
      </x:c>
      <x:c r="B30" s="10" t="str">
        <x:f>IF(A30="","",IF(COUNTIFS('Видео'!$A$7:$A$1508,A30)=1,INDEX('Видео'!$B$7:$B$1508,MATCH(A30,'Видео'!$A$7:$A$1508,0)),"ID не найден"))</x:f>
        <x:v>יוניקורנז | פרק 2 - ארץ ההייטק המובטחת</x:v>
      </x:c>
      <x:c r="C30" s="10" t="str">
        <x:f>IF(A30="","",IF(COUNTIFS('Видео'!$A$7:$A$1508,A30)=1,INDEX('Видео'!$C$7:$C$1508,MATCH(A30,'Видео'!$A$7:$A$1508,0)),"ID не найден"))</x:f>
        <x:v>Технологии и работа</x:v>
      </x:c>
      <x:c r="D30" s="10" t="str">
        <x:f>IF(A30="","",IF(COUNTIFS('Видео'!$A$7:$A$1508,A30)=1,INDEX('Видео'!$M$7:$M$1508,MATCH(A30,'Видео'!$A$7:$A$1508,0)),"ID не найден"))</x:f>
        <x:v>Тема: יוניקורנז | פרק 2 - ארץ ההייטק המובטחת. Израильский технологический сектор привлекает профессиональную аудиторию. Нужная лексика работы, бизнеса и инноваций.</x:v>
      </x:c>
      <x:c r="E30" s="9" t="str">
        <x:f>IF(A30="","",IF(COUNTIFS('Видео'!$A$7:$A$1508,A30)=1,INDEX('Видео'!$D$7:$D$1508,MATCH(A30,'Видео'!$A$7:$A$1508,0)),"ID не найден"))</x:f>
        <x:v>Образование</x:v>
      </x:c>
      <x:c r="F30" s="10" t="str">
        <x:f>IF(A30="","",IF(COUNTIFS('Видео'!$A$7:$A$1508,A30)=1,INDEX('Видео'!$F$7:$F$1508,MATCH(A30,'Видео'!$A$7:$A$1508,0)),"ID не найден"))</x:f>
        <x:v>B2–C1 (гипотеза)</x:v>
      </x:c>
      <x:c r="G30" s="14" t="n">
        <x:f>IF(A30="","",IF(COUNTIFS('Видео'!$A$7:$A$1508,A30)=1,INDEX('Видео'!$H$7:$H$1508,MATCH(A30,'Видео'!$A$7:$A$1508,0)),"ID не найден"))</x:f>
        <x:v>43135</x:v>
      </x:c>
      <x:c r="H30" s="18" t="str">
        <x:f>IF(A30="","",IF(COUNTIFS('Видео'!$A$7:$A$1508,A30)=1,INDEX('Видео'!$L$7:$L$1508,MATCH(A30,'Видео'!$A$7:$A$1508,0)),"ID не найден"))</x:f>
      </x:c>
      <x:c r="I30" s="10" t="str">
        <x:f>IF(A30="","",IF(COUNTIFS('Видео'!$A$7:$A$1508,A30)=1,INDEX('Видео'!$AI$7:$AI$1508,MATCH(A30,'Видео'!$A$7:$A$1508,0)),"ID не найден"))</x:f>
        <x:v>Нужна редактура</x:v>
      </x:c>
      <x:c r="J30" s="11" t="str">
        <x:f>IF(A30="","",IF(COUNTIFS('Видео'!$A$7:$A$1508,A30)=1,INDEX('Видео'!$U$7:$U$1508,MATCH(A30,'Видео'!$A$7:$A$1508,0)),"ID не найден"))</x:f>
        <x:v>https://www.youtube.com/watch?v=fKnv4D6k0Fs</x:v>
      </x:c>
      <x:c r="K30" s="9" t="str">
        <x:v>C034</x:v>
      </x:c>
      <x:c r="L30" s="9" t="str">
        <x:v>Да</x:v>
      </x:c>
    </x:row>
    <x:row r="31" ht="60" customHeight="1">
      <x:c r="A31" s="9" t="str">
        <x:v>B-vif05PiVw</x:v>
      </x:c>
      <x:c r="B31" s="10" t="str">
        <x:f>IF(A31="","",IF(COUNTIFS('Видео'!$A$7:$A$1508,A31)=1,INDEX('Видео'!$B$7:$B$1508,MATCH(A31,'Видео'!$A$7:$A$1508,0)),"ID не найден"))</x:f>
        <x:v>"כל העמק פה מפוצץ משגרים" - דוקותיים בלב עזה</x:v>
      </x:c>
      <x:c r="C31" s="10" t="str">
        <x:f>IF(A31="","",IF(COUNTIFS('Видео'!$A$7:$A$1508,A31)=1,INDEX('Видео'!$C$7:$C$1508,MATCH(A31,'Видео'!$A$7:$A$1508,0)),"ID не найден"))</x:f>
        <x:v>Люди и повседневность</x:v>
      </x:c>
      <x:c r="D31" s="10" t="str">
        <x:f>IF(A31="","",IF(COUNTIFS('Видео'!$A$7:$A$1508,A31)=1,INDEX('Видео'!$M$7:$M$1508,MATCH(A31,'Видео'!$A$7:$A$1508,0)),"ID не найден"))</x:f>
        <x:v>Завершённый короткий просмотр около 9 мин. Просмотры в списке выше медианы выборки этого цикла в 8.06 раза. Короткая история реального человека подходит для ежедневной привычки. Разные профессии и места расширяют взгляд на страну.</x:v>
      </x:c>
      <x:c r="E31" s="9" t="str">
        <x:f>IF(A31="","",IF(COUNTIFS('Видео'!$A$7:$A$1508,A31)=1,INDEX('Видео'!$D$7:$D$1508,MATCH(A31,'Видео'!$A$7:$A$1508,0)),"ID не найден"))</x:f>
        <x:v>Быт</x:v>
      </x:c>
      <x:c r="F31" s="10" t="str">
        <x:f>IF(A31="","",IF(COUNTIFS('Видео'!$A$7:$A$1508,A31)=1,INDEX('Видео'!$F$7:$F$1508,MATCH(A31,'Видео'!$A$7:$A$1508,0)),"ID не найден"))</x:f>
        <x:v>B1–B2 (гипотеза)</x:v>
      </x:c>
      <x:c r="G31" s="14" t="n">
        <x:f>IF(A31="","",IF(COUNTIFS('Видео'!$A$7:$A$1508,A31)=1,INDEX('Видео'!$H$7:$H$1508,MATCH(A31,'Видео'!$A$7:$A$1508,0)),"ID не найден"))</x:f>
        <x:v>262284</x:v>
      </x:c>
      <x:c r="H31" s="18" t="n">
        <x:f>IF(A31="","",IF(COUNTIFS('Видео'!$A$7:$A$1508,A31)=1,INDEX('Видео'!$L$7:$L$1508,MATCH(A31,'Видео'!$A$7:$A$1508,0)),"ID не найден"))</x:f>
        <x:v>8.061538461538461</x:v>
      </x:c>
      <x:c r="I31" s="10" t="str">
        <x:f>IF(A31="","",IF(COUNTIFS('Видео'!$A$7:$A$1508,A31)=1,INDEX('Видео'!$AI$7:$AI$1508,MATCH(A31,'Видео'!$A$7:$A$1508,0)),"ID не найден"))</x:f>
        <x:v>Нужна редактура</x:v>
      </x:c>
      <x:c r="J31" s="11" t="str">
        <x:f>IF(A31="","",IF(COUNTIFS('Видео'!$A$7:$A$1508,A31)=1,INDEX('Видео'!$U$7:$U$1508,MATCH(A31,'Видео'!$A$7:$A$1508,0)),"ID не найден"))</x:f>
        <x:v>https://www.youtube.com/watch?v=B-vif05PiVw</x:v>
      </x:c>
      <x:c r="K31" s="9" t="str">
        <x:v>C043</x:v>
      </x:c>
      <x:c r="L31" s="9" t="str">
        <x:v>Нет</x:v>
      </x:c>
    </x:row>
    <x:row r="32" ht="60" customHeight="1">
      <x:c r="A32" s="9" t="str">
        <x:v>xXXVQY6hWYg</x:v>
      </x:c>
      <x:c r="B32" s="10" t="str">
        <x:f>IF(A32="","",IF(COUNTIFS('Видео'!$A$7:$A$1508,A32)=1,INDEX('Видео'!$B$7:$B$1508,MATCH(A32,'Видео'!$A$7:$A$1508,0)),"ID не найден"))</x:f>
        <x:v>דוקותיים | שלו מעצב נעליים יחודיות לאנשים מיוחדים</x:v>
      </x:c>
      <x:c r="C32" s="10" t="str">
        <x:f>IF(A32="","",IF(COUNTIFS('Видео'!$A$7:$A$1508,A32)=1,INDEX('Видео'!$C$7:$C$1508,MATCH(A32,'Видео'!$A$7:$A$1508,0)),"ID не найден"))</x:f>
        <x:v>Люди и повседневность</x:v>
      </x:c>
      <x:c r="D32" s="10" t="str">
        <x:f>IF(A32="","",IF(COUNTIFS('Видео'!$A$7:$A$1508,A32)=1,INDEX('Видео'!$M$7:$M$1508,MATCH(A32,'Видео'!$A$7:$A$1508,0)),"ID не найден"))</x:f>
        <x:v>Завершённый короткий просмотр около 6 мин. Просмотры в списке выше медианы выборки этого цикла в 7.69 раза. Короткая история реального человека подходит для ежедневной привычки. Разные профессии и места расширяют взгляд на страну.</x:v>
      </x:c>
      <x:c r="E32" s="9" t="str">
        <x:f>IF(A32="","",IF(COUNTIFS('Видео'!$A$7:$A$1508,A32)=1,INDEX('Видео'!$D$7:$D$1508,MATCH(A32,'Видео'!$A$7:$A$1508,0)),"ID не найден"))</x:f>
        <x:v>Быт</x:v>
      </x:c>
      <x:c r="F32" s="10" t="str">
        <x:f>IF(A32="","",IF(COUNTIFS('Видео'!$A$7:$A$1508,A32)=1,INDEX('Видео'!$F$7:$F$1508,MATCH(A32,'Видео'!$A$7:$A$1508,0)),"ID не найден"))</x:f>
        <x:v>B1–B2 (гипотеза)</x:v>
      </x:c>
      <x:c r="G32" s="14" t="n">
        <x:f>IF(A32="","",IF(COUNTIFS('Видео'!$A$7:$A$1508,A32)=1,INDEX('Видео'!$H$7:$H$1508,MATCH(A32,'Видео'!$A$7:$A$1508,0)),"ID не найден"))</x:f>
        <x:v>250947</x:v>
      </x:c>
      <x:c r="H32" s="18" t="n">
        <x:f>IF(A32="","",IF(COUNTIFS('Видео'!$A$7:$A$1508,A32)=1,INDEX('Видео'!$L$7:$L$1508,MATCH(A32,'Видео'!$A$7:$A$1508,0)),"ID не найден"))</x:f>
        <x:v>7.6923076923076925</x:v>
      </x:c>
      <x:c r="I32" s="10" t="str">
        <x:f>IF(A32="","",IF(COUNTIFS('Видео'!$A$7:$A$1508,A32)=1,INDEX('Видео'!$AI$7:$AI$1508,MATCH(A32,'Видео'!$A$7:$A$1508,0)),"ID не найден"))</x:f>
        <x:v>Нужна редактура</x:v>
      </x:c>
      <x:c r="J32" s="11" t="str">
        <x:f>IF(A32="","",IF(COUNTIFS('Видео'!$A$7:$A$1508,A32)=1,INDEX('Видео'!$U$7:$U$1508,MATCH(A32,'Видео'!$A$7:$A$1508,0)),"ID не найден"))</x:f>
        <x:v>https://www.youtube.com/watch?v=xXXVQY6hWYg</x:v>
      </x:c>
      <x:c r="K32" s="9" t="str">
        <x:v>C043</x:v>
      </x:c>
      <x:c r="L32" s="9" t="str">
        <x:v>Да</x:v>
      </x:c>
    </x:row>
    <x:row r="33" ht="60" customHeight="1">
      <x:c r="A33" s="9" t="str">
        <x:v>39eRcn-QXd0</x:v>
      </x:c>
      <x:c r="B33" s="10" t="str">
        <x:f>IF(A33="","",IF(COUNTIFS('Видео'!$A$7:$A$1508,A33)=1,INDEX('Видео'!$B$7:$B$1508,MATCH(A33,'Видео'!$A$7:$A$1508,0)),"ID не найден"))</x:f>
        <x:v>כמה פיפי יש בבריכות השחייה שלנו (ומה הכלור עושה לו)? | כאן סקרנים</x:v>
      </x:c>
      <x:c r="C33" s="10" t="str">
        <x:f>IF(A33="","",IF(COUNTIFS('Видео'!$A$7:$A$1508,A33)=1,INDEX('Видео'!$C$7:$C$1508,MATCH(A33,'Видео'!$A$7:$A$1508,0)),"ID не найден"))</x:f>
        <x:v>Вопросы о мире</x:v>
      </x:c>
      <x:c r="D33" s="10" t="str">
        <x:f>IF(A33="","",IF(COUNTIFS('Видео'!$A$7:$A$1508,A33)=1,INDEX('Видео'!$M$7:$M$1508,MATCH(A33,'Видео'!$A$7:$A$1508,0)),"ID не найден"))</x:f>
        <x:v>Завершённый короткий просмотр около 9 мин. Просмотры в списке выше медианы выборки этого цикла в 2.72 раза. Один понятный вопрос даёт завершённый короткий выпуск и повод поделиться им.</x:v>
      </x:c>
      <x:c r="E33" s="9" t="str">
        <x:f>IF(A33="","",IF(COUNTIFS('Видео'!$A$7:$A$1508,A33)=1,INDEX('Видео'!$D$7:$D$1508,MATCH(A33,'Видео'!$A$7:$A$1508,0)),"ID не найден"))</x:f>
        <x:v>Образование</x:v>
      </x:c>
      <x:c r="F33" s="10" t="str">
        <x:f>IF(A33="","",IF(COUNTIFS('Видео'!$A$7:$A$1508,A33)=1,INDEX('Видео'!$F$7:$F$1508,MATCH(A33,'Видео'!$A$7:$A$1508,0)),"ID не найден"))</x:f>
        <x:v>B1–B2 (гипотеза)</x:v>
      </x:c>
      <x:c r="G33" s="14" t="n">
        <x:f>IF(A33="","",IF(COUNTIFS('Видео'!$A$7:$A$1508,A33)=1,INDEX('Видео'!$H$7:$H$1508,MATCH(A33,'Видео'!$A$7:$A$1508,0)),"ID не найден"))</x:f>
        <x:v>227892</x:v>
      </x:c>
      <x:c r="H33" s="18" t="n">
        <x:f>IF(A33="","",IF(COUNTIFS('Видео'!$A$7:$A$1508,A33)=1,INDEX('Видео'!$L$7:$L$1508,MATCH(A33,'Видео'!$A$7:$A$1508,0)),"ID не найден"))</x:f>
        <x:v>2.718562874251497</x:v>
      </x:c>
      <x:c r="I33" s="10" t="str">
        <x:f>IF(A33="","",IF(COUNTIFS('Видео'!$A$7:$A$1508,A33)=1,INDEX('Видео'!$AI$7:$AI$1508,MATCH(A33,'Видео'!$A$7:$A$1508,0)),"ID не найден"))</x:f>
        <x:v>Нужна редактура</x:v>
      </x:c>
      <x:c r="J33" s="11" t="str">
        <x:f>IF(A33="","",IF(COUNTIFS('Видео'!$A$7:$A$1508,A33)=1,INDEX('Видео'!$U$7:$U$1508,MATCH(A33,'Видео'!$A$7:$A$1508,0)),"ID не найден"))</x:f>
        <x:v>https://www.youtube.com/watch?v=39eRcn-QXd0</x:v>
      </x:c>
      <x:c r="K33" s="9" t="str">
        <x:v>C044</x:v>
      </x:c>
      <x:c r="L33" s="9" t="str">
        <x:v>Да</x:v>
      </x:c>
    </x:row>
    <x:row r="34" ht="60" customHeight="1">
      <x:c r="A34" s="9" t="str">
        <x:v>yor-TywKHDU</x:v>
      </x:c>
      <x:c r="B34" s="10" t="str">
        <x:f>IF(A34="","",IF(COUNTIFS('Видео'!$A$7:$A$1508,A34)=1,INDEX('Видео'!$B$7:$B$1508,MATCH(A34,'Видео'!$A$7:$A$1508,0)),"ID не найден"))</x:f>
        <x:v>האם בני ישראל בנו את הפירמידות במצרים? | כאן סקרנים</x:v>
      </x:c>
      <x:c r="C34" s="10" t="str">
        <x:f>IF(A34="","",IF(COUNTIFS('Видео'!$A$7:$A$1508,A34)=1,INDEX('Видео'!$C$7:$C$1508,MATCH(A34,'Видео'!$A$7:$A$1508,0)),"ID не найден"))</x:f>
        <x:v>Вопросы о мире</x:v>
      </x:c>
      <x:c r="D34" s="10" t="str">
        <x:f>IF(A34="","",IF(COUNTIFS('Видео'!$A$7:$A$1508,A34)=1,INDEX('Видео'!$M$7:$M$1508,MATCH(A34,'Видео'!$A$7:$A$1508,0)),"ID не найден"))</x:f>
        <x:v>Завершённый короткий просмотр около 8 мин. Просмотры в списке выше медианы выборки этого цикла в 2.63 раза. Один понятный вопрос даёт завершённый короткий выпуск и повод поделиться им.</x:v>
      </x:c>
      <x:c r="E34" s="9" t="str">
        <x:f>IF(A34="","",IF(COUNTIFS('Видео'!$A$7:$A$1508,A34)=1,INDEX('Видео'!$D$7:$D$1508,MATCH(A34,'Видео'!$A$7:$A$1508,0)),"ID не найден"))</x:f>
        <x:v>Образование</x:v>
      </x:c>
      <x:c r="F34" s="10" t="str">
        <x:f>IF(A34="","",IF(COUNTIFS('Видео'!$A$7:$A$1508,A34)=1,INDEX('Видео'!$F$7:$F$1508,MATCH(A34,'Видео'!$A$7:$A$1508,0)),"ID не найден"))</x:f>
        <x:v>B1–B2 (гипотеза)</x:v>
      </x:c>
      <x:c r="G34" s="14" t="n">
        <x:f>IF(A34="","",IF(COUNTIFS('Видео'!$A$7:$A$1508,A34)=1,INDEX('Видео'!$H$7:$H$1508,MATCH(A34,'Видео'!$A$7:$A$1508,0)),"ID не найден"))</x:f>
        <x:v>220292</x:v>
      </x:c>
      <x:c r="H34" s="18" t="n">
        <x:f>IF(A34="","",IF(COUNTIFS('Видео'!$A$7:$A$1508,A34)=1,INDEX('Видео'!$L$7:$L$1508,MATCH(A34,'Видео'!$A$7:$A$1508,0)),"ID не найден"))</x:f>
        <x:v>2.6347305389221556</x:v>
      </x:c>
      <x:c r="I34" s="10" t="str">
        <x:f>IF(A34="","",IF(COUNTIFS('Видео'!$A$7:$A$1508,A34)=1,INDEX('Видео'!$AI$7:$AI$1508,MATCH(A34,'Видео'!$A$7:$A$1508,0)),"ID не найден"))</x:f>
        <x:v>Нужна редактура</x:v>
      </x:c>
      <x:c r="J34" s="11" t="str">
        <x:f>IF(A34="","",IF(COUNTIFS('Видео'!$A$7:$A$1508,A34)=1,INDEX('Видео'!$U$7:$U$1508,MATCH(A34,'Видео'!$A$7:$A$1508,0)),"ID не найден"))</x:f>
        <x:v>https://www.youtube.com/watch?v=yor-TywKHDU</x:v>
      </x:c>
      <x:c r="K34" s="9" t="str">
        <x:v>C044</x:v>
      </x:c>
      <x:c r="L34" s="9" t="str">
        <x:v>Да</x:v>
      </x:c>
    </x:row>
    <x:row r="35" ht="60" customHeight="1">
      <x:c r="A35" s="9" t="str">
        <x:v>QZqEJFJIWSA</x:v>
      </x:c>
      <x:c r="B35" s="10" t="str">
        <x:f>IF(A35="","",IF(COUNTIFS('Видео'!$A$7:$A$1508,A35)=1,INDEX('Видео'!$B$7:$B$1508,MATCH(A35,'Видео'!$A$7:$A$1508,0)),"ID не найден"))</x:f>
        <x:v>גיחה לאיראן מצריכה כמויות עצומות של דלק סילוני, אז איך מתדלקים בתנאים עוינים?</x:v>
      </x:c>
      <x:c r="C35" s="10" t="str">
        <x:f>IF(A35="","",IF(COUNTIFS('Видео'!$A$7:$A$1508,A35)=1,INDEX('Видео'!$C$7:$C$1508,MATCH(A35,'Видео'!$A$7:$A$1508,0)),"ID не найден"))</x:f>
        <x:v>Общество простыми словами</x:v>
      </x:c>
      <x:c r="D35" s="10" t="str">
        <x:f>IF(A35="","",IF(COUNTIFS('Видео'!$A$7:$A$1508,A35)=1,INDEX('Видео'!$M$7:$M$1508,MATCH(A35,'Видео'!$A$7:$A$1508,0)),"ID не найден"))</x:f>
        <x:v>Завершённый короткий просмотр около 2 мин. Просмотры в списке выше медианы выборки этого цикла в 9.97 раза. Объясняющий формат снижает порог входа в незнакомые институты и общественные темы.</x:v>
      </x:c>
      <x:c r="E35" s="9" t="str">
        <x:f>IF(A35="","",IF(COUNTIFS('Видео'!$A$7:$A$1508,A35)=1,INDEX('Видео'!$D$7:$D$1508,MATCH(A35,'Видео'!$A$7:$A$1508,0)),"ID не найден"))</x:f>
        <x:v>Образование</x:v>
      </x:c>
      <x:c r="F35" s="10" t="str">
        <x:f>IF(A35="","",IF(COUNTIFS('Видео'!$A$7:$A$1508,A35)=1,INDEX('Видео'!$F$7:$F$1508,MATCH(A35,'Видео'!$A$7:$A$1508,0)),"ID не найден"))</x:f>
        <x:v>B1–B2 (гипотеза)</x:v>
      </x:c>
      <x:c r="G35" s="14" t="n">
        <x:f>IF(A35="","",IF(COUNTIFS('Видео'!$A$7:$A$1508,A35)=1,INDEX('Видео'!$H$7:$H$1508,MATCH(A35,'Видео'!$A$7:$A$1508,0)),"ID не найден"))</x:f>
        <x:v>588851</x:v>
      </x:c>
      <x:c r="H35" s="18" t="n">
        <x:f>IF(A35="","",IF(COUNTIFS('Видео'!$A$7:$A$1508,A35)=1,INDEX('Видео'!$L$7:$L$1508,MATCH(A35,'Видео'!$A$7:$A$1508,0)),"ID не найден"))</x:f>
        <x:v>9.966101694915254</x:v>
      </x:c>
      <x:c r="I35" s="10" t="str">
        <x:f>IF(A35="","",IF(COUNTIFS('Видео'!$A$7:$A$1508,A35)=1,INDEX('Видео'!$AI$7:$AI$1508,MATCH(A35,'Видео'!$A$7:$A$1508,0)),"ID не найден"))</x:f>
        <x:v>Нужна редактура</x:v>
      </x:c>
      <x:c r="J35" s="11" t="str">
        <x:f>IF(A35="","",IF(COUNTIFS('Видео'!$A$7:$A$1508,A35)=1,INDEX('Видео'!$U$7:$U$1508,MATCH(A35,'Видео'!$A$7:$A$1508,0)),"ID не найден"))</x:f>
        <x:v>https://www.youtube.com/watch?v=QZqEJFJIWSA</x:v>
      </x:c>
      <x:c r="K35" s="9" t="str">
        <x:v>C045</x:v>
      </x:c>
      <x:c r="L35" s="9" t="str">
        <x:v>Да</x:v>
      </x:c>
    </x:row>
    <x:row r="36" ht="60" customHeight="1">
      <x:c r="A36" s="9" t="str">
        <x:v>jxyo6GHQGdc</x:v>
      </x:c>
      <x:c r="B36" s="10" t="str">
        <x:f>IF(A36="","",IF(COUNTIFS('Видео'!$A$7:$A$1508,A36)=1,INDEX('Видео'!$B$7:$B$1508,MATCH(A36,'Видео'!$A$7:$A$1508,0)),"ID не найден"))</x:f>
        <x:v>כאן מסבירים | איך עובדים לחצנים של מעברי חצייה? 🚦</x:v>
      </x:c>
      <x:c r="C36" s="10" t="str">
        <x:f>IF(A36="","",IF(COUNTIFS('Видео'!$A$7:$A$1508,A36)=1,INDEX('Видео'!$C$7:$C$1508,MATCH(A36,'Видео'!$A$7:$A$1508,0)),"ID не найден"))</x:f>
        <x:v>Общество простыми словами</x:v>
      </x:c>
      <x:c r="D36" s="10" t="str">
        <x:f>IF(A36="","",IF(COUNTIFS('Видео'!$A$7:$A$1508,A36)=1,INDEX('Видео'!$M$7:$M$1508,MATCH(A36,'Видео'!$A$7:$A$1508,0)),"ID не найден"))</x:f>
        <x:v>Завершённый короткий просмотр около 4 мин. Просмотры в списке выше медианы выборки этого цикла в 4.08 раза. Объясняющий формат снижает порог входа в незнакомые институты и общественные темы.</x:v>
      </x:c>
      <x:c r="E36" s="9" t="str">
        <x:f>IF(A36="","",IF(COUNTIFS('Видео'!$A$7:$A$1508,A36)=1,INDEX('Видео'!$D$7:$D$1508,MATCH(A36,'Видео'!$A$7:$A$1508,0)),"ID не найден"))</x:f>
        <x:v>Образование</x:v>
      </x:c>
      <x:c r="F36" s="10" t="str">
        <x:f>IF(A36="","",IF(COUNTIFS('Видео'!$A$7:$A$1508,A36)=1,INDEX('Видео'!$F$7:$F$1508,MATCH(A36,'Видео'!$A$7:$A$1508,0)),"ID не найден"))</x:f>
        <x:v>B1–B2 (гипотеза)</x:v>
      </x:c>
      <x:c r="G36" s="14" t="n">
        <x:f>IF(A36="","",IF(COUNTIFS('Видео'!$A$7:$A$1508,A36)=1,INDEX('Видео'!$H$7:$H$1508,MATCH(A36,'Видео'!$A$7:$A$1508,0)),"ID не найден"))</x:f>
        <x:v>241197</x:v>
      </x:c>
      <x:c r="H36" s="18" t="n">
        <x:f>IF(A36="","",IF(COUNTIFS('Видео'!$A$7:$A$1508,A36)=1,INDEX('Видео'!$L$7:$L$1508,MATCH(A36,'Видео'!$A$7:$A$1508,0)),"ID не найден"))</x:f>
        <x:v>4.084745762711864</x:v>
      </x:c>
      <x:c r="I36" s="10" t="str">
        <x:f>IF(A36="","",IF(COUNTIFS('Видео'!$A$7:$A$1508,A36)=1,INDEX('Видео'!$AI$7:$AI$1508,MATCH(A36,'Видео'!$A$7:$A$1508,0)),"ID не найден"))</x:f>
        <x:v>Нужна редактура</x:v>
      </x:c>
      <x:c r="J36" s="11" t="str">
        <x:f>IF(A36="","",IF(COUNTIFS('Видео'!$A$7:$A$1508,A36)=1,INDEX('Видео'!$U$7:$U$1508,MATCH(A36,'Видео'!$A$7:$A$1508,0)),"ID не найден"))</x:f>
        <x:v>https://www.youtube.com/watch?v=jxyo6GHQGdc</x:v>
      </x:c>
      <x:c r="K36" s="9" t="str">
        <x:v>C045</x:v>
      </x:c>
      <x:c r="L36" s="9" t="str">
        <x:v>Да</x:v>
      </x:c>
    </x:row>
    <x:row r="37" ht="60" customHeight="1">
      <x:c r="A37" s="9" t="str">
        <x:v>6ba7KJ9a1Co</x:v>
      </x:c>
      <x:c r="B37" s="10" t="str">
        <x:f>IF(A37="","",IF(COUNTIFS('Видео'!$A$7:$A$1508,A37)=1,INDEX('Видео'!$B$7:$B$1508,MATCH(A37,'Видео'!$A$7:$A$1508,0)),"ID не найден"))</x:f>
        <x:v>איך הגְרוּש של מר קראב מבוב ספוג הגיע לאילת?</x:v>
      </x:c>
      <x:c r="C37" s="10" t="str">
        <x:f>IF(A37="","",IF(COUNTIFS('Видео'!$A$7:$A$1508,A37)=1,INDEX('Видео'!$C$7:$C$1508,MATCH(A37,'Видео'!$A$7:$A$1508,0)),"ID не найден"))</x:f>
        <x:v>География и город</x:v>
      </x:c>
      <x:c r="D37" s="10" t="str">
        <x:f>IF(A37="","",IF(COUNTIFS('Видео'!$A$7:$A$1508,A37)=1,INDEX('Видео'!$M$7:$M$1508,MATCH(A37,'Видео'!$A$7:$A$1508,0)),"ID не найден"))</x:f>
        <x:v>Завершённый короткий просмотр около 2 мин. Просмотры в списке выше медианы выборки этого цикла в 2.62 раза. Короткие истории мест помогают освоить страну через реальные маршруты и городскую среду.</x:v>
      </x:c>
      <x:c r="E37" s="9" t="str">
        <x:f>IF(A37="","",IF(COUNTIFS('Видео'!$A$7:$A$1508,A37)=1,INDEX('Видео'!$D$7:$D$1508,MATCH(A37,'Видео'!$A$7:$A$1508,0)),"ID не найден"))</x:f>
        <x:v>Быт</x:v>
      </x:c>
      <x:c r="F37" s="10" t="str">
        <x:f>IF(A37="","",IF(COUNTIFS('Видео'!$A$7:$A$1508,A37)=1,INDEX('Видео'!$F$7:$F$1508,MATCH(A37,'Видео'!$A$7:$A$1508,0)),"ID не найден"))</x:f>
        <x:v>B1–B2 (гипотеза)</x:v>
      </x:c>
      <x:c r="G37" s="14" t="n">
        <x:f>IF(A37="","",IF(COUNTIFS('Видео'!$A$7:$A$1508,A37)=1,INDEX('Видео'!$H$7:$H$1508,MATCH(A37,'Видео'!$A$7:$A$1508,0)),"ID не найден"))</x:f>
        <x:v>312542</x:v>
      </x:c>
      <x:c r="H37" s="18" t="n">
        <x:f>IF(A37="","",IF(COUNTIFS('Видео'!$A$7:$A$1508,A37)=1,INDEX('Видео'!$L$7:$L$1508,MATCH(A37,'Видео'!$A$7:$A$1508,0)),"ID не найден"))</x:f>
        <x:v>2.6218487394957983</x:v>
      </x:c>
      <x:c r="I37" s="10" t="str">
        <x:f>IF(A37="","",IF(COUNTIFS('Видео'!$A$7:$A$1508,A37)=1,INDEX('Видео'!$AI$7:$AI$1508,MATCH(A37,'Видео'!$A$7:$A$1508,0)),"ID не найден"))</x:f>
        <x:v>Нужна редактура</x:v>
      </x:c>
      <x:c r="J37" s="11" t="str">
        <x:f>IF(A37="","",IF(COUNTIFS('Видео'!$A$7:$A$1508,A37)=1,INDEX('Видео'!$U$7:$U$1508,MATCH(A37,'Видео'!$A$7:$A$1508,0)),"ID не найден"))</x:f>
        <x:v>https://www.youtube.com/watch?v=6ba7KJ9a1Co</x:v>
      </x:c>
      <x:c r="K37" s="9" t="str">
        <x:v>C047</x:v>
      </x:c>
      <x:c r="L37" s="9" t="str">
        <x:v>Да</x:v>
      </x:c>
    </x:row>
    <x:row r="38" ht="60" customHeight="1">
      <x:c r="A38" s="9" t="str">
        <x:v>vQ1SROPFCFQ</x:v>
      </x:c>
      <x:c r="B38" s="10" t="str">
        <x:f>IF(A38="","",IF(COUNTIFS('Видео'!$A$7:$A$1508,A38)=1,INDEX('Видео'!$B$7:$B$1508,MATCH(A38,'Видео'!$A$7:$A$1508,0)),"ID не найден"))</x:f>
        <x:v>למה יש כסא ענק בכביש החוף? 🪑 | בצד הדרך</x:v>
      </x:c>
      <x:c r="C38" s="10" t="str">
        <x:f>IF(A38="","",IF(COUNTIFS('Видео'!$A$7:$A$1508,A38)=1,INDEX('Видео'!$C$7:$C$1508,MATCH(A38,'Видео'!$A$7:$A$1508,0)),"ID не найден"))</x:f>
        <x:v>География и город</x:v>
      </x:c>
      <x:c r="D38" s="10" t="str">
        <x:f>IF(A38="","",IF(COUNTIFS('Видео'!$A$7:$A$1508,A38)=1,INDEX('Видео'!$M$7:$M$1508,MATCH(A38,'Видео'!$A$7:$A$1508,0)),"ID не найден"))</x:f>
        <x:v>Завершённый короткий просмотр около 2 мин. Короткие истории мест помогают освоить страну через реальные маршруты и городскую среду.</x:v>
      </x:c>
      <x:c r="E38" s="9" t="str">
        <x:f>IF(A38="","",IF(COUNTIFS('Видео'!$A$7:$A$1508,A38)=1,INDEX('Видео'!$D$7:$D$1508,MATCH(A38,'Видео'!$A$7:$A$1508,0)),"ID не найден"))</x:f>
        <x:v>Быт</x:v>
      </x:c>
      <x:c r="F38" s="10" t="str">
        <x:f>IF(A38="","",IF(COUNTIFS('Видео'!$A$7:$A$1508,A38)=1,INDEX('Видео'!$F$7:$F$1508,MATCH(A38,'Видео'!$A$7:$A$1508,0)),"ID не найден"))</x:f>
        <x:v>B1–B2 (гипотеза)</x:v>
      </x:c>
      <x:c r="G38" s="14" t="n">
        <x:f>IF(A38="","",IF(COUNTIFS('Видео'!$A$7:$A$1508,A38)=1,INDEX('Видео'!$H$7:$H$1508,MATCH(A38,'Видео'!$A$7:$A$1508,0)),"ID не найден"))</x:f>
        <x:v>126991</x:v>
      </x:c>
      <x:c r="H38" s="18" t="n">
        <x:f>IF(A38="","",IF(COUNTIFS('Видео'!$A$7:$A$1508,A38)=1,INDEX('Видео'!$L$7:$L$1508,MATCH(A38,'Видео'!$A$7:$A$1508,0)),"ID не найден"))</x:f>
        <x:v>1.0588235294117647</x:v>
      </x:c>
      <x:c r="I38" s="10" t="str">
        <x:f>IF(A38="","",IF(COUNTIFS('Видео'!$A$7:$A$1508,A38)=1,INDEX('Видео'!$AI$7:$AI$1508,MATCH(A38,'Видео'!$A$7:$A$1508,0)),"ID не найден"))</x:f>
        <x:v>Нужна редактура</x:v>
      </x:c>
      <x:c r="J38" s="11" t="str">
        <x:f>IF(A38="","",IF(COUNTIFS('Видео'!$A$7:$A$1508,A38)=1,INDEX('Видео'!$U$7:$U$1508,MATCH(A38,'Видео'!$A$7:$A$1508,0)),"ID не найден"))</x:f>
        <x:v>https://www.youtube.com/watch?v=vQ1SROPFCFQ</x:v>
      </x:c>
      <x:c r="K38" s="9" t="str">
        <x:v>C047</x:v>
      </x:c>
      <x:c r="L38" s="9" t="str">
        <x:v>Да</x:v>
      </x:c>
    </x:row>
    <x:row r="39" ht="60" customHeight="1">
      <x:c r="A39" s="9" t="str">
        <x:v>expZhAuj8Ro</x:v>
      </x:c>
      <x:c r="B39" s="10" t="str">
        <x:f>IF(A39="","",IF(COUNTIFS('Видео'!$A$7:$A$1508,A39)=1,INDEX('Видео'!$B$7:$B$1508,MATCH(A39,'Видео'!$A$7:$A$1508,0)),"ID не найден"))</x:f>
        <x:v>"קיבלתי 35,000 שקל על סרטון של דקה״ | חיות כיס</x:v>
      </x:c>
      <x:c r="C39" s="10" t="str">
        <x:f>IF(A39="","",IF(COUNTIFS('Видео'!$A$7:$A$1508,A39)=1,INDEX('Видео'!$C$7:$C$1508,MATCH(A39,'Видео'!$A$7:$A$1508,0)),"ID не найден"))</x:f>
        <x:v>Деньги и повседневность</x:v>
      </x:c>
      <x:c r="D39" s="10" t="str">
        <x:f>IF(A39="","",IF(COUNTIFS('Видео'!$A$7:$A$1508,A39)=1,INDEX('Видео'!$M$7:$M$1508,MATCH(A39,'Видео'!$A$7:$A$1508,0)),"ID не найден"))</x:f>
        <x:v>Тема: "קיבלתי 35,000 שקל על סרטון של דקה״ | חיות כיס. Просмотры в списке выше медианы выборки этого цикла в 5.75 раза. Экономика через бытовой вопрос полезна зрителю с практической мотивацией.</x:v>
      </x:c>
      <x:c r="E39" s="9" t="str">
        <x:f>IF(A39="","",IF(COUNTIFS('Видео'!$A$7:$A$1508,A39)=1,INDEX('Видео'!$D$7:$D$1508,MATCH(A39,'Видео'!$A$7:$A$1508,0)),"ID не найден"))</x:f>
        <x:v>Образование</x:v>
      </x:c>
      <x:c r="F39" s="10" t="str">
        <x:f>IF(A39="","",IF(COUNTIFS('Видео'!$A$7:$A$1508,A39)=1,INDEX('Видео'!$F$7:$F$1508,MATCH(A39,'Видео'!$A$7:$A$1508,0)),"ID не найден"))</x:f>
        <x:v>B1–B2 (гипотеза)</x:v>
      </x:c>
      <x:c r="G39" s="14" t="n">
        <x:f>IF(A39="","",IF(COUNTIFS('Видео'!$A$7:$A$1508,A39)=1,INDEX('Видео'!$H$7:$H$1508,MATCH(A39,'Видео'!$A$7:$A$1508,0)),"ID не найден"))</x:f>
        <x:v>204851</x:v>
      </x:c>
      <x:c r="H39" s="18" t="n">
        <x:f>IF(A39="","",IF(COUNTIFS('Видео'!$A$7:$A$1508,A39)=1,INDEX('Видео'!$L$7:$L$1508,MATCH(A39,'Видео'!$A$7:$A$1508,0)),"ID не найден"))</x:f>
        <x:v>5.746478873239437</x:v>
      </x:c>
      <x:c r="I39" s="10" t="str">
        <x:f>IF(A39="","",IF(COUNTIFS('Видео'!$A$7:$A$1508,A39)=1,INDEX('Видео'!$AI$7:$AI$1508,MATCH(A39,'Видео'!$A$7:$A$1508,0)),"ID не найден"))</x:f>
        <x:v>Нужна редактура</x:v>
      </x:c>
      <x:c r="J39" s="11" t="str">
        <x:f>IF(A39="","",IF(COUNTIFS('Видео'!$A$7:$A$1508,A39)=1,INDEX('Видео'!$U$7:$U$1508,MATCH(A39,'Видео'!$A$7:$A$1508,0)),"ID не найден"))</x:f>
        <x:v>https://www.youtube.com/watch?v=expZhAuj8Ro</x:v>
      </x:c>
      <x:c r="K39" s="9" t="str">
        <x:v>C049</x:v>
      </x:c>
      <x:c r="L39" s="9" t="str">
        <x:v>Да</x:v>
      </x:c>
    </x:row>
    <x:row r="40" ht="60" customHeight="1">
      <x:c r="A40" s="9" t="str">
        <x:v>jAybKifO4l8</x:v>
      </x:c>
      <x:c r="B40" s="10" t="str">
        <x:f>IF(A40="","",IF(COUNTIFS('Видео'!$A$7:$A$1508,A40)=1,INDEX('Видео'!$B$7:$B$1508,MATCH(A40,'Видео'!$A$7:$A$1508,0)),"ID не найден"))</x:f>
        <x:v>חיות כיס | למה נהגי האוטובוס כל כך עצבניים? 🚌</x:v>
      </x:c>
      <x:c r="C40" s="10" t="str">
        <x:f>IF(A40="","",IF(COUNTIFS('Видео'!$A$7:$A$1508,A40)=1,INDEX('Видео'!$C$7:$C$1508,MATCH(A40,'Видео'!$A$7:$A$1508,0)),"ID не найден"))</x:f>
        <x:v>Деньги и повседневность</x:v>
      </x:c>
      <x:c r="D40" s="10" t="str">
        <x:f>IF(A40="","",IF(COUNTIFS('Видео'!$A$7:$A$1508,A40)=1,INDEX('Видео'!$M$7:$M$1508,MATCH(A40,'Видео'!$A$7:$A$1508,0)),"ID не найден"))</x:f>
        <x:v>Завершённый короткий просмотр около 3 мин. Просмотры в списке выше медианы выборки этого цикла в 4.62 раза. Экономика через бытовой вопрос полезна зрителю с практической мотивацией.</x:v>
      </x:c>
      <x:c r="E40" s="9" t="str">
        <x:f>IF(A40="","",IF(COUNTIFS('Видео'!$A$7:$A$1508,A40)=1,INDEX('Видео'!$D$7:$D$1508,MATCH(A40,'Видео'!$A$7:$A$1508,0)),"ID не найден"))</x:f>
        <x:v>Образование</x:v>
      </x:c>
      <x:c r="F40" s="10" t="str">
        <x:f>IF(A40="","",IF(COUNTIFS('Видео'!$A$7:$A$1508,A40)=1,INDEX('Видео'!$F$7:$F$1508,MATCH(A40,'Видео'!$A$7:$A$1508,0)),"ID не найден"))</x:f>
        <x:v>B1–B2 (гипотеза)</x:v>
      </x:c>
      <x:c r="G40" s="14" t="n">
        <x:f>IF(A40="","",IF(COUNTIFS('Видео'!$A$7:$A$1508,A40)=1,INDEX('Видео'!$H$7:$H$1508,MATCH(A40,'Видео'!$A$7:$A$1508,0)),"ID не найден"))</x:f>
        <x:v>164857</x:v>
      </x:c>
      <x:c r="H40" s="18" t="n">
        <x:f>IF(A40="","",IF(COUNTIFS('Видео'!$A$7:$A$1508,A40)=1,INDEX('Видео'!$L$7:$L$1508,MATCH(A40,'Видео'!$A$7:$A$1508,0)),"ID не найден"))</x:f>
        <x:v>4.619718309859155</x:v>
      </x:c>
      <x:c r="I40" s="10" t="str">
        <x:f>IF(A40="","",IF(COUNTIFS('Видео'!$A$7:$A$1508,A40)=1,INDEX('Видео'!$AI$7:$AI$1508,MATCH(A40,'Видео'!$A$7:$A$1508,0)),"ID не найден"))</x:f>
        <x:v>Нужна редактура</x:v>
      </x:c>
      <x:c r="J40" s="11" t="str">
        <x:f>IF(A40="","",IF(COUNTIFS('Видео'!$A$7:$A$1508,A40)=1,INDEX('Видео'!$U$7:$U$1508,MATCH(A40,'Видео'!$A$7:$A$1508,0)),"ID не найден"))</x:f>
        <x:v>https://www.youtube.com/watch?v=jAybKifO4l8</x:v>
      </x:c>
      <x:c r="K40" s="9" t="str">
        <x:v>C049</x:v>
      </x:c>
      <x:c r="L40" s="9" t="str">
        <x:v>Да</x:v>
      </x:c>
    </x:row>
    <x:row r="41" ht="60" customHeight="1">
      <x:c r="A41" s="9" t="str">
        <x:v>0PqFUPz6vqE</x:v>
      </x:c>
      <x:c r="B41" s="10" t="str">
        <x:f>IF(A41="","",IF(COUNTIFS('Видео'!$A$7:$A$1508,A41)=1,INDEX('Видео'!$B$7:$B$1508,MATCH(A41,'Видео'!$A$7:$A$1508,0)),"ID не найден"))</x:f>
        <x:v>כראמל 🐱 | התיבה המסתורית - פרק 1</x:v>
      </x:c>
      <x:c r="C41" s="10" t="str">
        <x:f>IF(A41="","",IF(COUNTIFS('Видео'!$A$7:$A$1508,A41)=1,INDEX('Видео'!$C$7:$C$1508,MATCH(A41,'Видео'!$A$7:$A$1508,0)),"ID не найден"))</x:f>
        <x:v>Семейные сериалы</x:v>
      </x:c>
      <x:c r="D41" s="10" t="str">
        <x:f>IF(A41="","",IF(COUNTIFS('Видео'!$A$7:$A$1508,A41)=1,INDEX('Видео'!$M$7:$M$1508,MATCH(A41,'Видео'!$A$7:$A$1508,0)),"ID не найден"))</x:f>
        <x:v>Эпизод 1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E41" s="9" t="str">
        <x:f>IF(A41="","",IF(COUNTIFS('Видео'!$A$7:$A$1508,A41)=1,INDEX('Видео'!$D$7:$D$1508,MATCH(A41,'Видео'!$A$7:$A$1508,0)),"ID не найден"))</x:f>
        <x:v>Сериал</x:v>
      </x:c>
      <x:c r="F41" s="10" t="str">
        <x:f>IF(A41="","",IF(COUNTIFS('Видео'!$A$7:$A$1508,A41)=1,INDEX('Видео'!$F$7:$F$1508,MATCH(A41,'Видео'!$A$7:$A$1508,0)),"ID не найден"))</x:f>
        <x:v>A2–B1 (гипотеза)</x:v>
      </x:c>
      <x:c r="G41" s="14" t="n">
        <x:f>IF(A41="","",IF(COUNTIFS('Видео'!$A$7:$A$1508,A41)=1,INDEX('Видео'!$H$7:$H$1508,MATCH(A41,'Видео'!$A$7:$A$1508,0)),"ID не найден"))</x:f>
        <x:v>5218984</x:v>
      </x:c>
      <x:c r="H41" s="18" t="n">
        <x:f>IF(A41="","",IF(COUNTIFS('Видео'!$A$7:$A$1508,A41)=1,INDEX('Видео'!$L$7:$L$1508,MATCH(A41,'Видео'!$A$7:$A$1508,0)),"ID не найден"))</x:f>
        <x:v>1.2530120481927711</x:v>
      </x:c>
      <x:c r="I41" s="10" t="str">
        <x:f>IF(A41="","",IF(COUNTIFS('Видео'!$A$7:$A$1508,A41)=1,INDEX('Видео'!$AI$7:$AI$1508,MATCH(A41,'Видео'!$A$7:$A$1508,0)),"ID не найден"))</x:f>
        <x:v>Нужна редактура</x:v>
      </x:c>
      <x:c r="J41" s="11" t="str">
        <x:f>IF(A41="","",IF(COUNTIFS('Видео'!$A$7:$A$1508,A41)=1,INDEX('Видео'!$U$7:$U$1508,MATCH(A41,'Видео'!$A$7:$A$1508,0)),"ID не найден"))</x:f>
        <x:v>https://www.youtube.com/watch?v=0PqFUPz6vqE</x:v>
      </x:c>
      <x:c r="K41" s="9" t="str">
        <x:v>C053</x:v>
      </x:c>
      <x:c r="L41" s="9" t="str">
        <x:v>Да</x:v>
      </x:c>
    </x:row>
    <x:row r="42" ht="60" customHeight="1">
      <x:c r="A42" s="9" t="str">
        <x:v>FyRhHspKt1w</x:v>
      </x:c>
      <x:c r="B42" s="10" t="str">
        <x:f>IF(A42="","",IF(COUNTIFS('Видео'!$A$7:$A$1508,A42)=1,INDEX('Видео'!$B$7:$B$1508,MATCH(A42,'Видео'!$A$7:$A$1508,0)),"ID не найден"))</x:f>
        <x:v>כראמל 🐱 | יש לי חתול מדבר - פרק 2</x:v>
      </x:c>
      <x:c r="C42" s="10" t="str">
        <x:f>IF(A42="","",IF(COUNTIFS('Видео'!$A$7:$A$1508,A42)=1,INDEX('Видео'!$C$7:$C$1508,MATCH(A42,'Видео'!$A$7:$A$1508,0)),"ID не найден"))</x:f>
        <x:v>Семейные сериалы</x:v>
      </x:c>
      <x:c r="D42" s="10" t="str">
        <x:f>IF(A42="","",IF(COUNTIFS('Видео'!$A$7:$A$1508,A42)=1,INDEX('Видео'!$M$7:$M$1508,MATCH(A42,'Видео'!$A$7:$A$1508,0)),"ID не найден"))</x:f>
        <x:v>Эпизод 2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E42" s="9" t="str">
        <x:f>IF(A42="","",IF(COUNTIFS('Видео'!$A$7:$A$1508,A42)=1,INDEX('Видео'!$D$7:$D$1508,MATCH(A42,'Видео'!$A$7:$A$1508,0)),"ID не найден"))</x:f>
        <x:v>Сериал</x:v>
      </x:c>
      <x:c r="F42" s="10" t="str">
        <x:f>IF(A42="","",IF(COUNTIFS('Видео'!$A$7:$A$1508,A42)=1,INDEX('Видео'!$F$7:$F$1508,MATCH(A42,'Видео'!$A$7:$A$1508,0)),"ID не найден"))</x:f>
        <x:v>A2–B1 (гипотеза)</x:v>
      </x:c>
      <x:c r="G42" s="14" t="n">
        <x:f>IF(A42="","",IF(COUNTIFS('Видео'!$A$7:$A$1508,A42)=1,INDEX('Видео'!$H$7:$H$1508,MATCH(A42,'Видео'!$A$7:$A$1508,0)),"ID не найден"))</x:f>
        <x:v>3556133</x:v>
      </x:c>
      <x:c r="H42" s="18" t="n">
        <x:f>IF(A42="","",IF(COUNTIFS('Видео'!$A$7:$A$1508,A42)=1,INDEX('Видео'!$L$7:$L$1508,MATCH(A42,'Видео'!$A$7:$A$1508,0)),"ID не найден"))</x:f>
        <x:v>0.8433734939759037</x:v>
      </x:c>
      <x:c r="I42" s="10" t="str">
        <x:f>IF(A42="","",IF(COUNTIFS('Видео'!$A$7:$A$1508,A42)=1,INDEX('Видео'!$AI$7:$AI$1508,MATCH(A42,'Видео'!$A$7:$A$1508,0)),"ID не найден"))</x:f>
        <x:v>Нужна редактура</x:v>
      </x:c>
      <x:c r="J42" s="11" t="str">
        <x:f>IF(A42="","",IF(COUNTIFS('Видео'!$A$7:$A$1508,A42)=1,INDEX('Видео'!$U$7:$U$1508,MATCH(A42,'Видео'!$A$7:$A$1508,0)),"ID не найден"))</x:f>
        <x:v>https://www.youtube.com/watch?v=FyRhHspKt1w</x:v>
      </x:c>
      <x:c r="K42" s="9" t="str">
        <x:v>C053</x:v>
      </x:c>
      <x:c r="L42" s="9" t="str">
        <x:v>Да</x:v>
      </x:c>
    </x:row>
    <x:row r="43" ht="60" customHeight="1">
      <x:c r="A43" s="9" t="str">
        <x:v>aRAO5sUkwJo</x:v>
      </x:c>
      <x:c r="B43" s="10" t="str">
        <x:f>IF(A43="","",IF(COUNTIFS('Видео'!$A$7:$A$1508,A43)=1,INDEX('Видео'!$B$7:$B$1508,MATCH(A43,'Видео'!$A$7:$A$1508,0)),"ID не найден"))</x:f>
        <x:v>גלילאו עונה 9 | מה גודלה של הפיצה הגדולה בעולם? 🍕</x:v>
      </x:c>
      <x:c r="C43" s="10" t="str">
        <x:f>IF(A43="","",IF(COUNTIFS('Видео'!$A$7:$A$1508,A43)=1,INDEX('Видео'!$C$7:$C$1508,MATCH(A43,'Видео'!$A$7:$A$1508,0)),"ID не найден"))</x:f>
        <x:v>Наука и мир</x:v>
      </x:c>
      <x:c r="D43" s="10" t="str">
        <x:f>IF(A43="","",IF(COUNTIFS('Видео'!$A$7:$A$1508,A43)=1,INDEX('Видео'!$M$7:$M$1508,MATCH(A43,'Видео'!$A$7:$A$1508,0)),"ID не найден"))</x:f>
        <x:v>Тема: גלילאו עונה 9 | מה גודלה של הפיצה הגדולה בעולם? 🍕. Просмотры в списке выше медианы выборки этого цикла в 3.89 раза. Ведущий и визуальные демонстрации помогают понимать новые слова. Формат подходит любителям научно-популярного видео.</x:v>
      </x:c>
      <x:c r="E43" s="9" t="str">
        <x:f>IF(A43="","",IF(COUNTIFS('Видео'!$A$7:$A$1508,A43)=1,INDEX('Видео'!$D$7:$D$1508,MATCH(A43,'Видео'!$A$7:$A$1508,0)),"ID не найден"))</x:f>
        <x:v>Образование</x:v>
      </x:c>
      <x:c r="F43" s="10" t="str">
        <x:f>IF(A43="","",IF(COUNTIFS('Видео'!$A$7:$A$1508,A43)=1,INDEX('Видео'!$F$7:$F$1508,MATCH(A43,'Видео'!$A$7:$A$1508,0)),"ID не найден"))</x:f>
        <x:v>B1–B2 (гипотеза)</x:v>
      </x:c>
      <x:c r="G43" s="14" t="n">
        <x:f>IF(A43="","",IF(COUNTIFS('Видео'!$A$7:$A$1508,A43)=1,INDEX('Видео'!$H$7:$H$1508,MATCH(A43,'Видео'!$A$7:$A$1508,0)),"ID не найден"))</x:f>
        <x:v>109729</x:v>
      </x:c>
      <x:c r="H43" s="18" t="n">
        <x:f>IF(A43="","",IF(COUNTIFS('Видео'!$A$7:$A$1508,A43)=1,INDEX('Видео'!$L$7:$L$1508,MATCH(A43,'Видео'!$A$7:$A$1508,0)),"ID не найден"))</x:f>
        <x:v>3.892857142857143</x:v>
      </x:c>
      <x:c r="I43" s="10" t="str">
        <x:f>IF(A43="","",IF(COUNTIFS('Видео'!$A$7:$A$1508,A43)=1,INDEX('Видео'!$AI$7:$AI$1508,MATCH(A43,'Видео'!$A$7:$A$1508,0)),"ID не найден"))</x:f>
        <x:v>Нужна редактура</x:v>
      </x:c>
      <x:c r="J43" s="11" t="str">
        <x:f>IF(A43="","",IF(COUNTIFS('Видео'!$A$7:$A$1508,A43)=1,INDEX('Видео'!$U$7:$U$1508,MATCH(A43,'Видео'!$A$7:$A$1508,0)),"ID не найден"))</x:f>
        <x:v>https://www.youtube.com/watch?v=aRAO5sUkwJo</x:v>
      </x:c>
      <x:c r="K43" s="9" t="str">
        <x:v>C056</x:v>
      </x:c>
      <x:c r="L43" s="9" t="str">
        <x:v>Да</x:v>
      </x:c>
    </x:row>
    <x:row r="44" ht="60" customHeight="1">
      <x:c r="A44" s="9" t="str">
        <x:v>t1iR3E_L7tI</x:v>
      </x:c>
      <x:c r="B44" s="10" t="str">
        <x:f>IF(A44="","",IF(COUNTIFS('Видео'!$A$7:$A$1508,A44)=1,INDEX('Видео'!$B$7:$B$1508,MATCH(A44,'Видео'!$A$7:$A$1508,0)),"ID не найден"))</x:f>
        <x:v>גלילאו עונה 9 | רפונזל האפרו-אמריקאית: השיער הארוך ביותר בעולם 👩🏾</x:v>
      </x:c>
      <x:c r="C44" s="10" t="str">
        <x:f>IF(A44="","",IF(COUNTIFS('Видео'!$A$7:$A$1508,A44)=1,INDEX('Видео'!$C$7:$C$1508,MATCH(A44,'Видео'!$A$7:$A$1508,0)),"ID не найден"))</x:f>
        <x:v>Наука и мир</x:v>
      </x:c>
      <x:c r="D44" s="10" t="str">
        <x:f>IF(A44="","",IF(COUNTIFS('Видео'!$A$7:$A$1508,A44)=1,INDEX('Видео'!$M$7:$M$1508,MATCH(A44,'Видео'!$A$7:$A$1508,0)),"ID не найден"))</x:f>
        <x:v>Тема: גלילאו עונה 9 | רפונזל האפרו-אמריקאית: השיער הארוך ביותר בעולם 👩🏾. Просмотры в списке выше медианы выборки этого цикла в 2.61 раза. Ведущий и визуальные демонстрации помогают понимать новые слова. Формат подходит любителям научно-популярного видео.</x:v>
      </x:c>
      <x:c r="E44" s="9" t="str">
        <x:f>IF(A44="","",IF(COUNTIFS('Видео'!$A$7:$A$1508,A44)=1,INDEX('Видео'!$D$7:$D$1508,MATCH(A44,'Видео'!$A$7:$A$1508,0)),"ID не найден"))</x:f>
        <x:v>Образование</x:v>
      </x:c>
      <x:c r="F44" s="10" t="str">
        <x:f>IF(A44="","",IF(COUNTIFS('Видео'!$A$7:$A$1508,A44)=1,INDEX('Видео'!$F$7:$F$1508,MATCH(A44,'Видео'!$A$7:$A$1508,0)),"ID не найден"))</x:f>
        <x:v>B1–B2 (гипотеза)</x:v>
      </x:c>
      <x:c r="G44" s="14" t="n">
        <x:f>IF(A44="","",IF(COUNTIFS('Видео'!$A$7:$A$1508,A44)=1,INDEX('Видео'!$H$7:$H$1508,MATCH(A44,'Видео'!$A$7:$A$1508,0)),"ID не найден"))</x:f>
        <x:v>73542</x:v>
      </x:c>
      <x:c r="H44" s="18" t="n">
        <x:f>IF(A44="","",IF(COUNTIFS('Видео'!$A$7:$A$1508,A44)=1,INDEX('Видео'!$L$7:$L$1508,MATCH(A44,'Видео'!$A$7:$A$1508,0)),"ID не найден"))</x:f>
        <x:v>2.607142857142857</x:v>
      </x:c>
      <x:c r="I44" s="10" t="str">
        <x:f>IF(A44="","",IF(COUNTIFS('Видео'!$A$7:$A$1508,A44)=1,INDEX('Видео'!$AI$7:$AI$1508,MATCH(A44,'Видео'!$A$7:$A$1508,0)),"ID не найден"))</x:f>
        <x:v>Нужна редактура</x:v>
      </x:c>
      <x:c r="J44" s="11" t="str">
        <x:f>IF(A44="","",IF(COUNTIFS('Видео'!$A$7:$A$1508,A44)=1,INDEX('Видео'!$U$7:$U$1508,MATCH(A44,'Видео'!$A$7:$A$1508,0)),"ID не найден"))</x:f>
        <x:v>https://www.youtube.com/watch?v=t1iR3E_L7tI</x:v>
      </x:c>
      <x:c r="K44" s="9" t="str">
        <x:v>C056</x:v>
      </x:c>
      <x:c r="L44" s="9" t="str">
        <x:v>Да</x:v>
      </x:c>
    </x:row>
    <x:row r="45" ht="60" customHeight="1">
      <x:c r="A45" s="9" t="str">
        <x:v>ekqdEnbjX0Q</x:v>
      </x:c>
      <x:c r="B45" s="10" t="str">
        <x:f>IF(A45="","",IF(COUNTIFS('Видео'!$A$7:$A$1508,A45)=1,INDEX('Видео'!$B$7:$B$1508,MATCH(A45,'Видео'!$A$7:$A$1508,0)),"ID не найден"))</x:f>
        <x:v>חומרים דוחי יתושים</x:v>
      </x:c>
      <x:c r="C45" s="10" t="str">
        <x:f>IF(A45="","",IF(COUNTIFS('Видео'!$A$7:$A$1508,A45)=1,INDEX('Видео'!$C$7:$C$1508,MATCH(A45,'Видео'!$A$7:$A$1508,0)),"ID не найден"))</x:f>
        <x:v>Научные вопросы</x:v>
      </x:c>
      <x:c r="D45" s="10" t="str">
        <x:f>IF(A45="","",IF(COUNTIFS('Видео'!$A$7:$A$1508,A45)=1,INDEX('Видео'!$M$7:$M$1508,MATCH(A45,'Видео'!$A$7:$A$1508,0)),"ID не найден"))</x:f>
        <x:v>Завершённый короткий просмотр около 2 мин. Просмотры в списке выше медианы выборки этого цикла в 2.83 раза. Научный ответ на конкретный вопрос даёт завершённый материал на короткую сессию.</x:v>
      </x:c>
      <x:c r="E45" s="9" t="str">
        <x:f>IF(A45="","",IF(COUNTIFS('Видео'!$A$7:$A$1508,A45)=1,INDEX('Видео'!$D$7:$D$1508,MATCH(A45,'Видео'!$A$7:$A$1508,0)),"ID не найден"))</x:f>
        <x:v>Образование</x:v>
      </x:c>
      <x:c r="F45" s="10" t="str">
        <x:f>IF(A45="","",IF(COUNTIFS('Видео'!$A$7:$A$1508,A45)=1,INDEX('Видео'!$F$7:$F$1508,MATCH(A45,'Видео'!$A$7:$A$1508,0)),"ID не найден"))</x:f>
        <x:v>B1–B2 (гипотеза)</x:v>
      </x:c>
      <x:c r="G45" s="14" t="n">
        <x:f>IF(A45="","",IF(COUNTIFS('Видео'!$A$7:$A$1508,A45)=1,INDEX('Видео'!$H$7:$H$1508,MATCH(A45,'Видео'!$A$7:$A$1508,0)),"ID не найден"))</x:f>
        <x:v>9927</x:v>
      </x:c>
      <x:c r="H45" s="18" t="n">
        <x:f>IF(A45="","",IF(COUNTIFS('Видео'!$A$7:$A$1508,A45)=1,INDEX('Видео'!$L$7:$L$1508,MATCH(A45,'Видео'!$A$7:$A$1508,0)),"ID не найден"))</x:f>
        <x:v>2.8285714285714287</x:v>
      </x:c>
      <x:c r="I45" s="10" t="str">
        <x:f>IF(A45="","",IF(COUNTIFS('Видео'!$A$7:$A$1508,A45)=1,INDEX('Видео'!$AI$7:$AI$1508,MATCH(A45,'Видео'!$A$7:$A$1508,0)),"ID не найден"))</x:f>
        <x:v>Нужна редактура</x:v>
      </x:c>
      <x:c r="J45" s="11" t="str">
        <x:f>IF(A45="","",IF(COUNTIFS('Видео'!$A$7:$A$1508,A45)=1,INDEX('Видео'!$U$7:$U$1508,MATCH(A45,'Видео'!$A$7:$A$1508,0)),"ID не найден"))</x:f>
        <x:v>https://www.youtube.com/watch?v=ekqdEnbjX0Q</x:v>
      </x:c>
      <x:c r="K45" s="9" t="str">
        <x:v>C059</x:v>
      </x:c>
      <x:c r="L45" s="9" t="str">
        <x:v>Да</x:v>
      </x:c>
    </x:row>
    <x:row r="46" ht="60" customHeight="1">
      <x:c r="A46" s="9" t="str">
        <x:v>tdAfNOS1puc</x:v>
      </x:c>
      <x:c r="B46" s="10" t="str">
        <x:f>IF(A46="","",IF(COUNTIFS('Видео'!$A$7:$A$1508,A46)=1,INDEX('Видео'!$B$7:$B$1508,MATCH(A46,'Видео'!$A$7:$A$1508,0)),"ID не найден"))</x:f>
        <x:v>כלבים מריחים מחלות</x:v>
      </x:c>
      <x:c r="C46" s="10" t="str">
        <x:f>IF(A46="","",IF(COUNTIFS('Видео'!$A$7:$A$1508,A46)=1,INDEX('Видео'!$C$7:$C$1508,MATCH(A46,'Видео'!$A$7:$A$1508,0)),"ID не найден"))</x:f>
        <x:v>Научные вопросы</x:v>
      </x:c>
      <x:c r="D46" s="10" t="str">
        <x:f>IF(A46="","",IF(COUNTIFS('Видео'!$A$7:$A$1508,A46)=1,INDEX('Видео'!$M$7:$M$1508,MATCH(A46,'Видео'!$A$7:$A$1508,0)),"ID не найден"))</x:f>
        <x:v>Завершённый короткий просмотр около 2 мин. Просмотры в списке выше медианы выборки этого цикла в 1.6 раза. Научный ответ на конкретный вопрос даёт завершённый материал на короткую сессию.</x:v>
      </x:c>
      <x:c r="E46" s="9" t="str">
        <x:f>IF(A46="","",IF(COUNTIFS('Видео'!$A$7:$A$1508,A46)=1,INDEX('Видео'!$D$7:$D$1508,MATCH(A46,'Видео'!$A$7:$A$1508,0)),"ID не найден"))</x:f>
        <x:v>Образование</x:v>
      </x:c>
      <x:c r="F46" s="10" t="str">
        <x:f>IF(A46="","",IF(COUNTIFS('Видео'!$A$7:$A$1508,A46)=1,INDEX('Видео'!$F$7:$F$1508,MATCH(A46,'Видео'!$A$7:$A$1508,0)),"ID не найден"))</x:f>
        <x:v>B1–B2 (гипотеза)</x:v>
      </x:c>
      <x:c r="G46" s="14" t="n">
        <x:f>IF(A46="","",IF(COUNTIFS('Видео'!$A$7:$A$1508,A46)=1,INDEX('Видео'!$H$7:$H$1508,MATCH(A46,'Видео'!$A$7:$A$1508,0)),"ID не найден"))</x:f>
        <x:v>5642</x:v>
      </x:c>
      <x:c r="H46" s="18" t="n">
        <x:f>IF(A46="","",IF(COUNTIFS('Видео'!$A$7:$A$1508,A46)=1,INDEX('Видео'!$L$7:$L$1508,MATCH(A46,'Видео'!$A$7:$A$1508,0)),"ID не найден"))</x:f>
        <x:v>1.6</x:v>
      </x:c>
      <x:c r="I46" s="10" t="str">
        <x:f>IF(A46="","",IF(COUNTIFS('Видео'!$A$7:$A$1508,A46)=1,INDEX('Видео'!$AI$7:$AI$1508,MATCH(A46,'Видео'!$A$7:$A$1508,0)),"ID не найден"))</x:f>
        <x:v>Нужна редактура</x:v>
      </x:c>
      <x:c r="J46" s="11" t="str">
        <x:f>IF(A46="","",IF(COUNTIFS('Видео'!$A$7:$A$1508,A46)=1,INDEX('Видео'!$U$7:$U$1508,MATCH(A46,'Видео'!$A$7:$A$1508,0)),"ID не найден"))</x:f>
        <x:v>https://www.youtube.com/watch?v=tdAfNOS1puc</x:v>
      </x:c>
      <x:c r="K46" s="9" t="str">
        <x:v>C059</x:v>
      </x:c>
      <x:c r="L46" s="9" t="str">
        <x:v>Да</x:v>
      </x:c>
    </x:row>
    <x:row r="47" ht="60" customHeight="1">
      <x:c r="A47" s="9" t="str">
        <x:v>NCL1GBTSQCM</x:v>
      </x:c>
      <x:c r="B47" s="10" t="str">
        <x:f>IF(A47="","",IF(COUNTIFS('Видео'!$A$7:$A$1508,A47)=1,INDEX('Видео'!$B$7:$B$1508,MATCH(A47,'Видео'!$A$7:$A$1508,0)),"ID не найден"))</x:f>
        <x:v>קסם כרוב משנה צבעים (אינדיקטור)</x:v>
      </x:c>
      <x:c r="C47" s="10" t="str">
        <x:f>IF(A47="","",IF(COUNTIFS('Видео'!$A$7:$A$1508,A47)=1,INDEX('Видео'!$C$7:$C$1508,MATCH(A47,'Видео'!$A$7:$A$1508,0)),"ID не найден"))</x:f>
        <x:v>Экология и устойчивость</x:v>
      </x:c>
      <x:c r="D47" s="10" t="str">
        <x:f>IF(A47="","",IF(COUNTIFS('Видео'!$A$7:$A$1508,A47)=1,INDEX('Видео'!$M$7:$M$1508,MATCH(A47,'Видео'!$A$7:$A$1508,0)),"ID не найден"))</x:f>
        <x:v>Завершённый короткий просмотр около 5 мин. Просмотры в списке выше медианы выборки этого цикла в 11.76 раза. Тема среды расширяет предложение для экологически заинтересованной аудитории.</x:v>
      </x:c>
      <x:c r="E47" s="9" t="str">
        <x:f>IF(A47="","",IF(COUNTIFS('Видео'!$A$7:$A$1508,A47)=1,INDEX('Видео'!$D$7:$D$1508,MATCH(A47,'Видео'!$A$7:$A$1508,0)),"ID не найден"))</x:f>
        <x:v>Образование</x:v>
      </x:c>
      <x:c r="F47" s="10" t="str">
        <x:f>IF(A47="","",IF(COUNTIFS('Видео'!$A$7:$A$1508,A47)=1,INDEX('Видео'!$F$7:$F$1508,MATCH(A47,'Видео'!$A$7:$A$1508,0)),"ID не найден"))</x:f>
        <x:v>B1–B2 (гипотеза)</x:v>
      </x:c>
      <x:c r="G47" s="14" t="n">
        <x:f>IF(A47="","",IF(COUNTIFS('Видео'!$A$7:$A$1508,A47)=1,INDEX('Видео'!$H$7:$H$1508,MATCH(A47,'Видео'!$A$7:$A$1508,0)),"ID не найден"))</x:f>
        <x:v>117768</x:v>
      </x:c>
      <x:c r="H47" s="18" t="n">
        <x:f>IF(A47="","",IF(COUNTIFS('Видео'!$A$7:$A$1508,A47)=1,INDEX('Видео'!$L$7:$L$1508,MATCH(A47,'Видео'!$A$7:$A$1508,0)),"ID не найден"))</x:f>
        <x:v>11.758793969849247</x:v>
      </x:c>
      <x:c r="I47" s="10" t="str">
        <x:f>IF(A47="","",IF(COUNTIFS('Видео'!$A$7:$A$1508,A47)=1,INDEX('Видео'!$AI$7:$AI$1508,MATCH(A47,'Видео'!$A$7:$A$1508,0)),"ID не найден"))</x:f>
        <x:v>Нужна редактура</x:v>
      </x:c>
      <x:c r="J47" s="11" t="str">
        <x:f>IF(A47="","",IF(COUNTIFS('Видео'!$A$7:$A$1508,A47)=1,INDEX('Видео'!$U$7:$U$1508,MATCH(A47,'Видео'!$A$7:$A$1508,0)),"ID не найден"))</x:f>
        <x:v>https://www.youtube.com/watch?v=NCL1GBTSQCM</x:v>
      </x:c>
      <x:c r="K47" s="9" t="str">
        <x:v>C064</x:v>
      </x:c>
      <x:c r="L47" s="9" t="str">
        <x:v>Да</x:v>
      </x:c>
    </x:row>
    <x:row r="48" ht="60" customHeight="1">
      <x:c r="A48" s="9" t="str">
        <x:v>Ll3yKFl2zH4</x:v>
      </x:c>
      <x:c r="B48" s="10" t="str">
        <x:f>IF(A48="","",IF(COUNTIFS('Видео'!$A$7:$A$1508,A48)=1,INDEX('Видео'!$B$7:$B$1508,MATCH(A48,'Видео'!$A$7:$A$1508,0)),"ID не найден"))</x:f>
        <x:v>קיסמי שיניים זזים מעצמם ויוצרים כוכב</x:v>
      </x:c>
      <x:c r="C48" s="10" t="str">
        <x:f>IF(A48="","",IF(COUNTIFS('Видео'!$A$7:$A$1508,A48)=1,INDEX('Видео'!$C$7:$C$1508,MATCH(A48,'Видео'!$A$7:$A$1508,0)),"ID не найден"))</x:f>
        <x:v>Экология и устойчивость</x:v>
      </x:c>
      <x:c r="D48" s="10" t="str">
        <x:f>IF(A48="","",IF(COUNTIFS('Видео'!$A$7:$A$1508,A48)=1,INDEX('Видео'!$M$7:$M$1508,MATCH(A48,'Видео'!$A$7:$A$1508,0)),"ID не найден"))</x:f>
        <x:v>Завершённый короткий просмотр около 2 мин. Просмотры в списке выше медианы выборки этого цикла в 7.14 раза. Тема среды расширяет предложение для экологически заинтересованной аудитории.</x:v>
      </x:c>
      <x:c r="E48" s="9" t="str">
        <x:f>IF(A48="","",IF(COUNTIFS('Видео'!$A$7:$A$1508,A48)=1,INDEX('Видео'!$D$7:$D$1508,MATCH(A48,'Видео'!$A$7:$A$1508,0)),"ID не найден"))</x:f>
        <x:v>Образование</x:v>
      </x:c>
      <x:c r="F48" s="10" t="str">
        <x:f>IF(A48="","",IF(COUNTIFS('Видео'!$A$7:$A$1508,A48)=1,INDEX('Видео'!$F$7:$F$1508,MATCH(A48,'Видео'!$A$7:$A$1508,0)),"ID не найден"))</x:f>
        <x:v>B1–B2 (гипотеза)</x:v>
      </x:c>
      <x:c r="G48" s="14" t="n">
        <x:f>IF(A48="","",IF(COUNTIFS('Видео'!$A$7:$A$1508,A48)=1,INDEX('Видео'!$H$7:$H$1508,MATCH(A48,'Видео'!$A$7:$A$1508,0)),"ID не найден"))</x:f>
        <x:v>71469</x:v>
      </x:c>
      <x:c r="H48" s="18" t="n">
        <x:f>IF(A48="","",IF(COUNTIFS('Видео'!$A$7:$A$1508,A48)=1,INDEX('Видео'!$L$7:$L$1508,MATCH(A48,'Видео'!$A$7:$A$1508,0)),"ID не найден"))</x:f>
        <x:v>7.135678391959799</x:v>
      </x:c>
      <x:c r="I48" s="10" t="str">
        <x:f>IF(A48="","",IF(COUNTIFS('Видео'!$A$7:$A$1508,A48)=1,INDEX('Видео'!$AI$7:$AI$1508,MATCH(A48,'Видео'!$A$7:$A$1508,0)),"ID не найден"))</x:f>
        <x:v>Нужна редактура</x:v>
      </x:c>
      <x:c r="J48" s="11" t="str">
        <x:f>IF(A48="","",IF(COUNTIFS('Видео'!$A$7:$A$1508,A48)=1,INDEX('Видео'!$U$7:$U$1508,MATCH(A48,'Видео'!$A$7:$A$1508,0)),"ID не найден"))</x:f>
        <x:v>https://www.youtube.com/watch?v=Ll3yKFl2zH4</x:v>
      </x:c>
      <x:c r="K48" s="9" t="str">
        <x:v>C064</x:v>
      </x:c>
      <x:c r="L48" s="9" t="str">
        <x:v>Да</x:v>
      </x:c>
    </x:row>
    <x:row r="49" ht="60" customHeight="1">
      <x:c r="A49" s="9" t="str">
        <x:v>tAX3vFKLkHE</x:v>
      </x:c>
      <x:c r="B49" s="10" t="str">
        <x:f>IF(A49="","",IF(COUNTIFS('Видео'!$A$7:$A$1508,A49)=1,INDEX('Видео'!$B$7:$B$1508,MATCH(A49,'Видео'!$A$7:$A$1508,0)),"ID не найден"))</x:f>
        <x:v>כתובות מימי המקרא | שיעור 1 - הכתובת מחורבת קיאפה | פרופ' חגי משגב</x:v>
      </x:c>
      <x:c r="C49" s="10" t="str">
        <x:f>IF(A49="","",IF(COUNTIFS('Видео'!$A$7:$A$1508,A49)=1,INDEX('Видео'!$C$7:$C$1508,MATCH(A49,'Видео'!$A$7:$A$1508,0)),"ID не найден"))</x:f>
        <x:v>Древняя история</x:v>
      </x:c>
      <x:c r="D49" s="10" t="str">
        <x:f>IF(A49="","",IF(COUNTIFS('Видео'!$A$7:$A$1508,A49)=1,INDEX('Видео'!$M$7:$M$1508,MATCH(A49,'Видео'!$A$7:$A$1508,0)),"ID не найден"))</x:f>
        <x:v>Тема: כתובות מימי המקרא | שיעור 1 - הכתובת מחורבת קיאפה | פרופ' חגי משגב. Эпиграфика связывает историю языка с материальными источниками.</x:v>
      </x:c>
      <x:c r="E49" s="9" t="str">
        <x:f>IF(A49="","",IF(COUNTIFS('Видео'!$A$7:$A$1508,A49)=1,INDEX('Видео'!$D$7:$D$1508,MATCH(A49,'Видео'!$A$7:$A$1508,0)),"ID не найден"))</x:f>
        <x:v>История</x:v>
      </x:c>
      <x:c r="F49" s="10" t="str">
        <x:f>IF(A49="","",IF(COUNTIFS('Видео'!$A$7:$A$1508,A49)=1,INDEX('Видео'!$F$7:$F$1508,MATCH(A49,'Видео'!$A$7:$A$1508,0)),"ID не найден"))</x:f>
        <x:v>B2–C1 (гипотеза)</x:v>
      </x:c>
      <x:c r="G49" s="14" t="n">
        <x:f>IF(A49="","",IF(COUNTIFS('Видео'!$A$7:$A$1508,A49)=1,INDEX('Видео'!$H$7:$H$1508,MATCH(A49,'Видео'!$A$7:$A$1508,0)),"ID не найден"))</x:f>
        <x:v>13873</x:v>
      </x:c>
      <x:c r="H49" s="18" t="str">
        <x:f>IF(A49="","",IF(COUNTIFS('Видео'!$A$7:$A$1508,A49)=1,INDEX('Видео'!$L$7:$L$1508,MATCH(A49,'Видео'!$A$7:$A$1508,0)),"ID не найден"))</x:f>
      </x:c>
      <x:c r="I49" s="10" t="str">
        <x:f>IF(A49="","",IF(COUNTIFS('Видео'!$A$7:$A$1508,A49)=1,INDEX('Видео'!$AI$7:$AI$1508,MATCH(A49,'Видео'!$A$7:$A$1508,0)),"ID не найден"))</x:f>
        <x:v>Нужна редактура</x:v>
      </x:c>
      <x:c r="J49" s="11" t="str">
        <x:f>IF(A49="","",IF(COUNTIFS('Видео'!$A$7:$A$1508,A49)=1,INDEX('Видео'!$U$7:$U$1508,MATCH(A49,'Видео'!$A$7:$A$1508,0)),"ID не найден"))</x:f>
        <x:v>https://www.youtube.com/watch?v=tAX3vFKLkHE</x:v>
      </x:c>
      <x:c r="K49" s="9" t="str">
        <x:v>C070</x:v>
      </x:c>
      <x:c r="L49" s="9" t="str">
        <x:v>Да</x:v>
      </x:c>
    </x:row>
    <x:row r="50" ht="60" customHeight="1">
      <x:c r="A50" s="9" t="str">
        <x:v>-A6WhYz6h24</x:v>
      </x:c>
      <x:c r="B50" s="10" t="str">
        <x:f>IF(A50="","",IF(COUNTIFS('Видео'!$A$7:$A$1508,A50)=1,INDEX('Видео'!$B$7:$B$1508,MATCH(A50,'Видео'!$A$7:$A$1508,0)),"ID не найден"))</x:f>
        <x:v>כתובות מימי המקרא | שיעור 4 - כתובת בלעם מדיר-עלא | פרופ' חגי משגב</x:v>
      </x:c>
      <x:c r="C50" s="10" t="str">
        <x:f>IF(A50="","",IF(COUNTIFS('Видео'!$A$7:$A$1508,A50)=1,INDEX('Видео'!$C$7:$C$1508,MATCH(A50,'Видео'!$A$7:$A$1508,0)),"ID не найден"))</x:f>
        <x:v>Древняя история</x:v>
      </x:c>
      <x:c r="D50" s="10" t="str">
        <x:f>IF(A50="","",IF(COUNTIFS('Видео'!$A$7:$A$1508,A50)=1,INDEX('Видео'!$M$7:$M$1508,MATCH(A50,'Видео'!$A$7:$A$1508,0)),"ID не найден"))</x:f>
        <x:v>Тема: כתובות מימי המקרא | שיעור 4 - כתובת בלעם מדיר-עלא | פרופ' חגי משגב. Эпиграфика связывает историю языка с материальными источниками.</x:v>
      </x:c>
      <x:c r="E50" s="9" t="str">
        <x:f>IF(A50="","",IF(COUNTIFS('Видео'!$A$7:$A$1508,A50)=1,INDEX('Видео'!$D$7:$D$1508,MATCH(A50,'Видео'!$A$7:$A$1508,0)),"ID не найден"))</x:f>
        <x:v>История</x:v>
      </x:c>
      <x:c r="F50" s="10" t="str">
        <x:f>IF(A50="","",IF(COUNTIFS('Видео'!$A$7:$A$1508,A50)=1,INDEX('Видео'!$F$7:$F$1508,MATCH(A50,'Видео'!$A$7:$A$1508,0)),"ID не найден"))</x:f>
        <x:v>B2–C1 (гипотеза)</x:v>
      </x:c>
      <x:c r="G50" s="14" t="n">
        <x:f>IF(A50="","",IF(COUNTIFS('Видео'!$A$7:$A$1508,A50)=1,INDEX('Видео'!$H$7:$H$1508,MATCH(A50,'Видео'!$A$7:$A$1508,0)),"ID не найден"))</x:f>
        <x:v>9699</x:v>
      </x:c>
      <x:c r="H50" s="18" t="str">
        <x:f>IF(A50="","",IF(COUNTIFS('Видео'!$A$7:$A$1508,A50)=1,INDEX('Видео'!$L$7:$L$1508,MATCH(A50,'Видео'!$A$7:$A$1508,0)),"ID не найден"))</x:f>
      </x:c>
      <x:c r="I50" s="10" t="str">
        <x:f>IF(A50="","",IF(COUNTIFS('Видео'!$A$7:$A$1508,A50)=1,INDEX('Видео'!$AI$7:$AI$1508,MATCH(A50,'Видео'!$A$7:$A$1508,0)),"ID не найден"))</x:f>
        <x:v>Нужна редактура</x:v>
      </x:c>
      <x:c r="J50" s="11" t="str">
        <x:f>IF(A50="","",IF(COUNTIFS('Видео'!$A$7:$A$1508,A50)=1,INDEX('Видео'!$U$7:$U$1508,MATCH(A50,'Видео'!$A$7:$A$1508,0)),"ID не найден"))</x:f>
        <x:v>https://www.youtube.com/watch?v=-A6WhYz6h24</x:v>
      </x:c>
      <x:c r="K50" s="9" t="str">
        <x:v>C070</x:v>
      </x:c>
      <x:c r="L50" s="9" t="str">
        <x:v>Да</x:v>
      </x:c>
    </x:row>
    <x:row r="51" ht="60" customHeight="1">
      <x:c r="A51" s="9" t="str">
        <x:v>iL686rbf82M</x:v>
      </x:c>
      <x:c r="B51" s="10" t="str">
        <x:f>IF(A51="","",IF(COUNTIFS('Видео'!$A$7:$A$1508,A51)=1,INDEX('Видео'!$B$7:$B$1508,MATCH(A51,'Видео'!$A$7:$A$1508,0)),"ID не найден"))</x:f>
        <x:v>קופה ראשית עונה 5 🛒 | פרק 1 - כפרות</x:v>
      </x:c>
      <x:c r="C51" s="10" t="str">
        <x:f>IF(A51="","",IF(COUNTIFS('Видео'!$A$7:$A$1508,A51)=1,INDEX('Видео'!$C$7:$C$1508,MATCH(A51,'Видео'!$A$7:$A$1508,0)),"ID не найден"))</x:f>
        <x:v>Повседневность и юмор</x:v>
      </x:c>
      <x:c r="D51" s="10" t="str">
        <x:f>IF(A51="","",IF(COUNTIFS('Видео'!$A$7:$A$1508,A51)=1,INDEX('Видео'!$M$7:$M$1508,MATCH(A51,'Видео'!$A$7:$A$1508,0)),"ID не найден"))</x:f>
        <x:v>Эпизод 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E51" s="9" t="str">
        <x:f>IF(A51="","",IF(COUNTIFS('Видео'!$A$7:$A$1508,A51)=1,INDEX('Видео'!$D$7:$D$1508,MATCH(A51,'Видео'!$A$7:$A$1508,0)),"ID не найден"))</x:f>
        <x:v>Сериал</x:v>
      </x:c>
      <x:c r="F51" s="10" t="str">
        <x:f>IF(A51="","",IF(COUNTIFS('Видео'!$A$7:$A$1508,A51)=1,INDEX('Видео'!$F$7:$F$1508,MATCH(A51,'Видео'!$A$7:$A$1508,0)),"ID не найден"))</x:f>
        <x:v>B1–B2 (гипотеза)</x:v>
      </x:c>
      <x:c r="G51" s="14" t="n">
        <x:f>IF(A51="","",IF(COUNTIFS('Видео'!$A$7:$A$1508,A51)=1,INDEX('Видео'!$H$7:$H$1508,MATCH(A51,'Видео'!$A$7:$A$1508,0)),"ID не найден"))</x:f>
        <x:v>4270653</x:v>
      </x:c>
      <x:c r="H51" s="18" t="n">
        <x:f>IF(A51="","",IF(COUNTIFS('Видео'!$A$7:$A$1508,A51)=1,INDEX('Видео'!$L$7:$L$1508,MATCH(A51,'Видео'!$A$7:$A$1508,0)),"ID не найден"))</x:f>
        <x:v>1.3333333333333333</x:v>
      </x:c>
      <x:c r="I51" s="10" t="str">
        <x:f>IF(A51="","",IF(COUNTIFS('Видео'!$A$7:$A$1508,A51)=1,INDEX('Видео'!$AI$7:$AI$1508,MATCH(A51,'Видео'!$A$7:$A$1508,0)),"ID не найден"))</x:f>
        <x:v>Нужна редактура</x:v>
      </x:c>
      <x:c r="J51" s="11" t="str">
        <x:f>IF(A51="","",IF(COUNTIFS('Видео'!$A$7:$A$1508,A51)=1,INDEX('Видео'!$U$7:$U$1508,MATCH(A51,'Видео'!$A$7:$A$1508,0)),"ID не найден"))</x:f>
        <x:v>https://www.youtube.com/watch?v=iL686rbf82M</x:v>
      </x:c>
      <x:c r="K51" s="9" t="str">
        <x:v>C001</x:v>
      </x:c>
      <x:c r="L51" s="9" t="str">
        <x:v>Да</x:v>
      </x:c>
    </x:row>
    <x:row r="52" ht="60" customHeight="1">
      <x:c r="A52" s="9" t="str">
        <x:v>UKww1xabTNQ</x:v>
      </x:c>
      <x:c r="B52" s="10" t="str">
        <x:f>IF(A52="","",IF(COUNTIFS('Видео'!$A$7:$A$1508,A52)=1,INDEX('Видео'!$B$7:$B$1508,MATCH(A52,'Видео'!$A$7:$A$1508,0)),"ID не найден"))</x:f>
        <x:v>קופה ראשית עונה 5 🛒 | פרק 2 - הסטארט-אפ של כוכבה</x:v>
      </x:c>
      <x:c r="C52" s="10" t="str">
        <x:f>IF(A52="","",IF(COUNTIFS('Видео'!$A$7:$A$1508,A52)=1,INDEX('Видео'!$C$7:$C$1508,MATCH(A52,'Видео'!$A$7:$A$1508,0)),"ID не найден"))</x:f>
        <x:v>Повседневность и юмор</x:v>
      </x:c>
      <x:c r="D52" s="10" t="str">
        <x:f>IF(A52="","",IF(COUNTIFS('Видео'!$A$7:$A$1508,A52)=1,INDEX('Видео'!$M$7:$M$1508,MATCH(A52,'Видео'!$A$7:$A$1508,0)),"ID не найден"))</x:f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E52" s="9" t="str">
        <x:f>IF(A52="","",IF(COUNTIFS('Видео'!$A$7:$A$1508,A52)=1,INDEX('Видео'!$D$7:$D$1508,MATCH(A52,'Видео'!$A$7:$A$1508,0)),"ID не найден"))</x:f>
        <x:v>Сериал</x:v>
      </x:c>
      <x:c r="F52" s="10" t="str">
        <x:f>IF(A52="","",IF(COUNTIFS('Видео'!$A$7:$A$1508,A52)=1,INDEX('Видео'!$F$7:$F$1508,MATCH(A52,'Видео'!$A$7:$A$1508,0)),"ID не найден"))</x:f>
        <x:v>B1–B2 (гипотеза)</x:v>
      </x:c>
      <x:c r="G52" s="14" t="n">
        <x:f>IF(A52="","",IF(COUNTIFS('Видео'!$A$7:$A$1508,A52)=1,INDEX('Видео'!$H$7:$H$1508,MATCH(A52,'Видео'!$A$7:$A$1508,0)),"ID не найден"))</x:f>
        <x:v>3542276</x:v>
      </x:c>
      <x:c r="H52" s="18" t="n">
        <x:f>IF(A52="","",IF(COUNTIFS('Видео'!$A$7:$A$1508,A52)=1,INDEX('Видео'!$L$7:$L$1508,MATCH(A52,'Видео'!$A$7:$A$1508,0)),"ID не найден"))</x:f>
        <x:v>1.1111111111111112</x:v>
      </x:c>
      <x:c r="I52" s="10" t="str">
        <x:f>IF(A52="","",IF(COUNTIFS('Видео'!$A$7:$A$1508,A52)=1,INDEX('Видео'!$AI$7:$AI$1508,MATCH(A52,'Видео'!$A$7:$A$1508,0)),"ID не найден"))</x:f>
        <x:v>Нужна редактура</x:v>
      </x:c>
      <x:c r="J52" s="11" t="str">
        <x:f>IF(A52="","",IF(COUNTIFS('Видео'!$A$7:$A$1508,A52)=1,INDEX('Видео'!$U$7:$U$1508,MATCH(A52,'Видео'!$A$7:$A$1508,0)),"ID не найден"))</x:f>
        <x:v>https://www.youtube.com/watch?v=UKww1xabTNQ</x:v>
      </x:c>
      <x:c r="K52" s="9" t="str">
        <x:v>C001</x:v>
      </x:c>
      <x:c r="L52" s="9" t="str">
        <x:v>Да</x:v>
      </x:c>
    </x:row>
    <x:row r="53" ht="60" customHeight="1">
      <x:c r="A53" s="9" t="str">
        <x:v>83PqTMga2oM</x:v>
      </x:c>
      <x:c r="B53" s="10" t="str">
        <x:f>IF(A53="","",IF(COUNTIFS('Видео'!$A$7:$A$1508,A53)=1,INDEX('Видео'!$B$7:$B$1508,MATCH(A53,'Видео'!$A$7:$A$1508,0)),"ID не найден"))</x:f>
        <x:v>קופה ראשית עונה 2🛒 | פרק 2 - אחות של ראמזי</x:v>
      </x:c>
      <x:c r="C53" s="10" t="str">
        <x:f>IF(A53="","",IF(COUNTIFS('Видео'!$A$7:$A$1508,A53)=1,INDEX('Видео'!$C$7:$C$1508,MATCH(A53,'Видео'!$A$7:$A$1508,0)),"ID не найден"))</x:f>
        <x:v>Повседневность и юмор</x:v>
      </x:c>
      <x:c r="D53" s="10" t="str">
        <x:f>IF(A53="","",IF(COUNTIFS('Видео'!$A$7:$A$1508,A53)=1,INDEX('Видео'!$M$7:$M$1508,MATCH(A53,'Видео'!$A$7:$A$1508,0)),"ID не найден"))</x:f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E53" s="9" t="str">
        <x:f>IF(A53="","",IF(COUNTIFS('Видео'!$A$7:$A$1508,A53)=1,INDEX('Видео'!$D$7:$D$1508,MATCH(A53,'Видео'!$A$7:$A$1508,0)),"ID не найден"))</x:f>
        <x:v>Сериал</x:v>
      </x:c>
      <x:c r="F53" s="10" t="str">
        <x:f>IF(A53="","",IF(COUNTIFS('Видео'!$A$7:$A$1508,A53)=1,INDEX('Видео'!$F$7:$F$1508,MATCH(A53,'Видео'!$A$7:$A$1508,0)),"ID не найден"))</x:f>
        <x:v>B1–B2 (гипотеза)</x:v>
      </x:c>
      <x:c r="G53" s="14" t="n">
        <x:f>IF(A53="","",IF(COUNTIFS('Видео'!$A$7:$A$1508,A53)=1,INDEX('Видео'!$H$7:$H$1508,MATCH(A53,'Видео'!$A$7:$A$1508,0)),"ID не найден"))</x:f>
        <x:v>7713438</x:v>
      </x:c>
      <x:c r="H53" s="18" t="n">
        <x:f>IF(A53="","",IF(COUNTIFS('Видео'!$A$7:$A$1508,A53)=1,INDEX('Видео'!$L$7:$L$1508,MATCH(A53,'Видео'!$A$7:$A$1508,0)),"ID не найден"))</x:f>
        <x:v>0.9746835443037974</x:v>
      </x:c>
      <x:c r="I53" s="10" t="str">
        <x:f>IF(A53="","",IF(COUNTIFS('Видео'!$A$7:$A$1508,A53)=1,INDEX('Видео'!$AI$7:$AI$1508,MATCH(A53,'Видео'!$A$7:$A$1508,0)),"ID не найден"))</x:f>
        <x:v>Нужна редактура</x:v>
      </x:c>
      <x:c r="J53" s="11" t="str">
        <x:f>IF(A53="","",IF(COUNTIFS('Видео'!$A$7:$A$1508,A53)=1,INDEX('Видео'!$U$7:$U$1508,MATCH(A53,'Видео'!$A$7:$A$1508,0)),"ID не найден"))</x:f>
        <x:v>https://www.youtube.com/watch?v=83PqTMga2oM</x:v>
      </x:c>
      <x:c r="K53" s="9" t="str">
        <x:v>C004</x:v>
      </x:c>
      <x:c r="L53" s="9" t="str">
        <x:v>Нет</x:v>
      </x:c>
    </x:row>
    <x:row r="54" ht="60" customHeight="1">
      <x:c r="A54" s="9" t="str">
        <x:v>PBQZz1xuYK8</x:v>
      </x:c>
      <x:c r="B54" s="10" t="str">
        <x:f>IF(A54="","",IF(COUNTIFS('Видео'!$A$7:$A$1508,A54)=1,INDEX('Видео'!$B$7:$B$1508,MATCH(A54,'Видео'!$A$7:$A$1508,0)),"ID не найден"))</x:f>
        <x:v>קופה ראשית עונה 2🛒 | פרק 3 - מה עובר על שירה?</x:v>
      </x:c>
      <x:c r="C54" s="10" t="str">
        <x:f>IF(A54="","",IF(COUNTIFS('Видео'!$A$7:$A$1508,A54)=1,INDEX('Видео'!$C$7:$C$1508,MATCH(A54,'Видео'!$A$7:$A$1508,0)),"ID не найден"))</x:f>
        <x:v>Повседневность и юмор</x:v>
      </x:c>
      <x:c r="D54" s="10" t="str">
        <x:f>IF(A54="","",IF(COUNTIFS('Видео'!$A$7:$A$1508,A54)=1,INDEX('Видео'!$M$7:$M$1508,MATCH(A54,'Видео'!$A$7:$A$1508,0)),"ID не найден"))</x:f>
        <x:v>Эпизод 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E54" s="9" t="str">
        <x:f>IF(A54="","",IF(COUNTIFS('Видео'!$A$7:$A$1508,A54)=1,INDEX('Видео'!$D$7:$D$1508,MATCH(A54,'Видео'!$A$7:$A$1508,0)),"ID не найден"))</x:f>
        <x:v>Сериал</x:v>
      </x:c>
      <x:c r="F54" s="10" t="str">
        <x:f>IF(A54="","",IF(COUNTIFS('Видео'!$A$7:$A$1508,A54)=1,INDEX('Видео'!$F$7:$F$1508,MATCH(A54,'Видео'!$A$7:$A$1508,0)),"ID не найден"))</x:f>
        <x:v>B1–B2 (гипотеза)</x:v>
      </x:c>
      <x:c r="G54" s="14" t="n">
        <x:f>IF(A54="","",IF(COUNTIFS('Видео'!$A$7:$A$1508,A54)=1,INDEX('Видео'!$H$7:$H$1508,MATCH(A54,'Видео'!$A$7:$A$1508,0)),"ID не найден"))</x:f>
        <x:v>8153401</x:v>
      </x:c>
      <x:c r="H54" s="18" t="n">
        <x:f>IF(A54="","",IF(COUNTIFS('Видео'!$A$7:$A$1508,A54)=1,INDEX('Видео'!$L$7:$L$1508,MATCH(A54,'Видео'!$A$7:$A$1508,0)),"ID не найден"))</x:f>
        <x:v>1.0253164556962024</x:v>
      </x:c>
      <x:c r="I54" s="10" t="str">
        <x:f>IF(A54="","",IF(COUNTIFS('Видео'!$A$7:$A$1508,A54)=1,INDEX('Видео'!$AI$7:$AI$1508,MATCH(A54,'Видео'!$A$7:$A$1508,0)),"ID не найден"))</x:f>
        <x:v>Нужна редактура</x:v>
      </x:c>
      <x:c r="J54" s="11" t="str">
        <x:f>IF(A54="","",IF(COUNTIFS('Видео'!$A$7:$A$1508,A54)=1,INDEX('Видео'!$U$7:$U$1508,MATCH(A54,'Видео'!$A$7:$A$1508,0)),"ID не найден"))</x:f>
        <x:v>https://www.youtube.com/watch?v=PBQZz1xuYK8</x:v>
      </x:c>
      <x:c r="K54" s="9" t="str">
        <x:v>C004</x:v>
      </x:c>
      <x:c r="L54" s="9" t="str">
        <x:v>Нет</x:v>
      </x:c>
    </x:row>
    <x:row r="55" ht="60" customHeight="1">
      <x:c r="A55" s="9" t="str">
        <x:v>iVXjPa-IehU</x:v>
      </x:c>
      <x:c r="B55" s="10" t="str">
        <x:f>IF(A55="","",IF(COUNTIFS('Видео'!$A$7:$A$1508,A55)=1,INDEX('Видео'!$B$7:$B$1508,MATCH(A55,'Видео'!$A$7:$A$1508,0)),"ID не найден"))</x:f>
        <x:v>המפקדת עונה 2 | פרק 1 - נוהל כיף</x:v>
      </x:c>
      <x:c r="C55" s="10" t="str">
        <x:f>IF(A55="","",IF(COUNTIFS('Видео'!$A$7:$A$1508,A55)=1,INDEX('Видео'!$C$7:$C$1508,MATCH(A55,'Видео'!$A$7:$A$1508,0)),"ID не найден"))</x:f>
        <x:v>Общество и армия</x:v>
      </x:c>
      <x:c r="D55" s="10" t="str">
        <x:f>IF(A55="","",IF(COUNTIFS('Видео'!$A$7:$A$1508,A55)=1,INDEX('Видео'!$M$7:$M$1508,MATCH(A55,'Видео'!$A$7:$A$1508,0)),"ID не найден"))</x:f>
        <x:v>Эпизод 1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E55" s="9" t="str">
        <x:f>IF(A55="","",IF(COUNTIFS('Видео'!$A$7:$A$1508,A55)=1,INDEX('Видео'!$D$7:$D$1508,MATCH(A55,'Видео'!$A$7:$A$1508,0)),"ID не найден"))</x:f>
        <x:v>Сериал</x:v>
      </x:c>
      <x:c r="F55" s="10" t="str">
        <x:f>IF(A55="","",IF(COUNTIFS('Видео'!$A$7:$A$1508,A55)=1,INDEX('Видео'!$F$7:$F$1508,MATCH(A55,'Видео'!$A$7:$A$1508,0)),"ID не найден"))</x:f>
        <x:v>B2–C1 (гипотеза)</x:v>
      </x:c>
      <x:c r="G55" s="14" t="n">
        <x:f>IF(A55="","",IF(COUNTIFS('Видео'!$A$7:$A$1508,A55)=1,INDEX('Видео'!$H$7:$H$1508,MATCH(A55,'Видео'!$A$7:$A$1508,0)),"ID не найден"))</x:f>
        <x:v>612882</x:v>
      </x:c>
      <x:c r="H55" s="18" t="n">
        <x:f>IF(A55="","",IF(COUNTIFS('Видео'!$A$7:$A$1508,A55)=1,INDEX('Видео'!$L$7:$L$1508,MATCH(A55,'Видео'!$A$7:$A$1508,0)),"ID не найден"))</x:f>
        <x:v>1.0987432675044884</x:v>
      </x:c>
      <x:c r="I55" s="10" t="str">
        <x:f>IF(A55="","",IF(COUNTIFS('Видео'!$A$7:$A$1508,A55)=1,INDEX('Видео'!$AI$7:$AI$1508,MATCH(A55,'Видео'!$A$7:$A$1508,0)),"ID не найден"))</x:f>
        <x:v>Нужна редактура</x:v>
      </x:c>
      <x:c r="J55" s="11" t="str">
        <x:f>IF(A55="","",IF(COUNTIFS('Видео'!$A$7:$A$1508,A55)=1,INDEX('Видео'!$U$7:$U$1508,MATCH(A55,'Видео'!$A$7:$A$1508,0)),"ID не найден"))</x:f>
        <x:v>https://www.youtube.com/watch?v=iVXjPa-IehU</x:v>
      </x:c>
      <x:c r="K55" s="9" t="str">
        <x:v>C006</x:v>
      </x:c>
      <x:c r="L55" s="9" t="str">
        <x:v>Нет</x:v>
      </x:c>
    </x:row>
    <x:row r="56" ht="60" customHeight="1">
      <x:c r="A56" s="9" t="str">
        <x:v>Jh6DVKuteSg</x:v>
      </x:c>
      <x:c r="B56" s="10" t="str">
        <x:f>IF(A56="","",IF(COUNTIFS('Видео'!$A$7:$A$1508,A56)=1,INDEX('Видео'!$B$7:$B$1508,MATCH(A56,'Видео'!$A$7:$A$1508,0)),"ID не найден"))</x:f>
        <x:v>המפקדת עונה 2 | פרק 2 -  הכאב הוא רגעי</x:v>
      </x:c>
      <x:c r="C56" s="10" t="str">
        <x:f>IF(A56="","",IF(COUNTIFS('Видео'!$A$7:$A$1508,A56)=1,INDEX('Видео'!$C$7:$C$1508,MATCH(A56,'Видео'!$A$7:$A$1508,0)),"ID не найден"))</x:f>
        <x:v>Общество и армия</x:v>
      </x:c>
      <x:c r="D56" s="10" t="str">
        <x:f>IF(A56="","",IF(COUNTIFS('Видео'!$A$7:$A$1508,A56)=1,INDEX('Видео'!$M$7:$M$1508,MATCH(A56,'Видео'!$A$7:$A$1508,0)),"ID не найден"))</x:f>
        <x:v>Эпизод 2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E56" s="9" t="str">
        <x:f>IF(A56="","",IF(COUNTIFS('Видео'!$A$7:$A$1508,A56)=1,INDEX('Видео'!$D$7:$D$1508,MATCH(A56,'Видео'!$A$7:$A$1508,0)),"ID не найден"))</x:f>
        <x:v>Сериал</x:v>
      </x:c>
      <x:c r="F56" s="10" t="str">
        <x:f>IF(A56="","",IF(COUNTIFS('Видео'!$A$7:$A$1508,A56)=1,INDEX('Видео'!$F$7:$F$1508,MATCH(A56,'Видео'!$A$7:$A$1508,0)),"ID не найден"))</x:f>
        <x:v>B2–C1 (гипотеза)</x:v>
      </x:c>
      <x:c r="G56" s="14" t="n">
        <x:f>IF(A56="","",IF(COUNTIFS('Видео'!$A$7:$A$1508,A56)=1,INDEX('Видео'!$H$7:$H$1508,MATCH(A56,'Видео'!$A$7:$A$1508,0)),"ID не найден"))</x:f>
        <x:v>627482</x:v>
      </x:c>
      <x:c r="H56" s="18" t="n">
        <x:f>IF(A56="","",IF(COUNTIFS('Видео'!$A$7:$A$1508,A56)=1,INDEX('Видео'!$L$7:$L$1508,MATCH(A56,'Видео'!$A$7:$A$1508,0)),"ID не найден"))</x:f>
        <x:v>1.125673249551167</x:v>
      </x:c>
      <x:c r="I56" s="10" t="str">
        <x:f>IF(A56="","",IF(COUNTIFS('Видео'!$A$7:$A$1508,A56)=1,INDEX('Видео'!$AI$7:$AI$1508,MATCH(A56,'Видео'!$A$7:$A$1508,0)),"ID не найден"))</x:f>
        <x:v>Нужна редактура</x:v>
      </x:c>
      <x:c r="J56" s="11" t="str">
        <x:f>IF(A56="","",IF(COUNTIFS('Видео'!$A$7:$A$1508,A56)=1,INDEX('Видео'!$U$7:$U$1508,MATCH(A56,'Видео'!$A$7:$A$1508,0)),"ID не найден"))</x:f>
        <x:v>https://www.youtube.com/watch?v=Jh6DVKuteSg</x:v>
      </x:c>
      <x:c r="K56" s="9" t="str">
        <x:v>C006</x:v>
      </x:c>
      <x:c r="L56" s="9" t="str">
        <x:v>Нет</x:v>
      </x:c>
    </x:row>
    <x:row r="57" ht="60" customHeight="1">
      <x:c r="A57" s="9" t="str">
        <x:v>FLZ0vJvNirM</x:v>
      </x:c>
      <x:c r="B57" s="10" t="str">
        <x:f>IF(A57="","",IF(COUNTIFS('Видео'!$A$7:$A$1508,A57)=1,INDEX('Видео'!$B$7:$B$1508,MATCH(A57,'Видео'!$A$7:$A$1508,0)),"ID не найден"))</x:f>
        <x:v>מנאייכ 👮 | חברים - פרק 1</x:v>
      </x:c>
      <x:c r="C57" s="10" t="str">
        <x:f>IF(A57="","",IF(COUNTIFS('Видео'!$A$7:$A$1508,A57)=1,INDEX('Видео'!$C$7:$C$1508,MATCH(A57,'Видео'!$A$7:$A$1508,0)),"ID не найден"))</x:f>
        <x:v>Общество и институты</x:v>
      </x:c>
      <x:c r="D57" s="10" t="str">
        <x:f>IF(A57="","",IF(COUNTIFS('Видео'!$A$7:$A$1508,A57)=1,INDEX('Видео'!$M$7:$M$1508,MATCH(A57,'Видео'!$A$7:$A$1508,0)),"ID не найден"))</x:f>
        <x:v>Эпизод 1 в знакомой сюжетной ветке. Просмотры в списке выше медианы выборки этого цикла в 1.54 раза.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E57" s="9" t="str">
        <x:f>IF(A57="","",IF(COUNTIFS('Видео'!$A$7:$A$1508,A57)=1,INDEX('Видео'!$D$7:$D$1508,MATCH(A57,'Видео'!$A$7:$A$1508,0)),"ID не найден"))</x:f>
        <x:v>Сериал</x:v>
      </x:c>
      <x:c r="F57" s="10" t="str">
        <x:f>IF(A57="","",IF(COUNTIFS('Видео'!$A$7:$A$1508,A57)=1,INDEX('Видео'!$F$7:$F$1508,MATCH(A57,'Видео'!$A$7:$A$1508,0)),"ID не найден"))</x:f>
        <x:v>B2–C1 (гипотеза)</x:v>
      </x:c>
      <x:c r="G57" s="14" t="n">
        <x:f>IF(A57="","",IF(COUNTIFS('Видео'!$A$7:$A$1508,A57)=1,INDEX('Видео'!$H$7:$H$1508,MATCH(A57,'Видео'!$A$7:$A$1508,0)),"ID не найден"))</x:f>
        <x:v>1546900</x:v>
      </x:c>
      <x:c r="H57" s="18" t="n">
        <x:f>IF(A57="","",IF(COUNTIFS('Видео'!$A$7:$A$1508,A57)=1,INDEX('Видео'!$L$7:$L$1508,MATCH(A57,'Видео'!$A$7:$A$1508,0)),"ID не найден"))</x:f>
        <x:v>1.5432098765432098</x:v>
      </x:c>
      <x:c r="I57" s="10" t="str">
        <x:f>IF(A57="","",IF(COUNTIFS('Видео'!$A$7:$A$1508,A57)=1,INDEX('Видео'!$AI$7:$AI$1508,MATCH(A57,'Видео'!$A$7:$A$1508,0)),"ID не найден"))</x:f>
        <x:v>Нужна редактура</x:v>
      </x:c>
      <x:c r="J57" s="11" t="str">
        <x:f>IF(A57="","",IF(COUNTIFS('Видео'!$A$7:$A$1508,A57)=1,INDEX('Видео'!$U$7:$U$1508,MATCH(A57,'Видео'!$A$7:$A$1508,0)),"ID не найден"))</x:f>
        <x:v>https://www.youtube.com/watch?v=FLZ0vJvNirM</x:v>
      </x:c>
      <x:c r="K57" s="9" t="str">
        <x:v>C008</x:v>
      </x:c>
      <x:c r="L57" s="9" t="str">
        <x:v>Нет</x:v>
      </x:c>
    </x:row>
    <x:row r="58" ht="60" customHeight="1">
      <x:c r="A58" s="9" t="str">
        <x:v>BUSdM6Blxzc</x:v>
      </x:c>
      <x:c r="B58" s="10" t="str">
        <x:f>IF(A58="","",IF(COUNTIFS('Видео'!$A$7:$A$1508,A58)=1,INDEX('Видео'!$B$7:$B$1508,MATCH(A58,'Видео'!$A$7:$A$1508,0)),"ID не найден"))</x:f>
        <x:v>מנאייכ 👮 | העד - פרק 2</x:v>
      </x:c>
      <x:c r="C58" s="10" t="str">
        <x:f>IF(A58="","",IF(COUNTIFS('Видео'!$A$7:$A$1508,A58)=1,INDEX('Видео'!$C$7:$C$1508,MATCH(A58,'Видео'!$A$7:$A$1508,0)),"ID не найден"))</x:f>
        <x:v>Общество и институты</x:v>
      </x:c>
      <x:c r="D58" s="10" t="str">
        <x:f>IF(A58="","",IF(COUNTIFS('Видео'!$A$7:$A$1508,A58)=1,INDEX('Видео'!$M$7:$M$1508,MATCH(A58,'Видео'!$A$7:$A$1508,0)),"ID не найден"))</x:f>
        <x:v>Эпизод 2 в знакомой сюжетной ветке.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E58" s="9" t="str">
        <x:f>IF(A58="","",IF(COUNTIFS('Видео'!$A$7:$A$1508,A58)=1,INDEX('Видео'!$D$7:$D$1508,MATCH(A58,'Видео'!$A$7:$A$1508,0)),"ID не найден"))</x:f>
        <x:v>Сериал</x:v>
      </x:c>
      <x:c r="F58" s="10" t="str">
        <x:f>IF(A58="","",IF(COUNTIFS('Видео'!$A$7:$A$1508,A58)=1,INDEX('Видео'!$F$7:$F$1508,MATCH(A58,'Видео'!$A$7:$A$1508,0)),"ID не найден"))</x:f>
        <x:v>B2–C1 (гипотеза)</x:v>
      </x:c>
      <x:c r="G58" s="14" t="n">
        <x:f>IF(A58="","",IF(COUNTIFS('Видео'!$A$7:$A$1508,A58)=1,INDEX('Видео'!$H$7:$H$1508,MATCH(A58,'Видео'!$A$7:$A$1508,0)),"ID не найден"))</x:f>
        <x:v>970078</x:v>
      </x:c>
      <x:c r="H58" s="18" t="n">
        <x:f>IF(A58="","",IF(COUNTIFS('Видео'!$A$7:$A$1508,A58)=1,INDEX('Видео'!$L$7:$L$1508,MATCH(A58,'Видео'!$A$7:$A$1508,0)),"ID не найден"))</x:f>
        <x:v>0.9979423868312757</x:v>
      </x:c>
      <x:c r="I58" s="10" t="str">
        <x:f>IF(A58="","",IF(COUNTIFS('Видео'!$A$7:$A$1508,A58)=1,INDEX('Видео'!$AI$7:$AI$1508,MATCH(A58,'Видео'!$A$7:$A$1508,0)),"ID не найден"))</x:f>
        <x:v>Нужна редактура</x:v>
      </x:c>
      <x:c r="J58" s="11" t="str">
        <x:f>IF(A58="","",IF(COUNTIFS('Видео'!$A$7:$A$1508,A58)=1,INDEX('Видео'!$U$7:$U$1508,MATCH(A58,'Видео'!$A$7:$A$1508,0)),"ID не найден"))</x:f>
        <x:v>https://www.youtube.com/watch?v=BUSdM6Blxzc</x:v>
      </x:c>
      <x:c r="K58" s="9" t="str">
        <x:v>C008</x:v>
      </x:c>
      <x:c r="L58" s="9" t="str">
        <x:v>Нет</x:v>
      </x:c>
    </x:row>
    <x:row r="59" ht="60" customHeight="1">
      <x:c r="A59" s="9" t="str">
        <x:v>dbDxpIl1jJU</x:v>
      </x:c>
      <x:c r="B59" s="10" t="str">
        <x:f>IF(A59="","",IF(COUNTIFS('Видео'!$A$7:$A$1508,A59)=1,INDEX('Видео'!$B$7:$B$1508,MATCH(A59,'Видео'!$A$7:$A$1508,0)),"ID не найден"))</x:f>
        <x:v>אחד על אחד 📚 - סדרה חדשה! | פרק 1 - אמא חזרה</x:v>
      </x:c>
      <x:c r="C59" s="10" t="str">
        <x:f>IF(A59="","",IF(COUNTIFS('Видео'!$A$7:$A$1508,A59)=1,INDEX('Видео'!$C$7:$C$1508,MATCH(A59,'Видео'!$A$7:$A$1508,0)),"ID не найден"))</x:f>
        <x:v>Культура и отношения</x:v>
      </x:c>
      <x:c r="D59" s="10" t="str">
        <x:f>IF(A59="","",IF(COUNTIFS('Видео'!$A$7:$A$1508,A59)=1,INDEX('Видео'!$M$7:$M$1508,MATCH(A59,'Видео'!$A$7:$A$1508,0)),"ID не найден"))</x:f>
        <x:v>Эпизод 1 в знакомой сюжетной ветке. Просмотры в списке выше медианы выборки этого цикла в 3.41 раза. Более камерный сюжет даёт альтернативу шумным комедиям и детективам. Подходит для обсуждения эмпатии и общения.</x:v>
      </x:c>
      <x:c r="E59" s="9" t="str">
        <x:f>IF(A59="","",IF(COUNTIFS('Видео'!$A$7:$A$1508,A59)=1,INDEX('Видео'!$D$7:$D$1508,MATCH(A59,'Видео'!$A$7:$A$1508,0)),"ID не найден"))</x:f>
        <x:v>Сериал</x:v>
      </x:c>
      <x:c r="F59" s="10" t="str">
        <x:f>IF(A59="","",IF(COUNTIFS('Видео'!$A$7:$A$1508,A59)=1,INDEX('Видео'!$F$7:$F$1508,MATCH(A59,'Видео'!$A$7:$A$1508,0)),"ID не найден"))</x:f>
        <x:v>B1–B2 (гипотеза)</x:v>
      </x:c>
      <x:c r="G59" s="14" t="n">
        <x:f>IF(A59="","",IF(COUNTIFS('Видео'!$A$7:$A$1508,A59)=1,INDEX('Видео'!$H$7:$H$1508,MATCH(A59,'Видео'!$A$7:$A$1508,0)),"ID не найден"))</x:f>
        <x:v>210019</x:v>
      </x:c>
      <x:c r="H59" s="18" t="n">
        <x:f>IF(A59="","",IF(COUNTIFS('Видео'!$A$7:$A$1508,A59)=1,INDEX('Видео'!$L$7:$L$1508,MATCH(A59,'Видео'!$A$7:$A$1508,0)),"ID не найден"))</x:f>
        <x:v>3.4146341463414633</x:v>
      </x:c>
      <x:c r="I59" s="10" t="str">
        <x:f>IF(A59="","",IF(COUNTIFS('Видео'!$A$7:$A$1508,A59)=1,INDEX('Видео'!$AI$7:$AI$1508,MATCH(A59,'Видео'!$A$7:$A$1508,0)),"ID не найден"))</x:f>
        <x:v>Нужна редактура</x:v>
      </x:c>
      <x:c r="J59" s="11" t="str">
        <x:f>IF(A59="","",IF(COUNTIFS('Видео'!$A$7:$A$1508,A59)=1,INDEX('Видео'!$U$7:$U$1508,MATCH(A59,'Видео'!$A$7:$A$1508,0)),"ID не найден"))</x:f>
        <x:v>https://www.youtube.com/watch?v=dbDxpIl1jJU</x:v>
      </x:c>
      <x:c r="K59" s="9" t="str">
        <x:v>C009</x:v>
      </x:c>
      <x:c r="L59" s="9" t="str">
        <x:v>Да</x:v>
      </x:c>
    </x:row>
    <x:row r="60" ht="60" customHeight="1">
      <x:c r="A60" s="9" t="str">
        <x:v>nAhnvyjpLks</x:v>
      </x:c>
      <x:c r="B60" s="10" t="str">
        <x:f>IF(A60="","",IF(COUNTIFS('Видео'!$A$7:$A$1508,A60)=1,INDEX('Видео'!$B$7:$B$1508,MATCH(A60,'Видео'!$A$7:$A$1508,0)),"ID не найден"))</x:f>
        <x:v>אחד על אחד 📚 - סדרה חדשה! | פרק 2 - הפוך קטן</x:v>
      </x:c>
      <x:c r="C60" s="10" t="str">
        <x:f>IF(A60="","",IF(COUNTIFS('Видео'!$A$7:$A$1508,A60)=1,INDEX('Видео'!$C$7:$C$1508,MATCH(A60,'Видео'!$A$7:$A$1508,0)),"ID не найден"))</x:f>
        <x:v>Культура и отношения</x:v>
      </x:c>
      <x:c r="D60" s="10" t="str">
        <x:f>IF(A60="","",IF(COUNTIFS('Видео'!$A$7:$A$1508,A60)=1,INDEX('Видео'!$M$7:$M$1508,MATCH(A60,'Видео'!$A$7:$A$1508,0)),"ID не найден"))</x:f>
        <x:v>Эпизод 2 в знакомой сюжетной ветке. Просмотры в списке выше медианы выборки этого цикла в 1.63 раза. Более камерный сюжет даёт альтернативу шумным комедиям и детективам. Подходит для обсуждения эмпатии и общения.</x:v>
      </x:c>
      <x:c r="E60" s="9" t="str">
        <x:f>IF(A60="","",IF(COUNTIFS('Видео'!$A$7:$A$1508,A60)=1,INDEX('Видео'!$D$7:$D$1508,MATCH(A60,'Видео'!$A$7:$A$1508,0)),"ID не найден"))</x:f>
        <x:v>Сериал</x:v>
      </x:c>
      <x:c r="F60" s="10" t="str">
        <x:f>IF(A60="","",IF(COUNTIFS('Видео'!$A$7:$A$1508,A60)=1,INDEX('Видео'!$F$7:$F$1508,MATCH(A60,'Видео'!$A$7:$A$1508,0)),"ID не найден"))</x:f>
        <x:v>B1–B2 (гипотеза)</x:v>
      </x:c>
      <x:c r="G60" s="14" t="n">
        <x:f>IF(A60="","",IF(COUNTIFS('Видео'!$A$7:$A$1508,A60)=1,INDEX('Видео'!$H$7:$H$1508,MATCH(A60,'Видео'!$A$7:$A$1508,0)),"ID не найден"))</x:f>
        <x:v>100234</x:v>
      </x:c>
      <x:c r="H60" s="18" t="n">
        <x:f>IF(A60="","",IF(COUNTIFS('Видео'!$A$7:$A$1508,A60)=1,INDEX('Видео'!$L$7:$L$1508,MATCH(A60,'Видео'!$A$7:$A$1508,0)),"ID не найден"))</x:f>
        <x:v>1.6260162601626016</x:v>
      </x:c>
      <x:c r="I60" s="10" t="str">
        <x:f>IF(A60="","",IF(COUNTIFS('Видео'!$A$7:$A$1508,A60)=1,INDEX('Видео'!$AI$7:$AI$1508,MATCH(A60,'Видео'!$A$7:$A$1508,0)),"ID не найден"))</x:f>
        <x:v>Нужна редактура</x:v>
      </x:c>
      <x:c r="J60" s="11" t="str">
        <x:f>IF(A60="","",IF(COUNTIFS('Видео'!$A$7:$A$1508,A60)=1,INDEX('Видео'!$U$7:$U$1508,MATCH(A60,'Видео'!$A$7:$A$1508,0)),"ID не найден"))</x:f>
        <x:v>https://www.youtube.com/watch?v=nAhnvyjpLks</x:v>
      </x:c>
      <x:c r="K60" s="9" t="str">
        <x:v>C009</x:v>
      </x:c>
      <x:c r="L60" s="9" t="str">
        <x:v>Да</x:v>
      </x:c>
    </x:row>
    <x:row r="61" ht="60" customHeight="1">
      <x:c r="A61" s="9" t="str">
        <x:v>Ur-Q0NSmC18</x:v>
      </x:c>
      <x:c r="B61" s="10" t="str">
        <x:f>IF(A61="","",IF(COUNTIFS('Видео'!$A$7:$A$1508,A61)=1,INDEX('Видео'!$B$7:$B$1508,MATCH(A61,'Видео'!$A$7:$A$1508,0)),"ID не найден"))</x:f>
        <x:v>שעת אפס 👨‍🏫 | פרק 1 - השיעור</x:v>
      </x:c>
      <x:c r="C61" s="10" t="str">
        <x:f>IF(A61="","",IF(COUNTIFS('Видео'!$A$7:$A$1508,A61)=1,INDEX('Видео'!$C$7:$C$1508,MATCH(A61,'Видео'!$A$7:$A$1508,0)),"ID не найден"))</x:f>
        <x:v>Образование и общество</x:v>
      </x:c>
      <x:c r="D61" s="10" t="str">
        <x:f>IF(A61="","",IF(COUNTIFS('Видео'!$A$7:$A$1508,A61)=1,INDEX('Видео'!$M$7:$M$1508,MATCH(A61,'Видео'!$A$7:$A$1508,0)),"ID не найден"))</x:f>
        <x:v>Эпизод 1 в знакомой сюжетной ветке. Просмотры в списке выше медианы выборки этого цикла в 1.68 раза. Школьный конфликт связывает драму с реальной общественной дискуссией. Полезен родителям и людям, интересующимся системой образования.</x:v>
      </x:c>
      <x:c r="E61" s="9" t="str">
        <x:f>IF(A61="","",IF(COUNTIFS('Видео'!$A$7:$A$1508,A61)=1,INDEX('Видео'!$D$7:$D$1508,MATCH(A61,'Видео'!$A$7:$A$1508,0)),"ID не найден"))</x:f>
        <x:v>Сериал</x:v>
      </x:c>
      <x:c r="F61" s="10" t="str">
        <x:f>IF(A61="","",IF(COUNTIFS('Видео'!$A$7:$A$1508,A61)=1,INDEX('Видео'!$F$7:$F$1508,MATCH(A61,'Видео'!$A$7:$A$1508,0)),"ID не найден"))</x:f>
        <x:v>B2–C1 (гипотеза)</x:v>
      </x:c>
      <x:c r="G61" s="14" t="n">
        <x:f>IF(A61="","",IF(COUNTIFS('Видео'!$A$7:$A$1508,A61)=1,INDEX('Видео'!$H$7:$H$1508,MATCH(A61,'Видео'!$A$7:$A$1508,0)),"ID не найден"))</x:f>
        <x:v>765386</x:v>
      </x:c>
      <x:c r="H61" s="18" t="n">
        <x:f>IF(A61="","",IF(COUNTIFS('Видео'!$A$7:$A$1508,A61)=1,INDEX('Видео'!$L$7:$L$1508,MATCH(A61,'Видео'!$A$7:$A$1508,0)),"ID не найден"))</x:f>
        <x:v>1.6794731064763995</x:v>
      </x:c>
      <x:c r="I61" s="10" t="str">
        <x:f>IF(A61="","",IF(COUNTIFS('Видео'!$A$7:$A$1508,A61)=1,INDEX('Видео'!$AI$7:$AI$1508,MATCH(A61,'Видео'!$A$7:$A$1508,0)),"ID не найден"))</x:f>
        <x:v>Нужна редактура</x:v>
      </x:c>
      <x:c r="J61" s="11" t="str">
        <x:f>IF(A61="","",IF(COUNTIFS('Видео'!$A$7:$A$1508,A61)=1,INDEX('Видео'!$U$7:$U$1508,MATCH(A61,'Видео'!$A$7:$A$1508,0)),"ID не найден"))</x:f>
        <x:v>https://www.youtube.com/watch?v=Ur-Q0NSmC18</x:v>
      </x:c>
      <x:c r="K61" s="9" t="str">
        <x:v>C010</x:v>
      </x:c>
      <x:c r="L61" s="9" t="str">
        <x:v>Нет</x:v>
      </x:c>
    </x:row>
    <x:row r="62" ht="60" customHeight="1">
      <x:c r="A62" s="9" t="str">
        <x:v>Zy2KO9f55gU</x:v>
      </x:c>
      <x:c r="B62" s="10" t="str">
        <x:f>IF(A62="","",IF(COUNTIFS('Видео'!$A$7:$A$1508,A62)=1,INDEX('Видео'!$B$7:$B$1508,MATCH(A62,'Видео'!$A$7:$A$1508,0)),"ID не найден"))</x:f>
        <x:v>שעת אפס 👨‍🏫 | פרק 2 - הפוסט</x:v>
      </x:c>
      <x:c r="C62" s="10" t="str">
        <x:f>IF(A62="","",IF(COUNTIFS('Видео'!$A$7:$A$1508,A62)=1,INDEX('Видео'!$C$7:$C$1508,MATCH(A62,'Видео'!$A$7:$A$1508,0)),"ID не найден"))</x:f>
        <x:v>Образование и общество</x:v>
      </x:c>
      <x:c r="D62" s="10" t="str">
        <x:f>IF(A62="","",IF(COUNTIFS('Видео'!$A$7:$A$1508,A62)=1,INDEX('Видео'!$M$7:$M$1508,MATCH(A62,'Видео'!$A$7:$A$1508,0)),"ID не найден"))</x:f>
        <x:v>Эпизод 2 в знакомой сюжетной ветке. Школьный конфликт связывает драму с реальной общественной дискуссией. Полезен родителям и людям, интересующимся системой образования.</x:v>
      </x:c>
      <x:c r="E62" s="9" t="str">
        <x:f>IF(A62="","",IF(COUNTIFS('Видео'!$A$7:$A$1508,A62)=1,INDEX('Видео'!$D$7:$D$1508,MATCH(A62,'Видео'!$A$7:$A$1508,0)),"ID не найден"))</x:f>
        <x:v>Сериал</x:v>
      </x:c>
      <x:c r="F62" s="10" t="str">
        <x:f>IF(A62="","",IF(COUNTIFS('Видео'!$A$7:$A$1508,A62)=1,INDEX('Видео'!$F$7:$F$1508,MATCH(A62,'Видео'!$A$7:$A$1508,0)),"ID не найден"))</x:f>
        <x:v>B2–C1 (гипотеза)</x:v>
      </x:c>
      <x:c r="G62" s="14" t="n">
        <x:f>IF(A62="","",IF(COUNTIFS('Видео'!$A$7:$A$1508,A62)=1,INDEX('Видео'!$H$7:$H$1508,MATCH(A62,'Видео'!$A$7:$A$1508,0)),"ID не найден"))</x:f>
        <x:v>527136</x:v>
      </x:c>
      <x:c r="H62" s="18" t="n">
        <x:f>IF(A62="","",IF(COUNTIFS('Видео'!$A$7:$A$1508,A62)=1,INDEX('Видео'!$L$7:$L$1508,MATCH(A62,'Видео'!$A$7:$A$1508,0)),"ID не найден"))</x:f>
        <x:v>1.1569703622392975</x:v>
      </x:c>
      <x:c r="I62" s="10" t="str">
        <x:f>IF(A62="","",IF(COUNTIFS('Видео'!$A$7:$A$1508,A62)=1,INDEX('Видео'!$AI$7:$AI$1508,MATCH(A62,'Видео'!$A$7:$A$1508,0)),"ID не найден"))</x:f>
        <x:v>Нужна редактура</x:v>
      </x:c>
      <x:c r="J62" s="11" t="str">
        <x:f>IF(A62="","",IF(COUNTIFS('Видео'!$A$7:$A$1508,A62)=1,INDEX('Видео'!$U$7:$U$1508,MATCH(A62,'Видео'!$A$7:$A$1508,0)),"ID не найден"))</x:f>
        <x:v>https://www.youtube.com/watch?v=Zy2KO9f55gU</x:v>
      </x:c>
      <x:c r="K62" s="9" t="str">
        <x:v>C010</x:v>
      </x:c>
      <x:c r="L62" s="9" t="str">
        <x:v>Нет</x:v>
      </x:c>
    </x:row>
    <x:row r="63" ht="60" customHeight="1">
      <x:c r="A63" s="9" t="str">
        <x:v>6XXGdnmufFE</x:v>
      </x:c>
      <x:c r="B63" s="10" t="str">
        <x:f>IF(A63="","",IF(COUNTIFS('Видео'!$A$7:$A$1508,A63)=1,INDEX('Видео'!$B$7:$B$1508,MATCH(A63,'Видео'!$A$7:$A$1508,0)),"ID не найден"))</x:f>
        <x:v>משפחה בהסעה 🚙 | פרק 1 - בואו נדבר על סקס</x:v>
      </x:c>
      <x:c r="C63" s="10" t="str">
        <x:f>IF(A63="","",IF(COUNTIFS('Видео'!$A$7:$A$1508,A63)=1,INDEX('Видео'!$C$7:$C$1508,MATCH(A63,'Видео'!$A$7:$A$1508,0)),"ID не найден"))</x:f>
        <x:v>Семья и поколения</x:v>
      </x:c>
      <x:c r="D63" s="10" t="str">
        <x:f>IF(A63="","",IF(COUNTIFS('Видео'!$A$7:$A$1508,A63)=1,INDEX('Видео'!$M$7:$M$1508,MATCH(A63,'Видео'!$A$7:$A$1508,0)),"ID не найден"))</x:f>
        <x:v>Тема: משפחה בהסעה 🚙 | פרק 1 - בואו נדבר על סקס. Просмотры в списке выше медианы выборки этого цикла в 2.12 раза. Разговоры семьи в машине дают естественную смену тем и короткие реплики. Расширяют предложение для родителей и семейного просмотра.</x:v>
      </x:c>
      <x:c r="E63" s="9" t="str">
        <x:f>IF(A63="","",IF(COUNTIFS('Видео'!$A$7:$A$1508,A63)=1,INDEX('Видео'!$D$7:$D$1508,MATCH(A63,'Видео'!$A$7:$A$1508,0)),"ID не найден"))</x:f>
        <x:v>Общество</x:v>
      </x:c>
      <x:c r="F63" s="10" t="str">
        <x:f>IF(A63="","",IF(COUNTIFS('Видео'!$A$7:$A$1508,A63)=1,INDEX('Видео'!$F$7:$F$1508,MATCH(A63,'Видео'!$A$7:$A$1508,0)),"ID не найден"))</x:f>
        <x:v>B1–B2 (гипотеза)</x:v>
      </x:c>
      <x:c r="G63" s="14" t="n">
        <x:f>IF(A63="","",IF(COUNTIFS('Видео'!$A$7:$A$1508,A63)=1,INDEX('Видео'!$H$7:$H$1508,MATCH(A63,'Видео'!$A$7:$A$1508,0)),"ID не найден"))</x:f>
        <x:v>967677</x:v>
      </x:c>
      <x:c r="H63" s="18" t="n">
        <x:f>IF(A63="","",IF(COUNTIFS('Видео'!$A$7:$A$1508,A63)=1,INDEX('Видео'!$L$7:$L$1508,MATCH(A63,'Видео'!$A$7:$A$1508,0)),"ID не найден"))</x:f>
        <x:v>2.120614035087719</x:v>
      </x:c>
      <x:c r="I63" s="10" t="str">
        <x:f>IF(A63="","",IF(COUNTIFS('Видео'!$A$7:$A$1508,A63)=1,INDEX('Видео'!$AI$7:$AI$1508,MATCH(A63,'Видео'!$A$7:$A$1508,0)),"ID не найден"))</x:f>
        <x:v>Нужна редактура</x:v>
      </x:c>
      <x:c r="J63" s="11" t="str">
        <x:f>IF(A63="","",IF(COUNTIFS('Видео'!$A$7:$A$1508,A63)=1,INDEX('Видео'!$U$7:$U$1508,MATCH(A63,'Видео'!$A$7:$A$1508,0)),"ID не найден"))</x:f>
        <x:v>https://www.youtube.com/watch?v=6XXGdnmufFE</x:v>
      </x:c>
      <x:c r="K63" s="9" t="str">
        <x:v>C011</x:v>
      </x:c>
      <x:c r="L63" s="9" t="str">
        <x:v>Да</x:v>
      </x:c>
    </x:row>
    <x:row r="64" ht="60" customHeight="1">
      <x:c r="A64" s="9" t="str">
        <x:v>zIKwV5iVVio</x:v>
      </x:c>
      <x:c r="B64" s="10" t="str">
        <x:f>IF(A64="","",IF(COUNTIFS('Видео'!$A$7:$A$1508,A64)=1,INDEX('Видео'!$B$7:$B$1508,MATCH(A64,'Видео'!$A$7:$A$1508,0)),"ID не найден"))</x:f>
        <x:v>משפחה בהסעה 🚙 | פרק 2 - הרשת החברתית</x:v>
      </x:c>
      <x:c r="C64" s="10" t="str">
        <x:f>IF(A64="","",IF(COUNTIFS('Видео'!$A$7:$A$1508,A64)=1,INDEX('Видео'!$C$7:$C$1508,MATCH(A64,'Видео'!$A$7:$A$1508,0)),"ID не найден"))</x:f>
        <x:v>Семья и поколения</x:v>
      </x:c>
      <x:c r="D64" s="10" t="str">
        <x:f>IF(A64="","",IF(COUNTIFS('Видео'!$A$7:$A$1508,A64)=1,INDEX('Видео'!$M$7:$M$1508,MATCH(A64,'Видео'!$A$7:$A$1508,0)),"ID не найден"))</x:f>
        <x:v>Тема: משפחה בהסעה 🚙 | פרק 2 - הרשת החברתית. Просмотры в списке выше медианы выборки этого цикла в 2.0 раза. Разговоры семьи в машине дают естественную смену тем и короткие реплики. Расширяют предложение для родителей и семейного просмотра.</x:v>
      </x:c>
      <x:c r="E64" s="9" t="str">
        <x:f>IF(A64="","",IF(COUNTIFS('Видео'!$A$7:$A$1508,A64)=1,INDEX('Видео'!$D$7:$D$1508,MATCH(A64,'Видео'!$A$7:$A$1508,0)),"ID не найден"))</x:f>
        <x:v>Общество</x:v>
      </x:c>
      <x:c r="F64" s="10" t="str">
        <x:f>IF(A64="","",IF(COUNTIFS('Видео'!$A$7:$A$1508,A64)=1,INDEX('Видео'!$F$7:$F$1508,MATCH(A64,'Видео'!$A$7:$A$1508,0)),"ID не найден"))</x:f>
        <x:v>B1–B2 (гипотеза)</x:v>
      </x:c>
      <x:c r="G64" s="14" t="n">
        <x:f>IF(A64="","",IF(COUNTIFS('Видео'!$A$7:$A$1508,A64)=1,INDEX('Видео'!$H$7:$H$1508,MATCH(A64,'Видео'!$A$7:$A$1508,0)),"ID не найден"))</x:f>
        <x:v>910307</x:v>
      </x:c>
      <x:c r="H64" s="18" t="n">
        <x:f>IF(A64="","",IF(COUNTIFS('Видео'!$A$7:$A$1508,A64)=1,INDEX('Видео'!$L$7:$L$1508,MATCH(A64,'Видео'!$A$7:$A$1508,0)),"ID не найден"))</x:f>
        <x:v>1.9956140350877194</x:v>
      </x:c>
      <x:c r="I64" s="10" t="str">
        <x:f>IF(A64="","",IF(COUNTIFS('Видео'!$A$7:$A$1508,A64)=1,INDEX('Видео'!$AI$7:$AI$1508,MATCH(A64,'Видео'!$A$7:$A$1508,0)),"ID не найден"))</x:f>
        <x:v>Нужна редактура</x:v>
      </x:c>
      <x:c r="J64" s="11" t="str">
        <x:f>IF(A64="","",IF(COUNTIFS('Видео'!$A$7:$A$1508,A64)=1,INDEX('Видео'!$U$7:$U$1508,MATCH(A64,'Видео'!$A$7:$A$1508,0)),"ID не найден"))</x:f>
        <x:v>https://www.youtube.com/watch?v=zIKwV5iVVio</x:v>
      </x:c>
      <x:c r="K64" s="9" t="str">
        <x:v>C011</x:v>
      </x:c>
      <x:c r="L64" s="9" t="str">
        <x:v>Да</x:v>
      </x:c>
    </x:row>
    <x:row r="65" ht="60" customHeight="1">
      <x:c r="A65" s="9" t="str">
        <x:v>w7Bb_C8GWzI</x:v>
      </x:c>
      <x:c r="B65" s="10" t="str">
        <x:f>IF(A65="","",IF(COUNTIFS('Видео'!$A$7:$A$1508,A65)=1,INDEX('Видео'!$B$7:$B$1508,MATCH(A65,'Видео'!$A$7:$A$1508,0)),"ID не найден"))</x:f>
        <x:v>עונה חדשה 🔥 פגישה עם רוני קובן עונה 11 | אסף רפפורט</x:v>
      </x:c>
      <x:c r="C65" s="10" t="str">
        <x:f>IF(A65="","",IF(COUNTIFS('Видео'!$A$7:$A$1508,A65)=1,INDEX('Видео'!$C$7:$C$1508,MATCH(A65,'Видео'!$A$7:$A$1508,0)),"ID не найден"))</x:f>
        <x:v>Люди Израиля</x:v>
      </x:c>
      <x:c r="D65" s="10" t="str">
        <x:f>IF(A65="","",IF(COUNTIFS('Видео'!$A$7:$A$1508,A65)=1,INDEX('Видео'!$M$7:$M$1508,MATCH(A65,'Видео'!$A$7:$A$1508,0)),"ID не найден"))</x:f>
        <x:v>Тема / гость: אסף רפפורט.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65" s="9" t="str">
        <x:f>IF(A65="","",IF(COUNTIFS('Видео'!$A$7:$A$1508,A65)=1,INDEX('Видео'!$D$7:$D$1508,MATCH(A65,'Видео'!$A$7:$A$1508,0)),"ID не найден"))</x:f>
        <x:v>Интервью</x:v>
      </x:c>
      <x:c r="F65" s="10" t="str">
        <x:f>IF(A65="","",IF(COUNTIFS('Видео'!$A$7:$A$1508,A65)=1,INDEX('Видео'!$F$7:$F$1508,MATCH(A65,'Видео'!$A$7:$A$1508,0)),"ID не найден"))</x:f>
        <x:v>B2–C1 (гипотеза)</x:v>
      </x:c>
      <x:c r="G65" s="14" t="n">
        <x:f>IF(A65="","",IF(COUNTIFS('Видео'!$A$7:$A$1508,A65)=1,INDEX('Видео'!$H$7:$H$1508,MATCH(A65,'Видео'!$A$7:$A$1508,0)),"ID не найден"))</x:f>
        <x:v>174727</x:v>
      </x:c>
      <x:c r="H65" s="18" t="str">
        <x:f>IF(A65="","",IF(COUNTIFS('Видео'!$A$7:$A$1508,A65)=1,INDEX('Видео'!$L$7:$L$1508,MATCH(A65,'Видео'!$A$7:$A$1508,0)),"ID не найден"))</x:f>
      </x:c>
      <x:c r="I65" s="10" t="str">
        <x:f>IF(A65="","",IF(COUNTIFS('Видео'!$A$7:$A$1508,A65)=1,INDEX('Видео'!$AI$7:$AI$1508,MATCH(A65,'Видео'!$A$7:$A$1508,0)),"ID не найден"))</x:f>
        <x:v>Нужна редактура</x:v>
      </x:c>
      <x:c r="J65" s="11" t="str">
        <x:f>IF(A65="","",IF(COUNTIFS('Видео'!$A$7:$A$1508,A65)=1,INDEX('Видео'!$U$7:$U$1508,MATCH(A65,'Видео'!$A$7:$A$1508,0)),"ID не найден"))</x:f>
        <x:v>https://www.youtube.com/watch?v=w7Bb_C8GWzI</x:v>
      </x:c>
      <x:c r="K65" s="9" t="str">
        <x:v>C012</x:v>
      </x:c>
      <x:c r="L65" s="9" t="str">
        <x:v>Да</x:v>
      </x:c>
    </x:row>
    <x:row r="66" ht="60" customHeight="1">
      <x:c r="A66" s="9" t="str">
        <x:v>m0A3J3dW2Yk</x:v>
      </x:c>
      <x:c r="B66" s="10" t="str">
        <x:f>IF(A66="","",IF(COUNTIFS('Видео'!$A$7:$A$1508,A66)=1,INDEX('Видео'!$B$7:$B$1508,MATCH(A66,'Видео'!$A$7:$A$1508,0)),"ID не найден"))</x:f>
        <x:v>פגישה עם רוני קובן עונה 11 | נפתלי בנט</x:v>
      </x:c>
      <x:c r="C66" s="10" t="str">
        <x:f>IF(A66="","",IF(COUNTIFS('Видео'!$A$7:$A$1508,A66)=1,INDEX('Видео'!$C$7:$C$1508,MATCH(A66,'Видео'!$A$7:$A$1508,0)),"ID не найден"))</x:f>
        <x:v>Люди Израиля</x:v>
      </x:c>
      <x:c r="D66" s="10" t="str">
        <x:f>IF(A66="","",IF(COUNTIFS('Видео'!$A$7:$A$1508,A66)=1,INDEX('Видео'!$M$7:$M$1508,MATCH(A66,'Видео'!$A$7:$A$1508,0)),"ID не найден"))</x:f>
        <x:v>Тема / гость: נפתלי בנט.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66" s="9" t="str">
        <x:f>IF(A66="","",IF(COUNTIFS('Видео'!$A$7:$A$1508,A66)=1,INDEX('Видео'!$D$7:$D$1508,MATCH(A66,'Видео'!$A$7:$A$1508,0)),"ID не найден"))</x:f>
        <x:v>Интервью</x:v>
      </x:c>
      <x:c r="F66" s="10" t="str">
        <x:f>IF(A66="","",IF(COUNTIFS('Видео'!$A$7:$A$1508,A66)=1,INDEX('Видео'!$F$7:$F$1508,MATCH(A66,'Видео'!$A$7:$A$1508,0)),"ID не найден"))</x:f>
        <x:v>B2–C1 (гипотеза)</x:v>
      </x:c>
      <x:c r="G66" s="14" t="n">
        <x:f>IF(A66="","",IF(COUNTIFS('Видео'!$A$7:$A$1508,A66)=1,INDEX('Видео'!$H$7:$H$1508,MATCH(A66,'Видео'!$A$7:$A$1508,0)),"ID не найден"))</x:f>
        <x:v>99898</x:v>
      </x:c>
      <x:c r="H66" s="18" t="str">
        <x:f>IF(A66="","",IF(COUNTIFS('Видео'!$A$7:$A$1508,A66)=1,INDEX('Видео'!$L$7:$L$1508,MATCH(A66,'Видео'!$A$7:$A$1508,0)),"ID не найден"))</x:f>
      </x:c>
      <x:c r="I66" s="10" t="str">
        <x:f>IF(A66="","",IF(COUNTIFS('Видео'!$A$7:$A$1508,A66)=1,INDEX('Видео'!$AI$7:$AI$1508,MATCH(A66,'Видео'!$A$7:$A$1508,0)),"ID не найден"))</x:f>
        <x:v>Нужна редактура</x:v>
      </x:c>
      <x:c r="J66" s="11" t="str">
        <x:f>IF(A66="","",IF(COUNTIFS('Видео'!$A$7:$A$1508,A66)=1,INDEX('Видео'!$U$7:$U$1508,MATCH(A66,'Видео'!$A$7:$A$1508,0)),"ID не найден"))</x:f>
        <x:v>https://www.youtube.com/watch?v=m0A3J3dW2Yk</x:v>
      </x:c>
      <x:c r="K66" s="9" t="str">
        <x:v>C012</x:v>
      </x:c>
      <x:c r="L66" s="9" t="str">
        <x:v>Да</x:v>
      </x:c>
    </x:row>
    <x:row r="67" ht="60" customHeight="1">
      <x:c r="A67" s="9" t="str">
        <x:v>DTPX_UjGOa8</x:v>
      </x:c>
      <x:c r="B67" s="10" t="str">
        <x:f>IF(A67="","",IF(COUNTIFS('Видео'!$A$7:$A$1508,A67)=1,INDEX('Видео'!$B$7:$B$1508,MATCH(A67,'Видео'!$A$7:$A$1508,0)),"ID не найден"))</x:f>
        <x:v>פגישה עם רוני קובן עונה 8 | יוסי כהן</x:v>
      </x:c>
      <x:c r="C67" s="10" t="str">
        <x:f>IF(A67="","",IF(COUNTIFS('Видео'!$A$7:$A$1508,A67)=1,INDEX('Видео'!$C$7:$C$1508,MATCH(A67,'Видео'!$A$7:$A$1508,0)),"ID не найден"))</x:f>
        <x:v>Люди Израиля</x:v>
      </x:c>
      <x:c r="D67" s="10" t="str">
        <x:f>IF(A67="","",IF(COUNTIFS('Видео'!$A$7:$A$1508,A67)=1,INDEX('Видео'!$M$7:$M$1508,MATCH(A67,'Видео'!$A$7:$A$1508,0)),"ID не найден"))</x:f>
        <x:v>Тема / гость: יוסי כהן. Просмотры в списке выше медианы выборки этого цикла в 5.73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67" s="9" t="str">
        <x:f>IF(A67="","",IF(COUNTIFS('Видео'!$A$7:$A$1508,A67)=1,INDEX('Видео'!$D$7:$D$1508,MATCH(A67,'Видео'!$A$7:$A$1508,0)),"ID не найден"))</x:f>
        <x:v>Интервью</x:v>
      </x:c>
      <x:c r="F67" s="10" t="str">
        <x:f>IF(A67="","",IF(COUNTIFS('Видео'!$A$7:$A$1508,A67)=1,INDEX('Видео'!$F$7:$F$1508,MATCH(A67,'Видео'!$A$7:$A$1508,0)),"ID не найден"))</x:f>
        <x:v>B2–C1 (гипотеза)</x:v>
      </x:c>
      <x:c r="G67" s="14" t="n">
        <x:f>IF(A67="","",IF(COUNTIFS('Видео'!$A$7:$A$1508,A67)=1,INDEX('Видео'!$H$7:$H$1508,MATCH(A67,'Видео'!$A$7:$A$1508,0)),"ID не найден"))</x:f>
        <x:v>344879</x:v>
      </x:c>
      <x:c r="H67" s="18" t="n">
        <x:f>IF(A67="","",IF(COUNTIFS('Видео'!$A$7:$A$1508,A67)=1,INDEX('Видео'!$L$7:$L$1508,MATCH(A67,'Видео'!$A$7:$A$1508,0)),"ID не найден"))</x:f>
        <x:v>5.733333333333333</x:v>
      </x:c>
      <x:c r="I67" s="10" t="str">
        <x:f>IF(A67="","",IF(COUNTIFS('Видео'!$A$7:$A$1508,A67)=1,INDEX('Видео'!$AI$7:$AI$1508,MATCH(A67,'Видео'!$A$7:$A$1508,0)),"ID не найден"))</x:f>
        <x:v>Нужна редактура</x:v>
      </x:c>
      <x:c r="J67" s="11" t="str">
        <x:f>IF(A67="","",IF(COUNTIFS('Видео'!$A$7:$A$1508,A67)=1,INDEX('Видео'!$U$7:$U$1508,MATCH(A67,'Видео'!$A$7:$A$1508,0)),"ID не найден"))</x:f>
        <x:v>https://www.youtube.com/watch?v=DTPX_UjGOa8</x:v>
      </x:c>
      <x:c r="K67" s="9" t="str">
        <x:v>C015</x:v>
      </x:c>
      <x:c r="L67" s="9" t="str">
        <x:v>Да</x:v>
      </x:c>
    </x:row>
    <x:row r="68" ht="60" customHeight="1">
      <x:c r="A68" s="9" t="str">
        <x:v>Rmwtxd6_gOE</x:v>
      </x:c>
      <x:c r="B68" s="10" t="str">
        <x:f>IF(A68="","",IF(COUNTIFS('Видео'!$A$7:$A$1508,A68)=1,INDEX('Видео'!$B$7:$B$1508,MATCH(A68,'Видео'!$A$7:$A$1508,0)),"ID не найден"))</x:f>
        <x:v>פגישה עם רוני קובן עונה 8 | ינון מגל</x:v>
      </x:c>
      <x:c r="C68" s="10" t="str">
        <x:f>IF(A68="","",IF(COUNTIFS('Видео'!$A$7:$A$1508,A68)=1,INDEX('Видео'!$C$7:$C$1508,MATCH(A68,'Видео'!$A$7:$A$1508,0)),"ID не найден"))</x:f>
        <x:v>Люди Израиля</x:v>
      </x:c>
      <x:c r="D68" s="10" t="str">
        <x:f>IF(A68="","",IF(COUNTIFS('Видео'!$A$7:$A$1508,A68)=1,INDEX('Видео'!$M$7:$M$1508,MATCH(A68,'Видео'!$A$7:$A$1508,0)),"ID не найден"))</x:f>
        <x:v>Тема / гость: ינון מגל. Просмотры в списке выше медианы выборки этого цикла в 5.67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68" s="9" t="str">
        <x:f>IF(A68="","",IF(COUNTIFS('Видео'!$A$7:$A$1508,A68)=1,INDEX('Видео'!$D$7:$D$1508,MATCH(A68,'Видео'!$A$7:$A$1508,0)),"ID не найден"))</x:f>
        <x:v>Интервью</x:v>
      </x:c>
      <x:c r="F68" s="10" t="str">
        <x:f>IF(A68="","",IF(COUNTIFS('Видео'!$A$7:$A$1508,A68)=1,INDEX('Видео'!$F$7:$F$1508,MATCH(A68,'Видео'!$A$7:$A$1508,0)),"ID не найден"))</x:f>
        <x:v>B2–C1 (гипотеза)</x:v>
      </x:c>
      <x:c r="G68" s="14" t="n">
        <x:f>IF(A68="","",IF(COUNTIFS('Видео'!$A$7:$A$1508,A68)=1,INDEX('Видео'!$H$7:$H$1508,MATCH(A68,'Видео'!$A$7:$A$1508,0)),"ID не найден"))</x:f>
        <x:v>340952</x:v>
      </x:c>
      <x:c r="H68" s="18" t="n">
        <x:f>IF(A68="","",IF(COUNTIFS('Видео'!$A$7:$A$1508,A68)=1,INDEX('Видео'!$L$7:$L$1508,MATCH(A68,'Видео'!$A$7:$A$1508,0)),"ID не найден"))</x:f>
        <x:v>5.666666666666667</x:v>
      </x:c>
      <x:c r="I68" s="10" t="str">
        <x:f>IF(A68="","",IF(COUNTIFS('Видео'!$A$7:$A$1508,A68)=1,INDEX('Видео'!$AI$7:$AI$1508,MATCH(A68,'Видео'!$A$7:$A$1508,0)),"ID не найден"))</x:f>
        <x:v>Нужна редактура</x:v>
      </x:c>
      <x:c r="J68" s="11" t="str">
        <x:f>IF(A68="","",IF(COUNTIFS('Видео'!$A$7:$A$1508,A68)=1,INDEX('Видео'!$U$7:$U$1508,MATCH(A68,'Видео'!$A$7:$A$1508,0)),"ID не найден"))</x:f>
        <x:v>https://www.youtube.com/watch?v=Rmwtxd6_gOE</x:v>
      </x:c>
      <x:c r="K68" s="9" t="str">
        <x:v>C015</x:v>
      </x:c>
      <x:c r="L68" s="9" t="str">
        <x:v>Да</x:v>
      </x:c>
    </x:row>
    <x:row r="69" ht="60" customHeight="1">
      <x:c r="A69" s="9" t="str">
        <x:v>FKZ1sPzvFjU</x:v>
      </x:c>
      <x:c r="B69" s="10" t="str">
        <x:f>IF(A69="","",IF(COUNTIFS('Видео'!$A$7:$A$1508,A69)=1,INDEX('Видео'!$B$7:$B$1508,MATCH(A69,'Видео'!$A$7:$A$1508,0)),"ID не найден"))</x:f>
        <x:v>פגישה עם רוני קובן עונה 7 | פרק 7 - אדיר מילר</x:v>
      </x:c>
      <x:c r="C69" s="10" t="str">
        <x:f>IF(A69="","",IF(COUNTIFS('Видео'!$A$7:$A$1508,A69)=1,INDEX('Видео'!$C$7:$C$1508,MATCH(A69,'Видео'!$A$7:$A$1508,0)),"ID не найден"))</x:f>
        <x:v>Люди Израиля</x:v>
      </x:c>
      <x:c r="D69" s="10" t="str">
        <x:f>IF(A69="","",IF(COUNTIFS('Видео'!$A$7:$A$1508,A69)=1,INDEX('Видео'!$M$7:$M$1508,MATCH(A69,'Видео'!$A$7:$A$1508,0)),"ID не найден"))</x:f>
        <x:v>Тема / гость: פרק 7 - אדיר מילר. Просмотры в списке выше медианы выборки этого цикла в 7.27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69" s="9" t="str">
        <x:f>IF(A69="","",IF(COUNTIFS('Видео'!$A$7:$A$1508,A69)=1,INDEX('Видео'!$D$7:$D$1508,MATCH(A69,'Видео'!$A$7:$A$1508,0)),"ID не найден"))</x:f>
        <x:v>Интервью</x:v>
      </x:c>
      <x:c r="F69" s="10" t="str">
        <x:f>IF(A69="","",IF(COUNTIFS('Видео'!$A$7:$A$1508,A69)=1,INDEX('Видео'!$F$7:$F$1508,MATCH(A69,'Видео'!$A$7:$A$1508,0)),"ID не найден"))</x:f>
        <x:v>B2–C1 (гипотеза)</x:v>
      </x:c>
      <x:c r="G69" s="14" t="n">
        <x:f>IF(A69="","",IF(COUNTIFS('Видео'!$A$7:$A$1508,A69)=1,INDEX('Видео'!$H$7:$H$1508,MATCH(A69,'Видео'!$A$7:$A$1508,0)),"ID не найден"))</x:f>
        <x:v>349135</x:v>
      </x:c>
      <x:c r="H69" s="18" t="n">
        <x:f>IF(A69="","",IF(COUNTIFS('Видео'!$A$7:$A$1508,A69)=1,INDEX('Видео'!$L$7:$L$1508,MATCH(A69,'Видео'!$A$7:$A$1508,0)),"ID не найден"))</x:f>
        <x:v>7.270833333333333</x:v>
      </x:c>
      <x:c r="I69" s="10" t="str">
        <x:f>IF(A69="","",IF(COUNTIFS('Видео'!$A$7:$A$1508,A69)=1,INDEX('Видео'!$AI$7:$AI$1508,MATCH(A69,'Видео'!$A$7:$A$1508,0)),"ID не найден"))</x:f>
        <x:v>Нужна редактура</x:v>
      </x:c>
      <x:c r="J69" s="11" t="str">
        <x:f>IF(A69="","",IF(COUNTIFS('Видео'!$A$7:$A$1508,A69)=1,INDEX('Видео'!$U$7:$U$1508,MATCH(A69,'Видео'!$A$7:$A$1508,0)),"ID не найден"))</x:f>
        <x:v>https://www.youtube.com/watch?v=FKZ1sPzvFjU</x:v>
      </x:c>
      <x:c r="K69" s="9" t="str">
        <x:v>C016</x:v>
      </x:c>
      <x:c r="L69" s="9" t="str">
        <x:v>Да</x:v>
      </x:c>
    </x:row>
    <x:row r="70" ht="60" customHeight="1">
      <x:c r="A70" s="9" t="str">
        <x:v>Hh9uuhi8xxc</x:v>
      </x:c>
      <x:c r="B70" s="10" t="str">
        <x:f>IF(A70="","",IF(COUNTIFS('Видео'!$A$7:$A$1508,A70)=1,INDEX('Видео'!$B$7:$B$1508,MATCH(A70,'Видео'!$A$7:$A$1508,0)),"ID не найден"))</x:f>
        <x:v>פגישה עם רוני קובן עונה 7 | פרק 6 - אהרן ברק</x:v>
      </x:c>
      <x:c r="C70" s="10" t="str">
        <x:f>IF(A70="","",IF(COUNTIFS('Видео'!$A$7:$A$1508,A70)=1,INDEX('Видео'!$C$7:$C$1508,MATCH(A70,'Видео'!$A$7:$A$1508,0)),"ID не найден"))</x:f>
        <x:v>Люди Израиля</x:v>
      </x:c>
      <x:c r="D70" s="10" t="str">
        <x:f>IF(A70="","",IF(COUNTIFS('Видео'!$A$7:$A$1508,A70)=1,INDEX('Видео'!$M$7:$M$1508,MATCH(A70,'Видео'!$A$7:$A$1508,0)),"ID не найден"))</x:f>
        <x:v>Тема / гость: פרק 6 - אהרן ברק. Просмотры в списке выше медианы выборки этого цикла в 6.19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70" s="9" t="str">
        <x:f>IF(A70="","",IF(COUNTIFS('Видео'!$A$7:$A$1508,A70)=1,INDEX('Видео'!$D$7:$D$1508,MATCH(A70,'Видео'!$A$7:$A$1508,0)),"ID не найден"))</x:f>
        <x:v>Интервью</x:v>
      </x:c>
      <x:c r="F70" s="10" t="str">
        <x:f>IF(A70="","",IF(COUNTIFS('Видео'!$A$7:$A$1508,A70)=1,INDEX('Видео'!$F$7:$F$1508,MATCH(A70,'Видео'!$A$7:$A$1508,0)),"ID не найден"))</x:f>
        <x:v>B2–C1 (гипотеза)</x:v>
      </x:c>
      <x:c r="G70" s="14" t="n">
        <x:f>IF(A70="","",IF(COUNTIFS('Видео'!$A$7:$A$1508,A70)=1,INDEX('Видео'!$H$7:$H$1508,MATCH(A70,'Видео'!$A$7:$A$1508,0)),"ID не найден"))</x:f>
        <x:v>297204</x:v>
      </x:c>
      <x:c r="H70" s="18" t="n">
        <x:f>IF(A70="","",IF(COUNTIFS('Видео'!$A$7:$A$1508,A70)=1,INDEX('Видео'!$L$7:$L$1508,MATCH(A70,'Видео'!$A$7:$A$1508,0)),"ID не найден"))</x:f>
        <x:v>6.1875</x:v>
      </x:c>
      <x:c r="I70" s="10" t="str">
        <x:f>IF(A70="","",IF(COUNTIFS('Видео'!$A$7:$A$1508,A70)=1,INDEX('Видео'!$AI$7:$AI$1508,MATCH(A70,'Видео'!$A$7:$A$1508,0)),"ID не найден"))</x:f>
        <x:v>Нужна редактура</x:v>
      </x:c>
      <x:c r="J70" s="11" t="str">
        <x:f>IF(A70="","",IF(COUNTIFS('Видео'!$A$7:$A$1508,A70)=1,INDEX('Видео'!$U$7:$U$1508,MATCH(A70,'Видео'!$A$7:$A$1508,0)),"ID не найден"))</x:f>
        <x:v>https://www.youtube.com/watch?v=Hh9uuhi8xxc</x:v>
      </x:c>
      <x:c r="K70" s="9" t="str">
        <x:v>C016</x:v>
      </x:c>
      <x:c r="L70" s="9" t="str">
        <x:v>Да</x:v>
      </x:c>
    </x:row>
    <x:row r="71" ht="60" customHeight="1">
      <x:c r="A71" s="9" t="str">
        <x:v>syoDFvQbWNc</x:v>
      </x:c>
      <x:c r="B71" s="10" t="str">
        <x:f>IF(A71="","",IF(COUNTIFS('Видео'!$A$7:$A$1508,A71)=1,INDEX('Видео'!$B$7:$B$1508,MATCH(A71,'Видео'!$A$7:$A$1508,0)),"ID не найден"))</x:f>
        <x:v>פגישה עם רוני קובן עונה 6 | פרק 9 - נינט טייב</x:v>
      </x:c>
      <x:c r="C71" s="10" t="str">
        <x:f>IF(A71="","",IF(COUNTIFS('Видео'!$A$7:$A$1508,A71)=1,INDEX('Видео'!$C$7:$C$1508,MATCH(A71,'Видео'!$A$7:$A$1508,0)),"ID не найден"))</x:f>
        <x:v>Люди Израиля</x:v>
      </x:c>
      <x:c r="D71" s="10" t="str">
        <x:f>IF(A71="","",IF(COUNTIFS('Видео'!$A$7:$A$1508,A71)=1,INDEX('Видео'!$M$7:$M$1508,MATCH(A71,'Видео'!$A$7:$A$1508,0)),"ID не найден"))</x:f>
        <x:v>Тема / гость: פרק 9 - נינט טייב. Просмотры в списке выше медианы выборки этого цикла в 8.32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71" s="9" t="str">
        <x:f>IF(A71="","",IF(COUNTIFS('Видео'!$A$7:$A$1508,A71)=1,INDEX('Видео'!$D$7:$D$1508,MATCH(A71,'Видео'!$A$7:$A$1508,0)),"ID не найден"))</x:f>
        <x:v>Интервью</x:v>
      </x:c>
      <x:c r="F71" s="10" t="str">
        <x:f>IF(A71="","",IF(COUNTIFS('Видео'!$A$7:$A$1508,A71)=1,INDEX('Видео'!$F$7:$F$1508,MATCH(A71,'Видео'!$A$7:$A$1508,0)),"ID не найден"))</x:f>
        <x:v>B2–C1 (гипотеза)</x:v>
      </x:c>
      <x:c r="G71" s="14" t="n">
        <x:f>IF(A71="","",IF(COUNTIFS('Видео'!$A$7:$A$1508,A71)=1,INDEX('Видео'!$H$7:$H$1508,MATCH(A71,'Видео'!$A$7:$A$1508,0)),"ID не найден"))</x:f>
        <x:v>366877</x:v>
      </x:c>
      <x:c r="H71" s="18" t="n">
        <x:f>IF(A71="","",IF(COUNTIFS('Видео'!$A$7:$A$1508,A71)=1,INDEX('Видео'!$L$7:$L$1508,MATCH(A71,'Видео'!$A$7:$A$1508,0)),"ID не найден"))</x:f>
        <x:v>8.318181818181818</x:v>
      </x:c>
      <x:c r="I71" s="10" t="str">
        <x:f>IF(A71="","",IF(COUNTIFS('Видео'!$A$7:$A$1508,A71)=1,INDEX('Видео'!$AI$7:$AI$1508,MATCH(A71,'Видео'!$A$7:$A$1508,0)),"ID не найден"))</x:f>
        <x:v>Нужна редактура</x:v>
      </x:c>
      <x:c r="J71" s="11" t="str">
        <x:f>IF(A71="","",IF(COUNTIFS('Видео'!$A$7:$A$1508,A71)=1,INDEX('Видео'!$U$7:$U$1508,MATCH(A71,'Видео'!$A$7:$A$1508,0)),"ID не найден"))</x:f>
        <x:v>https://www.youtube.com/watch?v=syoDFvQbWNc</x:v>
      </x:c>
      <x:c r="K71" s="9" t="str">
        <x:v>C017</x:v>
      </x:c>
      <x:c r="L71" s="9" t="str">
        <x:v>Да</x:v>
      </x:c>
    </x:row>
    <x:row r="72" ht="60" customHeight="1">
      <x:c r="A72" s="9" t="str">
        <x:v>CN1QJCKgUNQ</x:v>
      </x:c>
      <x:c r="B72" s="10" t="str">
        <x:f>IF(A72="","",IF(COUNTIFS('Видео'!$A$7:$A$1508,A72)=1,INDEX('Видео'!$B$7:$B$1508,MATCH(A72,'Видео'!$A$7:$A$1508,0)),"ID не найден"))</x:f>
        <x:v>פגישה עם רוני קובן עונה 6 | פרק 5 - צופית גרנט</x:v>
      </x:c>
      <x:c r="C72" s="10" t="str">
        <x:f>IF(A72="","",IF(COUNTIFS('Видео'!$A$7:$A$1508,A72)=1,INDEX('Видео'!$C$7:$C$1508,MATCH(A72,'Видео'!$A$7:$A$1508,0)),"ID не найден"))</x:f>
        <x:v>Люди Израиля</x:v>
      </x:c>
      <x:c r="D72" s="10" t="str">
        <x:f>IF(A72="","",IF(COUNTIFS('Видео'!$A$7:$A$1508,A72)=1,INDEX('Видео'!$M$7:$M$1508,MATCH(A72,'Видео'!$A$7:$A$1508,0)),"ID не найден"))</x:f>
        <x:v>Тема / гость: פרק 5 - צופית גרנט. Просмотры в списке выше медианы выборки этого цикла в 3.32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E72" s="9" t="str">
        <x:f>IF(A72="","",IF(COUNTIFS('Видео'!$A$7:$A$1508,A72)=1,INDEX('Видео'!$D$7:$D$1508,MATCH(A72,'Видео'!$A$7:$A$1508,0)),"ID не найден"))</x:f>
        <x:v>Интервью</x:v>
      </x:c>
      <x:c r="F72" s="10" t="str">
        <x:f>IF(A72="","",IF(COUNTIFS('Видео'!$A$7:$A$1508,A72)=1,INDEX('Видео'!$F$7:$F$1508,MATCH(A72,'Видео'!$A$7:$A$1508,0)),"ID не найден"))</x:f>
        <x:v>B2–C1 (гипотеза)</x:v>
      </x:c>
      <x:c r="G72" s="14" t="n">
        <x:f>IF(A72="","",IF(COUNTIFS('Видео'!$A$7:$A$1508,A72)=1,INDEX('Видео'!$H$7:$H$1508,MATCH(A72,'Видео'!$A$7:$A$1508,0)),"ID не найден"))</x:f>
        <x:v>146048</x:v>
      </x:c>
      <x:c r="H72" s="18" t="n">
        <x:f>IF(A72="","",IF(COUNTIFS('Видео'!$A$7:$A$1508,A72)=1,INDEX('Видео'!$L$7:$L$1508,MATCH(A72,'Видео'!$A$7:$A$1508,0)),"ID не найден"))</x:f>
        <x:v>3.3181818181818183</x:v>
      </x:c>
      <x:c r="I72" s="10" t="str">
        <x:f>IF(A72="","",IF(COUNTIFS('Видео'!$A$7:$A$1508,A72)=1,INDEX('Видео'!$AI$7:$AI$1508,MATCH(A72,'Видео'!$A$7:$A$1508,0)),"ID не найден"))</x:f>
        <x:v>Нужна редактура</x:v>
      </x:c>
      <x:c r="J72" s="11" t="str">
        <x:f>IF(A72="","",IF(COUNTIFS('Видео'!$A$7:$A$1508,A72)=1,INDEX('Видео'!$U$7:$U$1508,MATCH(A72,'Видео'!$A$7:$A$1508,0)),"ID не найден"))</x:f>
        <x:v>https://www.youtube.com/watch?v=CN1QJCKgUNQ</x:v>
      </x:c>
      <x:c r="K72" s="9" t="str">
        <x:v>C017</x:v>
      </x:c>
      <x:c r="L72" s="9" t="str">
        <x:v>Да</x:v>
      </x:c>
    </x:row>
    <x:row r="73" ht="60" customHeight="1">
      <x:c r="A73" s="9" t="str">
        <x:v>k5YGS2WQDA8</x:v>
      </x:c>
      <x:c r="B73" s="10" t="str">
        <x:f>IF(A73="","",IF(COUNTIFS('Видео'!$A$7:$A$1508,A73)=1,INDEX('Видео'!$B$7:$B$1508,MATCH(A73,'Видео'!$A$7:$A$1508,0)),"ID не найден"))</x:f>
        <x:v>סליחה על השאלה עונה 4 | חטופים ששבו הביתה</x:v>
      </x:c>
      <x:c r="C73" s="10" t="str">
        <x:f>IF(A73="","",IF(COUNTIFS('Видео'!$A$7:$A$1508,A73)=1,INDEX('Видео'!$C$7:$C$1508,MATCH(A73,'Видео'!$A$7:$A$1508,0)),"ID не найден"))</x:f>
        <x:v>Разнообразие общества</x:v>
      </x:c>
      <x:c r="D73" s="10" t="str">
        <x:f>IF(A73="","",IF(COUNTIFS('Видео'!$A$7:$A$1508,A73)=1,INDEX('Видео'!$M$7:$M$1508,MATCH(A73,'Видео'!$A$7:$A$1508,0)),"ID не найден"))</x:f>
        <x:v>Тема: סליחה על השאלה עונה 4 | חטופים ששבו הביתה. Просмотры в списке выше медианы выборки этого цикла в 5.05 раза. Одинаковый вопрос разным людям позволяет сравнить ответы и акценты. Формат вводит социальные группы через их собственную речь.</x:v>
      </x:c>
      <x:c r="E73" s="9" t="str">
        <x:f>IF(A73="","",IF(COUNTIFS('Видео'!$A$7:$A$1508,A73)=1,INDEX('Видео'!$D$7:$D$1508,MATCH(A73,'Видео'!$A$7:$A$1508,0)),"ID не найден"))</x:f>
        <x:v>Общество</x:v>
      </x:c>
      <x:c r="F73" s="10" t="str">
        <x:f>IF(A73="","",IF(COUNTIFS('Видео'!$A$7:$A$1508,A73)=1,INDEX('Видео'!$F$7:$F$1508,MATCH(A73,'Видео'!$A$7:$A$1508,0)),"ID не найден"))</x:f>
        <x:v>B1–B2 (гипотеза)</x:v>
      </x:c>
      <x:c r="G73" s="14" t="n">
        <x:f>IF(A73="","",IF(COUNTIFS('Видео'!$A$7:$A$1508,A73)=1,INDEX('Видео'!$H$7:$H$1508,MATCH(A73,'Видео'!$A$7:$A$1508,0)),"ID не найден"))</x:f>
        <x:v>649534</x:v>
      </x:c>
      <x:c r="H73" s="18" t="n">
        <x:f>IF(A73="","",IF(COUNTIFS('Видео'!$A$7:$A$1508,A73)=1,INDEX('Видео'!$L$7:$L$1508,MATCH(A73,'Видео'!$A$7:$A$1508,0)),"ID не найден"))</x:f>
        <x:v>5.0505836575875485</x:v>
      </x:c>
      <x:c r="I73" s="10" t="str">
        <x:f>IF(A73="","",IF(COUNTIFS('Видео'!$A$7:$A$1508,A73)=1,INDEX('Видео'!$AI$7:$AI$1508,MATCH(A73,'Видео'!$A$7:$A$1508,0)),"ID не найден"))</x:f>
        <x:v>Нужна редактура</x:v>
      </x:c>
      <x:c r="J73" s="11" t="str">
        <x:f>IF(A73="","",IF(COUNTIFS('Видео'!$A$7:$A$1508,A73)=1,INDEX('Видео'!$U$7:$U$1508,MATCH(A73,'Видео'!$A$7:$A$1508,0)),"ID не найден"))</x:f>
        <x:v>https://www.youtube.com/watch?v=k5YGS2WQDA8</x:v>
      </x:c>
      <x:c r="K73" s="9" t="str">
        <x:v>C018</x:v>
      </x:c>
      <x:c r="L73" s="9" t="str">
        <x:v>Нет</x:v>
      </x:c>
    </x:row>
    <x:row r="74" ht="60" customHeight="1">
      <x:c r="A74" s="9" t="str">
        <x:v>qUQKnNZTZbA</x:v>
      </x:c>
      <x:c r="B74" s="10" t="str">
        <x:f>IF(A74="","",IF(COUNTIFS('Видео'!$A$7:$A$1508,A74)=1,INDEX('Видео'!$B$7:$B$1508,MATCH(A74,'Видео'!$A$7:$A$1508,0)),"ID не найден"))</x:f>
        <x:v>סליחה על השאלה עונה 4 | הריגה בשוגג</x:v>
      </x:c>
      <x:c r="C74" s="10" t="str">
        <x:f>IF(A74="","",IF(COUNTIFS('Видео'!$A$7:$A$1508,A74)=1,INDEX('Видео'!$C$7:$C$1508,MATCH(A74,'Видео'!$A$7:$A$1508,0)),"ID не найден"))</x:f>
        <x:v>Разнообразие общества</x:v>
      </x:c>
      <x:c r="D74" s="10" t="str">
        <x:f>IF(A74="","",IF(COUNTIFS('Видео'!$A$7:$A$1508,A74)=1,INDEX('Видео'!$M$7:$M$1508,MATCH(A74,'Видео'!$A$7:$A$1508,0)),"ID не найден"))</x:f>
        <x:v>Тема: סליחה על השאלה עונה 4 | הריגה בשוגג. Просмотры в списке выше медианы выборки этого цикла в 4.11 раза. Одинаковый вопрос разным людям позволяет сравнить ответы и акценты. Формат вводит социальные группы через их собственную речь.</x:v>
      </x:c>
      <x:c r="E74" s="9" t="str">
        <x:f>IF(A74="","",IF(COUNTIFS('Видео'!$A$7:$A$1508,A74)=1,INDEX('Видео'!$D$7:$D$1508,MATCH(A74,'Видео'!$A$7:$A$1508,0)),"ID не найден"))</x:f>
        <x:v>Общество</x:v>
      </x:c>
      <x:c r="F74" s="10" t="str">
        <x:f>IF(A74="","",IF(COUNTIFS('Видео'!$A$7:$A$1508,A74)=1,INDEX('Видео'!$F$7:$F$1508,MATCH(A74,'Видео'!$A$7:$A$1508,0)),"ID не найден"))</x:f>
        <x:v>B1–B2 (гипотеза)</x:v>
      </x:c>
      <x:c r="G74" s="14" t="n">
        <x:f>IF(A74="","",IF(COUNTIFS('Видео'!$A$7:$A$1508,A74)=1,INDEX('Видео'!$H$7:$H$1508,MATCH(A74,'Видео'!$A$7:$A$1508,0)),"ID не найден"))</x:f>
        <x:v>528904</x:v>
      </x:c>
      <x:c r="H74" s="18" t="n">
        <x:f>IF(A74="","",IF(COUNTIFS('Видео'!$A$7:$A$1508,A74)=1,INDEX('Видео'!$L$7:$L$1508,MATCH(A74,'Видео'!$A$7:$A$1508,0)),"ID не найден"))</x:f>
        <x:v>4.108949416342412</x:v>
      </x:c>
      <x:c r="I74" s="10" t="str">
        <x:f>IF(A74="","",IF(COUNTIFS('Видео'!$A$7:$A$1508,A74)=1,INDEX('Видео'!$AI$7:$AI$1508,MATCH(A74,'Видео'!$A$7:$A$1508,0)),"ID не найден"))</x:f>
        <x:v>Нужна редактура</x:v>
      </x:c>
      <x:c r="J74" s="11" t="str">
        <x:f>IF(A74="","",IF(COUNTIFS('Видео'!$A$7:$A$1508,A74)=1,INDEX('Видео'!$U$7:$U$1508,MATCH(A74,'Видео'!$A$7:$A$1508,0)),"ID не найден"))</x:f>
        <x:v>https://www.youtube.com/watch?v=qUQKnNZTZbA</x:v>
      </x:c>
      <x:c r="K74" s="9" t="str">
        <x:v>C018</x:v>
      </x:c>
      <x:c r="L74" s="9" t="str">
        <x:v>Да</x:v>
      </x:c>
    </x:row>
    <x:row r="75" ht="60" customHeight="1">
      <x:c r="A75" s="9" t="str">
        <x:v>p4tiyxrKvl0</x:v>
      </x:c>
      <x:c r="B75" s="10" t="str">
        <x:f>IF(A75="","",IF(COUNTIFS('Видео'!$A$7:$A$1508,A75)=1,INDEX('Видео'!$B$7:$B$1508,MATCH(A75,'Видео'!$A$7:$A$1508,0)),"ID не найден"))</x:f>
        <x:v>סליחה על השאלה עונה 2 | אנשים שהותקפו מינית</x:v>
      </x:c>
      <x:c r="C75" s="10" t="str">
        <x:f>IF(A75="","",IF(COUNTIFS('Видео'!$A$7:$A$1508,A75)=1,INDEX('Видео'!$C$7:$C$1508,MATCH(A75,'Видео'!$A$7:$A$1508,0)),"ID не найден"))</x:f>
        <x:v>Разнообразие общества</x:v>
      </x:c>
      <x:c r="D75" s="10" t="str">
        <x:f>IF(A75="","",IF(COUNTIFS('Видео'!$A$7:$A$1508,A75)=1,INDEX('Видео'!$M$7:$M$1508,MATCH(A75,'Видео'!$A$7:$A$1508,0)),"ID не найден"))</x:f>
        <x:v>Тема: סליחה על השאלה עונה 2 | אנשים שהותקפו מינית. Просмотры в списке выше медианы выборки этого цикла в 1.73 раза. Одинаковый вопрос разным людям позволяет сравнить ответы и акценты. Формат вводит социальные группы через их собственную речь.</x:v>
      </x:c>
      <x:c r="E75" s="9" t="str">
        <x:f>IF(A75="","",IF(COUNTIFS('Видео'!$A$7:$A$1508,A75)=1,INDEX('Видео'!$D$7:$D$1508,MATCH(A75,'Видео'!$A$7:$A$1508,0)),"ID не найден"))</x:f>
        <x:v>Общество</x:v>
      </x:c>
      <x:c r="F75" s="10" t="str">
        <x:f>IF(A75="","",IF(COUNTIFS('Видео'!$A$7:$A$1508,A75)=1,INDEX('Видео'!$F$7:$F$1508,MATCH(A75,'Видео'!$A$7:$A$1508,0)),"ID не найден"))</x:f>
        <x:v>B1–B2 (гипотеза)</x:v>
      </x:c>
      <x:c r="G75" s="14" t="n">
        <x:f>IF(A75="","",IF(COUNTIFS('Видео'!$A$7:$A$1508,A75)=1,INDEX('Видео'!$H$7:$H$1508,MATCH(A75,'Видео'!$A$7:$A$1508,0)),"ID не найден"))</x:f>
        <x:v>945205</x:v>
      </x:c>
      <x:c r="H75" s="18" t="n">
        <x:f>IF(A75="","",IF(COUNTIFS('Видео'!$A$7:$A$1508,A75)=1,INDEX('Видео'!$L$7:$L$1508,MATCH(A75,'Видео'!$A$7:$A$1508,0)),"ID не найден"))</x:f>
        <x:v>1.7307692307692308</x:v>
      </x:c>
      <x:c r="I75" s="10" t="str">
        <x:f>IF(A75="","",IF(COUNTIFS('Видео'!$A$7:$A$1508,A75)=1,INDEX('Видео'!$AI$7:$AI$1508,MATCH(A75,'Видео'!$A$7:$A$1508,0)),"ID не найден"))</x:f>
        <x:v>Нужна редактура</x:v>
      </x:c>
      <x:c r="J75" s="11" t="str">
        <x:f>IF(A75="","",IF(COUNTIFS('Видео'!$A$7:$A$1508,A75)=1,INDEX('Видео'!$U$7:$U$1508,MATCH(A75,'Видео'!$A$7:$A$1508,0)),"ID не найден"))</x:f>
        <x:v>https://www.youtube.com/watch?v=p4tiyxrKvl0</x:v>
      </x:c>
      <x:c r="K75" s="9" t="str">
        <x:v>C020</x:v>
      </x:c>
      <x:c r="L75" s="9" t="str">
        <x:v>Да</x:v>
      </x:c>
    </x:row>
    <x:row r="76" ht="60" customHeight="1">
      <x:c r="A76" s="9" t="str">
        <x:v>jXelGhzKeRc</x:v>
      </x:c>
      <x:c r="B76" s="10" t="str">
        <x:f>IF(A76="","",IF(COUNTIFS('Видео'!$A$7:$A$1508,A76)=1,INDEX('Видео'!$B$7:$B$1508,MATCH(A76,'Видео'!$A$7:$A$1508,0)),"ID не найден"))</x:f>
        <x:v>סליחה על השאלה עונה 2 | אוטיסטים</x:v>
      </x:c>
      <x:c r="C76" s="10" t="str">
        <x:f>IF(A76="","",IF(COUNTIFS('Видео'!$A$7:$A$1508,A76)=1,INDEX('Видео'!$C$7:$C$1508,MATCH(A76,'Видео'!$A$7:$A$1508,0)),"ID не найден"))</x:f>
        <x:v>Разнообразие общества</x:v>
      </x:c>
      <x:c r="D76" s="10" t="str">
        <x:f>IF(A76="","",IF(COUNTIFS('Видео'!$A$7:$A$1508,A76)=1,INDEX('Видео'!$M$7:$M$1508,MATCH(A76,'Видео'!$A$7:$A$1508,0)),"ID не найден"))</x:f>
        <x:v>Тема: סליחה על השאלה עונה 2 | אוטיסטים. Просмотры в списке выше медианы выборки этого цикла в 1.71 раза. Одинаковый вопрос разным людям позволяет сравнить ответы и акценты. Формат вводит социальные группы через их собственную речь.</x:v>
      </x:c>
      <x:c r="E76" s="9" t="str">
        <x:f>IF(A76="","",IF(COUNTIFS('Видео'!$A$7:$A$1508,A76)=1,INDEX('Видео'!$D$7:$D$1508,MATCH(A76,'Видео'!$A$7:$A$1508,0)),"ID не найден"))</x:f>
        <x:v>Общество</x:v>
      </x:c>
      <x:c r="F76" s="10" t="str">
        <x:f>IF(A76="","",IF(COUNTIFS('Видео'!$A$7:$A$1508,A76)=1,INDEX('Видео'!$F$7:$F$1508,MATCH(A76,'Видео'!$A$7:$A$1508,0)),"ID не найден"))</x:f>
        <x:v>B1–B2 (гипотеза)</x:v>
      </x:c>
      <x:c r="G76" s="14" t="n">
        <x:f>IF(A76="","",IF(COUNTIFS('Видео'!$A$7:$A$1508,A76)=1,INDEX('Видео'!$H$7:$H$1508,MATCH(A76,'Видео'!$A$7:$A$1508,0)),"ID не найден"))</x:f>
        <x:v>936634</x:v>
      </x:c>
      <x:c r="H76" s="18" t="n">
        <x:f>IF(A76="","",IF(COUNTIFS('Видео'!$A$7:$A$1508,A76)=1,INDEX('Видео'!$L$7:$L$1508,MATCH(A76,'Видео'!$A$7:$A$1508,0)),"ID не найден"))</x:f>
        <x:v>1.7142857142857142</x:v>
      </x:c>
      <x:c r="I76" s="10" t="str">
        <x:f>IF(A76="","",IF(COUNTIFS('Видео'!$A$7:$A$1508,A76)=1,INDEX('Видео'!$AI$7:$AI$1508,MATCH(A76,'Видео'!$A$7:$A$1508,0)),"ID не найден"))</x:f>
        <x:v>Нужна редактура</x:v>
      </x:c>
      <x:c r="J76" s="11" t="str">
        <x:f>IF(A76="","",IF(COUNTIFS('Видео'!$A$7:$A$1508,A76)=1,INDEX('Видео'!$U$7:$U$1508,MATCH(A76,'Видео'!$A$7:$A$1508,0)),"ID не найден"))</x:f>
        <x:v>https://www.youtube.com/watch?v=jXelGhzKeRc</x:v>
      </x:c>
      <x:c r="K76" s="9" t="str">
        <x:v>C020</x:v>
      </x:c>
      <x:c r="L76" s="9" t="str">
        <x:v>Да</x:v>
      </x:c>
    </x:row>
    <x:row r="77" ht="60" customHeight="1">
      <x:c r="A77" s="9" t="str">
        <x:v>7CcyeaBPdMk</x:v>
      </x:c>
      <x:c r="B77" s="10" t="str">
        <x:f>IF(A77="","",IF(COUNTIFS('Видео'!$A$7:$A$1508,A77)=1,INDEX('Видео'!$B$7:$B$1508,MATCH(A77,'Видео'!$A$7:$A$1508,0)),"ID не найден"))</x:f>
        <x:v>סליחה על השאלה | בני נוער</x:v>
      </x:c>
      <x:c r="C77" s="10" t="str">
        <x:f>IF(A77="","",IF(COUNTIFS('Видео'!$A$7:$A$1508,A77)=1,INDEX('Видео'!$C$7:$C$1508,MATCH(A77,'Видео'!$A$7:$A$1508,0)),"ID не найден"))</x:f>
        <x:v>Разнообразие общества</x:v>
      </x:c>
      <x:c r="D77" s="10" t="str">
        <x:f>IF(A77="","",IF(COUNTIFS('Видео'!$A$7:$A$1508,A77)=1,INDEX('Видео'!$M$7:$M$1508,MATCH(A77,'Видео'!$A$7:$A$1508,0)),"ID не найден"))</x:f>
        <x:v>Тема: סליחה על השאלה | בני נוער. Просмотры в списке выше медианы выборки этого цикла в 2.24 раза. Одинаковый вопрос разным людям позволяет сравнить ответы и акценты. Формат вводит социальные группы через их собственную речь.</x:v>
      </x:c>
      <x:c r="E77" s="9" t="str">
        <x:f>IF(A77="","",IF(COUNTIFS('Видео'!$A$7:$A$1508,A77)=1,INDEX('Видео'!$D$7:$D$1508,MATCH(A77,'Видео'!$A$7:$A$1508,0)),"ID не найден"))</x:f>
        <x:v>Общество</x:v>
      </x:c>
      <x:c r="F77" s="10" t="str">
        <x:f>IF(A77="","",IF(COUNTIFS('Видео'!$A$7:$A$1508,A77)=1,INDEX('Видео'!$F$7:$F$1508,MATCH(A77,'Видео'!$A$7:$A$1508,0)),"ID не найден"))</x:f>
        <x:v>B1–B2 (гипотеза)</x:v>
      </x:c>
      <x:c r="G77" s="14" t="n">
        <x:f>IF(A77="","",IF(COUNTIFS('Видео'!$A$7:$A$1508,A77)=1,INDEX('Видео'!$H$7:$H$1508,MATCH(A77,'Видео'!$A$7:$A$1508,0)),"ID не найден"))</x:f>
        <x:v>1989492</x:v>
      </x:c>
      <x:c r="H77" s="18" t="n">
        <x:f>IF(A77="","",IF(COUNTIFS('Видео'!$A$7:$A$1508,A77)=1,INDEX('Видео'!$L$7:$L$1508,MATCH(A77,'Видео'!$A$7:$A$1508,0)),"ID не найден"))</x:f>
        <x:v>2.235294117647059</x:v>
      </x:c>
      <x:c r="I77" s="10" t="str">
        <x:f>IF(A77="","",IF(COUNTIFS('Видео'!$A$7:$A$1508,A77)=1,INDEX('Видео'!$AI$7:$AI$1508,MATCH(A77,'Видео'!$A$7:$A$1508,0)),"ID не найден"))</x:f>
        <x:v>Нужна редактура</x:v>
      </x:c>
      <x:c r="J77" s="11" t="str">
        <x:f>IF(A77="","",IF(COUNTIFS('Видео'!$A$7:$A$1508,A77)=1,INDEX('Видео'!$U$7:$U$1508,MATCH(A77,'Видео'!$A$7:$A$1508,0)),"ID не найден"))</x:f>
        <x:v>https://www.youtube.com/watch?v=7CcyeaBPdMk</x:v>
      </x:c>
      <x:c r="K77" s="9" t="str">
        <x:v>C021</x:v>
      </x:c>
      <x:c r="L77" s="9" t="str">
        <x:v>Да</x:v>
      </x:c>
    </x:row>
    <x:row r="78" ht="60" customHeight="1">
      <x:c r="A78" s="9" t="str">
        <x:v>YRHrtu9548A</x:v>
      </x:c>
      <x:c r="B78" s="10" t="str">
        <x:f>IF(A78="","",IF(COUNTIFS('Видео'!$A$7:$A$1508,A78)=1,INDEX('Видео'!$B$7:$B$1508,MATCH(A78,'Видео'!$A$7:$A$1508,0)),"ID не найден"))</x:f>
        <x:v>סליחה על השאלה | טרנסג'נדרים</x:v>
      </x:c>
      <x:c r="C78" s="10" t="str">
        <x:f>IF(A78="","",IF(COUNTIFS('Видео'!$A$7:$A$1508,A78)=1,INDEX('Видео'!$C$7:$C$1508,MATCH(A78,'Видео'!$A$7:$A$1508,0)),"ID не найден"))</x:f>
        <x:v>Разнообразие общества</x:v>
      </x:c>
      <x:c r="D78" s="10" t="str">
        <x:f>IF(A78="","",IF(COUNTIFS('Видео'!$A$7:$A$1508,A78)=1,INDEX('Видео'!$M$7:$M$1508,MATCH(A78,'Видео'!$A$7:$A$1508,0)),"ID не найден"))</x:f>
        <x:v>Тема: סליחה על השאלה | טרנסג'נדרים. Просмотры в списке выше медианы выборки этого цикла в 1.76 раза. Одинаковый вопрос разным людям позволяет сравнить ответы и акценты. Формат вводит социальные группы через их собственную речь.</x:v>
      </x:c>
      <x:c r="E78" s="9" t="str">
        <x:f>IF(A78="","",IF(COUNTIFS('Видео'!$A$7:$A$1508,A78)=1,INDEX('Видео'!$D$7:$D$1508,MATCH(A78,'Видео'!$A$7:$A$1508,0)),"ID не найден"))</x:f>
        <x:v>Общество</x:v>
      </x:c>
      <x:c r="F78" s="10" t="str">
        <x:f>IF(A78="","",IF(COUNTIFS('Видео'!$A$7:$A$1508,A78)=1,INDEX('Видео'!$F$7:$F$1508,MATCH(A78,'Видео'!$A$7:$A$1508,0)),"ID не найден"))</x:f>
        <x:v>B1–B2 (гипотеза)</x:v>
      </x:c>
      <x:c r="G78" s="14" t="n">
        <x:f>IF(A78="","",IF(COUNTIFS('Видео'!$A$7:$A$1508,A78)=1,INDEX('Видео'!$H$7:$H$1508,MATCH(A78,'Видео'!$A$7:$A$1508,0)),"ID не найден"))</x:f>
        <x:v>1588882</x:v>
      </x:c>
      <x:c r="H78" s="18" t="n">
        <x:f>IF(A78="","",IF(COUNTIFS('Видео'!$A$7:$A$1508,A78)=1,INDEX('Видео'!$L$7:$L$1508,MATCH(A78,'Видео'!$A$7:$A$1508,0)),"ID не найден"))</x:f>
        <x:v>1.7647058823529411</x:v>
      </x:c>
      <x:c r="I78" s="10" t="str">
        <x:f>IF(A78="","",IF(COUNTIFS('Видео'!$A$7:$A$1508,A78)=1,INDEX('Видео'!$AI$7:$AI$1508,MATCH(A78,'Видео'!$A$7:$A$1508,0)),"ID не найден"))</x:f>
        <x:v>Нужна редактура</x:v>
      </x:c>
      <x:c r="J78" s="11" t="str">
        <x:f>IF(A78="","",IF(COUNTIFS('Видео'!$A$7:$A$1508,A78)=1,INDEX('Видео'!$U$7:$U$1508,MATCH(A78,'Видео'!$A$7:$A$1508,0)),"ID не найден"))</x:f>
        <x:v>https://www.youtube.com/watch?v=YRHrtu9548A</x:v>
      </x:c>
      <x:c r="K78" s="9" t="str">
        <x:v>C021</x:v>
      </x:c>
      <x:c r="L78" s="9" t="str">
        <x:v>Да</x:v>
      </x:c>
    </x:row>
    <x:row r="79" ht="60" customHeight="1">
      <x:c r="A79" s="9" t="str">
        <x:v>rZBWtaihfqE</x:v>
      </x:c>
      <x:c r="B79" s="10" t="str">
        <x:f>IF(A79="","",IF(COUNTIFS('Видео'!$A$7:$A$1508,A79)=1,INDEX('Видео'!$B$7:$B$1508,MATCH(A79,'Видео'!$A$7:$A$1508,0)),"ID не найден"))</x:f>
        <x:v>בואו לאכול איתי עונה 9 | דרום - חלק א' (פרק 1)</x:v>
      </x:c>
      <x:c r="C79" s="10" t="str">
        <x:f>IF(A79="","",IF(COUNTIFS('Видео'!$A$7:$A$1508,A79)=1,INDEX('Видео'!$C$7:$C$1508,MATCH(A79,'Видео'!$A$7:$A$1508,0)),"ID не найден"))</x:f>
        <x:v>Еда и повседневность</x:v>
      </x:c>
      <x:c r="D79" s="10" t="str">
        <x:f>IF(A79="","",IF(COUNTIFS('Видео'!$A$7:$A$1508,A79)=1,INDEX('Видео'!$M$7:$M$1508,MATCH(A79,'Видео'!$A$7:$A$1508,0)),"ID не найден"))</x:f>
        <x:v>Тема: בואו לאכול איתי עונה 9 | דרום - חלק א' (פרק 1). Просмотры в списке выше медианы выборки этого цикла в 2.15 раза. Еда снижает порог входа для широкой аудитории. В одном выпуске встречаются приглашения, оценки, знакомство и бытовые споры.</x:v>
      </x:c>
      <x:c r="E79" s="9" t="str">
        <x:f>IF(A79="","",IF(COUNTIFS('Видео'!$A$7:$A$1508,A79)=1,INDEX('Видео'!$D$7:$D$1508,MATCH(A79,'Видео'!$A$7:$A$1508,0)),"ID не найден"))</x:f>
        <x:v>Быт</x:v>
      </x:c>
      <x:c r="F79" s="10" t="str">
        <x:f>IF(A79="","",IF(COUNTIFS('Видео'!$A$7:$A$1508,A79)=1,INDEX('Видео'!$F$7:$F$1508,MATCH(A79,'Видео'!$A$7:$A$1508,0)),"ID не найден"))</x:f>
        <x:v>B1–B2 (гипотеза)</x:v>
      </x:c>
      <x:c r="G79" s="14" t="n">
        <x:f>IF(A79="","",IF(COUNTIFS('Видео'!$A$7:$A$1508,A79)=1,INDEX('Видео'!$H$7:$H$1508,MATCH(A79,'Видео'!$A$7:$A$1508,0)),"ID не найден"))</x:f>
        <x:v>392789</x:v>
      </x:c>
      <x:c r="H79" s="18" t="n">
        <x:f>IF(A79="","",IF(COUNTIFS('Видео'!$A$7:$A$1508,A79)=1,INDEX('Видео'!$L$7:$L$1508,MATCH(A79,'Видео'!$A$7:$A$1508,0)),"ID не найден"))</x:f>
        <x:v>2.1538461538461537</x:v>
      </x:c>
      <x:c r="I79" s="10" t="str">
        <x:f>IF(A79="","",IF(COUNTIFS('Видео'!$A$7:$A$1508,A79)=1,INDEX('Видео'!$AI$7:$AI$1508,MATCH(A79,'Видео'!$A$7:$A$1508,0)),"ID не найден"))</x:f>
        <x:v>Нужна редактура</x:v>
      </x:c>
      <x:c r="J79" s="11" t="str">
        <x:f>IF(A79="","",IF(COUNTIFS('Видео'!$A$7:$A$1508,A79)=1,INDEX('Видео'!$U$7:$U$1508,MATCH(A79,'Видео'!$A$7:$A$1508,0)),"ID не найден"))</x:f>
        <x:v>https://www.youtube.com/watch?v=rZBWtaihfqE</x:v>
      </x:c>
      <x:c r="K79" s="9" t="str">
        <x:v>C022</x:v>
      </x:c>
      <x:c r="L79" s="9" t="str">
        <x:v>Да</x:v>
      </x:c>
    </x:row>
    <x:row r="80" ht="60" customHeight="1">
      <x:c r="A80" s="9" t="str">
        <x:v>BPUc2C7fxS4</x:v>
      </x:c>
      <x:c r="B80" s="10" t="str">
        <x:f>IF(A80="","",IF(COUNTIFS('Видео'!$A$7:$A$1508,A80)=1,INDEX('Видео'!$B$7:$B$1508,MATCH(A80,'Видео'!$A$7:$A$1508,0)),"ID не найден"))</x:f>
        <x:v>בואו לאכול איתי עונה 9 | חיפה - חלק א' (פרק 21)</x:v>
      </x:c>
      <x:c r="C80" s="10" t="str">
        <x:f>IF(A80="","",IF(COUNTIFS('Видео'!$A$7:$A$1508,A80)=1,INDEX('Видео'!$C$7:$C$1508,MATCH(A80,'Видео'!$A$7:$A$1508,0)),"ID не найден"))</x:f>
        <x:v>Еда и повседневность</x:v>
      </x:c>
      <x:c r="D80" s="10" t="str">
        <x:f>IF(A80="","",IF(COUNTIFS('Видео'!$A$7:$A$1508,A80)=1,INDEX('Видео'!$M$7:$M$1508,MATCH(A80,'Видео'!$A$7:$A$1508,0)),"ID не найден"))</x:f>
        <x:v>Тема: בואו לאכול איתי עונה 9 | חיפה - חלק א' (פרק 21). Просмотры в списке выше медианы выборки этого цикла в 1.57 раза. Еда снижает порог входа для широкой аудитории. В одном выпуске встречаются приглашения, оценки, знакомство и бытовые споры.</x:v>
      </x:c>
      <x:c r="E80" s="9" t="str">
        <x:f>IF(A80="","",IF(COUNTIFS('Видео'!$A$7:$A$1508,A80)=1,INDEX('Видео'!$D$7:$D$1508,MATCH(A80,'Видео'!$A$7:$A$1508,0)),"ID не найден"))</x:f>
        <x:v>Быт</x:v>
      </x:c>
      <x:c r="F80" s="10" t="str">
        <x:f>IF(A80="","",IF(COUNTIFS('Видео'!$A$7:$A$1508,A80)=1,INDEX('Видео'!$F$7:$F$1508,MATCH(A80,'Видео'!$A$7:$A$1508,0)),"ID не найден"))</x:f>
        <x:v>B1–B2 (гипотеза)</x:v>
      </x:c>
      <x:c r="G80" s="14" t="n">
        <x:f>IF(A80="","",IF(COUNTIFS('Видео'!$A$7:$A$1508,A80)=1,INDEX('Видео'!$H$7:$H$1508,MATCH(A80,'Видео'!$A$7:$A$1508,0)),"ID не найден"))</x:f>
        <x:v>285005</x:v>
      </x:c>
      <x:c r="H80" s="18" t="n">
        <x:f>IF(A80="","",IF(COUNTIFS('Видео'!$A$7:$A$1508,A80)=1,INDEX('Видео'!$L$7:$L$1508,MATCH(A80,'Видео'!$A$7:$A$1508,0)),"ID не найден"))</x:f>
        <x:v>1.565934065934066</x:v>
      </x:c>
      <x:c r="I80" s="10" t="str">
        <x:f>IF(A80="","",IF(COUNTIFS('Видео'!$A$7:$A$1508,A80)=1,INDEX('Видео'!$AI$7:$AI$1508,MATCH(A80,'Видео'!$A$7:$A$1508,0)),"ID не найден"))</x:f>
        <x:v>Нужна редактура</x:v>
      </x:c>
      <x:c r="J80" s="11" t="str">
        <x:f>IF(A80="","",IF(COUNTIFS('Видео'!$A$7:$A$1508,A80)=1,INDEX('Видео'!$U$7:$U$1508,MATCH(A80,'Видео'!$A$7:$A$1508,0)),"ID не найден"))</x:f>
        <x:v>https://www.youtube.com/watch?v=BPUc2C7fxS4</x:v>
      </x:c>
      <x:c r="K80" s="9" t="str">
        <x:v>C022</x:v>
      </x:c>
      <x:c r="L80" s="9" t="str">
        <x:v>Да</x:v>
      </x:c>
    </x:row>
    <x:row r="81" ht="60" customHeight="1">
      <x:c r="A81" s="9" t="str">
        <x:v>PSwhUvmAywg</x:v>
      </x:c>
      <x:c r="B81" s="10" t="str">
        <x:f>IF(A81="","",IF(COUNTIFS('Видео'!$A$7:$A$1508,A81)=1,INDEX('Видео'!$B$7:$B$1508,MATCH(A81,'Видео'!$A$7:$A$1508,0)),"ID не найден"))</x:f>
        <x:v>בואו לאכול איתי עונה 8 | צפון - חלק א' (פרק 1)</x:v>
      </x:c>
      <x:c r="C81" s="10" t="str">
        <x:f>IF(A81="","",IF(COUNTIFS('Видео'!$A$7:$A$1508,A81)=1,INDEX('Видео'!$C$7:$C$1508,MATCH(A81,'Видео'!$A$7:$A$1508,0)),"ID не найден"))</x:f>
        <x:v>Еда и повседневность</x:v>
      </x:c>
      <x:c r="D81" s="10" t="str">
        <x:f>IF(A81="","",IF(COUNTIFS('Видео'!$A$7:$A$1508,A81)=1,INDEX('Видео'!$M$7:$M$1508,MATCH(A81,'Видео'!$A$7:$A$1508,0)),"ID не найден"))</x:f>
        <x:v>Тема: בואו לאכול איתי עונה 8 | צפון - חלק א' (פרק 1). Просмотры в списке выше медианы выборки этого цикла в 1.74 раза. Еда снижает порог входа для широкой аудитории. В одном выпуске встречаются приглашения, оценки, знакомство и бытовые споры.</x:v>
      </x:c>
      <x:c r="E81" s="9" t="str">
        <x:f>IF(A81="","",IF(COUNTIFS('Видео'!$A$7:$A$1508,A81)=1,INDEX('Видео'!$D$7:$D$1508,MATCH(A81,'Видео'!$A$7:$A$1508,0)),"ID не найден"))</x:f>
        <x:v>Быт</x:v>
      </x:c>
      <x:c r="F81" s="10" t="str">
        <x:f>IF(A81="","",IF(COUNTIFS('Видео'!$A$7:$A$1508,A81)=1,INDEX('Видео'!$F$7:$F$1508,MATCH(A81,'Видео'!$A$7:$A$1508,0)),"ID не найден"))</x:f>
        <x:v>B1–B2 (гипотеза)</x:v>
      </x:c>
      <x:c r="G81" s="14" t="n">
        <x:f>IF(A81="","",IF(COUNTIFS('Видео'!$A$7:$A$1508,A81)=1,INDEX('Видео'!$H$7:$H$1508,MATCH(A81,'Видео'!$A$7:$A$1508,0)),"ID не найден"))</x:f>
        <x:v>435920</x:v>
      </x:c>
      <x:c r="H81" s="18" t="n">
        <x:f>IF(A81="","",IF(COUNTIFS('Видео'!$A$7:$A$1508,A81)=1,INDEX('Видео'!$L$7:$L$1508,MATCH(A81,'Видео'!$A$7:$A$1508,0)),"ID не найден"))</x:f>
        <x:v>1.74</x:v>
      </x:c>
      <x:c r="I81" s="10" t="str">
        <x:f>IF(A81="","",IF(COUNTIFS('Видео'!$A$7:$A$1508,A81)=1,INDEX('Видео'!$AI$7:$AI$1508,MATCH(A81,'Видео'!$A$7:$A$1508,0)),"ID не найден"))</x:f>
        <x:v>Нужна редактура</x:v>
      </x:c>
      <x:c r="J81" s="11" t="str">
        <x:f>IF(A81="","",IF(COUNTIFS('Видео'!$A$7:$A$1508,A81)=1,INDEX('Видео'!$U$7:$U$1508,MATCH(A81,'Видео'!$A$7:$A$1508,0)),"ID не найден"))</x:f>
        <x:v>https://www.youtube.com/watch?v=PSwhUvmAywg</x:v>
      </x:c>
      <x:c r="K81" s="9" t="str">
        <x:v>C023</x:v>
      </x:c>
      <x:c r="L81" s="9" t="str">
        <x:v>Да</x:v>
      </x:c>
    </x:row>
    <x:row r="82" ht="60" customHeight="1">
      <x:c r="A82" s="9" t="str">
        <x:v>iOoe-WvOfQ4</x:v>
      </x:c>
      <x:c r="B82" s="10" t="str">
        <x:f>IF(A82="","",IF(COUNTIFS('Видео'!$A$7:$A$1508,A82)=1,INDEX('Видео'!$B$7:$B$1508,MATCH(A82,'Видео'!$A$7:$A$1508,0)),"ID не найден"))</x:f>
        <x:v>בואו לאכול איתי עונה 8 | דרום - חלק א' (פרק 11)</x:v>
      </x:c>
      <x:c r="C82" s="10" t="str">
        <x:f>IF(A82="","",IF(COUNTIFS('Видео'!$A$7:$A$1508,A82)=1,INDEX('Видео'!$C$7:$C$1508,MATCH(A82,'Видео'!$A$7:$A$1508,0)),"ID не найден"))</x:f>
        <x:v>Еда и повседневность</x:v>
      </x:c>
      <x:c r="D82" s="10" t="str">
        <x:f>IF(A82="","",IF(COUNTIFS('Видео'!$A$7:$A$1508,A82)=1,INDEX('Видео'!$M$7:$M$1508,MATCH(A82,'Видео'!$A$7:$A$1508,0)),"ID не найден"))</x:f>
        <x:v>Тема: בואו לאכול איתי עונה 8 | דרום - חלק א' (פרק 11). Просмотры в списке выше медианы выборки этого цикла в 1.53 раза. Еда снижает порог входа для широкой аудитории. В одном выпуске встречаются приглашения, оценки, знакомство и бытовые споры.</x:v>
      </x:c>
      <x:c r="E82" s="9" t="str">
        <x:f>IF(A82="","",IF(COUNTIFS('Видео'!$A$7:$A$1508,A82)=1,INDEX('Видео'!$D$7:$D$1508,MATCH(A82,'Видео'!$A$7:$A$1508,0)),"ID не найден"))</x:f>
        <x:v>Быт</x:v>
      </x:c>
      <x:c r="F82" s="10" t="str">
        <x:f>IF(A82="","",IF(COUNTIFS('Видео'!$A$7:$A$1508,A82)=1,INDEX('Видео'!$F$7:$F$1508,MATCH(A82,'Видео'!$A$7:$A$1508,0)),"ID не найден"))</x:f>
        <x:v>B1–B2 (гипотеза)</x:v>
      </x:c>
      <x:c r="G82" s="14" t="n">
        <x:f>IF(A82="","",IF(COUNTIFS('Видео'!$A$7:$A$1508,A82)=1,INDEX('Видео'!$H$7:$H$1508,MATCH(A82,'Видео'!$A$7:$A$1508,0)),"ID не найден"))</x:f>
        <x:v>382959</x:v>
      </x:c>
      <x:c r="H82" s="18" t="n">
        <x:f>IF(A82="","",IF(COUNTIFS('Видео'!$A$7:$A$1508,A82)=1,INDEX('Видео'!$L$7:$L$1508,MATCH(A82,'Видео'!$A$7:$A$1508,0)),"ID не найден"))</x:f>
        <x:v>1.528</x:v>
      </x:c>
      <x:c r="I82" s="10" t="str">
        <x:f>IF(A82="","",IF(COUNTIFS('Видео'!$A$7:$A$1508,A82)=1,INDEX('Видео'!$AI$7:$AI$1508,MATCH(A82,'Видео'!$A$7:$A$1508,0)),"ID не найден"))</x:f>
        <x:v>Нужна редактура</x:v>
      </x:c>
      <x:c r="J82" s="11" t="str">
        <x:f>IF(A82="","",IF(COUNTIFS('Видео'!$A$7:$A$1508,A82)=1,INDEX('Видео'!$U$7:$U$1508,MATCH(A82,'Видео'!$A$7:$A$1508,0)),"ID не найден"))</x:f>
        <x:v>https://www.youtube.com/watch?v=iOoe-WvOfQ4</x:v>
      </x:c>
      <x:c r="K82" s="9" t="str">
        <x:v>C023</x:v>
      </x:c>
      <x:c r="L82" s="9" t="str">
        <x:v>Да</x:v>
      </x:c>
    </x:row>
    <x:row r="83" ht="60" customHeight="1">
      <x:c r="A83" s="9" t="str">
        <x:v>Ir9EyRTqnLs</x:v>
      </x:c>
      <x:c r="B83" s="10" t="str">
        <x:f>IF(A83="","",IF(COUNTIFS('Видео'!$A$7:$A$1508,A83)=1,INDEX('Видео'!$B$7:$B$1508,MATCH(A83,'Видео'!$A$7:$A$1508,0)),"ID не найден"))</x:f>
        <x:v>סיפורים מהכורסה 🛋️ | על גיל ההתבגרות - פרק 3</x:v>
      </x:c>
      <x:c r="C83" s="10" t="str">
        <x:f>IF(A83="","",IF(COUNTIFS('Видео'!$A$7:$A$1508,A83)=1,INDEX('Видео'!$C$7:$C$1508,MATCH(A83,'Видео'!$A$7:$A$1508,0)),"ID не найден"))</x:f>
        <x:v>Юмор и устный рассказ</x:v>
      </x:c>
      <x:c r="D83" s="10" t="str">
        <x:f>IF(A83="","",IF(COUNTIFS('Видео'!$A$7:$A$1508,A83)=1,INDEX('Видео'!$M$7:$M$1508,MATCH(A83,'Видео'!$A$7:$A$1508,0)),"ID не найден"))</x:f>
        <x:v>Тема: סיפורים מהכורסה 🛋️ | על גיל ההתבגרות - פרק 3. Просмотры в списке выше медианы выборки этого цикла в 1.5 раза. Короткие личные истории и комики дают материал для пересказа и знакомства с культурными кодами.</x:v>
      </x:c>
      <x:c r="E83" s="9" t="str">
        <x:f>IF(A83="","",IF(COUNTIFS('Видео'!$A$7:$A$1508,A83)=1,INDEX('Видео'!$D$7:$D$1508,MATCH(A83,'Видео'!$A$7:$A$1508,0)),"ID не найден"))</x:f>
        <x:v>Культура</x:v>
      </x:c>
      <x:c r="F83" s="10" t="str">
        <x:f>IF(A83="","",IF(COUNTIFS('Видео'!$A$7:$A$1508,A83)=1,INDEX('Видео'!$F$7:$F$1508,MATCH(A83,'Видео'!$A$7:$A$1508,0)),"ID не найден"))</x:f>
        <x:v>B2–C1 (гипотеза)</x:v>
      </x:c>
      <x:c r="G83" s="14" t="n">
        <x:f>IF(A83="","",IF(COUNTIFS('Видео'!$A$7:$A$1508,A83)=1,INDEX('Видео'!$H$7:$H$1508,MATCH(A83,'Видео'!$A$7:$A$1508,0)),"ID не найден"))</x:f>
        <x:v>385804</x:v>
      </x:c>
      <x:c r="H83" s="18" t="n">
        <x:f>IF(A83="","",IF(COUNTIFS('Видео'!$A$7:$A$1508,A83)=1,INDEX('Видео'!$L$7:$L$1508,MATCH(A83,'Видео'!$A$7:$A$1508,0)),"ID не найден"))</x:f>
        <x:v>1.4951456310679612</x:v>
      </x:c>
      <x:c r="I83" s="10" t="str">
        <x:f>IF(A83="","",IF(COUNTIFS('Видео'!$A$7:$A$1508,A83)=1,INDEX('Видео'!$AI$7:$AI$1508,MATCH(A83,'Видео'!$A$7:$A$1508,0)),"ID не найден"))</x:f>
        <x:v>Нужна редактура</x:v>
      </x:c>
      <x:c r="J83" s="11" t="str">
        <x:f>IF(A83="","",IF(COUNTIFS('Видео'!$A$7:$A$1508,A83)=1,INDEX('Видео'!$U$7:$U$1508,MATCH(A83,'Видео'!$A$7:$A$1508,0)),"ID не найден"))</x:f>
        <x:v>https://www.youtube.com/watch?v=Ir9EyRTqnLs</x:v>
      </x:c>
      <x:c r="K83" s="9" t="str">
        <x:v>C025</x:v>
      </x:c>
      <x:c r="L83" s="9" t="str">
        <x:v>Да</x:v>
      </x:c>
    </x:row>
    <x:row r="84" ht="60" customHeight="1">
      <x:c r="A84" s="9" t="str">
        <x:v>pIbfs7azyFY</x:v>
      </x:c>
      <x:c r="B84" s="10" t="str">
        <x:f>IF(A84="","",IF(COUNTIFS('Видео'!$A$7:$A$1508,A84)=1,INDEX('Видео'!$B$7:$B$1508,MATCH(A84,'Видео'!$A$7:$A$1508,0)),"ID не найден"))</x:f>
        <x:v>סיפורים מהכורסה 🛋️ | על השירות הצבאי - פרק 1</x:v>
      </x:c>
      <x:c r="C84" s="10" t="str">
        <x:f>IF(A84="","",IF(COUNTIFS('Видео'!$A$7:$A$1508,A84)=1,INDEX('Видео'!$C$7:$C$1508,MATCH(A84,'Видео'!$A$7:$A$1508,0)),"ID не найден"))</x:f>
        <x:v>Юмор и устный рассказ</x:v>
      </x:c>
      <x:c r="D84" s="10" t="str">
        <x:f>IF(A84="","",IF(COUNTIFS('Видео'!$A$7:$A$1508,A84)=1,INDEX('Видео'!$M$7:$M$1508,MATCH(A84,'Видео'!$A$7:$A$1508,0)),"ID не найден"))</x:f>
        <x:v>Тема: סיפורים מהכורסה 🛋️ | על השירות הצבאי - פרק 1. Короткие личные истории и комики дают материал для пересказа и знакомства с культурными кодами.</x:v>
      </x:c>
      <x:c r="E84" s="9" t="str">
        <x:f>IF(A84="","",IF(COUNTIFS('Видео'!$A$7:$A$1508,A84)=1,INDEX('Видео'!$D$7:$D$1508,MATCH(A84,'Видео'!$A$7:$A$1508,0)),"ID не найден"))</x:f>
        <x:v>Культура</x:v>
      </x:c>
      <x:c r="F84" s="10" t="str">
        <x:f>IF(A84="","",IF(COUNTIFS('Видео'!$A$7:$A$1508,A84)=1,INDEX('Видео'!$F$7:$F$1508,MATCH(A84,'Видео'!$A$7:$A$1508,0)),"ID не найден"))</x:f>
        <x:v>B2–C1 (гипотеза)</x:v>
      </x:c>
      <x:c r="G84" s="14" t="n">
        <x:f>IF(A84="","",IF(COUNTIFS('Видео'!$A$7:$A$1508,A84)=1,INDEX('Видео'!$H$7:$H$1508,MATCH(A84,'Видео'!$A$7:$A$1508,0)),"ID не найден"))</x:f>
        <x:v>378120</x:v>
      </x:c>
      <x:c r="H84" s="18" t="n">
        <x:f>IF(A84="","",IF(COUNTIFS('Видео'!$A$7:$A$1508,A84)=1,INDEX('Видео'!$L$7:$L$1508,MATCH(A84,'Видео'!$A$7:$A$1508,0)),"ID не найден"))</x:f>
        <x:v>1.4679611650485438</x:v>
      </x:c>
      <x:c r="I84" s="10" t="str">
        <x:f>IF(A84="","",IF(COUNTIFS('Видео'!$A$7:$A$1508,A84)=1,INDEX('Видео'!$AI$7:$AI$1508,MATCH(A84,'Видео'!$A$7:$A$1508,0)),"ID не найден"))</x:f>
        <x:v>Нужна редактура</x:v>
      </x:c>
      <x:c r="J84" s="11" t="str">
        <x:f>IF(A84="","",IF(COUNTIFS('Видео'!$A$7:$A$1508,A84)=1,INDEX('Видео'!$U$7:$U$1508,MATCH(A84,'Видео'!$A$7:$A$1508,0)),"ID не найден"))</x:f>
        <x:v>https://www.youtube.com/watch?v=pIbfs7azyFY</x:v>
      </x:c>
      <x:c r="K84" s="9" t="str">
        <x:v>C025</x:v>
      </x:c>
      <x:c r="L84" s="9" t="str">
        <x:v>Да</x:v>
      </x:c>
    </x:row>
    <x:row r="85" ht="60" customHeight="1">
      <x:c r="A85" s="9" t="str">
        <x:v>y9uUBxdWO7E</x:v>
      </x:c>
      <x:c r="B85" s="10" t="str">
        <x:f>IF(A85="","",IF(COUNTIFS('Видео'!$A$7:$A$1508,A85)=1,INDEX('Видео'!$B$7:$B$1508,MATCH(A85,'Видео'!$A$7:$A$1508,0)),"ID не найден"))</x:f>
        <x:v>העברים | המוחרם: שש תחנות להבנת החרם על ברוך שפינוזה</x:v>
      </x:c>
      <x:c r="C85" s="10" t="str">
        <x:f>IF(A85="","",IF(COUNTIFS('Видео'!$A$7:$A$1508,A85)=1,INDEX('Видео'!$C$7:$C$1508,MATCH(A85,'Видео'!$A$7:$A$1508,0)),"ID не найден"))</x:f>
        <x:v>Литература и язык</x:v>
      </x:c>
      <x:c r="D85" s="10" t="str">
        <x:f>IF(A85="","",IF(COUNTIFS('Видео'!$A$7:$A$1508,A85)=1,INDEX('Видео'!$M$7:$M$1508,MATCH(A85,'Видео'!$A$7:$A$1508,0)),"ID не найден"))</x:f>
        <x:v>Тема: העברים | המוחרם: שש תחנות להבנת החרם על ברוך שפינוזה. Просмотры в списке выше медианы выборки этого цикла в 3.0 раза. Биографии писателей дают контекст современной еврейской культуры и литературного иврита.</x:v>
      </x:c>
      <x:c r="E85" s="9" t="str">
        <x:f>IF(A85="","",IF(COUNTIFS('Видео'!$A$7:$A$1508,A85)=1,INDEX('Видео'!$D$7:$D$1508,MATCH(A85,'Видео'!$A$7:$A$1508,0)),"ID не найден"))</x:f>
        <x:v>История</x:v>
      </x:c>
      <x:c r="F85" s="10" t="str">
        <x:f>IF(A85="","",IF(COUNTIFS('Видео'!$A$7:$A$1508,A85)=1,INDEX('Видео'!$F$7:$F$1508,MATCH(A85,'Видео'!$A$7:$A$1508,0)),"ID не найден"))</x:f>
        <x:v>B2–C1 (гипотеза)</x:v>
      </x:c>
      <x:c r="G85" s="14" t="n">
        <x:f>IF(A85="","",IF(COUNTIFS('Видео'!$A$7:$A$1508,A85)=1,INDEX('Видео'!$H$7:$H$1508,MATCH(A85,'Видео'!$A$7:$A$1508,0)),"ID не найден"))</x:f>
        <x:v>105686</x:v>
      </x:c>
      <x:c r="H85" s="18" t="n">
        <x:f>IF(A85="","",IF(COUNTIFS('Видео'!$A$7:$A$1508,A85)=1,INDEX('Видео'!$L$7:$L$1508,MATCH(A85,'Видео'!$A$7:$A$1508,0)),"ID не найден"))</x:f>
        <x:v>3</x:v>
      </x:c>
      <x:c r="I85" s="10" t="str">
        <x:f>IF(A85="","",IF(COUNTIFS('Видео'!$A$7:$A$1508,A85)=1,INDEX('Видео'!$AI$7:$AI$1508,MATCH(A85,'Видео'!$A$7:$A$1508,0)),"ID не найден"))</x:f>
        <x:v>Нужна редактура</x:v>
      </x:c>
      <x:c r="J85" s="11" t="str">
        <x:f>IF(A85="","",IF(COUNTIFS('Видео'!$A$7:$A$1508,A85)=1,INDEX('Видео'!$U$7:$U$1508,MATCH(A85,'Видео'!$A$7:$A$1508,0)),"ID не найден"))</x:f>
        <x:v>https://www.youtube.com/watch?v=y9uUBxdWO7E</x:v>
      </x:c>
      <x:c r="K85" s="9" t="str">
        <x:v>C028</x:v>
      </x:c>
      <x:c r="L85" s="9" t="str">
        <x:v>Да</x:v>
      </x:c>
    </x:row>
    <x:row r="86" ht="60" customHeight="1">
      <x:c r="A86" s="9" t="str">
        <x:v>l9GuR_OISkQ</x:v>
      </x:c>
      <x:c r="B86" s="10" t="str">
        <x:f>IF(A86="","",IF(COUNTIFS('Видео'!$A$7:$A$1508,A86)=1,INDEX('Видео'!$B$7:$B$1508,MATCH(A86,'Видео'!$A$7:$A$1508,0)),"ID не найден"))</x:f>
        <x:v>העברים | "מורי, חידת שבזי" - שלום שבזי | כאן דוקו</x:v>
      </x:c>
      <x:c r="C86" s="10" t="str">
        <x:f>IF(A86="","",IF(COUNTIFS('Видео'!$A$7:$A$1508,A86)=1,INDEX('Видео'!$C$7:$C$1508,MATCH(A86,'Видео'!$A$7:$A$1508,0)),"ID не найден"))</x:f>
        <x:v>Литература и язык</x:v>
      </x:c>
      <x:c r="D86" s="10" t="str">
        <x:f>IF(A86="","",IF(COUNTIFS('Видео'!$A$7:$A$1508,A86)=1,INDEX('Видео'!$M$7:$M$1508,MATCH(A86,'Видео'!$A$7:$A$1508,0)),"ID не найден"))</x:f>
        <x:v>Тема: העברים | "מורי, חידת שבזי" - שלום שבזי | כאן דוקו. Просмотры в списке выше медианы выборки этого цикла в 1.74 раза. Биографии писателей дают контекст современной еврейской культуры и литературного иврита.</x:v>
      </x:c>
      <x:c r="E86" s="9" t="str">
        <x:f>IF(A86="","",IF(COUNTIFS('Видео'!$A$7:$A$1508,A86)=1,INDEX('Видео'!$D$7:$D$1508,MATCH(A86,'Видео'!$A$7:$A$1508,0)),"ID не найден"))</x:f>
        <x:v>История</x:v>
      </x:c>
      <x:c r="F86" s="10" t="str">
        <x:f>IF(A86="","",IF(COUNTIFS('Видео'!$A$7:$A$1508,A86)=1,INDEX('Видео'!$F$7:$F$1508,MATCH(A86,'Видео'!$A$7:$A$1508,0)),"ID не найден"))</x:f>
        <x:v>B2–C1 (гипотеза)</x:v>
      </x:c>
      <x:c r="G86" s="14" t="n">
        <x:f>IF(A86="","",IF(COUNTIFS('Видео'!$A$7:$A$1508,A86)=1,INDEX('Видео'!$H$7:$H$1508,MATCH(A86,'Видео'!$A$7:$A$1508,0)),"ID не найден"))</x:f>
        <x:v>61846</x:v>
      </x:c>
      <x:c r="H86" s="18" t="n">
        <x:f>IF(A86="","",IF(COUNTIFS('Видео'!$A$7:$A$1508,A86)=1,INDEX('Видео'!$L$7:$L$1508,MATCH(A86,'Видео'!$A$7:$A$1508,0)),"ID не найден"))</x:f>
        <x:v>1.7428571428571429</x:v>
      </x:c>
      <x:c r="I86" s="10" t="str">
        <x:f>IF(A86="","",IF(COUNTIFS('Видео'!$A$7:$A$1508,A86)=1,INDEX('Видео'!$AI$7:$AI$1508,MATCH(A86,'Видео'!$A$7:$A$1508,0)),"ID не найден"))</x:f>
        <x:v>Нужна редактура</x:v>
      </x:c>
      <x:c r="J86" s="11" t="str">
        <x:f>IF(A86="","",IF(COUNTIFS('Видео'!$A$7:$A$1508,A86)=1,INDEX('Видео'!$U$7:$U$1508,MATCH(A86,'Видео'!$A$7:$A$1508,0)),"ID не найден"))</x:f>
        <x:v>https://www.youtube.com/watch?v=l9GuR_OISkQ</x:v>
      </x:c>
      <x:c r="K86" s="9" t="str">
        <x:v>C028</x:v>
      </x:c>
      <x:c r="L86" s="9" t="str">
        <x:v>Да</x:v>
      </x:c>
    </x:row>
    <x:row r="87" ht="60" customHeight="1">
      <x:c r="A87" s="9" t="str">
        <x:v>vLSatMevkro</x:v>
      </x:c>
      <x:c r="B87" s="10" t="str">
        <x:f>IF(A87="","",IF(COUNTIFS('Видео'!$A$7:$A$1508,A87)=1,INDEX('Видео'!$B$7:$B$1508,MATCH(A87,'Видео'!$A$7:$A$1508,0)),"ID не найден"))</x:f>
        <x:v>1948 - לזכור ולשכוח | חלק א' - לזכור</x:v>
      </x:c>
      <x:c r="C87" s="10" t="str">
        <x:f>IF(A87="","",IF(COUNTIFS('Видео'!$A$7:$A$1508,A87)=1,INDEX('Видео'!$C$7:$C$1508,MATCH(A87,'Видео'!$A$7:$A$1508,0)),"ID не найден"))</x:f>
        <x:v>История Израиля</x:v>
      </x:c>
      <x:c r="D87" s="10" t="str">
        <x:f>IF(A87="","",IF(COUNTIFS('Видео'!$A$7:$A$1508,A87)=1,INDEX('Видео'!$M$7:$M$1508,MATCH(A87,'Видео'!$A$7:$A$1508,0)),"ID не найден"))</x:f>
        <x:v>Тема: 1948 - לזכור ולשכוח | חלק א' - לזכור. Два документальных выпуска дают опорный исторический блок для дальнейших тем.</x:v>
      </x:c>
      <x:c r="E87" s="9" t="str">
        <x:f>IF(A87="","",IF(COUNTIFS('Видео'!$A$7:$A$1508,A87)=1,INDEX('Видео'!$D$7:$D$1508,MATCH(A87,'Видео'!$A$7:$A$1508,0)),"ID не найден"))</x:f>
        <x:v>История</x:v>
      </x:c>
      <x:c r="F87" s="10" t="str">
        <x:f>IF(A87="","",IF(COUNTIFS('Видео'!$A$7:$A$1508,A87)=1,INDEX('Видео'!$F$7:$F$1508,MATCH(A87,'Видео'!$A$7:$A$1508,0)),"ID не найден"))</x:f>
        <x:v>B2–C1 (гипотеза)</x:v>
      </x:c>
      <x:c r="G87" s="14" t="n">
        <x:f>IF(A87="","",IF(COUNTIFS('Видео'!$A$7:$A$1508,A87)=1,INDEX('Видео'!$H$7:$H$1508,MATCH(A87,'Видео'!$A$7:$A$1508,0)),"ID не найден"))</x:f>
        <x:v>51560</x:v>
      </x:c>
      <x:c r="H87" s="18" t="str">
        <x:f>IF(A87="","",IF(COUNTIFS('Видео'!$A$7:$A$1508,A87)=1,INDEX('Видео'!$L$7:$L$1508,MATCH(A87,'Видео'!$A$7:$A$1508,0)),"ID не найден"))</x:f>
      </x:c>
      <x:c r="I87" s="10" t="str">
        <x:f>IF(A87="","",IF(COUNTIFS('Видео'!$A$7:$A$1508,A87)=1,INDEX('Видео'!$AI$7:$AI$1508,MATCH(A87,'Видео'!$A$7:$A$1508,0)),"ID не найден"))</x:f>
        <x:v>Нужна редактура</x:v>
      </x:c>
      <x:c r="J87" s="11" t="str">
        <x:f>IF(A87="","",IF(COUNTIFS('Видео'!$A$7:$A$1508,A87)=1,INDEX('Видео'!$U$7:$U$1508,MATCH(A87,'Видео'!$A$7:$A$1508,0)),"ID не найден"))</x:f>
        <x:v>https://www.youtube.com/watch?v=vLSatMevkro</x:v>
      </x:c>
      <x:c r="K87" s="9" t="str">
        <x:v>C030</x:v>
      </x:c>
      <x:c r="L87" s="9" t="str">
        <x:v>Да</x:v>
      </x:c>
    </x:row>
    <x:row r="88" ht="60" customHeight="1">
      <x:c r="A88" s="9" t="str">
        <x:v>CjZEnXj6WNI</x:v>
      </x:c>
      <x:c r="B88" s="10" t="str">
        <x:f>IF(A88="","",IF(COUNTIFS('Видео'!$A$7:$A$1508,A88)=1,INDEX('Видео'!$B$7:$B$1508,MATCH(A88,'Видео'!$A$7:$A$1508,0)),"ID не найден"))</x:f>
        <x:v>1948 - לזכור ולשכוח | חלק ב' - לשכוח</x:v>
      </x:c>
      <x:c r="C88" s="10" t="str">
        <x:f>IF(A88="","",IF(COUNTIFS('Видео'!$A$7:$A$1508,A88)=1,INDEX('Видео'!$C$7:$C$1508,MATCH(A88,'Видео'!$A$7:$A$1508,0)),"ID не найден"))</x:f>
        <x:v>История Израиля</x:v>
      </x:c>
      <x:c r="D88" s="10" t="str">
        <x:f>IF(A88="","",IF(COUNTIFS('Видео'!$A$7:$A$1508,A88)=1,INDEX('Видео'!$M$7:$M$1508,MATCH(A88,'Видео'!$A$7:$A$1508,0)),"ID не найден"))</x:f>
        <x:v>Тема: 1948 - לזכור ולשכוח | חלק ב' - לשכוח. Два документальных выпуска дают опорный исторический блок для дальнейших тем.</x:v>
      </x:c>
      <x:c r="E88" s="9" t="str">
        <x:f>IF(A88="","",IF(COUNTIFS('Видео'!$A$7:$A$1508,A88)=1,INDEX('Видео'!$D$7:$D$1508,MATCH(A88,'Видео'!$A$7:$A$1508,0)),"ID не найден"))</x:f>
        <x:v>История</x:v>
      </x:c>
      <x:c r="F88" s="10" t="str">
        <x:f>IF(A88="","",IF(COUNTIFS('Видео'!$A$7:$A$1508,A88)=1,INDEX('Видео'!$F$7:$F$1508,MATCH(A88,'Видео'!$A$7:$A$1508,0)),"ID не найден"))</x:f>
        <x:v>B2–C1 (гипотеза)</x:v>
      </x:c>
      <x:c r="G88" s="14" t="n">
        <x:f>IF(A88="","",IF(COUNTIFS('Видео'!$A$7:$A$1508,A88)=1,INDEX('Видео'!$H$7:$H$1508,MATCH(A88,'Видео'!$A$7:$A$1508,0)),"ID не найден"))</x:f>
        <x:v>23974</x:v>
      </x:c>
      <x:c r="H88" s="18" t="str">
        <x:f>IF(A88="","",IF(COUNTIFS('Видео'!$A$7:$A$1508,A88)=1,INDEX('Видео'!$L$7:$L$1508,MATCH(A88,'Видео'!$A$7:$A$1508,0)),"ID не найден"))</x:f>
      </x:c>
      <x:c r="I88" s="10" t="str">
        <x:f>IF(A88="","",IF(COUNTIFS('Видео'!$A$7:$A$1508,A88)=1,INDEX('Видео'!$AI$7:$AI$1508,MATCH(A88,'Видео'!$A$7:$A$1508,0)),"ID не найден"))</x:f>
        <x:v>Нужна редактура</x:v>
      </x:c>
      <x:c r="J88" s="11" t="str">
        <x:f>IF(A88="","",IF(COUNTIFS('Видео'!$A$7:$A$1508,A88)=1,INDEX('Видео'!$U$7:$U$1508,MATCH(A88,'Видео'!$A$7:$A$1508,0)),"ID не найден"))</x:f>
        <x:v>https://www.youtube.com/watch?v=CjZEnXj6WNI</x:v>
      </x:c>
      <x:c r="K88" s="9" t="str">
        <x:v>C030</x:v>
      </x:c>
      <x:c r="L88" s="9" t="str">
        <x:v>Да</x:v>
      </x:c>
    </x:row>
    <x:row r="89" ht="60" customHeight="1">
      <x:c r="A89" s="9" t="str">
        <x:v>iOWE2Bsi5-8</x:v>
      </x:c>
      <x:c r="B89" s="10" t="str">
        <x:f>IF(A89="","",IF(COUNTIFS('Видео'!$A$7:$A$1508,A89)=1,INDEX('Видео'!$B$7:$B$1508,MATCH(A89,'Видео'!$A$7:$A$1508,0)),"ID не найден"))</x:f>
        <x:v>והארץ הייתה תוהו ובוהו - תולדות ארץ ישראל | פרק 5: ממלכות לגלות [HD]</x:v>
      </x:c>
      <x:c r="C89" s="10" t="str">
        <x:f>IF(A89="","",IF(COUNTIFS('Видео'!$A$7:$A$1508,A89)=1,INDEX('Видео'!$C$7:$C$1508,MATCH(A89,'Видео'!$A$7:$A$1508,0)),"ID не найден"))</x:f>
        <x:v>Древняя история</x:v>
      </x:c>
      <x:c r="D89" s="10" t="str">
        <x:f>IF(A89="","",IF(COUNTIFS('Видео'!$A$7:$A$1508,A89)=1,INDEX('Видео'!$M$7:$M$1508,MATCH(A89,'Видео'!$A$7:$A$1508,0)),"ID не найден"))</x:f>
        <x:v>Тема: והארץ הייתה תוהו ובוהו - תולדות ארץ ישראל | פרק 5: ממלכות לגלות [HD]. Цикл расширяет фокус от современной политики до многовековой истории страны. Визуальные материалы поддерживают понимание.</x:v>
      </x:c>
      <x:c r="E89" s="9" t="str">
        <x:f>IF(A89="","",IF(COUNTIFS('Видео'!$A$7:$A$1508,A89)=1,INDEX('Видео'!$D$7:$D$1508,MATCH(A89,'Видео'!$A$7:$A$1508,0)),"ID не найден"))</x:f>
        <x:v>История</x:v>
      </x:c>
      <x:c r="F89" s="10" t="str">
        <x:f>IF(A89="","",IF(COUNTIFS('Видео'!$A$7:$A$1508,A89)=1,INDEX('Видео'!$F$7:$F$1508,MATCH(A89,'Видео'!$A$7:$A$1508,0)),"ID не найден"))</x:f>
        <x:v>B2–C1 (гипотеза)</x:v>
      </x:c>
      <x:c r="G89" s="14" t="n">
        <x:f>IF(A89="","",IF(COUNTIFS('Видео'!$A$7:$A$1508,A89)=1,INDEX('Видео'!$H$7:$H$1508,MATCH(A89,'Видео'!$A$7:$A$1508,0)),"ID не найден"))</x:f>
        <x:v>61998</x:v>
      </x:c>
      <x:c r="H89" s="18" t="n">
        <x:f>IF(A89="","",IF(COUNTIFS('Видео'!$A$7:$A$1508,A89)=1,INDEX('Видео'!$L$7:$L$1508,MATCH(A89,'Видео'!$A$7:$A$1508,0)),"ID не найден"))</x:f>
        <x:v>1.3863636363636365</x:v>
      </x:c>
      <x:c r="I89" s="10" t="str">
        <x:f>IF(A89="","",IF(COUNTIFS('Видео'!$A$7:$A$1508,A89)=1,INDEX('Видео'!$AI$7:$AI$1508,MATCH(A89,'Видео'!$A$7:$A$1508,0)),"ID не найден"))</x:f>
        <x:v>Нужна редактура</x:v>
      </x:c>
      <x:c r="J89" s="11" t="str">
        <x:f>IF(A89="","",IF(COUNTIFS('Видео'!$A$7:$A$1508,A89)=1,INDEX('Видео'!$U$7:$U$1508,MATCH(A89,'Видео'!$A$7:$A$1508,0)),"ID не найден"))</x:f>
        <x:v>https://www.youtube.com/watch?v=iOWE2Bsi5-8</x:v>
      </x:c>
      <x:c r="K89" s="9" t="str">
        <x:v>C031</x:v>
      </x:c>
      <x:c r="L89" s="9" t="str">
        <x:v>Да</x:v>
      </x:c>
    </x:row>
    <x:row r="90" ht="60" customHeight="1">
      <x:c r="A90" s="9" t="str">
        <x:v>X3NtoR8EtY0</x:v>
      </x:c>
      <x:c r="B90" s="10" t="str">
        <x:f>IF(A90="","",IF(COUNTIFS('Видео'!$A$7:$A$1508,A90)=1,INDEX('Видео'!$B$7:$B$1508,MATCH(A90,'Видео'!$A$7:$A$1508,0)),"ID не найден"))</x:f>
        <x:v>והארץ הייתה תוהו ובוהו - תולדות ארץ ישראל | פרק 1: שחר האדם [HD]</x:v>
      </x:c>
      <x:c r="C90" s="10" t="str">
        <x:f>IF(A90="","",IF(COUNTIFS('Видео'!$A$7:$A$1508,A90)=1,INDEX('Видео'!$C$7:$C$1508,MATCH(A90,'Видео'!$A$7:$A$1508,0)),"ID не найден"))</x:f>
        <x:v>Древняя история</x:v>
      </x:c>
      <x:c r="D90" s="10" t="str">
        <x:f>IF(A90="","",IF(COUNTIFS('Видео'!$A$7:$A$1508,A90)=1,INDEX('Видео'!$M$7:$M$1508,MATCH(A90,'Видео'!$A$7:$A$1508,0)),"ID не найден"))</x:f>
        <x:v>Тема: והארץ הייתה תוהו ובוהו - תולדות ארץ ישראל | פרק 1: שחר האדם [HD]. Цикл расширяет фокус от современной политики до многовековой истории страны. Визуальные материалы поддерживают понимание.</x:v>
      </x:c>
      <x:c r="E90" s="9" t="str">
        <x:f>IF(A90="","",IF(COUNTIFS('Видео'!$A$7:$A$1508,A90)=1,INDEX('Видео'!$D$7:$D$1508,MATCH(A90,'Видео'!$A$7:$A$1508,0)),"ID не найден"))</x:f>
        <x:v>История</x:v>
      </x:c>
      <x:c r="F90" s="10" t="str">
        <x:f>IF(A90="","",IF(COUNTIFS('Видео'!$A$7:$A$1508,A90)=1,INDEX('Видео'!$F$7:$F$1508,MATCH(A90,'Видео'!$A$7:$A$1508,0)),"ID не найден"))</x:f>
        <x:v>B2–C1 (гипотеза)</x:v>
      </x:c>
      <x:c r="G90" s="14" t="n">
        <x:f>IF(A90="","",IF(COUNTIFS('Видео'!$A$7:$A$1508,A90)=1,INDEX('Видео'!$H$7:$H$1508,MATCH(A90,'Видео'!$A$7:$A$1508,0)),"ID не найден"))</x:f>
        <x:v>57348</x:v>
      </x:c>
      <x:c r="H90" s="18" t="n">
        <x:f>IF(A90="","",IF(COUNTIFS('Видео'!$A$7:$A$1508,A90)=1,INDEX('Видео'!$L$7:$L$1508,MATCH(A90,'Видео'!$A$7:$A$1508,0)),"ID не найден"))</x:f>
        <x:v>1.2954545454545454</x:v>
      </x:c>
      <x:c r="I90" s="10" t="str">
        <x:f>IF(A90="","",IF(COUNTIFS('Видео'!$A$7:$A$1508,A90)=1,INDEX('Видео'!$AI$7:$AI$1508,MATCH(A90,'Видео'!$A$7:$A$1508,0)),"ID не найден"))</x:f>
        <x:v>Нужна редактура</x:v>
      </x:c>
      <x:c r="J90" s="11" t="str">
        <x:f>IF(A90="","",IF(COUNTIFS('Видео'!$A$7:$A$1508,A90)=1,INDEX('Видео'!$U$7:$U$1508,MATCH(A90,'Видео'!$A$7:$A$1508,0)),"ID не найден"))</x:f>
        <x:v>https://www.youtube.com/watch?v=X3NtoR8EtY0</x:v>
      </x:c>
      <x:c r="K90" s="9" t="str">
        <x:v>C031</x:v>
      </x:c>
      <x:c r="L90" s="9" t="str">
        <x:v>Да</x:v>
      </x:c>
    </x:row>
    <x:row r="91" ht="60" customHeight="1">
      <x:c r="A91" s="9" t="str">
        <x:v>3te51oqLUos</x:v>
      </x:c>
      <x:c r="B91" s="10" t="str">
        <x:f>IF(A91="","",IF(COUNTIFS('Видео'!$A$7:$A$1508,A91)=1,INDEX('Видео'!$B$7:$B$1508,MATCH(A91,'Видео'!$A$7:$A$1508,0)),"ID не найден"))</x:f>
        <x:v>ירוסלם | פרק 1</x:v>
      </x:c>
      <x:c r="C91" s="10" t="str">
        <x:f>IF(A91="","",IF(COUNTIFS('Видео'!$A$7:$A$1508,A91)=1,INDEX('Видео'!$C$7:$C$1508,MATCH(A91,'Видео'!$A$7:$A$1508,0)),"ID не найден"))</x:f>
        <x:v>История общин</x:v>
      </x:c>
      <x:c r="D91" s="10" t="str">
        <x:f>IF(A91="","",IF(COUNTIFS('Видео'!$A$7:$A$1508,A91)=1,INDEX('Видео'!$M$7:$M$1508,MATCH(A91,'Видео'!$A$7:$A$1508,0)),"ID не найден"))</x:f>
        <x:v>Тема: ירוסלם | פרק 1. Просмотры в списке выше медианы выборки этого цикла в 2.42 раза. История эфиопской общины расширяет представление об алие и опыте интеграции.</x:v>
      </x:c>
      <x:c r="E91" s="9" t="str">
        <x:f>IF(A91="","",IF(COUNTIFS('Видео'!$A$7:$A$1508,A91)=1,INDEX('Видео'!$D$7:$D$1508,MATCH(A91,'Видео'!$A$7:$A$1508,0)),"ID не найден"))</x:f>
        <x:v>История</x:v>
      </x:c>
      <x:c r="F91" s="10" t="str">
        <x:f>IF(A91="","",IF(COUNTIFS('Видео'!$A$7:$A$1508,A91)=1,INDEX('Видео'!$F$7:$F$1508,MATCH(A91,'Видео'!$A$7:$A$1508,0)),"ID не найден"))</x:f>
        <x:v>B2–C1 (гипотеза)</x:v>
      </x:c>
      <x:c r="G91" s="14" t="n">
        <x:f>IF(A91="","",IF(COUNTIFS('Видео'!$A$7:$A$1508,A91)=1,INDEX('Видео'!$H$7:$H$1508,MATCH(A91,'Видео'!$A$7:$A$1508,0)),"ID не найден"))</x:f>
        <x:v>128946</x:v>
      </x:c>
      <x:c r="H91" s="18" t="n">
        <x:f>IF(A91="","",IF(COUNTIFS('Видео'!$A$7:$A$1508,A91)=1,INDEX('Видео'!$L$7:$L$1508,MATCH(A91,'Видео'!$A$7:$A$1508,0)),"ID не найден"))</x:f>
        <x:v>2.4150943396226414</x:v>
      </x:c>
      <x:c r="I91" s="10" t="str">
        <x:f>IF(A91="","",IF(COUNTIFS('Видео'!$A$7:$A$1508,A91)=1,INDEX('Видео'!$AI$7:$AI$1508,MATCH(A91,'Видео'!$A$7:$A$1508,0)),"ID не найден"))</x:f>
        <x:v>Нужна редактура</x:v>
      </x:c>
      <x:c r="J91" s="11" t="str">
        <x:f>IF(A91="","",IF(COUNTIFS('Видео'!$A$7:$A$1508,A91)=1,INDEX('Видео'!$U$7:$U$1508,MATCH(A91,'Видео'!$A$7:$A$1508,0)),"ID не найден"))</x:f>
        <x:v>https://www.youtube.com/watch?v=3te51oqLUos</x:v>
      </x:c>
      <x:c r="K91" s="9" t="str">
        <x:v>C032</x:v>
      </x:c>
      <x:c r="L91" s="9" t="str">
        <x:v>Да</x:v>
      </x:c>
    </x:row>
    <x:row r="92" ht="60" customHeight="1">
      <x:c r="A92" s="9" t="str">
        <x:v>1ahW0_McSvQ</x:v>
      </x:c>
      <x:c r="B92" s="10" t="str">
        <x:f>IF(A92="","",IF(COUNTIFS('Видео'!$A$7:$A$1508,A92)=1,INDEX('Видео'!$B$7:$B$1508,MATCH(A92,'Видео'!$A$7:$A$1508,0)),"ID не найден"))</x:f>
        <x:v>ירוסלם | פרק 2</x:v>
      </x:c>
      <x:c r="C92" s="10" t="str">
        <x:f>IF(A92="","",IF(COUNTIFS('Видео'!$A$7:$A$1508,A92)=1,INDEX('Видео'!$C$7:$C$1508,MATCH(A92,'Видео'!$A$7:$A$1508,0)),"ID не найден"))</x:f>
        <x:v>История общин</x:v>
      </x:c>
      <x:c r="D92" s="10" t="str">
        <x:f>IF(A92="","",IF(COUNTIFS('Видео'!$A$7:$A$1508,A92)=1,INDEX('Видео'!$M$7:$M$1508,MATCH(A92,'Видео'!$A$7:$A$1508,0)),"ID не найден"))</x:f>
        <x:v>Тема: ירוסלם | פרק 2. История эфиопской общины расширяет представление об алие и опыте интеграции.</x:v>
      </x:c>
      <x:c r="E92" s="9" t="str">
        <x:f>IF(A92="","",IF(COUNTIFS('Видео'!$A$7:$A$1508,A92)=1,INDEX('Видео'!$D$7:$D$1508,MATCH(A92,'Видео'!$A$7:$A$1508,0)),"ID не найден"))</x:f>
        <x:v>История</x:v>
      </x:c>
      <x:c r="F92" s="10" t="str">
        <x:f>IF(A92="","",IF(COUNTIFS('Видео'!$A$7:$A$1508,A92)=1,INDEX('Видео'!$F$7:$F$1508,MATCH(A92,'Видео'!$A$7:$A$1508,0)),"ID не найден"))</x:f>
        <x:v>B2–C1 (гипотеза)</x:v>
      </x:c>
      <x:c r="G92" s="14" t="n">
        <x:f>IF(A92="","",IF(COUNTIFS('Видео'!$A$7:$A$1508,A92)=1,INDEX('Видео'!$H$7:$H$1508,MATCH(A92,'Видео'!$A$7:$A$1508,0)),"ID не найден"))</x:f>
        <x:v>57201</x:v>
      </x:c>
      <x:c r="H92" s="18" t="n">
        <x:f>IF(A92="","",IF(COUNTIFS('Видео'!$A$7:$A$1508,A92)=1,INDEX('Видео'!$L$7:$L$1508,MATCH(A92,'Видео'!$A$7:$A$1508,0)),"ID не найден"))</x:f>
        <x:v>1.0754716981132075</x:v>
      </x:c>
      <x:c r="I92" s="10" t="str">
        <x:f>IF(A92="","",IF(COUNTIFS('Видео'!$A$7:$A$1508,A92)=1,INDEX('Видео'!$AI$7:$AI$1508,MATCH(A92,'Видео'!$A$7:$A$1508,0)),"ID не найден"))</x:f>
        <x:v>Нужна редактура</x:v>
      </x:c>
      <x:c r="J92" s="11" t="str">
        <x:f>IF(A92="","",IF(COUNTIFS('Видео'!$A$7:$A$1508,A92)=1,INDEX('Видео'!$U$7:$U$1508,MATCH(A92,'Видео'!$A$7:$A$1508,0)),"ID не найден"))</x:f>
        <x:v>https://www.youtube.com/watch?v=1ahW0_McSvQ</x:v>
      </x:c>
      <x:c r="K92" s="9" t="str">
        <x:v>C032</x:v>
      </x:c>
      <x:c r="L92" s="9" t="str">
        <x:v>Да</x:v>
      </x:c>
    </x:row>
    <x:row r="93" ht="60" customHeight="1">
      <x:c r="A93" s="9" t="str">
        <x:v>3ugu16D1Eng</x:v>
      </x:c>
      <x:c r="B93" s="10" t="str">
        <x:f>IF(A93="","",IF(COUNTIFS('Видео'!$A$7:$A$1508,A93)=1,INDEX('Видео'!$B$7:$B$1508,MATCH(A93,'Видео'!$A$7:$A$1508,0)),"ID не найден"))</x:f>
        <x:v>נייעס 📰 | זכות הציבור שלא לדעת - פרק 1</x:v>
      </x:c>
      <x:c r="C93" s="10" t="str">
        <x:f>IF(A93="","",IF(COUNTIFS('Видео'!$A$7:$A$1508,A93)=1,INDEX('Видео'!$C$7:$C$1508,MATCH(A93,'Видео'!$A$7:$A$1508,0)),"ID не найден"))</x:f>
        <x:v>Религия и общество</x:v>
      </x:c>
      <x:c r="D93" s="10" t="str">
        <x:f>IF(A93="","",IF(COUNTIFS('Видео'!$A$7:$A$1508,A93)=1,INDEX('Видео'!$M$7:$M$1508,MATCH(A93,'Видео'!$A$7:$A$1508,0)),"ID не найден"))</x:f>
        <x:v>Тема: נייעס 📰 | זכות הציבור שלא לדעת - פרק 1. Просмотры в списке выше медианы выборки этого цикла в 1.61 раза. Медиа внутри харедим дают вход в часто незнакомую культурную среду и лексику.</x:v>
      </x:c>
      <x:c r="E93" s="9" t="str">
        <x:f>IF(A93="","",IF(COUNTIFS('Видео'!$A$7:$A$1508,A93)=1,INDEX('Видео'!$D$7:$D$1508,MATCH(A93,'Видео'!$A$7:$A$1508,0)),"ID не найден"))</x:f>
        <x:v>Общество</x:v>
      </x:c>
      <x:c r="F93" s="10" t="str">
        <x:f>IF(A93="","",IF(COUNTIFS('Видео'!$A$7:$A$1508,A93)=1,INDEX('Видео'!$F$7:$F$1508,MATCH(A93,'Видео'!$A$7:$A$1508,0)),"ID не найден"))</x:f>
        <x:v>B2–C1 (гипотеза)</x:v>
      </x:c>
      <x:c r="G93" s="14" t="n">
        <x:f>IF(A93="","",IF(COUNTIFS('Видео'!$A$7:$A$1508,A93)=1,INDEX('Видео'!$H$7:$H$1508,MATCH(A93,'Видео'!$A$7:$A$1508,0)),"ID не найден"))</x:f>
        <x:v>121050</x:v>
      </x:c>
      <x:c r="H93" s="18" t="n">
        <x:f>IF(A93="","",IF(COUNTIFS('Видео'!$A$7:$A$1508,A93)=1,INDEX('Видео'!$L$7:$L$1508,MATCH(A93,'Видео'!$A$7:$A$1508,0)),"ID не найден"))</x:f>
        <x:v>1.6133333333333333</x:v>
      </x:c>
      <x:c r="I93" s="10" t="str">
        <x:f>IF(A93="","",IF(COUNTIFS('Видео'!$A$7:$A$1508,A93)=1,INDEX('Видео'!$AI$7:$AI$1508,MATCH(A93,'Видео'!$A$7:$A$1508,0)),"ID не найден"))</x:f>
        <x:v>Нужна редактура</x:v>
      </x:c>
      <x:c r="J93" s="11" t="str">
        <x:f>IF(A93="","",IF(COUNTIFS('Видео'!$A$7:$A$1508,A93)=1,INDEX('Видео'!$U$7:$U$1508,MATCH(A93,'Видео'!$A$7:$A$1508,0)),"ID не найден"))</x:f>
        <x:v>https://www.youtube.com/watch?v=3ugu16D1Eng</x:v>
      </x:c>
      <x:c r="K93" s="9" t="str">
        <x:v>C033</x:v>
      </x:c>
      <x:c r="L93" s="9" t="str">
        <x:v>Да</x:v>
      </x:c>
    </x:row>
    <x:row r="94" ht="60" customHeight="1">
      <x:c r="A94" s="9" t="str">
        <x:v>pVuwYVdjXMo</x:v>
      </x:c>
      <x:c r="B94" s="10" t="str">
        <x:f>IF(A94="","",IF(COUNTIFS('Видео'!$A$7:$A$1508,A94)=1,INDEX('Видео'!$B$7:$B$1508,MATCH(A94,'Видео'!$A$7:$A$1508,0)),"ID не найден"))</x:f>
        <x:v>נייעס 📰 | על חומותייך הפקדתי שומרים - פרק 3</x:v>
      </x:c>
      <x:c r="C94" s="10" t="str">
        <x:f>IF(A94="","",IF(COUNTIFS('Видео'!$A$7:$A$1508,A94)=1,INDEX('Видео'!$C$7:$C$1508,MATCH(A94,'Видео'!$A$7:$A$1508,0)),"ID не найден"))</x:f>
        <x:v>Религия и общество</x:v>
      </x:c>
      <x:c r="D94" s="10" t="str">
        <x:f>IF(A94="","",IF(COUNTIFS('Видео'!$A$7:$A$1508,A94)=1,INDEX('Видео'!$M$7:$M$1508,MATCH(A94,'Видео'!$A$7:$A$1508,0)),"ID не найден"))</x:f>
        <x:v>Тема: נייעס 📰 | על חומותייך הפקדתי שומרים - פרק 3. Медиа внутри харедим дают вход в часто незнакомую культурную среду и лексику.</x:v>
      </x:c>
      <x:c r="E94" s="9" t="str">
        <x:f>IF(A94="","",IF(COUNTIFS('Видео'!$A$7:$A$1508,A94)=1,INDEX('Видео'!$D$7:$D$1508,MATCH(A94,'Видео'!$A$7:$A$1508,0)),"ID не найден"))</x:f>
        <x:v>Общество</x:v>
      </x:c>
      <x:c r="F94" s="10" t="str">
        <x:f>IF(A94="","",IF(COUNTIFS('Видео'!$A$7:$A$1508,A94)=1,INDEX('Видео'!$F$7:$F$1508,MATCH(A94,'Видео'!$A$7:$A$1508,0)),"ID не найден"))</x:f>
        <x:v>B2–C1 (гипотеза)</x:v>
      </x:c>
      <x:c r="G94" s="14" t="n">
        <x:f>IF(A94="","",IF(COUNTIFS('Видео'!$A$7:$A$1508,A94)=1,INDEX('Видео'!$H$7:$H$1508,MATCH(A94,'Видео'!$A$7:$A$1508,0)),"ID не найден"))</x:f>
        <x:v>97527</x:v>
      </x:c>
      <x:c r="H94" s="18" t="n">
        <x:f>IF(A94="","",IF(COUNTIFS('Видео'!$A$7:$A$1508,A94)=1,INDEX('Видео'!$L$7:$L$1508,MATCH(A94,'Видео'!$A$7:$A$1508,0)),"ID не найден"))</x:f>
        <x:v>1.2933333333333332</x:v>
      </x:c>
      <x:c r="I94" s="10" t="str">
        <x:f>IF(A94="","",IF(COUNTIFS('Видео'!$A$7:$A$1508,A94)=1,INDEX('Видео'!$AI$7:$AI$1508,MATCH(A94,'Видео'!$A$7:$A$1508,0)),"ID не найден"))</x:f>
        <x:v>Нужна редактура</x:v>
      </x:c>
      <x:c r="J94" s="11" t="str">
        <x:f>IF(A94="","",IF(COUNTIFS('Видео'!$A$7:$A$1508,A94)=1,INDEX('Видео'!$U$7:$U$1508,MATCH(A94,'Видео'!$A$7:$A$1508,0)),"ID не найден"))</x:f>
        <x:v>https://www.youtube.com/watch?v=pVuwYVdjXMo</x:v>
      </x:c>
      <x:c r="K94" s="9" t="str">
        <x:v>C033</x:v>
      </x:c>
      <x:c r="L94" s="9" t="str">
        <x:v>Да</x:v>
      </x:c>
    </x:row>
    <x:row r="95" ht="60" customHeight="1">
      <x:c r="A95" s="9" t="str">
        <x:v>nKS68JM4Q5Q</x:v>
      </x:c>
      <x:c r="B95" s="10" t="str">
        <x:f>IF(A95="","",IF(COUNTIFS('Видео'!$A$7:$A$1508,A95)=1,INDEX('Видео'!$B$7:$B$1508,MATCH(A95,'Видео'!$A$7:$A$1508,0)),"ID не найден"))</x:f>
        <x:v>מתחת לבלטות עם שאול אמסטרדמסקי | פרק 1 - לקנות או לשכור?</x:v>
      </x:c>
      <x:c r="C95" s="10" t="str">
        <x:f>IF(A95="","",IF(COUNTIFS('Видео'!$A$7:$A$1508,A95)=1,INDEX('Видео'!$C$7:$C$1508,MATCH(A95,'Видео'!$A$7:$A$1508,0)),"ID не найден"))</x:f>
        <x:v>Экономика и институты</x:v>
      </x:c>
      <x:c r="D95" s="10" t="str">
        <x:f>IF(A95="","",IF(COUNTIFS('Видео'!$A$7:$A$1508,A95)=1,INDEX('Видео'!$M$7:$M$1508,MATCH(A95,'Видео'!$A$7:$A$1508,0)),"ID не найден"))</x:f>
        <x:v>Тема: מתחת לבלטות עם שאול אמסטרדמסקי | פרק 1 - לקנות או לשכור?. Просмотры в списке выше медианы выборки этого цикла в 1.82 раза. Экономические объяснения связывают личные деньги и общественные решения. Это самостоятельная аудитория за пределами сериалов.</x:v>
      </x:c>
      <x:c r="E95" s="9" t="str">
        <x:f>IF(A95="","",IF(COUNTIFS('Видео'!$A$7:$A$1508,A95)=1,INDEX('Видео'!$D$7:$D$1508,MATCH(A95,'Видео'!$A$7:$A$1508,0)),"ID не найден"))</x:f>
        <x:v>Образование</x:v>
      </x:c>
      <x:c r="F95" s="10" t="str">
        <x:f>IF(A95="","",IF(COUNTIFS('Видео'!$A$7:$A$1508,A95)=1,INDEX('Видео'!$F$7:$F$1508,MATCH(A95,'Видео'!$A$7:$A$1508,0)),"ID не найден"))</x:f>
        <x:v>B2–C1 (гипотеза)</x:v>
      </x:c>
      <x:c r="G95" s="14" t="n">
        <x:f>IF(A95="","",IF(COUNTIFS('Видео'!$A$7:$A$1508,A95)=1,INDEX('Видео'!$H$7:$H$1508,MATCH(A95,'Видео'!$A$7:$A$1508,0)),"ID не найден"))</x:f>
        <x:v>314426</x:v>
      </x:c>
      <x:c r="H95" s="18" t="n">
        <x:f>IF(A95="","",IF(COUNTIFS('Видео'!$A$7:$A$1508,A95)=1,INDEX('Видео'!$L$7:$L$1508,MATCH(A95,'Видео'!$A$7:$A$1508,0)),"ID не найден"))</x:f>
        <x:v>1.8150289017341041</x:v>
      </x:c>
      <x:c r="I95" s="10" t="str">
        <x:f>IF(A95="","",IF(COUNTIFS('Видео'!$A$7:$A$1508,A95)=1,INDEX('Видео'!$AI$7:$AI$1508,MATCH(A95,'Видео'!$A$7:$A$1508,0)),"ID не найден"))</x:f>
        <x:v>Нужна редактура</x:v>
      </x:c>
      <x:c r="J95" s="11" t="str">
        <x:f>IF(A95="","",IF(COUNTIFS('Видео'!$A$7:$A$1508,A95)=1,INDEX('Видео'!$U$7:$U$1508,MATCH(A95,'Видео'!$A$7:$A$1508,0)),"ID не найден"))</x:f>
        <x:v>https://www.youtube.com/watch?v=nKS68JM4Q5Q</x:v>
      </x:c>
      <x:c r="K95" s="9" t="str">
        <x:v>C035</x:v>
      </x:c>
      <x:c r="L95" s="9" t="str">
        <x:v>Да</x:v>
      </x:c>
    </x:row>
    <x:row r="96" ht="60" customHeight="1">
      <x:c r="A96" s="9" t="str">
        <x:v>HC56b7Ls28U</x:v>
      </x:c>
      <x:c r="B96" s="10" t="str">
        <x:f>IF(A96="","",IF(COUNTIFS('Видео'!$A$7:$A$1508,A96)=1,INDEX('Видео'!$B$7:$B$1508,MATCH(A96,'Видео'!$A$7:$A$1508,0)),"ID не найден"))</x:f>
        <x:v>מתחת לבלטות | פרק 2 - הדיור החרדי</x:v>
      </x:c>
      <x:c r="C96" s="10" t="str">
        <x:f>IF(A96="","",IF(COUNTIFS('Видео'!$A$7:$A$1508,A96)=1,INDEX('Видео'!$C$7:$C$1508,MATCH(A96,'Видео'!$A$7:$A$1508,0)),"ID не найден"))</x:f>
        <x:v>Экономика и институты</x:v>
      </x:c>
      <x:c r="D96" s="10" t="str">
        <x:f>IF(A96="","",IF(COUNTIFS('Видео'!$A$7:$A$1508,A96)=1,INDEX('Видео'!$M$7:$M$1508,MATCH(A96,'Видео'!$A$7:$A$1508,0)),"ID не найден"))</x:f>
        <x:v>Тема: מתחת לבלטות | פרק 2 - הדיור החרדי. Экономические объяснения связывают личные деньги и общественные решения. Это самостоятельная аудитория за пределами сериалов.</x:v>
      </x:c>
      <x:c r="E96" s="9" t="str">
        <x:f>IF(A96="","",IF(COUNTIFS('Видео'!$A$7:$A$1508,A96)=1,INDEX('Видео'!$D$7:$D$1508,MATCH(A96,'Видео'!$A$7:$A$1508,0)),"ID не найден"))</x:f>
        <x:v>Образование</x:v>
      </x:c>
      <x:c r="F96" s="10" t="str">
        <x:f>IF(A96="","",IF(COUNTIFS('Видео'!$A$7:$A$1508,A96)=1,INDEX('Видео'!$F$7:$F$1508,MATCH(A96,'Видео'!$A$7:$A$1508,0)),"ID не найден"))</x:f>
        <x:v>B2–C1 (гипотеза)</x:v>
      </x:c>
      <x:c r="G96" s="14" t="n">
        <x:f>IF(A96="","",IF(COUNTIFS('Видео'!$A$7:$A$1508,A96)=1,INDEX('Видео'!$H$7:$H$1508,MATCH(A96,'Видео'!$A$7:$A$1508,0)),"ID не найден"))</x:f>
        <x:v>240160</x:v>
      </x:c>
      <x:c r="H96" s="18" t="n">
        <x:f>IF(A96="","",IF(COUNTIFS('Видео'!$A$7:$A$1508,A96)=1,INDEX('Видео'!$L$7:$L$1508,MATCH(A96,'Видео'!$A$7:$A$1508,0)),"ID не найден"))</x:f>
        <x:v>1.3872832369942196</x:v>
      </x:c>
      <x:c r="I96" s="10" t="str">
        <x:f>IF(A96="","",IF(COUNTIFS('Видео'!$A$7:$A$1508,A96)=1,INDEX('Видео'!$AI$7:$AI$1508,MATCH(A96,'Видео'!$A$7:$A$1508,0)),"ID не найден"))</x:f>
        <x:v>Нужна редактура</x:v>
      </x:c>
      <x:c r="J96" s="11" t="str">
        <x:f>IF(A96="","",IF(COUNTIFS('Видео'!$A$7:$A$1508,A96)=1,INDEX('Видео'!$U$7:$U$1508,MATCH(A96,'Видео'!$A$7:$A$1508,0)),"ID не найден"))</x:f>
        <x:v>https://www.youtube.com/watch?v=HC56b7Ls28U</x:v>
      </x:c>
      <x:c r="K96" s="9" t="str">
        <x:v>C035</x:v>
      </x:c>
      <x:c r="L96" s="9" t="str">
        <x:v>Да</x:v>
      </x:c>
    </x:row>
    <x:row r="97" ht="60" customHeight="1">
      <x:c r="A97" s="9" t="str">
        <x:v>5BszTBOrrcM</x:v>
      </x:c>
      <x:c r="B97" s="10" t="str">
        <x:f>IF(A97="","",IF(COUNTIFS('Видео'!$A$7:$A$1508,A97)=1,INDEX('Видео'!$B$7:$B$1508,MATCH(A97,'Видео'!$A$7:$A$1508,0)),"ID не найден"))</x:f>
        <x:v>עושים לביתנו 💸 | חלומות באוויר - פרק 4</x:v>
      </x:c>
      <x:c r="C97" s="10" t="str">
        <x:f>IF(A97="","",IF(COUNTIFS('Видео'!$A$7:$A$1508,A97)=1,INDEX('Видео'!$C$7:$C$1508,MATCH(A97,'Видео'!$A$7:$A$1508,0)),"ID не найден"))</x:f>
        <x:v>Экономическая история</x:v>
      </x:c>
      <x:c r="D97" s="10" t="str">
        <x:f>IF(A97="","",IF(COUNTIFS('Видео'!$A$7:$A$1508,A97)=1,INDEX('Видео'!$M$7:$M$1508,MATCH(A97,'Видео'!$A$7:$A$1508,0)),"ID не найден"))</x:f>
        <x:v>Тема: עושים לביתנו 💸 | חלומות באוויר - פרק 4. Просмотры в списке выше медианы выборки этого цикла в 2.61 раза. История экономических решений объясняет различия в образе жизни и институтах страны.</x:v>
      </x:c>
      <x:c r="E97" s="9" t="str">
        <x:f>IF(A97="","",IF(COUNTIFS('Видео'!$A$7:$A$1508,A97)=1,INDEX('Видео'!$D$7:$D$1508,MATCH(A97,'Видео'!$A$7:$A$1508,0)),"ID не найден"))</x:f>
        <x:v>История</x:v>
      </x:c>
      <x:c r="F97" s="10" t="str">
        <x:f>IF(A97="","",IF(COUNTIFS('Видео'!$A$7:$A$1508,A97)=1,INDEX('Видео'!$F$7:$F$1508,MATCH(A97,'Видео'!$A$7:$A$1508,0)),"ID не найден"))</x:f>
        <x:v>B2–C1 (гипотеза)</x:v>
      </x:c>
      <x:c r="G97" s="14" t="n">
        <x:f>IF(A97="","",IF(COUNTIFS('Видео'!$A$7:$A$1508,A97)=1,INDEX('Видео'!$H$7:$H$1508,MATCH(A97,'Видео'!$A$7:$A$1508,0)),"ID не найден"))</x:f>
        <x:v>235204</x:v>
      </x:c>
      <x:c r="H97" s="18" t="n">
        <x:f>IF(A97="","",IF(COUNTIFS('Видео'!$A$7:$A$1508,A97)=1,INDEX('Видео'!$L$7:$L$1508,MATCH(A97,'Видео'!$A$7:$A$1508,0)),"ID не найден"))</x:f>
        <x:v>2.611111111111111</x:v>
      </x:c>
      <x:c r="I97" s="10" t="str">
        <x:f>IF(A97="","",IF(COUNTIFS('Видео'!$A$7:$A$1508,A97)=1,INDEX('Видео'!$AI$7:$AI$1508,MATCH(A97,'Видео'!$A$7:$A$1508,0)),"ID не найден"))</x:f>
        <x:v>Нужна редактура</x:v>
      </x:c>
      <x:c r="J97" s="11" t="str">
        <x:f>IF(A97="","",IF(COUNTIFS('Видео'!$A$7:$A$1508,A97)=1,INDEX('Видео'!$U$7:$U$1508,MATCH(A97,'Видео'!$A$7:$A$1508,0)),"ID не найден"))</x:f>
        <x:v>https://www.youtube.com/watch?v=5BszTBOrrcM</x:v>
      </x:c>
      <x:c r="K97" s="9" t="str">
        <x:v>C036</x:v>
      </x:c>
      <x:c r="L97" s="9" t="str">
        <x:v>Да</x:v>
      </x:c>
    </x:row>
    <x:row r="98" ht="60" customHeight="1">
      <x:c r="A98" s="9" t="str">
        <x:v>QiRRwsHYYMQ</x:v>
      </x:c>
      <x:c r="B98" s="10" t="str">
        <x:f>IF(A98="","",IF(COUNTIFS('Видео'!$A$7:$A$1508,A98)=1,INDEX('Видео'!$B$7:$B$1508,MATCH(A98,'Видео'!$A$7:$A$1508,0)),"ID не найден"))</x:f>
        <x:v>עושים לביתנו 💸 | עונת הטייקונים - פרק 2</x:v>
      </x:c>
      <x:c r="C98" s="10" t="str">
        <x:f>IF(A98="","",IF(COUNTIFS('Видео'!$A$7:$A$1508,A98)=1,INDEX('Видео'!$C$7:$C$1508,MATCH(A98,'Видео'!$A$7:$A$1508,0)),"ID не найден"))</x:f>
        <x:v>Экономическая история</x:v>
      </x:c>
      <x:c r="D98" s="10" t="str">
        <x:f>IF(A98="","",IF(COUNTIFS('Видео'!$A$7:$A$1508,A98)=1,INDEX('Видео'!$M$7:$M$1508,MATCH(A98,'Видео'!$A$7:$A$1508,0)),"ID не найден"))</x:f>
        <x:v>Тема: עושים לביתנו 💸 | עונת הטייקונים - פרק 2. История экономических решений объясняет различия в образе жизни и институтах страны.</x:v>
      </x:c>
      <x:c r="E98" s="9" t="str">
        <x:f>IF(A98="","",IF(COUNTIFS('Видео'!$A$7:$A$1508,A98)=1,INDEX('Видео'!$D$7:$D$1508,MATCH(A98,'Видео'!$A$7:$A$1508,0)),"ID не найден"))</x:f>
        <x:v>История</x:v>
      </x:c>
      <x:c r="F98" s="10" t="str">
        <x:f>IF(A98="","",IF(COUNTIFS('Видео'!$A$7:$A$1508,A98)=1,INDEX('Видео'!$F$7:$F$1508,MATCH(A98,'Видео'!$A$7:$A$1508,0)),"ID не найден"))</x:f>
        <x:v>B2–C1 (гипотеза)</x:v>
      </x:c>
      <x:c r="G98" s="14" t="n">
        <x:f>IF(A98="","",IF(COUNTIFS('Видео'!$A$7:$A$1508,A98)=1,INDEX('Видео'!$H$7:$H$1508,MATCH(A98,'Видео'!$A$7:$A$1508,0)),"ID не найден"))</x:f>
        <x:v>122069</x:v>
      </x:c>
      <x:c r="H98" s="18" t="n">
        <x:f>IF(A98="","",IF(COUNTIFS('Видео'!$A$7:$A$1508,A98)=1,INDEX('Видео'!$L$7:$L$1508,MATCH(A98,'Видео'!$A$7:$A$1508,0)),"ID не найден"))</x:f>
        <x:v>1.3555555555555556</x:v>
      </x:c>
      <x:c r="I98" s="10" t="str">
        <x:f>IF(A98="","",IF(COUNTIFS('Видео'!$A$7:$A$1508,A98)=1,INDEX('Видео'!$AI$7:$AI$1508,MATCH(A98,'Видео'!$A$7:$A$1508,0)),"ID не найден"))</x:f>
        <x:v>Нужна редактура</x:v>
      </x:c>
      <x:c r="J98" s="11" t="str">
        <x:f>IF(A98="","",IF(COUNTIFS('Видео'!$A$7:$A$1508,A98)=1,INDEX('Видео'!$U$7:$U$1508,MATCH(A98,'Видео'!$A$7:$A$1508,0)),"ID не найден"))</x:f>
        <x:v>https://www.youtube.com/watch?v=QiRRwsHYYMQ</x:v>
      </x:c>
      <x:c r="K98" s="9" t="str">
        <x:v>C036</x:v>
      </x:c>
      <x:c r="L98" s="9" t="str">
        <x:v>Да</x:v>
      </x:c>
    </x:row>
    <x:row r="99" ht="60" customHeight="1">
      <x:c r="A99" s="9" t="str">
        <x:v>w2kb1NR1hcg</x:v>
      </x:c>
      <x:c r="B99" s="10" t="str">
        <x:f>IF(A99="","",IF(COUNTIFS('Видео'!$A$7:$A$1508,A99)=1,INDEX('Видео'!$B$7:$B$1508,MATCH(A99,'Видео'!$A$7:$A$1508,0)),"ID не найден"))</x:f>
        <x:v>המרדף עונה 9 | פרק 10 - ספיישל מלון הוטל</x:v>
      </x:c>
      <x:c r="C99" s="10" t="str">
        <x:f>IF(A99="","",IF(COUNTIFS('Видео'!$A$7:$A$1508,A99)=1,INDEX('Видео'!$C$7:$C$1508,MATCH(A99,'Видео'!$A$7:$A$1508,0)),"ID не найден"))</x:f>
        <x:v>Знания и викторины</x:v>
      </x:c>
      <x:c r="D99" s="10" t="str">
        <x:f>IF(A99="","",IF(COUNTIFS('Видео'!$A$7:$A$1508,A99)=1,INDEX('Видео'!$M$7:$M$1508,MATCH(A99,'Видео'!$A$7:$A$1508,0)),"ID не найден"))</x:f>
        <x:v>Тема: המרדף עונה 9 | פרק 10 - ספיישל מלון הוטל. Просмотры в списке выше медианы выборки этого цикла в 3.75 раза. Викторина предлагает естественный формат проверки понимания и обсуждения ответа.</x:v>
      </x:c>
      <x:c r="E99" s="9" t="str">
        <x:f>IF(A99="","",IF(COUNTIFS('Видео'!$A$7:$A$1508,A99)=1,INDEX('Видео'!$D$7:$D$1508,MATCH(A99,'Видео'!$A$7:$A$1508,0)),"ID не найден"))</x:f>
        <x:v>Образование</x:v>
      </x:c>
      <x:c r="F99" s="10" t="str">
        <x:f>IF(A99="","",IF(COUNTIFS('Видео'!$A$7:$A$1508,A99)=1,INDEX('Видео'!$F$7:$F$1508,MATCH(A99,'Видео'!$A$7:$A$1508,0)),"ID не найден"))</x:f>
        <x:v>B1–B2 (гипотеза)</x:v>
      </x:c>
      <x:c r="G99" s="14" t="n">
        <x:f>IF(A99="","",IF(COUNTIFS('Видео'!$A$7:$A$1508,A99)=1,INDEX('Видео'!$H$7:$H$1508,MATCH(A99,'Видео'!$A$7:$A$1508,0)),"ID не найден"))</x:f>
        <x:v>148190</x:v>
      </x:c>
      <x:c r="H99" s="18" t="n">
        <x:f>IF(A99="","",IF(COUNTIFS('Видео'!$A$7:$A$1508,A99)=1,INDEX('Видео'!$L$7:$L$1508,MATCH(A99,'Видео'!$A$7:$A$1508,0)),"ID не найден"))</x:f>
        <x:v>3.7468354430379747</x:v>
      </x:c>
      <x:c r="I99" s="10" t="str">
        <x:f>IF(A99="","",IF(COUNTIFS('Видео'!$A$7:$A$1508,A99)=1,INDEX('Видео'!$AI$7:$AI$1508,MATCH(A99,'Видео'!$A$7:$A$1508,0)),"ID не найден"))</x:f>
        <x:v>Нужна редактура</x:v>
      </x:c>
      <x:c r="J99" s="11" t="str">
        <x:f>IF(A99="","",IF(COUNTIFS('Видео'!$A$7:$A$1508,A99)=1,INDEX('Видео'!$U$7:$U$1508,MATCH(A99,'Видео'!$A$7:$A$1508,0)),"ID не найден"))</x:f>
        <x:v>https://www.youtube.com/watch?v=w2kb1NR1hcg</x:v>
      </x:c>
      <x:c r="K99" s="9" t="str">
        <x:v>C037</x:v>
      </x:c>
      <x:c r="L99" s="9" t="str">
        <x:v>Да</x:v>
      </x:c>
    </x:row>
    <x:row r="100" ht="60" customHeight="1">
      <x:c r="A100" s="9" t="str">
        <x:v>y_2Ysy_oQR0</x:v>
      </x:c>
      <x:c r="B100" s="10" t="str">
        <x:f>IF(A100="","",IF(COUNTIFS('Видео'!$A$7:$A$1508,A100)=1,INDEX('Видео'!$B$7:$B$1508,MATCH(A100,'Видео'!$A$7:$A$1508,0)),"ID не найден"))</x:f>
        <x:v>המרדף עונה 9 | פרק 1</x:v>
      </x:c>
      <x:c r="C100" s="10" t="str">
        <x:f>IF(A100="","",IF(COUNTIFS('Видео'!$A$7:$A$1508,A100)=1,INDEX('Видео'!$C$7:$C$1508,MATCH(A100,'Видео'!$A$7:$A$1508,0)),"ID не найден"))</x:f>
        <x:v>Знания и викторины</x:v>
      </x:c>
      <x:c r="D100" s="10" t="str">
        <x:f>IF(A100="","",IF(COUNTIFS('Видео'!$A$7:$A$1508,A100)=1,INDEX('Видео'!$M$7:$M$1508,MATCH(A100,'Видео'!$A$7:$A$1508,0)),"ID не найден"))</x:f>
        <x:v>Тема: המרדף עונה 9 | פרק 1. Просмотры в списке выше медианы выборки этого цикла в 2.56 раза. Викторина предлагает естественный формат проверки понимания и обсуждения ответа.</x:v>
      </x:c>
      <x:c r="E100" s="9" t="str">
        <x:f>IF(A100="","",IF(COUNTIFS('Видео'!$A$7:$A$1508,A100)=1,INDEX('Видео'!$D$7:$D$1508,MATCH(A100,'Видео'!$A$7:$A$1508,0)),"ID не найден"))</x:f>
        <x:v>Образование</x:v>
      </x:c>
      <x:c r="F100" s="10" t="str">
        <x:f>IF(A100="","",IF(COUNTIFS('Видео'!$A$7:$A$1508,A100)=1,INDEX('Видео'!$F$7:$F$1508,MATCH(A100,'Видео'!$A$7:$A$1508,0)),"ID не найден"))</x:f>
        <x:v>B1–B2 (гипотеза)</x:v>
      </x:c>
      <x:c r="G100" s="14" t="n">
        <x:f>IF(A100="","",IF(COUNTIFS('Видео'!$A$7:$A$1508,A100)=1,INDEX('Видео'!$H$7:$H$1508,MATCH(A100,'Видео'!$A$7:$A$1508,0)),"ID не найден"))</x:f>
        <x:v>101940</x:v>
      </x:c>
      <x:c r="H100" s="18" t="n">
        <x:f>IF(A100="","",IF(COUNTIFS('Видео'!$A$7:$A$1508,A100)=1,INDEX('Видео'!$L$7:$L$1508,MATCH(A100,'Видео'!$A$7:$A$1508,0)),"ID не найден"))</x:f>
        <x:v>2.5569620253164556</x:v>
      </x:c>
      <x:c r="I100" s="10" t="str">
        <x:f>IF(A100="","",IF(COUNTIFS('Видео'!$A$7:$A$1508,A100)=1,INDEX('Видео'!$AI$7:$AI$1508,MATCH(A100,'Видео'!$A$7:$A$1508,0)),"ID не найден"))</x:f>
        <x:v>Нужна редактура</x:v>
      </x:c>
      <x:c r="J100" s="11" t="str">
        <x:f>IF(A100="","",IF(COUNTIFS('Видео'!$A$7:$A$1508,A100)=1,INDEX('Видео'!$U$7:$U$1508,MATCH(A100,'Видео'!$A$7:$A$1508,0)),"ID не найден"))</x:f>
        <x:v>https://www.youtube.com/watch?v=y_2Ysy_oQR0</x:v>
      </x:c>
      <x:c r="K100" s="9" t="str">
        <x:v>C037</x:v>
      </x:c>
      <x:c r="L100" s="9" t="str">
        <x:v>Да</x:v>
      </x:c>
    </x:row>
    <x:row r="101" ht="60" customHeight="1">
      <x:c r="A101" s="9" t="str">
        <x:v>i2tTSSGCKJ4</x:v>
      </x:c>
      <x:c r="B101" s="10" t="str">
        <x:f>IF(A101="","",IF(COUNTIFS('Видео'!$A$7:$A$1508,A101)=1,INDEX('Видео'!$B$7:$B$1508,MATCH(A101,'Видео'!$A$7:$A$1508,0)),"ID не найден"))</x:f>
        <x:v>טיול אחרי צבא - סובב ישראל 🚐🇮🇱 | פרק 1 - חנית בחניתה</x:v>
      </x:c>
      <x:c r="C101" s="10" t="str">
        <x:f>IF(A101="","",IF(COUNTIFS('Видео'!$A$7:$A$1508,A101)=1,INDEX('Видео'!$C$7:$C$1508,MATCH(A101,'Видео'!$A$7:$A$1508,0)),"ID не найден"))</x:f>
        <x:v>География и путешествия</x:v>
      </x:c>
      <x:c r="D101" s="10" t="str">
        <x:f>IF(A101="","",IF(COUNTIFS('Видео'!$A$7:$A$1508,A101)=1,INDEX('Видео'!$M$7:$M$1508,MATCH(A101,'Видео'!$A$7:$A$1508,0)),"ID не найден"))</x:f>
        <x:v>Тема: טיול אחרי צבא - סובב ישראל 🚐🇮🇱 | פרק 1 - חנית בחניתה. Просмотры в списке выше медианы выборки этого цикла в 2.3 раза. Маршрут по стране помогает связывать язык с местами и планами путешествия. Визуальные подсказки облегчают понимание.</x:v>
      </x:c>
      <x:c r="E101" s="9" t="str">
        <x:f>IF(A101="","",IF(COUNTIFS('Видео'!$A$7:$A$1508,A101)=1,INDEX('Видео'!$D$7:$D$1508,MATCH(A101,'Видео'!$A$7:$A$1508,0)),"ID не найден"))</x:f>
        <x:v>Быт</x:v>
      </x:c>
      <x:c r="F101" s="10" t="str">
        <x:f>IF(A101="","",IF(COUNTIFS('Видео'!$A$7:$A$1508,A101)=1,INDEX('Видео'!$F$7:$F$1508,MATCH(A101,'Видео'!$A$7:$A$1508,0)),"ID не найден"))</x:f>
        <x:v>B1–B2 (гипотеза)</x:v>
      </x:c>
      <x:c r="G101" s="14" t="n">
        <x:f>IF(A101="","",IF(COUNTIFS('Видео'!$A$7:$A$1508,A101)=1,INDEX('Видео'!$H$7:$H$1508,MATCH(A101,'Видео'!$A$7:$A$1508,0)),"ID не найден"))</x:f>
        <x:v>130614</x:v>
      </x:c>
      <x:c r="H101" s="18" t="n">
        <x:f>IF(A101="","",IF(COUNTIFS('Видео'!$A$7:$A$1508,A101)=1,INDEX('Видео'!$L$7:$L$1508,MATCH(A101,'Видео'!$A$7:$A$1508,0)),"ID не найден"))</x:f>
        <x:v>2.3008849557522124</x:v>
      </x:c>
      <x:c r="I101" s="10" t="str">
        <x:f>IF(A101="","",IF(COUNTIFS('Видео'!$A$7:$A$1508,A101)=1,INDEX('Видео'!$AI$7:$AI$1508,MATCH(A101,'Видео'!$A$7:$A$1508,0)),"ID не найден"))</x:f>
        <x:v>Нужна редактура</x:v>
      </x:c>
      <x:c r="J101" s="11" t="str">
        <x:f>IF(A101="","",IF(COUNTIFS('Видео'!$A$7:$A$1508,A101)=1,INDEX('Видео'!$U$7:$U$1508,MATCH(A101,'Видео'!$A$7:$A$1508,0)),"ID не найден"))</x:f>
        <x:v>https://www.youtube.com/watch?v=i2tTSSGCKJ4</x:v>
      </x:c>
      <x:c r="K101" s="9" t="str">
        <x:v>C038</x:v>
      </x:c>
      <x:c r="L101" s="9" t="str">
        <x:v>Да</x:v>
      </x:c>
    </x:row>
    <x:row r="102" ht="60" customHeight="1">
      <x:c r="A102" s="9" t="str">
        <x:v>UAKmESRIA2U</x:v>
      </x:c>
      <x:c r="B102" s="10" t="str">
        <x:f>IF(A102="","",IF(COUNTIFS('Видео'!$A$7:$A$1508,A102)=1,INDEX('Видео'!$B$7:$B$1508,MATCH(A102,'Видео'!$A$7:$A$1508,0)),"ID не найден"))</x:f>
        <x:v>טיול אחרי צבא - סובב ישראל 🚐🇮🇱 | פרק 2 - חשיפה לצפון</x:v>
      </x:c>
      <x:c r="C102" s="10" t="str">
        <x:f>IF(A102="","",IF(COUNTIFS('Видео'!$A$7:$A$1508,A102)=1,INDEX('Видео'!$C$7:$C$1508,MATCH(A102,'Видео'!$A$7:$A$1508,0)),"ID не найден"))</x:f>
        <x:v>География и путешествия</x:v>
      </x:c>
      <x:c r="D102" s="10" t="str">
        <x:f>IF(A102="","",IF(COUNTIFS('Видео'!$A$7:$A$1508,A102)=1,INDEX('Видео'!$M$7:$M$1508,MATCH(A102,'Видео'!$A$7:$A$1508,0)),"ID не найден"))</x:f>
        <x:v>Тема: טיול אחרי צבא - סובב ישראל 🚐🇮🇱 | פרק 2 - חשיפה לצפון. Маршрут по стране помогает связывать язык с местами и планами путешествия. Визуальные подсказки облегчают понимание.</x:v>
      </x:c>
      <x:c r="E102" s="9" t="str">
        <x:f>IF(A102="","",IF(COUNTIFS('Видео'!$A$7:$A$1508,A102)=1,INDEX('Видео'!$D$7:$D$1508,MATCH(A102,'Видео'!$A$7:$A$1508,0)),"ID не найден"))</x:f>
        <x:v>Быт</x:v>
      </x:c>
      <x:c r="F102" s="10" t="str">
        <x:f>IF(A102="","",IF(COUNTIFS('Видео'!$A$7:$A$1508,A102)=1,INDEX('Видео'!$F$7:$F$1508,MATCH(A102,'Видео'!$A$7:$A$1508,0)),"ID не найден"))</x:f>
        <x:v>B1–B2 (гипотеза)</x:v>
      </x:c>
      <x:c r="G102" s="14" t="n">
        <x:f>IF(A102="","",IF(COUNTIFS('Видео'!$A$7:$A$1508,A102)=1,INDEX('Видео'!$H$7:$H$1508,MATCH(A102,'Видео'!$A$7:$A$1508,0)),"ID не найден"))</x:f>
        <x:v>78335</x:v>
      </x:c>
      <x:c r="H102" s="18" t="n">
        <x:f>IF(A102="","",IF(COUNTIFS('Видео'!$A$7:$A$1508,A102)=1,INDEX('Видео'!$L$7:$L$1508,MATCH(A102,'Видео'!$A$7:$A$1508,0)),"ID не найден"))</x:f>
        <x:v>1.3805309734513274</x:v>
      </x:c>
      <x:c r="I102" s="10" t="str">
        <x:f>IF(A102="","",IF(COUNTIFS('Видео'!$A$7:$A$1508,A102)=1,INDEX('Видео'!$AI$7:$AI$1508,MATCH(A102,'Видео'!$A$7:$A$1508,0)),"ID не найден"))</x:f>
        <x:v>Нужна редактура</x:v>
      </x:c>
      <x:c r="J102" s="11" t="str">
        <x:f>IF(A102="","",IF(COUNTIFS('Видео'!$A$7:$A$1508,A102)=1,INDEX('Видео'!$U$7:$U$1508,MATCH(A102,'Видео'!$A$7:$A$1508,0)),"ID не найден"))</x:f>
        <x:v>https://www.youtube.com/watch?v=UAKmESRIA2U</x:v>
      </x:c>
      <x:c r="K102" s="9" t="str">
        <x:v>C038</x:v>
      </x:c>
      <x:c r="L102" s="9" t="str">
        <x:v>Да</x:v>
      </x:c>
    </x:row>
    <x:row r="103" ht="60" customHeight="1">
      <x:c r="A103" s="9" t="str">
        <x:v>DmOkeAgiC6s</x:v>
      </x:c>
      <x:c r="B103" s="10" t="str">
        <x:f>IF(A103="","",IF(COUNTIFS('Видео'!$A$7:$A$1508,A103)=1,INDEX('Видео'!$B$7:$B$1508,MATCH(A103,'Видео'!$A$7:$A$1508,0)),"ID не найден"))</x:f>
        <x:v>ליגה ג' ⚽ | הליגה האחרונה - פרק 1</x:v>
      </x:c>
      <x:c r="C103" s="10" t="str">
        <x:f>IF(A103="","",IF(COUNTIFS('Видео'!$A$7:$A$1508,A103)=1,INDEX('Видео'!$C$7:$C$1508,MATCH(A103,'Видео'!$A$7:$A$1508,0)),"ID не найден"))</x:f>
        <x:v>Спорт и периферия</x:v>
      </x:c>
      <x:c r="D103" s="10" t="str">
        <x:f>IF(A103="","",IF(COUNTIFS('Видео'!$A$7:$A$1508,A103)=1,INDEX('Видео'!$M$7:$M$1508,MATCH(A103,'Видео'!$A$7:$A$1508,0)),"ID не найден"))</x:f>
        <x:v>Тема: ליגה ג' ⚽ | הליגה האחרונה - פרק 1. Просмотры в списке выше медианы выборки этого цикла в 1.77 раза. Любительский футбол показывает местные сообщества вне привычного образа Тель-Авива.</x:v>
      </x:c>
      <x:c r="E103" s="9" t="str">
        <x:f>IF(A103="","",IF(COUNTIFS('Видео'!$A$7:$A$1508,A103)=1,INDEX('Видео'!$D$7:$D$1508,MATCH(A103,'Видео'!$A$7:$A$1508,0)),"ID не найден"))</x:f>
        <x:v>Быт</x:v>
      </x:c>
      <x:c r="F103" s="10" t="str">
        <x:f>IF(A103="","",IF(COUNTIFS('Видео'!$A$7:$A$1508,A103)=1,INDEX('Видео'!$F$7:$F$1508,MATCH(A103,'Видео'!$A$7:$A$1508,0)),"ID не найден"))</x:f>
        <x:v>B2–C1 (гипотеза)</x:v>
      </x:c>
      <x:c r="G103" s="14" t="n">
        <x:f>IF(A103="","",IF(COUNTIFS('Видео'!$A$7:$A$1508,A103)=1,INDEX('Видео'!$H$7:$H$1508,MATCH(A103,'Видео'!$A$7:$A$1508,0)),"ID не найден"))</x:f>
        <x:v>392068</x:v>
      </x:c>
      <x:c r="H103" s="18" t="n">
        <x:f>IF(A103="","",IF(COUNTIFS('Видео'!$A$7:$A$1508,A103)=1,INDEX('Видео'!$L$7:$L$1508,MATCH(A103,'Видео'!$A$7:$A$1508,0)),"ID не найден"))</x:f>
        <x:v>1.7737556561085972</x:v>
      </x:c>
      <x:c r="I103" s="10" t="str">
        <x:f>IF(A103="","",IF(COUNTIFS('Видео'!$A$7:$A$1508,A103)=1,INDEX('Видео'!$AI$7:$AI$1508,MATCH(A103,'Видео'!$A$7:$A$1508,0)),"ID не найден"))</x:f>
        <x:v>Нужна редактура</x:v>
      </x:c>
      <x:c r="J103" s="11" t="str">
        <x:f>IF(A103="","",IF(COUNTIFS('Видео'!$A$7:$A$1508,A103)=1,INDEX('Видео'!$U$7:$U$1508,MATCH(A103,'Видео'!$A$7:$A$1508,0)),"ID не найден"))</x:f>
        <x:v>https://www.youtube.com/watch?v=DmOkeAgiC6s</x:v>
      </x:c>
      <x:c r="K103" s="9" t="str">
        <x:v>C039</x:v>
      </x:c>
      <x:c r="L103" s="9" t="str">
        <x:v>Да</x:v>
      </x:c>
    </x:row>
    <x:row r="104" ht="60" customHeight="1">
      <x:c r="A104" s="9" t="str">
        <x:v>wBBM_M5SDm0</x:v>
      </x:c>
      <x:c r="B104" s="10" t="str">
        <x:f>IF(A104="","",IF(COUNTIFS('Видео'!$A$7:$A$1508,A104)=1,INDEX('Видео'!$B$7:$B$1508,MATCH(A104,'Видео'!$A$7:$A$1508,0)),"ID не найден"))</x:f>
        <x:v>ליגה ג' ⚽ | גבר הולך לאיבוד - פרק 2</x:v>
      </x:c>
      <x:c r="C104" s="10" t="str">
        <x:f>IF(A104="","",IF(COUNTIFS('Видео'!$A$7:$A$1508,A104)=1,INDEX('Видео'!$C$7:$C$1508,MATCH(A104,'Видео'!$A$7:$A$1508,0)),"ID не найден"))</x:f>
        <x:v>Спорт и периферия</x:v>
      </x:c>
      <x:c r="D104" s="10" t="str">
        <x:f>IF(A104="","",IF(COUNTIFS('Видео'!$A$7:$A$1508,A104)=1,INDEX('Видео'!$M$7:$M$1508,MATCH(A104,'Видео'!$A$7:$A$1508,0)),"ID не найден"))</x:f>
        <x:v>Тема: ליגה ג' ⚽ | גבר הולך לאיבוד - פרק 2. Любительский футбол показывает местные сообщества вне привычного образа Тель-Авива.</x:v>
      </x:c>
      <x:c r="E104" s="9" t="str">
        <x:f>IF(A104="","",IF(COUNTIFS('Видео'!$A$7:$A$1508,A104)=1,INDEX('Видео'!$D$7:$D$1508,MATCH(A104,'Видео'!$A$7:$A$1508,0)),"ID не найден"))</x:f>
        <x:v>Быт</x:v>
      </x:c>
      <x:c r="F104" s="10" t="str">
        <x:f>IF(A104="","",IF(COUNTIFS('Видео'!$A$7:$A$1508,A104)=1,INDEX('Видео'!$F$7:$F$1508,MATCH(A104,'Видео'!$A$7:$A$1508,0)),"ID не найден"))</x:f>
        <x:v>B2–C1 (гипотеза)</x:v>
      </x:c>
      <x:c r="G104" s="14" t="n">
        <x:f>IF(A104="","",IF(COUNTIFS('Видео'!$A$7:$A$1508,A104)=1,INDEX('Видео'!$H$7:$H$1508,MATCH(A104,'Видео'!$A$7:$A$1508,0)),"ID не найден"))</x:f>
        <x:v>283093</x:v>
      </x:c>
      <x:c r="H104" s="18" t="n">
        <x:f>IF(A104="","",IF(COUNTIFS('Видео'!$A$7:$A$1508,A104)=1,INDEX('Видео'!$L$7:$L$1508,MATCH(A104,'Видео'!$A$7:$A$1508,0)),"ID не найден"))</x:f>
        <x:v>1.2805429864253393</x:v>
      </x:c>
      <x:c r="I104" s="10" t="str">
        <x:f>IF(A104="","",IF(COUNTIFS('Видео'!$A$7:$A$1508,A104)=1,INDEX('Видео'!$AI$7:$AI$1508,MATCH(A104,'Видео'!$A$7:$A$1508,0)),"ID не найден"))</x:f>
        <x:v>Нужна редактура</x:v>
      </x:c>
      <x:c r="J104" s="11" t="str">
        <x:f>IF(A104="","",IF(COUNTIFS('Видео'!$A$7:$A$1508,A104)=1,INDEX('Видео'!$U$7:$U$1508,MATCH(A104,'Видео'!$A$7:$A$1508,0)),"ID не найден"))</x:f>
        <x:v>https://www.youtube.com/watch?v=wBBM_M5SDm0</x:v>
      </x:c>
      <x:c r="K104" s="9" t="str">
        <x:v>C039</x:v>
      </x:c>
      <x:c r="L104" s="9" t="str">
        <x:v>Да</x:v>
      </x:c>
    </x:row>
    <x:row r="105" ht="60" customHeight="1">
      <x:c r="A105" s="9" t="str">
        <x:v>J-Kk_das1jc</x:v>
      </x:c>
      <x:c r="B105" s="10" t="str">
        <x:f>IF(A105="","",IF(COUNTIFS('Видео'!$A$7:$A$1508,A105)=1,INDEX('Видео'!$B$7:$B$1508,MATCH(A105,'Видео'!$A$7:$A$1508,0)),"ID не найден"))</x:f>
        <x:v>זמן אמת עונה 9 | פרק 2 - 10 ימים בספטמבר: כך חיסלנו את נסראללה</x:v>
      </x:c>
      <x:c r="C105" s="10" t="str">
        <x:f>IF(A105="","",IF(COUNTIFS('Видео'!$A$7:$A$1508,A105)=1,INDEX('Видео'!$C$7:$C$1508,MATCH(A105,'Видео'!$A$7:$A$1508,0)),"ID не найден"))</x:f>
        <x:v>Журналистика и общество</x:v>
      </x:c>
      <x:c r="D105" s="10" t="str">
        <x:f>IF(A105="","",IF(COUNTIFS('Видео'!$A$7:$A$1508,A105)=1,INDEX('Видео'!$M$7:$M$1508,MATCH(A105,'Видео'!$A$7:$A$1508,0)),"ID не найден"))</x:f>
        <x:v>Тема: זמן אמת עונה 9 | פרק 2 - 10 ימים בספטמבר: כך חיסלנו את נסראללה. Просмотры в списке выше медианы выборки этого цикла в 4.87 раза. Расследования привлекают любителей документального жанра и дают материал для критического чтения медиа.</x:v>
      </x:c>
      <x:c r="E105" s="9" t="str">
        <x:f>IF(A105="","",IF(COUNTIFS('Видео'!$A$7:$A$1508,A105)=1,INDEX('Видео'!$D$7:$D$1508,MATCH(A105,'Видео'!$A$7:$A$1508,0)),"ID не найден"))</x:f>
        <x:v>Общество</x:v>
      </x:c>
      <x:c r="F105" s="10" t="str">
        <x:f>IF(A105="","",IF(COUNTIFS('Видео'!$A$7:$A$1508,A105)=1,INDEX('Видео'!$F$7:$F$1508,MATCH(A105,'Видео'!$A$7:$A$1508,0)),"ID не найден"))</x:f>
        <x:v>B2–C1 (гипотеза)</x:v>
      </x:c>
      <x:c r="G105" s="14" t="n">
        <x:f>IF(A105="","",IF(COUNTIFS('Видео'!$A$7:$A$1508,A105)=1,INDEX('Видео'!$H$7:$H$1508,MATCH(A105,'Видео'!$A$7:$A$1508,0)),"ID не найден"))</x:f>
        <x:v>536808</x:v>
      </x:c>
      <x:c r="H105" s="18" t="n">
        <x:f>IF(A105="","",IF(COUNTIFS('Видео'!$A$7:$A$1508,A105)=1,INDEX('Видео'!$L$7:$L$1508,MATCH(A105,'Видео'!$A$7:$A$1508,0)),"ID не найден"))</x:f>
        <x:v>4.872727272727273</x:v>
      </x:c>
      <x:c r="I105" s="10" t="str">
        <x:f>IF(A105="","",IF(COUNTIFS('Видео'!$A$7:$A$1508,A105)=1,INDEX('Видео'!$AI$7:$AI$1508,MATCH(A105,'Видео'!$A$7:$A$1508,0)),"ID не найден"))</x:f>
        <x:v>Нужна редактура</x:v>
      </x:c>
      <x:c r="J105" s="11" t="str">
        <x:f>IF(A105="","",IF(COUNTIFS('Видео'!$A$7:$A$1508,A105)=1,INDEX('Видео'!$U$7:$U$1508,MATCH(A105,'Видео'!$A$7:$A$1508,0)),"ID не найден"))</x:f>
        <x:v>https://www.youtube.com/watch?v=J-Kk_das1jc</x:v>
      </x:c>
      <x:c r="K105" s="9" t="str">
        <x:v>C040</x:v>
      </x:c>
      <x:c r="L105" s="9" t="str">
        <x:v>Да</x:v>
      </x:c>
    </x:row>
    <x:row r="106" ht="60" customHeight="1">
      <x:c r="A106" s="9" t="str">
        <x:v>0soc7lXQiyA</x:v>
      </x:c>
      <x:c r="B106" s="10" t="str">
        <x:f>IF(A106="","",IF(COUNTIFS('Видео'!$A$7:$A$1508,A106)=1,INDEX('Видео'!$B$7:$B$1508,MATCH(A106,'Видео'!$A$7:$A$1508,0)),"ID не найден"))</x:f>
        <x:v>זמן אמת עונה 9 | פרק 5 - החגיגה נגמרת: תחקיר על איש העסקים משה חוגג</x:v>
      </x:c>
      <x:c r="C106" s="10" t="str">
        <x:f>IF(A106="","",IF(COUNTIFS('Видео'!$A$7:$A$1508,A106)=1,INDEX('Видео'!$C$7:$C$1508,MATCH(A106,'Видео'!$A$7:$A$1508,0)),"ID не найден"))</x:f>
        <x:v>Журналистика и общество</x:v>
      </x:c>
      <x:c r="D106" s="10" t="str">
        <x:f>IF(A106="","",IF(COUNTIFS('Видео'!$A$7:$A$1508,A106)=1,INDEX('Видео'!$M$7:$M$1508,MATCH(A106,'Видео'!$A$7:$A$1508,0)),"ID не найден"))</x:f>
        <x:v>Тема: זמן אמת עונה 9 | פרק 5 - החגיגה נגמרת: תחקיר על איש העסקים משה חוגג. Просмотры в списке выше медианы выборки этого цикла в 2.16 раза. Расследования привлекают любителей документального жанра и дают материал для критического чтения медиа.</x:v>
      </x:c>
      <x:c r="E106" s="9" t="str">
        <x:f>IF(A106="","",IF(COUNTIFS('Видео'!$A$7:$A$1508,A106)=1,INDEX('Видео'!$D$7:$D$1508,MATCH(A106,'Видео'!$A$7:$A$1508,0)),"ID не найден"))</x:f>
        <x:v>Общество</x:v>
      </x:c>
      <x:c r="F106" s="10" t="str">
        <x:f>IF(A106="","",IF(COUNTIFS('Видео'!$A$7:$A$1508,A106)=1,INDEX('Видео'!$F$7:$F$1508,MATCH(A106,'Видео'!$A$7:$A$1508,0)),"ID не найден"))</x:f>
        <x:v>B2–C1 (гипотеза)</x:v>
      </x:c>
      <x:c r="G106" s="14" t="n">
        <x:f>IF(A106="","",IF(COUNTIFS('Видео'!$A$7:$A$1508,A106)=1,INDEX('Видео'!$H$7:$H$1508,MATCH(A106,'Видео'!$A$7:$A$1508,0)),"ID не найден"))</x:f>
        <x:v>238197</x:v>
      </x:c>
      <x:c r="H106" s="18" t="n">
        <x:f>IF(A106="","",IF(COUNTIFS('Видео'!$A$7:$A$1508,A106)=1,INDEX('Видео'!$L$7:$L$1508,MATCH(A106,'Видео'!$A$7:$A$1508,0)),"ID не найден"))</x:f>
        <x:v>2.1636363636363636</x:v>
      </x:c>
      <x:c r="I106" s="10" t="str">
        <x:f>IF(A106="","",IF(COUNTIFS('Видео'!$A$7:$A$1508,A106)=1,INDEX('Видео'!$AI$7:$AI$1508,MATCH(A106,'Видео'!$A$7:$A$1508,0)),"ID не найден"))</x:f>
        <x:v>Нужна редактура</x:v>
      </x:c>
      <x:c r="J106" s="11" t="str">
        <x:f>IF(A106="","",IF(COUNTIFS('Видео'!$A$7:$A$1508,A106)=1,INDEX('Видео'!$U$7:$U$1508,MATCH(A106,'Видео'!$A$7:$A$1508,0)),"ID не найден"))</x:f>
        <x:v>https://www.youtube.com/watch?v=0soc7lXQiyA</x:v>
      </x:c>
      <x:c r="K106" s="9" t="str">
        <x:v>C040</x:v>
      </x:c>
      <x:c r="L106" s="9" t="str">
        <x:v>Да</x:v>
      </x:c>
    </x:row>
    <x:row r="107" ht="60" customHeight="1">
      <x:c r="A107" s="9" t="str">
        <x:v>XW4PDlJ7-K8</x:v>
      </x:c>
      <x:c r="B107" s="10" t="str">
        <x:f>IF(A107="","",IF(COUNTIFS('Видео'!$A$7:$A$1508,A107)=1,INDEX('Видео'!$B$7:$B$1508,MATCH(A107,'Видео'!$A$7:$A$1508,0)),"ID не найден"))</x:f>
        <x:v>כפר עזה - 95% גן עדן | פרק 2 - עת לקום</x:v>
      </x:c>
      <x:c r="C107" s="10" t="str">
        <x:f>IF(A107="","",IF(COUNTIFS('Видео'!$A$7:$A$1508,A107)=1,INDEX('Видео'!$C$7:$C$1508,MATCH(A107,'Видео'!$A$7:$A$1508,0)),"ID не найден"))</x:f>
        <x:v>7 октября и память</x:v>
      </x:c>
      <x:c r="D107" s="10" t="str">
        <x:f>IF(A107="","",IF(COUNTIFS('Видео'!$A$7:$A$1508,A107)=1,INDEX('Видео'!$M$7:$M$1508,MATCH(A107,'Видео'!$A$7:$A$1508,0)),"ID не найден"))</x:f>
        <x:v>Тема: כפר עזה - 95% גן עדן | פרק 2 - עת לקום. История конкретного сообщества сохраняет человеческий масштаб трагедии.</x:v>
      </x:c>
      <x:c r="E107" s="9" t="str">
        <x:f>IF(A107="","",IF(COUNTIFS('Видео'!$A$7:$A$1508,A107)=1,INDEX('Видео'!$D$7:$D$1508,MATCH(A107,'Видео'!$A$7:$A$1508,0)),"ID не найден"))</x:f>
        <x:v>Память</x:v>
      </x:c>
      <x:c r="F107" s="10" t="str">
        <x:f>IF(A107="","",IF(COUNTIFS('Видео'!$A$7:$A$1508,A107)=1,INDEX('Видео'!$F$7:$F$1508,MATCH(A107,'Видео'!$A$7:$A$1508,0)),"ID не найден"))</x:f>
        <x:v>B2–C1 (гипотеза)</x:v>
      </x:c>
      <x:c r="G107" s="14" t="n">
        <x:f>IF(A107="","",IF(COUNTIFS('Видео'!$A$7:$A$1508,A107)=1,INDEX('Видео'!$H$7:$H$1508,MATCH(A107,'Видео'!$A$7:$A$1508,0)),"ID не найден"))</x:f>
        <x:v>21648</x:v>
      </x:c>
      <x:c r="H107" s="18" t="str">
        <x:f>IF(A107="","",IF(COUNTIFS('Видео'!$A$7:$A$1508,A107)=1,INDEX('Видео'!$L$7:$L$1508,MATCH(A107,'Видео'!$A$7:$A$1508,0)),"ID не найден"))</x:f>
      </x:c>
      <x:c r="I107" s="10" t="str">
        <x:f>IF(A107="","",IF(COUNTIFS('Видео'!$A$7:$A$1508,A107)=1,INDEX('Видео'!$AI$7:$AI$1508,MATCH(A107,'Видео'!$A$7:$A$1508,0)),"ID не найден"))</x:f>
        <x:v>Нужна редактура</x:v>
      </x:c>
      <x:c r="J107" s="11" t="str">
        <x:f>IF(A107="","",IF(COUNTIFS('Видео'!$A$7:$A$1508,A107)=1,INDEX('Видео'!$U$7:$U$1508,MATCH(A107,'Видео'!$A$7:$A$1508,0)),"ID не найден"))</x:f>
        <x:v>https://www.youtube.com/watch?v=XW4PDlJ7-K8</x:v>
      </x:c>
      <x:c r="K107" s="9" t="str">
        <x:v>C041</x:v>
      </x:c>
      <x:c r="L107" s="9" t="str">
        <x:v>Да</x:v>
      </x:c>
    </x:row>
    <x:row r="108" ht="60" customHeight="1">
      <x:c r="A108" s="9" t="str">
        <x:v>grYnnaPC0VI</x:v>
      </x:c>
      <x:c r="B108" s="10" t="str">
        <x:f>IF(A108="","",IF(COUNTIFS('Видео'!$A$7:$A$1508,A108)=1,INDEX('Видео'!$B$7:$B$1508,MATCH(A108,'Видео'!$A$7:$A$1508,0)),"ID не найден"))</x:f>
        <x:v>כפר עזה - 95% גן עדן | פרק 3 - הביתה?</x:v>
      </x:c>
      <x:c r="C108" s="10" t="str">
        <x:f>IF(A108="","",IF(COUNTIFS('Видео'!$A$7:$A$1508,A108)=1,INDEX('Видео'!$C$7:$C$1508,MATCH(A108,'Видео'!$A$7:$A$1508,0)),"ID не найден"))</x:f>
        <x:v>7 октября и память</x:v>
      </x:c>
      <x:c r="D108" s="10" t="str">
        <x:f>IF(A108="","",IF(COUNTIFS('Видео'!$A$7:$A$1508,A108)=1,INDEX('Видео'!$M$7:$M$1508,MATCH(A108,'Видео'!$A$7:$A$1508,0)),"ID не найден"))</x:f>
        <x:v>Тема: כפר עזה - 95% גן עדן | פרק 3 - הביתה?. История конкретного сообщества сохраняет человеческий масштаб трагедии.</x:v>
      </x:c>
      <x:c r="E108" s="9" t="str">
        <x:f>IF(A108="","",IF(COUNTIFS('Видео'!$A$7:$A$1508,A108)=1,INDEX('Видео'!$D$7:$D$1508,MATCH(A108,'Видео'!$A$7:$A$1508,0)),"ID не найден"))</x:f>
        <x:v>Память</x:v>
      </x:c>
      <x:c r="F108" s="10" t="str">
        <x:f>IF(A108="","",IF(COUNTIFS('Видео'!$A$7:$A$1508,A108)=1,INDEX('Видео'!$F$7:$F$1508,MATCH(A108,'Видео'!$A$7:$A$1508,0)),"ID не найден"))</x:f>
        <x:v>B2–C1 (гипотеза)</x:v>
      </x:c>
      <x:c r="G108" s="14" t="n">
        <x:f>IF(A108="","",IF(COUNTIFS('Видео'!$A$7:$A$1508,A108)=1,INDEX('Видео'!$H$7:$H$1508,MATCH(A108,'Видео'!$A$7:$A$1508,0)),"ID не найден"))</x:f>
        <x:v>14402</x:v>
      </x:c>
      <x:c r="H108" s="18" t="str">
        <x:f>IF(A108="","",IF(COUNTIFS('Видео'!$A$7:$A$1508,A108)=1,INDEX('Видео'!$L$7:$L$1508,MATCH(A108,'Видео'!$A$7:$A$1508,0)),"ID не найден"))</x:f>
      </x:c>
      <x:c r="I108" s="10" t="str">
        <x:f>IF(A108="","",IF(COUNTIFS('Видео'!$A$7:$A$1508,A108)=1,INDEX('Видео'!$AI$7:$AI$1508,MATCH(A108,'Видео'!$A$7:$A$1508,0)),"ID не найден"))</x:f>
        <x:v>Нужна редактура</x:v>
      </x:c>
      <x:c r="J108" s="11" t="str">
        <x:f>IF(A108="","",IF(COUNTIFS('Видео'!$A$7:$A$1508,A108)=1,INDEX('Видео'!$U$7:$U$1508,MATCH(A108,'Видео'!$A$7:$A$1508,0)),"ID не найден"))</x:f>
        <x:v>https://www.youtube.com/watch?v=grYnnaPC0VI</x:v>
      </x:c>
      <x:c r="K108" s="9" t="str">
        <x:v>C041</x:v>
      </x:c>
      <x:c r="L108" s="9" t="str">
        <x:v>Да</x:v>
      </x:c>
    </x:row>
    <x:row r="109" ht="60" customHeight="1">
      <x:c r="A109" s="9" t="str">
        <x:v>VEm1Lm85cMo</x:v>
      </x:c>
      <x:c r="B109" s="10" t="str">
        <x:f>IF(A109="","",IF(COUNTIFS('Видео'!$A$7:$A$1508,A109)=1,INDEX('Видео'!$B$7:$B$1508,MATCH(A109,'Видео'!$A$7:$A$1508,0)),"ID не найден"))</x:f>
        <x:v>חוץ. יום. שבת - סרטי דוקו של יוצרים צעירים מהעוטף על ה-7.10 | לברוח מגן עדן - סרטה של שני כהן</x:v>
      </x:c>
      <x:c r="C109" s="10" t="str">
        <x:f>IF(A109="","",IF(COUNTIFS('Видео'!$A$7:$A$1508,A109)=1,INDEX('Видео'!$C$7:$C$1508,MATCH(A109,'Видео'!$A$7:$A$1508,0)),"ID не найден"))</x:f>
        <x:v>7 октября и память</x:v>
      </x:c>
      <x:c r="D109" s="10" t="str">
        <x:f>IF(A109="","",IF(COUNTIFS('Видео'!$A$7:$A$1508,A109)=1,INDEX('Видео'!$M$7:$M$1508,MATCH(A109,'Видео'!$A$7:$A$1508,0)),"ID не найден"))</x:f>
        <x:v>Тема: חוץ. יום. שבת - סרטי דוקו של יוצרים צעירים מהעוטף על ה-7.10 | לברוח מגן עדן - סרטה של שני כהן. Просмотры в списке выше медианы выборки этого цикла в 3.1 раза. Взгляд молодых авторов добавляет личную перспективу к журналистским реконструкциям.</x:v>
      </x:c>
      <x:c r="E109" s="9" t="str">
        <x:f>IF(A109="","",IF(COUNTIFS('Видео'!$A$7:$A$1508,A109)=1,INDEX('Видео'!$D$7:$D$1508,MATCH(A109,'Видео'!$A$7:$A$1508,0)),"ID не найден"))</x:f>
        <x:v>Память</x:v>
      </x:c>
      <x:c r="F109" s="10" t="str">
        <x:f>IF(A109="","",IF(COUNTIFS('Видео'!$A$7:$A$1508,A109)=1,INDEX('Видео'!$F$7:$F$1508,MATCH(A109,'Видео'!$A$7:$A$1508,0)),"ID не найден"))</x:f>
        <x:v>B2–C1 (гипотеза)</x:v>
      </x:c>
      <x:c r="G109" s="14" t="n">
        <x:f>IF(A109="","",IF(COUNTIFS('Видео'!$A$7:$A$1508,A109)=1,INDEX('Видео'!$H$7:$H$1508,MATCH(A109,'Видео'!$A$7:$A$1508,0)),"ID не найден"))</x:f>
        <x:v>13702</x:v>
      </x:c>
      <x:c r="H109" s="18" t="n">
        <x:f>IF(A109="","",IF(COUNTIFS('Видео'!$A$7:$A$1508,A109)=1,INDEX('Видео'!$L$7:$L$1508,MATCH(A109,'Видео'!$A$7:$A$1508,0)),"ID не найден"))</x:f>
        <x:v>3.0952380952380953</x:v>
      </x:c>
      <x:c r="I109" s="10" t="str">
        <x:f>IF(A109="","",IF(COUNTIFS('Видео'!$A$7:$A$1508,A109)=1,INDEX('Видео'!$AI$7:$AI$1508,MATCH(A109,'Видео'!$A$7:$A$1508,0)),"ID не найден"))</x:f>
        <x:v>Нужна редактура</x:v>
      </x:c>
      <x:c r="J109" s="11" t="str">
        <x:f>IF(A109="","",IF(COUNTIFS('Видео'!$A$7:$A$1508,A109)=1,INDEX('Видео'!$U$7:$U$1508,MATCH(A109,'Видео'!$A$7:$A$1508,0)),"ID не найден"))</x:f>
        <x:v>https://www.youtube.com/watch?v=VEm1Lm85cMo</x:v>
      </x:c>
      <x:c r="K109" s="9" t="str">
        <x:v>C042</x:v>
      </x:c>
      <x:c r="L109" s="9" t="str">
        <x:v>Да</x:v>
      </x:c>
    </x:row>
    <x:row r="110" ht="60" customHeight="1">
      <x:c r="A110" s="9" t="str">
        <x:v>YncbYhkol3k</x:v>
      </x:c>
      <x:c r="B110" s="10" t="str">
        <x:f>IF(A110="","",IF(COUNTIFS('Видео'!$A$7:$A$1508,A110)=1,INDEX('Видео'!$B$7:$B$1508,MATCH(A110,'Видео'!$A$7:$A$1508,0)),"ID не найден"))</x:f>
        <x:v>חוץ. יום. שבת - סרטי דוקו של יוצרים צעירים מהעוטף על ה-7.10 | לא גיבורים - סרטו של צבי דוד</x:v>
      </x:c>
      <x:c r="C110" s="10" t="str">
        <x:f>IF(A110="","",IF(COUNTIFS('Видео'!$A$7:$A$1508,A110)=1,INDEX('Видео'!$C$7:$C$1508,MATCH(A110,'Видео'!$A$7:$A$1508,0)),"ID не найден"))</x:f>
        <x:v>7 октября и память</x:v>
      </x:c>
      <x:c r="D110" s="10" t="str">
        <x:f>IF(A110="","",IF(COUNTIFS('Видео'!$A$7:$A$1508,A110)=1,INDEX('Видео'!$M$7:$M$1508,MATCH(A110,'Видео'!$A$7:$A$1508,0)),"ID не найден"))</x:f>
        <x:v>Тема: חוץ. יום. שבת - סרטי דוקו של יוצרים צעירים מהעוטף על ה-7.10 | לא גיבורים - סרטו של צבי דוד. Взгляд молодых авторов добавляет личную перспективу к журналистским реконструкциям.</x:v>
      </x:c>
      <x:c r="E110" s="9" t="str">
        <x:f>IF(A110="","",IF(COUNTIFS('Видео'!$A$7:$A$1508,A110)=1,INDEX('Видео'!$D$7:$D$1508,MATCH(A110,'Видео'!$A$7:$A$1508,0)),"ID не найден"))</x:f>
        <x:v>Память</x:v>
      </x:c>
      <x:c r="F110" s="10" t="str">
        <x:f>IF(A110="","",IF(COUNTIFS('Видео'!$A$7:$A$1508,A110)=1,INDEX('Видео'!$F$7:$F$1508,MATCH(A110,'Видео'!$A$7:$A$1508,0)),"ID не найден"))</x:f>
        <x:v>B2–C1 (гипотеза)</x:v>
      </x:c>
      <x:c r="G110" s="14" t="n">
        <x:f>IF(A110="","",IF(COUNTIFS('Видео'!$A$7:$A$1508,A110)=1,INDEX('Видео'!$H$7:$H$1508,MATCH(A110,'Видео'!$A$7:$A$1508,0)),"ID не найден"))</x:f>
        <x:v>6135</x:v>
      </x:c>
      <x:c r="H110" s="18" t="n">
        <x:f>IF(A110="","",IF(COUNTIFS('Видео'!$A$7:$A$1508,A110)=1,INDEX('Видео'!$L$7:$L$1508,MATCH(A110,'Видео'!$A$7:$A$1508,0)),"ID не найден"))</x:f>
        <x:v>1.4523809523809523</x:v>
      </x:c>
      <x:c r="I110" s="10" t="str">
        <x:f>IF(A110="","",IF(COUNTIFS('Видео'!$A$7:$A$1508,A110)=1,INDEX('Видео'!$AI$7:$AI$1508,MATCH(A110,'Видео'!$A$7:$A$1508,0)),"ID не найден"))</x:f>
        <x:v>Нужна редактура</x:v>
      </x:c>
      <x:c r="J110" s="11" t="str">
        <x:f>IF(A110="","",IF(COUNTIFS('Видео'!$A$7:$A$1508,A110)=1,INDEX('Видео'!$U$7:$U$1508,MATCH(A110,'Видео'!$A$7:$A$1508,0)),"ID не найден"))</x:f>
        <x:v>https://www.youtube.com/watch?v=YncbYhkol3k</x:v>
      </x:c>
      <x:c r="K110" s="9" t="str">
        <x:v>C042</x:v>
      </x:c>
      <x:c r="L110" s="9" t="str">
        <x:v>Да</x:v>
      </x:c>
    </x:row>
    <x:row r="111" ht="60" customHeight="1">
      <x:c r="A111" s="9" t="str">
        <x:v>FsjPGZO57lI</x:v>
      </x:c>
      <x:c r="B111" s="10" t="str">
        <x:f>IF(A111="","",IF(COUNTIFS('Видео'!$A$7:$A$1508,A111)=1,INDEX('Видео'!$B$7:$B$1508,MATCH(A111,'Видео'!$A$7:$A$1508,0)),"ID не найден"))</x:f>
        <x:v>כאן מקשיבים: "סבא שלי חשב שאני מנכ"לית אבל הייתי זונה"</x:v>
      </x:c>
      <x:c r="C111" s="10" t="str">
        <x:f>IF(A111="","",IF(COUNTIFS('Видео'!$A$7:$A$1508,A111)=1,INDEX('Видео'!$C$7:$C$1508,MATCH(A111,'Видео'!$A$7:$A$1508,0)),"ID не найден"))</x:f>
        <x:v>Личные истории</x:v>
      </x:c>
      <x:c r="D111" s="10" t="str">
        <x:f>IF(A111="","",IF(COUNTIFS('Видео'!$A$7:$A$1508,A111)=1,INDEX('Видео'!$M$7:$M$1508,MATCH(A111,'Видео'!$A$7:$A$1508,0)),"ID не найден"))</x:f>
        <x:v>Тема: כאן מקשיבים: "סבא שלי חשב שאני מנכ"לית אבל הייתי זונה". Просмотры в списке выше медианы выборки этого цикла в 19.02 раза. Личный монолог позволяет сосредоточиться на одном голосе и эмоциональной лексике.</x:v>
      </x:c>
      <x:c r="E111" s="9" t="str">
        <x:f>IF(A111="","",IF(COUNTIFS('Видео'!$A$7:$A$1508,A111)=1,INDEX('Видео'!$D$7:$D$1508,MATCH(A111,'Видео'!$A$7:$A$1508,0)),"ID не найден"))</x:f>
        <x:v>Общество</x:v>
      </x:c>
      <x:c r="F111" s="10" t="str">
        <x:f>IF(A111="","",IF(COUNTIFS('Видео'!$A$7:$A$1508,A111)=1,INDEX('Видео'!$F$7:$F$1508,MATCH(A111,'Видео'!$A$7:$A$1508,0)),"ID не найден"))</x:f>
        <x:v>B1–B2 (гипотеза)</x:v>
      </x:c>
      <x:c r="G111" s="14" t="n">
        <x:f>IF(A111="","",IF(COUNTIFS('Видео'!$A$7:$A$1508,A111)=1,INDEX('Видео'!$H$7:$H$1508,MATCH(A111,'Видео'!$A$7:$A$1508,0)),"ID не найден"))</x:f>
        <x:v>875927</x:v>
      </x:c>
      <x:c r="H111" s="18" t="n">
        <x:f>IF(A111="","",IF(COUNTIFS('Видео'!$A$7:$A$1508,A111)=1,INDEX('Видео'!$L$7:$L$1508,MATCH(A111,'Видео'!$A$7:$A$1508,0)),"ID не найден"))</x:f>
        <x:v>19.02173913043478</x:v>
      </x:c>
      <x:c r="I111" s="10" t="str">
        <x:f>IF(A111="","",IF(COUNTIFS('Видео'!$A$7:$A$1508,A111)=1,INDEX('Видео'!$AI$7:$AI$1508,MATCH(A111,'Видео'!$A$7:$A$1508,0)),"ID не найден"))</x:f>
        <x:v>Нужна редактура</x:v>
      </x:c>
      <x:c r="J111" s="11" t="str">
        <x:f>IF(A111="","",IF(COUNTIFS('Видео'!$A$7:$A$1508,A111)=1,INDEX('Видео'!$U$7:$U$1508,MATCH(A111,'Видео'!$A$7:$A$1508,0)),"ID не найден"))</x:f>
        <x:v>https://www.youtube.com/watch?v=FsjPGZO57lI</x:v>
      </x:c>
      <x:c r="K111" s="9" t="str">
        <x:v>C046</x:v>
      </x:c>
      <x:c r="L111" s="9" t="str">
        <x:v>Да</x:v>
      </x:c>
    </x:row>
    <x:row r="112" ht="60" customHeight="1">
      <x:c r="A112" s="9" t="str">
        <x:v>na8avlra2JM</x:v>
      </x:c>
      <x:c r="B112" s="10" t="str">
        <x:f>IF(A112="","",IF(COUNTIFS('Видео'!$A$7:$A$1508,A112)=1,INDEX('Видео'!$B$7:$B$1508,MATCH(A112,'Видео'!$A$7:$A$1508,0)),"ID не найден"))</x:f>
        <x:v>כאן מקשיבים: הצלחתי לצאת מהזנות</x:v>
      </x:c>
      <x:c r="C112" s="10" t="str">
        <x:f>IF(A112="","",IF(COUNTIFS('Видео'!$A$7:$A$1508,A112)=1,INDEX('Видео'!$C$7:$C$1508,MATCH(A112,'Видео'!$A$7:$A$1508,0)),"ID не найден"))</x:f>
        <x:v>Личные истории</x:v>
      </x:c>
      <x:c r="D112" s="10" t="str">
        <x:f>IF(A112="","",IF(COUNTIFS('Видео'!$A$7:$A$1508,A112)=1,INDEX('Видео'!$M$7:$M$1508,MATCH(A112,'Видео'!$A$7:$A$1508,0)),"ID не найден"))</x:f>
        <x:v>Тема: כאן מקשיבים: הצלחתי לצאת מהזנות. Просмотры в списке выше медианы выборки этого цикла в 10.0 раза. Личный монолог позволяет сосредоточиться на одном голосе и эмоциональной лексике.</x:v>
      </x:c>
      <x:c r="E112" s="9" t="str">
        <x:f>IF(A112="","",IF(COUNTIFS('Видео'!$A$7:$A$1508,A112)=1,INDEX('Видео'!$D$7:$D$1508,MATCH(A112,'Видео'!$A$7:$A$1508,0)),"ID не найден"))</x:f>
        <x:v>Общество</x:v>
      </x:c>
      <x:c r="F112" s="10" t="str">
        <x:f>IF(A112="","",IF(COUNTIFS('Видео'!$A$7:$A$1508,A112)=1,INDEX('Видео'!$F$7:$F$1508,MATCH(A112,'Видео'!$A$7:$A$1508,0)),"ID не найден"))</x:f>
        <x:v>B1–B2 (гипотеза)</x:v>
      </x:c>
      <x:c r="G112" s="14" t="n">
        <x:f>IF(A112="","",IF(COUNTIFS('Видео'!$A$7:$A$1508,A112)=1,INDEX('Видео'!$H$7:$H$1508,MATCH(A112,'Видео'!$A$7:$A$1508,0)),"ID не найден"))</x:f>
        <x:v>460817</x:v>
      </x:c>
      <x:c r="H112" s="18" t="n">
        <x:f>IF(A112="","",IF(COUNTIFS('Видео'!$A$7:$A$1508,A112)=1,INDEX('Видео'!$L$7:$L$1508,MATCH(A112,'Видео'!$A$7:$A$1508,0)),"ID не найден"))</x:f>
        <x:v>10</x:v>
      </x:c>
      <x:c r="I112" s="10" t="str">
        <x:f>IF(A112="","",IF(COUNTIFS('Видео'!$A$7:$A$1508,A112)=1,INDEX('Видео'!$AI$7:$AI$1508,MATCH(A112,'Видео'!$A$7:$A$1508,0)),"ID не найден"))</x:f>
        <x:v>Нужна редактура</x:v>
      </x:c>
      <x:c r="J112" s="11" t="str">
        <x:f>IF(A112="","",IF(COUNTIFS('Видео'!$A$7:$A$1508,A112)=1,INDEX('Видео'!$U$7:$U$1508,MATCH(A112,'Видео'!$A$7:$A$1508,0)),"ID не найден"))</x:f>
        <x:v>https://www.youtube.com/watch?v=na8avlra2JM</x:v>
      </x:c>
      <x:c r="K112" s="9" t="str">
        <x:v>C046</x:v>
      </x:c>
      <x:c r="L112" s="9" t="str">
        <x:v>Да</x:v>
      </x:c>
    </x:row>
    <x:row r="113" ht="60" customHeight="1">
      <x:c r="A113" s="9" t="str">
        <x:v>BIFJ_rhbuYI</x:v>
      </x:c>
      <x:c r="B113" s="10" t="str">
        <x:f>IF(A113="","",IF(COUNTIFS('Видео'!$A$7:$A$1508,A113)=1,INDEX('Видео'!$B$7:$B$1508,MATCH(A113,'Видео'!$A$7:$A$1508,0)),"ID не найден"))</x:f>
        <x:v>נוסעים עירומים וחיתולים מלוכלכים: הדייל שלא מפחד מטיסות שוקולד | זום אין</x:v>
      </x:c>
      <x:c r="C113" s="10" t="str">
        <x:f>IF(A113="","",IF(COUNTIFS('Видео'!$A$7:$A$1508,A113)=1,INDEX('Видео'!$C$7:$C$1508,MATCH(A113,'Видео'!$A$7:$A$1508,0)),"ID не найден"))</x:f>
        <x:v>Профессии и работа</x:v>
      </x:c>
      <x:c r="D113" s="10" t="str">
        <x:f>IF(A113="","",IF(COUNTIFS('Видео'!$A$7:$A$1508,A113)=1,INDEX('Видео'!$M$7:$M$1508,MATCH(A113,'Видео'!$A$7:$A$1508,0)),"ID не найден"))</x:f>
        <x:v>Завершённый короткий просмотр около 7 мин. Просмотры в списке выше медианы выборки этого цикла в 3.73 раза. День в жизни специалиста связывает язык с конкретными действиями и рабочей средой.</x:v>
      </x:c>
      <x:c r="E113" s="9" t="str">
        <x:f>IF(A113="","",IF(COUNTIFS('Видео'!$A$7:$A$1508,A113)=1,INDEX('Видео'!$D$7:$D$1508,MATCH(A113,'Видео'!$A$7:$A$1508,0)),"ID не найден"))</x:f>
        <x:v>Быт</x:v>
      </x:c>
      <x:c r="F113" s="10" t="str">
        <x:f>IF(A113="","",IF(COUNTIFS('Видео'!$A$7:$A$1508,A113)=1,INDEX('Видео'!$F$7:$F$1508,MATCH(A113,'Видео'!$A$7:$A$1508,0)),"ID не найден"))</x:f>
        <x:v>B1–B2 (гипотеза)</x:v>
      </x:c>
      <x:c r="G113" s="14" t="n">
        <x:f>IF(A113="","",IF(COUNTIFS('Видео'!$A$7:$A$1508,A113)=1,INDEX('Видео'!$H$7:$H$1508,MATCH(A113,'Видео'!$A$7:$A$1508,0)),"ID не найден"))</x:f>
        <x:v>1280494</x:v>
      </x:c>
      <x:c r="H113" s="18" t="n">
        <x:f>IF(A113="","",IF(COUNTIFS('Видео'!$A$7:$A$1508,A113)=1,INDEX('Видео'!$L$7:$L$1508,MATCH(A113,'Видео'!$A$7:$A$1508,0)),"ID не найден"))</x:f>
        <x:v>3.7267080745341614</x:v>
      </x:c>
      <x:c r="I113" s="10" t="str">
        <x:f>IF(A113="","",IF(COUNTIFS('Видео'!$A$7:$A$1508,A113)=1,INDEX('Видео'!$AI$7:$AI$1508,MATCH(A113,'Видео'!$A$7:$A$1508,0)),"ID не найден"))</x:f>
        <x:v>Нужна редактура</x:v>
      </x:c>
      <x:c r="J113" s="11" t="str">
        <x:f>IF(A113="","",IF(COUNTIFS('Видео'!$A$7:$A$1508,A113)=1,INDEX('Видео'!$U$7:$U$1508,MATCH(A113,'Видео'!$A$7:$A$1508,0)),"ID не найден"))</x:f>
        <x:v>https://www.youtube.com/watch?v=BIFJ_rhbuYI</x:v>
      </x:c>
      <x:c r="K113" s="9" t="str">
        <x:v>C048</x:v>
      </x:c>
      <x:c r="L113" s="9" t="str">
        <x:v>Да</x:v>
      </x:c>
    </x:row>
    <x:row r="114" ht="60" customHeight="1">
      <x:c r="A114" s="9" t="str">
        <x:v>kkfUTcMmkts</x:v>
      </x:c>
      <x:c r="B114" s="10" t="str">
        <x:f>IF(A114="","",IF(COUNTIFS('Видео'!$A$7:$A$1508,A114)=1,INDEX('Видео'!$B$7:$B$1508,MATCH(A114,'Видео'!$A$7:$A$1508,0)),"ID не найден"))</x:f>
        <x:v>סיגריות בלאפה וגורי כלבים בשקיות: בודק המכס שרואה כמעט הכל בנתב"ג | זום אין</x:v>
      </x:c>
      <x:c r="C114" s="10" t="str">
        <x:f>IF(A114="","",IF(COUNTIFS('Видео'!$A$7:$A$1508,A114)=1,INDEX('Видео'!$C$7:$C$1508,MATCH(A114,'Видео'!$A$7:$A$1508,0)),"ID не найден"))</x:f>
        <x:v>Профессии и работа</x:v>
      </x:c>
      <x:c r="D114" s="10" t="str">
        <x:f>IF(A114="","",IF(COUNTIFS('Видео'!$A$7:$A$1508,A114)=1,INDEX('Видео'!$M$7:$M$1508,MATCH(A114,'Видео'!$A$7:$A$1508,0)),"ID не найден"))</x:f>
        <x:v>Завершённый короткий просмотр около 6 мин. Просмотры в списке выше медианы выборки этого цикла в 3.73 раза. День в жизни специалиста связывает язык с конкретными действиями и рабочей средой.</x:v>
      </x:c>
      <x:c r="E114" s="9" t="str">
        <x:f>IF(A114="","",IF(COUNTIFS('Видео'!$A$7:$A$1508,A114)=1,INDEX('Видео'!$D$7:$D$1508,MATCH(A114,'Видео'!$A$7:$A$1508,0)),"ID не найден"))</x:f>
        <x:v>Быт</x:v>
      </x:c>
      <x:c r="F114" s="10" t="str">
        <x:f>IF(A114="","",IF(COUNTIFS('Видео'!$A$7:$A$1508,A114)=1,INDEX('Видео'!$F$7:$F$1508,MATCH(A114,'Видео'!$A$7:$A$1508,0)),"ID не найден"))</x:f>
        <x:v>B1–B2 (гипотеза)</x:v>
      </x:c>
      <x:c r="G114" s="14" t="n">
        <x:f>IF(A114="","",IF(COUNTIFS('Видео'!$A$7:$A$1508,A114)=1,INDEX('Видео'!$H$7:$H$1508,MATCH(A114,'Видео'!$A$7:$A$1508,0)),"ID не найден"))</x:f>
        <x:v>1235949</x:v>
      </x:c>
      <x:c r="H114" s="18" t="n">
        <x:f>IF(A114="","",IF(COUNTIFS('Видео'!$A$7:$A$1508,A114)=1,INDEX('Видео'!$L$7:$L$1508,MATCH(A114,'Видео'!$A$7:$A$1508,0)),"ID не найден"))</x:f>
        <x:v>3.7267080745341614</x:v>
      </x:c>
      <x:c r="I114" s="10" t="str">
        <x:f>IF(A114="","",IF(COUNTIFS('Видео'!$A$7:$A$1508,A114)=1,INDEX('Видео'!$AI$7:$AI$1508,MATCH(A114,'Видео'!$A$7:$A$1508,0)),"ID не найден"))</x:f>
        <x:v>Нужна редактура</x:v>
      </x:c>
      <x:c r="J114" s="11" t="str">
        <x:f>IF(A114="","",IF(COUNTIFS('Видео'!$A$7:$A$1508,A114)=1,INDEX('Видео'!$U$7:$U$1508,MATCH(A114,'Видео'!$A$7:$A$1508,0)),"ID не найден"))</x:f>
        <x:v>https://www.youtube.com/watch?v=kkfUTcMmkts</x:v>
      </x:c>
      <x:c r="K114" s="9" t="str">
        <x:v>C048</x:v>
      </x:c>
      <x:c r="L114" s="9" t="str">
        <x:v>Да</x:v>
      </x:c>
    </x:row>
    <x:row r="115" ht="60" customHeight="1">
      <x:c r="A115" s="9" t="str">
        <x:v>Ec6VYSMuZK0</x:v>
      </x:c>
      <x:c r="B115" s="10" t="str">
        <x:f>IF(A115="","",IF(COUNTIFS('Видео'!$A$7:$A$1508,A115)=1,INDEX('Видео'!$B$7:$B$1508,MATCH(A115,'Видео'!$A$7:$A$1508,0)),"ID не найден"))</x:f>
        <x:v>איך מקררים ערים? | הכל סביבה</x:v>
      </x:c>
      <x:c r="C115" s="10" t="str">
        <x:f>IF(A115="","",IF(COUNTIFS('Видео'!$A$7:$A$1508,A115)=1,INDEX('Видео'!$C$7:$C$1508,MATCH(A115,'Видео'!$A$7:$A$1508,0)),"ID не найден"))</x:f>
        <x:v>Экология и природа</x:v>
      </x:c>
      <x:c r="D115" s="10" t="str">
        <x:f>IF(A115="","",IF(COUNTIFS('Видео'!$A$7:$A$1508,A115)=1,INDEX('Видео'!$M$7:$M$1508,MATCH(A115,'Видео'!$A$7:$A$1508,0)),"ID не найден"))</x:f>
        <x:v>Завершённый короткий просмотр около 9 мин. Просмотры в списке выше медианы выборки этого цикла в 1.73 раза. Экология вводит темы за пределами истории и политики и даёт визуально понятные объяснения.</x:v>
      </x:c>
      <x:c r="E115" s="9" t="str">
        <x:f>IF(A115="","",IF(COUNTIFS('Видео'!$A$7:$A$1508,A115)=1,INDEX('Видео'!$D$7:$D$1508,MATCH(A115,'Видео'!$A$7:$A$1508,0)),"ID не найден"))</x:f>
        <x:v>Образование</x:v>
      </x:c>
      <x:c r="F115" s="10" t="str">
        <x:f>IF(A115="","",IF(COUNTIFS('Видео'!$A$7:$A$1508,A115)=1,INDEX('Видео'!$F$7:$F$1508,MATCH(A115,'Видео'!$A$7:$A$1508,0)),"ID не найден"))</x:f>
        <x:v>B1–B2 (гипотеза)</x:v>
      </x:c>
      <x:c r="G115" s="14" t="n">
        <x:f>IF(A115="","",IF(COUNTIFS('Видео'!$A$7:$A$1508,A115)=1,INDEX('Видео'!$H$7:$H$1508,MATCH(A115,'Видео'!$A$7:$A$1508,0)),"ID не найден"))</x:f>
        <x:v>111830</x:v>
      </x:c>
      <x:c r="H115" s="18" t="n">
        <x:f>IF(A115="","",IF(COUNTIFS('Видео'!$A$7:$A$1508,A115)=1,INDEX('Видео'!$L$7:$L$1508,MATCH(A115,'Видео'!$A$7:$A$1508,0)),"ID не найден"))</x:f>
        <x:v>1.734375</x:v>
      </x:c>
      <x:c r="I115" s="10" t="str">
        <x:f>IF(A115="","",IF(COUNTIFS('Видео'!$A$7:$A$1508,A115)=1,INDEX('Видео'!$AI$7:$AI$1508,MATCH(A115,'Видео'!$A$7:$A$1508,0)),"ID не найден"))</x:f>
        <x:v>Нужна редактура</x:v>
      </x:c>
      <x:c r="J115" s="11" t="str">
        <x:f>IF(A115="","",IF(COUNTIFS('Видео'!$A$7:$A$1508,A115)=1,INDEX('Видео'!$U$7:$U$1508,MATCH(A115,'Видео'!$A$7:$A$1508,0)),"ID не найден"))</x:f>
        <x:v>https://www.youtube.com/watch?v=Ec6VYSMuZK0</x:v>
      </x:c>
      <x:c r="K115" s="9" t="str">
        <x:v>C050</x:v>
      </x:c>
      <x:c r="L115" s="9" t="str">
        <x:v>Да</x:v>
      </x:c>
    </x:row>
    <x:row r="116" ht="60" customHeight="1">
      <x:c r="A116" s="9" t="str">
        <x:v>uTJ5TN8eWBw</x:v>
      </x:c>
      <x:c r="B116" s="10" t="str">
        <x:f>IF(A116="","",IF(COUNTIFS('Видео'!$A$7:$A$1508,A116)=1,INDEX('Видео'!$B$7:$B$1508,MATCH(A116,'Видео'!$A$7:$A$1508,0)),"ID не найден"))</x:f>
        <x:v>האם פלסטיק מתכלה אכן מתכלה? | הכל סביבה</x:v>
      </x:c>
      <x:c r="C116" s="10" t="str">
        <x:f>IF(A116="","",IF(COUNTIFS('Видео'!$A$7:$A$1508,A116)=1,INDEX('Видео'!$C$7:$C$1508,MATCH(A116,'Видео'!$A$7:$A$1508,0)),"ID не найден"))</x:f>
        <x:v>Экология и природа</x:v>
      </x:c>
      <x:c r="D116" s="10" t="str">
        <x:f>IF(A116="","",IF(COUNTIFS('Видео'!$A$7:$A$1508,A116)=1,INDEX('Видео'!$M$7:$M$1508,MATCH(A116,'Видео'!$A$7:$A$1508,0)),"ID не найден"))</x:f>
        <x:v>Завершённый короткий просмотр около 8 мин. Экология вводит темы за пределами истории и политики и даёт визуально понятные объяснения.</x:v>
      </x:c>
      <x:c r="E116" s="9" t="str">
        <x:f>IF(A116="","",IF(COUNTIFS('Видео'!$A$7:$A$1508,A116)=1,INDEX('Видео'!$D$7:$D$1508,MATCH(A116,'Видео'!$A$7:$A$1508,0)),"ID не найден"))</x:f>
        <x:v>Образование</x:v>
      </x:c>
      <x:c r="F116" s="10" t="str">
        <x:f>IF(A116="","",IF(COUNTIFS('Видео'!$A$7:$A$1508,A116)=1,INDEX('Видео'!$F$7:$F$1508,MATCH(A116,'Видео'!$A$7:$A$1508,0)),"ID не найден"))</x:f>
        <x:v>B1–B2 (гипотеза)</x:v>
      </x:c>
      <x:c r="G116" s="14" t="n">
        <x:f>IF(A116="","",IF(COUNTIFS('Видео'!$A$7:$A$1508,A116)=1,INDEX('Видео'!$H$7:$H$1508,MATCH(A116,'Видео'!$A$7:$A$1508,0)),"ID не найден"))</x:f>
        <x:v>79146</x:v>
      </x:c>
      <x:c r="H116" s="18" t="n">
        <x:f>IF(A116="","",IF(COUNTIFS('Видео'!$A$7:$A$1508,A116)=1,INDEX('Видео'!$L$7:$L$1508,MATCH(A116,'Видео'!$A$7:$A$1508,0)),"ID не найден"))</x:f>
        <x:v>1.234375</x:v>
      </x:c>
      <x:c r="I116" s="10" t="str">
        <x:f>IF(A116="","",IF(COUNTIFS('Видео'!$A$7:$A$1508,A116)=1,INDEX('Видео'!$AI$7:$AI$1508,MATCH(A116,'Видео'!$A$7:$A$1508,0)),"ID не найден"))</x:f>
        <x:v>Нужна редактура</x:v>
      </x:c>
      <x:c r="J116" s="11" t="str">
        <x:f>IF(A116="","",IF(COUNTIFS('Видео'!$A$7:$A$1508,A116)=1,INDEX('Видео'!$U$7:$U$1508,MATCH(A116,'Видео'!$A$7:$A$1508,0)),"ID не найден"))</x:f>
        <x:v>https://www.youtube.com/watch?v=uTJ5TN8eWBw</x:v>
      </x:c>
      <x:c r="K116" s="9" t="str">
        <x:v>C050</x:v>
      </x:c>
      <x:c r="L116" s="9" t="str">
        <x:v>Да</x:v>
      </x:c>
    </x:row>
    <x:row r="117" ht="60" customHeight="1">
      <x:c r="A117" s="9" t="str">
        <x:v>ce1pKgHoRjQ</x:v>
      </x:c>
      <x:c r="B117" s="10" t="str">
        <x:f>IF(A117="","",IF(COUNTIFS('Видео'!$A$7:$A$1508,A117)=1,INDEX('Видео'!$B$7:$B$1508,MATCH(A117,'Видео'!$A$7:$A$1508,0)),"ID не найден"))</x:f>
        <x:v>להיות מנכ"ל של חברת הייטק בגיל 23 | דוקותיים tech</x:v>
      </x:c>
      <x:c r="C117" s="10" t="str">
        <x:f>IF(A117="","",IF(COUNTIFS('Видео'!$A$7:$A$1508,A117)=1,INDEX('Видео'!$C$7:$C$1508,MATCH(A117,'Видео'!$A$7:$A$1508,0)),"ID не найден"))</x:f>
        <x:v>Технологии и люди</x:v>
      </x:c>
      <x:c r="D117" s="10" t="str">
        <x:f>IF(A117="","",IF(COUNTIFS('Видео'!$A$7:$A$1508,A117)=1,INDEX('Видео'!$M$7:$M$1508,MATCH(A117,'Видео'!$A$7:$A$1508,0)),"ID не найден"))</x:f>
        <x:v>Завершённый короткий просмотр около 7 мин. Просмотры в списке выше медианы выборки этого цикла в 2.61 раза. Человеческая история в технологической среде соединяет профессиональный интерес и короткий формат.</x:v>
      </x:c>
      <x:c r="E117" s="9" t="str">
        <x:f>IF(A117="","",IF(COUNTIFS('Видео'!$A$7:$A$1508,A117)=1,INDEX('Видео'!$D$7:$D$1508,MATCH(A117,'Видео'!$A$7:$A$1508,0)),"ID не найден"))</x:f>
        <x:v>Быт</x:v>
      </x:c>
      <x:c r="F117" s="10" t="str">
        <x:f>IF(A117="","",IF(COUNTIFS('Видео'!$A$7:$A$1508,A117)=1,INDEX('Видео'!$F$7:$F$1508,MATCH(A117,'Видео'!$A$7:$A$1508,0)),"ID не найден"))</x:f>
        <x:v>B1–B2 (гипотеза)</x:v>
      </x:c>
      <x:c r="G117" s="14" t="n">
        <x:f>IF(A117="","",IF(COUNTIFS('Видео'!$A$7:$A$1508,A117)=1,INDEX('Видео'!$H$7:$H$1508,MATCH(A117,'Видео'!$A$7:$A$1508,0)),"ID не найден"))</x:f>
        <x:v>133915</x:v>
      </x:c>
      <x:c r="H117" s="18" t="n">
        <x:f>IF(A117="","",IF(COUNTIFS('Видео'!$A$7:$A$1508,A117)=1,INDEX('Видео'!$L$7:$L$1508,MATCH(A117,'Видео'!$A$7:$A$1508,0)),"ID не найден"))</x:f>
        <x:v>2.607843137254902</x:v>
      </x:c>
      <x:c r="I117" s="10" t="str">
        <x:f>IF(A117="","",IF(COUNTIFS('Видео'!$A$7:$A$1508,A117)=1,INDEX('Видео'!$AI$7:$AI$1508,MATCH(A117,'Видео'!$A$7:$A$1508,0)),"ID не найден"))</x:f>
        <x:v>Нужна редактура</x:v>
      </x:c>
      <x:c r="J117" s="11" t="str">
        <x:f>IF(A117="","",IF(COUNTIFS('Видео'!$A$7:$A$1508,A117)=1,INDEX('Видео'!$U$7:$U$1508,MATCH(A117,'Видео'!$A$7:$A$1508,0)),"ID не найден"))</x:f>
        <x:v>https://www.youtube.com/watch?v=ce1pKgHoRjQ</x:v>
      </x:c>
      <x:c r="K117" s="9" t="str">
        <x:v>C051</x:v>
      </x:c>
      <x:c r="L117" s="9" t="str">
        <x:v>Да</x:v>
      </x:c>
    </x:row>
    <x:row r="118" ht="60" customHeight="1">
      <x:c r="A118" s="9" t="str">
        <x:v>LSFcfppjsus</x:v>
      </x:c>
      <x:c r="B118" s="10" t="str">
        <x:f>IF(A118="","",IF(COUNTIFS('Видео'!$A$7:$A$1508,A118)=1,INDEX('Видео'!$B$7:$B$1508,MATCH(A118,'Видео'!$A$7:$A$1508,0)),"ID не найден"))</x:f>
        <x:v>"לפעמים אני ישן בצהריים": טפיי הגיע מיפן כדי לעבוד בהייטק הישראלי | דוקותיים tech</x:v>
      </x:c>
      <x:c r="C118" s="10" t="str">
        <x:f>IF(A118="","",IF(COUNTIFS('Видео'!$A$7:$A$1508,A118)=1,INDEX('Видео'!$C$7:$C$1508,MATCH(A118,'Видео'!$A$7:$A$1508,0)),"ID не найден"))</x:f>
        <x:v>Технологии и люди</x:v>
      </x:c>
      <x:c r="D118" s="10" t="str">
        <x:f>IF(A118="","",IF(COUNTIFS('Видео'!$A$7:$A$1508,A118)=1,INDEX('Видео'!$M$7:$M$1508,MATCH(A118,'Видео'!$A$7:$A$1508,0)),"ID не найден"))</x:f>
        <x:v>Завершённый короткий просмотр около 6 мин. Просмотры в списке выше медианы выборки этого цикла в 2.06 раза. Человеческая история в технологической среде соединяет профессиональный интерес и короткий формат.</x:v>
      </x:c>
      <x:c r="E118" s="9" t="str">
        <x:f>IF(A118="","",IF(COUNTIFS('Видео'!$A$7:$A$1508,A118)=1,INDEX('Видео'!$D$7:$D$1508,MATCH(A118,'Видео'!$A$7:$A$1508,0)),"ID не найден"))</x:f>
        <x:v>Быт</x:v>
      </x:c>
      <x:c r="F118" s="10" t="str">
        <x:f>IF(A118="","",IF(COUNTIFS('Видео'!$A$7:$A$1508,A118)=1,INDEX('Видео'!$F$7:$F$1508,MATCH(A118,'Видео'!$A$7:$A$1508,0)),"ID не найден"))</x:f>
        <x:v>B1–B2 (гипотеза)</x:v>
      </x:c>
      <x:c r="G118" s="14" t="n">
        <x:f>IF(A118="","",IF(COUNTIFS('Видео'!$A$7:$A$1508,A118)=1,INDEX('Видео'!$H$7:$H$1508,MATCH(A118,'Видео'!$A$7:$A$1508,0)),"ID не найден"))</x:f>
        <x:v>105895</x:v>
      </x:c>
      <x:c r="H118" s="18" t="n">
        <x:f>IF(A118="","",IF(COUNTIFS('Видео'!$A$7:$A$1508,A118)=1,INDEX('Видео'!$L$7:$L$1508,MATCH(A118,'Видео'!$A$7:$A$1508,0)),"ID не найден"))</x:f>
        <x:v>2.0588235294117645</x:v>
      </x:c>
      <x:c r="I118" s="10" t="str">
        <x:f>IF(A118="","",IF(COUNTIFS('Видео'!$A$7:$A$1508,A118)=1,INDEX('Видео'!$AI$7:$AI$1508,MATCH(A118,'Видео'!$A$7:$A$1508,0)),"ID не найден"))</x:f>
        <x:v>Нужна редактура</x:v>
      </x:c>
      <x:c r="J118" s="11" t="str">
        <x:f>IF(A118="","",IF(COUNTIFS('Видео'!$A$7:$A$1508,A118)=1,INDEX('Видео'!$U$7:$U$1508,MATCH(A118,'Видео'!$A$7:$A$1508,0)),"ID не найден"))</x:f>
        <x:v>https://www.youtube.com/watch?v=LSFcfppjsus</x:v>
      </x:c>
      <x:c r="K118" s="9" t="str">
        <x:v>C051</x:v>
      </x:c>
      <x:c r="L118" s="9" t="str">
        <x:v>Да</x:v>
      </x:c>
    </x:row>
    <x:row r="119" ht="60" customHeight="1">
      <x:c r="A119" s="9" t="str">
        <x:v>aBukORxY7Ng</x:v>
      </x:c>
      <x:c r="B119" s="10" t="str">
        <x:f>IF(A119="","",IF(COUNTIFS('Видео'!$A$7:$A$1508,A119)=1,INDEX('Видео'!$B$7:$B$1508,MATCH(A119,'Видео'!$A$7:$A$1508,0)),"ID не найден"))</x:f>
        <x:v>"ההורים שלי, אחי הקטן והכלב נרצחו בבית" | העדות של הדר זק מקיבוץ כיסופים</x:v>
      </x:c>
      <x:c r="C119" s="10" t="str">
        <x:f>IF(A119="","",IF(COUNTIFS('Видео'!$A$7:$A$1508,A119)=1,INDEX('Видео'!$C$7:$C$1508,MATCH(A119,'Видео'!$A$7:$A$1508,0)),"ID не найден"))</x:f>
        <x:v>7 октября и память</x:v>
      </x:c>
      <x:c r="D119" s="10" t="str">
        <x:f>IF(A119="","",IF(COUNTIFS('Видео'!$A$7:$A$1508,A119)=1,INDEX('Видео'!$M$7:$M$1508,MATCH(A119,'Видео'!$A$7:$A$1508,0)),"ID не найден"))</x:f>
        <x:v>Тема: "ההורים שלי, אחי הקטן והכלב נרצחו בבית" | העדות של הדר זק מקיבוץ כיסופים. Короткие истории музейного проекта дополняют длинные фильмы и позволяют выбирать посильный объём.</x:v>
      </x:c>
      <x:c r="E119" s="9" t="str">
        <x:f>IF(A119="","",IF(COUNTIFS('Видео'!$A$7:$A$1508,A119)=1,INDEX('Видео'!$D$7:$D$1508,MATCH(A119,'Видео'!$A$7:$A$1508,0)),"ID не найден"))</x:f>
        <x:v>Память</x:v>
      </x:c>
      <x:c r="F119" s="10" t="str">
        <x:f>IF(A119="","",IF(COUNTIFS('Видео'!$A$7:$A$1508,A119)=1,INDEX('Видео'!$F$7:$F$1508,MATCH(A119,'Видео'!$A$7:$A$1508,0)),"ID не найден"))</x:f>
        <x:v>B2–C1 (гипотеза)</x:v>
      </x:c>
      <x:c r="G119" s="14" t="n">
        <x:f>IF(A119="","",IF(COUNTIFS('Видео'!$A$7:$A$1508,A119)=1,INDEX('Видео'!$H$7:$H$1508,MATCH(A119,'Видео'!$A$7:$A$1508,0)),"ID не найден"))</x:f>
        <x:v>21508</x:v>
      </x:c>
      <x:c r="H119" s="18" t="str">
        <x:f>IF(A119="","",IF(COUNTIFS('Видео'!$A$7:$A$1508,A119)=1,INDEX('Видео'!$L$7:$L$1508,MATCH(A119,'Видео'!$A$7:$A$1508,0)),"ID не найден"))</x:f>
      </x:c>
      <x:c r="I119" s="10" t="str">
        <x:f>IF(A119="","",IF(COUNTIFS('Видео'!$A$7:$A$1508,A119)=1,INDEX('Видео'!$AI$7:$AI$1508,MATCH(A119,'Видео'!$A$7:$A$1508,0)),"ID не найден"))</x:f>
        <x:v>Нужна редактура</x:v>
      </x:c>
      <x:c r="J119" s="11" t="str">
        <x:f>IF(A119="","",IF(COUNTIFS('Видео'!$A$7:$A$1508,A119)=1,INDEX('Видео'!$U$7:$U$1508,MATCH(A119,'Видео'!$A$7:$A$1508,0)),"ID не найден"))</x:f>
        <x:v>https://www.youtube.com/watch?v=aBukORxY7Ng</x:v>
      </x:c>
      <x:c r="K119" s="9" t="str">
        <x:v>C052</x:v>
      </x:c>
      <x:c r="L119" s="9" t="str">
        <x:v>Да</x:v>
      </x:c>
    </x:row>
    <x:row r="120" ht="60" customHeight="1">
      <x:c r="A120" s="9" t="str">
        <x:v>g4DgPmWIPZQ</x:v>
      </x:c>
      <x:c r="B120" s="10" t="str">
        <x:f>IF(A120="","",IF(COUNTIFS('Видео'!$A$7:$A$1508,A120)=1,INDEX('Видео'!$B$7:$B$1508,MATCH(A120,'Видео'!$A$7:$A$1508,0)),"ID не найден"))</x:f>
        <x:v>אלמנתו של יוסי שרעבי: "אם יוסי היה יוצא לגלוש בשבת בבוקר, אולי הוא היה חי"</x:v>
      </x:c>
      <x:c r="C120" s="10" t="str">
        <x:f>IF(A120="","",IF(COUNTIFS('Видео'!$A$7:$A$1508,A120)=1,INDEX('Видео'!$C$7:$C$1508,MATCH(A120,'Видео'!$A$7:$A$1508,0)),"ID не найден"))</x:f>
        <x:v>7 октября и память</x:v>
      </x:c>
      <x:c r="D120" s="10" t="str">
        <x:f>IF(A120="","",IF(COUNTIFS('Видео'!$A$7:$A$1508,A120)=1,INDEX('Видео'!$M$7:$M$1508,MATCH(A120,'Видео'!$A$7:$A$1508,0)),"ID не найден"))</x:f>
        <x:v>Тема: אלמנתו של יוסי שרעבי: "אם יוסי היה יוצא לגלוש בשבת בבוקר, אולי הוא היה חי". Короткие истории музейного проекта дополняют длинные фильмы и позволяют выбирать посильный объём.</x:v>
      </x:c>
      <x:c r="E120" s="9" t="str">
        <x:f>IF(A120="","",IF(COUNTIFS('Видео'!$A$7:$A$1508,A120)=1,INDEX('Видео'!$D$7:$D$1508,MATCH(A120,'Видео'!$A$7:$A$1508,0)),"ID не найден"))</x:f>
        <x:v>Память</x:v>
      </x:c>
      <x:c r="F120" s="10" t="str">
        <x:f>IF(A120="","",IF(COUNTIFS('Видео'!$A$7:$A$1508,A120)=1,INDEX('Видео'!$F$7:$F$1508,MATCH(A120,'Видео'!$A$7:$A$1508,0)),"ID не найден"))</x:f>
        <x:v>B2–C1 (гипотеза)</x:v>
      </x:c>
      <x:c r="G120" s="14" t="n">
        <x:f>IF(A120="","",IF(COUNTIFS('Видео'!$A$7:$A$1508,A120)=1,INDEX('Видео'!$H$7:$H$1508,MATCH(A120,'Видео'!$A$7:$A$1508,0)),"ID не найден"))</x:f>
        <x:v>15188</x:v>
      </x:c>
      <x:c r="H120" s="18" t="str">
        <x:f>IF(A120="","",IF(COUNTIFS('Видео'!$A$7:$A$1508,A120)=1,INDEX('Видео'!$L$7:$L$1508,MATCH(A120,'Видео'!$A$7:$A$1508,0)),"ID не найден"))</x:f>
      </x:c>
      <x:c r="I120" s="10" t="str">
        <x:f>IF(A120="","",IF(COUNTIFS('Видео'!$A$7:$A$1508,A120)=1,INDEX('Видео'!$AI$7:$AI$1508,MATCH(A120,'Видео'!$A$7:$A$1508,0)),"ID не найден"))</x:f>
        <x:v>Нужна редактура</x:v>
      </x:c>
      <x:c r="J120" s="11" t="str">
        <x:f>IF(A120="","",IF(COUNTIFS('Видео'!$A$7:$A$1508,A120)=1,INDEX('Видео'!$U$7:$U$1508,MATCH(A120,'Видео'!$A$7:$A$1508,0)),"ID не найден"))</x:f>
        <x:v>https://www.youtube.com/watch?v=g4DgPmWIPZQ</x:v>
      </x:c>
      <x:c r="K120" s="9" t="str">
        <x:v>C052</x:v>
      </x:c>
      <x:c r="L120" s="9" t="str">
        <x:v>Да</x:v>
      </x:c>
    </x:row>
    <x:row r="121" ht="60" customHeight="1">
      <x:c r="A121" s="9" t="str">
        <x:v>JJjpAb4mbPc</x:v>
      </x:c>
      <x:c r="B121" s="10" t="str">
        <x:f>IF(A121="","",IF(COUNTIFS('Видео'!$A$7:$A$1508,A121)=1,INDEX('Видео'!$B$7:$B$1508,MATCH(A121,'Видео'!$A$7:$A$1508,0)),"ID не найден"))</x:f>
        <x:v>שקשוקה | פרק 1 - שקשוקה נעלמת</x:v>
      </x:c>
      <x:c r="C121" s="10" t="str">
        <x:f>IF(A121="","",IF(COUNTIFS('Видео'!$A$7:$A$1508,A121)=1,INDEX('Видео'!$C$7:$C$1508,MATCH(A121,'Видео'!$A$7:$A$1508,0)),"ID не найден"))</x:f>
        <x:v>Семейные сериалы</x:v>
      </x:c>
      <x:c r="D121" s="10" t="str">
        <x:f>IF(A121="","",IF(COUNTIFS('Видео'!$A$7:$A$1508,A121)=1,INDEX('Видео'!$M$7:$M$1508,MATCH(A121,'Видео'!$A$7:$A$1508,0)),"ID не найден"))</x:f>
        <x:v>Эпизод 1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E121" s="9" t="str">
        <x:f>IF(A121="","",IF(COUNTIFS('Видео'!$A$7:$A$1508,A121)=1,INDEX('Видео'!$D$7:$D$1508,MATCH(A121,'Видео'!$A$7:$A$1508,0)),"ID не найден"))</x:f>
        <x:v>Сериал</x:v>
      </x:c>
      <x:c r="F121" s="10" t="str">
        <x:f>IF(A121="","",IF(COUNTIFS('Видео'!$A$7:$A$1508,A121)=1,INDEX('Видео'!$F$7:$F$1508,MATCH(A121,'Видео'!$A$7:$A$1508,0)),"ID не найден"))</x:f>
        <x:v>A2–B1 (гипотеза)</x:v>
      </x:c>
      <x:c r="G121" s="14" t="n">
        <x:f>IF(A121="","",IF(COUNTIFS('Видео'!$A$7:$A$1508,A121)=1,INDEX('Видео'!$H$7:$H$1508,MATCH(A121,'Видео'!$A$7:$A$1508,0)),"ID не найден"))</x:f>
        <x:v>4898434</x:v>
      </x:c>
      <x:c r="H121" s="18" t="n">
        <x:f>IF(A121="","",IF(COUNTIFS('Видео'!$A$7:$A$1508,A121)=1,INDEX('Видео'!$L$7:$L$1508,MATCH(A121,'Видео'!$A$7:$A$1508,0)),"ID не найден"))</x:f>
        <x:v>1.352112676056338</x:v>
      </x:c>
      <x:c r="I121" s="10" t="str">
        <x:f>IF(A121="","",IF(COUNTIFS('Видео'!$A$7:$A$1508,A121)=1,INDEX('Видео'!$AI$7:$AI$1508,MATCH(A121,'Видео'!$A$7:$A$1508,0)),"ID не найден"))</x:f>
        <x:v>Нужна редактура</x:v>
      </x:c>
      <x:c r="J121" s="11" t="str">
        <x:f>IF(A121="","",IF(COUNTIFS('Видео'!$A$7:$A$1508,A121)=1,INDEX('Видео'!$U$7:$U$1508,MATCH(A121,'Видео'!$A$7:$A$1508,0)),"ID не найден"))</x:f>
        <x:v>https://www.youtube.com/watch?v=JJjpAb4mbPc</x:v>
      </x:c>
      <x:c r="K121" s="9" t="str">
        <x:v>C054</x:v>
      </x:c>
      <x:c r="L121" s="9" t="str">
        <x:v>Нет</x:v>
      </x:c>
    </x:row>
    <x:row r="122" ht="60" customHeight="1">
      <x:c r="A122" s="9" t="str">
        <x:v>VgygVPM_WC0</x:v>
      </x:c>
      <x:c r="B122" s="10" t="str">
        <x:f>IF(A122="","",IF(COUNTIFS('Видео'!$A$7:$A$1508,A122)=1,INDEX('Видео'!$B$7:$B$1508,MATCH(A122,'Видео'!$A$7:$A$1508,0)),"ID не найден"))</x:f>
        <x:v>שקשוקה | פרק 2 - הילדה החדשה</x:v>
      </x:c>
      <x:c r="C122" s="10" t="str">
        <x:f>IF(A122="","",IF(COUNTIFS('Видео'!$A$7:$A$1508,A122)=1,INDEX('Видео'!$C$7:$C$1508,MATCH(A122,'Видео'!$A$7:$A$1508,0)),"ID не найден"))</x:f>
        <x:v>Семейные сериалы</x:v>
      </x:c>
      <x:c r="D122" s="10" t="str">
        <x:f>IF(A122="","",IF(COUNTIFS('Видео'!$A$7:$A$1508,A122)=1,INDEX('Видео'!$M$7:$M$1508,MATCH(A122,'Видео'!$A$7:$A$1508,0)),"ID не найден"))</x:f>
        <x:v>Эпизод 2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E122" s="9" t="str">
        <x:f>IF(A122="","",IF(COUNTIFS('Видео'!$A$7:$A$1508,A122)=1,INDEX('Видео'!$D$7:$D$1508,MATCH(A122,'Видео'!$A$7:$A$1508,0)),"ID не найден"))</x:f>
        <x:v>Сериал</x:v>
      </x:c>
      <x:c r="F122" s="10" t="str">
        <x:f>IF(A122="","",IF(COUNTIFS('Видео'!$A$7:$A$1508,A122)=1,INDEX('Видео'!$F$7:$F$1508,MATCH(A122,'Видео'!$A$7:$A$1508,0)),"ID не найден"))</x:f>
        <x:v>A2–B1 (гипотеза)</x:v>
      </x:c>
      <x:c r="G122" s="14" t="n">
        <x:f>IF(A122="","",IF(COUNTIFS('Видео'!$A$7:$A$1508,A122)=1,INDEX('Видео'!$H$7:$H$1508,MATCH(A122,'Видео'!$A$7:$A$1508,0)),"ID не найден"))</x:f>
        <x:v>4751358</x:v>
      </x:c>
      <x:c r="H122" s="18" t="n">
        <x:f>IF(A122="","",IF(COUNTIFS('Видео'!$A$7:$A$1508,A122)=1,INDEX('Видео'!$L$7:$L$1508,MATCH(A122,'Видео'!$A$7:$A$1508,0)),"ID не найден"))</x:f>
        <x:v>1.323943661971831</x:v>
      </x:c>
      <x:c r="I122" s="10" t="str">
        <x:f>IF(A122="","",IF(COUNTIFS('Видео'!$A$7:$A$1508,A122)=1,INDEX('Видео'!$AI$7:$AI$1508,MATCH(A122,'Видео'!$A$7:$A$1508,0)),"ID не найден"))</x:f>
        <x:v>Нужна редактура</x:v>
      </x:c>
      <x:c r="J122" s="11" t="str">
        <x:f>IF(A122="","",IF(COUNTIFS('Видео'!$A$7:$A$1508,A122)=1,INDEX('Видео'!$U$7:$U$1508,MATCH(A122,'Видео'!$A$7:$A$1508,0)),"ID не найден"))</x:f>
        <x:v>https://www.youtube.com/watch?v=VgygVPM_WC0</x:v>
      </x:c>
      <x:c r="K122" s="9" t="str">
        <x:v>C054</x:v>
      </x:c>
      <x:c r="L122" s="9" t="str">
        <x:v>Нет</x:v>
      </x:c>
    </x:row>
    <x:row r="123" ht="60" customHeight="1">
      <x:c r="A123" s="9" t="str">
        <x:v>8_mKwzPyHTE</x:v>
      </x:c>
      <x:c r="B123" s="10" t="str">
        <x:f>IF(A123="","",IF(COUNTIFS('Видео'!$A$7:$A$1508,A123)=1,INDEX('Видео'!$B$7:$B$1508,MATCH(A123,'Видео'!$A$7:$A$1508,0)),"ID не найден"))</x:f>
        <x:v>ילדי בית העץ עונה 3 | פרק 20 - פעם  | שידורי בכורה ביוטיוב 🔥</x:v>
      </x:c>
      <x:c r="C123" s="10" t="str">
        <x:f>IF(A123="","",IF(COUNTIFS('Видео'!$A$7:$A$1508,A123)=1,INDEX('Видео'!$C$7:$C$1508,MATCH(A123,'Видео'!$A$7:$A$1508,0)),"ID не найден"))</x:f>
        <x:v>Семейные сериалы</x:v>
      </x:c>
      <x:c r="D123" s="10" t="str">
        <x:f>IF(A123="","",IF(COUNTIFS('Видео'!$A$7:$A$1508,A123)=1,INDEX('Видео'!$M$7:$M$1508,MATCH(A123,'Видео'!$A$7:$A$1508,0)),"ID не найден"))</x:f>
        <x:v>Эпизод 20 в знакомой сюжетной ветке. Детская группа и общие приключения дают тему дружбы и взаимодействия.</x:v>
      </x:c>
      <x:c r="E123" s="9" t="str">
        <x:f>IF(A123="","",IF(COUNTIFS('Видео'!$A$7:$A$1508,A123)=1,INDEX('Видео'!$D$7:$D$1508,MATCH(A123,'Видео'!$A$7:$A$1508,0)),"ID не найден"))</x:f>
        <x:v>Сериал</x:v>
      </x:c>
      <x:c r="F123" s="10" t="str">
        <x:f>IF(A123="","",IF(COUNTIFS('Видео'!$A$7:$A$1508,A123)=1,INDEX('Видео'!$F$7:$F$1508,MATCH(A123,'Видео'!$A$7:$A$1508,0)),"ID не найден"))</x:f>
        <x:v>A2–B1 (гипотеза)</x:v>
      </x:c>
      <x:c r="G123" s="14" t="n">
        <x:f>IF(A123="","",IF(COUNTIFS('Видео'!$A$7:$A$1508,A123)=1,INDEX('Видео'!$H$7:$H$1508,MATCH(A123,'Видео'!$A$7:$A$1508,0)),"ID не найден"))</x:f>
        <x:v>1641567</x:v>
      </x:c>
      <x:c r="H123" s="18" t="n">
        <x:f>IF(A123="","",IF(COUNTIFS('Видео'!$A$7:$A$1508,A123)=1,INDEX('Видео'!$L$7:$L$1508,MATCH(A123,'Видео'!$A$7:$A$1508,0)),"ID не найден"))</x:f>
        <x:v>1</x:v>
      </x:c>
      <x:c r="I123" s="10" t="str">
        <x:f>IF(A123="","",IF(COUNTIFS('Видео'!$A$7:$A$1508,A123)=1,INDEX('Видео'!$AI$7:$AI$1508,MATCH(A123,'Видео'!$A$7:$A$1508,0)),"ID не найден"))</x:f>
        <x:v>Нужна редактура</x:v>
      </x:c>
      <x:c r="J123" s="11" t="str">
        <x:f>IF(A123="","",IF(COUNTIFS('Видео'!$A$7:$A$1508,A123)=1,INDEX('Видео'!$U$7:$U$1508,MATCH(A123,'Видео'!$A$7:$A$1508,0)),"ID не найден"))</x:f>
        <x:v>https://www.youtube.com/watch?v=8_mKwzPyHTE</x:v>
      </x:c>
      <x:c r="K123" s="9" t="str">
        <x:v>C055</x:v>
      </x:c>
      <x:c r="L123" s="9" t="str">
        <x:v>Нет</x:v>
      </x:c>
    </x:row>
    <x:row r="124" ht="60" customHeight="1">
      <x:c r="A124" s="9" t="str">
        <x:v>D6UBPh3809M</x:v>
      </x:c>
      <x:c r="B124" s="10" t="str">
        <x:f>IF(A124="","",IF(COUNTIFS('Видео'!$A$7:$A$1508,A124)=1,INDEX('Видео'!$B$7:$B$1508,MATCH(A124,'Видео'!$A$7:$A$1508,0)),"ID не найден"))</x:f>
        <x:v>ילדי בית העץ עונה 3 | פרק 21 - להיות יצירתית | שידורי בכורה ביוטיוב 🔥</x:v>
      </x:c>
      <x:c r="C124" s="10" t="str">
        <x:f>IF(A124="","",IF(COUNTIFS('Видео'!$A$7:$A$1508,A124)=1,INDEX('Видео'!$C$7:$C$1508,MATCH(A124,'Видео'!$A$7:$A$1508,0)),"ID не найден"))</x:f>
        <x:v>Семейные сериалы</x:v>
      </x:c>
      <x:c r="D124" s="10" t="str">
        <x:f>IF(A124="","",IF(COUNTIFS('Видео'!$A$7:$A$1508,A124)=1,INDEX('Видео'!$M$7:$M$1508,MATCH(A124,'Видео'!$A$7:$A$1508,0)),"ID не найден"))</x:f>
        <x:v>Эпизод 21 в знакомой сюжетной ветке. Детская группа и общие приключения дают тему дружбы и взаимодействия.</x:v>
      </x:c>
      <x:c r="E124" s="9" t="str">
        <x:f>IF(A124="","",IF(COUNTIFS('Видео'!$A$7:$A$1508,A124)=1,INDEX('Видео'!$D$7:$D$1508,MATCH(A124,'Видео'!$A$7:$A$1508,0)),"ID не найден"))</x:f>
        <x:v>Сериал</x:v>
      </x:c>
      <x:c r="F124" s="10" t="str">
        <x:f>IF(A124="","",IF(COUNTIFS('Видео'!$A$7:$A$1508,A124)=1,INDEX('Видео'!$F$7:$F$1508,MATCH(A124,'Видео'!$A$7:$A$1508,0)),"ID не найден"))</x:f>
        <x:v>A2–B1 (гипотеза)</x:v>
      </x:c>
      <x:c r="G124" s="14" t="n">
        <x:f>IF(A124="","",IF(COUNTIFS('Видео'!$A$7:$A$1508,A124)=1,INDEX('Видео'!$H$7:$H$1508,MATCH(A124,'Видео'!$A$7:$A$1508,0)),"ID не найден"))</x:f>
        <x:v>1275988</x:v>
      </x:c>
      <x:c r="H124" s="18" t="n">
        <x:f>IF(A124="","",IF(COUNTIFS('Видео'!$A$7:$A$1508,A124)=1,INDEX('Видео'!$L$7:$L$1508,MATCH(A124,'Видео'!$A$7:$A$1508,0)),"ID не найден"))</x:f>
        <x:v>0.75</x:v>
      </x:c>
      <x:c r="I124" s="10" t="str">
        <x:f>IF(A124="","",IF(COUNTIFS('Видео'!$A$7:$A$1508,A124)=1,INDEX('Видео'!$AI$7:$AI$1508,MATCH(A124,'Видео'!$A$7:$A$1508,0)),"ID не найден"))</x:f>
        <x:v>Нужна редактура</x:v>
      </x:c>
      <x:c r="J124" s="11" t="str">
        <x:f>IF(A124="","",IF(COUNTIFS('Видео'!$A$7:$A$1508,A124)=1,INDEX('Видео'!$U$7:$U$1508,MATCH(A124,'Видео'!$A$7:$A$1508,0)),"ID не найден"))</x:f>
        <x:v>https://www.youtube.com/watch?v=D6UBPh3809M</x:v>
      </x:c>
      <x:c r="K124" s="9" t="str">
        <x:v>C055</x:v>
      </x:c>
      <x:c r="L124" s="9" t="str">
        <x:v>Нет</x:v>
      </x:c>
    </x:row>
    <x:row r="125" ht="60" customHeight="1">
      <x:c r="A125" s="9" t="str">
        <x:v>scbX6eT1eGA</x:v>
      </x:c>
      <x:c r="B125" s="10" t="str">
        <x:f>IF(A125="","",IF(COUNTIFS('Видео'!$A$7:$A$1508,A125)=1,INDEX('Видео'!$B$7:$B$1508,MATCH(A125,'Видео'!$A$7:$A$1508,0)),"ID не найден"))</x:f>
        <x:v>סליחה על השאלה ילדים 3 | ילדים של מפורסמים</x:v>
      </x:c>
      <x:c r="C125" s="10" t="str">
        <x:f>IF(A125="","",IF(COUNTIFS('Видео'!$A$7:$A$1508,A125)=1,INDEX('Видео'!$C$7:$C$1508,MATCH(A125,'Видео'!$A$7:$A$1508,0)),"ID не найден"))</x:f>
        <x:v>Детский взгляд на общество</x:v>
      </x:c>
      <x:c r="D125" s="10" t="str">
        <x:f>IF(A125="","",IF(COUNTIFS('Видео'!$A$7:$A$1508,A125)=1,INDEX('Видео'!$M$7:$M$1508,MATCH(A125,'Видео'!$A$7:$A$1508,0)),"ID не найден"))</x:f>
        <x:v>Тема: סליחה על השאלה ילדים 3 | ילדים של מפורסמים. Просмотры в списке выше медианы выборки этого цикла в 3.41 раза. Ответы детей дают отдельную перспективу на социальные темы и школьную жизнь.</x:v>
      </x:c>
      <x:c r="E125" s="9" t="str">
        <x:f>IF(A125="","",IF(COUNTIFS('Видео'!$A$7:$A$1508,A125)=1,INDEX('Видео'!$D$7:$D$1508,MATCH(A125,'Видео'!$A$7:$A$1508,0)),"ID не найден"))</x:f>
        <x:v>Общество</x:v>
      </x:c>
      <x:c r="F125" s="10" t="str">
        <x:f>IF(A125="","",IF(COUNTIFS('Видео'!$A$7:$A$1508,A125)=1,INDEX('Видео'!$F$7:$F$1508,MATCH(A125,'Видео'!$A$7:$A$1508,0)),"ID не найден"))</x:f>
        <x:v>B1–B2 (гипотеза)</x:v>
      </x:c>
      <x:c r="G125" s="14" t="n">
        <x:f>IF(A125="","",IF(COUNTIFS('Видео'!$A$7:$A$1508,A125)=1,INDEX('Видео'!$H$7:$H$1508,MATCH(A125,'Видео'!$A$7:$A$1508,0)),"ID не найден"))</x:f>
        <x:v>753311</x:v>
      </x:c>
      <x:c r="H125" s="18" t="n">
        <x:f>IF(A125="","",IF(COUNTIFS('Видео'!$A$7:$A$1508,A125)=1,INDEX('Видео'!$L$7:$L$1508,MATCH(A125,'Видео'!$A$7:$A$1508,0)),"ID не найден"))</x:f>
        <x:v>3.4149659863945576</x:v>
      </x:c>
      <x:c r="I125" s="10" t="str">
        <x:f>IF(A125="","",IF(COUNTIFS('Видео'!$A$7:$A$1508,A125)=1,INDEX('Видео'!$AI$7:$AI$1508,MATCH(A125,'Видео'!$A$7:$A$1508,0)),"ID не найден"))</x:f>
        <x:v>Нужна редактура</x:v>
      </x:c>
      <x:c r="J125" s="11" t="str">
        <x:f>IF(A125="","",IF(COUNTIFS('Видео'!$A$7:$A$1508,A125)=1,INDEX('Видео'!$U$7:$U$1508,MATCH(A125,'Видео'!$A$7:$A$1508,0)),"ID не найден"))</x:f>
        <x:v>https://www.youtube.com/watch?v=scbX6eT1eGA</x:v>
      </x:c>
      <x:c r="K125" s="9" t="str">
        <x:v>C057</x:v>
      </x:c>
      <x:c r="L125" s="9" t="str">
        <x:v>Да</x:v>
      </x:c>
    </x:row>
    <x:row r="126" ht="60" customHeight="1">
      <x:c r="A126" s="9" t="str">
        <x:v>SekGZ1M1T3k</x:v>
      </x:c>
      <x:c r="B126" s="10" t="str">
        <x:f>IF(A126="","",IF(COUNTIFS('Видео'!$A$7:$A$1508,A126)=1,INDEX('Видео'!$B$7:$B$1508,MATCH(A126,'Видео'!$A$7:$A$1508,0)),"ID не найден"))</x:f>
        <x:v>סליחה על השאלה ילדים 3 | שונות במראה</x:v>
      </x:c>
      <x:c r="C126" s="10" t="str">
        <x:f>IF(A126="","",IF(COUNTIFS('Видео'!$A$7:$A$1508,A126)=1,INDEX('Видео'!$C$7:$C$1508,MATCH(A126,'Видео'!$A$7:$A$1508,0)),"ID не найден"))</x:f>
        <x:v>Детский взгляд на общество</x:v>
      </x:c>
      <x:c r="D126" s="10" t="str">
        <x:f>IF(A126="","",IF(COUNTIFS('Видео'!$A$7:$A$1508,A126)=1,INDEX('Видео'!$M$7:$M$1508,MATCH(A126,'Видео'!$A$7:$A$1508,0)),"ID не найден"))</x:f>
        <x:v>Тема: סליחה על השאלה ילדים 3 | שונות במראה. Ответы детей дают отдельную перспективу на социальные темы и школьную жизнь.</x:v>
      </x:c>
      <x:c r="E126" s="9" t="str">
        <x:f>IF(A126="","",IF(COUNTIFS('Видео'!$A$7:$A$1508,A126)=1,INDEX('Видео'!$D$7:$D$1508,MATCH(A126,'Видео'!$A$7:$A$1508,0)),"ID не найден"))</x:f>
        <x:v>Общество</x:v>
      </x:c>
      <x:c r="F126" s="10" t="str">
        <x:f>IF(A126="","",IF(COUNTIFS('Видео'!$A$7:$A$1508,A126)=1,INDEX('Видео'!$F$7:$F$1508,MATCH(A126,'Видео'!$A$7:$A$1508,0)),"ID не найден"))</x:f>
        <x:v>B1–B2 (гипотеза)</x:v>
      </x:c>
      <x:c r="G126" s="14" t="n">
        <x:f>IF(A126="","",IF(COUNTIFS('Видео'!$A$7:$A$1508,A126)=1,INDEX('Видео'!$H$7:$H$1508,MATCH(A126,'Видео'!$A$7:$A$1508,0)),"ID не найден"))</x:f>
        <x:v>328408</x:v>
      </x:c>
      <x:c r="H126" s="18" t="n">
        <x:f>IF(A126="","",IF(COUNTIFS('Видео'!$A$7:$A$1508,A126)=1,INDEX('Видео'!$L$7:$L$1508,MATCH(A126,'Видео'!$A$7:$A$1508,0)),"ID не найден"))</x:f>
        <x:v>1.4875283446712018</x:v>
      </x:c>
      <x:c r="I126" s="10" t="str">
        <x:f>IF(A126="","",IF(COUNTIFS('Видео'!$A$7:$A$1508,A126)=1,INDEX('Видео'!$AI$7:$AI$1508,MATCH(A126,'Видео'!$A$7:$A$1508,0)),"ID не найден"))</x:f>
        <x:v>Нужна редактура</x:v>
      </x:c>
      <x:c r="J126" s="11" t="str">
        <x:f>IF(A126="","",IF(COUNTIFS('Видео'!$A$7:$A$1508,A126)=1,INDEX('Видео'!$U$7:$U$1508,MATCH(A126,'Видео'!$A$7:$A$1508,0)),"ID не найден"))</x:f>
        <x:v>https://www.youtube.com/watch?v=SekGZ1M1T3k</x:v>
      </x:c>
      <x:c r="K126" s="9" t="str">
        <x:v>C057</x:v>
      </x:c>
      <x:c r="L126" s="9" t="str">
        <x:v>Да</x:v>
      </x:c>
    </x:row>
    <x:row r="127" ht="60" customHeight="1">
      <x:c r="A127" s="9" t="str">
        <x:v>wMMTH_DWElc</x:v>
      </x:c>
      <x:c r="B127" s="10" t="str">
        <x:f>IF(A127="","",IF(COUNTIFS('Видео'!$A$7:$A$1508,A127)=1,INDEX('Видео'!$B$7:$B$1508,MATCH(A127,'Видео'!$A$7:$A$1508,0)),"ID не найден"))</x:f>
        <x:v>פרפר נחמד 🦋 | פרק 2 - על טעם ועל ריח</x:v>
      </x:c>
      <x:c r="C127" s="10" t="str">
        <x:f>IF(A127="","",IF(COUNTIFS('Видео'!$A$7:$A$1508,A127)=1,INDEX('Видео'!$C$7:$C$1508,MATCH(A127,'Видео'!$A$7:$A$1508,0)),"ID не найден"))</x:f>
        <x:v>Первый иврит с семьёй</x:v>
      </x:c>
      <x:c r="D127" s="10" t="str">
        <x:f>IF(A127="","",IF(COUNTIFS('Видео'!$A$7:$A$1508,A127)=1,INDEX('Видео'!$M$7:$M$1508,MATCH(A127,'Видео'!$A$7:$A$1508,0)),"ID не найден"))</x:f>
        <x:v>Тема: פרפר נחמד 🦋 | פרק 2 - על טעם ועל ריח. Просмотры в списке выше медианы выборки этого цикла в 2.46 раза. Повторы, песенки и визуальные действия подходят для семейного входа в язык. Взрослым предлагать как отдельную опцию.</x:v>
      </x:c>
      <x:c r="E127" s="9" t="str">
        <x:f>IF(A127="","",IF(COUNTIFS('Видео'!$A$7:$A$1508,A127)=1,INDEX('Видео'!$D$7:$D$1508,MATCH(A127,'Видео'!$A$7:$A$1508,0)),"ID не найден"))</x:f>
        <x:v>Образование</x:v>
      </x:c>
      <x:c r="F127" s="10" t="str">
        <x:f>IF(A127="","",IF(COUNTIFS('Видео'!$A$7:$A$1508,A127)=1,INDEX('Видео'!$F$7:$F$1508,MATCH(A127,'Видео'!$A$7:$A$1508,0)),"ID не найден"))</x:f>
        <x:v>A1–A2 (гипотеза)</x:v>
      </x:c>
      <x:c r="G127" s="14" t="n">
        <x:f>IF(A127="","",IF(COUNTIFS('Видео'!$A$7:$A$1508,A127)=1,INDEX('Видео'!$H$7:$H$1508,MATCH(A127,'Видео'!$A$7:$A$1508,0)),"ID не найден"))</x:f>
        <x:v>480490</x:v>
      </x:c>
      <x:c r="H127" s="18" t="n">
        <x:f>IF(A127="","",IF(COUNTIFS('Видео'!$A$7:$A$1508,A127)=1,INDEX('Видео'!$L$7:$L$1508,MATCH(A127,'Видео'!$A$7:$A$1508,0)),"ID не найден"))</x:f>
        <x:v>2.4615384615384617</x:v>
      </x:c>
      <x:c r="I127" s="10" t="str">
        <x:f>IF(A127="","",IF(COUNTIFS('Видео'!$A$7:$A$1508,A127)=1,INDEX('Видео'!$AI$7:$AI$1508,MATCH(A127,'Видео'!$A$7:$A$1508,0)),"ID не найден"))</x:f>
        <x:v>Нужна редактура</x:v>
      </x:c>
      <x:c r="J127" s="11" t="str">
        <x:f>IF(A127="","",IF(COUNTIFS('Видео'!$A$7:$A$1508,A127)=1,INDEX('Видео'!$U$7:$U$1508,MATCH(A127,'Видео'!$A$7:$A$1508,0)),"ID не найден"))</x:f>
        <x:v>https://www.youtube.com/watch?v=wMMTH_DWElc</x:v>
      </x:c>
      <x:c r="K127" s="9" t="str">
        <x:v>C058</x:v>
      </x:c>
      <x:c r="L127" s="9" t="str">
        <x:v>Да</x:v>
      </x:c>
    </x:row>
    <x:row r="128" ht="60" customHeight="1">
      <x:c r="A128" s="9" t="str">
        <x:v>o63wVo4vaaA</x:v>
      </x:c>
      <x:c r="B128" s="10" t="str">
        <x:f>IF(A128="","",IF(COUNTIFS('Видео'!$A$7:$A$1508,A128)=1,INDEX('Видео'!$B$7:$B$1508,MATCH(A128,'Видео'!$A$7:$A$1508,0)),"ID не найден"))</x:f>
        <x:v>פרפר נחמד 🦋 | פרק 1 - איך דמיון מתגלגל</x:v>
      </x:c>
      <x:c r="C128" s="10" t="str">
        <x:f>IF(A128="","",IF(COUNTIFS('Видео'!$A$7:$A$1508,A128)=1,INDEX('Видео'!$C$7:$C$1508,MATCH(A128,'Видео'!$A$7:$A$1508,0)),"ID не найден"))</x:f>
        <x:v>Первый иврит с семьёй</x:v>
      </x:c>
      <x:c r="D128" s="10" t="str">
        <x:f>IF(A128="","",IF(COUNTIFS('Видео'!$A$7:$A$1508,A128)=1,INDEX('Видео'!$M$7:$M$1508,MATCH(A128,'Видео'!$A$7:$A$1508,0)),"ID не найден"))</x:f>
        <x:v>Тема: פרפר נחמד 🦋 | פרק 1 - איך דמיון מתגלגל. Просмотры в списке выше медианы выборки этого цикла в 2.29 раза. Повторы, песенки и визуальные действия подходят для семейного входа в язык. Взрослым предлагать как отдельную опцию.</x:v>
      </x:c>
      <x:c r="E128" s="9" t="str">
        <x:f>IF(A128="","",IF(COUNTIFS('Видео'!$A$7:$A$1508,A128)=1,INDEX('Видео'!$D$7:$D$1508,MATCH(A128,'Видео'!$A$7:$A$1508,0)),"ID не найден"))</x:f>
        <x:v>Образование</x:v>
      </x:c>
      <x:c r="F128" s="10" t="str">
        <x:f>IF(A128="","",IF(COUNTIFS('Видео'!$A$7:$A$1508,A128)=1,INDEX('Видео'!$F$7:$F$1508,MATCH(A128,'Видео'!$A$7:$A$1508,0)),"ID не найден"))</x:f>
        <x:v>A1–A2 (гипотеза)</x:v>
      </x:c>
      <x:c r="G128" s="14" t="n">
        <x:f>IF(A128="","",IF(COUNTIFS('Видео'!$A$7:$A$1508,A128)=1,INDEX('Видео'!$H$7:$H$1508,MATCH(A128,'Видео'!$A$7:$A$1508,0)),"ID не найден"))</x:f>
        <x:v>446213</x:v>
      </x:c>
      <x:c r="H128" s="18" t="n">
        <x:f>IF(A128="","",IF(COUNTIFS('Видео'!$A$7:$A$1508,A128)=1,INDEX('Видео'!$L$7:$L$1508,MATCH(A128,'Видео'!$A$7:$A$1508,0)),"ID не найден"))</x:f>
        <x:v>2.287179487179487</x:v>
      </x:c>
      <x:c r="I128" s="10" t="str">
        <x:f>IF(A128="","",IF(COUNTIFS('Видео'!$A$7:$A$1508,A128)=1,INDEX('Видео'!$AI$7:$AI$1508,MATCH(A128,'Видео'!$A$7:$A$1508,0)),"ID не найден"))</x:f>
        <x:v>Нужна редактура</x:v>
      </x:c>
      <x:c r="J128" s="11" t="str">
        <x:f>IF(A128="","",IF(COUNTIFS('Видео'!$A$7:$A$1508,A128)=1,INDEX('Видео'!$U$7:$U$1508,MATCH(A128,'Видео'!$A$7:$A$1508,0)),"ID не найден"))</x:f>
        <x:v>https://www.youtube.com/watch?v=o63wVo4vaaA</x:v>
      </x:c>
      <x:c r="K128" s="9" t="str">
        <x:v>C058</x:v>
      </x:c>
      <x:c r="L128" s="9" t="str">
        <x:v>Да</x:v>
      </x:c>
    </x:row>
    <x:row r="129" ht="60" customHeight="1">
      <x:c r="A129" s="9" t="str">
        <x:v>6m5wu1itNQA</x:v>
      </x:c>
      <x:c r="B129" s="10" t="str">
        <x:f>IF(A129="","",IF(COUNTIFS('Видео'!$A$7:$A$1508,A129)=1,INDEX('Видео'!$B$7:$B$1508,MATCH(A129,'Видео'!$A$7:$A$1508,0)),"ID не найден"))</x:f>
        <x:v>איך להדליק נורה בלי לחבר אותה לחשמל?</x:v>
      </x:c>
      <x:c r="C129" s="10" t="str">
        <x:f>IF(A129="","",IF(COUNTIFS('Видео'!$A$7:$A$1508,A129)=1,INDEX('Видео'!$C$7:$C$1508,MATCH(A129,'Видео'!$A$7:$A$1508,0)),"ID не найден"))</x:f>
        <x:v>Научные открытия</x:v>
      </x:c>
      <x:c r="D129" s="10" t="str">
        <x:f>IF(A129="","",IF(COUNTIFS('Видео'!$A$7:$A$1508,A129)=1,INDEX('Видео'!$M$7:$M$1508,MATCH(A129,'Видео'!$A$7:$A$1508,0)),"ID не найден"))</x:f>
        <x:v>Завершённый короткий просмотр около 5 мин. Просмотры в списке выше медианы выборки этого цикла в 9.29 раза. Неожиданный научный факт поддерживает любопытство и интерес к короткому просмотру.</x:v>
      </x:c>
      <x:c r="E129" s="9" t="str">
        <x:f>IF(A129="","",IF(COUNTIFS('Видео'!$A$7:$A$1508,A129)=1,INDEX('Видео'!$D$7:$D$1508,MATCH(A129,'Видео'!$A$7:$A$1508,0)),"ID не найден"))</x:f>
        <x:v>Образование</x:v>
      </x:c>
      <x:c r="F129" s="10" t="str">
        <x:f>IF(A129="","",IF(COUNTIFS('Видео'!$A$7:$A$1508,A129)=1,INDEX('Видео'!$F$7:$F$1508,MATCH(A129,'Видео'!$A$7:$A$1508,0)),"ID не найден"))</x:f>
        <x:v>B1–B2 (гипотеза)</x:v>
      </x:c>
      <x:c r="G129" s="14" t="n">
        <x:f>IF(A129="","",IF(COUNTIFS('Видео'!$A$7:$A$1508,A129)=1,INDEX('Видео'!$H$7:$H$1508,MATCH(A129,'Видео'!$A$7:$A$1508,0)),"ID не найден"))</x:f>
        <x:v>158730</x:v>
      </x:c>
      <x:c r="H129" s="18" t="n">
        <x:f>IF(A129="","",IF(COUNTIFS('Видео'!$A$7:$A$1508,A129)=1,INDEX('Видео'!$L$7:$L$1508,MATCH(A129,'Видео'!$A$7:$A$1508,0)),"ID не найден"))</x:f>
        <x:v>9.294117647058824</x:v>
      </x:c>
      <x:c r="I129" s="10" t="str">
        <x:f>IF(A129="","",IF(COUNTIFS('Видео'!$A$7:$A$1508,A129)=1,INDEX('Видео'!$AI$7:$AI$1508,MATCH(A129,'Видео'!$A$7:$A$1508,0)),"ID не найден"))</x:f>
        <x:v>Нужна редактура</x:v>
      </x:c>
      <x:c r="J129" s="11" t="str">
        <x:f>IF(A129="","",IF(COUNTIFS('Видео'!$A$7:$A$1508,A129)=1,INDEX('Видео'!$U$7:$U$1508,MATCH(A129,'Видео'!$A$7:$A$1508,0)),"ID не найден"))</x:f>
        <x:v>https://www.youtube.com/watch?v=6m5wu1itNQA</x:v>
      </x:c>
      <x:c r="K129" s="9" t="str">
        <x:v>C060</x:v>
      </x:c>
      <x:c r="L129" s="9" t="str">
        <x:v>Да</x:v>
      </x:c>
    </x:row>
    <x:row r="130" ht="60" customHeight="1">
      <x:c r="A130" s="9" t="str">
        <x:v>BB2cwpgL0vg</x:v>
      </x:c>
      <x:c r="B130" s="10" t="str">
        <x:f>IF(A130="","",IF(COUNTIFS('Видео'!$A$7:$A$1508,A130)=1,INDEX('Видео'!$B$7:$B$1508,MATCH(A130,'Видео'!$A$7:$A$1508,0)),"ID не найден"))</x:f>
        <x:v>ממה נוצרים העצים?</x:v>
      </x:c>
      <x:c r="C130" s="10" t="str">
        <x:f>IF(A130="","",IF(COUNTIFS('Видео'!$A$7:$A$1508,A130)=1,INDEX('Видео'!$C$7:$C$1508,MATCH(A130,'Видео'!$A$7:$A$1508,0)),"ID не найден"))</x:f>
        <x:v>Научные открытия</x:v>
      </x:c>
      <x:c r="D130" s="10" t="str">
        <x:f>IF(A130="","",IF(COUNTIFS('Видео'!$A$7:$A$1508,A130)=1,INDEX('Видео'!$M$7:$M$1508,MATCH(A130,'Видео'!$A$7:$A$1508,0)),"ID не найден"))</x:f>
        <x:v>Завершённый короткий просмотр около 3 мин. Просмотры в списке выше медианы выборки этого цикла в 4.06 раза. Неожиданный научный факт поддерживает любопытство и интерес к короткому просмотру.</x:v>
      </x:c>
      <x:c r="E130" s="9" t="str">
        <x:f>IF(A130="","",IF(COUNTIFS('Видео'!$A$7:$A$1508,A130)=1,INDEX('Видео'!$D$7:$D$1508,MATCH(A130,'Видео'!$A$7:$A$1508,0)),"ID не найден"))</x:f>
        <x:v>Образование</x:v>
      </x:c>
      <x:c r="F130" s="10" t="str">
        <x:f>IF(A130="","",IF(COUNTIFS('Видео'!$A$7:$A$1508,A130)=1,INDEX('Видео'!$F$7:$F$1508,MATCH(A130,'Видео'!$A$7:$A$1508,0)),"ID не найден"))</x:f>
        <x:v>B1–B2 (гипотеза)</x:v>
      </x:c>
      <x:c r="G130" s="14" t="n">
        <x:f>IF(A130="","",IF(COUNTIFS('Видео'!$A$7:$A$1508,A130)=1,INDEX('Видео'!$H$7:$H$1508,MATCH(A130,'Видео'!$A$7:$A$1508,0)),"ID не найден"))</x:f>
        <x:v>69656</x:v>
      </x:c>
      <x:c r="H130" s="18" t="n">
        <x:f>IF(A130="","",IF(COUNTIFS('Видео'!$A$7:$A$1508,A130)=1,INDEX('Видео'!$L$7:$L$1508,MATCH(A130,'Видео'!$A$7:$A$1508,0)),"ID не найден"))</x:f>
        <x:v>4.0588235294117645</x:v>
      </x:c>
      <x:c r="I130" s="10" t="str">
        <x:f>IF(A130="","",IF(COUNTIFS('Видео'!$A$7:$A$1508,A130)=1,INDEX('Видео'!$AI$7:$AI$1508,MATCH(A130,'Видео'!$A$7:$A$1508,0)),"ID не найден"))</x:f>
        <x:v>Нужна редактура</x:v>
      </x:c>
      <x:c r="J130" s="11" t="str">
        <x:f>IF(A130="","",IF(COUNTIFS('Видео'!$A$7:$A$1508,A130)=1,INDEX('Видео'!$U$7:$U$1508,MATCH(A130,'Видео'!$A$7:$A$1508,0)),"ID не найден"))</x:f>
        <x:v>https://www.youtube.com/watch?v=BB2cwpgL0vg</x:v>
      </x:c>
      <x:c r="K130" s="9" t="str">
        <x:v>C060</x:v>
      </x:c>
      <x:c r="L130" s="9" t="str">
        <x:v>Да</x:v>
      </x:c>
    </x:row>
    <x:row r="131" ht="60" customHeight="1">
      <x:c r="A131" s="9" t="str">
        <x:v>_lz-DPjiRSM</x:v>
      </x:c>
      <x:c r="B131" s="10" t="str">
        <x:f>IF(A131="","",IF(COUNTIFS('Видео'!$A$7:$A$1508,A131)=1,INDEX('Видео'!$B$7:$B$1508,MATCH(A131,'Видео'!$A$7:$A$1508,0)),"ID не найден"))</x:f>
        <x:v>הר געש של קצף - ניסוי מדע בבית שצולם בבית, בסגר</x:v>
      </x:c>
      <x:c r="C131" s="10" t="str">
        <x:f>IF(A131="","",IF(COUNTIFS('Видео'!$A$7:$A$1508,A131)=1,INDEX('Видео'!$C$7:$C$1508,MATCH(A131,'Видео'!$A$7:$A$1508,0)),"ID не найден"))</x:f>
        <x:v>Наука с семьёй</x:v>
      </x:c>
      <x:c r="D131" s="10" t="str">
        <x:f>IF(A131="","",IF(COUNTIFS('Видео'!$A$7:$A$1508,A131)=1,INDEX('Видео'!$M$7:$M$1508,MATCH(A131,'Видео'!$A$7:$A$1508,0)),"ID не найден"))</x:f>
        <x:v>Завершённый короткий просмотр около 3 мин. Просмотры в списке выше медианы выборки этого цикла в 2.39 раза. Совместная демонстрация даёт родителям и детям сценарий общения на иврите.</x:v>
      </x:c>
      <x:c r="E131" s="9" t="str">
        <x:f>IF(A131="","",IF(COUNTIFS('Видео'!$A$7:$A$1508,A131)=1,INDEX('Видео'!$D$7:$D$1508,MATCH(A131,'Видео'!$A$7:$A$1508,0)),"ID не найден"))</x:f>
        <x:v>Образование</x:v>
      </x:c>
      <x:c r="F131" s="10" t="str">
        <x:f>IF(A131="","",IF(COUNTIFS('Видео'!$A$7:$A$1508,A131)=1,INDEX('Видео'!$F$7:$F$1508,MATCH(A131,'Видео'!$A$7:$A$1508,0)),"ID не найден"))</x:f>
        <x:v>B1–B2 (гипотеза)</x:v>
      </x:c>
      <x:c r="G131" s="14" t="n">
        <x:f>IF(A131="","",IF(COUNTIFS('Видео'!$A$7:$A$1508,A131)=1,INDEX('Видео'!$H$7:$H$1508,MATCH(A131,'Видео'!$A$7:$A$1508,0)),"ID не найден"))</x:f>
        <x:v>43825</x:v>
      </x:c>
      <x:c r="H131" s="18" t="n">
        <x:f>IF(A131="","",IF(COUNTIFS('Видео'!$A$7:$A$1508,A131)=1,INDEX('Видео'!$L$7:$L$1508,MATCH(A131,'Видео'!$A$7:$A$1508,0)),"ID не найден"))</x:f>
        <x:v>2.388888888888889</x:v>
      </x:c>
      <x:c r="I131" s="10" t="str">
        <x:f>IF(A131="","",IF(COUNTIFS('Видео'!$A$7:$A$1508,A131)=1,INDEX('Видео'!$AI$7:$AI$1508,MATCH(A131,'Видео'!$A$7:$A$1508,0)),"ID не найден"))</x:f>
        <x:v>Нужна редактура</x:v>
      </x:c>
      <x:c r="J131" s="11" t="str">
        <x:f>IF(A131="","",IF(COUNTIFS('Видео'!$A$7:$A$1508,A131)=1,INDEX('Видео'!$U$7:$U$1508,MATCH(A131,'Видео'!$A$7:$A$1508,0)),"ID не найден"))</x:f>
        <x:v>https://www.youtube.com/watch?v=_lz-DPjiRSM</x:v>
      </x:c>
      <x:c r="K131" s="9" t="str">
        <x:v>C061</x:v>
      </x:c>
      <x:c r="L131" s="9" t="str">
        <x:v>Да</x:v>
      </x:c>
    </x:row>
    <x:row r="132" ht="60" customHeight="1">
      <x:c r="A132" s="9" t="str">
        <x:v>5rWMUyQsMvU</x:v>
      </x:c>
      <x:c r="B132" s="10" t="str">
        <x:f>IF(A132="","",IF(COUNTIFS('Видео'!$A$7:$A$1508,A132)=1,INDEX('Видео'!$B$7:$B$1508,MATCH(A132,'Видео'!$A$7:$A$1508,0)),"ID не найден"))</x:f>
        <x:v>ניסוי מנטוס וקולה - ניסוי מדע בבית שצולם בבית, בזמן הסגר</x:v>
      </x:c>
      <x:c r="C132" s="10" t="str">
        <x:f>IF(A132="","",IF(COUNTIFS('Видео'!$A$7:$A$1508,A132)=1,INDEX('Видео'!$C$7:$C$1508,MATCH(A132,'Видео'!$A$7:$A$1508,0)),"ID не найден"))</x:f>
        <x:v>Наука с семьёй</x:v>
      </x:c>
      <x:c r="D132" s="10" t="str">
        <x:f>IF(A132="","",IF(COUNTIFS('Видео'!$A$7:$A$1508,A132)=1,INDEX('Видео'!$M$7:$M$1508,MATCH(A132,'Видео'!$A$7:$A$1508,0)),"ID не найден"))</x:f>
        <x:v>Завершённый короткий просмотр около 3 мин. Просмотры в списке выше медианы выборки этого цикла в 1.78 раза. Совместная демонстрация даёт родителям и детям сценарий общения на иврите.</x:v>
      </x:c>
      <x:c r="E132" s="9" t="str">
        <x:f>IF(A132="","",IF(COUNTIFS('Видео'!$A$7:$A$1508,A132)=1,INDEX('Видео'!$D$7:$D$1508,MATCH(A132,'Видео'!$A$7:$A$1508,0)),"ID не найден"))</x:f>
        <x:v>Образование</x:v>
      </x:c>
      <x:c r="F132" s="10" t="str">
        <x:f>IF(A132="","",IF(COUNTIFS('Видео'!$A$7:$A$1508,A132)=1,INDEX('Видео'!$F$7:$F$1508,MATCH(A132,'Видео'!$A$7:$A$1508,0)),"ID не найден"))</x:f>
        <x:v>B1–B2 (гипотеза)</x:v>
      </x:c>
      <x:c r="G132" s="14" t="n">
        <x:f>IF(A132="","",IF(COUNTIFS('Видео'!$A$7:$A$1508,A132)=1,INDEX('Видео'!$H$7:$H$1508,MATCH(A132,'Видео'!$A$7:$A$1508,0)),"ID не найден"))</x:f>
        <x:v>32543</x:v>
      </x:c>
      <x:c r="H132" s="18" t="n">
        <x:f>IF(A132="","",IF(COUNTIFS('Видео'!$A$7:$A$1508,A132)=1,INDEX('Видео'!$L$7:$L$1508,MATCH(A132,'Видео'!$A$7:$A$1508,0)),"ID не найден"))</x:f>
        <x:v>1.7777777777777777</x:v>
      </x:c>
      <x:c r="I132" s="10" t="str">
        <x:f>IF(A132="","",IF(COUNTIFS('Видео'!$A$7:$A$1508,A132)=1,INDEX('Видео'!$AI$7:$AI$1508,MATCH(A132,'Видео'!$A$7:$A$1508,0)),"ID не найден"))</x:f>
        <x:v>Нужна редактура</x:v>
      </x:c>
      <x:c r="J132" s="11" t="str">
        <x:f>IF(A132="","",IF(COUNTIFS('Видео'!$A$7:$A$1508,A132)=1,INDEX('Видео'!$U$7:$U$1508,MATCH(A132,'Видео'!$A$7:$A$1508,0)),"ID не найден"))</x:f>
        <x:v>https://www.youtube.com/watch?v=5rWMUyQsMvU</x:v>
      </x:c>
      <x:c r="K132" s="9" t="str">
        <x:v>C061</x:v>
      </x:c>
      <x:c r="L132" s="9" t="str">
        <x:v>Да</x:v>
      </x:c>
    </x:row>
    <x:row r="133" ht="60" customHeight="1">
      <x:c r="A133" s="9" t="str">
        <x:v>7qGBf-otClc</x:v>
      </x:c>
      <x:c r="B133" s="10" t="str">
        <x:f>IF(A133="","",IF(COUNTIFS('Видео'!$A$7:$A$1508,A133)=1,INDEX('Видео'!$B$7:$B$1508,MATCH(A133,'Видео'!$A$7:$A$1508,0)),"ID не найден"))</x:f>
        <x:v>שימוש שגוי במיקרוגל, שוקולד ומהירות האור!</x:v>
      </x:c>
      <x:c r="C133" s="10" t="str">
        <x:f>IF(A133="","",IF(COUNTIFS('Видео'!$A$7:$A$1508,A133)=1,INDEX('Видео'!$C$7:$C$1508,MATCH(A133,'Видео'!$A$7:$A$1508,0)),"ID не найден"))</x:f>
        <x:v>Наука в быту</x:v>
      </x:c>
      <x:c r="D133" s="10" t="str">
        <x:f>IF(A133="","",IF(COUNTIFS('Видео'!$A$7:$A$1508,A133)=1,INDEX('Видео'!$M$7:$M$1508,MATCH(A133,'Видео'!$A$7:$A$1508,0)),"ID не найден"))</x:f>
        <x:v>Завершённый короткий просмотр около 3 мин. Просмотры в списке выше медианы выборки этого цикла в 30.57 раза. Бытовая ситуация помогает понимать научную лексику через знакомое действие.</x:v>
      </x:c>
      <x:c r="E133" s="9" t="str">
        <x:f>IF(A133="","",IF(COUNTIFS('Видео'!$A$7:$A$1508,A133)=1,INDEX('Видео'!$D$7:$D$1508,MATCH(A133,'Видео'!$A$7:$A$1508,0)),"ID не найден"))</x:f>
        <x:v>Образование</x:v>
      </x:c>
      <x:c r="F133" s="10" t="str">
        <x:f>IF(A133="","",IF(COUNTIFS('Видео'!$A$7:$A$1508,A133)=1,INDEX('Видео'!$F$7:$F$1508,MATCH(A133,'Видео'!$A$7:$A$1508,0)),"ID не найден"))</x:f>
        <x:v>B1–B2 (гипотеза)</x:v>
      </x:c>
      <x:c r="G133" s="14" t="n">
        <x:f>IF(A133="","",IF(COUNTIFS('Видео'!$A$7:$A$1508,A133)=1,INDEX('Видео'!$H$7:$H$1508,MATCH(A133,'Видео'!$A$7:$A$1508,0)),"ID не найден"))</x:f>
        <x:v>295335</x:v>
      </x:c>
      <x:c r="H133" s="18" t="n">
        <x:f>IF(A133="","",IF(COUNTIFS('Видео'!$A$7:$A$1508,A133)=1,INDEX('Видео'!$L$7:$L$1508,MATCH(A133,'Видео'!$A$7:$A$1508,0)),"ID не найден"))</x:f>
        <x:v>30.569948186528496</x:v>
      </x:c>
      <x:c r="I133" s="10" t="str">
        <x:f>IF(A133="","",IF(COUNTIFS('Видео'!$A$7:$A$1508,A133)=1,INDEX('Видео'!$AI$7:$AI$1508,MATCH(A133,'Видео'!$A$7:$A$1508,0)),"ID не найден"))</x:f>
        <x:v>Нужна редактура</x:v>
      </x:c>
      <x:c r="J133" s="11" t="str">
        <x:f>IF(A133="","",IF(COUNTIFS('Видео'!$A$7:$A$1508,A133)=1,INDEX('Видео'!$U$7:$U$1508,MATCH(A133,'Видео'!$A$7:$A$1508,0)),"ID не найден"))</x:f>
        <x:v>https://www.youtube.com/watch?v=7qGBf-otClc</x:v>
      </x:c>
      <x:c r="K133" s="9" t="str">
        <x:v>C062</x:v>
      </x:c>
      <x:c r="L133" s="9" t="str">
        <x:v>Да</x:v>
      </x:c>
    </x:row>
    <x:row r="134" ht="60" customHeight="1">
      <x:c r="A134" s="9" t="str">
        <x:v>W1VSeQJhEUk</x:v>
      </x:c>
      <x:c r="B134" s="10" t="str">
        <x:f>IF(A134="","",IF(COUNTIFS('Видео'!$A$7:$A$1508,A134)=1,INDEX('Видео'!$B$7:$B$1508,MATCH(A134,'Видео'!$A$7:$A$1508,0)),"ID не найден"))</x:f>
        <x:v>מה זה אפקט ליידנפרוסט?</x:v>
      </x:c>
      <x:c r="C134" s="10" t="str">
        <x:f>IF(A134="","",IF(COUNTIFS('Видео'!$A$7:$A$1508,A134)=1,INDEX('Видео'!$C$7:$C$1508,MATCH(A134,'Видео'!$A$7:$A$1508,0)),"ID не найден"))</x:f>
        <x:v>Наука в быту</x:v>
      </x:c>
      <x:c r="D134" s="10" t="str">
        <x:f>IF(A134="","",IF(COUNTIFS('Видео'!$A$7:$A$1508,A134)=1,INDEX('Видео'!$M$7:$M$1508,MATCH(A134,'Видео'!$A$7:$A$1508,0)),"ID не найден"))</x:f>
        <x:v>Завершённый короткий просмотр около 3 мин. Просмотры в списке выше медианы выборки этого цикла в 7.67 раза. Бытовая ситуация помогает понимать научную лексику через знакомое действие.</x:v>
      </x:c>
      <x:c r="E134" s="9" t="str">
        <x:f>IF(A134="","",IF(COUNTIFS('Видео'!$A$7:$A$1508,A134)=1,INDEX('Видео'!$D$7:$D$1508,MATCH(A134,'Видео'!$A$7:$A$1508,0)),"ID не найден"))</x:f>
        <x:v>Образование</x:v>
      </x:c>
      <x:c r="F134" s="10" t="str">
        <x:f>IF(A134="","",IF(COUNTIFS('Видео'!$A$7:$A$1508,A134)=1,INDEX('Видео'!$F$7:$F$1508,MATCH(A134,'Видео'!$A$7:$A$1508,0)),"ID не найден"))</x:f>
        <x:v>B1–B2 (гипотеза)</x:v>
      </x:c>
      <x:c r="G134" s="14" t="n">
        <x:f>IF(A134="","",IF(COUNTIFS('Видео'!$A$7:$A$1508,A134)=1,INDEX('Видео'!$H$7:$H$1508,MATCH(A134,'Видео'!$A$7:$A$1508,0)),"ID не найден"))</x:f>
        <x:v>74086</x:v>
      </x:c>
      <x:c r="H134" s="18" t="n">
        <x:f>IF(A134="","",IF(COUNTIFS('Видео'!$A$7:$A$1508,A134)=1,INDEX('Видео'!$L$7:$L$1508,MATCH(A134,'Видео'!$A$7:$A$1508,0)),"ID не найден"))</x:f>
        <x:v>7.668393782383419</x:v>
      </x:c>
      <x:c r="I134" s="10" t="str">
        <x:f>IF(A134="","",IF(COUNTIFS('Видео'!$A$7:$A$1508,A134)=1,INDEX('Видео'!$AI$7:$AI$1508,MATCH(A134,'Видео'!$A$7:$A$1508,0)),"ID не найден"))</x:f>
        <x:v>Нужна редактура</x:v>
      </x:c>
      <x:c r="J134" s="11" t="str">
        <x:f>IF(A134="","",IF(COUNTIFS('Видео'!$A$7:$A$1508,A134)=1,INDEX('Видео'!$U$7:$U$1508,MATCH(A134,'Видео'!$A$7:$A$1508,0)),"ID не найден"))</x:f>
        <x:v>https://www.youtube.com/watch?v=W1VSeQJhEUk</x:v>
      </x:c>
      <x:c r="K134" s="9" t="str">
        <x:v>C062</x:v>
      </x:c>
      <x:c r="L134" s="9" t="str">
        <x:v>Да</x:v>
      </x:c>
    </x:row>
    <x:row r="135" ht="60" customHeight="1">
      <x:c r="A135" s="9" t="str">
        <x:v>dw72mYLN-CI</x:v>
      </x:c>
      <x:c r="B135" s="10" t="str">
        <x:f>IF(A135="","",IF(COUNTIFS('Видео'!$A$7:$A$1508,A135)=1,INDEX('Видео'!$B$7:$B$1508,MATCH(A135,'Видео'!$A$7:$A$1508,0)),"ID не найден"))</x:f>
        <x:v>שיר היסודות - המנון הטבלה המחזורית</x:v>
      </x:c>
      <x:c r="C135" s="10" t="str">
        <x:f>IF(A135="","",IF(COUNTIFS('Видео'!$A$7:$A$1508,A135)=1,INDEX('Видео'!$C$7:$C$1508,MATCH(A135,'Видео'!$A$7:$A$1508,0)),"ID не найден"))</x:f>
        <x:v>Истории науки</x:v>
      </x:c>
      <x:c r="D135" s="10" t="str">
        <x:f>IF(A135="","",IF(COUNTIFS('Видео'!$A$7:$A$1508,A135)=1,INDEX('Видео'!$M$7:$M$1508,MATCH(A135,'Видео'!$A$7:$A$1508,0)),"ID не найден"))</x:f>
        <x:v>Завершённый короткий просмотр около 3 мин. Просмотры в списке выше медианы выборки этого цикла в 4.73 раза. История открытия соединяет научный интерес и последовательный рассказ.</x:v>
      </x:c>
      <x:c r="E135" s="9" t="str">
        <x:f>IF(A135="","",IF(COUNTIFS('Видео'!$A$7:$A$1508,A135)=1,INDEX('Видео'!$D$7:$D$1508,MATCH(A135,'Видео'!$A$7:$A$1508,0)),"ID не найден"))</x:f>
        <x:v>Образование</x:v>
      </x:c>
      <x:c r="F135" s="10" t="str">
        <x:f>IF(A135="","",IF(COUNTIFS('Видео'!$A$7:$A$1508,A135)=1,INDEX('Видео'!$F$7:$F$1508,MATCH(A135,'Видео'!$A$7:$A$1508,0)),"ID не найден"))</x:f>
        <x:v>B1–B2 (гипотеза)</x:v>
      </x:c>
      <x:c r="G135" s="14" t="n">
        <x:f>IF(A135="","",IF(COUNTIFS('Видео'!$A$7:$A$1508,A135)=1,INDEX('Видео'!$H$7:$H$1508,MATCH(A135,'Видео'!$A$7:$A$1508,0)),"ID не найден"))</x:f>
        <x:v>123018</x:v>
      </x:c>
      <x:c r="H135" s="18" t="n">
        <x:f>IF(A135="","",IF(COUNTIFS('Видео'!$A$7:$A$1508,A135)=1,INDEX('Видео'!$L$7:$L$1508,MATCH(A135,'Видео'!$A$7:$A$1508,0)),"ID не найден"))</x:f>
        <x:v>4.730769230769231</x:v>
      </x:c>
      <x:c r="I135" s="10" t="str">
        <x:f>IF(A135="","",IF(COUNTIFS('Видео'!$A$7:$A$1508,A135)=1,INDEX('Видео'!$AI$7:$AI$1508,MATCH(A135,'Видео'!$A$7:$A$1508,0)),"ID не найден"))</x:f>
        <x:v>Нужна редактура</x:v>
      </x:c>
      <x:c r="J135" s="11" t="str">
        <x:f>IF(A135="","",IF(COUNTIFS('Видео'!$A$7:$A$1508,A135)=1,INDEX('Видео'!$U$7:$U$1508,MATCH(A135,'Видео'!$A$7:$A$1508,0)),"ID не найден"))</x:f>
        <x:v>https://www.youtube.com/watch?v=dw72mYLN-CI</x:v>
      </x:c>
      <x:c r="K135" s="9" t="str">
        <x:v>C063</x:v>
      </x:c>
      <x:c r="L135" s="9" t="str">
        <x:v>Да</x:v>
      </x:c>
    </x:row>
    <x:row r="136" ht="60" customHeight="1">
      <x:c r="A136" s="9" t="str">
        <x:v>Astv7HswZLc</x:v>
      </x:c>
      <x:c r="B136" s="10" t="str">
        <x:f>IF(A136="","",IF(COUNTIFS('Видео'!$A$7:$A$1508,A136)=1,INDEX('Видео'!$B$7:$B$1508,MATCH(A136,'Видео'!$A$7:$A$1508,0)),"ID не найден"))</x:f>
        <x:v>מנדל והאפונים - חוקי התורשה</x:v>
      </x:c>
      <x:c r="C136" s="10" t="str">
        <x:f>IF(A136="","",IF(COUNTIFS('Видео'!$A$7:$A$1508,A136)=1,INDEX('Видео'!$C$7:$C$1508,MATCH(A136,'Видео'!$A$7:$A$1508,0)),"ID не найден"))</x:f>
        <x:v>Истории науки</x:v>
      </x:c>
      <x:c r="D136" s="10" t="str">
        <x:f>IF(A136="","",IF(COUNTIFS('Видео'!$A$7:$A$1508,A136)=1,INDEX('Видео'!$M$7:$M$1508,MATCH(A136,'Видео'!$A$7:$A$1508,0)),"ID не найден"))</x:f>
        <x:v>Завершённый короткий просмотр около 5 мин. Просмотры в списке выше медианы выборки этого цикла в 3.27 раза. История открытия соединяет научный интерес и последовательный рассказ.</x:v>
      </x:c>
      <x:c r="E136" s="9" t="str">
        <x:f>IF(A136="","",IF(COUNTIFS('Видео'!$A$7:$A$1508,A136)=1,INDEX('Видео'!$D$7:$D$1508,MATCH(A136,'Видео'!$A$7:$A$1508,0)),"ID не найден"))</x:f>
        <x:v>Образование</x:v>
      </x:c>
      <x:c r="F136" s="10" t="str">
        <x:f>IF(A136="","",IF(COUNTIFS('Видео'!$A$7:$A$1508,A136)=1,INDEX('Видео'!$F$7:$F$1508,MATCH(A136,'Видео'!$A$7:$A$1508,0)),"ID не найден"))</x:f>
        <x:v>B1–B2 (гипотеза)</x:v>
      </x:c>
      <x:c r="G136" s="14" t="n">
        <x:f>IF(A136="","",IF(COUNTIFS('Видео'!$A$7:$A$1508,A136)=1,INDEX('Видео'!$H$7:$H$1508,MATCH(A136,'Видео'!$A$7:$A$1508,0)),"ID не найден"))</x:f>
        <x:v>85627</x:v>
      </x:c>
      <x:c r="H136" s="18" t="n">
        <x:f>IF(A136="","",IF(COUNTIFS('Видео'!$A$7:$A$1508,A136)=1,INDEX('Видео'!$L$7:$L$1508,MATCH(A136,'Видео'!$A$7:$A$1508,0)),"ID не найден"))</x:f>
        <x:v>3.269230769230769</x:v>
      </x:c>
      <x:c r="I136" s="10" t="str">
        <x:f>IF(A136="","",IF(COUNTIFS('Видео'!$A$7:$A$1508,A136)=1,INDEX('Видео'!$AI$7:$AI$1508,MATCH(A136,'Видео'!$A$7:$A$1508,0)),"ID не найден"))</x:f>
        <x:v>Нужна редактура</x:v>
      </x:c>
      <x:c r="J136" s="11" t="str">
        <x:f>IF(A136="","",IF(COUNTIFS('Видео'!$A$7:$A$1508,A136)=1,INDEX('Видео'!$U$7:$U$1508,MATCH(A136,'Видео'!$A$7:$A$1508,0)),"ID не найден"))</x:f>
        <x:v>https://www.youtube.com/watch?v=Astv7HswZLc</x:v>
      </x:c>
      <x:c r="K136" s="9" t="str">
        <x:v>C063</x:v>
      </x:c>
      <x:c r="L136" s="9" t="str">
        <x:v>Да</x:v>
      </x:c>
    </x:row>
    <x:row r="137" ht="60" customHeight="1">
      <x:c r="A137" s="9" t="str">
        <x:v>JkTBsaEseDg</x:v>
      </x:c>
      <x:c r="B137" s="10" t="str">
        <x:f>IF(A137="","",IF(COUNTIFS('Видео'!$A$7:$A$1508,A137)=1,INDEX('Видео'!$B$7:$B$1508,MATCH(A137,'Видео'!$A$7:$A$1508,0)),"ID не найден"))</x:f>
        <x:v>תולדות העברית דרך האטימולוגיה | שיעור 1 - מפרוטו שמית לעברית המקראית | אילון גלעד</x:v>
      </x:c>
      <x:c r="C137" s="10" t="str">
        <x:f>IF(A137="","",IF(COUNTIFS('Видео'!$A$7:$A$1508,A137)=1,INDEX('Видео'!$C$7:$C$1508,MATCH(A137,'Видео'!$A$7:$A$1508,0)),"ID не найден"))</x:f>
        <x:v>История иврита</x:v>
      </x:c>
      <x:c r="D137" s="10" t="str">
        <x:f>IF(A137="","",IF(COUNTIFS('Видео'!$A$7:$A$1508,A137)=1,INDEX('Видео'!$M$7:$M$1508,MATCH(A137,'Видео'!$A$7:$A$1508,0)),"ID не найден"))</x:f>
        <x:v>Тема: תולדות העברית דרך האטימולוגיה | שיעור 1 - מפרוטו שמית לעברית המקראית | אילון גלעד. Просмотры в списке выше медианы выборки этого цикла в 2.67 раза. Этимология связывает слово с историей культуры и даёт прямую ценность изучающим язык.</x:v>
      </x:c>
      <x:c r="E137" s="9" t="str">
        <x:f>IF(A137="","",IF(COUNTIFS('Видео'!$A$7:$A$1508,A137)=1,INDEX('Видео'!$D$7:$D$1508,MATCH(A137,'Видео'!$A$7:$A$1508,0)),"ID не найден"))</x:f>
        <x:v>История</x:v>
      </x:c>
      <x:c r="F137" s="10" t="str">
        <x:f>IF(A137="","",IF(COUNTIFS('Видео'!$A$7:$A$1508,A137)=1,INDEX('Видео'!$F$7:$F$1508,MATCH(A137,'Видео'!$A$7:$A$1508,0)),"ID не найден"))</x:f>
        <x:v>B2–C1 (гипотеза)</x:v>
      </x:c>
      <x:c r="G137" s="14" t="n">
        <x:f>IF(A137="","",IF(COUNTIFS('Видео'!$A$7:$A$1508,A137)=1,INDEX('Видео'!$H$7:$H$1508,MATCH(A137,'Видео'!$A$7:$A$1508,0)),"ID не найден"))</x:f>
        <x:v>6497</x:v>
      </x:c>
      <x:c r="H137" s="18" t="n">
        <x:f>IF(A137="","",IF(COUNTIFS('Видео'!$A$7:$A$1508,A137)=1,INDEX('Видео'!$L$7:$L$1508,MATCH(A137,'Видео'!$A$7:$A$1508,0)),"ID не найден"))</x:f>
        <x:v>2.6666666666666665</x:v>
      </x:c>
      <x:c r="I137" s="10" t="str">
        <x:f>IF(A137="","",IF(COUNTIFS('Видео'!$A$7:$A$1508,A137)=1,INDEX('Видео'!$AI$7:$AI$1508,MATCH(A137,'Видео'!$A$7:$A$1508,0)),"ID не найден"))</x:f>
        <x:v>Нужна редактура</x:v>
      </x:c>
      <x:c r="J137" s="11" t="str">
        <x:f>IF(A137="","",IF(COUNTIFS('Видео'!$A$7:$A$1508,A137)=1,INDEX('Видео'!$U$7:$U$1508,MATCH(A137,'Видео'!$A$7:$A$1508,0)),"ID не найден"))</x:f>
        <x:v>https://www.youtube.com/watch?v=JkTBsaEseDg</x:v>
      </x:c>
      <x:c r="K137" s="9" t="str">
        <x:v>C065</x:v>
      </x:c>
      <x:c r="L137" s="9" t="str">
        <x:v>Да</x:v>
      </x:c>
    </x:row>
    <x:row r="138" ht="60" customHeight="1">
      <x:c r="A138" s="9" t="str">
        <x:v>rPzhjHEQsEw</x:v>
      </x:c>
      <x:c r="B138" s="10" t="str">
        <x:f>IF(A138="","",IF(COUNTIFS('Видео'!$A$7:$A$1508,A138)=1,INDEX('Видео'!$B$7:$B$1508,MATCH(A138,'Видео'!$A$7:$A$1508,0)),"ID не найден"))</x:f>
        <x:v>תולדות העברית דרך האטימולוגיה | שיעור 2 - מגלות בבל לארץ ישראל וחזרה | אילון גלעד</x:v>
      </x:c>
      <x:c r="C138" s="10" t="str">
        <x:f>IF(A138="","",IF(COUNTIFS('Видео'!$A$7:$A$1508,A138)=1,INDEX('Видео'!$C$7:$C$1508,MATCH(A138,'Видео'!$A$7:$A$1508,0)),"ID не найден"))</x:f>
        <x:v>История иврита</x:v>
      </x:c>
      <x:c r="D138" s="10" t="str">
        <x:f>IF(A138="","",IF(COUNTIFS('Видео'!$A$7:$A$1508,A138)=1,INDEX('Видео'!$M$7:$M$1508,MATCH(A138,'Видео'!$A$7:$A$1508,0)),"ID не найден"))</x:f>
        <x:v>Тема: תולדות העברית דרך האטימולוגיה | שיעור 2 - מגלות בבל לארץ ישראל וחזרה | אילון גלעד. Этимология связывает слово с историей культуры и даёт прямую ценность изучающим язык.</x:v>
      </x:c>
      <x:c r="E138" s="9" t="str">
        <x:f>IF(A138="","",IF(COUNTIFS('Видео'!$A$7:$A$1508,A138)=1,INDEX('Видео'!$D$7:$D$1508,MATCH(A138,'Видео'!$A$7:$A$1508,0)),"ID не найден"))</x:f>
        <x:v>История</x:v>
      </x:c>
      <x:c r="F138" s="10" t="str">
        <x:f>IF(A138="","",IF(COUNTIFS('Видео'!$A$7:$A$1508,A138)=1,INDEX('Видео'!$F$7:$F$1508,MATCH(A138,'Видео'!$A$7:$A$1508,0)),"ID не найден"))</x:f>
        <x:v>B2–C1 (гипотеза)</x:v>
      </x:c>
      <x:c r="G138" s="14" t="n">
        <x:f>IF(A138="","",IF(COUNTIFS('Видео'!$A$7:$A$1508,A138)=1,INDEX('Видео'!$H$7:$H$1508,MATCH(A138,'Видео'!$A$7:$A$1508,0)),"ID не найден"))</x:f>
        <x:v>3295</x:v>
      </x:c>
      <x:c r="H138" s="18" t="n">
        <x:f>IF(A138="","",IF(COUNTIFS('Видео'!$A$7:$A$1508,A138)=1,INDEX('Видео'!$L$7:$L$1508,MATCH(A138,'Видео'!$A$7:$A$1508,0)),"ID не найден"))</x:f>
        <x:v>1.3333333333333333</x:v>
      </x:c>
      <x:c r="I138" s="10" t="str">
        <x:f>IF(A138="","",IF(COUNTIFS('Видео'!$A$7:$A$1508,A138)=1,INDEX('Видео'!$AI$7:$AI$1508,MATCH(A138,'Видео'!$A$7:$A$1508,0)),"ID не найден"))</x:f>
        <x:v>Нужна редактура</x:v>
      </x:c>
      <x:c r="J138" s="11" t="str">
        <x:f>IF(A138="","",IF(COUNTIFS('Видео'!$A$7:$A$1508,A138)=1,INDEX('Видео'!$U$7:$U$1508,MATCH(A138,'Видео'!$A$7:$A$1508,0)),"ID не найден"))</x:f>
        <x:v>https://www.youtube.com/watch?v=rPzhjHEQsEw</x:v>
      </x:c>
      <x:c r="K138" s="9" t="str">
        <x:v>C065</x:v>
      </x:c>
      <x:c r="L138" s="9" t="str">
        <x:v>Да</x:v>
      </x:c>
    </x:row>
    <x:row r="139" ht="60" customHeight="1">
      <x:c r="A139" s="9" t="str">
        <x:v>Bjc8CZ2D77Q</x:v>
      </x:c>
      <x:c r="B139" s="10" t="str">
        <x:f>IF(A139="","",IF(COUNTIFS('Видео'!$A$7:$A$1508,A139)=1,INDEX('Видео'!$B$7:$B$1508,MATCH(A139,'Видео'!$A$7:$A$1508,0)),"ID не найден"))</x:f>
        <x:v>בחזרה למצרים | שיעור 1 – הגעת היהודים למצרים | פרופ' נח חכם</x:v>
      </x:c>
      <x:c r="C139" s="10" t="str">
        <x:f>IF(A139="","",IF(COUNTIFS('Видео'!$A$7:$A$1508,A139)=1,INDEX('Видео'!$C$7:$C$1508,MATCH(A139,'Видео'!$A$7:$A$1508,0)),"ID не найден"))</x:f>
        <x:v>История общин</x:v>
      </x:c>
      <x:c r="D139" s="10" t="str">
        <x:f>IF(A139="","",IF(COUNTIFS('Видео'!$A$7:$A$1508,A139)=1,INDEX('Видео'!$M$7:$M$1508,MATCH(A139,'Видео'!$A$7:$A$1508,0)),"ID не найден"))</x:f>
        <x:v>Тема: בחזרה למצרים | שיעור 1 – הגעת היהודים למצרים | פרופ' נח חכם. Просмотры в списке выше медианы выборки этого цикла в 1.78 раза. Египетская еврейская история расширяет каталог за пределы европейского опыта.</x:v>
      </x:c>
      <x:c r="E139" s="9" t="str">
        <x:f>IF(A139="","",IF(COUNTIFS('Видео'!$A$7:$A$1508,A139)=1,INDEX('Видео'!$D$7:$D$1508,MATCH(A139,'Видео'!$A$7:$A$1508,0)),"ID не найден"))</x:f>
        <x:v>История</x:v>
      </x:c>
      <x:c r="F139" s="10" t="str">
        <x:f>IF(A139="","",IF(COUNTIFS('Видео'!$A$7:$A$1508,A139)=1,INDEX('Видео'!$F$7:$F$1508,MATCH(A139,'Видео'!$A$7:$A$1508,0)),"ID не найден"))</x:f>
        <x:v>B2–C1 (гипотеза)</x:v>
      </x:c>
      <x:c r="G139" s="14" t="n">
        <x:f>IF(A139="","",IF(COUNTIFS('Видео'!$A$7:$A$1508,A139)=1,INDEX('Видео'!$H$7:$H$1508,MATCH(A139,'Видео'!$A$7:$A$1508,0)),"ID не найден"))</x:f>
        <x:v>3284</x:v>
      </x:c>
      <x:c r="H139" s="18" t="n">
        <x:f>IF(A139="","",IF(COUNTIFS('Видео'!$A$7:$A$1508,A139)=1,INDEX('Видео'!$L$7:$L$1508,MATCH(A139,'Видео'!$A$7:$A$1508,0)),"ID не найден"))</x:f>
        <x:v>1.7777777777777777</x:v>
      </x:c>
      <x:c r="I139" s="10" t="str">
        <x:f>IF(A139="","",IF(COUNTIFS('Видео'!$A$7:$A$1508,A139)=1,INDEX('Видео'!$AI$7:$AI$1508,MATCH(A139,'Видео'!$A$7:$A$1508,0)),"ID не найден"))</x:f>
        <x:v>Нужна редактура</x:v>
      </x:c>
      <x:c r="J139" s="11" t="str">
        <x:f>IF(A139="","",IF(COUNTIFS('Видео'!$A$7:$A$1508,A139)=1,INDEX('Видео'!$U$7:$U$1508,MATCH(A139,'Видео'!$A$7:$A$1508,0)),"ID не найден"))</x:f>
        <x:v>https://www.youtube.com/watch?v=Bjc8CZ2D77Q</x:v>
      </x:c>
      <x:c r="K139" s="9" t="str">
        <x:v>C066</x:v>
      </x:c>
      <x:c r="L139" s="9" t="str">
        <x:v>Да</x:v>
      </x:c>
    </x:row>
    <x:row r="140" ht="60" customHeight="1">
      <x:c r="A140" s="9" t="str">
        <x:v>pZHaUMn3vD8</x:v>
      </x:c>
      <x:c r="B140" s="10" t="str">
        <x:f>IF(A140="","",IF(COUNTIFS('Видео'!$A$7:$A$1508,A140)=1,INDEX('Видео'!$B$7:$B$1508,MATCH(A140,'Видео'!$A$7:$A$1508,0)),"ID не найден"))</x:f>
        <x:v>בחזרה למצרים | שיעור 2 – מתן תורה ליהודי מצרים – איגרת אריסטיאס | פרופ' נח חכם</x:v>
      </x:c>
      <x:c r="C140" s="10" t="str">
        <x:f>IF(A140="","",IF(COUNTIFS('Видео'!$A$7:$A$1508,A140)=1,INDEX('Видео'!$C$7:$C$1508,MATCH(A140,'Видео'!$A$7:$A$1508,0)),"ID не найден"))</x:f>
        <x:v>История общин</x:v>
      </x:c>
      <x:c r="D140" s="10" t="str">
        <x:f>IF(A140="","",IF(COUNTIFS('Видео'!$A$7:$A$1508,A140)=1,INDEX('Видео'!$M$7:$M$1508,MATCH(A140,'Видео'!$A$7:$A$1508,0)),"ID не найден"))</x:f>
        <x:v>Тема: בחזרה למצרים | שיעור 2 – מתן תורה ליהודי מצרים – איגרת אריסטיאס | פרופ' נח חכם. Египетская еврейская история расширяет каталог за пределы европейского опыта.</x:v>
      </x:c>
      <x:c r="E140" s="9" t="str">
        <x:f>IF(A140="","",IF(COUNTIFS('Видео'!$A$7:$A$1508,A140)=1,INDEX('Видео'!$D$7:$D$1508,MATCH(A140,'Видео'!$A$7:$A$1508,0)),"ID не найден"))</x:f>
        <x:v>История</x:v>
      </x:c>
      <x:c r="F140" s="10" t="str">
        <x:f>IF(A140="","",IF(COUNTIFS('Видео'!$A$7:$A$1508,A140)=1,INDEX('Видео'!$F$7:$F$1508,MATCH(A140,'Видео'!$A$7:$A$1508,0)),"ID не найден"))</x:f>
        <x:v>B2–C1 (гипотеза)</x:v>
      </x:c>
      <x:c r="G140" s="14" t="n">
        <x:f>IF(A140="","",IF(COUNTIFS('Видео'!$A$7:$A$1508,A140)=1,INDEX('Видео'!$H$7:$H$1508,MATCH(A140,'Видео'!$A$7:$A$1508,0)),"ID не найден"))</x:f>
        <x:v>2040</x:v>
      </x:c>
      <x:c r="H140" s="18" t="n">
        <x:f>IF(A140="","",IF(COUNTIFS('Видео'!$A$7:$A$1508,A140)=1,INDEX('Видео'!$L$7:$L$1508,MATCH(A140,'Видео'!$A$7:$A$1508,0)),"ID не найден"))</x:f>
        <x:v>1.1111111111111112</x:v>
      </x:c>
      <x:c r="I140" s="10" t="str">
        <x:f>IF(A140="","",IF(COUNTIFS('Видео'!$A$7:$A$1508,A140)=1,INDEX('Видео'!$AI$7:$AI$1508,MATCH(A140,'Видео'!$A$7:$A$1508,0)),"ID не найден"))</x:f>
        <x:v>Нужна редактура</x:v>
      </x:c>
      <x:c r="J140" s="11" t="str">
        <x:f>IF(A140="","",IF(COUNTIFS('Видео'!$A$7:$A$1508,A140)=1,INDEX('Видео'!$U$7:$U$1508,MATCH(A140,'Видео'!$A$7:$A$1508,0)),"ID не найден"))</x:f>
        <x:v>https://www.youtube.com/watch?v=pZHaUMn3vD8</x:v>
      </x:c>
      <x:c r="K140" s="9" t="str">
        <x:v>C066</x:v>
      </x:c>
      <x:c r="L140" s="9" t="str">
        <x:v>Да</x:v>
      </x:c>
    </x:row>
    <x:row r="141" ht="60" customHeight="1">
      <x:c r="A141" s="9" t="str">
        <x:v>W_h-xV7Xabs</x:v>
      </x:c>
      <x:c r="B141" s="10" t="str">
        <x:f>IF(A141="","",IF(COUNTIFS('Видео'!$A$7:$A$1508,A141)=1,INDEX('Видео'!$B$7:$B$1508,MATCH(A141,'Видео'!$A$7:$A$1508,0)),"ID не найден"))</x:f>
        <x:v>דיואן יהודי תימן | שיעור 1 - היסטוריה | ד"ר תום פוגל</x:v>
      </x:c>
      <x:c r="C141" s="10" t="str">
        <x:f>IF(A141="","",IF(COUNTIFS('Видео'!$A$7:$A$1508,A141)=1,INDEX('Видео'!$C$7:$C$1508,MATCH(A141,'Видео'!$A$7:$A$1508,0)),"ID не найден"))</x:f>
        <x:v>Культура общин</x:v>
      </x:c>
      <x:c r="D141" s="10" t="str">
        <x:f>IF(A141="","",IF(COUNTIFS('Видео'!$A$7:$A$1508,A141)=1,INDEX('Видео'!$M$7:$M$1508,MATCH(A141,'Видео'!$A$7:$A$1508,0)),"ID не найден"))</x:f>
        <x:v>Тема: דיואן יהודי תימן | שיעור 1 - היסטוריה | ד"ר תום פוגל. Просмотры в списке выше медианы выборки этого цикла в 3.56 раза. Йеменская традиция показывает разнообразие еврейской культуры.</x:v>
      </x:c>
      <x:c r="E141" s="9" t="str">
        <x:f>IF(A141="","",IF(COUNTIFS('Видео'!$A$7:$A$1508,A141)=1,INDEX('Видео'!$D$7:$D$1508,MATCH(A141,'Видео'!$A$7:$A$1508,0)),"ID не найден"))</x:f>
        <x:v>История</x:v>
      </x:c>
      <x:c r="F141" s="10" t="str">
        <x:f>IF(A141="","",IF(COUNTIFS('Видео'!$A$7:$A$1508,A141)=1,INDEX('Видео'!$F$7:$F$1508,MATCH(A141,'Видео'!$A$7:$A$1508,0)),"ID не найден"))</x:f>
        <x:v>B2–C1 (гипотеза)</x:v>
      </x:c>
      <x:c r="G141" s="14" t="n">
        <x:f>IF(A141="","",IF(COUNTIFS('Видео'!$A$7:$A$1508,A141)=1,INDEX('Видео'!$H$7:$H$1508,MATCH(A141,'Видео'!$A$7:$A$1508,0)),"ID не найден"))</x:f>
        <x:v>3188</x:v>
      </x:c>
      <x:c r="H141" s="18" t="n">
        <x:f>IF(A141="","",IF(COUNTIFS('Видео'!$A$7:$A$1508,A141)=1,INDEX('Видео'!$L$7:$L$1508,MATCH(A141,'Видео'!$A$7:$A$1508,0)),"ID не найден"))</x:f>
        <x:v>3.5632183908045976</x:v>
      </x:c>
      <x:c r="I141" s="10" t="str">
        <x:f>IF(A141="","",IF(COUNTIFS('Видео'!$A$7:$A$1508,A141)=1,INDEX('Видео'!$AI$7:$AI$1508,MATCH(A141,'Видео'!$A$7:$A$1508,0)),"ID не найден"))</x:f>
        <x:v>Нужна редактура</x:v>
      </x:c>
      <x:c r="J141" s="11" t="str">
        <x:f>IF(A141="","",IF(COUNTIFS('Видео'!$A$7:$A$1508,A141)=1,INDEX('Видео'!$U$7:$U$1508,MATCH(A141,'Видео'!$A$7:$A$1508,0)),"ID не найден"))</x:f>
        <x:v>https://www.youtube.com/watch?v=W_h-xV7Xabs</x:v>
      </x:c>
      <x:c r="K141" s="9" t="str">
        <x:v>C067</x:v>
      </x:c>
      <x:c r="L141" s="9" t="str">
        <x:v>Да</x:v>
      </x:c>
    </x:row>
    <x:row r="142" ht="60" customHeight="1">
      <x:c r="A142" s="9" t="str">
        <x:v>YZEzPq6-3Sc</x:v>
      </x:c>
      <x:c r="B142" s="10" t="str">
        <x:f>IF(A142="","",IF(COUNTIFS('Видео'!$A$7:$A$1508,A142)=1,INDEX('Видео'!$B$7:$B$1508,MATCH(A142,'Видео'!$A$7:$A$1508,0)),"ID не найден"))</x:f>
        <x:v>דיואן יהודי תימן | שיעור 2 - טקסט | ד"ר תום פוגל</x:v>
      </x:c>
      <x:c r="C142" s="10" t="str">
        <x:f>IF(A142="","",IF(COUNTIFS('Видео'!$A$7:$A$1508,A142)=1,INDEX('Видео'!$C$7:$C$1508,MATCH(A142,'Видео'!$A$7:$A$1508,0)),"ID не найден"))</x:f>
        <x:v>Культура общин</x:v>
      </x:c>
      <x:c r="D142" s="10" t="str">
        <x:f>IF(A142="","",IF(COUNTIFS('Видео'!$A$7:$A$1508,A142)=1,INDEX('Видео'!$M$7:$M$1508,MATCH(A142,'Видео'!$A$7:$A$1508,0)),"ID не найден"))</x:f>
        <x:v>Тема: דיואן יהודי תימן | שיעור 2 - טקסט | ד"ר תום פוגל. Йеменская традиция показывает разнообразие еврейской культуры.</x:v>
      </x:c>
      <x:c r="E142" s="9" t="str">
        <x:f>IF(A142="","",IF(COUNTIFS('Видео'!$A$7:$A$1508,A142)=1,INDEX('Видео'!$D$7:$D$1508,MATCH(A142,'Видео'!$A$7:$A$1508,0)),"ID не найден"))</x:f>
        <x:v>История</x:v>
      </x:c>
      <x:c r="F142" s="10" t="str">
        <x:f>IF(A142="","",IF(COUNTIFS('Видео'!$A$7:$A$1508,A142)=1,INDEX('Видео'!$F$7:$F$1508,MATCH(A142,'Видео'!$A$7:$A$1508,0)),"ID не найден"))</x:f>
        <x:v>B2–C1 (гипотеза)</x:v>
      </x:c>
      <x:c r="G142" s="14" t="n">
        <x:f>IF(A142="","",IF(COUNTIFS('Видео'!$A$7:$A$1508,A142)=1,INDEX('Видео'!$H$7:$H$1508,MATCH(A142,'Видео'!$A$7:$A$1508,0)),"ID не найден"))</x:f>
        <x:v>1047</x:v>
      </x:c>
      <x:c r="H142" s="18" t="n">
        <x:f>IF(A142="","",IF(COUNTIFS('Видео'!$A$7:$A$1508,A142)=1,INDEX('Видео'!$L$7:$L$1508,MATCH(A142,'Видео'!$A$7:$A$1508,0)),"ID не найден"))</x:f>
        <x:v>1.1494252873563218</x:v>
      </x:c>
      <x:c r="I142" s="10" t="str">
        <x:f>IF(A142="","",IF(COUNTIFS('Видео'!$A$7:$A$1508,A142)=1,INDEX('Видео'!$AI$7:$AI$1508,MATCH(A142,'Видео'!$A$7:$A$1508,0)),"ID не найден"))</x:f>
        <x:v>Нужна редактура</x:v>
      </x:c>
      <x:c r="J142" s="11" t="str">
        <x:f>IF(A142="","",IF(COUNTIFS('Видео'!$A$7:$A$1508,A142)=1,INDEX('Видео'!$U$7:$U$1508,MATCH(A142,'Видео'!$A$7:$A$1508,0)),"ID не найден"))</x:f>
        <x:v>https://www.youtube.com/watch?v=YZEzPq6-3Sc</x:v>
      </x:c>
      <x:c r="K142" s="9" t="str">
        <x:v>C067</x:v>
      </x:c>
      <x:c r="L142" s="9" t="str">
        <x:v>Да</x:v>
      </x:c>
    </x:row>
    <x:row r="143" ht="60" customHeight="1">
      <x:c r="A143" s="9" t="str">
        <x:v>6IPnGLabX_Q</x:v>
      </x:c>
      <x:c r="B143" s="10" t="str">
        <x:f>IF(A143="","",IF(COUNTIFS('Видео'!$A$7:$A$1508,A143)=1,INDEX('Видео'!$B$7:$B$1508,MATCH(A143,'Видео'!$A$7:$A$1508,0)),"ID не найден"))</x:f>
        <x:v>ספרות הלאדינו | שיעור 1 - ספרד הוירטואלית | ד"ר אליעזר פאפו</x:v>
      </x:c>
      <x:c r="C143" s="10" t="str">
        <x:f>IF(A143="","",IF(COUNTIFS('Видео'!$A$7:$A$1508,A143)=1,INDEX('Видео'!$C$7:$C$1508,MATCH(A143,'Видео'!$A$7:$A$1508,0)),"ID не найден"))</x:f>
        <x:v>Культура общин</x:v>
      </x:c>
      <x:c r="D143" s="10" t="str">
        <x:f>IF(A143="","",IF(COUNTIFS('Видео'!$A$7:$A$1508,A143)=1,INDEX('Видео'!$M$7:$M$1508,MATCH(A143,'Видео'!$A$7:$A$1508,0)),"ID не найден"))</x:f>
        <x:v>Тема: ספרות הלאדינו | שיעור 1 - ספרד הוירטואלית | ד"ר אליעזר פאפו. Просмотры в списке выше медианы выборки этого цикла в 2.3 раза. Ладино вводит сефардскую культурную историю через лекцию на иврите.</x:v>
      </x:c>
      <x:c r="E143" s="9" t="str">
        <x:f>IF(A143="","",IF(COUNTIFS('Видео'!$A$7:$A$1508,A143)=1,INDEX('Видео'!$D$7:$D$1508,MATCH(A143,'Видео'!$A$7:$A$1508,0)),"ID не найден"))</x:f>
        <x:v>История</x:v>
      </x:c>
      <x:c r="F143" s="10" t="str">
        <x:f>IF(A143="","",IF(COUNTIFS('Видео'!$A$7:$A$1508,A143)=1,INDEX('Видео'!$F$7:$F$1508,MATCH(A143,'Видео'!$A$7:$A$1508,0)),"ID не найден"))</x:f>
        <x:v>B2–C1 (гипотеза)</x:v>
      </x:c>
      <x:c r="G143" s="14" t="n">
        <x:f>IF(A143="","",IF(COUNTIFS('Видео'!$A$7:$A$1508,A143)=1,INDEX('Видео'!$H$7:$H$1508,MATCH(A143,'Видео'!$A$7:$A$1508,0)),"ID не найден"))</x:f>
        <x:v>1671</x:v>
      </x:c>
      <x:c r="H143" s="18" t="n">
        <x:f>IF(A143="","",IF(COUNTIFS('Видео'!$A$7:$A$1508,A143)=1,INDEX('Видео'!$L$7:$L$1508,MATCH(A143,'Видео'!$A$7:$A$1508,0)),"ID не найден"))</x:f>
        <x:v>2.302158273381295</x:v>
      </x:c>
      <x:c r="I143" s="10" t="str">
        <x:f>IF(A143="","",IF(COUNTIFS('Видео'!$A$7:$A$1508,A143)=1,INDEX('Видео'!$AI$7:$AI$1508,MATCH(A143,'Видео'!$A$7:$A$1508,0)),"ID не найден"))</x:f>
        <x:v>Нужна редактура</x:v>
      </x:c>
      <x:c r="J143" s="11" t="str">
        <x:f>IF(A143="","",IF(COUNTIFS('Видео'!$A$7:$A$1508,A143)=1,INDEX('Видео'!$U$7:$U$1508,MATCH(A143,'Видео'!$A$7:$A$1508,0)),"ID не найден"))</x:f>
        <x:v>https://www.youtube.com/watch?v=6IPnGLabX_Q</x:v>
      </x:c>
      <x:c r="K143" s="9" t="str">
        <x:v>C068</x:v>
      </x:c>
      <x:c r="L143" s="9" t="str">
        <x:v>Да</x:v>
      </x:c>
    </x:row>
    <x:row r="144" ht="60" customHeight="1">
      <x:c r="A144" s="9" t="str">
        <x:v>4bQg-HtdcI8</x:v>
      </x:c>
      <x:c r="B144" s="10" t="str">
        <x:f>IF(A144="","",IF(COUNTIFS('Видео'!$A$7:$A$1508,A144)=1,INDEX('Видео'!$B$7:$B$1508,MATCH(A144,'Видео'!$A$7:$A$1508,0)),"ID не найден"))</x:f>
        <x:v>ספרות הלאדינו | שיעור 2 - קומפלאש די יוסף הצדיק | ד"ר אליעזר פאפו</x:v>
      </x:c>
      <x:c r="C144" s="10" t="str">
        <x:f>IF(A144="","",IF(COUNTIFS('Видео'!$A$7:$A$1508,A144)=1,INDEX('Видео'!$C$7:$C$1508,MATCH(A144,'Видео'!$A$7:$A$1508,0)),"ID не найден"))</x:f>
        <x:v>Культура общин</x:v>
      </x:c>
      <x:c r="D144" s="10" t="str">
        <x:f>IF(A144="","",IF(COUNTIFS('Видео'!$A$7:$A$1508,A144)=1,INDEX('Видео'!$M$7:$M$1508,MATCH(A144,'Видео'!$A$7:$A$1508,0)),"ID не найден"))</x:f>
        <x:v>Тема: ספרות הלאדינו | שיעור 2 - קומפלאש די יוסף הצדיק | ד"ר אליעזר פאפו. Ладино вводит сефардскую культурную историю через лекцию на иврите.</x:v>
      </x:c>
      <x:c r="E144" s="9" t="str">
        <x:f>IF(A144="","",IF(COUNTIFS('Видео'!$A$7:$A$1508,A144)=1,INDEX('Видео'!$D$7:$D$1508,MATCH(A144,'Видео'!$A$7:$A$1508,0)),"ID не найден"))</x:f>
        <x:v>История</x:v>
      </x:c>
      <x:c r="F144" s="10" t="str">
        <x:f>IF(A144="","",IF(COUNTIFS('Видео'!$A$7:$A$1508,A144)=1,INDEX('Видео'!$F$7:$F$1508,MATCH(A144,'Видео'!$A$7:$A$1508,0)),"ID не найден"))</x:f>
        <x:v>B2–C1 (гипотеза)</x:v>
      </x:c>
      <x:c r="G144" s="14" t="n">
        <x:f>IF(A144="","",IF(COUNTIFS('Видео'!$A$7:$A$1508,A144)=1,INDEX('Видео'!$H$7:$H$1508,MATCH(A144,'Видео'!$A$7:$A$1508,0)),"ID не найден"))</x:f>
        <x:v>850</x:v>
      </x:c>
      <x:c r="H144" s="18" t="n">
        <x:f>IF(A144="","",IF(COUNTIFS('Видео'!$A$7:$A$1508,A144)=1,INDEX('Видео'!$L$7:$L$1508,MATCH(A144,'Видео'!$A$7:$A$1508,0)),"ID не найден"))</x:f>
        <x:v>1.223021582733813</x:v>
      </x:c>
      <x:c r="I144" s="10" t="str">
        <x:f>IF(A144="","",IF(COUNTIFS('Видео'!$A$7:$A$1508,A144)=1,INDEX('Видео'!$AI$7:$AI$1508,MATCH(A144,'Видео'!$A$7:$A$1508,0)),"ID не найден"))</x:f>
        <x:v>Нужна редактура</x:v>
      </x:c>
      <x:c r="J144" s="11" t="str">
        <x:f>IF(A144="","",IF(COUNTIFS('Видео'!$A$7:$A$1508,A144)=1,INDEX('Видео'!$U$7:$U$1508,MATCH(A144,'Видео'!$A$7:$A$1508,0)),"ID не найден"))</x:f>
        <x:v>https://www.youtube.com/watch?v=4bQg-HtdcI8</x:v>
      </x:c>
      <x:c r="K144" s="9" t="str">
        <x:v>C068</x:v>
      </x:c>
      <x:c r="L144" s="9" t="str">
        <x:v>Да</x:v>
      </x:c>
    </x:row>
    <x:row r="145" ht="60" customHeight="1">
      <x:c r="A145" s="9" t="str">
        <x:v>Wd3ZUjXIDlA</x:v>
      </x:c>
      <x:c r="B145" s="10" t="str">
        <x:f>IF(A145="","",IF(COUNTIFS('Видео'!$A$7:$A$1508,A145)=1,INDEX('Видео'!$B$7:$B$1508,MATCH(A145,'Видео'!$A$7:$A$1508,0)),"ID не найден"))</x:f>
        <x:v>חמש קריאות בהגות ציונית | שיעור 1 - יהודה חי אלקלעי | פרופ' ישראל ברטל</x:v>
      </x:c>
      <x:c r="C145" s="10" t="str">
        <x:f>IF(A145="","",IF(COUNTIFS('Видео'!$A$7:$A$1508,A145)=1,INDEX('Видео'!$C$7:$C$1508,MATCH(A145,'Видео'!$A$7:$A$1508,0)),"ID не найден"))</x:f>
        <x:v>История идей</x:v>
      </x:c>
      <x:c r="D145" s="10" t="str">
        <x:f>IF(A145="","",IF(COUNTIFS('Видео'!$A$7:$A$1508,A145)=1,INDEX('Видео'!$M$7:$M$1508,MATCH(A145,'Видео'!$A$7:$A$1508,0)),"ID не найден"))</x:f>
        <x:v>Тема: חמש קריאות בהגות ציונית | שיעור 1 - יהודה חי אלקלעי | פרופ' ישראל ברטל. Просмотры в списке выше медианы выборки этого цикла в 2.2 раза. Серия предлагает академический вход в разные тексты и идеи сионизма.</x:v>
      </x:c>
      <x:c r="E145" s="9" t="str">
        <x:f>IF(A145="","",IF(COUNTIFS('Видео'!$A$7:$A$1508,A145)=1,INDEX('Видео'!$D$7:$D$1508,MATCH(A145,'Видео'!$A$7:$A$1508,0)),"ID не найден"))</x:f>
        <x:v>История</x:v>
      </x:c>
      <x:c r="F145" s="10" t="str">
        <x:f>IF(A145="","",IF(COUNTIFS('Видео'!$A$7:$A$1508,A145)=1,INDEX('Видео'!$F$7:$F$1508,MATCH(A145,'Видео'!$A$7:$A$1508,0)),"ID не найден"))</x:f>
        <x:v>B2–C1 (гипотеза)</x:v>
      </x:c>
      <x:c r="G145" s="14" t="n">
        <x:f>IF(A145="","",IF(COUNTIFS('Видео'!$A$7:$A$1508,A145)=1,INDEX('Видео'!$H$7:$H$1508,MATCH(A145,'Видео'!$A$7:$A$1508,0)),"ID не найден"))</x:f>
        <x:v>2295</x:v>
      </x:c>
      <x:c r="H145" s="18" t="n">
        <x:f>IF(A145="","",IF(COUNTIFS('Видео'!$A$7:$A$1508,A145)=1,INDEX('Видео'!$L$7:$L$1508,MATCH(A145,'Видео'!$A$7:$A$1508,0)),"ID не найден"))</x:f>
        <x:v>2.2</x:v>
      </x:c>
      <x:c r="I145" s="10" t="str">
        <x:f>IF(A145="","",IF(COUNTIFS('Видео'!$A$7:$A$1508,A145)=1,INDEX('Видео'!$AI$7:$AI$1508,MATCH(A145,'Видео'!$A$7:$A$1508,0)),"ID не найден"))</x:f>
        <x:v>Нужна редактура</x:v>
      </x:c>
      <x:c r="J145" s="11" t="str">
        <x:f>IF(A145="","",IF(COUNTIFS('Видео'!$A$7:$A$1508,A145)=1,INDEX('Видео'!$U$7:$U$1508,MATCH(A145,'Видео'!$A$7:$A$1508,0)),"ID не найден"))</x:f>
        <x:v>https://www.youtube.com/watch?v=Wd3ZUjXIDlA</x:v>
      </x:c>
      <x:c r="K145" s="9" t="str">
        <x:v>C069</x:v>
      </x:c>
      <x:c r="L145" s="9" t="str">
        <x:v>Да</x:v>
      </x:c>
    </x:row>
    <x:row r="146" ht="60" customHeight="1">
      <x:c r="A146" s="9" t="str">
        <x:v>mFs9mUgvrIA</x:v>
      </x:c>
      <x:c r="B146" s="10" t="str">
        <x:f>IF(A146="","",IF(COUNTIFS('Видео'!$A$7:$A$1508,A146)=1,INDEX('Видео'!$B$7:$B$1508,MATCH(A146,'Видео'!$A$7:$A$1508,0)),"ID не найден"))</x:f>
        <x:v>חמש קריאות בהגות ציונית | שיעור 2 - אליעזר בן־יהודה | פרופ' ישראל ברטל</x:v>
      </x:c>
      <x:c r="C146" s="10" t="str">
        <x:f>IF(A146="","",IF(COUNTIFS('Видео'!$A$7:$A$1508,A146)=1,INDEX('Видео'!$C$7:$C$1508,MATCH(A146,'Видео'!$A$7:$A$1508,0)),"ID не найден"))</x:f>
        <x:v>История идей</x:v>
      </x:c>
      <x:c r="D146" s="10" t="str">
        <x:f>IF(A146="","",IF(COUNTIFS('Видео'!$A$7:$A$1508,A146)=1,INDEX('Видео'!$M$7:$M$1508,MATCH(A146,'Видео'!$A$7:$A$1508,0)),"ID не найден"))</x:f>
        <x:v>Тема: חמש קריאות בהגות ציונית | שיעור 2 - אליעזר בן־יהודה | פרופ' ישראל ברטל. Серия предлагает академический вход в разные тексты и идеи сионизма.</x:v>
      </x:c>
      <x:c r="E146" s="9" t="str">
        <x:f>IF(A146="","",IF(COUNTIFS('Видео'!$A$7:$A$1508,A146)=1,INDEX('Видео'!$D$7:$D$1508,MATCH(A146,'Видео'!$A$7:$A$1508,0)),"ID не найден"))</x:f>
        <x:v>История</x:v>
      </x:c>
      <x:c r="F146" s="10" t="str">
        <x:f>IF(A146="","",IF(COUNTIFS('Видео'!$A$7:$A$1508,A146)=1,INDEX('Видео'!$F$7:$F$1508,MATCH(A146,'Видео'!$A$7:$A$1508,0)),"ID не найден"))</x:f>
        <x:v>B2–C1 (гипотеза)</x:v>
      </x:c>
      <x:c r="G146" s="14" t="n">
        <x:f>IF(A146="","",IF(COUNTIFS('Видео'!$A$7:$A$1508,A146)=1,INDEX('Видео'!$H$7:$H$1508,MATCH(A146,'Видео'!$A$7:$A$1508,0)),"ID не найден"))</x:f>
        <x:v>1243</x:v>
      </x:c>
      <x:c r="H146" s="18" t="n">
        <x:f>IF(A146="","",IF(COUNTIFS('Видео'!$A$7:$A$1508,A146)=1,INDEX('Видео'!$L$7:$L$1508,MATCH(A146,'Видео'!$A$7:$A$1508,0)),"ID не найден"))</x:f>
        <x:v>1.2</x:v>
      </x:c>
      <x:c r="I146" s="10" t="str">
        <x:f>IF(A146="","",IF(COUNTIFS('Видео'!$A$7:$A$1508,A146)=1,INDEX('Видео'!$AI$7:$AI$1508,MATCH(A146,'Видео'!$A$7:$A$1508,0)),"ID не найден"))</x:f>
        <x:v>Нужна редактура</x:v>
      </x:c>
      <x:c r="J146" s="11" t="str">
        <x:f>IF(A146="","",IF(COUNTIFS('Видео'!$A$7:$A$1508,A146)=1,INDEX('Видео'!$U$7:$U$1508,MATCH(A146,'Видео'!$A$7:$A$1508,0)),"ID не найден"))</x:f>
        <x:v>https://www.youtube.com/watch?v=mFs9mUgvrIA</x:v>
      </x:c>
      <x:c r="K146" s="9" t="str">
        <x:v>C069</x:v>
      </x:c>
      <x:c r="L146" s="9" t="str">
        <x:v>Да</x:v>
      </x:c>
    </x:row>
    <x:row r="147" ht="60" customHeight="1">
      <x:c r="A147" s="9" t="str">
        <x:v>GsgVDb0VJd4</x:v>
      </x:c>
      <x:c r="B147" s="10" t="str">
        <x:f>IF(A147="","",IF(COUNTIFS('Видео'!$A$7:$A$1508,A147)=1,INDEX('Видео'!$B$7:$B$1508,MATCH(A147,'Видео'!$A$7:$A$1508,0)),"ID не найден"))</x:f>
        <x:v>תלמודו של עגנון | שיעור 1 - עגנון כגאון טקסטואלי | פרופ' חיים וייס</x:v>
      </x:c>
      <x:c r="C147" s="10" t="str">
        <x:f>IF(A147="","",IF(COUNTIFS('Видео'!$A$7:$A$1508,A147)=1,INDEX('Видео'!$C$7:$C$1508,MATCH(A147,'Видео'!$A$7:$A$1508,0)),"ID не найден"))</x:f>
        <x:v>Литература и язык</x:v>
      </x:c>
      <x:c r="D147" s="10" t="str">
        <x:f>IF(A147="","",IF(COUNTIFS('Видео'!$A$7:$A$1508,A147)=1,INDEX('Видео'!$M$7:$M$1508,MATCH(A147,'Видео'!$A$7:$A$1508,0)),"ID не найден"))</x:f>
        <x:v>Тема: תלמודו של עגנון | שיעור 1 - עגנון כגאון טקסטואלי | פרופ' חיים וייס. Просмотры в списке выше медианы выборки этого цикла в 2.06 раза. Агнон связывает классическую литературу и еврейскую текстовую традицию.</x:v>
      </x:c>
      <x:c r="E147" s="9" t="str">
        <x:f>IF(A147="","",IF(COUNTIFS('Видео'!$A$7:$A$1508,A147)=1,INDEX('Видео'!$D$7:$D$1508,MATCH(A147,'Видео'!$A$7:$A$1508,0)),"ID не найден"))</x:f>
        <x:v>История</x:v>
      </x:c>
      <x:c r="F147" s="10" t="str">
        <x:f>IF(A147="","",IF(COUNTIFS('Видео'!$A$7:$A$1508,A147)=1,INDEX('Видео'!$F$7:$F$1508,MATCH(A147,'Видео'!$A$7:$A$1508,0)),"ID не найден"))</x:f>
        <x:v>B2–C1 (гипотеза)</x:v>
      </x:c>
      <x:c r="G147" s="14" t="n">
        <x:f>IF(A147="","",IF(COUNTIFS('Видео'!$A$7:$A$1508,A147)=1,INDEX('Видео'!$H$7:$H$1508,MATCH(A147,'Видео'!$A$7:$A$1508,0)),"ID не найден"))</x:f>
        <x:v>7090</x:v>
      </x:c>
      <x:c r="H147" s="18" t="n">
        <x:f>IF(A147="","",IF(COUNTIFS('Видео'!$A$7:$A$1508,A147)=1,INDEX('Видео'!$L$7:$L$1508,MATCH(A147,'Видео'!$A$7:$A$1508,0)),"ID не найден"))</x:f>
        <x:v>2.0588235294117645</x:v>
      </x:c>
      <x:c r="I147" s="10" t="str">
        <x:f>IF(A147="","",IF(COUNTIFS('Видео'!$A$7:$A$1508,A147)=1,INDEX('Видео'!$AI$7:$AI$1508,MATCH(A147,'Видео'!$A$7:$A$1508,0)),"ID не найден"))</x:f>
        <x:v>Нужна редактура</x:v>
      </x:c>
      <x:c r="J147" s="11" t="str">
        <x:f>IF(A147="","",IF(COUNTIFS('Видео'!$A$7:$A$1508,A147)=1,INDEX('Видео'!$U$7:$U$1508,MATCH(A147,'Видео'!$A$7:$A$1508,0)),"ID не найден"))</x:f>
        <x:v>https://www.youtube.com/watch?v=GsgVDb0VJd4</x:v>
      </x:c>
      <x:c r="K147" s="9" t="str">
        <x:v>C071</x:v>
      </x:c>
      <x:c r="L147" s="9" t="str">
        <x:v>Да</x:v>
      </x:c>
    </x:row>
    <x:row r="148" ht="60" customHeight="1">
      <x:c r="A148" s="9" t="str">
        <x:v>VasSTIEP8Tk</x:v>
      </x:c>
      <x:c r="B148" s="10" t="str">
        <x:f>IF(A148="","",IF(COUNTIFS('Видео'!$A$7:$A$1508,A148)=1,INDEX('Видео'!$B$7:$B$1508,MATCH(A148,'Видео'!$A$7:$A$1508,0)),"ID не найден"))</x:f>
        <x:v>תלמודו של עגנון | שיעור 2 - שני תלמידי חכמים | פרופ' חיים וייס</x:v>
      </x:c>
      <x:c r="C148" s="10" t="str">
        <x:f>IF(A148="","",IF(COUNTIFS('Видео'!$A$7:$A$1508,A148)=1,INDEX('Видео'!$C$7:$C$1508,MATCH(A148,'Видео'!$A$7:$A$1508,0)),"ID не найден"))</x:f>
        <x:v>Литература и язык</x:v>
      </x:c>
      <x:c r="D148" s="10" t="str">
        <x:f>IF(A148="","",IF(COUNTIFS('Видео'!$A$7:$A$1508,A148)=1,INDEX('Видео'!$M$7:$M$1508,MATCH(A148,'Видео'!$A$7:$A$1508,0)),"ID не найден"))</x:f>
        <x:v>Тема: תלמודו של עגנון | שיעור 2 - שני תלמידי חכמים | פרופ' חיים וייס. Агнон связывает классическую литературу и еврейскую текстовую традицию.</x:v>
      </x:c>
      <x:c r="E148" s="9" t="str">
        <x:f>IF(A148="","",IF(COUNTIFS('Видео'!$A$7:$A$1508,A148)=1,INDEX('Видео'!$D$7:$D$1508,MATCH(A148,'Видео'!$A$7:$A$1508,0)),"ID не найден"))</x:f>
        <x:v>История</x:v>
      </x:c>
      <x:c r="F148" s="10" t="str">
        <x:f>IF(A148="","",IF(COUNTIFS('Видео'!$A$7:$A$1508,A148)=1,INDEX('Видео'!$F$7:$F$1508,MATCH(A148,'Видео'!$A$7:$A$1508,0)),"ID не найден"))</x:f>
        <x:v>B2–C1 (гипотеза)</x:v>
      </x:c>
      <x:c r="G148" s="14" t="n">
        <x:f>IF(A148="","",IF(COUNTIFS('Видео'!$A$7:$A$1508,A148)=1,INDEX('Видео'!$H$7:$H$1508,MATCH(A148,'Видео'!$A$7:$A$1508,0)),"ID не найден"))</x:f>
        <x:v>4706</x:v>
      </x:c>
      <x:c r="H148" s="18" t="n">
        <x:f>IF(A148="","",IF(COUNTIFS('Видео'!$A$7:$A$1508,A148)=1,INDEX('Видео'!$L$7:$L$1508,MATCH(A148,'Видео'!$A$7:$A$1508,0)),"ID не найден"))</x:f>
        <x:v>1.3823529411764706</x:v>
      </x:c>
      <x:c r="I148" s="10" t="str">
        <x:f>IF(A148="","",IF(COUNTIFS('Видео'!$A$7:$A$1508,A148)=1,INDEX('Видео'!$AI$7:$AI$1508,MATCH(A148,'Видео'!$A$7:$A$1508,0)),"ID не найден"))</x:f>
        <x:v>Нужна редактура</x:v>
      </x:c>
      <x:c r="J148" s="11" t="str">
        <x:f>IF(A148="","",IF(COUNTIFS('Видео'!$A$7:$A$1508,A148)=1,INDEX('Видео'!$U$7:$U$1508,MATCH(A148,'Видео'!$A$7:$A$1508,0)),"ID не найден"))</x:f>
        <x:v>https://www.youtube.com/watch?v=VasSTIEP8Tk</x:v>
      </x:c>
      <x:c r="K148" s="9" t="str">
        <x:v>C071</x:v>
      </x:c>
      <x:c r="L148" s="9" t="str">
        <x:v>Да</x:v>
      </x:c>
    </x:row>
    <x:row r="149" ht="60" customHeight="1">
      <x:c r="A149" s="9" t="str">
        <x:v>E8FCzGODLPk</x:v>
      </x:c>
      <x:c r="B149" s="10" t="str">
        <x:f>IF(A149="","",IF(COUNTIFS('Видео'!$A$7:$A$1508,A149)=1,INDEX('Видео'!$B$7:$B$1508,MATCH(A149,'Видео'!$A$7:$A$1508,0)),"ID не найден"))</x:f>
        <x:v>המסות של ח"נ ביאליק | שיעור 1 - הלכה ואגדה א | ד"ר רני יגר</x:v>
      </x:c>
      <x:c r="C149" s="10" t="str">
        <x:f>IF(A149="","",IF(COUNTIFS('Видео'!$A$7:$A$1508,A149)=1,INDEX('Видео'!$C$7:$C$1508,MATCH(A149,'Видео'!$A$7:$A$1508,0)),"ID не найден"))</x:f>
        <x:v>Литература и язык</x:v>
      </x:c>
      <x:c r="D149" s="10" t="str">
        <x:f>IF(A149="","",IF(COUNTIFS('Видео'!$A$7:$A$1508,A149)=1,INDEX('Видео'!$M$7:$M$1508,MATCH(A149,'Видео'!$A$7:$A$1508,0)),"ID не найден"))</x:f>
        <x:v>Тема: המסות של ח"נ ביאליק | שיעור 1 - הלכה ואגדה א | ד"ר רני יגר. Просмотры в списке выше медианы выборки этого цикла в 2.53 раза. Бялик даёт устойчивую культурную тему для аудитории книг и истории иврита.</x:v>
      </x:c>
      <x:c r="E149" s="9" t="str">
        <x:f>IF(A149="","",IF(COUNTIFS('Видео'!$A$7:$A$1508,A149)=1,INDEX('Видео'!$D$7:$D$1508,MATCH(A149,'Видео'!$A$7:$A$1508,0)),"ID не найден"))</x:f>
        <x:v>История</x:v>
      </x:c>
      <x:c r="F149" s="10" t="str">
        <x:f>IF(A149="","",IF(COUNTIFS('Видео'!$A$7:$A$1508,A149)=1,INDEX('Видео'!$F$7:$F$1508,MATCH(A149,'Видео'!$A$7:$A$1508,0)),"ID не найден"))</x:f>
        <x:v>B2–C1 (гипотеза)</x:v>
      </x:c>
      <x:c r="G149" s="14" t="n">
        <x:f>IF(A149="","",IF(COUNTIFS('Видео'!$A$7:$A$1508,A149)=1,INDEX('Видео'!$H$7:$H$1508,MATCH(A149,'Видео'!$A$7:$A$1508,0)),"ID не найден"))</x:f>
        <x:v>4874</x:v>
      </x:c>
      <x:c r="H149" s="18" t="n">
        <x:f>IF(A149="","",IF(COUNTIFS('Видео'!$A$7:$A$1508,A149)=1,INDEX('Видео'!$L$7:$L$1508,MATCH(A149,'Видео'!$A$7:$A$1508,0)),"ID не найден"))</x:f>
        <x:v>2.526315789473684</x:v>
      </x:c>
      <x:c r="I149" s="10" t="str">
        <x:f>IF(A149="","",IF(COUNTIFS('Видео'!$A$7:$A$1508,A149)=1,INDEX('Видео'!$AI$7:$AI$1508,MATCH(A149,'Видео'!$A$7:$A$1508,0)),"ID не найден"))</x:f>
        <x:v>Нужна редактура</x:v>
      </x:c>
      <x:c r="J149" s="11" t="str">
        <x:f>IF(A149="","",IF(COUNTIFS('Видео'!$A$7:$A$1508,A149)=1,INDEX('Видео'!$U$7:$U$1508,MATCH(A149,'Видео'!$A$7:$A$1508,0)),"ID не найден"))</x:f>
        <x:v>https://www.youtube.com/watch?v=E8FCzGODLPk</x:v>
      </x:c>
      <x:c r="K149" s="9" t="str">
        <x:v>C072</x:v>
      </x:c>
      <x:c r="L149" s="9" t="str">
        <x:v>Да</x:v>
      </x:c>
    </x:row>
    <x:row r="150" ht="60" customHeight="1">
      <x:c r="A150" s="9" t="str">
        <x:v>bvpfpOSuCgM</x:v>
      </x:c>
      <x:c r="B150" s="10" t="str">
        <x:f>IF(A150="","",IF(COUNTIFS('Видео'!$A$7:$A$1508,A150)=1,INDEX('Видео'!$B$7:$B$1508,MATCH(A150,'Видео'!$A$7:$A$1508,0)),"ID не найден"))</x:f>
        <x:v>המסות של ח"נ ביאליק | שיעור 2 - הלכה ואגדה ב | ד"ר רני יגר</x:v>
      </x:c>
      <x:c r="C150" s="10" t="str">
        <x:f>IF(A150="","",IF(COUNTIFS('Видео'!$A$7:$A$1508,A150)=1,INDEX('Видео'!$C$7:$C$1508,MATCH(A150,'Видео'!$A$7:$A$1508,0)),"ID не найден"))</x:f>
        <x:v>Литература и язык</x:v>
      </x:c>
      <x:c r="D150" s="10" t="str">
        <x:f>IF(A150="","",IF(COUNTIFS('Видео'!$A$7:$A$1508,A150)=1,INDEX('Видео'!$M$7:$M$1508,MATCH(A150,'Видео'!$A$7:$A$1508,0)),"ID не найден"))</x:f>
        <x:v>Тема: המסות של ח"נ ביאליק | שיעור 2 - הלכה ואגדה ב | ד"ר רני יגר. Бялик даёт устойчивую культурную тему для аудитории книг и истории иврита.</x:v>
      </x:c>
      <x:c r="E150" s="9" t="str">
        <x:f>IF(A150="","",IF(COUNTIFS('Видео'!$A$7:$A$1508,A150)=1,INDEX('Видео'!$D$7:$D$1508,MATCH(A150,'Видео'!$A$7:$A$1508,0)),"ID не найден"))</x:f>
        <x:v>История</x:v>
      </x:c>
      <x:c r="F150" s="10" t="str">
        <x:f>IF(A150="","",IF(COUNTIFS('Видео'!$A$7:$A$1508,A150)=1,INDEX('Видео'!$F$7:$F$1508,MATCH(A150,'Видео'!$A$7:$A$1508,0)),"ID не найден"))</x:f>
        <x:v>B2–C1 (гипотеза)</x:v>
      </x:c>
      <x:c r="G150" s="14" t="n">
        <x:f>IF(A150="","",IF(COUNTIFS('Видео'!$A$7:$A$1508,A150)=1,INDEX('Видео'!$H$7:$H$1508,MATCH(A150,'Видео'!$A$7:$A$1508,0)),"ID не найден"))</x:f>
        <x:v>2437</x:v>
      </x:c>
      <x:c r="H150" s="18" t="n">
        <x:f>IF(A150="","",IF(COUNTIFS('Видео'!$A$7:$A$1508,A150)=1,INDEX('Видео'!$L$7:$L$1508,MATCH(A150,'Видео'!$A$7:$A$1508,0)),"ID не найден"))</x:f>
        <x:v>1.263157894736842</x:v>
      </x:c>
      <x:c r="I150" s="10" t="str">
        <x:f>IF(A150="","",IF(COUNTIFS('Видео'!$A$7:$A$1508,A150)=1,INDEX('Видео'!$AI$7:$AI$1508,MATCH(A150,'Видео'!$A$7:$A$1508,0)),"ID не найден"))</x:f>
        <x:v>Нужна редактура</x:v>
      </x:c>
      <x:c r="J150" s="11" t="str">
        <x:f>IF(A150="","",IF(COUNTIFS('Видео'!$A$7:$A$1508,A150)=1,INDEX('Видео'!$U$7:$U$1508,MATCH(A150,'Видео'!$A$7:$A$1508,0)),"ID не найден"))</x:f>
        <x:v>https://www.youtube.com/watch?v=bvpfpOSuCgM</x:v>
      </x:c>
      <x:c r="K150" s="9" t="str">
        <x:v>C072</x:v>
      </x:c>
      <x:c r="L150" s="9" t="str">
        <x:v>Да</x:v>
      </x:c>
    </x:row>
    <x:row r="151" ht="60" customHeight="1">
      <x:c r="A151" s="9" t="str">
        <x:v>cVb4zye2zNE</x:v>
      </x:c>
      <x:c r="B151" s="10" t="str">
        <x:f>IF(A151="","",IF(COUNTIFS('Видео'!$A$7:$A$1508,A151)=1,INDEX('Видео'!$B$7:$B$1508,MATCH(A151,'Видео'!$A$7:$A$1508,0)),"ID не найден"))</x:f>
        <x:v>היסטוריה קצרה של חסידות ברסלב | שיעור 1 - האור הנעלם: היסטוריה, שבחים וצנזורה | פרופ' יונתן מאיר</x:v>
      </x:c>
      <x:c r="C151" s="10" t="str">
        <x:f>IF(A151="","",IF(COUNTIFS('Видео'!$A$7:$A$1508,A151)=1,INDEX('Видео'!$C$7:$C$1508,MATCH(A151,'Видео'!$A$7:$A$1508,0)),"ID не найден"))</x:f>
        <x:v>Религия и история</x:v>
      </x:c>
      <x:c r="D151" s="10" t="str">
        <x:f>IF(A151="","",IF(COUNTIFS('Видео'!$A$7:$A$1508,A151)=1,INDEX('Видео'!$M$7:$M$1508,MATCH(A151,'Видео'!$A$7:$A$1508,0)),"ID не найден"))</x:f>
        <x:v>Тема: היסטוריה קצרה של חסידות ברסלב | שיעור 1 - האור הנעלם: היסטוריה, שבחים וצנזורה | פרופ' יונתן מאיר. Просмотры в списке выше медианы выборки этого цикла в 2.14 раза. История движения помогает понять современную религиозную среду без ежедневной политики.</x:v>
      </x:c>
      <x:c r="E151" s="9" t="str">
        <x:f>IF(A151="","",IF(COUNTIFS('Видео'!$A$7:$A$1508,A151)=1,INDEX('Видео'!$D$7:$D$1508,MATCH(A151,'Видео'!$A$7:$A$1508,0)),"ID не найден"))</x:f>
        <x:v>История</x:v>
      </x:c>
      <x:c r="F151" s="10" t="str">
        <x:f>IF(A151="","",IF(COUNTIFS('Видео'!$A$7:$A$1508,A151)=1,INDEX('Видео'!$F$7:$F$1508,MATCH(A151,'Видео'!$A$7:$A$1508,0)),"ID не найден"))</x:f>
        <x:v>B2–C1 (гипотеза)</x:v>
      </x:c>
      <x:c r="G151" s="14" t="n">
        <x:f>IF(A151="","",IF(COUNTIFS('Видео'!$A$7:$A$1508,A151)=1,INDEX('Видео'!$H$7:$H$1508,MATCH(A151,'Видео'!$A$7:$A$1508,0)),"ID не найден"))</x:f>
        <x:v>6200</x:v>
      </x:c>
      <x:c r="H151" s="18" t="n">
        <x:f>IF(A151="","",IF(COUNTIFS('Видео'!$A$7:$A$1508,A151)=1,INDEX('Видео'!$L$7:$L$1508,MATCH(A151,'Видео'!$A$7:$A$1508,0)),"ID не найден"))</x:f>
        <x:v>2.1379310344827585</x:v>
      </x:c>
      <x:c r="I151" s="10" t="str">
        <x:f>IF(A151="","",IF(COUNTIFS('Видео'!$A$7:$A$1508,A151)=1,INDEX('Видео'!$AI$7:$AI$1508,MATCH(A151,'Видео'!$A$7:$A$1508,0)),"ID не найден"))</x:f>
        <x:v>Нужна редактура</x:v>
      </x:c>
      <x:c r="J151" s="11" t="str">
        <x:f>IF(A151="","",IF(COUNTIFS('Видео'!$A$7:$A$1508,A151)=1,INDEX('Видео'!$U$7:$U$1508,MATCH(A151,'Видео'!$A$7:$A$1508,0)),"ID не найден"))</x:f>
        <x:v>https://www.youtube.com/watch?v=cVb4zye2zNE</x:v>
      </x:c>
      <x:c r="K151" s="9" t="str">
        <x:v>C073</x:v>
      </x:c>
      <x:c r="L151" s="9" t="str">
        <x:v>Да</x:v>
      </x:c>
    </x:row>
    <x:row r="152" ht="60" customHeight="1">
      <x:c r="A152" s="9" t="str">
        <x:v>K8mBCU2UVU4</x:v>
      </x:c>
      <x:c r="B152" s="10" t="str">
        <x:f>IF(A152="","",IF(COUNTIFS('Видео'!$A$7:$A$1508,A152)=1,INDEX('Видео'!$B$7:$B$1508,MATCH(A152,'Видео'!$A$7:$A$1508,0)),"ID не найден"))</x:f>
        <x:v>היסטוריה קצרה של חסידות ברסלב | שיעור 2 - חזיונותיו של ר' נחמן מברסלב | פרופ' יונתן מאיר</x:v>
      </x:c>
      <x:c r="C152" s="10" t="str">
        <x:f>IF(A152="","",IF(COUNTIFS('Видео'!$A$7:$A$1508,A152)=1,INDEX('Видео'!$C$7:$C$1508,MATCH(A152,'Видео'!$A$7:$A$1508,0)),"ID не найден"))</x:f>
        <x:v>Религия и история</x:v>
      </x:c>
      <x:c r="D152" s="10" t="str">
        <x:f>IF(A152="","",IF(COUNTIFS('Видео'!$A$7:$A$1508,A152)=1,INDEX('Видео'!$M$7:$M$1508,MATCH(A152,'Видео'!$A$7:$A$1508,0)),"ID не найден"))</x:f>
        <x:v>Тема: היסטוריה קצרה של חסידות ברסלב | שיעור 2 - חזיונותיו של ר' נחמן מברסלב | פרופ' יונתן מאיר. История движения помогает понять современную религиозную среду без ежедневной политики.</x:v>
      </x:c>
      <x:c r="E152" s="9" t="str">
        <x:f>IF(A152="","",IF(COUNTIFS('Видео'!$A$7:$A$1508,A152)=1,INDEX('Видео'!$D$7:$D$1508,MATCH(A152,'Видео'!$A$7:$A$1508,0)),"ID не найден"))</x:f>
        <x:v>История</x:v>
      </x:c>
      <x:c r="F152" s="10" t="str">
        <x:f>IF(A152="","",IF(COUNTIFS('Видео'!$A$7:$A$1508,A152)=1,INDEX('Видео'!$F$7:$F$1508,MATCH(A152,'Видео'!$A$7:$A$1508,0)),"ID не найден"))</x:f>
        <x:v>B2–C1 (гипотеза)</x:v>
      </x:c>
      <x:c r="G152" s="14" t="n">
        <x:f>IF(A152="","",IF(COUNTIFS('Видео'!$A$7:$A$1508,A152)=1,INDEX('Видео'!$H$7:$H$1508,MATCH(A152,'Видео'!$A$7:$A$1508,0)),"ID не найден"))</x:f>
        <x:v>4065</x:v>
      </x:c>
      <x:c r="H152" s="18" t="n">
        <x:f>IF(A152="","",IF(COUNTIFS('Видео'!$A$7:$A$1508,A152)=1,INDEX('Видео'!$L$7:$L$1508,MATCH(A152,'Видео'!$A$7:$A$1508,0)),"ID не найден"))</x:f>
        <x:v>1.3793103448275863</x:v>
      </x:c>
      <x:c r="I152" s="10" t="str">
        <x:f>IF(A152="","",IF(COUNTIFS('Видео'!$A$7:$A$1508,A152)=1,INDEX('Видео'!$AI$7:$AI$1508,MATCH(A152,'Видео'!$A$7:$A$1508,0)),"ID не найден"))</x:f>
        <x:v>Нужна редактура</x:v>
      </x:c>
      <x:c r="J152" s="11" t="str">
        <x:f>IF(A152="","",IF(COUNTIFS('Видео'!$A$7:$A$1508,A152)=1,INDEX('Видео'!$U$7:$U$1508,MATCH(A152,'Видео'!$A$7:$A$1508,0)),"ID не найден"))</x:f>
        <x:v>https://www.youtube.com/watch?v=K8mBCU2UVU4</x:v>
      </x:c>
      <x:c r="K152" s="9" t="str">
        <x:v>C073</x:v>
      </x:c>
      <x:c r="L152" s="9" t="str">
        <x:v>Да</x:v>
      </x:c>
    </x:row>
    <x:row r="153" ht="60" customHeight="1">
      <x:c r="A153" s="9" t="str">
        <x:v>plGPD2bburg</x:v>
      </x:c>
      <x:c r="B153" s="10" t="str">
        <x:f>IF(A153="","",IF(COUNTIFS('Видео'!$A$7:$A$1508,A153)=1,INDEX('Видео'!$B$7:$B$1508,MATCH(A153,'Видео'!$A$7:$A$1508,0)),"ID не найден"))</x:f>
        <x:v>בארץ לא להם | שיעור 1 – "כי גרים הייתם בארץ מצרים" | ד"ר יפעת טהרני</x:v>
      </x:c>
      <x:c r="C153" s="10" t="str">
        <x:f>IF(A153="","",IF(COUNTIFS('Видео'!$A$7:$A$1508,A153)=1,INDEX('Видео'!$C$7:$C$1508,MATCH(A153,'Видео'!$A$7:$A$1508,0)),"ID не найден"))</x:f>
        <x:v>Древняя история</x:v>
      </x:c>
      <x:c r="D153" s="10" t="str">
        <x:f>IF(A153="","",IF(COUNTIFS('Видео'!$A$7:$A$1508,A153)=1,INDEX('Видео'!$M$7:$M$1508,MATCH(A153,'Видео'!$A$7:$A$1508,0)),"ID не найден"))</x:f>
        <x:v>Тема: בארץ לא להם | שיעור 1 – "כי גרים הייתם בארץ מצרים" | ד"ר יפעת טהרני. Просмотры в списке выше медианы выборки этого цикла в 2.1 раза. Археологический и исторический взгляд на исход предлагает содержательный разговор об источниках.</x:v>
      </x:c>
      <x:c r="E153" s="9" t="str">
        <x:f>IF(A153="","",IF(COUNTIFS('Видео'!$A$7:$A$1508,A153)=1,INDEX('Видео'!$D$7:$D$1508,MATCH(A153,'Видео'!$A$7:$A$1508,0)),"ID не найден"))</x:f>
        <x:v>История</x:v>
      </x:c>
      <x:c r="F153" s="10" t="str">
        <x:f>IF(A153="","",IF(COUNTIFS('Видео'!$A$7:$A$1508,A153)=1,INDEX('Видео'!$F$7:$F$1508,MATCH(A153,'Видео'!$A$7:$A$1508,0)),"ID не найден"))</x:f>
        <x:v>B2–C1 (гипотеза)</x:v>
      </x:c>
      <x:c r="G153" s="14" t="n">
        <x:f>IF(A153="","",IF(COUNTIFS('Видео'!$A$7:$A$1508,A153)=1,INDEX('Видео'!$H$7:$H$1508,MATCH(A153,'Видео'!$A$7:$A$1508,0)),"ID не найден"))</x:f>
        <x:v>4284</x:v>
      </x:c>
      <x:c r="H153" s="18" t="n">
        <x:f>IF(A153="","",IF(COUNTIFS('Видео'!$A$7:$A$1508,A153)=1,INDEX('Видео'!$L$7:$L$1508,MATCH(A153,'Видео'!$A$7:$A$1508,0)),"ID не найден"))</x:f>
        <x:v>2.1</x:v>
      </x:c>
      <x:c r="I153" s="10" t="str">
        <x:f>IF(A153="","",IF(COUNTIFS('Видео'!$A$7:$A$1508,A153)=1,INDEX('Видео'!$AI$7:$AI$1508,MATCH(A153,'Видео'!$A$7:$A$1508,0)),"ID не найден"))</x:f>
        <x:v>Нужна редактура</x:v>
      </x:c>
      <x:c r="J153" s="11" t="str">
        <x:f>IF(A153="","",IF(COUNTIFS('Видео'!$A$7:$A$1508,A153)=1,INDEX('Видео'!$U$7:$U$1508,MATCH(A153,'Видео'!$A$7:$A$1508,0)),"ID не найден"))</x:f>
        <x:v>https://www.youtube.com/watch?v=plGPD2bburg</x:v>
      </x:c>
      <x:c r="K153" s="9" t="str">
        <x:v>C074</x:v>
      </x:c>
      <x:c r="L153" s="9" t="str">
        <x:v>Да</x:v>
      </x:c>
    </x:row>
    <x:row r="154" ht="60" customHeight="1">
      <x:c r="A154" s="9" t="str">
        <x:v>R7zVt8XbYXc</x:v>
      </x:c>
      <x:c r="B154" s="10" t="str">
        <x:f>IF(A154="","",IF(COUNTIFS('Видео'!$A$7:$A$1508,A154)=1,INDEX('Видео'!$B$7:$B$1508,MATCH(A154,'Видео'!$A$7:$A$1508,0)),"ID не найден"))</x:f>
        <x:v>בארץ לא להם | שיעור 2 – היה או לא היה? | ד"ר יפעת טהרני</x:v>
      </x:c>
      <x:c r="C154" s="10" t="str">
        <x:f>IF(A154="","",IF(COUNTIFS('Видео'!$A$7:$A$1508,A154)=1,INDEX('Видео'!$C$7:$C$1508,MATCH(A154,'Видео'!$A$7:$A$1508,0)),"ID не найден"))</x:f>
        <x:v>Древняя история</x:v>
      </x:c>
      <x:c r="D154" s="10" t="str">
        <x:f>IF(A154="","",IF(COUNTIFS('Видео'!$A$7:$A$1508,A154)=1,INDEX('Видео'!$M$7:$M$1508,MATCH(A154,'Видео'!$A$7:$A$1508,0)),"ID не найден"))</x:f>
        <x:v>Тема: בארץ לא להם | שיעור 2 – היה או לא היה? | ד"ר יפעת טהרני. Археологический и исторический взгляд на исход предлагает содержательный разговор об источниках.</x:v>
      </x:c>
      <x:c r="E154" s="9" t="str">
        <x:f>IF(A154="","",IF(COUNTIFS('Видео'!$A$7:$A$1508,A154)=1,INDEX('Видео'!$D$7:$D$1508,MATCH(A154,'Видео'!$A$7:$A$1508,0)),"ID не найден"))</x:f>
        <x:v>История</x:v>
      </x:c>
      <x:c r="F154" s="10" t="str">
        <x:f>IF(A154="","",IF(COUNTIFS('Видео'!$A$7:$A$1508,A154)=1,INDEX('Видео'!$F$7:$F$1508,MATCH(A154,'Видео'!$A$7:$A$1508,0)),"ID не найден"))</x:f>
        <x:v>B2–C1 (гипотеза)</x:v>
      </x:c>
      <x:c r="G154" s="14" t="n">
        <x:f>IF(A154="","",IF(COUNTIFS('Видео'!$A$7:$A$1508,A154)=1,INDEX('Видео'!$H$7:$H$1508,MATCH(A154,'Видео'!$A$7:$A$1508,0)),"ID не найден"))</x:f>
        <x:v>2911</x:v>
      </x:c>
      <x:c r="H154" s="18" t="n">
        <x:f>IF(A154="","",IF(COUNTIFS('Видео'!$A$7:$A$1508,A154)=1,INDEX('Видео'!$L$7:$L$1508,MATCH(A154,'Видео'!$A$7:$A$1508,0)),"ID не найден"))</x:f>
        <x:v>1.45</x:v>
      </x:c>
      <x:c r="I154" s="10" t="str">
        <x:f>IF(A154="","",IF(COUNTIFS('Видео'!$A$7:$A$1508,A154)=1,INDEX('Видео'!$AI$7:$AI$1508,MATCH(A154,'Видео'!$A$7:$A$1508,0)),"ID не найден"))</x:f>
        <x:v>Нужна редактура</x:v>
      </x:c>
      <x:c r="J154" s="11" t="str">
        <x:f>IF(A154="","",IF(COUNTIFS('Видео'!$A$7:$A$1508,A154)=1,INDEX('Видео'!$U$7:$U$1508,MATCH(A154,'Видео'!$A$7:$A$1508,0)),"ID не найден"))</x:f>
        <x:v>https://www.youtube.com/watch?v=R7zVt8XbYXc</x:v>
      </x:c>
      <x:c r="K154" s="9" t="str">
        <x:v>C074</x:v>
      </x:c>
      <x:c r="L154" s="9" t="str">
        <x:v>Нет</x:v>
      </x:c>
    </x:row>
    <x:row r="155" ht="60" customHeight="1">
      <x:c r="A155" s="9" t="str">
        <x:v>scex8aIHQRo</x:v>
      </x:c>
      <x:c r="B155" s="10" t="str">
        <x:f>IF(A155="","",IF(COUNTIFS('Видео'!$A$7:$A$1508,A155)=1,INDEX('Видео'!$B$7:$B$1508,MATCH(A155,'Видео'!$A$7:$A$1508,0)),"ID не найден"))</x:f>
        <x:v>עלמה זהר - מיגל (לייב על בימת בית אבי חי)</x:v>
      </x:c>
      <x:c r="C155" s="10" t="str">
        <x:f>IF(A155="","",IF(COUNTIFS('Видео'!$A$7:$A$1508,A155)=1,INDEX('Видео'!$C$7:$C$1508,MATCH(A155,'Видео'!$A$7:$A$1508,0)),"ID не найден"))</x:f>
        <x:v>Музыка и память</x:v>
      </x:c>
      <x:c r="D155" s="10" t="str">
        <x:f>IF(A155="","",IF(COUNTIFS('Видео'!$A$7:$A$1508,A155)=1,INDEX('Видео'!$M$7:$M$1508,MATCH(A155,'Видео'!$A$7:$A$1508,0)),"ID не найден"))</x:f>
        <x:v>Завершённый короткий просмотр около 5 мин. Просмотры в списке выше медианы выборки этого цикла в 562.5 раза. Разговор о музыке и детстве создаёт вход через культурную близость и биографию.</x:v>
      </x:c>
      <x:c r="E155" s="9" t="str">
        <x:f>IF(A155="","",IF(COUNTIFS('Видео'!$A$7:$A$1508,A155)=1,INDEX('Видео'!$D$7:$D$1508,MATCH(A155,'Видео'!$A$7:$A$1508,0)),"ID не найден"))</x:f>
        <x:v>Культура</x:v>
      </x:c>
      <x:c r="F155" s="10" t="str">
        <x:f>IF(A155="","",IF(COUNTIFS('Видео'!$A$7:$A$1508,A155)=1,INDEX('Видео'!$F$7:$F$1508,MATCH(A155,'Видео'!$A$7:$A$1508,0)),"ID не найден"))</x:f>
        <x:v>B2–C1 (гипотеза)</x:v>
      </x:c>
      <x:c r="G155" s="14" t="n">
        <x:f>IF(A155="","",IF(COUNTIFS('Видео'!$A$7:$A$1508,A155)=1,INDEX('Видео'!$H$7:$H$1508,MATCH(A155,'Видео'!$A$7:$A$1508,0)),"ID не найден"))</x:f>
        <x:v>126057</x:v>
      </x:c>
      <x:c r="H155" s="18" t="n">
        <x:f>IF(A155="","",IF(COUNTIFS('Видео'!$A$7:$A$1508,A155)=1,INDEX('Видео'!$L$7:$L$1508,MATCH(A155,'Видео'!$A$7:$A$1508,0)),"ID не найден"))</x:f>
        <x:v>562.5</x:v>
      </x:c>
      <x:c r="I155" s="10" t="str">
        <x:f>IF(A155="","",IF(COUNTIFS('Видео'!$A$7:$A$1508,A155)=1,INDEX('Видео'!$AI$7:$AI$1508,MATCH(A155,'Видео'!$A$7:$A$1508,0)),"ID не найден"))</x:f>
        <x:v>Нужна редактура</x:v>
      </x:c>
      <x:c r="J155" s="11" t="str">
        <x:f>IF(A155="","",IF(COUNTIFS('Видео'!$A$7:$A$1508,A155)=1,INDEX('Видео'!$U$7:$U$1508,MATCH(A155,'Видео'!$A$7:$A$1508,0)),"ID не найден"))</x:f>
        <x:v>https://www.youtube.com/watch?v=scex8aIHQRo</x:v>
      </x:c>
      <x:c r="K155" s="9" t="str">
        <x:v>C075</x:v>
      </x:c>
      <x:c r="L155" s="9" t="str">
        <x:v>Да</x:v>
      </x:c>
    </x:row>
    <x:row r="156" ht="60" customHeight="1">
      <x:c r="A156" s="9" t="str">
        <x:v>2DFD-BiqyWw</x:v>
      </x:c>
      <x:c r="B156" s="10" t="str">
        <x:f>IF(A156="","",IF(COUNTIFS('Видео'!$A$7:$A$1508,A156)=1,INDEX('Видео'!$B$7:$B$1508,MATCH(A156,'Видео'!$A$7:$A$1508,0)),"ID не найден"))</x:f>
        <x:v>דני רובס - בדרך אל האושר (לייב על בימת בית אבי חי)</x:v>
      </x:c>
      <x:c r="C156" s="10" t="str">
        <x:f>IF(A156="","",IF(COUNTIFS('Видео'!$A$7:$A$1508,A156)=1,INDEX('Видео'!$C$7:$C$1508,MATCH(A156,'Видео'!$A$7:$A$1508,0)),"ID не найден"))</x:f>
        <x:v>Музыка и память</x:v>
      </x:c>
      <x:c r="D156" s="10" t="str">
        <x:f>IF(A156="","",IF(COUNTIFS('Видео'!$A$7:$A$1508,A156)=1,INDEX('Видео'!$M$7:$M$1508,MATCH(A156,'Видео'!$A$7:$A$1508,0)),"ID не найден"))</x:f>
        <x:v>Завершённый короткий просмотр около 4 мин. Просмотры в списке выше медианы выборки этого цикла в 1.97 раза. Разговор о музыке и детстве создаёт вход через культурную близость и биографию.</x:v>
      </x:c>
      <x:c r="E156" s="9" t="str">
        <x:f>IF(A156="","",IF(COUNTIFS('Видео'!$A$7:$A$1508,A156)=1,INDEX('Видео'!$D$7:$D$1508,MATCH(A156,'Видео'!$A$7:$A$1508,0)),"ID не найден"))</x:f>
        <x:v>Культура</x:v>
      </x:c>
      <x:c r="F156" s="10" t="str">
        <x:f>IF(A156="","",IF(COUNTIFS('Видео'!$A$7:$A$1508,A156)=1,INDEX('Видео'!$F$7:$F$1508,MATCH(A156,'Видео'!$A$7:$A$1508,0)),"ID не найден"))</x:f>
        <x:v>B2–C1 (гипотеза)</x:v>
      </x:c>
      <x:c r="G156" s="14" t="n">
        <x:f>IF(A156="","",IF(COUNTIFS('Видео'!$A$7:$A$1508,A156)=1,INDEX('Видео'!$H$7:$H$1508,MATCH(A156,'Видео'!$A$7:$A$1508,0)),"ID не найден"))</x:f>
        <x:v>442</x:v>
      </x:c>
      <x:c r="H156" s="18" t="n">
        <x:f>IF(A156="","",IF(COUNTIFS('Видео'!$A$7:$A$1508,A156)=1,INDEX('Видео'!$L$7:$L$1508,MATCH(A156,'Видео'!$A$7:$A$1508,0)),"ID не найден"))</x:f>
        <x:v>1.9732142857142858</x:v>
      </x:c>
      <x:c r="I156" s="10" t="str">
        <x:f>IF(A156="","",IF(COUNTIFS('Видео'!$A$7:$A$1508,A156)=1,INDEX('Видео'!$AI$7:$AI$1508,MATCH(A156,'Видео'!$A$7:$A$1508,0)),"ID не найден"))</x:f>
        <x:v>Нужна редактура</x:v>
      </x:c>
      <x:c r="J156" s="11" t="str">
        <x:f>IF(A156="","",IF(COUNTIFS('Видео'!$A$7:$A$1508,A156)=1,INDEX('Видео'!$U$7:$U$1508,MATCH(A156,'Видео'!$A$7:$A$1508,0)),"ID не найден"))</x:f>
        <x:v>https://www.youtube.com/watch?v=2DFD-BiqyWw</x:v>
      </x:c>
      <x:c r="K156" s="9" t="str">
        <x:v>C075</x:v>
      </x:c>
      <x:c r="L156" s="9" t="str">
        <x:v>Да</x:v>
      </x:c>
    </x:row>
    <x:row r="157" ht="60" customHeight="1">
      <x:c r="A157" s="9" t="str">
        <x:v>WfxpxC2-wyY</x:v>
      </x:c>
      <x:c r="B157" s="10" t="str">
        <x:f>IF(A157="","",IF(COUNTIFS('Видео'!$A$7:$A$1508,A157)=1,INDEX('Видео'!$B$7:$B$1508,MATCH(A157,'Видео'!$A$7:$A$1508,0)),"ID не найден"))</x:f>
        <x:v>בעקבות 'התחנה הקטנה טרבלינקה' – מתוך 'עושים זיכרון' : הפודקאסט של יד ושם</x:v>
      </x:c>
      <x:c r="C157" s="10" t="str">
        <x:f>IF(A157="","",IF(COUNTIFS('Видео'!$A$7:$A$1508,A157)=1,INDEX('Видео'!$C$7:$C$1508,MATCH(A157,'Видео'!$A$7:$A$1508,0)),"ID не найден"))</x:f>
        <x:v>Шоа и память</x:v>
      </x:c>
      <x:c r="D157" s="10" t="str">
        <x:f>IF(A157="","",IF(COUNTIFS('Видео'!$A$7:$A$1508,A157)=1,INDEX('Видео'!$M$7:$M$1508,MATCH(A157,'Видео'!$A$7:$A$1508,0)),"ID не найден"))</x:f>
        <x:v>Тема: בעקבות 'התחנה הקטנה טרבלינקה' – מתוך 'עושים זיכרון' : הפודקאסט של יד ושם. Музейный подкаст соединяет историческую тему и связную речь. Аудиоформат полезен любителям длинного слушания.</x:v>
      </x:c>
      <x:c r="E157" s="9" t="str">
        <x:f>IF(A157="","",IF(COUNTIFS('Видео'!$A$7:$A$1508,A157)=1,INDEX('Видео'!$D$7:$D$1508,MATCH(A157,'Видео'!$A$7:$A$1508,0)),"ID не найден"))</x:f>
        <x:v>Память</x:v>
      </x:c>
      <x:c r="F157" s="10" t="str">
        <x:f>IF(A157="","",IF(COUNTIFS('Видео'!$A$7:$A$1508,A157)=1,INDEX('Видео'!$F$7:$F$1508,MATCH(A157,'Видео'!$A$7:$A$1508,0)),"ID не найден"))</x:f>
        <x:v>B2–C1 (гипотеза)</x:v>
      </x:c>
      <x:c r="G157" s="14" t="n">
        <x:f>IF(A157="","",IF(COUNTIFS('Видео'!$A$7:$A$1508,A157)=1,INDEX('Видео'!$H$7:$H$1508,MATCH(A157,'Видео'!$A$7:$A$1508,0)),"ID не найден"))</x:f>
        <x:v>1007</x:v>
      </x:c>
      <x:c r="H157" s="18" t="str">
        <x:f>IF(A157="","",IF(COUNTIFS('Видео'!$A$7:$A$1508,A157)=1,INDEX('Видео'!$L$7:$L$1508,MATCH(A157,'Видео'!$A$7:$A$1508,0)),"ID не найден"))</x:f>
      </x:c>
      <x:c r="I157" s="10" t="str">
        <x:f>IF(A157="","",IF(COUNTIFS('Видео'!$A$7:$A$1508,A157)=1,INDEX('Видео'!$AI$7:$AI$1508,MATCH(A157,'Видео'!$A$7:$A$1508,0)),"ID не найден"))</x:f>
        <x:v>Нужна редактура</x:v>
      </x:c>
      <x:c r="J157" s="11" t="str">
        <x:f>IF(A157="","",IF(COUNTIFS('Видео'!$A$7:$A$1508,A157)=1,INDEX('Видео'!$U$7:$U$1508,MATCH(A157,'Видео'!$A$7:$A$1508,0)),"ID не найден"))</x:f>
        <x:v>https://www.youtube.com/watch?v=WfxpxC2-wyY</x:v>
      </x:c>
      <x:c r="K157" s="9" t="str">
        <x:v>C076</x:v>
      </x:c>
      <x:c r="L157" s="9" t="str">
        <x:v>Да</x:v>
      </x:c>
    </x:row>
    <x:row r="158" ht="60" customHeight="1">
      <x:c r="A158" s="9" t="str">
        <x:v>JKWLr97en9w</x:v>
      </x:c>
      <x:c r="B158" s="10" t="str">
        <x:f>IF(A158="","",IF(COUNTIFS('Видео'!$A$7:$A$1508,A158)=1,INDEX('Видео'!$B$7:$B$1508,MATCH(A158,'Видео'!$A$7:$A$1508,0)),"ID не найден"))</x:f>
        <x:v>שאלות שרצינו לשאול – שיחות עם ניצולי שואה. פרק ראשון: תקופת המלחמה</x:v>
      </x:c>
      <x:c r="C158" s="10" t="str">
        <x:f>IF(A158="","",IF(COUNTIFS('Видео'!$A$7:$A$1508,A158)=1,INDEX('Видео'!$C$7:$C$1508,MATCH(A158,'Видео'!$A$7:$A$1508,0)),"ID не найден"))</x:f>
        <x:v>Шоа и свидетельства</x:v>
      </x:c>
      <x:c r="D158" s="10" t="str">
        <x:f>IF(A158="","",IF(COUNTIFS('Видео'!$A$7:$A$1508,A158)=1,INDEX('Видео'!$M$7:$M$1508,MATCH(A158,'Видео'!$A$7:$A$1508,0)),"ID не найден"))</x:f>
        <x:v>Тема: שאלות שרצינו לשאול – שיחות עם ניצולי שואה. פרק ראשון: תקופת המלחמה. Просмотры в списке выше медианы выборки этого цикла в 6.63 раза. Короткие интервью позволяют услышать личную речь свидетеля и выбирать посильный объём.</x:v>
      </x:c>
      <x:c r="E158" s="9" t="str">
        <x:f>IF(A158="","",IF(COUNTIFS('Видео'!$A$7:$A$1508,A158)=1,INDEX('Видео'!$D$7:$D$1508,MATCH(A158,'Видео'!$A$7:$A$1508,0)),"ID не найден"))</x:f>
        <x:v>Память</x:v>
      </x:c>
      <x:c r="F158" s="10" t="str">
        <x:f>IF(A158="","",IF(COUNTIFS('Видео'!$A$7:$A$1508,A158)=1,INDEX('Видео'!$F$7:$F$1508,MATCH(A158,'Видео'!$A$7:$A$1508,0)),"ID не найден"))</x:f>
        <x:v>B1–B2 (гипотеза)</x:v>
      </x:c>
      <x:c r="G158" s="14" t="n">
        <x:f>IF(A158="","",IF(COUNTIFS('Видео'!$A$7:$A$1508,A158)=1,INDEX('Видео'!$H$7:$H$1508,MATCH(A158,'Видео'!$A$7:$A$1508,0)),"ID не найден"))</x:f>
        <x:v>61731</x:v>
      </x:c>
      <x:c r="H158" s="18" t="n">
        <x:f>IF(A158="","",IF(COUNTIFS('Видео'!$A$7:$A$1508,A158)=1,INDEX('Видео'!$L$7:$L$1508,MATCH(A158,'Видео'!$A$7:$A$1508,0)),"ID не найден"))</x:f>
        <x:v>6.630434782608695</x:v>
      </x:c>
      <x:c r="I158" s="10" t="str">
        <x:f>IF(A158="","",IF(COUNTIFS('Видео'!$A$7:$A$1508,A158)=1,INDEX('Видео'!$AI$7:$AI$1508,MATCH(A158,'Видео'!$A$7:$A$1508,0)),"ID не найден"))</x:f>
        <x:v>Нужна редактура</x:v>
      </x:c>
      <x:c r="J158" s="11" t="str">
        <x:f>IF(A158="","",IF(COUNTIFS('Видео'!$A$7:$A$1508,A158)=1,INDEX('Видео'!$U$7:$U$1508,MATCH(A158,'Видео'!$A$7:$A$1508,0)),"ID не найден"))</x:f>
        <x:v>https://www.youtube.com/watch?v=JKWLr97en9w</x:v>
      </x:c>
      <x:c r="K158" s="9" t="str">
        <x:v>C077</x:v>
      </x:c>
      <x:c r="L158" s="9" t="str">
        <x:v>Да</x:v>
      </x:c>
    </x:row>
    <x:row r="159" ht="60" customHeight="1">
      <x:c r="A159" s="9" t="str">
        <x:v>Py9d_aB8cxc</x:v>
      </x:c>
      <x:c r="B159" s="10" t="str">
        <x:f>IF(A159="","",IF(COUNTIFS('Видео'!$A$7:$A$1508,A159)=1,INDEX('Видео'!$B$7:$B$1508,MATCH(A159,'Видео'!$A$7:$A$1508,0)),"ID не найден"))</x:f>
        <x:v>שאלות שרצינו לשאול – שיחות עם ניצולי שואה. פרק רביעי: ילדים בשואה</x:v>
      </x:c>
      <x:c r="C159" s="10" t="str">
        <x:f>IF(A159="","",IF(COUNTIFS('Видео'!$A$7:$A$1508,A159)=1,INDEX('Видео'!$C$7:$C$1508,MATCH(A159,'Видео'!$A$7:$A$1508,0)),"ID не найден"))</x:f>
        <x:v>Шоа и свидетельства</x:v>
      </x:c>
      <x:c r="D159" s="10" t="str">
        <x:f>IF(A159="","",IF(COUNTIFS('Видео'!$A$7:$A$1508,A159)=1,INDEX('Видео'!$M$7:$M$1508,MATCH(A159,'Видео'!$A$7:$A$1508,0)),"ID не найден"))</x:f>
        <x:v>Тема: שאלות שרצינו לשאול – שיחות עם ניצולי שואה. פרק רביעי: ילדים בשואה. Просмотры в списке выше медианы выборки этого цикла в 2.28 раза. Короткие интервью позволяют услышать личную речь свидетеля и выбирать посильный объём.</x:v>
      </x:c>
      <x:c r="E159" s="9" t="str">
        <x:f>IF(A159="","",IF(COUNTIFS('Видео'!$A$7:$A$1508,A159)=1,INDEX('Видео'!$D$7:$D$1508,MATCH(A159,'Видео'!$A$7:$A$1508,0)),"ID не найден"))</x:f>
        <x:v>Память</x:v>
      </x:c>
      <x:c r="F159" s="10" t="str">
        <x:f>IF(A159="","",IF(COUNTIFS('Видео'!$A$7:$A$1508,A159)=1,INDEX('Видео'!$F$7:$F$1508,MATCH(A159,'Видео'!$A$7:$A$1508,0)),"ID не найден"))</x:f>
        <x:v>B1–B2 (гипотеза)</x:v>
      </x:c>
      <x:c r="G159" s="14" t="n">
        <x:f>IF(A159="","",IF(COUNTIFS('Видео'!$A$7:$A$1508,A159)=1,INDEX('Видео'!$H$7:$H$1508,MATCH(A159,'Видео'!$A$7:$A$1508,0)),"ID не найден"))</x:f>
        <x:v>21574</x:v>
      </x:c>
      <x:c r="H159" s="18" t="n">
        <x:f>IF(A159="","",IF(COUNTIFS('Видео'!$A$7:$A$1508,A159)=1,INDEX('Видео'!$L$7:$L$1508,MATCH(A159,'Видео'!$A$7:$A$1508,0)),"ID не найден"))</x:f>
        <x:v>2.282608695652174</x:v>
      </x:c>
      <x:c r="I159" s="10" t="str">
        <x:f>IF(A159="","",IF(COUNTIFS('Видео'!$A$7:$A$1508,A159)=1,INDEX('Видео'!$AI$7:$AI$1508,MATCH(A159,'Видео'!$A$7:$A$1508,0)),"ID не найден"))</x:f>
        <x:v>Нужна редактура</x:v>
      </x:c>
      <x:c r="J159" s="11" t="str">
        <x:f>IF(A159="","",IF(COUNTIFS('Видео'!$A$7:$A$1508,A159)=1,INDEX('Видео'!$U$7:$U$1508,MATCH(A159,'Видео'!$A$7:$A$1508,0)),"ID не найден"))</x:f>
        <x:v>https://www.youtube.com/watch?v=Py9d_aB8cxc</x:v>
      </x:c>
      <x:c r="K159" s="9" t="str">
        <x:v>C077</x:v>
      </x:c>
      <x:c r="L159" s="9" t="str">
        <x:v>Нет</x:v>
      </x:c>
    </x:row>
    <x:row r="160" ht="60" customHeight="1">
      <x:c r="A160" s="9" t="str">
        <x:v>QtCJwKHXrws</x:v>
      </x:c>
      <x:c r="B160" s="10" t="str">
        <x:f>IF(A160="","",IF(COUNTIFS('Видео'!$A$7:$A$1508,A160)=1,INDEX('Видео'!$B$7:$B$1508,MATCH(A160,'Видео'!$A$7:$A$1508,0)),"ID не найден"))</x:f>
        <x:v>הקהילה היהודית בתוניסיה תחת הכיבוש הגרמני | גורלן של קהילות יהודיות בשואה</x:v>
      </x:c>
      <x:c r="C160" s="10" t="str">
        <x:f>IF(A160="","",IF(COUNTIFS('Видео'!$A$7:$A$1508,A160)=1,INDEX('Видео'!$C$7:$C$1508,MATCH(A160,'Видео'!$A$7:$A$1508,0)),"ID не найден"))</x:f>
        <x:v>История общин и Шоа</x:v>
      </x:c>
      <x:c r="D160" s="10" t="str">
        <x:f>IF(A160="","",IF(COUNTIFS('Видео'!$A$7:$A$1508,A160)=1,INDEX('Видео'!$M$7:$M$1508,MATCH(A160,'Видео'!$A$7:$A$1508,0)),"ID не найден"))</x:f>
        <x:v>Завершённый короткий просмотр около 10 мин. Просмотры в списке выше медианы выборки этого цикла в 5.64 раза. Североафриканский опыт расширяет географию исторической памяти.</x:v>
      </x:c>
      <x:c r="E160" s="9" t="str">
        <x:f>IF(A160="","",IF(COUNTIFS('Видео'!$A$7:$A$1508,A160)=1,INDEX('Видео'!$D$7:$D$1508,MATCH(A160,'Видео'!$A$7:$A$1508,0)),"ID не найден"))</x:f>
        <x:v>Память</x:v>
      </x:c>
      <x:c r="F160" s="10" t="str">
        <x:f>IF(A160="","",IF(COUNTIFS('Видео'!$A$7:$A$1508,A160)=1,INDEX('Видео'!$F$7:$F$1508,MATCH(A160,'Видео'!$A$7:$A$1508,0)),"ID не найден"))</x:f>
        <x:v>B2–C1 (гипотеза)</x:v>
      </x:c>
      <x:c r="G160" s="14" t="n">
        <x:f>IF(A160="","",IF(COUNTIFS('Видео'!$A$7:$A$1508,A160)=1,INDEX('Видео'!$H$7:$H$1508,MATCH(A160,'Видео'!$A$7:$A$1508,0)),"ID не найден"))</x:f>
        <x:v>9331</x:v>
      </x:c>
      <x:c r="H160" s="18" t="n">
        <x:f>IF(A160="","",IF(COUNTIFS('Видео'!$A$7:$A$1508,A160)=1,INDEX('Видео'!$L$7:$L$1508,MATCH(A160,'Видео'!$A$7:$A$1508,0)),"ID не найден"))</x:f>
        <x:v>5.636363636363637</x:v>
      </x:c>
      <x:c r="I160" s="10" t="str">
        <x:f>IF(A160="","",IF(COUNTIFS('Видео'!$A$7:$A$1508,A160)=1,INDEX('Видео'!$AI$7:$AI$1508,MATCH(A160,'Видео'!$A$7:$A$1508,0)),"ID не найден"))</x:f>
        <x:v>Нужна редактура</x:v>
      </x:c>
      <x:c r="J160" s="11" t="str">
        <x:f>IF(A160="","",IF(COUNTIFS('Видео'!$A$7:$A$1508,A160)=1,INDEX('Видео'!$U$7:$U$1508,MATCH(A160,'Видео'!$A$7:$A$1508,0)),"ID не найден"))</x:f>
        <x:v>https://www.youtube.com/watch?v=QtCJwKHXrws</x:v>
      </x:c>
      <x:c r="K160" s="9" t="str">
        <x:v>C078</x:v>
      </x:c>
      <x:c r="L160" s="9" t="str">
        <x:v>Да</x:v>
      </x:c>
    </x:row>
    <x:row r="161" ht="60" customHeight="1">
      <x:c r="A161" s="9" t="str">
        <x:v>iqVzU2GXLTI</x:v>
      </x:c>
      <x:c r="B161" s="10" t="str">
        <x:f>IF(A161="","",IF(COUNTIFS('Видео'!$A$7:$A$1508,A161)=1,INDEX('Видео'!$B$7:$B$1508,MATCH(A161,'Видео'!$A$7:$A$1508,0)),"ID не найден"))</x:f>
        <x:v>יהודי צפון אפריקה תחת משטר וישי |גורלן של קהילות יהודיות בשואה</x:v>
      </x:c>
      <x:c r="C161" s="10" t="str">
        <x:f>IF(A161="","",IF(COUNTIFS('Видео'!$A$7:$A$1508,A161)=1,INDEX('Видео'!$C$7:$C$1508,MATCH(A161,'Видео'!$A$7:$A$1508,0)),"ID не найден"))</x:f>
        <x:v>История общин и Шоа</x:v>
      </x:c>
      <x:c r="D161" s="10" t="str">
        <x:f>IF(A161="","",IF(COUNTIFS('Видео'!$A$7:$A$1508,A161)=1,INDEX('Видео'!$M$7:$M$1508,MATCH(A161,'Видео'!$A$7:$A$1508,0)),"ID не найден"))</x:f>
        <x:v>Завершённый короткий просмотр около 6 мин. Просмотры в списке выше медианы выборки этого цикла в 2.12 раза. Североафриканский опыт расширяет географию исторической памяти.</x:v>
      </x:c>
      <x:c r="E161" s="9" t="str">
        <x:f>IF(A161="","",IF(COUNTIFS('Видео'!$A$7:$A$1508,A161)=1,INDEX('Видео'!$D$7:$D$1508,MATCH(A161,'Видео'!$A$7:$A$1508,0)),"ID не найден"))</x:f>
        <x:v>Память</x:v>
      </x:c>
      <x:c r="F161" s="10" t="str">
        <x:f>IF(A161="","",IF(COUNTIFS('Видео'!$A$7:$A$1508,A161)=1,INDEX('Видео'!$F$7:$F$1508,MATCH(A161,'Видео'!$A$7:$A$1508,0)),"ID не найден"))</x:f>
        <x:v>B2–C1 (гипотеза)</x:v>
      </x:c>
      <x:c r="G161" s="14" t="n">
        <x:f>IF(A161="","",IF(COUNTIFS('Видео'!$A$7:$A$1508,A161)=1,INDEX('Видео'!$H$7:$H$1508,MATCH(A161,'Видео'!$A$7:$A$1508,0)),"ID не найден"))</x:f>
        <x:v>3530</x:v>
      </x:c>
      <x:c r="H161" s="18" t="n">
        <x:f>IF(A161="","",IF(COUNTIFS('Видео'!$A$7:$A$1508,A161)=1,INDEX('Видео'!$L$7:$L$1508,MATCH(A161,'Видео'!$A$7:$A$1508,0)),"ID не найден"))</x:f>
        <x:v>2.121212121212121</x:v>
      </x:c>
      <x:c r="I161" s="10" t="str">
        <x:f>IF(A161="","",IF(COUNTIFS('Видео'!$A$7:$A$1508,A161)=1,INDEX('Видео'!$AI$7:$AI$1508,MATCH(A161,'Видео'!$A$7:$A$1508,0)),"ID не найден"))</x:f>
        <x:v>Нужна редактура</x:v>
      </x:c>
      <x:c r="J161" s="11" t="str">
        <x:f>IF(A161="","",IF(COUNTIFS('Видео'!$A$7:$A$1508,A161)=1,INDEX('Видео'!$U$7:$U$1508,MATCH(A161,'Видео'!$A$7:$A$1508,0)),"ID не найден"))</x:f>
        <x:v>https://www.youtube.com/watch?v=iqVzU2GXLTI</x:v>
      </x:c>
      <x:c r="K161" s="9" t="str">
        <x:v>C078</x:v>
      </x:c>
      <x:c r="L161" s="9" t="str">
        <x:v>Нет</x:v>
      </x:c>
    </x:row>
    <x:row r="162" ht="60" customHeight="1">
      <x:c r="A162" s="9" t="str">
        <x:v>sFvqLcgGbMk</x:v>
      </x:c>
      <x:c r="B162" s="10" t="str">
        <x:f>IF(A162="","",IF(COUNTIFS('Видео'!$A$7:$A$1508,A162)=1,INDEX('Видео'!$B$7:$B$1508,MATCH(A162,'Видео'!$A$7:$A$1508,0)),"ID не найден"))</x:f>
        <x:v>שנות ה-80 | ממוקה מתאהב</x:v>
      </x:c>
      <x:c r="C162" s="10" t="str">
        <x:f>IF(A162="","",IF(COUNTIFS('Видео'!$A$7:$A$1508,A162)=1,INDEX('Видео'!$C$7:$C$1508,MATCH(A162,'Видео'!$A$7:$A$1508,0)),"ID не найден"))</x:f>
        <x:v>Семья и культурная память</x:v>
      </x:c>
      <x:c r="D162" s="10" t="str">
        <x:f>IF(A162="","",IF(COUNTIFS('Видео'!$A$7:$A$1508,A162)=1,INDEX('Видео'!$M$7:$M$1508,MATCH(A162,'Видео'!$A$7:$A$1508,0)),"ID не найден"))</x:f>
        <x:v>Сценка из сериала; полезна для короткого разбора, не заменяет полную серию. Просмотры в списке выше медианы выборки этого цикла в 3.95 раза. Семейная комедия добавляет ностальгию и культурный контекст мизрахи. Важная альтернатива сериалам Kan.</x:v>
      </x:c>
      <x:c r="E162" s="9" t="str">
        <x:f>IF(A162="","",IF(COUNTIFS('Видео'!$A$7:$A$1508,A162)=1,INDEX('Видео'!$D$7:$D$1508,MATCH(A162,'Видео'!$A$7:$A$1508,0)),"ID не найден"))</x:f>
        <x:v>Сериал</x:v>
      </x:c>
      <x:c r="F162" s="10" t="str">
        <x:f>IF(A162="","",IF(COUNTIFS('Видео'!$A$7:$A$1508,A162)=1,INDEX('Видео'!$F$7:$F$1508,MATCH(A162,'Видео'!$A$7:$A$1508,0)),"ID не найден"))</x:f>
        <x:v>B2–C1 (гипотеза)</x:v>
      </x:c>
      <x:c r="G162" s="14" t="n">
        <x:f>IF(A162="","",IF(COUNTIFS('Видео'!$A$7:$A$1508,A162)=1,INDEX('Видео'!$H$7:$H$1508,MATCH(A162,'Видео'!$A$7:$A$1508,0)),"ID не найден"))</x:f>
        <x:v>782439</x:v>
      </x:c>
      <x:c r="H162" s="18" t="n">
        <x:f>IF(A162="","",IF(COUNTIFS('Видео'!$A$7:$A$1508,A162)=1,INDEX('Видео'!$L$7:$L$1508,MATCH(A162,'Видео'!$A$7:$A$1508,0)),"ID не найден"))</x:f>
        <x:v>3.9494949494949494</x:v>
      </x:c>
      <x:c r="I162" s="10" t="str">
        <x:f>IF(A162="","",IF(COUNTIFS('Видео'!$A$7:$A$1508,A162)=1,INDEX('Видео'!$AI$7:$AI$1508,MATCH(A162,'Видео'!$A$7:$A$1508,0)),"ID не найден"))</x:f>
        <x:v>Нужна редактура</x:v>
      </x:c>
      <x:c r="J162" s="11" t="str">
        <x:f>IF(A162="","",IF(COUNTIFS('Видео'!$A$7:$A$1508,A162)=1,INDEX('Видео'!$U$7:$U$1508,MATCH(A162,'Видео'!$A$7:$A$1508,0)),"ID не найден"))</x:f>
        <x:v>https://www.youtube.com/watch?v=sFvqLcgGbMk</x:v>
      </x:c>
      <x:c r="K162" s="9" t="str">
        <x:v>C079</x:v>
      </x:c>
      <x:c r="L162" s="9" t="str">
        <x:v>Нет</x:v>
      </x:c>
    </x:row>
    <x:row r="163" ht="60" customHeight="1">
      <x:c r="A163" s="9" t="str">
        <x:v>OK1bIbicr3k</x:v>
      </x:c>
      <x:c r="B163" s="10" t="str">
        <x:f>IF(A163="","",IF(COUNTIFS('Видео'!$A$7:$A$1508,A163)=1,INDEX('Видео'!$B$7:$B$1508,MATCH(A163,'Видео'!$A$7:$A$1508,0)),"ID не найден"))</x:f>
        <x:v>שנות ה-80 | "אומר אתה הוא, גיסים"</x:v>
      </x:c>
      <x:c r="C163" s="10" t="str">
        <x:f>IF(A163="","",IF(COUNTIFS('Видео'!$A$7:$A$1508,A163)=1,INDEX('Видео'!$C$7:$C$1508,MATCH(A163,'Видео'!$A$7:$A$1508,0)),"ID не найден"))</x:f>
        <x:v>Семья и культурная память</x:v>
      </x:c>
      <x:c r="D163" s="10" t="str">
        <x:f>IF(A163="","",IF(COUNTIFS('Видео'!$A$7:$A$1508,A163)=1,INDEX('Видео'!$M$7:$M$1508,MATCH(A163,'Видео'!$A$7:$A$1508,0)),"ID не найден"))</x:f>
        <x:v>Сценка из сериала; полезна для короткого разбора, не заменяет полную серию. Просмотры в списке выше медианы выборки этого цикла в 2.86 раза. Семейная комедия добавляет ностальгию и культурный контекст мизрахи. Важная альтернатива сериалам Kan.</x:v>
      </x:c>
      <x:c r="E163" s="9" t="str">
        <x:f>IF(A163="","",IF(COUNTIFS('Видео'!$A$7:$A$1508,A163)=1,INDEX('Видео'!$D$7:$D$1508,MATCH(A163,'Видео'!$A$7:$A$1508,0)),"ID не найден"))</x:f>
        <x:v>Сериал</x:v>
      </x:c>
      <x:c r="F163" s="10" t="str">
        <x:f>IF(A163="","",IF(COUNTIFS('Видео'!$A$7:$A$1508,A163)=1,INDEX('Видео'!$F$7:$F$1508,MATCH(A163,'Видео'!$A$7:$A$1508,0)),"ID не найден"))</x:f>
        <x:v>B2–C1 (гипотеза)</x:v>
      </x:c>
      <x:c r="G163" s="14" t="n">
        <x:f>IF(A163="","",IF(COUNTIFS('Видео'!$A$7:$A$1508,A163)=1,INDEX('Видео'!$H$7:$H$1508,MATCH(A163,'Видео'!$A$7:$A$1508,0)),"ID не найден"))</x:f>
        <x:v>567827</x:v>
      </x:c>
      <x:c r="H163" s="18" t="n">
        <x:f>IF(A163="","",IF(COUNTIFS('Видео'!$A$7:$A$1508,A163)=1,INDEX('Видео'!$L$7:$L$1508,MATCH(A163,'Видео'!$A$7:$A$1508,0)),"ID не найден"))</x:f>
        <x:v>2.8636363636363638</x:v>
      </x:c>
      <x:c r="I163" s="10" t="str">
        <x:f>IF(A163="","",IF(COUNTIFS('Видео'!$A$7:$A$1508,A163)=1,INDEX('Видео'!$AI$7:$AI$1508,MATCH(A163,'Видео'!$A$7:$A$1508,0)),"ID не найден"))</x:f>
        <x:v>Нужна редактура</x:v>
      </x:c>
      <x:c r="J163" s="11" t="str">
        <x:f>IF(A163="","",IF(COUNTIFS('Видео'!$A$7:$A$1508,A163)=1,INDEX('Видео'!$U$7:$U$1508,MATCH(A163,'Видео'!$A$7:$A$1508,0)),"ID не найден"))</x:f>
        <x:v>https://www.youtube.com/watch?v=OK1bIbicr3k</x:v>
      </x:c>
      <x:c r="K163" s="9" t="str">
        <x:v>C079</x:v>
      </x:c>
      <x:c r="L163" s="9" t="str">
        <x:v>Нет</x:v>
      </x:c>
    </x:row>
    <x:row r="164" ht="60" customHeight="1">
      <x:c r="A164" s="9" t="str">
        <x:v>R84DwqJcg9E</x:v>
      </x:c>
      <x:c r="B164" s="10" t="str">
        <x:f>IF(A164="","",IF(COUNTIFS('Видео'!$A$7:$A$1508,A164)=1,INDEX('Видео'!$B$7:$B$1508,MATCH(A164,'Видео'!$A$7:$A$1508,0)),"ID не найден"))</x:f>
        <x:v>ממוקה מנסה להוכיח לדדה מירבי שהוא יכול להפוך לאיש עסקים כמוהו</x:v>
      </x:c>
      <x:c r="C164" s="10" t="str">
        <x:f>IF(A164="","",IF(COUNTIFS('Видео'!$A$7:$A$1508,A164)=1,INDEX('Видео'!$C$7:$C$1508,MATCH(A164,'Видео'!$A$7:$A$1508,0)),"ID не найден"))</x:f>
        <x:v>Семья и культурная память</x:v>
      </x:c>
      <x:c r="D164" s="10" t="str">
        <x:f>IF(A164="","",IF(COUNTIFS('Видео'!$A$7:$A$1508,A164)=1,INDEX('Видео'!$M$7:$M$1508,MATCH(A164,'Видео'!$A$7:$A$1508,0)),"ID не найден"))</x:f>
        <x:v>Сценка из сериала; полезна для короткого разбора, не заменяет полную серию. Просмотры в списке выше медианы выборки этого цикла в 2.08 раза. Продолжает семейную и социальную тему в другой эпохе. Подходит любителям привычных персонажей.</x:v>
      </x:c>
      <x:c r="E164" s="9" t="str">
        <x:f>IF(A164="","",IF(COUNTIFS('Видео'!$A$7:$A$1508,A164)=1,INDEX('Видео'!$D$7:$D$1508,MATCH(A164,'Видео'!$A$7:$A$1508,0)),"ID не найден"))</x:f>
        <x:v>Сериал</x:v>
      </x:c>
      <x:c r="F164" s="10" t="str">
        <x:f>IF(A164="","",IF(COUNTIFS('Видео'!$A$7:$A$1508,A164)=1,INDEX('Видео'!$F$7:$F$1508,MATCH(A164,'Видео'!$A$7:$A$1508,0)),"ID не найден"))</x:f>
        <x:v>B2–C1 (гипотеза)</x:v>
      </x:c>
      <x:c r="G164" s="14" t="n">
        <x:f>IF(A164="","",IF(COUNTIFS('Видео'!$A$7:$A$1508,A164)=1,INDEX('Видео'!$H$7:$H$1508,MATCH(A164,'Видео'!$A$7:$A$1508,0)),"ID не найден"))</x:f>
        <x:v>287006</x:v>
      </x:c>
      <x:c r="H164" s="18" t="n">
        <x:f>IF(A164="","",IF(COUNTIFS('Видео'!$A$7:$A$1508,A164)=1,INDEX('Видео'!$L$7:$L$1508,MATCH(A164,'Видео'!$A$7:$A$1508,0)),"ID не найден"))</x:f>
        <x:v>2.079710144927536</x:v>
      </x:c>
      <x:c r="I164" s="10" t="str">
        <x:f>IF(A164="","",IF(COUNTIFS('Видео'!$A$7:$A$1508,A164)=1,INDEX('Видео'!$AI$7:$AI$1508,MATCH(A164,'Видео'!$A$7:$A$1508,0)),"ID не найден"))</x:f>
        <x:v>Нужна редактура</x:v>
      </x:c>
      <x:c r="J164" s="11" t="str">
        <x:f>IF(A164="","",IF(COUNTIFS('Видео'!$A$7:$A$1508,A164)=1,INDEX('Видео'!$U$7:$U$1508,MATCH(A164,'Видео'!$A$7:$A$1508,0)),"ID не найден"))</x:f>
        <x:v>https://www.youtube.com/watch?v=R84DwqJcg9E</x:v>
      </x:c>
      <x:c r="K164" s="9" t="str">
        <x:v>C080</x:v>
      </x:c>
      <x:c r="L164" s="9" t="str">
        <x:v>Нет</x:v>
      </x:c>
    </x:row>
    <x:row r="165" ht="60" customHeight="1">
      <x:c r="A165" s="9" t="str">
        <x:v>MGJad6OXJ54</x:v>
      </x:c>
      <x:c r="B165" s="10" t="str">
        <x:f>IF(A165="","",IF(COUNTIFS('Видео'!$A$7:$A$1508,A165)=1,INDEX('Видео'!$B$7:$B$1508,MATCH(A165,'Видео'!$A$7:$A$1508,0)),"ID не найден"))</x:f>
        <x:v>חלבי חוגג יום הולדת 4 לעצמו ומורדי מתעסק עם האורחים הלא נכונים</x:v>
      </x:c>
      <x:c r="C165" s="10" t="str">
        <x:f>IF(A165="","",IF(COUNTIFS('Видео'!$A$7:$A$1508,A165)=1,INDEX('Видео'!$C$7:$C$1508,MATCH(A165,'Видео'!$A$7:$A$1508,0)),"ID не найден"))</x:f>
        <x:v>Семья и культурная память</x:v>
      </x:c>
      <x:c r="D165" s="10" t="str">
        <x:f>IF(A165="","",IF(COUNTIFS('Видео'!$A$7:$A$1508,A165)=1,INDEX('Видео'!$M$7:$M$1508,MATCH(A165,'Видео'!$A$7:$A$1508,0)),"ID не найден"))</x:f>
        <x:v>Сценка из сериала; полезна для короткого разбора, не заменяет полную серию. Просмотры в списке выше медианы выборки этого цикла в 1.96 раза. Продолжает семейную и социальную тему в другой эпохе. Подходит любителям привычных персонажей.</x:v>
      </x:c>
      <x:c r="E165" s="9" t="str">
        <x:f>IF(A165="","",IF(COUNTIFS('Видео'!$A$7:$A$1508,A165)=1,INDEX('Видео'!$D$7:$D$1508,MATCH(A165,'Видео'!$A$7:$A$1508,0)),"ID не найден"))</x:f>
        <x:v>Сериал</x:v>
      </x:c>
      <x:c r="F165" s="10" t="str">
        <x:f>IF(A165="","",IF(COUNTIFS('Видео'!$A$7:$A$1508,A165)=1,INDEX('Видео'!$F$7:$F$1508,MATCH(A165,'Видео'!$A$7:$A$1508,0)),"ID не найден"))</x:f>
        <x:v>B2–C1 (гипотеза)</x:v>
      </x:c>
      <x:c r="G165" s="14" t="n">
        <x:f>IF(A165="","",IF(COUNTIFS('Видео'!$A$7:$A$1508,A165)=1,INDEX('Видео'!$H$7:$H$1508,MATCH(A165,'Видео'!$A$7:$A$1508,0)),"ID не найден"))</x:f>
        <x:v>270417</x:v>
      </x:c>
      <x:c r="H165" s="18" t="n">
        <x:f>IF(A165="","",IF(COUNTIFS('Видео'!$A$7:$A$1508,A165)=1,INDEX('Видео'!$L$7:$L$1508,MATCH(A165,'Видео'!$A$7:$A$1508,0)),"ID не найден"))</x:f>
        <x:v>1.9565217391304348</x:v>
      </x:c>
      <x:c r="I165" s="10" t="str">
        <x:f>IF(A165="","",IF(COUNTIFS('Видео'!$A$7:$A$1508,A165)=1,INDEX('Видео'!$AI$7:$AI$1508,MATCH(A165,'Видео'!$A$7:$A$1508,0)),"ID не найден"))</x:f>
        <x:v>Нужна редактура</x:v>
      </x:c>
      <x:c r="J165" s="11" t="str">
        <x:f>IF(A165="","",IF(COUNTIFS('Видео'!$A$7:$A$1508,A165)=1,INDEX('Видео'!$U$7:$U$1508,MATCH(A165,'Видео'!$A$7:$A$1508,0)),"ID не найден"))</x:f>
        <x:v>https://www.youtube.com/watch?v=MGJad6OXJ54</x:v>
      </x:c>
      <x:c r="K165" s="9" t="str">
        <x:v>C080</x:v>
      </x:c>
      <x:c r="L165" s="9" t="str">
        <x:v>Нет</x:v>
      </x:c>
    </x:row>
    <x:row r="166" ht="60" customHeight="1">
      <x:c r="A166" s="9" t="str">
        <x:v>-DQBgjdMyhQ</x:v>
      </x:c>
      <x:c r="B166" s="10" t="str">
        <x:f>IF(A166="","",IF(COUNTIFS('Видео'!$A$7:$A$1508,A166)=1,INDEX('Видео'!$B$7:$B$1508,MATCH(A166,'Видео'!$A$7:$A$1508,0)),"ID не найден"))</x:f>
        <x:v>״התקפה כזאת לא הייתה מעולם״: אנשי המפתח בישראל ובארה״ב מדברים לראשונה על המתקפה האיראנית</x:v>
      </x:c>
      <x:c r="C166" s="10" t="str">
        <x:f>IF(A166="","",IF(COUNTIFS('Видео'!$A$7:$A$1508,A166)=1,INDEX('Видео'!$C$7:$C$1508,MATCH(A166,'Видео'!$A$7:$A$1508,0)),"ID не найден"))</x:f>
        <x:v>Журналистика и общество</x:v>
      </x:c>
      <x:c r="D166" s="10" t="str">
        <x:f>IF(A166="","",IF(COUNTIFS('Видео'!$A$7:$A$1508,A166)=1,INDEX('Видео'!$M$7:$M$1508,MATCH(A166,'Видео'!$A$7:$A$1508,0)),"ID не найден"))</x:f>
        <x:v>Завершённый короткий просмотр около 6 мин. Просмотры в списке выше медианы выборки этого цикла в 11.0 раза. Второй редакционный источник помогает не ограничиваться одной журналистской повесткой.</x:v>
      </x:c>
      <x:c r="E166" s="9" t="str">
        <x:f>IF(A166="","",IF(COUNTIFS('Видео'!$A$7:$A$1508,A166)=1,INDEX('Видео'!$D$7:$D$1508,MATCH(A166,'Видео'!$A$7:$A$1508,0)),"ID не найден"))</x:f>
        <x:v>Общество</x:v>
      </x:c>
      <x:c r="F166" s="10" t="str">
        <x:f>IF(A166="","",IF(COUNTIFS('Видео'!$A$7:$A$1508,A166)=1,INDEX('Видео'!$F$7:$F$1508,MATCH(A166,'Видео'!$A$7:$A$1508,0)),"ID не найден"))</x:f>
        <x:v>B2–C1 (гипотеза)</x:v>
      </x:c>
      <x:c r="G166" s="14" t="n">
        <x:f>IF(A166="","",IF(COUNTIFS('Видео'!$A$7:$A$1508,A166)=1,INDEX('Видео'!$H$7:$H$1508,MATCH(A166,'Видео'!$A$7:$A$1508,0)),"ID не найден"))</x:f>
        <x:v>66231</x:v>
      </x:c>
      <x:c r="H166" s="18" t="n">
        <x:f>IF(A166="","",IF(COUNTIFS('Видео'!$A$7:$A$1508,A166)=1,INDEX('Видео'!$L$7:$L$1508,MATCH(A166,'Видео'!$A$7:$A$1508,0)),"ID не найден"))</x:f>
        <x:v>11</x:v>
      </x:c>
      <x:c r="I166" s="10" t="str">
        <x:f>IF(A166="","",IF(COUNTIFS('Видео'!$A$7:$A$1508,A166)=1,INDEX('Видео'!$AI$7:$AI$1508,MATCH(A166,'Видео'!$A$7:$A$1508,0)),"ID не найден"))</x:f>
        <x:v>Нужна редактура</x:v>
      </x:c>
      <x:c r="J166" s="11" t="str">
        <x:f>IF(A166="","",IF(COUNTIFS('Видео'!$A$7:$A$1508,A166)=1,INDEX('Видео'!$U$7:$U$1508,MATCH(A166,'Видео'!$A$7:$A$1508,0)),"ID не найден"))</x:f>
        <x:v>https://www.youtube.com/watch?v=-DQBgjdMyhQ</x:v>
      </x:c>
      <x:c r="K166" s="9" t="str">
        <x:v>C081</x:v>
      </x:c>
      <x:c r="L166" s="9" t="str">
        <x:v>Да</x:v>
      </x:c>
    </x:row>
    <x:row r="167" ht="60" customHeight="1">
      <x:c r="A167" s="9" t="str">
        <x:v>oIDT2Rlmjhg</x:v>
      </x:c>
      <x:c r="B167" s="10" t="str">
        <x:f>IF(A167="","",IF(COUNTIFS('Видео'!$A$7:$A$1508,A167)=1,INDEX('Видео'!$B$7:$B$1508,MATCH(A167,'Видео'!$A$7:$A$1508,0)),"ID не найден"))</x:f>
        <x:v>הגיבור הלא צפוי של קרב הגבורה בבית חאנון: "הוא כמו רמבו ומקגייוור"</x:v>
      </x:c>
      <x:c r="C167" s="10" t="str">
        <x:f>IF(A167="","",IF(COUNTIFS('Видео'!$A$7:$A$1508,A167)=1,INDEX('Видео'!$C$7:$C$1508,MATCH(A167,'Видео'!$A$7:$A$1508,0)),"ID не найден"))</x:f>
        <x:v>Журналистика и общество</x:v>
      </x:c>
      <x:c r="D167" s="10" t="str">
        <x:f>IF(A167="","",IF(COUNTIFS('Видео'!$A$7:$A$1508,A167)=1,INDEX('Видео'!$M$7:$M$1508,MATCH(A167,'Видео'!$A$7:$A$1508,0)),"ID не найден"))</x:f>
        <x:v>Завершённый короткий просмотр около 4 мин. Просмотры в списке выше медианы выборки этого цикла в 10.0 раза. Второй редакционный источник помогает не ограничиваться одной журналистской повесткой.</x:v>
      </x:c>
      <x:c r="E167" s="9" t="str">
        <x:f>IF(A167="","",IF(COUNTIFS('Видео'!$A$7:$A$1508,A167)=1,INDEX('Видео'!$D$7:$D$1508,MATCH(A167,'Видео'!$A$7:$A$1508,0)),"ID не найден"))</x:f>
        <x:v>Общество</x:v>
      </x:c>
      <x:c r="F167" s="10" t="str">
        <x:f>IF(A167="","",IF(COUNTIFS('Видео'!$A$7:$A$1508,A167)=1,INDEX('Видео'!$F$7:$F$1508,MATCH(A167,'Видео'!$A$7:$A$1508,0)),"ID не найден"))</x:f>
        <x:v>B2–C1 (гипотеза)</x:v>
      </x:c>
      <x:c r="G167" s="14" t="n">
        <x:f>IF(A167="","",IF(COUNTIFS('Видео'!$A$7:$A$1508,A167)=1,INDEX('Видео'!$H$7:$H$1508,MATCH(A167,'Видео'!$A$7:$A$1508,0)),"ID не найден"))</x:f>
        <x:v>60710</x:v>
      </x:c>
      <x:c r="H167" s="18" t="n">
        <x:f>IF(A167="","",IF(COUNTIFS('Видео'!$A$7:$A$1508,A167)=1,INDEX('Видео'!$L$7:$L$1508,MATCH(A167,'Видео'!$A$7:$A$1508,0)),"ID не найден"))</x:f>
        <x:v>10</x:v>
      </x:c>
      <x:c r="I167" s="10" t="str">
        <x:f>IF(A167="","",IF(COUNTIFS('Видео'!$A$7:$A$1508,A167)=1,INDEX('Видео'!$AI$7:$AI$1508,MATCH(A167,'Видео'!$A$7:$A$1508,0)),"ID не найден"))</x:f>
        <x:v>Нужна редактура</x:v>
      </x:c>
      <x:c r="J167" s="11" t="str">
        <x:f>IF(A167="","",IF(COUNTIFS('Видео'!$A$7:$A$1508,A167)=1,INDEX('Видео'!$U$7:$U$1508,MATCH(A167,'Видео'!$A$7:$A$1508,0)),"ID не найден"))</x:f>
        <x:v>https://www.youtube.com/watch?v=oIDT2Rlmjhg</x:v>
      </x:c>
      <x:c r="K167" s="9" t="str">
        <x:v>C081</x:v>
      </x:c>
      <x:c r="L167" s="9" t="str">
        <x:v>Да</x:v>
      </x:c>
    </x:row>
    <x:row r="168" ht="60" customHeight="1">
      <x:c r="A168" s="9" t="str">
        <x:v>Wxzu2Ky6UCE</x:v>
      </x:c>
      <x:c r="B168" s="10" t="str">
        <x:f>IF(A168="","",IF(COUNTIFS('Видео'!$A$7:$A$1508,A168)=1,INDEX('Видео'!$B$7:$B$1508,MATCH(A168,'Видео'!$A$7:$A$1508,0)),"ID не найден"))</x:f>
        <x:v>מוטי בבצ'יק על חוק הגיוס שהובטח לו שיקודם בראשית ימיה של הממשלה</x:v>
      </x:c>
      <x:c r="C168" s="10" t="str">
        <x:f>IF(A168="","",IF(COUNTIFS('Видео'!$A$7:$A$1508,A168)=1,INDEX('Видео'!$C$7:$C$1508,MATCH(A168,'Видео'!$A$7:$A$1508,0)),"ID не найден"))</x:f>
        <x:v>Люди Израиля</x:v>
      </x:c>
      <x:c r="D168" s="10" t="str">
        <x:f>IF(A168="","",IF(COUNTIFS('Видео'!$A$7:$A$1508,A168)=1,INDEX('Видео'!$M$7:$M$1508,MATCH(A168,'Видео'!$A$7:$A$1508,0)),"ID не найден"))</x:f>
        <x:v>Тема / гость: מוטי בבצ'יק על חוק הגיוס שהובטח לו שיקודם בראשית ימיה של הממשלה. Просмотры в списке выше медианы выборки этого цикла в 3.42 раза. Дополняет биографические интервью другим ведущим и кругом гостей.</x:v>
      </x:c>
      <x:c r="E168" s="9" t="str">
        <x:f>IF(A168="","",IF(COUNTIFS('Видео'!$A$7:$A$1508,A168)=1,INDEX('Видео'!$D$7:$D$1508,MATCH(A168,'Видео'!$A$7:$A$1508,0)),"ID не найден"))</x:f>
        <x:v>Интервью</x:v>
      </x:c>
      <x:c r="F168" s="10" t="str">
        <x:f>IF(A168="","",IF(COUNTIFS('Видео'!$A$7:$A$1508,A168)=1,INDEX('Видео'!$F$7:$F$1508,MATCH(A168,'Видео'!$A$7:$A$1508,0)),"ID не найден"))</x:f>
        <x:v>B2–C1 (гипотеза)</x:v>
      </x:c>
      <x:c r="G168" s="14" t="n">
        <x:f>IF(A168="","",IF(COUNTIFS('Видео'!$A$7:$A$1508,A168)=1,INDEX('Видео'!$H$7:$H$1508,MATCH(A168,'Видео'!$A$7:$A$1508,0)),"ID не найден"))</x:f>
        <x:v>65167</x:v>
      </x:c>
      <x:c r="H168" s="18" t="n">
        <x:f>IF(A168="","",IF(COUNTIFS('Видео'!$A$7:$A$1508,A168)=1,INDEX('Видео'!$L$7:$L$1508,MATCH(A168,'Видео'!$A$7:$A$1508,0)),"ID не найден"))</x:f>
        <x:v>3.4210526315789473</x:v>
      </x:c>
      <x:c r="I168" s="10" t="str">
        <x:f>IF(A168="","",IF(COUNTIFS('Видео'!$A$7:$A$1508,A168)=1,INDEX('Видео'!$AI$7:$AI$1508,MATCH(A168,'Видео'!$A$7:$A$1508,0)),"ID не найден"))</x:f>
        <x:v>Нужна редактура</x:v>
      </x:c>
      <x:c r="J168" s="11" t="str">
        <x:f>IF(A168="","",IF(COUNTIFS('Видео'!$A$7:$A$1508,A168)=1,INDEX('Видео'!$U$7:$U$1508,MATCH(A168,'Видео'!$A$7:$A$1508,0)),"ID не найден"))</x:f>
        <x:v>https://www.youtube.com/watch?v=Wxzu2Ky6UCE</x:v>
      </x:c>
      <x:c r="K168" s="9" t="str">
        <x:v>C082</x:v>
      </x:c>
      <x:c r="L168" s="9" t="str">
        <x:v>Да</x:v>
      </x:c>
    </x:row>
    <x:row r="169" ht="60" customHeight="1">
      <x:c r="A169" s="9" t="str">
        <x:v>IBCQKFMUtA0</x:v>
      </x:c>
      <x:c r="B169" s="10" t="str">
        <x:f>IF(A169="","",IF(COUNTIFS('Видео'!$A$7:$A$1508,A169)=1,INDEX('Видео'!$B$7:$B$1508,MATCH(A169,'Видео'!$A$7:$A$1508,0)),"ID не найден"))</x:f>
        <x:v>שיחה עם עודד הרוש: המוזיקאי יאיר אלייצור I התכנית המלאה</x:v>
      </x:c>
      <x:c r="C169" s="10" t="str">
        <x:f>IF(A169="","",IF(COUNTIFS('Видео'!$A$7:$A$1508,A169)=1,INDEX('Видео'!$C$7:$C$1508,MATCH(A169,'Видео'!$A$7:$A$1508,0)),"ID не найден"))</x:f>
        <x:v>Люди Израиля</x:v>
      </x:c>
      <x:c r="D169" s="10" t="str">
        <x:f>IF(A169="","",IF(COUNTIFS('Видео'!$A$7:$A$1508,A169)=1,INDEX('Видео'!$M$7:$M$1508,MATCH(A169,'Видео'!$A$7:$A$1508,0)),"ID не найден"))</x:f>
        <x:v>Тема / гость: שיחה עם עודד הרוש: המוזיקאי יאיר אלייצור I התכנית המלאה. Просмотры в списке выше медианы выборки этого цикла в 3.16 раза. Дополняет биографические интервью другим ведущим и кругом гостей.</x:v>
      </x:c>
      <x:c r="E169" s="9" t="str">
        <x:f>IF(A169="","",IF(COUNTIFS('Видео'!$A$7:$A$1508,A169)=1,INDEX('Видео'!$D$7:$D$1508,MATCH(A169,'Видео'!$A$7:$A$1508,0)),"ID не найден"))</x:f>
        <x:v>Интервью</x:v>
      </x:c>
      <x:c r="F169" s="10" t="str">
        <x:f>IF(A169="","",IF(COUNTIFS('Видео'!$A$7:$A$1508,A169)=1,INDEX('Видео'!$F$7:$F$1508,MATCH(A169,'Видео'!$A$7:$A$1508,0)),"ID не найден"))</x:f>
        <x:v>B2–C1 (гипотеза)</x:v>
      </x:c>
      <x:c r="G169" s="14" t="n">
        <x:f>IF(A169="","",IF(COUNTIFS('Видео'!$A$7:$A$1508,A169)=1,INDEX('Видео'!$H$7:$H$1508,MATCH(A169,'Видео'!$A$7:$A$1508,0)),"ID не найден"))</x:f>
        <x:v>60552</x:v>
      </x:c>
      <x:c r="H169" s="18" t="n">
        <x:f>IF(A169="","",IF(COUNTIFS('Видео'!$A$7:$A$1508,A169)=1,INDEX('Видео'!$L$7:$L$1508,MATCH(A169,'Видео'!$A$7:$A$1508,0)),"ID не найден"))</x:f>
        <x:v>3.1578947368421053</x:v>
      </x:c>
      <x:c r="I169" s="10" t="str">
        <x:f>IF(A169="","",IF(COUNTIFS('Видео'!$A$7:$A$1508,A169)=1,INDEX('Видео'!$AI$7:$AI$1508,MATCH(A169,'Видео'!$A$7:$A$1508,0)),"ID не найден"))</x:f>
        <x:v>Нужна редактура</x:v>
      </x:c>
      <x:c r="J169" s="11" t="str">
        <x:f>IF(A169="","",IF(COUNTIFS('Видео'!$A$7:$A$1508,A169)=1,INDEX('Видео'!$U$7:$U$1508,MATCH(A169,'Видео'!$A$7:$A$1508,0)),"ID не найден"))</x:f>
        <x:v>https://www.youtube.com/watch?v=IBCQKFMUtA0</x:v>
      </x:c>
      <x:c r="K169" s="9" t="str">
        <x:v>C082</x:v>
      </x:c>
      <x:c r="L169" s="9" t="str">
        <x:v>Да</x:v>
      </x:c>
    </x:row>
    <x:row r="170" ht="60" customHeight="1">
      <x:c r="A170" s="9" t="str">
        <x:v>KdQYwbVZW-Q</x:v>
      </x:c>
      <x:c r="B170" s="10" t="str">
        <x:f>IF(A170="","",IF(COUNTIFS('Видео'!$A$7:$A$1508,A170)=1,INDEX('Видео'!$B$7:$B$1508,MATCH(A170,'Видео'!$A$7:$A$1508,0)),"ID не найден"))</x:f>
        <x:v>הדרום הפרוע: מחדל המשילות בנגב | חלק א'</x:v>
      </x:c>
      <x:c r="C170" s="10" t="str">
        <x:f>IF(A170="","",IF(COUNTIFS('Видео'!$A$7:$A$1508,A170)=1,INDEX('Видео'!$C$7:$C$1508,MATCH(A170,'Видео'!$A$7:$A$1508,0)),"ID не найден"))</x:f>
        <x:v>Общество и периферия</x:v>
      </x:c>
      <x:c r="D170" s="10" t="str">
        <x:f>IF(A170="","",IF(COUNTIFS('Видео'!$A$7:$A$1508,A170)=1,INDEX('Видео'!$M$7:$M$1508,MATCH(A170,'Видео'!$A$7:$A$1508,0)),"ID не найден"))</x:f>
        <x:v>Тема: הדרום הפרוע: מחדל המשילות בנגב | חלק א'. Региональная тема расширяет фокус за пределы центра страны. Не смешивать с другим циклом 7.10 — גרסת יו״ש.</x:v>
      </x:c>
      <x:c r="E170" s="9" t="str">
        <x:f>IF(A170="","",IF(COUNTIFS('Видео'!$A$7:$A$1508,A170)=1,INDEX('Видео'!$D$7:$D$1508,MATCH(A170,'Видео'!$A$7:$A$1508,0)),"ID не найден"))</x:f>
        <x:v>Общество</x:v>
      </x:c>
      <x:c r="F170" s="10" t="str">
        <x:f>IF(A170="","",IF(COUNTIFS('Видео'!$A$7:$A$1508,A170)=1,INDEX('Видео'!$F$7:$F$1508,MATCH(A170,'Видео'!$A$7:$A$1508,0)),"ID не найден"))</x:f>
        <x:v>B2–C1 (гипотеза)</x:v>
      </x:c>
      <x:c r="G170" s="14" t="n">
        <x:f>IF(A170="","",IF(COUNTIFS('Видео'!$A$7:$A$1508,A170)=1,INDEX('Видео'!$H$7:$H$1508,MATCH(A170,'Видео'!$A$7:$A$1508,0)),"ID не найден"))</x:f>
        <x:v>39998</x:v>
      </x:c>
      <x:c r="H170" s="18" t="str">
        <x:f>IF(A170="","",IF(COUNTIFS('Видео'!$A$7:$A$1508,A170)=1,INDEX('Видео'!$L$7:$L$1508,MATCH(A170,'Видео'!$A$7:$A$1508,0)),"ID не найден"))</x:f>
      </x:c>
      <x:c r="I170" s="10" t="str">
        <x:f>IF(A170="","",IF(COUNTIFS('Видео'!$A$7:$A$1508,A170)=1,INDEX('Видео'!$AI$7:$AI$1508,MATCH(A170,'Видео'!$A$7:$A$1508,0)),"ID не найден"))</x:f>
        <x:v>Нужна редактура</x:v>
      </x:c>
      <x:c r="J170" s="11" t="str">
        <x:f>IF(A170="","",IF(COUNTIFS('Видео'!$A$7:$A$1508,A170)=1,INDEX('Видео'!$U$7:$U$1508,MATCH(A170,'Видео'!$A$7:$A$1508,0)),"ID не найден"))</x:f>
        <x:v>https://www.youtube.com/watch?v=KdQYwbVZW-Q</x:v>
      </x:c>
      <x:c r="K170" s="9" t="str">
        <x:v>C084</x:v>
      </x:c>
      <x:c r="L170" s="9" t="str">
        <x:v>Да</x:v>
      </x:c>
    </x:row>
    <x:row r="171" ht="60" customHeight="1">
      <x:c r="A171" s="9" t="str">
        <x:v>lmVm-eqQtGc</x:v>
      </x:c>
      <x:c r="B171" s="10" t="str">
        <x:f>IF(A171="","",IF(COUNTIFS('Видео'!$A$7:$A$1508,A171)=1,INDEX('Видео'!$B$7:$B$1508,MATCH(A171,'Видео'!$A$7:$A$1508,0)),"ID не найден"))</x:f>
        <x:v>הדרום הפרוע: מחדל המשילות בנגב | חלק ג</x:v>
      </x:c>
      <x:c r="C171" s="10" t="str">
        <x:f>IF(A171="","",IF(COUNTIFS('Видео'!$A$7:$A$1508,A171)=1,INDEX('Видео'!$C$7:$C$1508,MATCH(A171,'Видео'!$A$7:$A$1508,0)),"ID не найден"))</x:f>
        <x:v>Общество и периферия</x:v>
      </x:c>
      <x:c r="D171" s="10" t="str">
        <x:f>IF(A171="","",IF(COUNTIFS('Видео'!$A$7:$A$1508,A171)=1,INDEX('Видео'!$M$7:$M$1508,MATCH(A171,'Видео'!$A$7:$A$1508,0)),"ID не найден"))</x:f>
        <x:v>Тема: הדרום הפרוע: מחדל המשילות בנגב | חלק ג. Региональная тема расширяет фокус за пределы центра страны. Не смешивать с другим циклом 7.10 — גרסת יו״ש.</x:v>
      </x:c>
      <x:c r="E171" s="9" t="str">
        <x:f>IF(A171="","",IF(COUNTIFS('Видео'!$A$7:$A$1508,A171)=1,INDEX('Видео'!$D$7:$D$1508,MATCH(A171,'Видео'!$A$7:$A$1508,0)),"ID не найден"))</x:f>
        <x:v>Общество</x:v>
      </x:c>
      <x:c r="F171" s="10" t="str">
        <x:f>IF(A171="","",IF(COUNTIFS('Видео'!$A$7:$A$1508,A171)=1,INDEX('Видео'!$F$7:$F$1508,MATCH(A171,'Видео'!$A$7:$A$1508,0)),"ID не найден"))</x:f>
        <x:v>B2–C1 (гипотеза)</x:v>
      </x:c>
      <x:c r="G171" s="14" t="n">
        <x:f>IF(A171="","",IF(COUNTIFS('Видео'!$A$7:$A$1508,A171)=1,INDEX('Видео'!$H$7:$H$1508,MATCH(A171,'Видео'!$A$7:$A$1508,0)),"ID не найден"))</x:f>
        <x:v>13217</x:v>
      </x:c>
      <x:c r="H171" s="18" t="str">
        <x:f>IF(A171="","",IF(COUNTIFS('Видео'!$A$7:$A$1508,A171)=1,INDEX('Видео'!$L$7:$L$1508,MATCH(A171,'Видео'!$A$7:$A$1508,0)),"ID не найден"))</x:f>
      </x:c>
      <x:c r="I171" s="10" t="str">
        <x:f>IF(A171="","",IF(COUNTIFS('Видео'!$A$7:$A$1508,A171)=1,INDEX('Видео'!$AI$7:$AI$1508,MATCH(A171,'Видео'!$A$7:$A$1508,0)),"ID не найден"))</x:f>
        <x:v>Нужна редактура</x:v>
      </x:c>
      <x:c r="J171" s="11" t="str">
        <x:f>IF(A171="","",IF(COUNTIFS('Видео'!$A$7:$A$1508,A171)=1,INDEX('Видео'!$U$7:$U$1508,MATCH(A171,'Видео'!$A$7:$A$1508,0)),"ID не найден"))</x:f>
        <x:v>https://www.youtube.com/watch?v=lmVm-eqQtGc</x:v>
      </x:c>
      <x:c r="K171" s="9" t="str">
        <x:v>C084</x:v>
      </x:c>
      <x:c r="L171" s="9" t="str">
        <x:v>Да</x:v>
      </x:c>
    </x:row>
    <x:row r="172" ht="60" customHeight="1">
      <x:c r="A172" s="9" t="str">
        <x:v>NvMI5MOzlTQ</x:v>
      </x:c>
      <x:c r="B172" s="10" t="str">
        <x:f>IF(A172="","",IF(COUNTIFS('Видео'!$A$7:$A$1508,A172)=1,INDEX('Видео'!$B$7:$B$1508,MATCH(A172,'Видео'!$A$7:$A$1508,0)),"ID не найден"))</x:f>
        <x:v>המלך, החלום ואלף זהובים: המשל המיוחד שסיפר הבן איש חי</x:v>
      </x:c>
      <x:c r="C172" s="10" t="str">
        <x:f>IF(A172="","",IF(COUNTIFS('Видео'!$A$7:$A$1508,A172)=1,INDEX('Видео'!$C$7:$C$1508,MATCH(A172,'Видео'!$A$7:$A$1508,0)),"ID не найден"))</x:f>
        <x:v>Культура общин</x:v>
      </x:c>
      <x:c r="D172" s="10" t="str">
        <x:f>IF(A172="","",IF(COUNTIFS('Видео'!$A$7:$A$1508,A172)=1,INDEX('Видео'!$M$7:$M$1508,MATCH(A172,'Видео'!$A$7:$A$1508,0)),"ID не найден"))</x:f>
        <x:v>Завершённый короткий просмотр около 1 мин. Просмотры в списке выше медианы выборки этого цикла в 2.58 раза. Истории мудрецов Востока расширяют предложение для традиционно ориентированных зрителей.</x:v>
      </x:c>
      <x:c r="E172" s="9" t="str">
        <x:f>IF(A172="","",IF(COUNTIFS('Видео'!$A$7:$A$1508,A172)=1,INDEX('Видео'!$D$7:$D$1508,MATCH(A172,'Видео'!$A$7:$A$1508,0)),"ID не найден"))</x:f>
        <x:v>Культура</x:v>
      </x:c>
      <x:c r="F172" s="10" t="str">
        <x:f>IF(A172="","",IF(COUNTIFS('Видео'!$A$7:$A$1508,A172)=1,INDEX('Видео'!$F$7:$F$1508,MATCH(A172,'Видео'!$A$7:$A$1508,0)),"ID не найден"))</x:f>
        <x:v>B1–B2 (гипотеза)</x:v>
      </x:c>
      <x:c r="G172" s="14" t="n">
        <x:f>IF(A172="","",IF(COUNTIFS('Видео'!$A$7:$A$1508,A172)=1,INDEX('Видео'!$H$7:$H$1508,MATCH(A172,'Видео'!$A$7:$A$1508,0)),"ID не найден"))</x:f>
        <x:v>1711</x:v>
      </x:c>
      <x:c r="H172" s="18" t="n">
        <x:f>IF(A172="","",IF(COUNTIFS('Видео'!$A$7:$A$1508,A172)=1,INDEX('Видео'!$L$7:$L$1508,MATCH(A172,'Видео'!$A$7:$A$1508,0)),"ID не найден"))</x:f>
        <x:v>2.579666160849772</x:v>
      </x:c>
      <x:c r="I172" s="10" t="str">
        <x:f>IF(A172="","",IF(COUNTIFS('Видео'!$A$7:$A$1508,A172)=1,INDEX('Видео'!$AI$7:$AI$1508,MATCH(A172,'Видео'!$A$7:$A$1508,0)),"ID не найден"))</x:f>
        <x:v>Нужна редактура</x:v>
      </x:c>
      <x:c r="J172" s="11" t="str">
        <x:f>IF(A172="","",IF(COUNTIFS('Видео'!$A$7:$A$1508,A172)=1,INDEX('Видео'!$U$7:$U$1508,MATCH(A172,'Видео'!$A$7:$A$1508,0)),"ID не найден"))</x:f>
        <x:v>https://www.youtube.com/watch?v=NvMI5MOzlTQ</x:v>
      </x:c>
      <x:c r="K172" s="9" t="str">
        <x:v>C085</x:v>
      </x:c>
      <x:c r="L172" s="9" t="str">
        <x:v>Да</x:v>
      </x:c>
    </x:row>
    <x:row r="173" ht="60" customHeight="1">
      <x:c r="A173" s="9" t="str">
        <x:v>7ltGCJTneNk</x:v>
      </x:c>
      <x:c r="B173" s="10" t="str">
        <x:f>IF(A173="","",IF(COUNTIFS('Видео'!$A$7:$A$1508,A173)=1,INDEX('Видео'!$B$7:$B$1508,MATCH(A173,'Видео'!$A$7:$A$1508,0)),"ID не найден"))</x:f>
        <x:v>אחרי הבכי אפשר לדבר: העצה העמוקה של הבבא סאלי</x:v>
      </x:c>
      <x:c r="C173" s="10" t="str">
        <x:f>IF(A173="","",IF(COUNTIFS('Видео'!$A$7:$A$1508,A173)=1,INDEX('Видео'!$C$7:$C$1508,MATCH(A173,'Видео'!$A$7:$A$1508,0)),"ID не найден"))</x:f>
        <x:v>Культура общин</x:v>
      </x:c>
      <x:c r="D173" s="10" t="str">
        <x:f>IF(A173="","",IF(COUNTIFS('Видео'!$A$7:$A$1508,A173)=1,INDEX('Видео'!$M$7:$M$1508,MATCH(A173,'Видео'!$A$7:$A$1508,0)),"ID не найден"))</x:f>
        <x:v>Завершённый короткий просмотр около 2 мин. Просмотры в списке выше медианы выборки этого цикла в 1.97 раза. Истории мудрецов Востока расширяют предложение для традиционно ориентированных зрителей.</x:v>
      </x:c>
      <x:c r="E173" s="9" t="str">
        <x:f>IF(A173="","",IF(COUNTIFS('Видео'!$A$7:$A$1508,A173)=1,INDEX('Видео'!$D$7:$D$1508,MATCH(A173,'Видео'!$A$7:$A$1508,0)),"ID не найден"))</x:f>
        <x:v>Культура</x:v>
      </x:c>
      <x:c r="F173" s="10" t="str">
        <x:f>IF(A173="","",IF(COUNTIFS('Видео'!$A$7:$A$1508,A173)=1,INDEX('Видео'!$F$7:$F$1508,MATCH(A173,'Видео'!$A$7:$A$1508,0)),"ID не найден"))</x:f>
        <x:v>B1–B2 (гипотеза)</x:v>
      </x:c>
      <x:c r="G173" s="14" t="n">
        <x:f>IF(A173="","",IF(COUNTIFS('Видео'!$A$7:$A$1508,A173)=1,INDEX('Видео'!$H$7:$H$1508,MATCH(A173,'Видео'!$A$7:$A$1508,0)),"ID не найден"))</x:f>
        <x:v>1322</x:v>
      </x:c>
      <x:c r="H173" s="18" t="n">
        <x:f>IF(A173="","",IF(COUNTIFS('Видео'!$A$7:$A$1508,A173)=1,INDEX('Видео'!$L$7:$L$1508,MATCH(A173,'Видео'!$A$7:$A$1508,0)),"ID не найден"))</x:f>
        <x:v>1.9726858877086495</x:v>
      </x:c>
      <x:c r="I173" s="10" t="str">
        <x:f>IF(A173="","",IF(COUNTIFS('Видео'!$A$7:$A$1508,A173)=1,INDEX('Видео'!$AI$7:$AI$1508,MATCH(A173,'Видео'!$A$7:$A$1508,0)),"ID не найден"))</x:f>
        <x:v>Нужна редактура</x:v>
      </x:c>
      <x:c r="J173" s="11" t="str">
        <x:f>IF(A173="","",IF(COUNTIFS('Видео'!$A$7:$A$1508,A173)=1,INDEX('Видео'!$U$7:$U$1508,MATCH(A173,'Видео'!$A$7:$A$1508,0)),"ID не найден"))</x:f>
        <x:v>https://www.youtube.com/watch?v=7ltGCJTneNk</x:v>
      </x:c>
      <x:c r="K173" s="9" t="str">
        <x:v>C085</x:v>
      </x:c>
      <x:c r="L173" s="9" t="str">
        <x:v>Да</x:v>
      </x:c>
    </x:row>
    <x:row r="174" ht="60" customHeight="1">
      <x:c r="A174" s="9" t="str">
        <x:v>7DGT1v2iyOY</x:v>
      </x:c>
      <x:c r="B174" s="10" t="str">
        <x:f>IF(A174="","",IF(COUNTIFS('Видео'!$A$7:$A$1508,A174)=1,INDEX('Видео'!$B$7:$B$1508,MATCH(A174,'Видео'!$A$7:$A$1508,0)),"ID не найден"))</x:f>
        <x:v>הצומת | המוסד כפי שלא הכרתם - שיחה עם אבנר אברהם</x:v>
      </x:c>
      <x:c r="C174" s="10" t="str">
        <x:f>IF(A174="","",IF(COUNTIFS('Видео'!$A$7:$A$1508,A174)=1,INDEX('Видео'!$C$7:$C$1508,MATCH(A174,'Видео'!$A$7:$A$1508,0)),"ID не найден"))</x:f>
        <x:v>Люди и общественные идеи</x:v>
      </x:c>
      <x:c r="D174" s="10" t="str">
        <x:f>IF(A174="","",IF(COUNTIFS('Видео'!$A$7:$A$1508,A174)=1,INDEX('Видео'!$M$7:$M$1508,MATCH(A174,'Видео'!$A$7:$A$1508,0)),"ID не найден"))</x:f>
        <x:v>Тема / гость: המוסד כפי שלא הכרתם - שיחה עם אבנר אברהם. Просмотры в списке выше медианы выборки этого цикла в 3.33 раза. Связь с уже выбранным владельцем источником. Длинные разговоры дают разные профессиональные и общественные биографии.</x:v>
      </x:c>
      <x:c r="E174" s="9" t="str">
        <x:f>IF(A174="","",IF(COUNTIFS('Видео'!$A$7:$A$1508,A174)=1,INDEX('Видео'!$D$7:$D$1508,MATCH(A174,'Видео'!$A$7:$A$1508,0)),"ID не найден"))</x:f>
        <x:v>Интервью</x:v>
      </x:c>
      <x:c r="F174" s="10" t="str">
        <x:f>IF(A174="","",IF(COUNTIFS('Видео'!$A$7:$A$1508,A174)=1,INDEX('Видео'!$F$7:$F$1508,MATCH(A174,'Видео'!$A$7:$A$1508,0)),"ID не найден"))</x:f>
        <x:v>B2–C1 (гипотеза)</x:v>
      </x:c>
      <x:c r="G174" s="14" t="n">
        <x:f>IF(A174="","",IF(COUNTIFS('Видео'!$A$7:$A$1508,A174)=1,INDEX('Видео'!$H$7:$H$1508,MATCH(A174,'Видео'!$A$7:$A$1508,0)),"ID не найден"))</x:f>
        <x:v>15909</x:v>
      </x:c>
      <x:c r="H174" s="18" t="n">
        <x:f>IF(A174="","",IF(COUNTIFS('Видео'!$A$7:$A$1508,A174)=1,INDEX('Видео'!$L$7:$L$1508,MATCH(A174,'Видео'!$A$7:$A$1508,0)),"ID не найден"))</x:f>
        <x:v>3.3333333333333335</x:v>
      </x:c>
      <x:c r="I174" s="10" t="str">
        <x:f>IF(A174="","",IF(COUNTIFS('Видео'!$A$7:$A$1508,A174)=1,INDEX('Видео'!$AI$7:$AI$1508,MATCH(A174,'Видео'!$A$7:$A$1508,0)),"ID не найден"))</x:f>
        <x:v>Нужна редактура</x:v>
      </x:c>
      <x:c r="J174" s="11" t="str">
        <x:f>IF(A174="","",IF(COUNTIFS('Видео'!$A$7:$A$1508,A174)=1,INDEX('Видео'!$U$7:$U$1508,MATCH(A174,'Видео'!$A$7:$A$1508,0)),"ID не найден"))</x:f>
        <x:v>https://www.youtube.com/watch?v=7DGT1v2iyOY</x:v>
      </x:c>
      <x:c r="K174" s="9" t="str">
        <x:v>C086</x:v>
      </x:c>
      <x:c r="L174" s="9" t="str">
        <x:v>Да</x:v>
      </x:c>
    </x:row>
    <x:row r="175" ht="60" customHeight="1">
      <x:c r="A175" s="9" t="str">
        <x:v>I6NVvTP5Oyg</x:v>
      </x:c>
      <x:c r="B175" s="10" t="str">
        <x:f>IF(A175="","",IF(COUNTIFS('Видео'!$A$7:$A$1508,A175)=1,INDEX('Видео'!$B$7:$B$1508,MATCH(A175,'Видео'!$A$7:$A$1508,0)),"ID не найден"))</x:f>
        <x:v>הצומת | ממבצע מודיעיני לניהול עסק - עם יוצא סיירת מטכ״ל גיורא לוי</x:v>
      </x:c>
      <x:c r="C175" s="10" t="str">
        <x:f>IF(A175="","",IF(COUNTIFS('Видео'!$A$7:$A$1508,A175)=1,INDEX('Видео'!$C$7:$C$1508,MATCH(A175,'Видео'!$A$7:$A$1508,0)),"ID не найден"))</x:f>
        <x:v>Люди и общественные идеи</x:v>
      </x:c>
      <x:c r="D175" s="10" t="str">
        <x:f>IF(A175="","",IF(COUNTIFS('Видео'!$A$7:$A$1508,A175)=1,INDEX('Видео'!$M$7:$M$1508,MATCH(A175,'Видео'!$A$7:$A$1508,0)),"ID не найден"))</x:f>
        <x:v>Тема / гость: ממבצע מודיעיני לניהול עסק - עם יוצא סיירת מטכ״ל גיורא לוי. Просмотры в списке выше медианы выборки этого цикла в 2.89 раза. Связь с уже выбранным владельцем источником. Длинные разговоры дают разные профессиональные и общественные биографии.</x:v>
      </x:c>
      <x:c r="E175" s="9" t="str">
        <x:f>IF(A175="","",IF(COUNTIFS('Видео'!$A$7:$A$1508,A175)=1,INDEX('Видео'!$D$7:$D$1508,MATCH(A175,'Видео'!$A$7:$A$1508,0)),"ID не найден"))</x:f>
        <x:v>Интервью</x:v>
      </x:c>
      <x:c r="F175" s="10" t="str">
        <x:f>IF(A175="","",IF(COUNTIFS('Видео'!$A$7:$A$1508,A175)=1,INDEX('Видео'!$F$7:$F$1508,MATCH(A175,'Видео'!$A$7:$A$1508,0)),"ID не найден"))</x:f>
        <x:v>B2–C1 (гипотеза)</x:v>
      </x:c>
      <x:c r="G175" s="14" t="n">
        <x:f>IF(A175="","",IF(COUNTIFS('Видео'!$A$7:$A$1508,A175)=1,INDEX('Видео'!$H$7:$H$1508,MATCH(A175,'Видео'!$A$7:$A$1508,0)),"ID не найден"))</x:f>
        <x:v>13856</x:v>
      </x:c>
      <x:c r="H175" s="18" t="n">
        <x:f>IF(A175="","",IF(COUNTIFS('Видео'!$A$7:$A$1508,A175)=1,INDEX('Видео'!$L$7:$L$1508,MATCH(A175,'Видео'!$A$7:$A$1508,0)),"ID не найден"))</x:f>
        <x:v>2.888888888888889</x:v>
      </x:c>
      <x:c r="I175" s="10" t="str">
        <x:f>IF(A175="","",IF(COUNTIFS('Видео'!$A$7:$A$1508,A175)=1,INDEX('Видео'!$AI$7:$AI$1508,MATCH(A175,'Видео'!$A$7:$A$1508,0)),"ID не найден"))</x:f>
        <x:v>Нужна редактура</x:v>
      </x:c>
      <x:c r="J175" s="11" t="str">
        <x:f>IF(A175="","",IF(COUNTIFS('Видео'!$A$7:$A$1508,A175)=1,INDEX('Видео'!$U$7:$U$1508,MATCH(A175,'Видео'!$A$7:$A$1508,0)),"ID не найден"))</x:f>
        <x:v>https://www.youtube.com/watch?v=I6NVvTP5Oyg</x:v>
      </x:c>
      <x:c r="K175" s="9" t="str">
        <x:v>C086</x:v>
      </x:c>
      <x:c r="L175" s="9" t="str">
        <x:v>Да</x:v>
      </x:c>
    </x:row>
    <x:row r="176" ht="60" customHeight="1">
      <x:c r="A176" s="9" t="str">
        <x:v>k3ujCFEpcXs</x:v>
      </x:c>
      <x:c r="B176" s="10" t="str">
        <x:f>IF(A176="","",IF(COUNTIFS('Видео'!$A$7:$A$1508,A176)=1,INDEX('Видео'!$B$7:$B$1508,MATCH(A176,'Видео'!$A$7:$A$1508,0)),"ID не найден"))</x:f>
        <x:v>7 באוקטובר שינה הכל. שומר סף 394 עם אורטל בן דיין</x:v>
      </x:c>
      <x:c r="C176" s="10" t="str">
        <x:f>IF(A176="","",IF(COUNTIFS('Видео'!$A$7:$A$1508,A176)=1,INDEX('Видео'!$C$7:$C$1508,MATCH(A176,'Видео'!$A$7:$A$1508,0)),"ID не найден"))</x:f>
        <x:v>Общественная дискуссия</x:v>
      </x:c>
      <x:c r="D176" s="10" t="str">
        <x:f>IF(A176="","",IF(COUNTIFS('Видео'!$A$7:$A$1508,A176)=1,INDEX('Видео'!$M$7:$M$1508,MATCH(A176,'Видео'!$A$7:$A$1508,0)),"ID не найден"))</x:f>
        <x:v>Тема / гость: 7 באוקטובר שינה הכל. שומר סף 394 עם אורטל בן דיין. Просмотры в списке выше медианы выборки этого цикла в 2.3 раза. Источник для аудитории общественных дебатов; полезен при явной атрибуции позиции ведущего и гостя.</x:v>
      </x:c>
      <x:c r="E176" s="9" t="str">
        <x:f>IF(A176="","",IF(COUNTIFS('Видео'!$A$7:$A$1508,A176)=1,INDEX('Видео'!$D$7:$D$1508,MATCH(A176,'Видео'!$A$7:$A$1508,0)),"ID не найден"))</x:f>
        <x:v>Интервью</x:v>
      </x:c>
      <x:c r="F176" s="10" t="str">
        <x:f>IF(A176="","",IF(COUNTIFS('Видео'!$A$7:$A$1508,A176)=1,INDEX('Видео'!$F$7:$F$1508,MATCH(A176,'Видео'!$A$7:$A$1508,0)),"ID не найден"))</x:f>
        <x:v>B2–C1 (гипотеза)</x:v>
      </x:c>
      <x:c r="G176" s="14" t="n">
        <x:f>IF(A176="","",IF(COUNTIFS('Видео'!$A$7:$A$1508,A176)=1,INDEX('Видео'!$H$7:$H$1508,MATCH(A176,'Видео'!$A$7:$A$1508,0)),"ID не найден"))</x:f>
        <x:v>76731</x:v>
      </x:c>
      <x:c r="H176" s="18" t="n">
        <x:f>IF(A176="","",IF(COUNTIFS('Видео'!$A$7:$A$1508,A176)=1,INDEX('Видео'!$L$7:$L$1508,MATCH(A176,'Видео'!$A$7:$A$1508,0)),"ID не найден"))</x:f>
        <x:v>2.303030303030303</x:v>
      </x:c>
      <x:c r="I176" s="10" t="str">
        <x:f>IF(A176="","",IF(COUNTIFS('Видео'!$A$7:$A$1508,A176)=1,INDEX('Видео'!$AI$7:$AI$1508,MATCH(A176,'Видео'!$A$7:$A$1508,0)),"ID не найден"))</x:f>
        <x:v>Нужна редактура</x:v>
      </x:c>
      <x:c r="J176" s="11" t="str">
        <x:f>IF(A176="","",IF(COUNTIFS('Видео'!$A$7:$A$1508,A176)=1,INDEX('Видео'!$U$7:$U$1508,MATCH(A176,'Видео'!$A$7:$A$1508,0)),"ID не найден"))</x:f>
        <x:v>https://www.youtube.com/watch?v=k3ujCFEpcXs</x:v>
      </x:c>
      <x:c r="K176" s="9" t="str">
        <x:v>C087</x:v>
      </x:c>
      <x:c r="L176" s="9" t="str">
        <x:v>Да</x:v>
      </x:c>
    </x:row>
    <x:row r="177" ht="60" customHeight="1">
      <x:c r="A177" s="9" t="str">
        <x:v>74y7J85Zcbo</x:v>
      </x:c>
      <x:c r="B177" s="10" t="str">
        <x:f>IF(A177="","",IF(COUNTIFS('Видео'!$A$7:$A$1508,A177)=1,INDEX('Видео'!$B$7:$B$1508,MATCH(A177,'Видео'!$A$7:$A$1508,0)),"ID не найден"))</x:f>
        <x:v>מדינה פלסטינית בצרפת? שומר סף קצר עם אלדד בק</x:v>
      </x:c>
      <x:c r="C177" s="10" t="str">
        <x:f>IF(A177="","",IF(COUNTIFS('Видео'!$A$7:$A$1508,A177)=1,INDEX('Видео'!$C$7:$C$1508,MATCH(A177,'Видео'!$A$7:$A$1508,0)),"ID не найден"))</x:f>
        <x:v>Общественная дискуссия</x:v>
      </x:c>
      <x:c r="D177" s="10" t="str">
        <x:f>IF(A177="","",IF(COUNTIFS('Видео'!$A$7:$A$1508,A177)=1,INDEX('Видео'!$M$7:$M$1508,MATCH(A177,'Видео'!$A$7:$A$1508,0)),"ID не найден"))</x:f>
        <x:v>Тема / гость: מדינה פלסטינית בצרפת? שומר סף קצר עם אלדד בק. Просмотры в списке выше медианы выборки этого цикла в 2.15 раза. Источник для аудитории общественных дебатов; полезен при явной атрибуции позиции ведущего и гостя.</x:v>
      </x:c>
      <x:c r="E177" s="9" t="str">
        <x:f>IF(A177="","",IF(COUNTIFS('Видео'!$A$7:$A$1508,A177)=1,INDEX('Видео'!$D$7:$D$1508,MATCH(A177,'Видео'!$A$7:$A$1508,0)),"ID не найден"))</x:f>
        <x:v>Интервью</x:v>
      </x:c>
      <x:c r="F177" s="10" t="str">
        <x:f>IF(A177="","",IF(COUNTIFS('Видео'!$A$7:$A$1508,A177)=1,INDEX('Видео'!$F$7:$F$1508,MATCH(A177,'Видео'!$A$7:$A$1508,0)),"ID не найден"))</x:f>
        <x:v>B2–C1 (гипотеза)</x:v>
      </x:c>
      <x:c r="G177" s="14" t="n">
        <x:f>IF(A177="","",IF(COUNTIFS('Видео'!$A$7:$A$1508,A177)=1,INDEX('Видео'!$H$7:$H$1508,MATCH(A177,'Видео'!$A$7:$A$1508,0)),"ID не найден"))</x:f>
        <x:v>71687</x:v>
      </x:c>
      <x:c r="H177" s="18" t="n">
        <x:f>IF(A177="","",IF(COUNTIFS('Видео'!$A$7:$A$1508,A177)=1,INDEX('Видео'!$L$7:$L$1508,MATCH(A177,'Видео'!$A$7:$A$1508,0)),"ID не найден"))</x:f>
        <x:v>2.1515151515151514</x:v>
      </x:c>
      <x:c r="I177" s="10" t="str">
        <x:f>IF(A177="","",IF(COUNTIFS('Видео'!$A$7:$A$1508,A177)=1,INDEX('Видео'!$AI$7:$AI$1508,MATCH(A177,'Видео'!$A$7:$A$1508,0)),"ID не найден"))</x:f>
        <x:v>Нужна редактура</x:v>
      </x:c>
      <x:c r="J177" s="11" t="str">
        <x:f>IF(A177="","",IF(COUNTIFS('Видео'!$A$7:$A$1508,A177)=1,INDEX('Видео'!$U$7:$U$1508,MATCH(A177,'Видео'!$A$7:$A$1508,0)),"ID не найден"))</x:f>
        <x:v>https://www.youtube.com/watch?v=74y7J85Zcbo</x:v>
      </x:c>
      <x:c r="K177" s="9" t="str">
        <x:v>C087</x:v>
      </x:c>
      <x:c r="L177" s="9" t="str">
        <x:v>Да</x:v>
      </x:c>
    </x:row>
    <x:row r="178" ht="60" customHeight="1">
      <x:c r="A178" s="9" t="str">
        <x:v>E78x7xLUM18</x:v>
      </x:c>
      <x:c r="B178" s="10" t="str">
        <x:f>IF(A178="","",IF(COUNTIFS('Видео'!$A$7:$A$1508,A178)=1,INDEX('Видео'!$B$7:$B$1508,MATCH(A178,'Видео'!$A$7:$A$1508,0)),"ID не найден"))</x:f>
        <x:v>האמת על האחים המוסלמים, פרק 1: יסודות האסלאם – עם ד״ר אפרים ברק</x:v>
      </x:c>
      <x:c r="C178" s="10" t="str">
        <x:f>IF(A178="","",IF(COUNTIFS('Видео'!$A$7:$A$1508,A178)=1,INDEX('Видео'!$C$7:$C$1508,MATCH(A178,'Видео'!$A$7:$A$1508,0)),"ID не найден"))</x:f>
        <x:v>Общественная дискуссия</x:v>
      </x:c>
      <x:c r="D178" s="10" t="str">
        <x:f>IF(A178="","",IF(COUNTIFS('Видео'!$A$7:$A$1508,A178)=1,INDEX('Видео'!$M$7:$M$1508,MATCH(A178,'Видео'!$A$7:$A$1508,0)),"ID не найден"))</x:f>
        <x:v>Тема / гость: האמת על האחים המוסלמים, פרק 1: יסודות האסלאם – עם ד״ר אפרים ברק. Просмотры в списке выше медианы выборки этого цикла в 12.81 раза. Дополнительная перспектива в общественной дискуссии. Включать по конкретной теме и гостю, а не по одной популярности.</x:v>
      </x:c>
      <x:c r="E178" s="9" t="str">
        <x:f>IF(A178="","",IF(COUNTIFS('Видео'!$A$7:$A$1508,A178)=1,INDEX('Видео'!$D$7:$D$1508,MATCH(A178,'Видео'!$A$7:$A$1508,0)),"ID не найден"))</x:f>
        <x:v>Интервью</x:v>
      </x:c>
      <x:c r="F178" s="10" t="str">
        <x:f>IF(A178="","",IF(COUNTIFS('Видео'!$A$7:$A$1508,A178)=1,INDEX('Видео'!$F$7:$F$1508,MATCH(A178,'Видео'!$A$7:$A$1508,0)),"ID не найден"))</x:f>
        <x:v>B2–C1 (гипотеза)</x:v>
      </x:c>
      <x:c r="G178" s="14" t="n">
        <x:f>IF(A178="","",IF(COUNTIFS('Видео'!$A$7:$A$1508,A178)=1,INDEX('Видео'!$H$7:$H$1508,MATCH(A178,'Видео'!$A$7:$A$1508,0)),"ID не найден"))</x:f>
        <x:v>41416</x:v>
      </x:c>
      <x:c r="H178" s="18" t="n">
        <x:f>IF(A178="","",IF(COUNTIFS('Видео'!$A$7:$A$1508,A178)=1,INDEX('Видео'!$L$7:$L$1508,MATCH(A178,'Видео'!$A$7:$A$1508,0)),"ID не найден"))</x:f>
        <x:v>12.8125</x:v>
      </x:c>
      <x:c r="I178" s="10" t="str">
        <x:f>IF(A178="","",IF(COUNTIFS('Видео'!$A$7:$A$1508,A178)=1,INDEX('Видео'!$AI$7:$AI$1508,MATCH(A178,'Видео'!$A$7:$A$1508,0)),"ID не найден"))</x:f>
        <x:v>Нужна редактура</x:v>
      </x:c>
      <x:c r="J178" s="11" t="str">
        <x:f>IF(A178="","",IF(COUNTIFS('Видео'!$A$7:$A$1508,A178)=1,INDEX('Видео'!$U$7:$U$1508,MATCH(A178,'Видео'!$A$7:$A$1508,0)),"ID не найден"))</x:f>
        <x:v>https://www.youtube.com/watch?v=E78x7xLUM18</x:v>
      </x:c>
      <x:c r="K178" s="9" t="str">
        <x:v>C088</x:v>
      </x:c>
      <x:c r="L178" s="9" t="str">
        <x:v>Да</x:v>
      </x:c>
    </x:row>
    <x:row r="179" ht="60" customHeight="1">
      <x:c r="A179" s="9" t="str">
        <x:v>bODxotAYIAw</x:v>
      </x:c>
      <x:c r="B179" s="10" t="str">
        <x:f>IF(A179="","",IF(COUNTIFS('Видео'!$A$7:$A$1508,A179)=1,INDEX('Видео'!$B$7:$B$1508,MATCH(A179,'Видео'!$A$7:$A$1508,0)),"ID не найден"))</x:f>
        <x:v>האמת על האחים המוסלמים, פרק 5: כיצד האחים המוסלמים משתלטים על אירופה – ד״ר דינה לסננסקי</x:v>
      </x:c>
      <x:c r="C179" s="10" t="str">
        <x:f>IF(A179="","",IF(COUNTIFS('Видео'!$A$7:$A$1508,A179)=1,INDEX('Видео'!$C$7:$C$1508,MATCH(A179,'Видео'!$A$7:$A$1508,0)),"ID не найден"))</x:f>
        <x:v>Общественная дискуссия</x:v>
      </x:c>
      <x:c r="D179" s="10" t="str">
        <x:f>IF(A179="","",IF(COUNTIFS('Видео'!$A$7:$A$1508,A179)=1,INDEX('Видео'!$M$7:$M$1508,MATCH(A179,'Видео'!$A$7:$A$1508,0)),"ID не найден"))</x:f>
        <x:v>Тема / гость: האמת על האחים המוסלמים, פרק 5: כיצד האחים המוסלמים משתלטים על אירופה – ד״ר דינה לסננסקי. Просмотры в списке выше медианы выборки этого цикла в 3.12 раза. Дополнительная перспектива в общественной дискуссии. Включать по конкретной теме и гостю, а не по одной популярности.</x:v>
      </x:c>
      <x:c r="E179" s="9" t="str">
        <x:f>IF(A179="","",IF(COUNTIFS('Видео'!$A$7:$A$1508,A179)=1,INDEX('Видео'!$D$7:$D$1508,MATCH(A179,'Видео'!$A$7:$A$1508,0)),"ID не найден"))</x:f>
        <x:v>Интервью</x:v>
      </x:c>
      <x:c r="F179" s="10" t="str">
        <x:f>IF(A179="","",IF(COUNTIFS('Видео'!$A$7:$A$1508,A179)=1,INDEX('Видео'!$F$7:$F$1508,MATCH(A179,'Видео'!$A$7:$A$1508,0)),"ID не найден"))</x:f>
        <x:v>B2–C1 (гипотеза)</x:v>
      </x:c>
      <x:c r="G179" s="14" t="n">
        <x:f>IF(A179="","",IF(COUNTIFS('Видео'!$A$7:$A$1508,A179)=1,INDEX('Видео'!$H$7:$H$1508,MATCH(A179,'Видео'!$A$7:$A$1508,0)),"ID не найден"))</x:f>
        <x:v>10007</x:v>
      </x:c>
      <x:c r="H179" s="18" t="n">
        <x:f>IF(A179="","",IF(COUNTIFS('Видео'!$A$7:$A$1508,A179)=1,INDEX('Видео'!$L$7:$L$1508,MATCH(A179,'Видео'!$A$7:$A$1508,0)),"ID не найден"))</x:f>
        <x:v>3.125</x:v>
      </x:c>
      <x:c r="I179" s="10" t="str">
        <x:f>IF(A179="","",IF(COUNTIFS('Видео'!$A$7:$A$1508,A179)=1,INDEX('Видео'!$AI$7:$AI$1508,MATCH(A179,'Видео'!$A$7:$A$1508,0)),"ID не найден"))</x:f>
        <x:v>Нужна редактура</x:v>
      </x:c>
      <x:c r="J179" s="11" t="str">
        <x:f>IF(A179="","",IF(COUNTIFS('Видео'!$A$7:$A$1508,A179)=1,INDEX('Видео'!$U$7:$U$1508,MATCH(A179,'Видео'!$A$7:$A$1508,0)),"ID не найден"))</x:f>
        <x:v>https://www.youtube.com/watch?v=bODxotAYIAw</x:v>
      </x:c>
      <x:c r="K179" s="9" t="str">
        <x:v>C088</x:v>
      </x:c>
      <x:c r="L179" s="9" t="str">
        <x:v>Да</x:v>
      </x:c>
    </x:row>
    <x:row r="180" ht="60" customHeight="1">
      <x:c r="A180" s="9" t="str">
        <x:v>--X-hJFnkR4</x:v>
      </x:c>
      <x:c r="B180" s="10" t="str">
        <x:f>IF(A180="","",IF(COUNTIFS('Видео'!$A$7:$A$1508,A180)=1,INDEX('Видео'!$B$7:$B$1508,MATCH(A180,'Видео'!$A$7:$A$1508,0)),"ID не найден"))</x:f>
        <x:v>ריצוי, מחילה וכשלון אצל חז"ל | שיעור 1 – בין אדם למקום ובין אדם לחברו | ד"ר איתי מרינברג-מיליקובסקי</x:v>
      </x:c>
      <x:c r="C180" s="10" t="str">
        <x:f>IF(A180="","",IF(COUNTIFS('Видео'!$A$7:$A$1508,A180)=1,INDEX('Видео'!$C$7:$C$1508,MATCH(A180,'Видео'!$A$7:$A$1508,0)),"ID не найден"))</x:f>
        <x:v>Еврейская мысль и прощение</x:v>
      </x:c>
      <x:c r="D180" s="10" t="str">
        <x:f>IF(A180="","",IF(COUNTIFS('Видео'!$A$7:$A$1508,A180)=1,INDEX('Видео'!$M$7:$M$1508,MATCH(A180,'Видео'!$A$7:$A$1508,0)),"ID не найден"))</x:f>
        <x:v>Тема: ריצוי, מחילה וכשלון אצל חז"ל | שיעור 1 – בין אדם למקום ובין אדם לחברו | ד"ר איתי מרינברג-מיליקובסקי. Просмотры в списке выше медианы выборки этого цикла в 1.8 раза. Тема прощения подходит для содержательного сезонного маршрута перед Йом Кипуром и для интереса к еврейской мысли.</x:v>
      </x:c>
      <x:c r="E180" s="9" t="str">
        <x:f>IF(A180="","",IF(COUNTIFS('Видео'!$A$7:$A$1508,A180)=1,INDEX('Видео'!$D$7:$D$1508,MATCH(A180,'Видео'!$A$7:$A$1508,0)),"ID не найден"))</x:f>
        <x:v>История</x:v>
      </x:c>
      <x:c r="F180" s="10" t="str">
        <x:f>IF(A180="","",IF(COUNTIFS('Видео'!$A$7:$A$1508,A180)=1,INDEX('Видео'!$F$7:$F$1508,MATCH(A180,'Видео'!$A$7:$A$1508,0)),"ID не найден"))</x:f>
        <x:v>B2–C1 (гипотеза)</x:v>
      </x:c>
      <x:c r="G180" s="14" t="n">
        <x:f>IF(A180="","",IF(COUNTIFS('Видео'!$A$7:$A$1508,A180)=1,INDEX('Видео'!$H$7:$H$1508,MATCH(A180,'Видео'!$A$7:$A$1508,0)),"ID не найден"))</x:f>
        <x:v>1304</x:v>
      </x:c>
      <x:c r="H180" s="18" t="n">
        <x:f>IF(A180="","",IF(COUNTIFS('Видео'!$A$7:$A$1508,A180)=1,INDEX('Видео'!$L$7:$L$1508,MATCH(A180,'Видео'!$A$7:$A$1508,0)),"ID не найден"))</x:f>
        <x:v>1.8030513176144245</x:v>
      </x:c>
      <x:c r="I180" s="10" t="str">
        <x:f>IF(A180="","",IF(COUNTIFS('Видео'!$A$7:$A$1508,A180)=1,INDEX('Видео'!$AI$7:$AI$1508,MATCH(A180,'Видео'!$A$7:$A$1508,0)),"ID не найден"))</x:f>
        <x:v>Нужна редактура</x:v>
      </x:c>
      <x:c r="J180" s="11" t="str">
        <x:f>IF(A180="","",IF(COUNTIFS('Видео'!$A$7:$A$1508,A180)=1,INDEX('Видео'!$U$7:$U$1508,MATCH(A180,'Видео'!$A$7:$A$1508,0)),"ID не найден"))</x:f>
        <x:v>https://www.youtube.com/watch?v=--X-hJFnkR4</x:v>
      </x:c>
      <x:c r="K180" s="9" t="str">
        <x:v>C089</x:v>
      </x:c>
      <x:c r="L180" s="9" t="str">
        <x:v>Да</x:v>
      </x:c>
    </x:row>
    <x:row r="181" ht="60" customHeight="1">
      <x:c r="A181" s="9" t="str">
        <x:v>VhXnhMtUg8U</x:v>
      </x:c>
      <x:c r="B181" s="10" t="str">
        <x:f>IF(A181="","",IF(COUNTIFS('Видео'!$A$7:$A$1508,A181)=1,INDEX('Видео'!$B$7:$B$1508,MATCH(A181,'Видео'!$A$7:$A$1508,0)),"ID не найден"))</x:f>
        <x:v>ריצוי, מחילה וכשלון אצל חז"ל | שיעור 3 – סיפורי סליחה | ד"ר איתי מרינברג-מיליקובסקי</x:v>
      </x:c>
      <x:c r="C181" s="10" t="str">
        <x:f>IF(A181="","",IF(COUNTIFS('Видео'!$A$7:$A$1508,A181)=1,INDEX('Видео'!$C$7:$C$1508,MATCH(A181,'Видео'!$A$7:$A$1508,0)),"ID не найден"))</x:f>
        <x:v>Еврейская мысль и прощение</x:v>
      </x:c>
      <x:c r="D181" s="10" t="str">
        <x:f>IF(A181="","",IF(COUNTIFS('Видео'!$A$7:$A$1508,A181)=1,INDEX('Видео'!$M$7:$M$1508,MATCH(A181,'Видео'!$A$7:$A$1508,0)),"ID не найден"))</x:f>
        <x:v>Тема: ריצוי, מחילה וכשלון אצל חז"ל | שיעור 3 – סיפורי סליחה | ד"ר איתי מרינברג-מיליקובסקי. Тема прощения подходит для содержательного сезонного маршрута перед Йом Кипуром и для интереса к еврейской мысли.</x:v>
      </x:c>
      <x:c r="E181" s="9" t="str">
        <x:f>IF(A181="","",IF(COUNTIFS('Видео'!$A$7:$A$1508,A181)=1,INDEX('Видео'!$D$7:$D$1508,MATCH(A181,'Видео'!$A$7:$A$1508,0)),"ID не найден"))</x:f>
        <x:v>История</x:v>
      </x:c>
      <x:c r="F181" s="10" t="str">
        <x:f>IF(A181="","",IF(COUNTIFS('Видео'!$A$7:$A$1508,A181)=1,INDEX('Видео'!$F$7:$F$1508,MATCH(A181,'Видео'!$A$7:$A$1508,0)),"ID не найден"))</x:f>
        <x:v>B2–C1 (гипотеза)</x:v>
      </x:c>
      <x:c r="G181" s="14" t="n">
        <x:f>IF(A181="","",IF(COUNTIFS('Видео'!$A$7:$A$1508,A181)=1,INDEX('Видео'!$H$7:$H$1508,MATCH(A181,'Видео'!$A$7:$A$1508,0)),"ID не найден"))</x:f>
        <x:v>836</x:v>
      </x:c>
      <x:c r="H181" s="18" t="n">
        <x:f>IF(A181="","",IF(COUNTIFS('Видео'!$A$7:$A$1508,A181)=1,INDEX('Видео'!$L$7:$L$1508,MATCH(A181,'Видео'!$A$7:$A$1508,0)),"ID не найден"))</x:f>
        <x:v>1.159500693481276</x:v>
      </x:c>
      <x:c r="I181" s="10" t="str">
        <x:f>IF(A181="","",IF(COUNTIFS('Видео'!$A$7:$A$1508,A181)=1,INDEX('Видео'!$AI$7:$AI$1508,MATCH(A181,'Видео'!$A$7:$A$1508,0)),"ID не найден"))</x:f>
        <x:v>Нужна редактура</x:v>
      </x:c>
      <x:c r="J181" s="11" t="str">
        <x:f>IF(A181="","",IF(COUNTIFS('Видео'!$A$7:$A$1508,A181)=1,INDEX('Видео'!$U$7:$U$1508,MATCH(A181,'Видео'!$A$7:$A$1508,0)),"ID не найден"))</x:f>
        <x:v>https://www.youtube.com/watch?v=VhXnhMtUg8U</x:v>
      </x:c>
      <x:c r="K181" s="9" t="str">
        <x:v>C089</x:v>
      </x:c>
      <x:c r="L181" s="9" t="str">
        <x:v>Нет</x:v>
      </x:c>
    </x:row>
    <x:row r="182" ht="60" customHeight="1">
      <x:c r="A182" s="9" t="str">
        <x:v>JEkvmAoNj4c</x:v>
      </x:c>
      <x:c r="B182" s="10" t="str">
        <x:f>IF(A182="","",IF(COUNTIFS('Видео'!$A$7:$A$1508,A182)=1,INDEX('Видео'!$B$7:$B$1508,MATCH(A182,'Видео'!$A$7:$A$1508,0)),"ID не найден"))</x:f>
        <x:v>5 ניסויים מדליקים שיפתיעו אתכם</x:v>
      </x:c>
      <x:c r="C182" s="10" t="str">
        <x:f>IF(A182="","",IF(COUNTIFS('Видео'!$A$7:$A$1508,A182)=1,INDEX('Видео'!$C$7:$C$1508,MATCH(A182,'Видео'!$A$7:$A$1508,0)),"ID не найден"))</x:f>
        <x:v>Ханука и наука</x:v>
      </x:c>
      <x:c r="D182" s="10" t="str">
        <x:f>IF(A182="","",IF(COUNTIFS('Видео'!$A$7:$A$1508,A182)=1,INDEX('Видео'!$M$7:$M$1508,MATCH(A182,'Видео'!$A$7:$A$1508,0)),"ID не найден"))</x:f>
        <x:v>Завершённый короткий просмотр около 2 мин. Просмотры в списке выше медианы выборки этого цикла в 4.3 раза. Научные сюжеты, отобранные издателем к Хануке, дают сезонный вход через демонстрацию и удивление.</x:v>
      </x:c>
      <x:c r="E182" s="9" t="str">
        <x:f>IF(A182="","",IF(COUNTIFS('Видео'!$A$7:$A$1508,A182)=1,INDEX('Видео'!$D$7:$D$1508,MATCH(A182,'Видео'!$A$7:$A$1508,0)),"ID не найден"))</x:f>
        <x:v>Образование</x:v>
      </x:c>
      <x:c r="F182" s="10" t="str">
        <x:f>IF(A182="","",IF(COUNTIFS('Видео'!$A$7:$A$1508,A182)=1,INDEX('Видео'!$F$7:$F$1508,MATCH(A182,'Видео'!$A$7:$A$1508,0)),"ID не найден"))</x:f>
        <x:v>B1–B2 (гипотеза)</x:v>
      </x:c>
      <x:c r="G182" s="14" t="n">
        <x:f>IF(A182="","",IF(COUNTIFS('Видео'!$A$7:$A$1508,A182)=1,INDEX('Видео'!$H$7:$H$1508,MATCH(A182,'Видео'!$A$7:$A$1508,0)),"ID не найден"))</x:f>
        <x:v>114333</x:v>
      </x:c>
      <x:c r="H182" s="18" t="n">
        <x:f>IF(A182="","",IF(COUNTIFS('Видео'!$A$7:$A$1508,A182)=1,INDEX('Видео'!$L$7:$L$1508,MATCH(A182,'Видео'!$A$7:$A$1508,0)),"ID не найден"))</x:f>
        <x:v>4.30188679245283</x:v>
      </x:c>
      <x:c r="I182" s="10" t="str">
        <x:f>IF(A182="","",IF(COUNTIFS('Видео'!$A$7:$A$1508,A182)=1,INDEX('Видео'!$AI$7:$AI$1508,MATCH(A182,'Видео'!$A$7:$A$1508,0)),"ID не найден"))</x:f>
        <x:v>Нужна редактура</x:v>
      </x:c>
      <x:c r="J182" s="11" t="str">
        <x:f>IF(A182="","",IF(COUNTIFS('Видео'!$A$7:$A$1508,A182)=1,INDEX('Видео'!$U$7:$U$1508,MATCH(A182,'Видео'!$A$7:$A$1508,0)),"ID не найден"))</x:f>
        <x:v>https://www.youtube.com/watch?v=JEkvmAoNj4c</x:v>
      </x:c>
      <x:c r="K182" s="9" t="str">
        <x:v>C090</x:v>
      </x:c>
      <x:c r="L182" s="9" t="str">
        <x:v>Да</x:v>
      </x:c>
    </x:row>
    <x:row r="183" ht="60" customHeight="1">
      <x:c r="A183" s="9" t="str">
        <x:v>8OIonxZGeL4</x:v>
      </x:c>
      <x:c r="B183" s="10" t="str">
        <x:f>IF(A183="","",IF(COUNTIFS('Видео'!$A$7:$A$1508,A183)=1,INDEX('Видео'!$B$7:$B$1508,MATCH(A183,'Видео'!$A$7:$A$1508,0)),"ID не найден"))</x:f>
        <x:v>כיצד "לשאוב" מים לתוך כוס באמצעות נר בוער?</x:v>
      </x:c>
      <x:c r="C183" s="10" t="str">
        <x:f>IF(A183="","",IF(COUNTIFS('Видео'!$A$7:$A$1508,A183)=1,INDEX('Видео'!$C$7:$C$1508,MATCH(A183,'Видео'!$A$7:$A$1508,0)),"ID не найден"))</x:f>
        <x:v>Ханука и наука</x:v>
      </x:c>
      <x:c r="D183" s="10" t="str">
        <x:f>IF(A183="","",IF(COUNTIFS('Видео'!$A$7:$A$1508,A183)=1,INDEX('Видео'!$M$7:$M$1508,MATCH(A183,'Видео'!$A$7:$A$1508,0)),"ID не найден"))</x:f>
        <x:v>Завершённый короткий просмотр около 2 мин. Просмотры в списке выше медианы выборки этого цикла в 2.83 раза. Научные сюжеты, отобранные издателем к Хануке, дают сезонный вход через демонстрацию и удивление.</x:v>
      </x:c>
      <x:c r="E183" s="9" t="str">
        <x:f>IF(A183="","",IF(COUNTIFS('Видео'!$A$7:$A$1508,A183)=1,INDEX('Видео'!$D$7:$D$1508,MATCH(A183,'Видео'!$A$7:$A$1508,0)),"ID не найден"))</x:f>
        <x:v>Образование</x:v>
      </x:c>
      <x:c r="F183" s="10" t="str">
        <x:f>IF(A183="","",IF(COUNTIFS('Видео'!$A$7:$A$1508,A183)=1,INDEX('Видео'!$F$7:$F$1508,MATCH(A183,'Видео'!$A$7:$A$1508,0)),"ID не найден"))</x:f>
        <x:v>B1–B2 (гипотеза)</x:v>
      </x:c>
      <x:c r="G183" s="14" t="n">
        <x:f>IF(A183="","",IF(COUNTIFS('Видео'!$A$7:$A$1508,A183)=1,INDEX('Видео'!$H$7:$H$1508,MATCH(A183,'Видео'!$A$7:$A$1508,0)),"ID не найден"))</x:f>
        <x:v>75794</x:v>
      </x:c>
      <x:c r="H183" s="18" t="n">
        <x:f>IF(A183="","",IF(COUNTIFS('Видео'!$A$7:$A$1508,A183)=1,INDEX('Видео'!$L$7:$L$1508,MATCH(A183,'Видео'!$A$7:$A$1508,0)),"ID не найден"))</x:f>
        <x:v>2.830188679245283</x:v>
      </x:c>
      <x:c r="I183" s="10" t="str">
        <x:f>IF(A183="","",IF(COUNTIFS('Видео'!$A$7:$A$1508,A183)=1,INDEX('Видео'!$AI$7:$AI$1508,MATCH(A183,'Видео'!$A$7:$A$1508,0)),"ID не найден"))</x:f>
        <x:v>Нужна редактура</x:v>
      </x:c>
      <x:c r="J183" s="11" t="str">
        <x:f>IF(A183="","",IF(COUNTIFS('Видео'!$A$7:$A$1508,A183)=1,INDEX('Видео'!$U$7:$U$1508,MATCH(A183,'Видео'!$A$7:$A$1508,0)),"ID не найден"))</x:f>
        <x:v>https://www.youtube.com/watch?v=8OIonxZGeL4</x:v>
      </x:c>
      <x:c r="K183" s="9" t="str">
        <x:v>C090</x:v>
      </x:c>
      <x:c r="L183" s="9" t="str">
        <x:v>Да</x:v>
      </x:c>
    </x:row>
  </x:sheetData>
  <x:pageMargins left="0.7" right="0.7" top="0.75" bottom="0.75" header="0.3" footer="0.3"/>
  <x:tableParts count="1">
    <x:tablePart xmlns:r="http://schemas.openxmlformats.org/officeDocument/2006/relationships" r:id="Rd46fbda3a3c340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53" hidden="0" customWidth="1"/>
    <x:col min="3" max="3" width="27" hidden="0" customWidth="1"/>
    <x:col min="4" max="4" width="42" hidden="0" customWidth="1"/>
    <x:col min="5" max="5" width="18" hidden="0" customWidth="1"/>
    <x:col min="6" max="6" width="25" hidden="0" customWidth="1"/>
    <x:col min="7" max="7" width="76" hidden="0" customWidth="1"/>
    <x:col min="8" max="8" width="66" hidden="0" customWidth="1"/>
    <x:col min="9" max="9" width="43" hidden="0" customWidth="1"/>
    <x:col min="10" max="10" width="20" hidden="0" customWidth="1"/>
    <x:col min="11" max="11" width="16" hidden="0" customWidth="1"/>
    <x:col min="12" max="12" width="17" hidden="0" customWidth="1"/>
    <x:col min="13" max="13" width="17" hidden="0" customWidth="1"/>
    <x:col min="14" max="14" width="20" hidden="0" customWidth="1"/>
    <x:col min="15" max="15" width="17" hidden="0" customWidth="1"/>
    <x:col min="16" max="16" width="45" hidden="0" customWidth="1"/>
    <x:col min="17" max="17" width="56" hidden="0" customWidth="1"/>
    <x:col min="18" max="18" width="42" hidden="0" customWidth="1"/>
    <x:col min="19" max="19" width="54" hidden="0" customWidth="1"/>
    <x:col min="20" max="20" width="18" hidden="0" customWidth="1"/>
  </x:cols>
  <x:sheetData>
    <x:row r="2">
      <x:c r="A2" s="2" t="str">
        <x:v>Темы и циклы для регулярных рубрик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44" customHeight="1">
      <x:c r="A6" s="8" t="str">
        <x:v>Подборка ID</x:v>
      </x:c>
      <x:c r="B6" s="8" t="str">
        <x:v>Название оригинала</x:v>
      </x:c>
      <x:c r="C6" s="8" t="str">
        <x:v>Тема</x:v>
      </x:c>
      <x:c r="D6" s="8" t="str">
        <x:v>Аудитория — гипотеза</x:v>
      </x:c>
      <x:c r="E6" s="8" t="str">
        <x:v>Формат</x:v>
      </x:c>
      <x:c r="F6" s="8" t="str">
        <x:v>Уровень — гипотеза</x:v>
      </x:c>
      <x:c r="G6" s="8" t="str">
        <x:v>Почему включить</x:v>
      </x:c>
      <x:c r="H6" s="8" t="str">
        <x:v>Учебный сценарий</x:v>
      </x:c>
      <x:c r="I6" s="8" t="str">
        <x:v>Редакторский ракурс</x:v>
      </x:c>
      <x:c r="J6" s="8" t="str">
        <x:v>Приоритет пилота</x:v>
      </x:c>
      <x:c r="K6" s="8" t="str">
        <x:v>Найдено в срезе</x:v>
      </x:c>
      <x:c r="L6" s="8" t="str">
        <x:v>Кандидатов после отбора</x:v>
      </x:c>
      <x:c r="M6" s="8" t="str">
        <x:v>Совпало с каталогом</x:v>
      </x:c>
      <x:c r="N6" s="8" t="str">
        <x:v>Медиана просмотров в выборке</x:v>
      </x:c>
      <x:c r="O6" s="8" t="str">
        <x:v>Лимит выборки</x:v>
      </x:c>
      <x:c r="P6" s="8" t="str">
        <x:v>Список полный?</x:v>
      </x:c>
      <x:c r="Q6" s="8" t="str">
        <x:v>Чувствительность / ограничения</x:v>
      </x:c>
      <x:c r="R6" s="8" t="str">
        <x:v>Канал</x:v>
      </x:c>
      <x:c r="S6" s="8" t="str">
        <x:v>Ссылка на подборку</x:v>
      </x:c>
      <x:c r="T6" s="8" t="str">
        <x:v>Дата проверки</x:v>
      </x:c>
    </x:row>
    <x:row r="7" ht="60" customHeight="1">
      <x:c r="A7" s="9" t="str">
        <x:v>C001</x:v>
      </x:c>
      <x:c r="B7" s="10" t="str">
        <x:v>קופה ראשית עונה 5 | פרקים מלאים</x:v>
      </x:c>
      <x:c r="C7" s="10" t="str">
        <x:v>Повседневность и юмор</x:v>
      </x:c>
      <x:c r="D7" s="10" t="str">
        <x:v>Сериалы; разговорный иврит; новые репатрианты</x:v>
      </x:c>
      <x:c r="E7" s="9" t="str">
        <x:v>Сериал</x:v>
      </x:c>
      <x:c r="F7" s="10" t="str">
        <x:v>B1–B2 (гипотеза)</x:v>
      </x:c>
      <x:c r="G7" s="10" t="str">
        <x:v>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H7" s="10" t="str">
        <x:v>Выбрать диалог 2–4 минуты: просьбы, возражения, разговорные сокращения. Разыграть сцену.</x:v>
      </x:c>
      <x:c r="I7" s="10" t="str">
        <x:v>Бытовой Израиль через магазин и коллектив</x:v>
      </x:c>
      <x:c r="J7" s="10" t="str">
        <x:v>Расширение</x:v>
      </x:c>
      <x:c r="K7" s="14" t="n">
        <x:v>23</x:v>
      </x:c>
      <x:c r="L7" s="14" t="n">
        <x:v>22</x:v>
      </x:c>
      <x:c r="M7" s="14" t="n">
        <x:v>0</x:v>
      </x:c>
      <x:c r="N7" s="14" t="n">
        <x:v>3150000</x:v>
      </x:c>
      <x:c r="O7" s="14" t="n">
        <x:v>35</x:v>
      </x:c>
      <x:c r="P7" s="10" t="str">
        <x:v>В пределах лимита; полнота не гарантирована</x:v>
      </x:c>
      <x:c r="Q7" s="10" t="str">
        <x:v>Сарказм, стереотипы, грубая речь; проверить выпуск</x:v>
      </x:c>
      <x:c r="R7" s="10" t="str">
        <x:v>כאן 11 - תאגיד השידור הישראלי</x:v>
      </x:c>
      <x:c r="S7" s="11" t="str">
        <x:v>https://www.youtube.com/playlist?list=PLLttfoK87AdW1TI5VZVTlGvQ4LpPAiP-n</x:v>
      </x:c>
      <x:c r="T7" s="16" t="n">
        <x:v>46308</x:v>
      </x:c>
    </x:row>
    <x:row r="8" ht="60" customHeight="1">
      <x:c r="A8" s="9" t="str">
        <x:v>C002</x:v>
      </x:c>
      <x:c r="B8" s="10" t="str">
        <x:v>קופה ראשית עונה 4 | פרקים מלאים</x:v>
      </x:c>
      <x:c r="C8" s="10" t="str">
        <x:v>Повседневность и юмор</x:v>
      </x:c>
      <x:c r="D8" s="10" t="str">
        <x:v>Сериалы; разговорный иврит; новые репатрианты</x:v>
      </x:c>
      <x:c r="E8" s="9" t="str">
        <x:v>Сериал</x:v>
      </x:c>
      <x:c r="F8" s="10" t="str">
        <x:v>B1–B2 (гипотеза)</x:v>
      </x:c>
      <x:c r="G8" s="10" t="str">
        <x:v>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H8" s="10" t="str">
        <x:v>Выбрать диалог 2–4 минуты: просьбы, возражения, разговорные сокращения. Разыграть сцену.</x:v>
      </x:c>
      <x:c r="I8" s="10" t="str">
        <x:v>Бытовой Израиль через магазин и коллектив</x:v>
      </x:c>
      <x:c r="J8" s="10" t="str">
        <x:v>Первый пилот</x:v>
      </x:c>
      <x:c r="K8" s="14" t="n">
        <x:v>23</x:v>
      </x:c>
      <x:c r="L8" s="14" t="n">
        <x:v>22</x:v>
      </x:c>
      <x:c r="M8" s="14" t="n">
        <x:v>0</x:v>
      </x:c>
      <x:c r="N8" s="14" t="n">
        <x:v>6500000</x:v>
      </x:c>
      <x:c r="O8" s="14" t="n">
        <x:v>35</x:v>
      </x:c>
      <x:c r="P8" s="10" t="str">
        <x:v>В пределах лимита; полнота не гарантирована</x:v>
      </x:c>
      <x:c r="Q8" s="10" t="str">
        <x:v>Сарказм, стереотипы, грубая речь; проверить выпуск</x:v>
      </x:c>
      <x:c r="R8" s="10" t="str">
        <x:v>כאן 11 - תאגיד השידור הישראלי</x:v>
      </x:c>
      <x:c r="S8" s="11" t="str">
        <x:v>https://www.youtube.com/playlist?list=PLLttfoK87AdVhDg0tejz3xJjx8Bo3H_0c</x:v>
      </x:c>
      <x:c r="T8" s="16" t="n">
        <x:v>46308</x:v>
      </x:c>
    </x:row>
    <x:row r="9" ht="60" customHeight="1">
      <x:c r="A9" s="9" t="str">
        <x:v>C003</x:v>
      </x:c>
      <x:c r="B9" s="10" t="str">
        <x:v>קופה ראשית עונה 3 | פרקים מלאים</x:v>
      </x:c>
      <x:c r="C9" s="10" t="str">
        <x:v>Повседневность и юмор</x:v>
      </x:c>
      <x:c r="D9" s="10" t="str">
        <x:v>Сериалы; разговорный иврит; новые репатрианты</x:v>
      </x:c>
      <x:c r="E9" s="9" t="str">
        <x:v>Сериал</x:v>
      </x:c>
      <x:c r="F9" s="10" t="str">
        <x:v>B1–B2 (гипотеза)</x:v>
      </x:c>
      <x:c r="G9" s="10" t="str">
        <x:v>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H9" s="10" t="str">
        <x:v>Выбрать диалог 2–4 минуты: просьбы, возражения, разговорные сокращения. Разыграть сцену.</x:v>
      </x:c>
      <x:c r="I9" s="10" t="str">
        <x:v>Бытовой Израиль через магазин и коллектив</x:v>
      </x:c>
      <x:c r="J9" s="10" t="str">
        <x:v>Первый пилот</x:v>
      </x:c>
      <x:c r="K9" s="14" t="n">
        <x:v>27</x:v>
      </x:c>
      <x:c r="L9" s="14" t="n">
        <x:v>26</x:v>
      </x:c>
      <x:c r="M9" s="14" t="n">
        <x:v>0</x:v>
      </x:c>
      <x:c r="N9" s="14" t="n">
        <x:v>7600000</x:v>
      </x:c>
      <x:c r="O9" s="14" t="n">
        <x:v>35</x:v>
      </x:c>
      <x:c r="P9" s="10" t="str">
        <x:v>В пределах лимита; полнота не гарантирована</x:v>
      </x:c>
      <x:c r="Q9" s="10" t="str">
        <x:v>Сарказм, стереотипы, грубая речь; проверить выпуск</x:v>
      </x:c>
      <x:c r="R9" s="10" t="str">
        <x:v>כאן 11 - תאגיד השידור הישראלי</x:v>
      </x:c>
      <x:c r="S9" s="11" t="str">
        <x:v>https://www.youtube.com/playlist?list=PLLttfoK87AdVDPNRcYni-j0vG3OHPqRPa</x:v>
      </x:c>
      <x:c r="T9" s="16" t="n">
        <x:v>46308</x:v>
      </x:c>
    </x:row>
    <x:row r="10" ht="60" customHeight="1">
      <x:c r="A10" s="9" t="str">
        <x:v>C004</x:v>
      </x:c>
      <x:c r="B10" s="10" t="str">
        <x:v>קופה ראשית עונה 2 | פרקים מלאים</x:v>
      </x:c>
      <x:c r="C10" s="10" t="str">
        <x:v>Повседневность и юмор</x:v>
      </x:c>
      <x:c r="D10" s="10" t="str">
        <x:v>Сериалы; разговорный иврит; новые репатрианты</x:v>
      </x:c>
      <x:c r="E10" s="9" t="str">
        <x:v>Сериал</x:v>
      </x:c>
      <x:c r="F10" s="10" t="str">
        <x:v>B1–B2 (гипотеза)</x:v>
      </x:c>
      <x:c r="G10" s="10" t="str">
        <x:v>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H10" s="10" t="str">
        <x:v>Выбрать диалог 2–4 минуты: просьбы, возражения, разговорные сокращения. Разыграть сцену.</x:v>
      </x:c>
      <x:c r="I10" s="10" t="str">
        <x:v>Бытовой Израиль через магазин и коллектив</x:v>
      </x:c>
      <x:c r="J10" s="10" t="str">
        <x:v>Расширение</x:v>
      </x:c>
      <x:c r="K10" s="14" t="n">
        <x:v>22</x:v>
      </x:c>
      <x:c r="L10" s="14" t="n">
        <x:v>21</x:v>
      </x:c>
      <x:c r="M10" s="14" t="n">
        <x:v>0</x:v>
      </x:c>
      <x:c r="N10" s="14" t="n">
        <x:v>7900000</x:v>
      </x:c>
      <x:c r="O10" s="14" t="n">
        <x:v>35</x:v>
      </x:c>
      <x:c r="P10" s="10" t="str">
        <x:v>В пределах лимита; полнота не гарантирована</x:v>
      </x:c>
      <x:c r="Q10" s="10" t="str">
        <x:v>Сарказм, стереотипы, грубая речь; проверить выпуск</x:v>
      </x:c>
      <x:c r="R10" s="10" t="str">
        <x:v>כאן 11 - תאגיד השידור הישראלי</x:v>
      </x:c>
      <x:c r="S10" s="11" t="str">
        <x:v>https://www.youtube.com/playlist?list=PLLttfoK87AdUIJwIF9Zttig6sgNk5hu5W</x:v>
      </x:c>
      <x:c r="T10" s="16" t="n">
        <x:v>46308</x:v>
      </x:c>
    </x:row>
    <x:row r="11" ht="60" customHeight="1">
      <x:c r="A11" s="9" t="str">
        <x:v>C005</x:v>
      </x:c>
      <x:c r="B11" s="10" t="str">
        <x:v>המפקדת 📋 | כל הפרקים</x:v>
      </x:c>
      <x:c r="C11" s="10" t="str">
        <x:v>Общество и армия</x:v>
      </x:c>
      <x:c r="D11" s="10" t="str">
        <x:v>Сериалы; молодёжь; культура Израиля</x:v>
      </x:c>
      <x:c r="E11" s="9" t="str">
        <x:v>Сериал</x:v>
      </x:c>
      <x:c r="F11" s="10" t="str">
        <x:v>B2–C1 (гипотеза)</x:v>
      </x:c>
      <x:c r="G11" s="10" t="str">
        <x:v>Армейская повседневность объясняет важный пласт израильских шуток и разговоров. Серийный сюжет поддерживает длительный просмотр.</x:v>
      </x:c>
      <x:c r="H11" s="10" t="str">
        <x:v>Разобрать команды, аббревиатуры и смену регистра между начальником и подчинённым.</x:v>
      </x:c>
      <x:c r="I11" s="10" t="str">
        <x:v>Армейские отношения и взросление</x:v>
      </x:c>
      <x:c r="J11" s="10" t="str">
        <x:v>Первый пилот</x:v>
      </x:c>
      <x:c r="K11" s="14" t="n">
        <x:v>13</x:v>
      </x:c>
      <x:c r="L11" s="14" t="n">
        <x:v>12</x:v>
      </x:c>
      <x:c r="M11" s="14" t="n">
        <x:v>0</x:v>
      </x:c>
      <x:c r="N11" s="14" t="n">
        <x:v>929500</x:v>
      </x:c>
      <x:c r="O11" s="14" t="n">
        <x:v>15</x:v>
      </x:c>
      <x:c r="P11" s="10" t="str">
        <x:v>В пределах лимита; полнота не гарантирована</x:v>
      </x:c>
      <x:c r="Q11" s="10" t="str">
        <x:v>Грубая речь, власть, сексуальные темы</x:v>
      </x:c>
      <x:c r="R11" s="10" t="str">
        <x:v>כאן 11 - תאגיד השידור הישראלי</x:v>
      </x:c>
      <x:c r="S11" s="11" t="str">
        <x:v>https://www.youtube.com/playlist?list=PLLttfoK87AdX3Mdl17iO8NqEip3Uo20Qw</x:v>
      </x:c>
      <x:c r="T11" s="16" t="n">
        <x:v>46308</x:v>
      </x:c>
    </x:row>
    <x:row r="12" ht="60" customHeight="1">
      <x:c r="A12" s="9" t="str">
        <x:v>C006</x:v>
      </x:c>
      <x:c r="B12" s="10" t="str">
        <x:v>המפקדת עונה 2 | פרקים מלאים</x:v>
      </x:c>
      <x:c r="C12" s="10" t="str">
        <x:v>Общество и армия</x:v>
      </x:c>
      <x:c r="D12" s="10" t="str">
        <x:v>Сериалы; молодёжь; культура Израиля</x:v>
      </x:c>
      <x:c r="E12" s="9" t="str">
        <x:v>Сериал</x:v>
      </x:c>
      <x:c r="F12" s="10" t="str">
        <x:v>B2–C1 (гипотеза)</x:v>
      </x:c>
      <x:c r="G12" s="10" t="str">
        <x:v>Продолжение уже знакомых героев снижает затраты на вводный контекст и даёт второй маршрут после первого сезона.</x:v>
      </x:c>
      <x:c r="H12" s="10" t="str">
        <x:v>Отделить повелительное наклонение от просьб и неформальных реплик.</x:v>
      </x:c>
      <x:c r="I12" s="10" t="str">
        <x:v>Продолжение армейской истории</x:v>
      </x:c>
      <x:c r="J12" s="10" t="str">
        <x:v>Расширение</x:v>
      </x:c>
      <x:c r="K12" s="14" t="n">
        <x:v>12</x:v>
      </x:c>
      <x:c r="L12" s="14" t="n">
        <x:v>11</x:v>
      </x:c>
      <x:c r="M12" s="14" t="n">
        <x:v>0</x:v>
      </x:c>
      <x:c r="N12" s="14" t="n">
        <x:v>557000</x:v>
      </x:c>
      <x:c r="O12" s="14" t="n">
        <x:v>15</x:v>
      </x:c>
      <x:c r="P12" s="10" t="str">
        <x:v>В пределах лимита; полнота не гарантирована</x:v>
      </x:c>
      <x:c r="Q12" s="10" t="str">
        <x:v>Смотреть после первого сезона</x:v>
      </x:c>
      <x:c r="R12" s="10" t="str">
        <x:v>כאן 11 - תאגיד השידור הישראלי</x:v>
      </x:c>
      <x:c r="S12" s="11" t="str">
        <x:v>https://www.youtube.com/playlist?list=PLLttfoK87AdUbInZbx08IIe2KLq-sfJlh</x:v>
      </x:c>
      <x:c r="T12" s="16" t="n">
        <x:v>46308</x:v>
      </x:c>
    </x:row>
    <x:row r="13" ht="60" customHeight="1">
      <x:c r="A13" s="9" t="str">
        <x:v>C007</x:v>
      </x:c>
      <x:c r="B13" s="10" t="str">
        <x:v>חזרות | קומדיה (לא) רומנטית 🎭</x:v>
      </x:c>
      <x:c r="C13" s="10" t="str">
        <x:v>Культура и отношения</x:v>
      </x:c>
      <x:c r="D13" s="10" t="str">
        <x:v>Сериалы; театр; отношения</x:v>
      </x:c>
      <x:c r="E13" s="9" t="str">
        <x:v>Сериал</x:v>
      </x:c>
      <x:c r="F13" s="10" t="str">
        <x:v>B2–C1 (гипотеза)</x:v>
      </x:c>
      <x:c r="G13" s="10" t="str">
        <x:v>Современная комедия о театре расширяет каталог за пределы армии и политики. Диалоги подходят для темы работы и личных отношений.</x:v>
      </x:c>
      <x:c r="H13" s="10" t="str">
        <x:v>Найти способы смягчить несогласие и выразить эмоцию.</x:v>
      </x:c>
      <x:c r="I13" s="10" t="str">
        <x:v>Закулисье театра и отношения</x:v>
      </x:c>
      <x:c r="J13" s="10" t="str">
        <x:v>Первый пилот</x:v>
      </x:c>
      <x:c r="K13" s="14" t="n">
        <x:v>12</x:v>
      </x:c>
      <x:c r="L13" s="14" t="n">
        <x:v>12</x:v>
      </x:c>
      <x:c r="M13" s="14" t="n">
        <x:v>0</x:v>
      </x:c>
      <x:c r="N13" s="14" t="n">
        <x:v>469500</x:v>
      </x:c>
      <x:c r="O13" s="14" t="n">
        <x:v>15</x:v>
      </x:c>
      <x:c r="P13" s="10" t="str">
        <x:v>В пределах лимита; полнота не гарантирована</x:v>
      </x:c>
      <x:c r="Q13" s="10" t="str">
        <x:v>Взрослые темы; конфликтные отношения</x:v>
      </x:c>
      <x:c r="R13" s="10" t="str">
        <x:v>כאן 11 - תאגיד השידור הישראלי</x:v>
      </x:c>
      <x:c r="S13" s="11" t="str">
        <x:v>https://www.youtube.com/playlist?list=PLLttfoK87AdU3VrS26CWvr-SXwduli5kT</x:v>
      </x:c>
      <x:c r="T13" s="16" t="n">
        <x:v>46308</x:v>
      </x:c>
    </x:row>
    <x:row r="14" ht="60" customHeight="1">
      <x:c r="A14" s="9" t="str">
        <x:v>C008</x:v>
      </x:c>
      <x:c r="B14" s="10" t="str">
        <x:v>מנאייכ 👮 | עונה 1 - פרקים מלאים</x:v>
      </x:c>
      <x:c r="C14" s="10" t="str">
        <x:v>Общество и институты</x:v>
      </x:c>
      <x:c r="D14" s="10" t="str">
        <x:v>Сериалы; детектив; продвинутые</x:v>
      </x:c>
      <x:c r="E14" s="9" t="str">
        <x:v>Сериал</x:v>
      </x:c>
      <x:c r="F14" s="10" t="str">
        <x:v>B2–C1 (гипотеза)</x:v>
      </x:c>
      <x:c r="G14" s="10" t="str">
        <x:v>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H14" s="10" t="str">
        <x:v>Составить карту персонажей и пересказать версию событий с оговорками.</x:v>
      </x:c>
      <x:c r="I14" s="10" t="str">
        <x:v>Детектив и доверие институтам</x:v>
      </x:c>
      <x:c r="J14" s="10" t="str">
        <x:v>Расширение</x:v>
      </x:c>
      <x:c r="K14" s="14" t="n">
        <x:v>11</x:v>
      </x:c>
      <x:c r="L14" s="14" t="n">
        <x:v>11</x:v>
      </x:c>
      <x:c r="M14" s="14" t="n">
        <x:v>0</x:v>
      </x:c>
      <x:c r="N14" s="14" t="n">
        <x:v>972000</x:v>
      </x:c>
      <x:c r="O14" s="14" t="n">
        <x:v>15</x:v>
      </x:c>
      <x:c r="P14" s="10" t="str">
        <x:v>В пределах лимита; полнота не гарантирована</x:v>
      </x:c>
      <x:c r="Q14" s="10" t="str">
        <x:v>Насилие, преступления; сложный сленг</x:v>
      </x:c>
      <x:c r="R14" s="10" t="str">
        <x:v>כאן 11 - תאגיד השידור הישראלי</x:v>
      </x:c>
      <x:c r="S14" s="11" t="str">
        <x:v>https://www.youtube.com/playlist?list=PLLttfoK87AdV6QN2VMLAB78a9Y70An0w9</x:v>
      </x:c>
      <x:c r="T14" s="16" t="n">
        <x:v>46308</x:v>
      </x:c>
    </x:row>
    <x:row r="15" ht="60" customHeight="1">
      <x:c r="A15" s="9" t="str">
        <x:v>C009</x:v>
      </x:c>
      <x:c r="B15" s="10" t="str">
        <x:v>אחד על אחד | עם תומר קאפון</x:v>
      </x:c>
      <x:c r="C15" s="10" t="str">
        <x:v>Культура и отношения</x:v>
      </x:c>
      <x:c r="D15" s="10" t="str">
        <x:v>Сериалы; личные истории; взрослые</x:v>
      </x:c>
      <x:c r="E15" s="9" t="str">
        <x:v>Сериал</x:v>
      </x:c>
      <x:c r="F15" s="10" t="str">
        <x:v>B1–B2 (гипотеза)</x:v>
      </x:c>
      <x:c r="G15" s="10" t="str">
        <x:v>Более камерный сюжет даёт альтернативу шумным комедиям и детективам. Подходит для обсуждения эмпатии и общения.</x:v>
      </x:c>
      <x:c r="H15" s="10" t="str">
        <x:v>Пересказать мотивы героя; выписать фразы поддержки.</x:v>
      </x:c>
      <x:c r="I15" s="10" t="str">
        <x:v>Близость и разговор один на один</x:v>
      </x:c>
      <x:c r="J15" s="10" t="str">
        <x:v>Расширение</x:v>
      </x:c>
      <x:c r="K15" s="14" t="n">
        <x:v>11</x:v>
      </x:c>
      <x:c r="L15" s="14" t="n">
        <x:v>11</x:v>
      </x:c>
      <x:c r="M15" s="14" t="n">
        <x:v>0</x:v>
      </x:c>
      <x:c r="N15" s="14" t="n">
        <x:v>61500</x:v>
      </x:c>
      <x:c r="O15" s="14" t="n">
        <x:v>15</x:v>
      </x:c>
      <x:c r="P15" s="10" t="str">
        <x:v>В пределах лимита; полнота не гарантирована</x:v>
      </x:c>
      <x:c r="Q15" s="10" t="str">
        <x:v>Проверить содержание</x:v>
      </x:c>
      <x:c r="R15" s="10" t="str">
        <x:v>כאן 11 - תאגיד השידור הישראלי</x:v>
      </x:c>
      <x:c r="S15" s="11" t="str">
        <x:v>https://www.youtube.com/playlist?list=PLLttfoK87AdVg-SfJGctxipYGZEBarDOL</x:v>
      </x:c>
      <x:c r="T15" s="16" t="n">
        <x:v>46308</x:v>
      </x:c>
    </x:row>
    <x:row r="16" ht="60" customHeight="1">
      <x:c r="A16" s="9" t="str">
        <x:v>C010</x:v>
      </x:c>
      <x:c r="B16" s="10" t="str">
        <x:v>שעת אפס | זוכת פסטיבל קאן 🏆</x:v>
      </x:c>
      <x:c r="C16" s="10" t="str">
        <x:v>Образование и общество</x:v>
      </x:c>
      <x:c r="D16" s="10" t="str">
        <x:v>Сериалы; родители; учителя</x:v>
      </x:c>
      <x:c r="E16" s="9" t="str">
        <x:v>Сериал</x:v>
      </x:c>
      <x:c r="F16" s="10" t="str">
        <x:v>B2–C1 (гипотеза)</x:v>
      </x:c>
      <x:c r="G16" s="10" t="str">
        <x:v>Школьный конфликт связывает драму с реальной общественной дискуссией. Полезен родителям и людям, интересующимся системой образования.</x:v>
      </x:c>
      <x:c r="H16" s="10" t="str">
        <x:v>Различить аргумент, оценку и обвинение в споре.</x:v>
      </x:c>
      <x:c r="I16" s="10" t="str">
        <x:v>Школа, поколение и общественный спор</x:v>
      </x:c>
      <x:c r="J16" s="10" t="str">
        <x:v>Расширение</x:v>
      </x:c>
      <x:c r="K16" s="14" t="n">
        <x:v>7</x:v>
      </x:c>
      <x:c r="L16" s="14" t="n">
        <x:v>7</x:v>
      </x:c>
      <x:c r="M16" s="14" t="n">
        <x:v>0</x:v>
      </x:c>
      <x:c r="N16" s="14" t="n">
        <x:v>455500</x:v>
      </x:c>
      <x:c r="O16" s="14" t="n">
        <x:v>12</x:v>
      </x:c>
      <x:c r="P16" s="10" t="str">
        <x:v>В пределах лимита; полнота не гарантирована</x:v>
      </x:c>
      <x:c r="Q16" s="10" t="str">
        <x:v>Политический конфликт; требует контекста</x:v>
      </x:c>
      <x:c r="R16" s="10" t="str">
        <x:v>כאן 11 - תאגיד השידור הישראלי</x:v>
      </x:c>
      <x:c r="S16" s="11" t="str">
        <x:v>https://www.youtube.com/playlist?list=PLLttfoK87AdXhoxwvB_YmO3GzrfDx9PRr</x:v>
      </x:c>
      <x:c r="T16" s="16" t="n">
        <x:v>46308</x:v>
      </x:c>
    </x:row>
    <x:row r="17" ht="60" customHeight="1">
      <x:c r="A17" s="9" t="str">
        <x:v>C011</x:v>
      </x:c>
      <x:c r="B17" s="10" t="str">
        <x:v>משפחה בהסעה 🚗 | כל הפרקים</x:v>
      </x:c>
      <x:c r="C17" s="10" t="str">
        <x:v>Семья и поколения</x:v>
      </x:c>
      <x:c r="D17" s="10" t="str">
        <x:v>Родители; разговорный иврит; лёгкий просмотр</x:v>
      </x:c>
      <x:c r="E17" s="9" t="str">
        <x:v>Общество</x:v>
      </x:c>
      <x:c r="F17" s="10" t="str">
        <x:v>B1–B2 (гипотеза)</x:v>
      </x:c>
      <x:c r="G17" s="10" t="str">
        <x:v>Разговоры семьи в машине дают естественную смену тем и короткие реплики. Расширяют предложение для родителей и семейного просмотра.</x:v>
      </x:c>
      <x:c r="H17" s="10" t="str">
        <x:v>Восстановить пропущенные слова в коротком диалоге; записать ответ ребёнку.</x:v>
      </x:c>
      <x:c r="I17" s="10" t="str">
        <x:v>Как разговаривают родители и дети</x:v>
      </x:c>
      <x:c r="J17" s="10" t="str">
        <x:v>Расширение</x:v>
      </x:c>
      <x:c r="K17" s="14" t="n">
        <x:v>10</x:v>
      </x:c>
      <x:c r="L17" s="14" t="n">
        <x:v>10</x:v>
      </x:c>
      <x:c r="M17" s="14" t="n">
        <x:v>0</x:v>
      </x:c>
      <x:c r="N17" s="14" t="n">
        <x:v>456000</x:v>
      </x:c>
      <x:c r="O17" s="14" t="n">
        <x:v>25</x:v>
      </x:c>
      <x:c r="P17" s="10" t="str">
        <x:v>В пределах лимита; полнота не гарантирована</x:v>
      </x:c>
      <x:c r="Q17" s="10" t="str">
        <x:v>Проверить возрастную уместность</x:v>
      </x:c>
      <x:c r="R17" s="10" t="str">
        <x:v>כאן 11 - תאגיד השידור הישראלי</x:v>
      </x:c>
      <x:c r="S17" s="11" t="str">
        <x:v>https://www.youtube.com/playlist?list=PLLttfoK87AdUeKRP6UyZEnTiATN1gsKh9</x:v>
      </x:c>
      <x:c r="T17" s="16" t="n">
        <x:v>46308</x:v>
      </x:c>
    </x:row>
    <x:row r="18" ht="60" customHeight="1">
      <x:c r="A18" s="9" t="str">
        <x:v>C012</x:v>
      </x:c>
      <x:c r="B18" s="10" t="str">
        <x:v>פגישה עם רוני קובן עונה 11 | פרקים מלאים</x:v>
      </x:c>
      <x:c r="C18" s="10" t="str">
        <x:v>Люди Израиля</x:v>
      </x:c>
      <x:c r="D18" s="10" t="str">
        <x:v>Интервью; культура; общество; продвинутые</x:v>
      </x:c>
      <x:c r="E18" s="9" t="str">
        <x:v>Интервью</x:v>
      </x:c>
      <x:c r="F18" s="10" t="str">
        <x:v>B2–C1 (гипотеза)</x:v>
      </x:c>
      <x:c r="G18" s="10" t="str">
        <x:v>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H18" s="10" t="str">
        <x:v>Выбрать 5–8 минут: вопрос, уточнение, развёрнутый ответ. Сформулировать следующий вопрос.</x:v>
      </x:c>
      <x:c r="I18" s="10" t="str">
        <x:v>Знакомство с конкретным гостем через личную историю</x:v>
      </x:c>
      <x:c r="J18" s="10" t="str">
        <x:v>Расширение</x:v>
      </x:c>
      <x:c r="K18" s="14" t="n">
        <x:v>3</x:v>
      </x:c>
      <x:c r="L18" s="14" t="n">
        <x:v>3</x:v>
      </x:c>
      <x:c r="M18" s="14" t="n">
        <x:v>0</x:v>
      </x:c>
      <x:c r="N18" s="14"/>
      <x:c r="O18" s="14" t="n">
        <x:v>35</x:v>
      </x:c>
      <x:c r="P18" s="10" t="str">
        <x:v>В пределах лимита; полнота не гарантирована</x:v>
      </x:c>
      <x:c r="Q18" s="10" t="str">
        <x:v>Взгляды гостя не равны установленным фактам; проверить чувствительные темы</x:v>
      </x:c>
      <x:c r="R18" s="10" t="str">
        <x:v>כאן 11 - תאגיד השידור הישראלי</x:v>
      </x:c>
      <x:c r="S18" s="11" t="str">
        <x:v>https://www.youtube.com/playlist?list=PLKCfjAOs83lE</x:v>
      </x:c>
      <x:c r="T18" s="16" t="n">
        <x:v>46308</x:v>
      </x:c>
    </x:row>
    <x:row r="19" ht="60" customHeight="1">
      <x:c r="A19" s="9" t="str">
        <x:v>C013</x:v>
      </x:c>
      <x:c r="B19" s="10" t="str">
        <x:v>פגישה עם רוני קובן עונה 10 | פרקים מלאים</x:v>
      </x:c>
      <x:c r="C19" s="10" t="str">
        <x:v>Люди Израиля</x:v>
      </x:c>
      <x:c r="D19" s="10" t="str">
        <x:v>Интервью; культура; общество; продвинутые</x:v>
      </x:c>
      <x:c r="E19" s="9" t="str">
        <x:v>Интервью</x:v>
      </x:c>
      <x:c r="F19" s="10" t="str">
        <x:v>B2–C1 (гипотеза)</x:v>
      </x:c>
      <x:c r="G19" s="10" t="str">
        <x:v>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H19" s="10" t="str">
        <x:v>Выбрать 5–8 минут: вопрос, уточнение, развёрнутый ответ. Сформулировать следующий вопрос.</x:v>
      </x:c>
      <x:c r="I19" s="10" t="str">
        <x:v>Знакомство с конкретным гостем через личную историю</x:v>
      </x:c>
      <x:c r="J19" s="10" t="str">
        <x:v>Первый пилот</x:v>
      </x:c>
      <x:c r="K19" s="14" t="n">
        <x:v>27</x:v>
      </x:c>
      <x:c r="L19" s="14" t="n">
        <x:v>27</x:v>
      </x:c>
      <x:c r="M19" s="14" t="n">
        <x:v>0</x:v>
      </x:c>
      <x:c r="N19" s="14" t="n">
        <x:v>55000</x:v>
      </x:c>
      <x:c r="O19" s="14" t="n">
        <x:v>35</x:v>
      </x:c>
      <x:c r="P19" s="10" t="str">
        <x:v>В пределах лимита; полнота не гарантирована</x:v>
      </x:c>
      <x:c r="Q19" s="10" t="str">
        <x:v>Взгляды гостя не равны установленным фактам; проверить чувствительные темы</x:v>
      </x:c>
      <x:c r="R19" s="10" t="str">
        <x:v>כאן 11 - תאגיד השידור הישראלי</x:v>
      </x:c>
      <x:c r="S19" s="11" t="str">
        <x:v>https://www.youtube.com/playlist?list=PLLttfoK87AdXTvb41p_eqn5pEUm_qSwgH</x:v>
      </x:c>
      <x:c r="T19" s="16" t="n">
        <x:v>46308</x:v>
      </x:c>
    </x:row>
    <x:row r="20" ht="60" customHeight="1">
      <x:c r="A20" s="9" t="str">
        <x:v>C014</x:v>
      </x:c>
      <x:c r="B20" s="10" t="str">
        <x:v>פגישה עם רוני קובן עונה 9 | פרקים מלאים</x:v>
      </x:c>
      <x:c r="C20" s="10" t="str">
        <x:v>Люди Израиля</x:v>
      </x:c>
      <x:c r="D20" s="10" t="str">
        <x:v>Интервью; культура; общество; продвинутые</x:v>
      </x:c>
      <x:c r="E20" s="9" t="str">
        <x:v>Интервью</x:v>
      </x:c>
      <x:c r="F20" s="10" t="str">
        <x:v>B2–C1 (гипотеза)</x:v>
      </x:c>
      <x:c r="G20" s="10" t="str">
        <x:v>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H20" s="10" t="str">
        <x:v>Выбрать 5–8 минут: вопрос, уточнение, развёрнутый ответ. Сформулировать следующий вопрос.</x:v>
      </x:c>
      <x:c r="I20" s="10" t="str">
        <x:v>Знакомство с конкретным гостем через личную историю</x:v>
      </x:c>
      <x:c r="J20" s="10" t="str">
        <x:v>Первый пилот</x:v>
      </x:c>
      <x:c r="K20" s="14" t="n">
        <x:v>33</x:v>
      </x:c>
      <x:c r="L20" s="14" t="n">
        <x:v>33</x:v>
      </x:c>
      <x:c r="M20" s="14" t="n">
        <x:v>3</x:v>
      </x:c>
      <x:c r="N20" s="14" t="n">
        <x:v>68000</x:v>
      </x:c>
      <x:c r="O20" s="14" t="n">
        <x:v>35</x:v>
      </x:c>
      <x:c r="P20" s="10" t="str">
        <x:v>В пределах лимита; полнота не гарантирована</x:v>
      </x:c>
      <x:c r="Q20" s="10" t="str">
        <x:v>Взгляды гостя не равны установленным фактам; проверить чувствительные темы</x:v>
      </x:c>
      <x:c r="R20" s="10" t="str">
        <x:v>כאן 11 - תאגיד השידור הישראלי</x:v>
      </x:c>
      <x:c r="S20" s="11" t="str">
        <x:v>https://www.youtube.com/playlist?list=PLLttfoK87AdUPG7GyXfqeuHp7u27KjHCH</x:v>
      </x:c>
      <x:c r="T20" s="16" t="n">
        <x:v>46308</x:v>
      </x:c>
    </x:row>
    <x:row r="21" ht="60" customHeight="1">
      <x:c r="A21" s="9" t="str">
        <x:v>C015</x:v>
      </x:c>
      <x:c r="B21" s="10" t="str">
        <x:v>פגישה עם רוני קובן עונה 8 | פרקים מלאים</x:v>
      </x:c>
      <x:c r="C21" s="10" t="str">
        <x:v>Люди Израиля</x:v>
      </x:c>
      <x:c r="D21" s="10" t="str">
        <x:v>Интервью; культура; общество; продвинутые</x:v>
      </x:c>
      <x:c r="E21" s="9" t="str">
        <x:v>Интервью</x:v>
      </x:c>
      <x:c r="F21" s="10" t="str">
        <x:v>B2–C1 (гипотеза)</x:v>
      </x:c>
      <x:c r="G21" s="10" t="str">
        <x:v>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H21" s="10" t="str">
        <x:v>Выбрать 5–8 минут: вопрос, уточнение, развёрнутый ответ. Сформулировать следующий вопрос.</x:v>
      </x:c>
      <x:c r="I21" s="10" t="str">
        <x:v>Знакомство с конкретным гостем через личную историю</x:v>
      </x:c>
      <x:c r="J21" s="10" t="str">
        <x:v>Расширение</x:v>
      </x:c>
      <x:c r="K21" s="14" t="n">
        <x:v>18</x:v>
      </x:c>
      <x:c r="L21" s="14" t="n">
        <x:v>18</x:v>
      </x:c>
      <x:c r="M21" s="14" t="n">
        <x:v>0</x:v>
      </x:c>
      <x:c r="N21" s="14" t="n">
        <x:v>60000</x:v>
      </x:c>
      <x:c r="O21" s="14" t="n">
        <x:v>35</x:v>
      </x:c>
      <x:c r="P21" s="10" t="str">
        <x:v>В пределах лимита; полнота не гарантирована</x:v>
      </x:c>
      <x:c r="Q21" s="10" t="str">
        <x:v>Взгляды гостя не равны установленным фактам; проверить чувствительные темы</x:v>
      </x:c>
      <x:c r="R21" s="10" t="str">
        <x:v>כאן 11 - תאגיד השידור הישראלי</x:v>
      </x:c>
      <x:c r="S21" s="11" t="str">
        <x:v>https://www.youtube.com/playlist?list=PLLttfoK87AdVhGw3mo3mR2ZH-Zqng_bSS</x:v>
      </x:c>
      <x:c r="T21" s="16" t="n">
        <x:v>46308</x:v>
      </x:c>
    </x:row>
    <x:row r="22" ht="60" customHeight="1">
      <x:c r="A22" s="9" t="str">
        <x:v>C016</x:v>
      </x:c>
      <x:c r="B22" s="10" t="str">
        <x:v>פגישה עם רוני קובן עונה 7 | פרקים מלאים</x:v>
      </x:c>
      <x:c r="C22" s="10" t="str">
        <x:v>Люди Израиля</x:v>
      </x:c>
      <x:c r="D22" s="10" t="str">
        <x:v>Интервью; культура; общество; продвинутые</x:v>
      </x:c>
      <x:c r="E22" s="9" t="str">
        <x:v>Интервью</x:v>
      </x:c>
      <x:c r="F22" s="10" t="str">
        <x:v>B2–C1 (гипотеза)</x:v>
      </x:c>
      <x:c r="G22" s="10" t="str">
        <x:v>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H22" s="10" t="str">
        <x:v>Выбрать 5–8 минут: вопрос, уточнение, развёрнутый ответ. Сформулировать следующий вопрос.</x:v>
      </x:c>
      <x:c r="I22" s="10" t="str">
        <x:v>Знакомство с конкретным гостем через личную историю</x:v>
      </x:c>
      <x:c r="J22" s="10" t="str">
        <x:v>Расширение</x:v>
      </x:c>
      <x:c r="K22" s="14" t="n">
        <x:v>22</x:v>
      </x:c>
      <x:c r="L22" s="14" t="n">
        <x:v>22</x:v>
      </x:c>
      <x:c r="M22" s="14" t="n">
        <x:v>0</x:v>
      </x:c>
      <x:c r="N22" s="14" t="n">
        <x:v>48000</x:v>
      </x:c>
      <x:c r="O22" s="14" t="n">
        <x:v>35</x:v>
      </x:c>
      <x:c r="P22" s="10" t="str">
        <x:v>В пределах лимита; полнота не гарантирована</x:v>
      </x:c>
      <x:c r="Q22" s="10" t="str">
        <x:v>Взгляды гостя не равны установленным фактам; проверить чувствительные темы</x:v>
      </x:c>
      <x:c r="R22" s="10" t="str">
        <x:v>כאן 11 - תאגיד השידור הישראלי</x:v>
      </x:c>
      <x:c r="S22" s="11" t="str">
        <x:v>https://www.youtube.com/playlist?list=PLLttfoK87AdX0OgAjJL85tiPgZNyxb4a-</x:v>
      </x:c>
      <x:c r="T22" s="16" t="n">
        <x:v>46308</x:v>
      </x:c>
    </x:row>
    <x:row r="23" ht="60" customHeight="1">
      <x:c r="A23" s="9" t="str">
        <x:v>C017</x:v>
      </x:c>
      <x:c r="B23" s="10" t="str">
        <x:v>פגישה עם רוני קובן | עונה 6</x:v>
      </x:c>
      <x:c r="C23" s="10" t="str">
        <x:v>Люди Израиля</x:v>
      </x:c>
      <x:c r="D23" s="10" t="str">
        <x:v>Интервью; культура; общество; продвинутые</x:v>
      </x:c>
      <x:c r="E23" s="9" t="str">
        <x:v>Интервью</x:v>
      </x:c>
      <x:c r="F23" s="10" t="str">
        <x:v>B2–C1 (гипотеза)</x:v>
      </x:c>
      <x:c r="G23" s="10" t="str">
        <x:v>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H23" s="10" t="str">
        <x:v>Выбрать 5–8 минут: вопрос, уточнение, развёрнутый ответ. Сформулировать следующий вопрос.</x:v>
      </x:c>
      <x:c r="I23" s="10" t="str">
        <x:v>Знакомство с конкретным гостем через личную историю</x:v>
      </x:c>
      <x:c r="J23" s="10" t="str">
        <x:v>Расширение</x:v>
      </x:c>
      <x:c r="K23" s="14" t="n">
        <x:v>9</x:v>
      </x:c>
      <x:c r="L23" s="14" t="n">
        <x:v>9</x:v>
      </x:c>
      <x:c r="M23" s="14" t="n">
        <x:v>0</x:v>
      </x:c>
      <x:c r="N23" s="14" t="n">
        <x:v>44000</x:v>
      </x:c>
      <x:c r="O23" s="14" t="n">
        <x:v>35</x:v>
      </x:c>
      <x:c r="P23" s="10" t="str">
        <x:v>В пределах лимита; полнота не гарантирована</x:v>
      </x:c>
      <x:c r="Q23" s="10" t="str">
        <x:v>Взгляды гостя не равны установленным фактам; проверить чувствительные темы</x:v>
      </x:c>
      <x:c r="R23" s="10" t="str">
        <x:v>כאן 11 - תאגיד השידור הישראלי</x:v>
      </x:c>
      <x:c r="S23" s="11" t="str">
        <x:v>https://www.youtube.com/playlist?list=PLLttfoK87AdXOlZKvS9YyeC1nbPsKhjpu</x:v>
      </x:c>
      <x:c r="T23" s="16" t="n">
        <x:v>46308</x:v>
      </x:c>
    </x:row>
    <x:row r="24" ht="60" customHeight="1">
      <x:c r="A24" s="9" t="str">
        <x:v>C018</x:v>
      </x:c>
      <x:c r="B24" s="10" t="str">
        <x:v>סליחה על השאלה עונה 4 | פרקים מלאים</x:v>
      </x:c>
      <x:c r="C24" s="10" t="str">
        <x:v>Разнообразие общества</x:v>
      </x:c>
      <x:c r="D24" s="10" t="str">
        <x:v>Общество; человеческие истории; взрослые</x:v>
      </x:c>
      <x:c r="E24" s="9" t="str">
        <x:v>Общество</x:v>
      </x:c>
      <x:c r="F24" s="10" t="str">
        <x:v>B1–B2 (гипотеза)</x:v>
      </x:c>
      <x:c r="G24" s="10" t="str">
        <x:v>Одинаковый вопрос разным людям позволяет сравнить ответы и акценты. Формат вводит социальные группы через их собственную речь.</x:v>
      </x:c>
      <x:c r="H24" s="10" t="str">
        <x:v>Сравнить два ответа; выписать вопросительные конструкции и выражения опыта.</x:v>
      </x:c>
      <x:c r="I24" s="10" t="str">
        <x:v>Знакомство с группой без универсализации одного опыта</x:v>
      </x:c>
      <x:c r="J24" s="10" t="str">
        <x:v>Расширение</x:v>
      </x:c>
      <x:c r="K24" s="14" t="n">
        <x:v>14</x:v>
      </x:c>
      <x:c r="L24" s="14" t="n">
        <x:v>14</x:v>
      </x:c>
      <x:c r="M24" s="14" t="n">
        <x:v>1</x:v>
      </x:c>
      <x:c r="N24" s="14" t="n">
        <x:v>128500</x:v>
      </x:c>
      <x:c r="O24" s="14" t="n">
        <x:v>25</x:v>
      </x:c>
      <x:c r="P24" s="10" t="str">
        <x:v>В пределах лимита; полнота не гарантирована</x:v>
      </x:c>
      <x:c r="Q24" s="10" t="str">
        <x:v>Некоторые выпуски затрагивают травму, секс, инвалидность; проверить выпуск</x:v>
      </x:c>
      <x:c r="R24" s="10" t="str">
        <x:v>כאן 11 - תאגיד השידור הישראלי</x:v>
      </x:c>
      <x:c r="S24" s="11" t="str">
        <x:v>https://www.youtube.com/playlist?list=PLLttfoK87AdVRewumPF2yPqogmQ0t0i08</x:v>
      </x:c>
      <x:c r="T24" s="16" t="n">
        <x:v>46308</x:v>
      </x:c>
    </x:row>
    <x:row r="25" ht="60" customHeight="1">
      <x:c r="A25" s="9" t="str">
        <x:v>C019</x:v>
      </x:c>
      <x:c r="B25" s="10" t="str">
        <x:v>סליחה על השאלה עונה 3 | כל הפרקים</x:v>
      </x:c>
      <x:c r="C25" s="10" t="str">
        <x:v>Разнообразие общества</x:v>
      </x:c>
      <x:c r="D25" s="10" t="str">
        <x:v>Общество; человеческие истории; взрослые</x:v>
      </x:c>
      <x:c r="E25" s="9" t="str">
        <x:v>Общество</x:v>
      </x:c>
      <x:c r="F25" s="10" t="str">
        <x:v>B1–B2 (гипотеза)</x:v>
      </x:c>
      <x:c r="G25" s="10" t="str">
        <x:v>Одинаковый вопрос разным людям позволяет сравнить ответы и акценты. Формат вводит социальные группы через их собственную речь.</x:v>
      </x:c>
      <x:c r="H25" s="10" t="str">
        <x:v>Сравнить два ответа; выписать вопросительные конструкции и выражения опыта.</x:v>
      </x:c>
      <x:c r="I25" s="10" t="str">
        <x:v>Знакомство с группой без универсализации одного опыта</x:v>
      </x:c>
      <x:c r="J25" s="10" t="str">
        <x:v>Первый пилот</x:v>
      </x:c>
      <x:c r="K25" s="14" t="n">
        <x:v>12</x:v>
      </x:c>
      <x:c r="L25" s="14" t="n">
        <x:v>12</x:v>
      </x:c>
      <x:c r="M25" s="14" t="n">
        <x:v>2</x:v>
      </x:c>
      <x:c r="N25" s="14" t="n">
        <x:v>253500</x:v>
      </x:c>
      <x:c r="O25" s="14" t="n">
        <x:v>25</x:v>
      </x:c>
      <x:c r="P25" s="10" t="str">
        <x:v>В пределах лимита; полнота не гарантирована</x:v>
      </x:c>
      <x:c r="Q25" s="10" t="str">
        <x:v>Некоторые выпуски затрагивают травму, секс, инвалидность; проверить выпуск</x:v>
      </x:c>
      <x:c r="R25" s="10" t="str">
        <x:v>כאן 11 - תאגיד השידור הישראלי</x:v>
      </x:c>
      <x:c r="S25" s="11" t="str">
        <x:v>https://www.youtube.com/playlist?list=PLLttfoK87AdVmjuyvOtQsy1VU_X_lQwgl</x:v>
      </x:c>
      <x:c r="T25" s="16" t="n">
        <x:v>46308</x:v>
      </x:c>
    </x:row>
    <x:row r="26" ht="60" customHeight="1">
      <x:c r="A26" s="9" t="str">
        <x:v>C020</x:v>
      </x:c>
      <x:c r="B26" s="10" t="str">
        <x:v>סליחה על השאלה עונה 2 | שידורי בכורה ביוטיוב 🔥❓</x:v>
      </x:c>
      <x:c r="C26" s="10" t="str">
        <x:v>Разнообразие общества</x:v>
      </x:c>
      <x:c r="D26" s="10" t="str">
        <x:v>Общество; человеческие истории; взрослые</x:v>
      </x:c>
      <x:c r="E26" s="9" t="str">
        <x:v>Общество</x:v>
      </x:c>
      <x:c r="F26" s="10" t="str">
        <x:v>B1–B2 (гипотеза)</x:v>
      </x:c>
      <x:c r="G26" s="10" t="str">
        <x:v>Одинаковый вопрос разным людям позволяет сравнить ответы и акценты. Формат вводит социальные группы через их собственную речь.</x:v>
      </x:c>
      <x:c r="H26" s="10" t="str">
        <x:v>Сравнить два ответа; выписать вопросительные конструкции и выражения опыта.</x:v>
      </x:c>
      <x:c r="I26" s="10" t="str">
        <x:v>Знакомство с группой без универсализации одного опыта</x:v>
      </x:c>
      <x:c r="J26" s="10" t="str">
        <x:v>Расширение</x:v>
      </x:c>
      <x:c r="K26" s="14" t="n">
        <x:v>25</x:v>
      </x:c>
      <x:c r="L26" s="14" t="n">
        <x:v>15</x:v>
      </x:c>
      <x:c r="M26" s="14" t="n">
        <x:v>0</x:v>
      </x:c>
      <x:c r="N26" s="14" t="n">
        <x:v>546000</x:v>
      </x:c>
      <x:c r="O26" s="14" t="n">
        <x:v>25</x:v>
      </x:c>
      <x:c r="P26" s="10" t="str">
        <x:v>Лимит достигнут; это выборка</x:v>
      </x:c>
      <x:c r="Q26" s="10" t="str">
        <x:v>Некоторые выпуски затрагивают травму, секс, инвалидность; проверить выпуск</x:v>
      </x:c>
      <x:c r="R26" s="10" t="str">
        <x:v>כאן 11 - תאגיד השידור הישראלי</x:v>
      </x:c>
      <x:c r="S26" s="11" t="str">
        <x:v>https://www.youtube.com/playlist?list=PLLttfoK87AdUTREyo3N2LsrozO_M6Kqen</x:v>
      </x:c>
      <x:c r="T26" s="16" t="n">
        <x:v>46308</x:v>
      </x:c>
    </x:row>
    <x:row r="27" ht="60" customHeight="1">
      <x:c r="A27" s="9" t="str">
        <x:v>C021</x:v>
      </x:c>
      <x:c r="B27" s="10" t="str">
        <x:v>סליחה על השאלה עונה 1 | הסדרה ששברה את הרשת 🔥</x:v>
      </x:c>
      <x:c r="C27" s="10" t="str">
        <x:v>Разнообразие общества</x:v>
      </x:c>
      <x:c r="D27" s="10" t="str">
        <x:v>Общество; человеческие истории; взрослые</x:v>
      </x:c>
      <x:c r="E27" s="9" t="str">
        <x:v>Общество</x:v>
      </x:c>
      <x:c r="F27" s="10" t="str">
        <x:v>B1–B2 (гипотеза)</x:v>
      </x:c>
      <x:c r="G27" s="10" t="str">
        <x:v>Одинаковый вопрос разным людям позволяет сравнить ответы и акценты. Формат вводит социальные группы через их собственную речь.</x:v>
      </x:c>
      <x:c r="H27" s="10" t="str">
        <x:v>Сравнить два ответа; выписать вопросительные конструкции и выражения опыта.</x:v>
      </x:c>
      <x:c r="I27" s="10" t="str">
        <x:v>Знакомство с группой без универсализации одного опыта</x:v>
      </x:c>
      <x:c r="J27" s="10" t="str">
        <x:v>Расширение</x:v>
      </x:c>
      <x:c r="K27" s="14" t="n">
        <x:v>16</x:v>
      </x:c>
      <x:c r="L27" s="14" t="n">
        <x:v>16</x:v>
      </x:c>
      <x:c r="M27" s="14" t="n">
        <x:v>0</x:v>
      </x:c>
      <x:c r="N27" s="14" t="n">
        <x:v>850000</x:v>
      </x:c>
      <x:c r="O27" s="14" t="n">
        <x:v>25</x:v>
      </x:c>
      <x:c r="P27" s="10" t="str">
        <x:v>В пределах лимита; полнота не гарантирована</x:v>
      </x:c>
      <x:c r="Q27" s="10" t="str">
        <x:v>Некоторые выпуски затрагивают травму, секс, инвалидность; проверить выпуск</x:v>
      </x:c>
      <x:c r="R27" s="10" t="str">
        <x:v>כאן 11 - תאגיד השידור הישראלי</x:v>
      </x:c>
      <x:c r="S27" s="11" t="str">
        <x:v>https://www.youtube.com/playlist?list=PLLttfoK87AdXGer0EngTGxdG7arnOSmbj</x:v>
      </x:c>
      <x:c r="T27" s="16" t="n">
        <x:v>46308</x:v>
      </x:c>
    </x:row>
    <x:row r="28" ht="60" customHeight="1">
      <x:c r="A28" s="9" t="str">
        <x:v>C022</x:v>
      </x:c>
      <x:c r="B28" s="10" t="str">
        <x:v>בואו לאכול איתי עונה 9 | פרקים מלאים</x:v>
      </x:c>
      <x:c r="C28" s="10" t="str">
        <x:v>Еда и повседневность</x:v>
      </x:c>
      <x:c r="D28" s="10" t="str">
        <x:v>Кулинария; отношения; лёгкий просмотр</x:v>
      </x:c>
      <x:c r="E28" s="9" t="str">
        <x:v>Быт</x:v>
      </x:c>
      <x:c r="F28" s="10" t="str">
        <x:v>B1–B2 (гипотеза)</x:v>
      </x:c>
      <x:c r="G28" s="10" t="str">
        <x:v>Еда снижает порог входа для широкой аудитории. В одном выпуске встречаются приглашения, оценки, знакомство и бытовые споры.</x:v>
      </x:c>
      <x:c r="H28" s="10" t="str">
        <x:v>Составить приглашение на ужин и аргументированно оценить блюдо.</x:v>
      </x:c>
      <x:c r="I28" s="10" t="str">
        <x:v>Кухня как встреча разных людей</x:v>
      </x:c>
      <x:c r="J28" s="10" t="str">
        <x:v>Расширение</x:v>
      </x:c>
      <x:c r="K28" s="14" t="n">
        <x:v>25</x:v>
      </x:c>
      <x:c r="L28" s="14" t="n">
        <x:v>25</x:v>
      </x:c>
      <x:c r="M28" s="14" t="n">
        <x:v>0</x:v>
      </x:c>
      <x:c r="N28" s="14" t="n">
        <x:v>182000</x:v>
      </x:c>
      <x:c r="O28" s="14" t="n">
        <x:v>30</x:v>
      </x:c>
      <x:c r="P28" s="10" t="str">
        <x:v>В пределах лимита; полнота не гарантирована</x:v>
      </x:c>
      <x:c r="Q28" s="10" t="str">
        <x:v>Быстрая речь и стереотипы; порядок дней недели в серии</x:v>
      </x:c>
      <x:c r="R28" s="10" t="str">
        <x:v>כאן 11 - תאגיד השידור הישראלי</x:v>
      </x:c>
      <x:c r="S28" s="11" t="str">
        <x:v>https://www.youtube.com/playlist?list=PLLttfoK87AdWRhROPAbHnw5EXvKWiHV8d</x:v>
      </x:c>
      <x:c r="T28" s="16" t="n">
        <x:v>46308</x:v>
      </x:c>
    </x:row>
    <x:row r="29" ht="60" customHeight="1">
      <x:c r="A29" s="9" t="str">
        <x:v>C023</x:v>
      </x:c>
      <x:c r="B29" s="10" t="str">
        <x:v>בואו לאכול איתי עונה 8 | פרקים מלאים</x:v>
      </x:c>
      <x:c r="C29" s="10" t="str">
        <x:v>Еда и повседневность</x:v>
      </x:c>
      <x:c r="D29" s="10" t="str">
        <x:v>Кулинария; отношения; лёгкий просмотр</x:v>
      </x:c>
      <x:c r="E29" s="9" t="str">
        <x:v>Быт</x:v>
      </x:c>
      <x:c r="F29" s="10" t="str">
        <x:v>B1–B2 (гипотеза)</x:v>
      </x:c>
      <x:c r="G29" s="10" t="str">
        <x:v>Еда снижает порог входа для широкой аудитории. В одном выпуске встречаются приглашения, оценки, знакомство и бытовые споры.</x:v>
      </x:c>
      <x:c r="H29" s="10" t="str">
        <x:v>Составить приглашение на ужин и аргументированно оценить блюдо.</x:v>
      </x:c>
      <x:c r="I29" s="10" t="str">
        <x:v>Кухня как встреча разных людей</x:v>
      </x:c>
      <x:c r="J29" s="10" t="str">
        <x:v>Расширение</x:v>
      </x:c>
      <x:c r="K29" s="14" t="n">
        <x:v>25</x:v>
      </x:c>
      <x:c r="L29" s="14" t="n">
        <x:v>25</x:v>
      </x:c>
      <x:c r="M29" s="14" t="n">
        <x:v>0</x:v>
      </x:c>
      <x:c r="N29" s="14" t="n">
        <x:v>250000</x:v>
      </x:c>
      <x:c r="O29" s="14" t="n">
        <x:v>30</x:v>
      </x:c>
      <x:c r="P29" s="10" t="str">
        <x:v>В пределах лимита; полнота не гарантирована</x:v>
      </x:c>
      <x:c r="Q29" s="10" t="str">
        <x:v>Быстрая речь и стереотипы; порядок дней недели в серии</x:v>
      </x:c>
      <x:c r="R29" s="10" t="str">
        <x:v>כאן 11 - תאגיד השידור הישראלי</x:v>
      </x:c>
      <x:c r="S29" s="11" t="str">
        <x:v>https://www.youtube.com/playlist?list=PLLttfoK87AdWmItDC4gNSVGXklb_GJZEC</x:v>
      </x:c>
      <x:c r="T29" s="16" t="n">
        <x:v>46308</x:v>
      </x:c>
    </x:row>
    <x:row r="30" ht="60" customHeight="1">
      <x:c r="A30" s="9" t="str">
        <x:v>C024</x:v>
      </x:c>
      <x:c r="B30" s="10" t="str">
        <x:v>שום פלפל ושמן זית החדשה | פרקים מלאים</x:v>
      </x:c>
      <x:c r="C30" s="10" t="str">
        <x:v>Еда и повседневность</x:v>
      </x:c>
      <x:c r="D30" s="10" t="str">
        <x:v>Кулинария; взрослые; семейный просмотр</x:v>
      </x:c>
      <x:c r="E30" s="9" t="str">
        <x:v>Быт</x:v>
      </x:c>
      <x:c r="F30" s="10" t="str">
        <x:v>B1–B2 (гипотеза)</x:v>
      </x:c>
      <x:c r="G30" s="10" t="str">
        <x:v>Приготовление еды даёт визуальную опору для понимания глаголов и последовательности действий. Гость добавляет разговорный интерес.</x:v>
      </x:c>
      <x:c r="H30" s="10" t="str">
        <x:v>Пересказать рецепт в повелительном наклонении и связках сначала/потом.</x:v>
      </x:c>
      <x:c r="I30" s="10" t="str">
        <x:v>Рецепт и разговор за столом</x:v>
      </x:c>
      <x:c r="J30" s="10" t="str">
        <x:v>Первый пилот</x:v>
      </x:c>
      <x:c r="K30" s="14" t="n">
        <x:v>30</x:v>
      </x:c>
      <x:c r="L30" s="14" t="n">
        <x:v>30</x:v>
      </x:c>
      <x:c r="M30" s="14" t="n">
        <x:v>0</x:v>
      </x:c>
      <x:c r="N30" s="14" t="n">
        <x:v>32000</x:v>
      </x:c>
      <x:c r="O30" s="14" t="n">
        <x:v>30</x:v>
      </x:c>
      <x:c r="P30" s="10" t="str">
        <x:v>Лимит достигнут; это выборка</x:v>
      </x:c>
      <x:c r="Q30" s="10" t="str">
        <x:v>Проверить содержание</x:v>
      </x:c>
      <x:c r="R30" s="10" t="str">
        <x:v>כאן 11 - תאגיד השידור הישראלי</x:v>
      </x:c>
      <x:c r="S30" s="11" t="str">
        <x:v>https://www.youtube.com/playlist?list=PLLttfoK87AdWrWu2QdWP-CeKoaxxtV9pr</x:v>
      </x:c>
      <x:c r="T30" s="16" t="n">
        <x:v>46308</x:v>
      </x:c>
    </x:row>
    <x:row r="31" ht="60" customHeight="1">
      <x:c r="A31" s="9" t="str">
        <x:v>C025</x:v>
      </x:c>
      <x:c r="B31" s="10" t="str">
        <x:v>סיפורים מהכורסה עונה 1 | פרקים מלאים</x:v>
      </x:c>
      <x:c r="C31" s="10" t="str">
        <x:v>Юмор и устный рассказ</x:v>
      </x:c>
      <x:c r="D31" s="10" t="str">
        <x:v>Юмор; культура; взрослые</x:v>
      </x:c>
      <x:c r="E31" s="9" t="str">
        <x:v>Культура</x:v>
      </x:c>
      <x:c r="F31" s="10" t="str">
        <x:v>B2–C1 (гипотеза)</x:v>
      </x:c>
      <x:c r="G31" s="10" t="str">
        <x:v>Короткие личные истории и комики дают материал для пересказа и знакомства с культурными кодами.</x:v>
      </x:c>
      <x:c r="H31" s="10" t="str">
        <x:v>Разметить завязку, поворот и шутку; рассказать свою историю.</x:v>
      </x:c>
      <x:c r="I31" s="10" t="str">
        <x:v>Как рассказывают смешную историю</x:v>
      </x:c>
      <x:c r="J31" s="10" t="str">
        <x:v>Расширение</x:v>
      </x:c>
      <x:c r="K31" s="14" t="n">
        <x:v>10</x:v>
      </x:c>
      <x:c r="L31" s="14" t="n">
        <x:v>10</x:v>
      </x:c>
      <x:c r="M31" s="14" t="n">
        <x:v>0</x:v>
      </x:c>
      <x:c r="N31" s="14" t="n">
        <x:v>257500</x:v>
      </x:c>
      <x:c r="O31" s="14" t="n">
        <x:v>25</x:v>
      </x:c>
      <x:c r="P31" s="10" t="str">
        <x:v>В пределах лимита; полнота не гарантирована</x:v>
      </x:c>
      <x:c r="Q31" s="10" t="str">
        <x:v>Ненормативная лексика и быстрые перебивки</x:v>
      </x:c>
      <x:c r="R31" s="10" t="str">
        <x:v>כאן 11 - תאגיד השידור הישראלי</x:v>
      </x:c>
      <x:c r="S31" s="11" t="str">
        <x:v>https://www.youtube.com/playlist?list=PLLttfoK87AdXmAazQi6zmUZA6vLW7gNO_</x:v>
      </x:c>
      <x:c r="T31" s="16" t="n">
        <x:v>46308</x:v>
      </x:c>
    </x:row>
    <x:row r="32" ht="60" customHeight="1">
      <x:c r="A32" s="9" t="str">
        <x:v>C026</x:v>
      </x:c>
      <x:c r="B32" s="10" t="str">
        <x:v>היהודים באים - עונה 1 | הפרקים המלאים</x:v>
      </x:c>
      <x:c r="C32" s="10" t="str">
        <x:v>История и сатира</x:v>
      </x:c>
      <x:c r="D32" s="10" t="str">
        <x:v>Юмор; еврейская культура; продвинутые</x:v>
      </x:c>
      <x:c r="E32" s="9" t="str">
        <x:v>Культура</x:v>
      </x:c>
      <x:c r="F32" s="10" t="str">
        <x:v>B2–C1 (гипотеза)</x:v>
      </x:c>
      <x:c r="G32" s="10" t="str">
        <x:v>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H32" s="10" t="str">
        <x:v>Выбрать скетч; объяснить культурную отсылку и отдельно проверить историческую основу.</x:v>
      </x:c>
      <x:c r="I32" s="10" t="str">
        <x:v>Историческая память через сатиру</x:v>
      </x:c>
      <x:c r="J32" s="10" t="str">
        <x:v>Первый пилот</x:v>
      </x:c>
      <x:c r="K32" s="14" t="n">
        <x:v>12</x:v>
      </x:c>
      <x:c r="L32" s="14" t="n">
        <x:v>12</x:v>
      </x:c>
      <x:c r="M32" s="14" t="n">
        <x:v>0</x:v>
      </x:c>
      <x:c r="N32" s="14" t="n">
        <x:v>624000</x:v>
      </x:c>
      <x:c r="O32" s="14" t="n">
        <x:v>20</x:v>
      </x:c>
      <x:c r="P32" s="10" t="str">
        <x:v>В пределах лимита; полнота не гарантирована</x:v>
      </x:c>
      <x:c r="Q32" s="10" t="str">
        <x:v>Сатира; не использовать как историческое доказательство</x:v>
      </x:c>
      <x:c r="R32" s="10" t="str">
        <x:v>כאן 11 - תאגיד השידור הישראלי</x:v>
      </x:c>
      <x:c r="S32" s="11" t="str">
        <x:v>https://www.youtube.com/playlist?list=PLLttfoK87AdWkIef_dW-0bB4GQDMXmjlf</x:v>
      </x:c>
      <x:c r="T32" s="16" t="n">
        <x:v>46308</x:v>
      </x:c>
    </x:row>
    <x:row r="33" ht="60" customHeight="1">
      <x:c r="A33" s="9" t="str">
        <x:v>C027</x:v>
      </x:c>
      <x:c r="B33" s="10" t="str">
        <x:v>שיר אחד 🎤 עיבוד טלוויזיוני להסכת | פרקים מלאים</x:v>
      </x:c>
      <x:c r="C33" s="10" t="str">
        <x:v>Музыка и культурная память</x:v>
      </x:c>
      <x:c r="D33" s="10" t="str">
        <x:v>Музыка; культура; история</x:v>
      </x:c>
      <x:c r="E33" s="9" t="str">
        <x:v>Культура</x:v>
      </x:c>
      <x:c r="F33" s="10" t="str">
        <x:v>B1–B2 (гипотеза)</x:v>
      </x:c>
      <x:c r="G33" s="10" t="str">
        <x:v>История одной песни связывает музыку, биографию и эпоху. Подходит зрителям, которым политическая повестка менее интересна.</x:v>
      </x:c>
      <x:c r="H33" s="10" t="str">
        <x:v>Разобрать рассказ о создании песни; использовать текст песни только в разрешённых пределах.</x:v>
      </x:c>
      <x:c r="I33" s="10" t="str">
        <x:v>Почему песня стала частью общей памяти</x:v>
      </x:c>
      <x:c r="J33" s="10" t="str">
        <x:v>Первый пилот</x:v>
      </x:c>
      <x:c r="K33" s="14" t="n">
        <x:v>22</x:v>
      </x:c>
      <x:c r="L33" s="14" t="n">
        <x:v>22</x:v>
      </x:c>
      <x:c r="M33" s="14" t="n">
        <x:v>0</x:v>
      </x:c>
      <x:c r="N33" s="14" t="n">
        <x:v>43000</x:v>
      </x:c>
      <x:c r="O33" s="14" t="n">
        <x:v>25</x:v>
      </x:c>
      <x:c r="P33" s="10" t="str">
        <x:v>В пределах лимита; полнота не гарантирована</x:v>
      </x:c>
      <x:c r="Q33" s="10" t="str">
        <x:v>Права на песню и текст проверяются отдельно</x:v>
      </x:c>
      <x:c r="R33" s="10" t="str">
        <x:v>כאן 11 - תאגיד השידור הישראלי</x:v>
      </x:c>
      <x:c r="S33" s="11" t="str">
        <x:v>https://www.youtube.com/playlist?list=PLLttfoK87AdVl3nJ4Oa3hVHQcpRlfyHzE</x:v>
      </x:c>
      <x:c r="T33" s="16" t="n">
        <x:v>46308</x:v>
      </x:c>
    </x:row>
    <x:row r="34" ht="60" customHeight="1">
      <x:c r="A34" s="9" t="str">
        <x:v>C028</x:v>
      </x:c>
      <x:c r="B34" s="10" t="str">
        <x:v>העברים | פרקים מלאים</x:v>
      </x:c>
      <x:c r="C34" s="10" t="str">
        <x:v>Литература и язык</x:v>
      </x:c>
      <x:c r="D34" s="10" t="str">
        <x:v>Книги; история языка; продвинутые</x:v>
      </x:c>
      <x:c r="E34" s="9" t="str">
        <x:v>История</x:v>
      </x:c>
      <x:c r="F34" s="10" t="str">
        <x:v>B2–C1 (гипотеза)</x:v>
      </x:c>
      <x:c r="G34" s="10" t="str">
        <x:v>Биографии писателей дают контекст современной еврейской культуры и литературного иврита.</x:v>
      </x:c>
      <x:c r="H34" s="10" t="str">
        <x:v>Выбрать биографический фрагмент; составить временную линию автора.</x:v>
      </x:c>
      <x:c r="I34" s="10" t="str">
        <x:v>Писатель, язык и эпоха</x:v>
      </x:c>
      <x:c r="J34" s="10" t="str">
        <x:v>Расширение</x:v>
      </x:c>
      <x:c r="K34" s="14" t="n">
        <x:v>14</x:v>
      </x:c>
      <x:c r="L34" s="14" t="n">
        <x:v>14</x:v>
      </x:c>
      <x:c r="M34" s="14" t="n">
        <x:v>0</x:v>
      </x:c>
      <x:c r="N34" s="14" t="n">
        <x:v>35000</x:v>
      </x:c>
      <x:c r="O34" s="14" t="n">
        <x:v>20</x:v>
      </x:c>
      <x:c r="P34" s="10" t="str">
        <x:v>В пределах лимита; полнота не гарантирована</x:v>
      </x:c>
      <x:c r="Q34" s="10" t="str">
        <x:v>Проверить содержание</x:v>
      </x:c>
      <x:c r="R34" s="10" t="str">
        <x:v>כאן 11 - תאגיד השידור הישראלי</x:v>
      </x:c>
      <x:c r="S34" s="11" t="str">
        <x:v>https://www.youtube.com/playlist?list=PLLttfoK87AdWulZEqK6zPZRdCmvP1SE6c</x:v>
      </x:c>
      <x:c r="T34" s="16" t="n">
        <x:v>46308</x:v>
      </x:c>
    </x:row>
    <x:row r="35" ht="60" customHeight="1">
      <x:c r="A35" s="9" t="str">
        <x:v>C029</x:v>
      </x:c>
      <x:c r="B35" s="10" t="str">
        <x:v>המנדט - הימים בהם שלטו הבריטים בארץ ישראל | פרקים מלאים</x:v>
      </x:c>
      <x:c r="C35" s="10" t="str">
        <x:v>История Израиля</x:v>
      </x:c>
      <x:c r="D35" s="10" t="str">
        <x:v>История; общество; взрослые</x:v>
      </x:c>
      <x:c r="E35" s="9" t="str">
        <x:v>История</x:v>
      </x:c>
      <x:c r="F35" s="10" t="str">
        <x:v>B2–C1 (гипотеза)</x:v>
      </x:c>
      <x:c r="G35" s="10" t="str">
        <x:v>Связный документальный цикл помогает понять британский период и предпосылки создания государства.</x:v>
      </x:c>
      <x:c r="H35" s="10" t="str">
        <x:v>Построить временную линию; разделить архивное свидетельство и комментарий.</x:v>
      </x:c>
      <x:c r="I35" s="10" t="str">
        <x:v>Как формировалась политическая реальность до 1948 года</x:v>
      </x:c>
      <x:c r="J35" s="10" t="str">
        <x:v>Первый пилот</x:v>
      </x:c>
      <x:c r="K35" s="14" t="n">
        <x:v>7</x:v>
      </x:c>
      <x:c r="L35" s="14" t="n">
        <x:v>4</x:v>
      </x:c>
      <x:c r="M35" s="14" t="n">
        <x:v>0</x:v>
      </x:c>
      <x:c r="N35" s="14"/>
      <x:c r="O35" s="14" t="n">
        <x:v>12</x:v>
      </x:c>
      <x:c r="P35" s="10" t="str">
        <x:v>В пределах лимита; полнота не гарантирована</x:v>
      </x:c>
      <x:c r="Q35" s="10" t="str">
        <x:v>Конфликтная история; сопоставлять источники</x:v>
      </x:c>
      <x:c r="R35" s="10" t="str">
        <x:v>כאן 11 - תאגיד השידור הישראלי</x:v>
      </x:c>
      <x:c r="S35" s="11" t="str">
        <x:v>https://www.youtube.com/playlist?list=PLLttfoK87AdVBpeDp7yqT5ZmA4ve9WxGK</x:v>
      </x:c>
      <x:c r="T35" s="16" t="n">
        <x:v>46308</x:v>
      </x:c>
    </x:row>
    <x:row r="36" ht="60" customHeight="1">
      <x:c r="A36" s="9" t="str">
        <x:v>C030</x:v>
      </x:c>
      <x:c r="B36" s="10" t="str">
        <x:v>1948 - לזכור ולשכוח | אפוס דוקומנטרי בשני חלקים</x:v>
      </x:c>
      <x:c r="C36" s="10" t="str">
        <x:v>История Израиля</x:v>
      </x:c>
      <x:c r="D36" s="10" t="str">
        <x:v>История; память; взрослые</x:v>
      </x:c>
      <x:c r="E36" s="9" t="str">
        <x:v>История</x:v>
      </x:c>
      <x:c r="F36" s="10" t="str">
        <x:v>B2–C1 (гипотеза)</x:v>
      </x:c>
      <x:c r="G36" s="10" t="str">
        <x:v>Два документальных выпуска дают опорный исторический блок для дальнейших тем.</x:v>
      </x:c>
      <x:c r="H36" s="10" t="str">
        <x:v>Сравнить память участников и историческое объяснение; ввести 10 терминов.</x:v>
      </x:c>
      <x:c r="I36" s="10" t="str">
        <x:v>1948 год и разные способы помнить его</x:v>
      </x:c>
      <x:c r="J36" s="10" t="str">
        <x:v>Расширение</x:v>
      </x:c>
      <x:c r="K36" s="14" t="n">
        <x:v>2</x:v>
      </x:c>
      <x:c r="L36" s="14" t="n">
        <x:v>2</x:v>
      </x:c>
      <x:c r="M36" s="14" t="n">
        <x:v>0</x:v>
      </x:c>
      <x:c r="N36" s="14"/>
      <x:c r="O36" s="14" t="n">
        <x:v>8</x:v>
      </x:c>
      <x:c r="P36" s="10" t="str">
        <x:v>В пределах лимита; полнота не гарантирована</x:v>
      </x:c>
      <x:c r="Q36" s="10" t="str">
        <x:v>Война и конфликтная память</x:v>
      </x:c>
      <x:c r="R36" s="10" t="str">
        <x:v>כאן 11 - תאגיד השידור הישראלי</x:v>
      </x:c>
      <x:c r="S36" s="11" t="str">
        <x:v>https://www.youtube.com/playlist?list=PLLttfoK87AdVr6MXMZa3t9q5UrUyfrFee</x:v>
      </x:c>
      <x:c r="T36" s="16" t="n">
        <x:v>46308</x:v>
      </x:c>
    </x:row>
    <x:row r="37" ht="60" customHeight="1">
      <x:c r="A37" s="9" t="str">
        <x:v>C031</x:v>
      </x:c>
      <x:c r="B37" s="10" t="str">
        <x:v>והארץ הייתה תוהו ובוהו | תולדות ארץ ישראל - באיכות HD</x:v>
      </x:c>
      <x:c r="C37" s="10" t="str">
        <x:v>Древняя история</x:v>
      </x:c>
      <x:c r="D37" s="10" t="str">
        <x:v>История; археология; культура</x:v>
      </x:c>
      <x:c r="E37" s="9" t="str">
        <x:v>История</x:v>
      </x:c>
      <x:c r="F37" s="10" t="str">
        <x:v>B2–C1 (гипотеза)</x:v>
      </x:c>
      <x:c r="G37" s="10" t="str">
        <x:v>Цикл расширяет фокус от современной политики до многовековой истории страны. Визуальные материалы поддерживают понимание.</x:v>
      </x:c>
      <x:c r="H37" s="10" t="str">
        <x:v>Составить хронологию и карту терминов; отделить археологическое свидетельство от гипотезы.</x:v>
      </x:c>
      <x:c r="I37" s="10" t="str">
        <x:v>История страны до современного Израиля</x:v>
      </x:c>
      <x:c r="J37" s="10" t="str">
        <x:v>Расширение</x:v>
      </x:c>
      <x:c r="K37" s="14" t="n">
        <x:v>15</x:v>
      </x:c>
      <x:c r="L37" s="14" t="n">
        <x:v>15</x:v>
      </x:c>
      <x:c r="M37" s="14" t="n">
        <x:v>0</x:v>
      </x:c>
      <x:c r="N37" s="14" t="n">
        <x:v>44000</x:v>
      </x:c>
      <x:c r="O37" s="14" t="n">
        <x:v>20</x:v>
      </x:c>
      <x:c r="P37" s="10" t="str">
        <x:v>В пределах лимита; полнота не гарантирована</x:v>
      </x:c>
      <x:c r="Q37" s="10" t="str">
        <x:v>Проверить содержание</x:v>
      </x:c>
      <x:c r="R37" s="10" t="str">
        <x:v>כאן 11 - תאגיד השידור הישראלי</x:v>
      </x:c>
      <x:c r="S37" s="11" t="str">
        <x:v>https://www.youtube.com/playlist?list=PLLttfoK87AdUhE_NlEYGOJKSTUu4sZBdM</x:v>
      </x:c>
      <x:c r="T37" s="16" t="n">
        <x:v>46308</x:v>
      </x:c>
    </x:row>
    <x:row r="38" ht="60" customHeight="1">
      <x:c r="A38" s="9" t="str">
        <x:v>C032</x:v>
      </x:c>
      <x:c r="B38" s="10" t="str">
        <x:v>ירוסלם | סיפורה המורכב של קהילת יהודי אתיופיה בישראל</x:v>
      </x:c>
      <x:c r="C38" s="10" t="str">
        <x:v>История общин</x:v>
      </x:c>
      <x:c r="D38" s="10" t="str">
        <x:v>История; алия; разнообразие общества</x:v>
      </x:c>
      <x:c r="E38" s="9" t="str">
        <x:v>История</x:v>
      </x:c>
      <x:c r="F38" s="10" t="str">
        <x:v>B2–C1 (гипотеза)</x:v>
      </x:c>
      <x:c r="G38" s="10" t="str">
        <x:v>История эфиопской общины расширяет представление об алие и опыте интеграции.</x:v>
      </x:c>
      <x:c r="H38" s="10" t="str">
        <x:v>Выделить слова пути, принадлежности и идентичности; сравнить два рассказа.</x:v>
      </x:c>
      <x:c r="I38" s="10" t="str">
        <x:v>Эфиопские евреи и путь в Израиль</x:v>
      </x:c>
      <x:c r="J38" s="10" t="str">
        <x:v>Расширение</x:v>
      </x:c>
      <x:c r="K38" s="14" t="n">
        <x:v>5</x:v>
      </x:c>
      <x:c r="L38" s="14" t="n">
        <x:v>5</x:v>
      </x:c>
      <x:c r="M38" s="14" t="n">
        <x:v>0</x:v>
      </x:c>
      <x:c r="N38" s="14" t="n">
        <x:v>53000</x:v>
      </x:c>
      <x:c r="O38" s="14" t="n">
        <x:v>12</x:v>
      </x:c>
      <x:c r="P38" s="10" t="str">
        <x:v>В пределах лимита; полнота не гарантирована</x:v>
      </x:c>
      <x:c r="Q38" s="10" t="str">
        <x:v>Расизм, потери, миграционная травма</x:v>
      </x:c>
      <x:c r="R38" s="10" t="str">
        <x:v>כאן 11 - תאגיד השידור הישראלי</x:v>
      </x:c>
      <x:c r="S38" s="11" t="str">
        <x:v>https://www.youtube.com/playlist?list=PLLttfoK87AdVjZ0W756Mnwx2MGJJDrTFI</x:v>
      </x:c>
      <x:c r="T38" s="16" t="n">
        <x:v>46308</x:v>
      </x:c>
    </x:row>
    <x:row r="39" ht="60" customHeight="1">
      <x:c r="A39" s="9" t="str">
        <x:v>C033</x:v>
      </x:c>
      <x:c r="B39" s="10" t="str">
        <x:v>נייעס | סיפורו של עולם התקשורת החרדי</x:v>
      </x:c>
      <x:c r="C39" s="10" t="str">
        <x:v>Религия и общество</x:v>
      </x:c>
      <x:c r="D39" s="10" t="str">
        <x:v>Харедим; медиа; общество</x:v>
      </x:c>
      <x:c r="E39" s="9" t="str">
        <x:v>Общество</x:v>
      </x:c>
      <x:c r="F39" s="10" t="str">
        <x:v>B2–C1 (гипотеза)</x:v>
      </x:c>
      <x:c r="G39" s="10" t="str">
        <x:v>Медиа внутри харедим дают вход в часто незнакомую культурную среду и лексику.</x:v>
      </x:c>
      <x:c r="H39" s="10" t="str">
        <x:v>Составить словарь институтов и религиозных терминов.</x:v>
      </x:c>
      <x:c r="I39" s="10" t="str">
        <x:v>Как устроены медиа религиозной общины</x:v>
      </x:c>
      <x:c r="J39" s="10" t="str">
        <x:v>Расширение</x:v>
      </x:c>
      <x:c r="K39" s="14" t="n">
        <x:v>5</x:v>
      </x:c>
      <x:c r="L39" s="14" t="n">
        <x:v>5</x:v>
      </x:c>
      <x:c r="M39" s="14" t="n">
        <x:v>0</x:v>
      </x:c>
      <x:c r="N39" s="14" t="n">
        <x:v>75000</x:v>
      </x:c>
      <x:c r="O39" s="14" t="n">
        <x:v>10</x:v>
      </x:c>
      <x:c r="P39" s="10" t="str">
        <x:v>В пределах лимита; полнота не гарантирована</x:v>
      </x:c>
      <x:c r="Q39" s="10" t="str">
        <x:v>Не переносить частные примеры на всю общину</x:v>
      </x:c>
      <x:c r="R39" s="10" t="str">
        <x:v>כאן 11 - תאגיד השידור הישראלי</x:v>
      </x:c>
      <x:c r="S39" s="11" t="str">
        <x:v>https://www.youtube.com/playlist?list=PLLttfoK87AdXsv0brJ6Ng2hJ3_CZbqfv4</x:v>
      </x:c>
      <x:c r="T39" s="16" t="n">
        <x:v>46308</x:v>
      </x:c>
    </x:row>
    <x:row r="40" ht="60" customHeight="1">
      <x:c r="A40" s="9" t="str">
        <x:v>C034</x:v>
      </x:c>
      <x:c r="B40" s="10" t="str">
        <x:v>יוניקורנז | פרקים מלאים</x:v>
      </x:c>
      <x:c r="C40" s="10" t="str">
        <x:v>Технологии и работа</x:v>
      </x:c>
      <x:c r="D40" s="10" t="str">
        <x:v>Технологии; карьера; предпринимательство</x:v>
      </x:c>
      <x:c r="E40" s="9" t="str">
        <x:v>Образование</x:v>
      </x:c>
      <x:c r="F40" s="10" t="str">
        <x:v>B2–C1 (гипотеза)</x:v>
      </x:c>
      <x:c r="G40" s="10" t="str">
        <x:v>Израильский технологический сектор привлекает профессиональную аудиторию. Нужная лексика работы, бизнеса и инноваций.</x:v>
      </x:c>
      <x:c r="H40" s="10" t="str">
        <x:v>Объяснить идею компании за минуту; выписать заимствования и их употребление.</x:v>
      </x:c>
      <x:c r="I40" s="10" t="str">
        <x:v>Как устроена технологическая экономика</x:v>
      </x:c>
      <x:c r="J40" s="10" t="str">
        <x:v>Первый пилот</x:v>
      </x:c>
      <x:c r="K40" s="14" t="n">
        <x:v>4</x:v>
      </x:c>
      <x:c r="L40" s="14" t="n">
        <x:v>4</x:v>
      </x:c>
      <x:c r="M40" s="14" t="n">
        <x:v>0</x:v>
      </x:c>
      <x:c r="N40" s="14"/>
      <x:c r="O40" s="14" t="n">
        <x:v>12</x:v>
      </x:c>
      <x:c r="P40" s="10" t="str">
        <x:v>В пределах лимита; полнота не гарантирована</x:v>
      </x:c>
      <x:c r="Q40" s="10" t="str">
        <x:v>Проверить содержание</x:v>
      </x:c>
      <x:c r="R40" s="10" t="str">
        <x:v>כאן 11 - תאגיד השידור הישראלי</x:v>
      </x:c>
      <x:c r="S40" s="11" t="str">
        <x:v>https://www.youtube.com/playlist?list=PLLttfoK87AdVWHt2Ze-R79W5IHpYlZ4ec</x:v>
      </x:c>
      <x:c r="T40" s="16" t="n">
        <x:v>46308</x:v>
      </x:c>
    </x:row>
    <x:row r="41" ht="60" customHeight="1">
      <x:c r="A41" s="9" t="str">
        <x:v>C035</x:v>
      </x:c>
      <x:c r="B41" s="10" t="str">
        <x:v>מתחת לבלטות עם שאול אמסטרדמסקי | פרקים מלאים</x:v>
      </x:c>
      <x:c r="C41" s="10" t="str">
        <x:v>Экономика и институты</x:v>
      </x:c>
      <x:c r="D41" s="10" t="str">
        <x:v>Экономика; репатрианты; общество</x:v>
      </x:c>
      <x:c r="E41" s="9" t="str">
        <x:v>Образование</x:v>
      </x:c>
      <x:c r="F41" s="10" t="str">
        <x:v>B2–C1 (гипотеза)</x:v>
      </x:c>
      <x:c r="G41" s="10" t="str">
        <x:v>Экономические объяснения связывают личные деньги и общественные решения. Это самостоятельная аудитория за пределами сериалов.</x:v>
      </x:c>
      <x:c r="H41" s="10" t="str">
        <x:v>Пересказать механизм причина–следствие; проверить дату чисел и правил.</x:v>
      </x:c>
      <x:c r="I41" s="10" t="str">
        <x:v>Понятно об экономике Израиля</x:v>
      </x:c>
      <x:c r="J41" s="10" t="str">
        <x:v>Расширение</x:v>
      </x:c>
      <x:c r="K41" s="14" t="n">
        <x:v>11</x:v>
      </x:c>
      <x:c r="L41" s="14" t="n">
        <x:v>11</x:v>
      </x:c>
      <x:c r="M41" s="14" t="n">
        <x:v>0</x:v>
      </x:c>
      <x:c r="N41" s="14" t="n">
        <x:v>173000</x:v>
      </x:c>
      <x:c r="O41" s="14" t="n">
        <x:v>20</x:v>
      </x:c>
      <x:c r="P41" s="10" t="str">
        <x:v>В пределах лимита; полнота не гарантирована</x:v>
      </x:c>
      <x:c r="Q41" s="10" t="str">
        <x:v>Актуальность финансовых утверждений требует повторной проверки</x:v>
      </x:c>
      <x:c r="R41" s="10" t="str">
        <x:v>כאן 11 - תאגיד השידור הישראלי</x:v>
      </x:c>
      <x:c r="S41" s="11" t="str">
        <x:v>https://www.youtube.com/playlist?list=PLLttfoK87AdX4CRge4LcU9seRqCCztT4v</x:v>
      </x:c>
      <x:c r="T41" s="16" t="n">
        <x:v>46308</x:v>
      </x:c>
    </x:row>
    <x:row r="42" ht="60" customHeight="1">
      <x:c r="A42" s="9" t="str">
        <x:v>C036</x:v>
      </x:c>
      <x:c r="B42" s="10" t="str">
        <x:v>עושים לביתנו | ההחלטות הכלכליות שעיצבו את החברה הישראלית</x:v>
      </x:c>
      <x:c r="C42" s="10" t="str">
        <x:v>Экономическая история</x:v>
      </x:c>
      <x:c r="D42" s="10" t="str">
        <x:v>История; экономика; общество</x:v>
      </x:c>
      <x:c r="E42" s="9" t="str">
        <x:v>История</x:v>
      </x:c>
      <x:c r="F42" s="10" t="str">
        <x:v>B2–C1 (гипотеза)</x:v>
      </x:c>
      <x:c r="G42" s="10" t="str">
        <x:v>История экономических решений объясняет различия в образе жизни и институтах страны.</x:v>
      </x:c>
      <x:c r="H42" s="10" t="str">
        <x:v>Построить цепочку решение–последствия; отделить факт от авторской оценки.</x:v>
      </x:c>
      <x:c r="I42" s="10" t="str">
        <x:v>Решения, сформировавшие экономику</x:v>
      </x:c>
      <x:c r="J42" s="10" t="str">
        <x:v>Расширение</x:v>
      </x:c>
      <x:c r="K42" s="14" t="n">
        <x:v>5</x:v>
      </x:c>
      <x:c r="L42" s="14" t="n">
        <x:v>5</x:v>
      </x:c>
      <x:c r="M42" s="14" t="n">
        <x:v>0</x:v>
      </x:c>
      <x:c r="N42" s="14" t="n">
        <x:v>90000</x:v>
      </x:c>
      <x:c r="O42" s="14" t="n">
        <x:v>12</x:v>
      </x:c>
      <x:c r="P42" s="10" t="str">
        <x:v>В пределах лимита; полнота не гарантирована</x:v>
      </x:c>
      <x:c r="Q42" s="10" t="str">
        <x:v>Проверить содержание</x:v>
      </x:c>
      <x:c r="R42" s="10" t="str">
        <x:v>כאן 11 - תאגיד השידור הישראלי</x:v>
      </x:c>
      <x:c r="S42" s="11" t="str">
        <x:v>https://www.youtube.com/playlist?list=PLLttfoK87AdUVPQKrsDuGRVL6DyCuP7eF</x:v>
      </x:c>
      <x:c r="T42" s="16" t="n">
        <x:v>46308</x:v>
      </x:c>
    </x:row>
    <x:row r="43" ht="60" customHeight="1">
      <x:c r="A43" s="9" t="str">
        <x:v>C037</x:v>
      </x:c>
      <x:c r="B43" s="10" t="str">
        <x:v>המרדף עונה 9 | פרקים מלאים</x:v>
      </x:c>
      <x:c r="C43" s="10" t="str">
        <x:v>Знания и викторины</x:v>
      </x:c>
      <x:c r="D43" s="10" t="str">
        <x:v>Эрудиция; семейный просмотр; короткие задания</x:v>
      </x:c>
      <x:c r="E43" s="9" t="str">
        <x:v>Образование</x:v>
      </x:c>
      <x:c r="F43" s="10" t="str">
        <x:v>B1–B2 (гипотеза)</x:v>
      </x:c>
      <x:c r="G43" s="10" t="str">
        <x:v>Викторина предлагает естественный формат проверки понимания и обсуждения ответа.</x:v>
      </x:c>
      <x:c r="H43" s="10" t="str">
        <x:v>Выбрать блок вопросов; ответить до участника и объяснить выбор.</x:v>
      </x:c>
      <x:c r="I43" s="10" t="str">
        <x:v>Иврит через вопросы и общую эрудицию</x:v>
      </x:c>
      <x:c r="J43" s="10" t="str">
        <x:v>Расширение</x:v>
      </x:c>
      <x:c r="K43" s="14" t="n">
        <x:v>25</x:v>
      </x:c>
      <x:c r="L43" s="14" t="n">
        <x:v>24</x:v>
      </x:c>
      <x:c r="M43" s="14" t="n">
        <x:v>0</x:v>
      </x:c>
      <x:c r="N43" s="14" t="n">
        <x:v>39500</x:v>
      </x:c>
      <x:c r="O43" s="14" t="n">
        <x:v>25</x:v>
      </x:c>
      <x:c r="P43" s="10" t="str">
        <x:v>Лимит достигнут; это выборка</x:v>
      </x:c>
      <x:c r="Q43" s="10" t="str">
        <x:v>Быстрый темп; некоторые вопросы требуют местных знаний</x:v>
      </x:c>
      <x:c r="R43" s="10" t="str">
        <x:v>כאן 11 - תאגיד השידור הישראלי</x:v>
      </x:c>
      <x:c r="S43" s="11" t="str">
        <x:v>https://www.youtube.com/playlist?list=PLLttfoK87AdWYVR5m8cz2bodWIP-vYOaZ</x:v>
      </x:c>
      <x:c r="T43" s="16" t="n">
        <x:v>46308</x:v>
      </x:c>
    </x:row>
    <x:row r="44" ht="60" customHeight="1">
      <x:c r="A44" s="9" t="str">
        <x:v>C038</x:v>
      </x:c>
      <x:c r="B44" s="10" t="str">
        <x:v>טיול אחרי צבא - סובב ישראל | כל הפרקים</x:v>
      </x:c>
      <x:c r="C44" s="10" t="str">
        <x:v>География и путешествия</x:v>
      </x:c>
      <x:c r="D44" s="10" t="str">
        <x:v>Путешествия; Израиль; лёгкий просмотр</x:v>
      </x:c>
      <x:c r="E44" s="9" t="str">
        <x:v>Быт</x:v>
      </x:c>
      <x:c r="F44" s="10" t="str">
        <x:v>B1–B2 (гипотеза)</x:v>
      </x:c>
      <x:c r="G44" s="10" t="str">
        <x:v>Маршрут по стране помогает связывать язык с местами и планами путешествия. Визуальные подсказки облегчают понимание.</x:v>
      </x:c>
      <x:c r="H44" s="10" t="str">
        <x:v>Описать маршрут и дать рекомендацию другу.</x:v>
      </x:c>
      <x:c r="I44" s="10" t="str">
        <x:v>Страна глазами путешественников</x:v>
      </x:c>
      <x:c r="J44" s="10" t="str">
        <x:v>Расширение</x:v>
      </x:c>
      <x:c r="K44" s="14" t="n">
        <x:v>8</x:v>
      </x:c>
      <x:c r="L44" s="14" t="n">
        <x:v>8</x:v>
      </x:c>
      <x:c r="M44" s="14" t="n">
        <x:v>0</x:v>
      </x:c>
      <x:c r="N44" s="14" t="n">
        <x:v>56500</x:v>
      </x:c>
      <x:c r="O44" s="14" t="n">
        <x:v>15</x:v>
      </x:c>
      <x:c r="P44" s="10" t="str">
        <x:v>В пределах лимита; полнота не гарантирована</x:v>
      </x:c>
      <x:c r="Q44" s="10" t="str">
        <x:v>Проверить содержание</x:v>
      </x:c>
      <x:c r="R44" s="10" t="str">
        <x:v>כאן 11 - תאגיד השידור הישראלי</x:v>
      </x:c>
      <x:c r="S44" s="11" t="str">
        <x:v>https://www.youtube.com/playlist?list=PLLttfoK87AdVKpcGez7bBwY_0bQHTxqNo</x:v>
      </x:c>
      <x:c r="T44" s="16" t="n">
        <x:v>46308</x:v>
      </x:c>
    </x:row>
    <x:row r="45" ht="60" customHeight="1">
      <x:c r="A45" s="9" t="str">
        <x:v>C039</x:v>
      </x:c>
      <x:c r="B45" s="10" t="str">
        <x:v>ליגה ג' עונה 1 | כל הפרקים 🔥⚽</x:v>
      </x:c>
      <x:c r="C45" s="10" t="str">
        <x:v>Спорт и периферия</x:v>
      </x:c>
      <x:c r="D45" s="10" t="str">
        <x:v>Спорт; общество; разговорный иврит</x:v>
      </x:c>
      <x:c r="E45" s="9" t="str">
        <x:v>Быт</x:v>
      </x:c>
      <x:c r="F45" s="10" t="str">
        <x:v>B2–C1 (гипотеза)</x:v>
      </x:c>
      <x:c r="G45" s="10" t="str">
        <x:v>Любительский футбол показывает местные сообщества вне привычного образа Тель-Авива.</x:v>
      </x:c>
      <x:c r="H45" s="10" t="str">
        <x:v>Пересказать матч и разговор команды; собрать эмоциональные реплики.</x:v>
      </x:c>
      <x:c r="I45" s="10" t="str">
        <x:v>Израиль через местный футбол</x:v>
      </x:c>
      <x:c r="J45" s="10" t="str">
        <x:v>Расширение</x:v>
      </x:c>
      <x:c r="K45" s="14" t="n">
        <x:v>7</x:v>
      </x:c>
      <x:c r="L45" s="14" t="n">
        <x:v>7</x:v>
      </x:c>
      <x:c r="M45" s="14" t="n">
        <x:v>0</x:v>
      </x:c>
      <x:c r="N45" s="14" t="n">
        <x:v>221000</x:v>
      </x:c>
      <x:c r="O45" s="14" t="n">
        <x:v>15</x:v>
      </x:c>
      <x:c r="P45" s="10" t="str">
        <x:v>В пределах лимита; полнота не гарантирована</x:v>
      </x:c>
      <x:c r="Q45" s="10" t="str">
        <x:v>Грубая речь, конфликты</x:v>
      </x:c>
      <x:c r="R45" s="10" t="str">
        <x:v>כאן 11 - תאגיד השידור הישראלי</x:v>
      </x:c>
      <x:c r="S45" s="11" t="str">
        <x:v>https://www.youtube.com/playlist?list=PLLttfoK87AdXVFkRFILwjsVSkLw542jld</x:v>
      </x:c>
      <x:c r="T45" s="16" t="n">
        <x:v>46308</x:v>
      </x:c>
    </x:row>
    <x:row r="46" ht="60" customHeight="1">
      <x:c r="A46" s="9" t="str">
        <x:v>C040</x:v>
      </x:c>
      <x:c r="B46" s="10" t="str">
        <x:v>זמן אמת 🔎 | עונה 9</x:v>
      </x:c>
      <x:c r="C46" s="10" t="str">
        <x:v>Журналистика и общество</x:v>
      </x:c>
      <x:c r="D46" s="10" t="str">
        <x:v>Документалистика; расследования; продвинутые</x:v>
      </x:c>
      <x:c r="E46" s="9" t="str">
        <x:v>Общество</x:v>
      </x:c>
      <x:c r="F46" s="10" t="str">
        <x:v>B2–C1 (гипотеза)</x:v>
      </x:c>
      <x:c r="G46" s="10" t="str">
        <x:v>Расследования привлекают любителей документального жанра и дают материал для критического чтения медиа.</x:v>
      </x:c>
      <x:c r="H46" s="10" t="str">
        <x:v>Разделить утверждение, источник, ответ стороны и вывод автора.</x:v>
      </x:c>
      <x:c r="I46" s="10" t="str">
        <x:v>Редакторский разбор одного расследования</x:v>
      </x:c>
      <x:c r="J46" s="10" t="str">
        <x:v>Расширение</x:v>
      </x:c>
      <x:c r="K46" s="14" t="n">
        <x:v>12</x:v>
      </x:c>
      <x:c r="L46" s="14" t="n">
        <x:v>11</x:v>
      </x:c>
      <x:c r="M46" s="14" t="n">
        <x:v>0</x:v>
      </x:c>
      <x:c r="N46" s="14" t="n">
        <x:v>110000</x:v>
      </x:c>
      <x:c r="O46" s="14" t="n">
        <x:v>25</x:v>
      </x:c>
      <x:c r="P46" s="10" t="str">
        <x:v>В пределах лимита; полнота не гарантирована</x:v>
      </x:c>
      <x:c r="Q46" s="10" t="str">
        <x:v>Обвинения и чувствительные темы; проверять обновления и право ответа</x:v>
      </x:c>
      <x:c r="R46" s="10" t="str">
        <x:v>כאן 11 - תאגיד השידור הישראלי</x:v>
      </x:c>
      <x:c r="S46" s="11" t="str">
        <x:v>https://www.youtube.com/playlist?list=PLLttfoK87AdXkzXkA2plDEOAN-1UCXGIV</x:v>
      </x:c>
      <x:c r="T46" s="16" t="n">
        <x:v>46308</x:v>
      </x:c>
    </x:row>
    <x:row r="47" ht="60" customHeight="1">
      <x:c r="A47" s="9" t="str">
        <x:v>C041</x:v>
      </x:c>
      <x:c r="B47" s="10" t="str">
        <x:v>כפר עזה - 95% גן עדן | פרקים מלאים</x:v>
      </x:c>
      <x:c r="C47" s="10" t="str">
        <x:v>7 октября и память</x:v>
      </x:c>
      <x:c r="D47" s="10" t="str">
        <x:v>Память; история; взрослые</x:v>
      </x:c>
      <x:c r="E47" s="9" t="str">
        <x:v>Память</x:v>
      </x:c>
      <x:c r="F47" s="10" t="str">
        <x:v>B2–C1 (гипотеза)</x:v>
      </x:c>
      <x:c r="G47" s="10" t="str">
        <x:v>История конкретного сообщества сохраняет человеческий масштаб трагедии.</x:v>
      </x:c>
      <x:c r="H47" s="10" t="str">
        <x:v>Короткий добровольный фрагмент: хронология и бережный пересказ без проверки памяти на травматических деталях.</x:v>
      </x:c>
      <x:c r="I47" s="10" t="str">
        <x:v>Кфар-Аза как сообщество до и после трагедии</x:v>
      </x:c>
      <x:c r="J47" s="10" t="str">
        <x:v>Расширение</x:v>
      </x:c>
      <x:c r="K47" s="14" t="n">
        <x:v>3</x:v>
      </x:c>
      <x:c r="L47" s="14" t="n">
        <x:v>3</x:v>
      </x:c>
      <x:c r="M47" s="14" t="n">
        <x:v>1</x:v>
      </x:c>
      <x:c r="N47" s="14"/>
      <x:c r="O47" s="14" t="n">
        <x:v>10</x:v>
      </x:c>
      <x:c r="P47" s="10" t="str">
        <x:v>В пределах лимита; полнота не гарантирована</x:v>
      </x:c>
      <x:c r="Q47" s="10" t="str">
        <x:v>Тяжёлая травма, гибель людей; предупреждение и добровольный выбор</x:v>
      </x:c>
      <x:c r="R47" s="10" t="str">
        <x:v>כאן 11 - תאגיד השידור הישראלי</x:v>
      </x:c>
      <x:c r="S47" s="11" t="str">
        <x:v>https://www.youtube.com/playlist?list=PLLttfoK87AdU097JIwS6F47lOusOzOzKw</x:v>
      </x:c>
      <x:c r="T47" s="16" t="n">
        <x:v>46308</x:v>
      </x:c>
    </x:row>
    <x:row r="48" ht="60" customHeight="1">
      <x:c r="A48" s="9" t="str">
        <x:v>C042</x:v>
      </x:c>
      <x:c r="B48" s="10" t="str">
        <x:v>חוץ. יום. שבת - סרטי דוקו של יוצרים צעירים מהעוטף על ה-7.10</x:v>
      </x:c>
      <x:c r="C48" s="10" t="str">
        <x:v>7 октября и память</x:v>
      </x:c>
      <x:c r="D48" s="10" t="str">
        <x:v>Память; документалистика; взрослые</x:v>
      </x:c>
      <x:c r="E48" s="9" t="str">
        <x:v>Память</x:v>
      </x:c>
      <x:c r="F48" s="10" t="str">
        <x:v>B2–C1 (гипотеза)</x:v>
      </x:c>
      <x:c r="G48" s="10" t="str">
        <x:v>Взгляд молодых авторов добавляет личную перспективу к журналистским реконструкциям.</x:v>
      </x:c>
      <x:c r="H48" s="10" t="str">
        <x:v>Обсудить точку зрения автора и способы выразить переживание.</x:v>
      </x:c>
      <x:c r="I48" s="10" t="str">
        <x:v>Личный документальный взгляд на 7 октября</x:v>
      </x:c>
      <x:c r="J48" s="10" t="str">
        <x:v>Расширение</x:v>
      </x:c>
      <x:c r="K48" s="14" t="n">
        <x:v>6</x:v>
      </x:c>
      <x:c r="L48" s="14" t="n">
        <x:v>6</x:v>
      </x:c>
      <x:c r="M48" s="14" t="n">
        <x:v>0</x:v>
      </x:c>
      <x:c r="N48" s="14" t="n">
        <x:v>4200</x:v>
      </x:c>
      <x:c r="O48" s="14" t="n">
        <x:v>15</x:v>
      </x:c>
      <x:c r="P48" s="10" t="str">
        <x:v>В пределах лимита; полнота не гарантирована</x:v>
      </x:c>
      <x:c r="Q48" s="10" t="str">
        <x:v>Тяжёлый контент; предварительный просмотр целиком</x:v>
      </x:c>
      <x:c r="R48" s="10" t="str">
        <x:v>כאן 11 - תאגיד השידור הישראלי</x:v>
      </x:c>
      <x:c r="S48" s="11" t="str">
        <x:v>https://www.youtube.com/playlist?list=PLLttfoK87AdXKOL7whkogOliwWIsfFuZk</x:v>
      </x:c>
      <x:c r="T48" s="16" t="n">
        <x:v>46308</x:v>
      </x:c>
    </x:row>
    <x:row r="49" ht="60" customHeight="1">
      <x:c r="A49" s="9" t="str">
        <x:v>C043</x:v>
      </x:c>
      <x:c r="B49" s="10" t="str">
        <x:v>דוקותיים 🎥 | בבימויו של איתי אשר</x:v>
      </x:c>
      <x:c r="C49" s="10" t="str">
        <x:v>Люди и повседневность</x:v>
      </x:c>
      <x:c r="D49" s="10" t="str">
        <x:v>Репатрианты; общество; занятые взрослые</x:v>
      </x:c>
      <x:c r="E49" s="9" t="str">
        <x:v>Быт</x:v>
      </x:c>
      <x:c r="F49" s="10" t="str">
        <x:v>B1–B2 (гипотеза)</x:v>
      </x:c>
      <x:c r="G49" s="10" t="str">
        <x:v>Короткая история реального человека подходит для ежедневной привычки. Разные профессии и места расширяют взгляд на страну.</x:v>
      </x:c>
      <x:c r="H49" s="10" t="str">
        <x:v>Прослушать 2–5 минут, выписать 6 фраз и пересказать историю в 3 предложениях.</x:v>
      </x:c>
      <x:c r="I49" s="10" t="str">
        <x:v>Один человек и его повседневный Израиль</x:v>
      </x:c>
      <x:c r="J49" s="10" t="str">
        <x:v>Первый пилот</x:v>
      </x:c>
      <x:c r="K49" s="14" t="n">
        <x:v>100</x:v>
      </x:c>
      <x:c r="L49" s="14" t="n">
        <x:v>98</x:v>
      </x:c>
      <x:c r="M49" s="14" t="n">
        <x:v>0</x:v>
      </x:c>
      <x:c r="N49" s="14" t="n">
        <x:v>32500</x:v>
      </x:c>
      <x:c r="O49" s="14" t="n">
        <x:v>100</x:v>
      </x:c>
      <x:c r="P49" s="10" t="str">
        <x:v>Лимит достигнут; это выборка</x:v>
      </x:c>
      <x:c r="Q49" s="10" t="str">
        <x:v>Проверить содержание</x:v>
      </x:c>
      <x:c r="R49" s="10" t="str">
        <x:v>כאן | דיגיטל - תאגיד השידור הישראלי</x:v>
      </x:c>
      <x:c r="S49" s="11" t="str">
        <x:v>https://www.youtube.com/playlist?list=PLXv9BeKApRvwx9zh3LqZl-UexiIKULA-7</x:v>
      </x:c>
      <x:c r="T49" s="16" t="n">
        <x:v>46308</x:v>
      </x:c>
    </x:row>
    <x:row r="50" ht="60" customHeight="1">
      <x:c r="A50" s="9" t="str">
        <x:v>C044</x:v>
      </x:c>
      <x:c r="B50" s="10" t="str">
        <x:v>כאן סקרנים 🔍🔦</x:v>
      </x:c>
      <x:c r="C50" s="10" t="str">
        <x:v>Вопросы о мире</x:v>
      </x:c>
      <x:c r="D50" s="10" t="str">
        <x:v>Любознательные; изучающие язык; короткий просмотр</x:v>
      </x:c>
      <x:c r="E50" s="9" t="str">
        <x:v>Образование</x:v>
      </x:c>
      <x:c r="F50" s="10" t="str">
        <x:v>B1–B2 (гипотеза)</x:v>
      </x:c>
      <x:c r="G50" s="10" t="str">
        <x:v>Один понятный вопрос даёт завершённый короткий выпуск и повод поделиться им.</x:v>
      </x:c>
      <x:c r="H50" s="10" t="str">
        <x:v>Предсказать ответ по заголовку и объяснить его своими словами.</x:v>
      </x:c>
      <x:c r="I50" s="10" t="str">
        <x:v>Ответ на вопрос, который хочется обсудить</x:v>
      </x:c>
      <x:c r="J50" s="10" t="str">
        <x:v>Первый пилот</x:v>
      </x:c>
      <x:c r="K50" s="14" t="n">
        <x:v>55</x:v>
      </x:c>
      <x:c r="L50" s="14" t="n">
        <x:v>52</x:v>
      </x:c>
      <x:c r="M50" s="14" t="n">
        <x:v>0</x:v>
      </x:c>
      <x:c r="N50" s="14" t="n">
        <x:v>83500</x:v>
      </x:c>
      <x:c r="O50" s="14" t="n">
        <x:v>55</x:v>
      </x:c>
      <x:c r="P50" s="10" t="str">
        <x:v>Лимит достигнут; это выборка</x:v>
      </x:c>
      <x:c r="Q50" s="10" t="str">
        <x:v>Проверить содержание</x:v>
      </x:c>
      <x:c r="R50" s="10" t="str">
        <x:v>כאן | דיגיטל - תאגיד השידור הישראלי</x:v>
      </x:c>
      <x:c r="S50" s="11" t="str">
        <x:v>https://www.youtube.com/playlist?list=PLXv9BeKApRvy8VBmTJnrOC_NbkxD7uwJk</x:v>
      </x:c>
      <x:c r="T50" s="16" t="n">
        <x:v>46308</x:v>
      </x:c>
    </x:row>
    <x:row r="51" ht="60" customHeight="1">
      <x:c r="A51" s="9" t="str">
        <x:v>C045</x:v>
      </x:c>
      <x:c r="B51" s="10" t="str">
        <x:v>כאן מסבירים</x:v>
      </x:c>
      <x:c r="C51" s="10" t="str">
        <x:v>Общество простыми словами</x:v>
      </x:c>
      <x:c r="D51" s="10" t="str">
        <x:v>Репатрианты; общество; короткий просмотр</x:v>
      </x:c>
      <x:c r="E51" s="9" t="str">
        <x:v>Образование</x:v>
      </x:c>
      <x:c r="F51" s="10" t="str">
        <x:v>B1–B2 (гипотеза)</x:v>
      </x:c>
      <x:c r="G51" s="10" t="str">
        <x:v>Объясняющий формат снижает порог входа в незнакомые институты и общественные темы.</x:v>
      </x:c>
      <x:c r="H51" s="10" t="str">
        <x:v>Выписать связки объяснения; дать определение термину.</x:v>
      </x:c>
      <x:c r="I51" s="10" t="str">
        <x:v>Понятный вход в сложную тему</x:v>
      </x:c>
      <x:c r="J51" s="10" t="str">
        <x:v>Первый пилот</x:v>
      </x:c>
      <x:c r="K51" s="14" t="n">
        <x:v>55</x:v>
      </x:c>
      <x:c r="L51" s="14" t="n">
        <x:v>54</x:v>
      </x:c>
      <x:c r="M51" s="14" t="n">
        <x:v>0</x:v>
      </x:c>
      <x:c r="N51" s="14" t="n">
        <x:v>59000</x:v>
      </x:c>
      <x:c r="O51" s="14" t="n">
        <x:v>55</x:v>
      </x:c>
      <x:c r="P51" s="10" t="str">
        <x:v>Лимит достигнут; это выборка</x:v>
      </x:c>
      <x:c r="Q51" s="10" t="str">
        <x:v>Повторно проверять даты законов, чисел и новостей</x:v>
      </x:c>
      <x:c r="R51" s="10" t="str">
        <x:v>כאן | דיגיטל - תאגיד השידור הישראלי</x:v>
      </x:c>
      <x:c r="S51" s="11" t="str">
        <x:v>https://www.youtube.com/playlist?list=PLXv9BeKApRvxC7CHMrdA9knii4lmYhJzS</x:v>
      </x:c>
      <x:c r="T51" s="16" t="n">
        <x:v>46308</x:v>
      </x:c>
    </x:row>
    <x:row r="52" ht="60" customHeight="1">
      <x:c r="A52" s="9" t="str">
        <x:v>C046</x:v>
      </x:c>
      <x:c r="B52" s="10" t="str">
        <x:v>כאן מקשיבים 👂</x:v>
      </x:c>
      <x:c r="C52" s="10" t="str">
        <x:v>Личные истории</x:v>
      </x:c>
      <x:c r="D52" s="10" t="str">
        <x:v>Общество; психология; эмпатия</x:v>
      </x:c>
      <x:c r="E52" s="9" t="str">
        <x:v>Общество</x:v>
      </x:c>
      <x:c r="F52" s="10" t="str">
        <x:v>B1–B2 (гипотеза)</x:v>
      </x:c>
      <x:c r="G52" s="10" t="str">
        <x:v>Личный монолог позволяет сосредоточиться на одном голосе и эмоциональной лексике.</x:v>
      </x:c>
      <x:c r="H52" s="10" t="str">
        <x:v>Выделить прошлое время и фразы чувств; пересказать с сохранением позиции рассказчика.</x:v>
      </x:c>
      <x:c r="I52" s="10" t="str">
        <x:v>Личная история от первого лица</x:v>
      </x:c>
      <x:c r="J52" s="10" t="str">
        <x:v>Расширение</x:v>
      </x:c>
      <x:c r="K52" s="14" t="n">
        <x:v>50</x:v>
      </x:c>
      <x:c r="L52" s="14" t="n">
        <x:v>50</x:v>
      </x:c>
      <x:c r="M52" s="14" t="n">
        <x:v>0</x:v>
      </x:c>
      <x:c r="N52" s="14" t="n">
        <x:v>46000</x:v>
      </x:c>
      <x:c r="O52" s="14" t="n">
        <x:v>50</x:v>
      </x:c>
      <x:c r="P52" s="10" t="str">
        <x:v>Лимит достигнут; это выборка</x:v>
      </x:c>
      <x:c r="Q52" s="10" t="str">
        <x:v>Травма, утрата и здоровье возможны; проверить выпуск</x:v>
      </x:c>
      <x:c r="R52" s="10" t="str">
        <x:v>כאן | דיגיטל - תאגיד השידור הישראלי</x:v>
      </x:c>
      <x:c r="S52" s="11" t="str">
        <x:v>https://www.youtube.com/playlist?list=PLXv9BeKApRvwwoU0XglgsitrJW7JfOYpX</x:v>
      </x:c>
      <x:c r="T52" s="16" t="n">
        <x:v>46308</x:v>
      </x:c>
    </x:row>
    <x:row r="53" ht="60" customHeight="1">
      <x:c r="A53" s="9" t="str">
        <x:v>C047</x:v>
      </x:c>
      <x:c r="B53" s="10" t="str">
        <x:v>בצד הדרך</x:v>
      </x:c>
      <x:c r="C53" s="10" t="str">
        <x:v>География и город</x:v>
      </x:c>
      <x:c r="D53" s="10" t="str">
        <x:v>Город; путешествия; репатрианты</x:v>
      </x:c>
      <x:c r="E53" s="9" t="str">
        <x:v>Быт</x:v>
      </x:c>
      <x:c r="F53" s="10" t="str">
        <x:v>B1–B2 (гипотеза)</x:v>
      </x:c>
      <x:c r="G53" s="10" t="str">
        <x:v>Короткие истории мест помогают освоить страну через реальные маршруты и городскую среду.</x:v>
      </x:c>
      <x:c r="H53" s="10" t="str">
        <x:v>Дать устную инструкцию, как добраться; описать место.</x:v>
      </x:c>
      <x:c r="I53" s="10" t="str">
        <x:v>Что скрывается за знакомым местом</x:v>
      </x:c>
      <x:c r="J53" s="10" t="str">
        <x:v>Первый пилот</x:v>
      </x:c>
      <x:c r="K53" s="14" t="n">
        <x:v>7</x:v>
      </x:c>
      <x:c r="L53" s="14" t="n">
        <x:v>7</x:v>
      </x:c>
      <x:c r="M53" s="14" t="n">
        <x:v>0</x:v>
      </x:c>
      <x:c r="N53" s="14" t="n">
        <x:v>119000</x:v>
      </x:c>
      <x:c r="O53" s="14" t="n">
        <x:v>30</x:v>
      </x:c>
      <x:c r="P53" s="10" t="str">
        <x:v>В пределах лимита; полнота не гарантирована</x:v>
      </x:c>
      <x:c r="Q53" s="10" t="str">
        <x:v>Проверить содержание</x:v>
      </x:c>
      <x:c r="R53" s="10" t="str">
        <x:v>כאן | דיגיטל - תאגיד השידור הישראלי</x:v>
      </x:c>
      <x:c r="S53" s="11" t="str">
        <x:v>https://www.youtube.com/playlist?list=PLXv9BeKApRvwpYz2zsSdzBKsODDzSWTmc</x:v>
      </x:c>
      <x:c r="T53" s="16" t="n">
        <x:v>46308</x:v>
      </x:c>
    </x:row>
    <x:row r="54" ht="60" customHeight="1">
      <x:c r="A54" s="9" t="str">
        <x:v>C048</x:v>
      </x:c>
      <x:c r="B54" s="10" t="str">
        <x:v>זום אין | יום בחייו של בעל מקצוע ישראלי</x:v>
      </x:c>
      <x:c r="C54" s="10" t="str">
        <x:v>Профессии и работа</x:v>
      </x:c>
      <x:c r="D54" s="10" t="str">
        <x:v>Карьера; репатрианты; общество</x:v>
      </x:c>
      <x:c r="E54" s="9" t="str">
        <x:v>Быт</x:v>
      </x:c>
      <x:c r="F54" s="10" t="str">
        <x:v>B1–B2 (гипотеза)</x:v>
      </x:c>
      <x:c r="G54" s="10" t="str">
        <x:v>День в жизни специалиста связывает язык с конкретными действиями и рабочей средой.</x:v>
      </x:c>
      <x:c r="H54" s="10" t="str">
        <x:v>Составить рассказ о рабочем дне и 8 профессиональных глаголов.</x:v>
      </x:c>
      <x:c r="I54" s="10" t="str">
        <x:v>Одна профессия изнутри</x:v>
      </x:c>
      <x:c r="J54" s="10" t="str">
        <x:v>Расширение</x:v>
      </x:c>
      <x:c r="K54" s="14" t="n">
        <x:v>25</x:v>
      </x:c>
      <x:c r="L54" s="14" t="n">
        <x:v>25</x:v>
      </x:c>
      <x:c r="M54" s="14" t="n">
        <x:v>0</x:v>
      </x:c>
      <x:c r="N54" s="14" t="n">
        <x:v>322000</x:v>
      </x:c>
      <x:c r="O54" s="14" t="n">
        <x:v>25</x:v>
      </x:c>
      <x:c r="P54" s="10" t="str">
        <x:v>Лимит достигнут; это выборка</x:v>
      </x:c>
      <x:c r="Q54" s="10" t="str">
        <x:v>Проверить содержание</x:v>
      </x:c>
      <x:c r="R54" s="10" t="str">
        <x:v>כאן | דיגיטל - תאגיד השידור הישראלי</x:v>
      </x:c>
      <x:c r="S54" s="11" t="str">
        <x:v>https://www.youtube.com/playlist?list=PLXv9BeKApRvyYqYs4hCwY29qbl-_BqSBc</x:v>
      </x:c>
      <x:c r="T54" s="16" t="n">
        <x:v>46308</x:v>
      </x:c>
    </x:row>
    <x:row r="55" ht="60" customHeight="1">
      <x:c r="A55" s="9" t="str">
        <x:v>C049</x:v>
      </x:c>
      <x:c r="B55" s="10" t="str">
        <x:v>כאן | חיות כיס 💰</x:v>
      </x:c>
      <x:c r="C55" s="10" t="str">
        <x:v>Деньги и повседневность</x:v>
      </x:c>
      <x:c r="D55" s="10" t="str">
        <x:v>Экономика; репатрианты; взрослые</x:v>
      </x:c>
      <x:c r="E55" s="9" t="str">
        <x:v>Образование</x:v>
      </x:c>
      <x:c r="F55" s="10" t="str">
        <x:v>B1–B2 (гипотеза)</x:v>
      </x:c>
      <x:c r="G55" s="10" t="str">
        <x:v>Экономика через бытовой вопрос полезна зрителю с практической мотивацией.</x:v>
      </x:c>
      <x:c r="H55" s="10" t="str">
        <x:v>Пересказать пример и объяснение; проверить цифры перед публикацией.</x:v>
      </x:c>
      <x:c r="I55" s="10" t="str">
        <x:v>Как деньги влияют на обычную жизнь</x:v>
      </x:c>
      <x:c r="J55" s="10" t="str">
        <x:v>Первый пилот</x:v>
      </x:c>
      <x:c r="K55" s="14" t="n">
        <x:v>34</x:v>
      </x:c>
      <x:c r="L55" s="14" t="n">
        <x:v>34</x:v>
      </x:c>
      <x:c r="M55" s="14" t="n">
        <x:v>0</x:v>
      </x:c>
      <x:c r="N55" s="14" t="n">
        <x:v>35500</x:v>
      </x:c>
      <x:c r="O55" s="14" t="n">
        <x:v>35</x:v>
      </x:c>
      <x:c r="P55" s="10" t="str">
        <x:v>В пределах лимита; полнота не гарантирована</x:v>
      </x:c>
      <x:c r="Q55" s="10" t="str">
        <x:v>Не выдавать архивный выпуск за актуальную финансовую рекомендацию</x:v>
      </x:c>
      <x:c r="R55" s="10" t="str">
        <x:v>כאן | דיגיטל - תאגיד השידור הישראלי</x:v>
      </x:c>
      <x:c r="S55" s="11" t="str">
        <x:v>https://www.youtube.com/playlist?list=PLXv9BeKApRvzbGTKMtatvGWnycWCP3Bf5</x:v>
      </x:c>
      <x:c r="T55" s="16" t="n">
        <x:v>46308</x:v>
      </x:c>
    </x:row>
    <x:row r="56" ht="60" customHeight="1">
      <x:c r="A56" s="9" t="str">
        <x:v>C050</x:v>
      </x:c>
      <x:c r="B56" s="10" t="str">
        <x:v>כאן | הכל סביבה 🌎</x:v>
      </x:c>
      <x:c r="C56" s="10" t="str">
        <x:v>Экология и природа</x:v>
      </x:c>
      <x:c r="D56" s="10" t="str">
        <x:v>Экология; семья; любознательные</x:v>
      </x:c>
      <x:c r="E56" s="9" t="str">
        <x:v>Образование</x:v>
      </x:c>
      <x:c r="F56" s="10" t="str">
        <x:v>B1–B2 (гипотеза)</x:v>
      </x:c>
      <x:c r="G56" s="10" t="str">
        <x:v>Экология вводит темы за пределами истории и политики и даёт визуально понятные объяснения.</x:v>
      </x:c>
      <x:c r="H56" s="10" t="str">
        <x:v>Связки причины и последствия; предложить действие и объяснить его.</x:v>
      </x:c>
      <x:c r="I56" s="10" t="str">
        <x:v>Израиль и окружающая среда</x:v>
      </x:c>
      <x:c r="J56" s="10" t="str">
        <x:v>Расширение</x:v>
      </x:c>
      <x:c r="K56" s="14" t="n">
        <x:v>6</x:v>
      </x:c>
      <x:c r="L56" s="14" t="n">
        <x:v>6</x:v>
      </x:c>
      <x:c r="M56" s="14" t="n">
        <x:v>0</x:v>
      </x:c>
      <x:c r="N56" s="14" t="n">
        <x:v>64000</x:v>
      </x:c>
      <x:c r="O56" s="14" t="n">
        <x:v>25</x:v>
      </x:c>
      <x:c r="P56" s="10" t="str">
        <x:v>В пределах лимита; полнота не гарантирована</x:v>
      </x:c>
      <x:c r="Q56" s="10" t="str">
        <x:v>Проверить содержание</x:v>
      </x:c>
      <x:c r="R56" s="10" t="str">
        <x:v>כאן | דיגיטל - תאגיד השידור הישראלי</x:v>
      </x:c>
      <x:c r="S56" s="11" t="str">
        <x:v>https://www.youtube.com/playlist?list=PLXv9BeKApRvx7iocYLt_Y4O8CVAfM1LlI</x:v>
      </x:c>
      <x:c r="T56" s="16" t="n">
        <x:v>46308</x:v>
      </x:c>
    </x:row>
    <x:row r="57" ht="60" customHeight="1">
      <x:c r="A57" s="9" t="str">
        <x:v>C051</x:v>
      </x:c>
      <x:c r="B57" s="10" t="str">
        <x:v>דוקותיים טק 🖲️ | בבימויו של איתי אשר</x:v>
      </x:c>
      <x:c r="C57" s="10" t="str">
        <x:v>Технологии и люди</x:v>
      </x:c>
      <x:c r="D57" s="10" t="str">
        <x:v>Технологии; карьера; общество</x:v>
      </x:c>
      <x:c r="E57" s="9" t="str">
        <x:v>Быт</x:v>
      </x:c>
      <x:c r="F57" s="10" t="str">
        <x:v>B1–B2 (гипотеза)</x:v>
      </x:c>
      <x:c r="G57" s="10" t="str">
        <x:v>Человеческая история в технологической среде соединяет профессиональный интерес и короткий формат.</x:v>
      </x:c>
      <x:c r="H57" s="10" t="str">
        <x:v>Объяснить профессию человеку вне отрасли.</x:v>
      </x:c>
      <x:c r="I57" s="10" t="str">
        <x:v>Люди за технологиями</x:v>
      </x:c>
      <x:c r="J57" s="10" t="str">
        <x:v>Расширение</x:v>
      </x:c>
      <x:c r="K57" s="14" t="n">
        <x:v>5</x:v>
      </x:c>
      <x:c r="L57" s="14" t="n">
        <x:v>5</x:v>
      </x:c>
      <x:c r="M57" s="14" t="n">
        <x:v>0</x:v>
      </x:c>
      <x:c r="N57" s="14" t="n">
        <x:v>51000</x:v>
      </x:c>
      <x:c r="O57" s="14" t="n">
        <x:v>20</x:v>
      </x:c>
      <x:c r="P57" s="10" t="str">
        <x:v>В пределах лимита; полнота не гарантирована</x:v>
      </x:c>
      <x:c r="Q57" s="10" t="str">
        <x:v>Проверить содержание</x:v>
      </x:c>
      <x:c r="R57" s="10" t="str">
        <x:v>כאן | דיגיטל - תאגיד השידור הישראלי</x:v>
      </x:c>
      <x:c r="S57" s="11" t="str">
        <x:v>https://www.youtube.com/playlist?list=PLXv9BeKApRvyja2oEAjEB3GzBIJjyvQIj</x:v>
      </x:c>
      <x:c r="T57" s="16" t="n">
        <x:v>46308</x:v>
      </x:c>
    </x:row>
    <x:row r="58" ht="60" customHeight="1">
      <x:c r="A58" s="9" t="str">
        <x:v>C052</x:v>
      </x:c>
      <x:c r="B58" s="10" t="str">
        <x:v>כאן 7.10.360 | סיפורים מהמוזיאון</x:v>
      </x:c>
      <x:c r="C58" s="10" t="str">
        <x:v>7 октября и память</x:v>
      </x:c>
      <x:c r="D58" s="10" t="str">
        <x:v>История; память; взрослые</x:v>
      </x:c>
      <x:c r="E58" s="9" t="str">
        <x:v>Память</x:v>
      </x:c>
      <x:c r="F58" s="10" t="str">
        <x:v>B2–C1 (гипотеза)</x:v>
      </x:c>
      <x:c r="G58" s="10" t="str">
        <x:v>Короткие истории музейного проекта дополняют длинные фильмы и позволяют выбирать посильный объём.</x:v>
      </x:c>
      <x:c r="H58" s="10" t="str">
        <x:v>Уточнить место, время и источник рассказа; добровольный пересказ.</x:v>
      </x:c>
      <x:c r="I58" s="10" t="str">
        <x:v>Память через конкретную историю</x:v>
      </x:c>
      <x:c r="J58" s="10" t="str">
        <x:v>Расширение</x:v>
      </x:c>
      <x:c r="K58" s="14" t="n">
        <x:v>6</x:v>
      </x:c>
      <x:c r="L58" s="14" t="n">
        <x:v>4</x:v>
      </x:c>
      <x:c r="M58" s="14" t="n">
        <x:v>0</x:v>
      </x:c>
      <x:c r="N58" s="14"/>
      <x:c r="O58" s="14" t="n">
        <x:v>15</x:v>
      </x:c>
      <x:c r="P58" s="10" t="str">
        <x:v>В пределах лимита; полнота не гарантирована</x:v>
      </x:c>
      <x:c r="Q58" s="10" t="str">
        <x:v>Тяжёлый контент; не ставить в общий autoplay</x:v>
      </x:c>
      <x:c r="R58" s="10" t="str">
        <x:v>כאן | דיגיטל - תאגיד השידור הישראלי</x:v>
      </x:c>
      <x:c r="S58" s="11" t="str">
        <x:v>https://www.youtube.com/playlist?list=PLXv9BeKApRvyZVWRfKZqLjt28kWum6MI-</x:v>
      </x:c>
      <x:c r="T58" s="16" t="n">
        <x:v>46308</x:v>
      </x:c>
    </x:row>
    <x:row r="59" ht="60" customHeight="1">
      <x:c r="A59" s="9" t="str">
        <x:v>C053</x:v>
      </x:c>
      <x:c r="B59" s="10" t="str">
        <x:v>כראמל 🐱</x:v>
      </x:c>
      <x:c r="C59" s="10" t="str">
        <x:v>Семейные сериалы</x:v>
      </x:c>
      <x:c r="D59" s="10" t="str">
        <x:v>Семьи; начинающие с опорой; молодёжь</x:v>
      </x:c>
      <x:c r="E59" s="9" t="str">
        <x:v>Сериал</x:v>
      </x:c>
      <x:c r="F59" s="10" t="str">
        <x:v>A2–B1 (гипотеза)</x:v>
      </x:c>
      <x:c r="G59" s="10" t="str">
        <x:v>Знакомые типы героев и видимые действия поддерживают понимание. Семейный сюжет привлекает отдельный сегмент аудитории.</x:v>
      </x:c>
      <x:c r="H59" s="10" t="str">
        <x:v>Выбрать сцену 1–3 минуты; описать действие и предсказать продолжение.</x:v>
      </x:c>
      <x:c r="I59" s="10" t="str">
        <x:v>Приключение для семейного просмотра</x:v>
      </x:c>
      <x:c r="J59" s="10" t="str">
        <x:v>Первый пилот</x:v>
      </x:c>
      <x:c r="K59" s="14" t="n">
        <x:v>45</x:v>
      </x:c>
      <x:c r="L59" s="14" t="n">
        <x:v>37</x:v>
      </x:c>
      <x:c r="M59" s="14" t="n">
        <x:v>0</x:v>
      </x:c>
      <x:c r="N59" s="14" t="n">
        <x:v>4150000</x:v>
      </x:c>
      <x:c r="O59" s="14" t="n">
        <x:v>45</x:v>
      </x:c>
      <x:c r="P59" s="10" t="str">
        <x:v>Лимит достигнут; это выборка</x:v>
      </x:c>
      <x:c r="Q59" s="10" t="str">
        <x:v>Уровень предварительный; детский сериал не обязательно прост</x:v>
      </x:c>
      <x:c r="R59" s="10" t="str">
        <x:v>כאן חינוכית</x:v>
      </x:c>
      <x:c r="S59" s="11" t="str">
        <x:v>https://www.youtube.com/playlist?list=PL51YAgTlfPj63XlDuL-6gm5d53G9a1eg-</x:v>
      </x:c>
      <x:c r="T59" s="16" t="n">
        <x:v>46308</x:v>
      </x:c>
    </x:row>
    <x:row r="60" ht="60" customHeight="1">
      <x:c r="A60" s="9" t="str">
        <x:v>C054</x:v>
      </x:c>
      <x:c r="B60" s="10" t="str">
        <x:v>שקשוקה</x:v>
      </x:c>
      <x:c r="C60" s="10" t="str">
        <x:v>Семейные сериалы</x:v>
      </x:c>
      <x:c r="D60" s="10" t="str">
        <x:v>Родители; школа; начинающие с опорой</x:v>
      </x:c>
      <x:c r="E60" s="9" t="str">
        <x:v>Сериал</x:v>
      </x:c>
      <x:c r="F60" s="10" t="str">
        <x:v>A2–B1 (гипотеза)</x:v>
      </x:c>
      <x:c r="G60" s="10" t="str">
        <x:v>Школьные и семейные ситуации полезны семьям репатриантов. Повторяющаяся лексика поддерживает постепенное освоение.</x:v>
      </x:c>
      <x:c r="H60" s="10" t="str">
        <x:v>Назвать проблему героя и предложить решение короткими фразами.</x:v>
      </x:c>
      <x:c r="I60" s="10" t="str">
        <x:v>Школа и отношения детей</x:v>
      </x:c>
      <x:c r="J60" s="10" t="str">
        <x:v>Расширение</x:v>
      </x:c>
      <x:c r="K60" s="14" t="n">
        <x:v>40</x:v>
      </x:c>
      <x:c r="L60" s="14" t="n">
        <x:v>36</x:v>
      </x:c>
      <x:c r="M60" s="14" t="n">
        <x:v>0</x:v>
      </x:c>
      <x:c r="N60" s="14" t="n">
        <x:v>3550000</x:v>
      </x:c>
      <x:c r="O60" s="14" t="n">
        <x:v>40</x:v>
      </x:c>
      <x:c r="P60" s="10" t="str">
        <x:v>Лимит достигнут; это выборка</x:v>
      </x:c>
      <x:c r="Q60" s="10" t="str">
        <x:v>Проверить темы и возрастную уместность</x:v>
      </x:c>
      <x:c r="R60" s="10" t="str">
        <x:v>כאן חינוכית</x:v>
      </x:c>
      <x:c r="S60" s="11" t="str">
        <x:v>https://www.youtube.com/playlist?list=PL51YAgTlfPj7TEDHrgqF6bz4wmNJ6BmNU</x:v>
      </x:c>
      <x:c r="T60" s="16" t="n">
        <x:v>46308</x:v>
      </x:c>
    </x:row>
    <x:row r="61" ht="60" customHeight="1">
      <x:c r="A61" s="9" t="str">
        <x:v>C055</x:v>
      </x:c>
      <x:c r="B61" s="10" t="str">
        <x:v>ילדי בית העץ | עונה 3</x:v>
      </x:c>
      <x:c r="C61" s="10" t="str">
        <x:v>Семейные сериалы</x:v>
      </x:c>
      <x:c r="D61" s="10" t="str">
        <x:v>Семьи; подростки; разговорный язык</x:v>
      </x:c>
      <x:c r="E61" s="9" t="str">
        <x:v>Сериал</x:v>
      </x:c>
      <x:c r="F61" s="10" t="str">
        <x:v>A2–B1 (гипотеза)</x:v>
      </x:c>
      <x:c r="G61" s="10" t="str">
        <x:v>Детская группа и общие приключения дают тему дружбы и взаимодействия.</x:v>
      </x:c>
      <x:c r="H61" s="10" t="str">
        <x:v>Диалог о просьбе и совместном решении; 6 полезных фраз.</x:v>
      </x:c>
      <x:c r="I61" s="10" t="str">
        <x:v>Дружба и детское сообщество</x:v>
      </x:c>
      <x:c r="J61" s="10" t="str">
        <x:v>Расширение</x:v>
      </x:c>
      <x:c r="K61" s="14" t="n">
        <x:v>35</x:v>
      </x:c>
      <x:c r="L61" s="14" t="n">
        <x:v>23</x:v>
      </x:c>
      <x:c r="M61" s="14" t="n">
        <x:v>0</x:v>
      </x:c>
      <x:c r="N61" s="14" t="n">
        <x:v>1600000</x:v>
      </x:c>
      <x:c r="O61" s="14" t="n">
        <x:v>35</x:v>
      </x:c>
      <x:c r="P61" s="10" t="str">
        <x:v>Лимит достигнут; это выборка</x:v>
      </x:c>
      <x:c r="Q61" s="10" t="str">
        <x:v>Проверить содержание</x:v>
      </x:c>
      <x:c r="R61" s="10" t="str">
        <x:v>כאן חינוכית</x:v>
      </x:c>
      <x:c r="S61" s="11" t="str">
        <x:v>https://www.youtube.com/playlist?list=PL51YAgTlfPj6CM4uDxhNdRewtz9TD_oL1</x:v>
      </x:c>
      <x:c r="T61" s="16" t="n">
        <x:v>46308</x:v>
      </x:c>
    </x:row>
    <x:row r="62" ht="60" customHeight="1">
      <x:c r="A62" s="9" t="str">
        <x:v>C056</x:v>
      </x:c>
      <x:c r="B62" s="10" t="str">
        <x:v>גלילאו עונה 9 | פרקים מלאים</x:v>
      </x:c>
      <x:c r="C62" s="10" t="str">
        <x:v>Наука и мир</x:v>
      </x:c>
      <x:c r="D62" s="10" t="str">
        <x:v>Любознательные; семьи; образовательное медиа</x:v>
      </x:c>
      <x:c r="E62" s="9" t="str">
        <x:v>Образование</x:v>
      </x:c>
      <x:c r="F62" s="10" t="str">
        <x:v>B1–B2 (гипотеза)</x:v>
      </x:c>
      <x:c r="G62" s="10" t="str">
        <x:v>Ведущий и визуальные демонстрации помогают понимать новые слова. Формат подходит любителям научно-популярного видео.</x:v>
      </x:c>
      <x:c r="H62" s="10" t="str">
        <x:v>Выбрать одну рубрику; объяснить явление и задать вопрос.</x:v>
      </x:c>
      <x:c r="I62" s="10" t="str">
        <x:v>Научное удивление на иврите</x:v>
      </x:c>
      <x:c r="J62" s="10" t="str">
        <x:v>Первый пилот</x:v>
      </x:c>
      <x:c r="K62" s="14" t="n">
        <x:v>35</x:v>
      </x:c>
      <x:c r="L62" s="14" t="n">
        <x:v>35</x:v>
      </x:c>
      <x:c r="M62" s="14" t="n">
        <x:v>0</x:v>
      </x:c>
      <x:c r="N62" s="14" t="n">
        <x:v>28000</x:v>
      </x:c>
      <x:c r="O62" s="14" t="n">
        <x:v>35</x:v>
      </x:c>
      <x:c r="P62" s="10" t="str">
        <x:v>Лимит достигнут; это выборка</x:v>
      </x:c>
      <x:c r="Q62" s="10" t="str">
        <x:v>Проверять актуальность научных утверждений</x:v>
      </x:c>
      <x:c r="R62" s="10" t="str">
        <x:v>כאן חינוכית</x:v>
      </x:c>
      <x:c r="S62" s="11" t="str">
        <x:v>https://www.youtube.com/playlist?list=PL51YAgTlfPj57_dWdUXGLkf2pmCnYzYoF</x:v>
      </x:c>
      <x:c r="T62" s="16" t="n">
        <x:v>46308</x:v>
      </x:c>
    </x:row>
    <x:row r="63" ht="60" customHeight="1">
      <x:c r="A63" s="9" t="str">
        <x:v>C057</x:v>
      </x:c>
      <x:c r="B63" s="10" t="str">
        <x:v>סליחה על השאלה ילדים | עונה 3</x:v>
      </x:c>
      <x:c r="C63" s="10" t="str">
        <x:v>Детский взгляд на общество</x:v>
      </x:c>
      <x:c r="D63" s="10" t="str">
        <x:v>Семьи; родители; общество</x:v>
      </x:c>
      <x:c r="E63" s="9" t="str">
        <x:v>Общество</x:v>
      </x:c>
      <x:c r="F63" s="10" t="str">
        <x:v>B1–B2 (гипотеза)</x:v>
      </x:c>
      <x:c r="G63" s="10" t="str">
        <x:v>Ответы детей дают отдельную перспективу на социальные темы и школьную жизнь.</x:v>
      </x:c>
      <x:c r="H63" s="10" t="str">
        <x:v>Сравнить формулировки двух ответов и взрослого вопроса.</x:v>
      </x:c>
      <x:c r="I63" s="10" t="str">
        <x:v>Как дети описывают свой опыт</x:v>
      </x:c>
      <x:c r="J63" s="10" t="str">
        <x:v>Расширение</x:v>
      </x:c>
      <x:c r="K63" s="14" t="n">
        <x:v>16</x:v>
      </x:c>
      <x:c r="L63" s="14" t="n">
        <x:v>8</x:v>
      </x:c>
      <x:c r="M63" s="14" t="n">
        <x:v>0</x:v>
      </x:c>
      <x:c r="N63" s="14" t="n">
        <x:v>220500</x:v>
      </x:c>
      <x:c r="O63" s="14" t="n">
        <x:v>20</x:v>
      </x:c>
      <x:c r="P63" s="10" t="str">
        <x:v>В пределах лимита; полнота не гарантирована</x:v>
      </x:c>
      <x:c r="Q63" s="10" t="str">
        <x:v>Согласие, чувствительные темы; проверить возрастной контекст</x:v>
      </x:c>
      <x:c r="R63" s="10" t="str">
        <x:v>כאן חינוכית</x:v>
      </x:c>
      <x:c r="S63" s="11" t="str">
        <x:v>https://www.youtube.com/playlist?list=PL51YAgTlfPj7ouousp9Mt9FArDoacsPTW</x:v>
      </x:c>
      <x:c r="T63" s="16" t="n">
        <x:v>46308</x:v>
      </x:c>
    </x:row>
    <x:row r="64" ht="60" customHeight="1">
      <x:c r="A64" s="9" t="str">
        <x:v>C058</x:v>
      </x:c>
      <x:c r="B64" s="10" t="str">
        <x:v>פרפר נחמד 🦋</x:v>
      </x:c>
      <x:c r="C64" s="10" t="str">
        <x:v>Первый иврит с семьёй</x:v>
      </x:c>
      <x:c r="D64" s="10" t="str">
        <x:v>Начинающие; родители дошкольников</x:v>
      </x:c>
      <x:c r="E64" s="9" t="str">
        <x:v>Образование</x:v>
      </x:c>
      <x:c r="F64" s="10" t="str">
        <x:v>A1–A2 (гипотеза)</x:v>
      </x:c>
      <x:c r="G64" s="10" t="str">
        <x:v>Повторы, песенки и визуальные действия подходят для семейного входа в язык. Взрослым предлагать как отдельную опцию.</x:v>
      </x:c>
      <x:c r="H64" s="10" t="str">
        <x:v>Короткая сценка: назвать предметы и повторить 3 простые конструкции.</x:v>
      </x:c>
      <x:c r="I64" s="10" t="str">
        <x:v>Иврит с опорой на действие и повтор</x:v>
      </x:c>
      <x:c r="J64" s="10" t="str">
        <x:v>Расширение</x:v>
      </x:c>
      <x:c r="K64" s="14" t="n">
        <x:v>25</x:v>
      </x:c>
      <x:c r="L64" s="14" t="n">
        <x:v>25</x:v>
      </x:c>
      <x:c r="M64" s="14" t="n">
        <x:v>0</x:v>
      </x:c>
      <x:c r="N64" s="14" t="n">
        <x:v>195000</x:v>
      </x:c>
      <x:c r="O64" s="14" t="n">
        <x:v>25</x:v>
      </x:c>
      <x:c r="P64" s="10" t="str">
        <x:v>Лимит достигнут; это выборка</x:v>
      </x:c>
      <x:c r="Q64" s="10" t="str">
        <x:v>Дошкольный формат; не навязывать взрослым</x:v>
      </x:c>
      <x:c r="R64" s="10" t="str">
        <x:v>כאן חינוכית</x:v>
      </x:c>
      <x:c r="S64" s="11" t="str">
        <x:v>https://www.youtube.com/playlist?list=PL51YAgTlfPj4qBlNfQYcVAT2tHJZQUQpx</x:v>
      </x:c>
      <x:c r="T64" s="16" t="n">
        <x:v>46308</x:v>
      </x:c>
    </x:row>
    <x:row r="65" ht="60" customHeight="1">
      <x:c r="A65" s="9" t="str">
        <x:v>C059</x:v>
      </x:c>
      <x:c r="B65" s="10" t="str">
        <x:v>טוב ששאלת</x:v>
      </x:c>
      <x:c r="C65" s="10" t="str">
        <x:v>Научные вопросы</x:v>
      </x:c>
      <x:c r="D65" s="10" t="str">
        <x:v>Наука; семья; любознательные</x:v>
      </x:c>
      <x:c r="E65" s="9" t="str">
        <x:v>Образование</x:v>
      </x:c>
      <x:c r="F65" s="10" t="str">
        <x:v>B1–B2 (гипотеза)</x:v>
      </x:c>
      <x:c r="G65" s="10" t="str">
        <x:v>Научный ответ на конкретный вопрос даёт завершённый материал на короткую сессию.</x:v>
      </x:c>
      <x:c r="H65" s="10" t="str">
        <x:v>Сформулировать вопрос и ответ с причинной связкой.</x:v>
      </x:c>
      <x:c r="I65" s="10" t="str">
        <x:v>Научный иврит через понятный пример</x:v>
      </x:c>
      <x:c r="J65" s="10" t="str">
        <x:v>Первый пилот</x:v>
      </x:c>
      <x:c r="K65" s="14" t="n">
        <x:v>15</x:v>
      </x:c>
      <x:c r="L65" s="14" t="n">
        <x:v>15</x:v>
      </x:c>
      <x:c r="M65" s="14" t="n">
        <x:v>0</x:v>
      </x:c>
      <x:c r="N65" s="14" t="n">
        <x:v>3500</x:v>
      </x:c>
      <x:c r="O65" s="14" t="n">
        <x:v>30</x:v>
      </x:c>
      <x:c r="P65" s="10" t="str">
        <x:v>В пределах лимита; полнота не гарантирована</x:v>
      </x:c>
      <x:c r="Q65" s="10" t="str">
        <x:v>Проверить основной язык речи; каталог содержит и переводные материалы</x:v>
      </x:c>
      <x:c r="R65" s="10" t="str">
        <x:v>מכון דוידסון - סרטוני מדע</x:v>
      </x:c>
      <x:c r="S65" s="11" t="str">
        <x:v>https://www.youtube.com/playlist?list=PL0ZkulyfP8bfa4aR3GM4RoL8jpg0sjxlI</x:v>
      </x:c>
      <x:c r="T65" s="16" t="n">
        <x:v>46308</x:v>
      </x:c>
    </x:row>
    <x:row r="66" ht="60" customHeight="1">
      <x:c r="A66" s="9" t="str">
        <x:v>C060</x:v>
      </x:c>
      <x:c r="B66" s="10" t="str">
        <x:v>בטח לא ידעתם</x:v>
      </x:c>
      <x:c r="C66" s="10" t="str">
        <x:v>Научные открытия</x:v>
      </x:c>
      <x:c r="D66" s="10" t="str">
        <x:v>Наука; семья; любознательные</x:v>
      </x:c>
      <x:c r="E66" s="9" t="str">
        <x:v>Образование</x:v>
      </x:c>
      <x:c r="F66" s="10" t="str">
        <x:v>B1–B2 (гипотеза)</x:v>
      </x:c>
      <x:c r="G66" s="10" t="str">
        <x:v>Неожиданный научный факт поддерживает любопытство и интерес к короткому просмотру.</x:v>
      </x:c>
      <x:c r="H66" s="10" t="str">
        <x:v>Отделить наблюдение от объяснения и пересказать своими словами.</x:v>
      </x:c>
      <x:c r="I66" s="10" t="str">
        <x:v>Научный иврит через понятный пример</x:v>
      </x:c>
      <x:c r="J66" s="10" t="str">
        <x:v>Расширение</x:v>
      </x:c>
      <x:c r="K66" s="14" t="n">
        <x:v>30</x:v>
      </x:c>
      <x:c r="L66" s="14" t="n">
        <x:v>23</x:v>
      </x:c>
      <x:c r="M66" s="14" t="n">
        <x:v>0</x:v>
      </x:c>
      <x:c r="N66" s="14" t="n">
        <x:v>17000</x:v>
      </x:c>
      <x:c r="O66" s="14" t="n">
        <x:v>30</x:v>
      </x:c>
      <x:c r="P66" s="10" t="str">
        <x:v>Лимит достигнут; это выборка</x:v>
      </x:c>
      <x:c r="Q66" s="10" t="str">
        <x:v>Проверить основной язык речи; каталог содержит и переводные материалы</x:v>
      </x:c>
      <x:c r="R66" s="10" t="str">
        <x:v>מכון דוידסון - סרטוני מדע</x:v>
      </x:c>
      <x:c r="S66" s="11" t="str">
        <x:v>https://www.youtube.com/playlist?list=PL0ZkulyfP8bfMU_1JJax5dvr2qxkYt1WH</x:v>
      </x:c>
      <x:c r="T66" s="16" t="n">
        <x:v>46308</x:v>
      </x:c>
    </x:row>
    <x:row r="67" ht="60" customHeight="1">
      <x:c r="A67" s="9" t="str">
        <x:v>C061</x:v>
      </x:c>
      <x:c r="B67" s="10" t="str">
        <x:v>מדע בבית עם הילדים - אבי ואדם עושים מדע</x:v>
      </x:c>
      <x:c r="C67" s="10" t="str">
        <x:v>Наука с семьёй</x:v>
      </x:c>
      <x:c r="D67" s="10" t="str">
        <x:v>Наука; семья; любознательные</x:v>
      </x:c>
      <x:c r="E67" s="9" t="str">
        <x:v>Образование</x:v>
      </x:c>
      <x:c r="F67" s="10" t="str">
        <x:v>B1–B2 (гипотеза)</x:v>
      </x:c>
      <x:c r="G67" s="10" t="str">
        <x:v>Совместная демонстрация даёт родителям и детям сценарий общения на иврите.</x:v>
      </x:c>
      <x:c r="H67" s="10" t="str">
        <x:v>Описать материалы и порядок действий; соблюдать безопасность эксперимента.</x:v>
      </x:c>
      <x:c r="I67" s="10" t="str">
        <x:v>Научный иврит через понятный пример</x:v>
      </x:c>
      <x:c r="J67" s="10" t="str">
        <x:v>Расширение</x:v>
      </x:c>
      <x:c r="K67" s="14" t="n">
        <x:v>8</x:v>
      </x:c>
      <x:c r="L67" s="14" t="n">
        <x:v>8</x:v>
      </x:c>
      <x:c r="M67" s="14" t="n">
        <x:v>0</x:v>
      </x:c>
      <x:c r="N67" s="14" t="n">
        <x:v>18000</x:v>
      </x:c>
      <x:c r="O67" s="14" t="n">
        <x:v>30</x:v>
      </x:c>
      <x:c r="P67" s="10" t="str">
        <x:v>В пределах лимита; полнота не гарантирована</x:v>
      </x:c>
      <x:c r="Q67" s="10" t="str">
        <x:v>Проверить основной язык речи; каталог содержит и переводные материалы</x:v>
      </x:c>
      <x:c r="R67" s="10" t="str">
        <x:v>מכון דוידסון - סרטוני מדע</x:v>
      </x:c>
      <x:c r="S67" s="11" t="str">
        <x:v>https://www.youtube.com/playlist?list=PL0ZkulyfP8bdbyq4gck8ncVa0-kkZ5opj</x:v>
      </x:c>
      <x:c r="T67" s="16" t="n">
        <x:v>46308</x:v>
      </x:c>
    </x:row>
    <x:row r="68" ht="60" customHeight="1">
      <x:c r="A68" s="9" t="str">
        <x:v>C062</x:v>
      </x:c>
      <x:c r="B68" s="10" t="str">
        <x:v>מדע במטבח</x:v>
      </x:c>
      <x:c r="C68" s="10" t="str">
        <x:v>Наука в быту</x:v>
      </x:c>
      <x:c r="D68" s="10" t="str">
        <x:v>Наука; семья; любознательные</x:v>
      </x:c>
      <x:c r="E68" s="9" t="str">
        <x:v>Образование</x:v>
      </x:c>
      <x:c r="F68" s="10" t="str">
        <x:v>B1–B2 (гипотеза)</x:v>
      </x:c>
      <x:c r="G68" s="10" t="str">
        <x:v>Бытовая ситуация помогает понимать научную лексику через знакомое действие.</x:v>
      </x:c>
      <x:c r="H68" s="10" t="str">
        <x:v>Объяснить, что меняется и почему; выписать глаголы процесса.</x:v>
      </x:c>
      <x:c r="I68" s="10" t="str">
        <x:v>Научный иврит через понятный пример</x:v>
      </x:c>
      <x:c r="J68" s="10" t="str">
        <x:v>Расширение</x:v>
      </x:c>
      <x:c r="K68" s="14" t="n">
        <x:v>30</x:v>
      </x:c>
      <x:c r="L68" s="14" t="n">
        <x:v>30</x:v>
      </x:c>
      <x:c r="M68" s="14" t="n">
        <x:v>0</x:v>
      </x:c>
      <x:c r="N68" s="14" t="n">
        <x:v>9650</x:v>
      </x:c>
      <x:c r="O68" s="14" t="n">
        <x:v>30</x:v>
      </x:c>
      <x:c r="P68" s="10" t="str">
        <x:v>Лимит достигнут; это выборка</x:v>
      </x:c>
      <x:c r="Q68" s="10" t="str">
        <x:v>Проверить основной язык речи; каталог содержит и переводные материалы</x:v>
      </x:c>
      <x:c r="R68" s="10" t="str">
        <x:v>מכון דוידסון - סרטוני מדע</x:v>
      </x:c>
      <x:c r="S68" s="11" t="str">
        <x:v>https://www.youtube.com/playlist?list=PL0ZkulyfP8bfTfa3uRRAFrfMZb62R6QMl</x:v>
      </x:c>
      <x:c r="T68" s="16" t="n">
        <x:v>46308</x:v>
      </x:c>
    </x:row>
    <x:row r="69" ht="60" customHeight="1">
      <x:c r="A69" s="9" t="str">
        <x:v>C063</x:v>
      </x:c>
      <x:c r="B69" s="10" t="str">
        <x:v>סיפורי מדע</x:v>
      </x:c>
      <x:c r="C69" s="10" t="str">
        <x:v>Истории науки</x:v>
      </x:c>
      <x:c r="D69" s="10" t="str">
        <x:v>Наука; семья; любознательные</x:v>
      </x:c>
      <x:c r="E69" s="9" t="str">
        <x:v>Образование</x:v>
      </x:c>
      <x:c r="F69" s="10" t="str">
        <x:v>B1–B2 (гипотеза)</x:v>
      </x:c>
      <x:c r="G69" s="10" t="str">
        <x:v>История открытия соединяет научный интерес и последовательный рассказ.</x:v>
      </x:c>
      <x:c r="H69" s="10" t="str">
        <x:v>Построить временную линию и объяснить открытие неспециалисту.</x:v>
      </x:c>
      <x:c r="I69" s="10" t="str">
        <x:v>Научный иврит через понятный пример</x:v>
      </x:c>
      <x:c r="J69" s="10" t="str">
        <x:v>Расширение</x:v>
      </x:c>
      <x:c r="K69" s="14" t="n">
        <x:v>7</x:v>
      </x:c>
      <x:c r="L69" s="14" t="n">
        <x:v>7</x:v>
      </x:c>
      <x:c r="M69" s="14" t="n">
        <x:v>0</x:v>
      </x:c>
      <x:c r="N69" s="14" t="n">
        <x:v>26000</x:v>
      </x:c>
      <x:c r="O69" s="14" t="n">
        <x:v>30</x:v>
      </x:c>
      <x:c r="P69" s="10" t="str">
        <x:v>В пределах лимита; полнота не гарантирована</x:v>
      </x:c>
      <x:c r="Q69" s="10" t="str">
        <x:v>Проверить основной язык речи; каталог содержит и переводные материалы</x:v>
      </x:c>
      <x:c r="R69" s="10" t="str">
        <x:v>מכון דוידסון - סרטוני מדע</x:v>
      </x:c>
      <x:c r="S69" s="11" t="str">
        <x:v>https://www.youtube.com/playlist?list=PL0ZkulyfP8bfGnjAi92RyV099xNwGBqMf</x:v>
      </x:c>
      <x:c r="T69" s="16" t="n">
        <x:v>46308</x:v>
      </x:c>
    </x:row>
    <x:row r="70" ht="60" customHeight="1">
      <x:c r="A70" s="9" t="str">
        <x:v>C064</x:v>
      </x:c>
      <x:c r="B70" s="10" t="str">
        <x:v>קיימות</x:v>
      </x:c>
      <x:c r="C70" s="10" t="str">
        <x:v>Экология и устойчивость</x:v>
      </x:c>
      <x:c r="D70" s="10" t="str">
        <x:v>Наука; семья; любознательные</x:v>
      </x:c>
      <x:c r="E70" s="9" t="str">
        <x:v>Образование</x:v>
      </x:c>
      <x:c r="F70" s="10" t="str">
        <x:v>B1–B2 (гипотеза)</x:v>
      </x:c>
      <x:c r="G70" s="10" t="str">
        <x:v>Тема среды расширяет предложение для экологически заинтересованной аудитории.</x:v>
      </x:c>
      <x:c r="H70" s="10" t="str">
        <x:v>Назвать проблему, механизм и предлагаемое решение.</x:v>
      </x:c>
      <x:c r="I70" s="10" t="str">
        <x:v>Научный иврит через понятный пример</x:v>
      </x:c>
      <x:c r="J70" s="10" t="str">
        <x:v>Первый пилот</x:v>
      </x:c>
      <x:c r="K70" s="14" t="n">
        <x:v>30</x:v>
      </x:c>
      <x:c r="L70" s="14" t="n">
        <x:v>30</x:v>
      </x:c>
      <x:c r="M70" s="14" t="n">
        <x:v>0</x:v>
      </x:c>
      <x:c r="N70" s="14" t="n">
        <x:v>9950</x:v>
      </x:c>
      <x:c r="O70" s="14" t="n">
        <x:v>30</x:v>
      </x:c>
      <x:c r="P70" s="10" t="str">
        <x:v>Лимит достигнут; это выборка</x:v>
      </x:c>
      <x:c r="Q70" s="10" t="str">
        <x:v>Проверить основной язык речи; каталог содержит и переводные материалы</x:v>
      </x:c>
      <x:c r="R70" s="10" t="str">
        <x:v>מכון דוידסון - סרטוני מדע</x:v>
      </x:c>
      <x:c r="S70" s="11" t="str">
        <x:v>https://www.youtube.com/playlist?list=PL0ZkulyfP8beUDONIWu5t3I2xRbZK9gjn</x:v>
      </x:c>
      <x:c r="T70" s="16" t="n">
        <x:v>46308</x:v>
      </x:c>
    </x:row>
    <x:row r="71" ht="60" customHeight="1">
      <x:c r="A71" s="9" t="str">
        <x:v>C065</x:v>
      </x:c>
      <x:c r="B71" s="10" t="str">
        <x:v>מילים מספרות: תולדות העברית דרך האטימולוגיה</x:v>
      </x:c>
      <x:c r="C71" s="10" t="str">
        <x:v>История иврита</x:v>
      </x:c>
      <x:c r="D71" s="10" t="str">
        <x:v>История; культура; еврейское наследие; продвинутые</x:v>
      </x:c>
      <x:c r="E71" s="9" t="str">
        <x:v>История</x:v>
      </x:c>
      <x:c r="F71" s="10" t="str">
        <x:v>B2–C1 (гипотеза)</x:v>
      </x:c>
      <x:c r="G71" s="10" t="str">
        <x:v>Этимология связывает слово с историей культуры и даёт прямую ценность изучающим язык.</x:v>
      </x:c>
      <x:c r="H71" s="10" t="str">
        <x:v>Разобрать происхождение 3 слов и современный контекст употребления.</x:v>
      </x:c>
      <x:c r="I71" s="10" t="str">
        <x:v>Еврейская культура через конкретный источник</x:v>
      </x:c>
      <x:c r="J71" s="10" t="str">
        <x:v>Расширение</x:v>
      </x:c>
      <x:c r="K71" s="14" t="n">
        <x:v>5</x:v>
      </x:c>
      <x:c r="L71" s="14" t="n">
        <x:v>5</x:v>
      </x:c>
      <x:c r="M71" s="14" t="n">
        <x:v>0</x:v>
      </x:c>
      <x:c r="N71" s="14" t="n">
        <x:v>2400</x:v>
      </x:c>
      <x:c r="O71" s="14" t="n">
        <x:v>15</x:v>
      </x:c>
      <x:c r="P71" s="10" t="str">
        <x:v>В пределах лимита; полнота не гарантирована</x:v>
      </x:c>
      <x:c r="Q71" s="10" t="str">
        <x:v>Лекции могут включать арамейский, ладино и цитаты; основной язык проверить</x:v>
      </x:c>
      <x:c r="R71" s="10" t="str">
        <x:v>בית אבי חי</x:v>
      </x:c>
      <x:c r="S71" s="11" t="str">
        <x:v>https://www.youtube.com/playlist?list=PLv2rnAORLiVCAMlLQVajaegIVmAxAMPn1</x:v>
      </x:c>
      <x:c r="T71" s="16" t="n">
        <x:v>46308</x:v>
      </x:c>
    </x:row>
    <x:row r="72" ht="60" customHeight="1">
      <x:c r="A72" s="9" t="str">
        <x:v>C066</x:v>
      </x:c>
      <x:c r="B72" s="10" t="str">
        <x:v>בחזרה למצרים: יהודי מצרים בימי הבית השני | פרופ׳ נח חכם</x:v>
      </x:c>
      <x:c r="C72" s="10" t="str">
        <x:v>История общин</x:v>
      </x:c>
      <x:c r="D72" s="10" t="str">
        <x:v>История; культура; еврейское наследие; продвинутые</x:v>
      </x:c>
      <x:c r="E72" s="9" t="str">
        <x:v>История</x:v>
      </x:c>
      <x:c r="F72" s="10" t="str">
        <x:v>B2–C1 (гипотеза)</x:v>
      </x:c>
      <x:c r="G72" s="10" t="str">
        <x:v>Египетская еврейская история расширяет каталог за пределы европейского опыта.</x:v>
      </x:c>
      <x:c r="H72" s="10" t="str">
        <x:v>Составить карту мест, эпох и связей общины.</x:v>
      </x:c>
      <x:c r="I72" s="10" t="str">
        <x:v>Еврейская культура через конкретный источник</x:v>
      </x:c>
      <x:c r="J72" s="10" t="str">
        <x:v>Расширение</x:v>
      </x:c>
      <x:c r="K72" s="14" t="n">
        <x:v>5</x:v>
      </x:c>
      <x:c r="L72" s="14" t="n">
        <x:v>5</x:v>
      </x:c>
      <x:c r="M72" s="14" t="n">
        <x:v>0</x:v>
      </x:c>
      <x:c r="N72" s="14" t="n">
        <x:v>1800</x:v>
      </x:c>
      <x:c r="O72" s="14" t="n">
        <x:v>15</x:v>
      </x:c>
      <x:c r="P72" s="10" t="str">
        <x:v>В пределах лимита; полнота не гарантирована</x:v>
      </x:c>
      <x:c r="Q72" s="10" t="str">
        <x:v>Лекции могут включать арамейский, ладино и цитаты; основной язык проверить</x:v>
      </x:c>
      <x:c r="R72" s="10" t="str">
        <x:v>בית אבי חי</x:v>
      </x:c>
      <x:c r="S72" s="11" t="str">
        <x:v>https://www.youtube.com/playlist?list=PLv2rnAORLiVAs6o6twugy8cdZb8uNlrAi</x:v>
      </x:c>
      <x:c r="T72" s="16" t="n">
        <x:v>46308</x:v>
      </x:c>
    </x:row>
    <x:row r="73" ht="60" customHeight="1">
      <x:c r="A73" s="9" t="str">
        <x:v>C067</x:v>
      </x:c>
      <x:c r="B73" s="10" t="str">
        <x:v>דיואן יהודי תימן: טקסט ומסורת שבעל פה</x:v>
      </x:c>
      <x:c r="C73" s="10" t="str">
        <x:v>Культура общин</x:v>
      </x:c>
      <x:c r="D73" s="10" t="str">
        <x:v>История; культура; еврейское наследие; продвинутые</x:v>
      </x:c>
      <x:c r="E73" s="9" t="str">
        <x:v>История</x:v>
      </x:c>
      <x:c r="F73" s="10" t="str">
        <x:v>B2–C1 (гипотеза)</x:v>
      </x:c>
      <x:c r="G73" s="10" t="str">
        <x:v>Йеменская традиция показывает разнообразие еврейской культуры.</x:v>
      </x:c>
      <x:c r="H73" s="10" t="str">
        <x:v>Отделить разговорный иврит лектора от языка первичного текста.</x:v>
      </x:c>
      <x:c r="I73" s="10" t="str">
        <x:v>Еврейская культура через конкретный источник</x:v>
      </x:c>
      <x:c r="J73" s="10" t="str">
        <x:v>Расширение</x:v>
      </x:c>
      <x:c r="K73" s="14" t="n">
        <x:v>5</x:v>
      </x:c>
      <x:c r="L73" s="14" t="n">
        <x:v>5</x:v>
      </x:c>
      <x:c r="M73" s="14" t="n">
        <x:v>0</x:v>
      </x:c>
      <x:c r="N73" s="14" t="n">
        <x:v>870</x:v>
      </x:c>
      <x:c r="O73" s="14" t="n">
        <x:v>15</x:v>
      </x:c>
      <x:c r="P73" s="10" t="str">
        <x:v>В пределах лимита; полнота не гарантирована</x:v>
      </x:c>
      <x:c r="Q73" s="10" t="str">
        <x:v>Лекции могут включать арамейский, ладино и цитаты; основной язык проверить</x:v>
      </x:c>
      <x:c r="R73" s="10" t="str">
        <x:v>בית אבי חי</x:v>
      </x:c>
      <x:c r="S73" s="11" t="str">
        <x:v>https://www.youtube.com/playlist?list=PLv2rnAORLiVAkrsVe-dCgL4SAf5KlRXTI</x:v>
      </x:c>
      <x:c r="T73" s="16" t="n">
        <x:v>46308</x:v>
      </x:c>
    </x:row>
    <x:row r="74" ht="60" customHeight="1">
      <x:c r="A74" s="9" t="str">
        <x:v>C068</x:v>
      </x:c>
      <x:c r="B74" s="10" t="str">
        <x:v>תחנות בספרות הלאדינו - ד"ר אליעזר פאפו</x:v>
      </x:c>
      <x:c r="C74" s="10" t="str">
        <x:v>Культура общин</x:v>
      </x:c>
      <x:c r="D74" s="10" t="str">
        <x:v>История; культура; еврейское наследие; продвинутые</x:v>
      </x:c>
      <x:c r="E74" s="9" t="str">
        <x:v>История</x:v>
      </x:c>
      <x:c r="F74" s="10" t="str">
        <x:v>B2–C1 (гипотеза)</x:v>
      </x:c>
      <x:c r="G74" s="10" t="str">
        <x:v>Ладино вводит сефардскую культурную историю через лекцию на иврите.</x:v>
      </x:c>
      <x:c r="H74" s="10" t="str">
        <x:v>Составить словарь культурных терминов и пересказать на современном иврите.</x:v>
      </x:c>
      <x:c r="I74" s="10" t="str">
        <x:v>Еврейская культура через конкретный источник</x:v>
      </x:c>
      <x:c r="J74" s="10" t="str">
        <x:v>Расширение</x:v>
      </x:c>
      <x:c r="K74" s="14" t="n">
        <x:v>5</x:v>
      </x:c>
      <x:c r="L74" s="14" t="n">
        <x:v>5</x:v>
      </x:c>
      <x:c r="M74" s="14" t="n">
        <x:v>0</x:v>
      </x:c>
      <x:c r="N74" s="14" t="n">
        <x:v>695</x:v>
      </x:c>
      <x:c r="O74" s="14" t="n">
        <x:v>15</x:v>
      </x:c>
      <x:c r="P74" s="10" t="str">
        <x:v>В пределах лимита; полнота не гарантирована</x:v>
      </x:c>
      <x:c r="Q74" s="10" t="str">
        <x:v>Лекции могут включать арамейский, ладино и цитаты; основной язык проверить</x:v>
      </x:c>
      <x:c r="R74" s="10" t="str">
        <x:v>בית אבי חי</x:v>
      </x:c>
      <x:c r="S74" s="11" t="str">
        <x:v>https://www.youtube.com/playlist?list=PLv2rnAORLiVCrzlov-Nq33yzmn31v_n-g</x:v>
      </x:c>
      <x:c r="T74" s="16" t="n">
        <x:v>46308</x:v>
      </x:c>
    </x:row>
    <x:row r="75" ht="60" customHeight="1">
      <x:c r="A75" s="9" t="str">
        <x:v>C069</x:v>
      </x:c>
      <x:c r="B75" s="10" t="str">
        <x:v>חמש קריאות בהגות ציונית - פרופ' ישראל ברטל</x:v>
      </x:c>
      <x:c r="C75" s="10" t="str">
        <x:v>История идей</x:v>
      </x:c>
      <x:c r="D75" s="10" t="str">
        <x:v>История; культура; еврейское наследие; продвинутые</x:v>
      </x:c>
      <x:c r="E75" s="9" t="str">
        <x:v>История</x:v>
      </x:c>
      <x:c r="F75" s="10" t="str">
        <x:v>B2–C1 (гипотеза)</x:v>
      </x:c>
      <x:c r="G75" s="10" t="str">
        <x:v>Серия предлагает академический вход в разные тексты и идеи сионизма.</x:v>
      </x:c>
      <x:c r="H75" s="10" t="str">
        <x:v>Сравнить два аргумента и обозначить автора и эпоху.</x:v>
      </x:c>
      <x:c r="I75" s="10" t="str">
        <x:v>Еврейская культура через конкретный источник</x:v>
      </x:c>
      <x:c r="J75" s="10" t="str">
        <x:v>Расширение</x:v>
      </x:c>
      <x:c r="K75" s="14" t="n">
        <x:v>5</x:v>
      </x:c>
      <x:c r="L75" s="14" t="n">
        <x:v>5</x:v>
      </x:c>
      <x:c r="M75" s="14" t="n">
        <x:v>0</x:v>
      </x:c>
      <x:c r="N75" s="14" t="n">
        <x:v>1000</x:v>
      </x:c>
      <x:c r="O75" s="14" t="n">
        <x:v>15</x:v>
      </x:c>
      <x:c r="P75" s="10" t="str">
        <x:v>В пределах лимита; полнота не гарантирована</x:v>
      </x:c>
      <x:c r="Q75" s="10" t="str">
        <x:v>Лекции могут включать арамейский, ладино и цитаты; основной язык проверить</x:v>
      </x:c>
      <x:c r="R75" s="10" t="str">
        <x:v>בית אבי חי</x:v>
      </x:c>
      <x:c r="S75" s="11" t="str">
        <x:v>https://www.youtube.com/playlist?list=PLv2rnAORLiVBHu1sbHbQah5dkjhKDzpWn</x:v>
      </x:c>
      <x:c r="T75" s="16" t="n">
        <x:v>46308</x:v>
      </x:c>
    </x:row>
    <x:row r="76" ht="60" customHeight="1">
      <x:c r="A76" s="9" t="str">
        <x:v>C070</x:v>
      </x:c>
      <x:c r="B76" s="10" t="str">
        <x:v>כתובות מימי המקרא - פרופ' חגי משגב</x:v>
      </x:c>
      <x:c r="C76" s="10" t="str">
        <x:v>Древняя история</x:v>
      </x:c>
      <x:c r="D76" s="10" t="str">
        <x:v>История; культура; еврейское наследие; продвинутые</x:v>
      </x:c>
      <x:c r="E76" s="9" t="str">
        <x:v>История</x:v>
      </x:c>
      <x:c r="F76" s="10" t="str">
        <x:v>B2–C1 (гипотеза)</x:v>
      </x:c>
      <x:c r="G76" s="10" t="str">
        <x:v>Эпиграфика связывает историю языка с материальными источниками.</x:v>
      </x:c>
      <x:c r="H76" s="10" t="str">
        <x:v>Разделить чтение надписи, реконструкцию и интерпретацию.</x:v>
      </x:c>
      <x:c r="I76" s="10" t="str">
        <x:v>Еврейская культура через конкретный источник</x:v>
      </x:c>
      <x:c r="J76" s="10" t="str">
        <x:v>Первый пилот</x:v>
      </x:c>
      <x:c r="K76" s="14" t="n">
        <x:v>4</x:v>
      </x:c>
      <x:c r="L76" s="14" t="n">
        <x:v>4</x:v>
      </x:c>
      <x:c r="M76" s="14" t="n">
        <x:v>0</x:v>
      </x:c>
      <x:c r="N76" s="14"/>
      <x:c r="O76" s="14" t="n">
        <x:v>15</x:v>
      </x:c>
      <x:c r="P76" s="10" t="str">
        <x:v>В пределах лимита; полнота не гарантирована</x:v>
      </x:c>
      <x:c r="Q76" s="10" t="str">
        <x:v>Лекции могут включать арамейский, ладино и цитаты; основной язык проверить</x:v>
      </x:c>
      <x:c r="R76" s="10" t="str">
        <x:v>בית אבי חי</x:v>
      </x:c>
      <x:c r="S76" s="11" t="str">
        <x:v>https://www.youtube.com/playlist?list=PLv2rnAORLiVA1vCBCi3p0FgxeG4i8EoJ0</x:v>
      </x:c>
      <x:c r="T76" s="16" t="n">
        <x:v>46308</x:v>
      </x:c>
    </x:row>
    <x:row r="77" ht="60" customHeight="1">
      <x:c r="A77" s="9" t="str">
        <x:v>C071</x:v>
      </x:c>
      <x:c r="B77" s="10" t="str">
        <x:v>תלמודו של עגנון: על מקומם של חז"ל ביצירתו של עגנון</x:v>
      </x:c>
      <x:c r="C77" s="10" t="str">
        <x:v>Литература и язык</x:v>
      </x:c>
      <x:c r="D77" s="10" t="str">
        <x:v>История; культура; еврейское наследие; продвинутые</x:v>
      </x:c>
      <x:c r="E77" s="9" t="str">
        <x:v>История</x:v>
      </x:c>
      <x:c r="F77" s="10" t="str">
        <x:v>B2–C1 (гипотеза)</x:v>
      </x:c>
      <x:c r="G77" s="10" t="str">
        <x:v>Агнон связывает классическую литературу и еврейскую текстовую традицию.</x:v>
      </x:c>
      <x:c r="H77" s="10" t="str">
        <x:v>Разобрать один термин и объяснить литературную отсылку.</x:v>
      </x:c>
      <x:c r="I77" s="10" t="str">
        <x:v>Еврейская культура через конкретный источник</x:v>
      </x:c>
      <x:c r="J77" s="10" t="str">
        <x:v>Расширение</x:v>
      </x:c>
      <x:c r="K77" s="14" t="n">
        <x:v>5</x:v>
      </x:c>
      <x:c r="L77" s="14" t="n">
        <x:v>5</x:v>
      </x:c>
      <x:c r="M77" s="14" t="n">
        <x:v>0</x:v>
      </x:c>
      <x:c r="N77" s="14" t="n">
        <x:v>3400</x:v>
      </x:c>
      <x:c r="O77" s="14" t="n">
        <x:v>15</x:v>
      </x:c>
      <x:c r="P77" s="10" t="str">
        <x:v>В пределах лимита; полнота не гарантирована</x:v>
      </x:c>
      <x:c r="Q77" s="10" t="str">
        <x:v>Лекции могут включать арамейский, ладино и цитаты; основной язык проверить</x:v>
      </x:c>
      <x:c r="R77" s="10" t="str">
        <x:v>בית אבי חי</x:v>
      </x:c>
      <x:c r="S77" s="11" t="str">
        <x:v>https://www.youtube.com/playlist?list=PLv2rnAORLiVC-N2yV0vvgHgjCRVt5GQdp</x:v>
      </x:c>
      <x:c r="T77" s="16" t="n">
        <x:v>46308</x:v>
      </x:c>
    </x:row>
    <x:row r="78" ht="60" customHeight="1">
      <x:c r="A78" s="9" t="str">
        <x:v>C072</x:v>
      </x:c>
      <x:c r="B78" s="10" t="str">
        <x:v>ספרות יוצרת ובונה חיים: קריאה במסות של ח"נ ביאליק</x:v>
      </x:c>
      <x:c r="C78" s="10" t="str">
        <x:v>Литература и язык</x:v>
      </x:c>
      <x:c r="D78" s="10" t="str">
        <x:v>История; культура; еврейское наследие; продвинутые</x:v>
      </x:c>
      <x:c r="E78" s="9" t="str">
        <x:v>История</x:v>
      </x:c>
      <x:c r="F78" s="10" t="str">
        <x:v>B2–C1 (гипотеза)</x:v>
      </x:c>
      <x:c r="G78" s="10" t="str">
        <x:v>Бялик даёт устойчивую культурную тему для аудитории книг и истории иврита.</x:v>
      </x:c>
      <x:c r="H78" s="10" t="str">
        <x:v>Короткий фрагмент лекции и аргументированный пересказ.</x:v>
      </x:c>
      <x:c r="I78" s="10" t="str">
        <x:v>Еврейская культура через конкретный источник</x:v>
      </x:c>
      <x:c r="J78" s="10" t="str">
        <x:v>Расширение</x:v>
      </x:c>
      <x:c r="K78" s="14" t="n">
        <x:v>5</x:v>
      </x:c>
      <x:c r="L78" s="14" t="n">
        <x:v>5</x:v>
      </x:c>
      <x:c r="M78" s="14" t="n">
        <x:v>0</x:v>
      </x:c>
      <x:c r="N78" s="14" t="n">
        <x:v>1900</x:v>
      </x:c>
      <x:c r="O78" s="14" t="n">
        <x:v>15</x:v>
      </x:c>
      <x:c r="P78" s="10" t="str">
        <x:v>В пределах лимита; полнота не гарантирована</x:v>
      </x:c>
      <x:c r="Q78" s="10" t="str">
        <x:v>Лекции могут включать арамейский, ладино и цитаты; основной язык проверить</x:v>
      </x:c>
      <x:c r="R78" s="10" t="str">
        <x:v>בית אבי חי</x:v>
      </x:c>
      <x:c r="S78" s="11" t="str">
        <x:v>https://www.youtube.com/playlist?list=PLv2rnAORLiVDvMG419TbLa2GPGo1P_xp8</x:v>
      </x:c>
      <x:c r="T78" s="16" t="n">
        <x:v>46308</x:v>
      </x:c>
    </x:row>
    <x:row r="79" ht="60" customHeight="1">
      <x:c r="A79" s="9" t="str">
        <x:v>C073</x:v>
      </x:c>
      <x:c r="B79" s="10" t="str">
        <x:v>היסטוריה קצרה של חסידות ברסלב</x:v>
      </x:c>
      <x:c r="C79" s="10" t="str">
        <x:v>Религия и история</x:v>
      </x:c>
      <x:c r="D79" s="10" t="str">
        <x:v>История; культура; еврейское наследие; продвинутые</x:v>
      </x:c>
      <x:c r="E79" s="9" t="str">
        <x:v>История</x:v>
      </x:c>
      <x:c r="F79" s="10" t="str">
        <x:v>B2–C1 (гипотеза)</x:v>
      </x:c>
      <x:c r="G79" s="10" t="str">
        <x:v>История движения помогает понять современную религиозную среду без ежедневной политики.</x:v>
      </x:c>
      <x:c r="H79" s="10" t="str">
        <x:v>Составить хронологию движения и карту терминов.</x:v>
      </x:c>
      <x:c r="I79" s="10" t="str">
        <x:v>Еврейская культура через конкретный источник</x:v>
      </x:c>
      <x:c r="J79" s="10" t="str">
        <x:v>Расширение</x:v>
      </x:c>
      <x:c r="K79" s="14" t="n">
        <x:v>5</x:v>
      </x:c>
      <x:c r="L79" s="14" t="n">
        <x:v>5</x:v>
      </x:c>
      <x:c r="M79" s="14" t="n">
        <x:v>0</x:v>
      </x:c>
      <x:c r="N79" s="14" t="n">
        <x:v>2900</x:v>
      </x:c>
      <x:c r="O79" s="14" t="n">
        <x:v>15</x:v>
      </x:c>
      <x:c r="P79" s="10" t="str">
        <x:v>В пределах лимита; полнота не гарантирована</x:v>
      </x:c>
      <x:c r="Q79" s="10" t="str">
        <x:v>Лекции могут включать арамейский, ладино и цитаты; основной язык проверить</x:v>
      </x:c>
      <x:c r="R79" s="10" t="str">
        <x:v>בית אבי חי</x:v>
      </x:c>
      <x:c r="S79" s="11" t="str">
        <x:v>https://www.youtube.com/playlist?list=PLv2rnAORLiVDeZwq2XPrutCsOJ20l2KEk</x:v>
      </x:c>
      <x:c r="T79" s="16" t="n">
        <x:v>46308</x:v>
      </x:c>
    </x:row>
    <x:row r="80" ht="60" customHeight="1">
      <x:c r="A80" s="9" t="str">
        <x:v>C074</x:v>
      </x:c>
      <x:c r="B80" s="10" t="str">
        <x:v>"בארץ לא להם": מחשבות ארכיאולוגיות והיסטוריות על יציאת מצרים</x:v>
      </x:c>
      <x:c r="C80" s="10" t="str">
        <x:v>Древняя история</x:v>
      </x:c>
      <x:c r="D80" s="10" t="str">
        <x:v>История; культура; еврейское наследие; продвинутые</x:v>
      </x:c>
      <x:c r="E80" s="9" t="str">
        <x:v>История</x:v>
      </x:c>
      <x:c r="F80" s="10" t="str">
        <x:v>B2–C1 (гипотеза)</x:v>
      </x:c>
      <x:c r="G80" s="10" t="str">
        <x:v>Археологический и исторический взгляд на исход предлагает содержательный разговор об источниках.</x:v>
      </x:c>
      <x:c r="H80" s="10" t="str">
        <x:v>Различить традицию, свидетельство и исследовательскую гипотезу.</x:v>
      </x:c>
      <x:c r="I80" s="10" t="str">
        <x:v>Еврейская культура через конкретный источник</x:v>
      </x:c>
      <x:c r="J80" s="10" t="str">
        <x:v>Расширение</x:v>
      </x:c>
      <x:c r="K80" s="14" t="n">
        <x:v>5</x:v>
      </x:c>
      <x:c r="L80" s="14" t="n">
        <x:v>5</x:v>
      </x:c>
      <x:c r="M80" s="14" t="n">
        <x:v>0</x:v>
      </x:c>
      <x:c r="N80" s="14" t="n">
        <x:v>2000</x:v>
      </x:c>
      <x:c r="O80" s="14" t="n">
        <x:v>15</x:v>
      </x:c>
      <x:c r="P80" s="10" t="str">
        <x:v>В пределах лимита; полнота не гарантирована</x:v>
      </x:c>
      <x:c r="Q80" s="10" t="str">
        <x:v>Лекции могут включать арамейский, ладино и цитаты; основной язык проверить</x:v>
      </x:c>
      <x:c r="R80" s="10" t="str">
        <x:v>בית אבי חי</x:v>
      </x:c>
      <x:c r="S80" s="11" t="str">
        <x:v>https://www.youtube.com/playlist?list=PLv2rnAORLiVBoOup0Lwjbk9EIZnhzQ_VW</x:v>
      </x:c>
      <x:c r="T80" s="16" t="n">
        <x:v>46308</x:v>
      </x:c>
    </x:row>
    <x:row r="81" ht="60" customHeight="1">
      <x:c r="A81" s="9" t="str">
        <x:v>C075</x:v>
      </x:c>
      <x:c r="B81" s="10" t="str">
        <x:v>שיר געגועים: מוזיקה ממחוזות הילדות ועד כאן</x:v>
      </x:c>
      <x:c r="C81" s="10" t="str">
        <x:v>Музыка и память</x:v>
      </x:c>
      <x:c r="D81" s="10" t="str">
        <x:v>История; культура; еврейское наследие; продвинутые</x:v>
      </x:c>
      <x:c r="E81" s="9" t="str">
        <x:v>Культура</x:v>
      </x:c>
      <x:c r="F81" s="10" t="str">
        <x:v>B2–C1 (гипотеза)</x:v>
      </x:c>
      <x:c r="G81" s="10" t="str">
        <x:v>Разговор о музыке и детстве создаёт вход через культурную близость и биографию.</x:v>
      </x:c>
      <x:c r="H81" s="10" t="str">
        <x:v>Выбрать разговорный фрагмент; пересказать память участника.</x:v>
      </x:c>
      <x:c r="I81" s="10" t="str">
        <x:v>Еврейская культура через конкретный источник</x:v>
      </x:c>
      <x:c r="J81" s="10" t="str">
        <x:v>Расширение</x:v>
      </x:c>
      <x:c r="K81" s="14" t="n">
        <x:v>15</x:v>
      </x:c>
      <x:c r="L81" s="14" t="n">
        <x:v>15</x:v>
      </x:c>
      <x:c r="M81" s="14" t="n">
        <x:v>0</x:v>
      </x:c>
      <x:c r="N81" s="14" t="n">
        <x:v>224</x:v>
      </x:c>
      <x:c r="O81" s="14" t="n">
        <x:v>15</x:v>
      </x:c>
      <x:c r="P81" s="10" t="str">
        <x:v>Лимит достигнут; это выборка</x:v>
      </x:c>
      <x:c r="Q81" s="10" t="str">
        <x:v>Лекции могут включать арамейский, ладино и цитаты; основной язык проверить</x:v>
      </x:c>
      <x:c r="R81" s="10" t="str">
        <x:v>בית אבי חי</x:v>
      </x:c>
      <x:c r="S81" s="11" t="str">
        <x:v>https://www.youtube.com/playlist?list=PLv2rnAORLiVAs1Icrlj7A103fsXqAZsd5</x:v>
      </x:c>
      <x:c r="T81" s="16" t="n">
        <x:v>46308</x:v>
      </x:c>
    </x:row>
    <x:row r="82" ht="60" customHeight="1">
      <x:c r="A82" s="9" t="str">
        <x:v>C076</x:v>
      </x:c>
      <x:c r="B82" s="10" t="str">
        <x:v>עושים זיכרון - הסכת (פודקאסט) יד ושם</x:v>
      </x:c>
      <x:c r="C82" s="10" t="str">
        <x:v>Шоа и память</x:v>
      </x:c>
      <x:c r="D82" s="10" t="str">
        <x:v>История; память; взрослые</x:v>
      </x:c>
      <x:c r="E82" s="9" t="str">
        <x:v>Память</x:v>
      </x:c>
      <x:c r="F82" s="10" t="str">
        <x:v>B2–C1 (гипотеза)</x:v>
      </x:c>
      <x:c r="G82" s="10" t="str">
        <x:v>Музейный подкаст соединяет историческую тему и связную речь. Аудиоформат полезен любителям длинного слушания.</x:v>
      </x:c>
      <x:c r="H82" s="10" t="str">
        <x:v>Короткий отрывок: кто говорит, на какой источник опирается, что известно.</x:v>
      </x:c>
      <x:c r="I82" s="10" t="str">
        <x:v>История и сохранение памяти</x:v>
      </x:c>
      <x:c r="J82" s="10" t="str">
        <x:v>Расширение</x:v>
      </x:c>
      <x:c r="K82" s="14" t="n">
        <x:v>1</x:v>
      </x:c>
      <x:c r="L82" s="14" t="n">
        <x:v>1</x:v>
      </x:c>
      <x:c r="M82" s="14" t="n">
        <x:v>0</x:v>
      </x:c>
      <x:c r="N82" s="14"/>
      <x:c r="O82" s="14" t="n">
        <x:v>25</x:v>
      </x:c>
      <x:c r="P82" s="10" t="str">
        <x:v>В пределах лимита; полнота не гарантирована</x:v>
      </x:c>
      <x:c r="Q82" s="10" t="str">
        <x:v>Шоа; тяжёлый контент; это аудио с видеообложкой</x:v>
      </x:c>
      <x:c r="R82" s="10" t="str">
        <x:v>YadVashem יד ושם</x:v>
      </x:c>
      <x:c r="S82" s="11" t="str">
        <x:v>https://www.youtube.com/playlist?list=PLVA6iCeBK_XLs41Wb9AA99aPWOZrIC-ZV</x:v>
      </x:c>
      <x:c r="T82" s="16" t="n">
        <x:v>46308</x:v>
      </x:c>
    </x:row>
    <x:row r="83" ht="60" customHeight="1">
      <x:c r="A83" s="9" t="str">
        <x:v>C077</x:v>
      </x:c>
      <x:c r="B83" s="10" t="str">
        <x:v>"שאלות שרצינו לשאול": ראיונות קצרים עם ניצולי שואה</x:v>
      </x:c>
      <x:c r="C83" s="10" t="str">
        <x:v>Шоа и свидетельства</x:v>
      </x:c>
      <x:c r="D83" s="10" t="str">
        <x:v>История; память; взрослые</x:v>
      </x:c>
      <x:c r="E83" s="9" t="str">
        <x:v>Память</x:v>
      </x:c>
      <x:c r="F83" s="10" t="str">
        <x:v>B1–B2 (гипотеза)</x:v>
      </x:c>
      <x:c r="G83" s="10" t="str">
        <x:v>Короткие интервью позволяют услышать личную речь свидетеля и выбирать посильный объём.</x:v>
      </x:c>
      <x:c r="H83" s="10" t="str">
        <x:v>Контекст свидетеля и бережный пересказ; проверка субтитров особенно важна.</x:v>
      </x:c>
      <x:c r="I83" s="10" t="str">
        <x:v>Вопросы свидетелям от первого лица</x:v>
      </x:c>
      <x:c r="J83" s="10" t="str">
        <x:v>Расширение</x:v>
      </x:c>
      <x:c r="K83" s="14" t="n">
        <x:v>12</x:v>
      </x:c>
      <x:c r="L83" s="14" t="n">
        <x:v>12</x:v>
      </x:c>
      <x:c r="M83" s="14" t="n">
        <x:v>0</x:v>
      </x:c>
      <x:c r="N83" s="14" t="n">
        <x:v>9200</x:v>
      </x:c>
      <x:c r="O83" s="14" t="n">
        <x:v>20</x:v>
      </x:c>
      <x:c r="P83" s="10" t="str">
        <x:v>В пределах лимита; полнота не гарантирована</x:v>
      </x:c>
      <x:c r="Q83" s="10" t="str">
        <x:v>Шоа, утрата; предупреждение и добровольный выбор</x:v>
      </x:c>
      <x:c r="R83" s="10" t="str">
        <x:v>YadVashem יד ושם</x:v>
      </x:c>
      <x:c r="S83" s="11" t="str">
        <x:v>https://www.youtube.com/playlist?list=PLVA6iCeBK_XL87-NERrJ746L6r1MOO7Ib</x:v>
      </x:c>
      <x:c r="T83" s="16" t="n">
        <x:v>46308</x:v>
      </x:c>
    </x:row>
    <x:row r="84" ht="60" customHeight="1">
      <x:c r="A84" s="9" t="str">
        <x:v>C078</x:v>
      </x:c>
      <x:c r="B84" s="10" t="str">
        <x:v>יהודי צפון אפריקה | גורלן של קהילות יהודיות בתקופת השואה</x:v>
      </x:c>
      <x:c r="C84" s="10" t="str">
        <x:v>История общин и Шоа</x:v>
      </x:c>
      <x:c r="D84" s="10" t="str">
        <x:v>История; общины; взрослые</x:v>
      </x:c>
      <x:c r="E84" s="9" t="str">
        <x:v>Память</x:v>
      </x:c>
      <x:c r="F84" s="10" t="str">
        <x:v>B2–C1 (гипотеза)</x:v>
      </x:c>
      <x:c r="G84" s="10" t="str">
        <x:v>Североафриканский опыт расширяет географию исторической памяти.</x:v>
      </x:c>
      <x:c r="H84" s="10" t="str">
        <x:v>Построить карту стран и хронологию; отделить свидетельство и комментарий.</x:v>
      </x:c>
      <x:c r="I84" s="10" t="str">
        <x:v>Шоа и евреи Северной Африки</x:v>
      </x:c>
      <x:c r="J84" s="10" t="str">
        <x:v>Расширение</x:v>
      </x:c>
      <x:c r="K84" s="14" t="n">
        <x:v>10</x:v>
      </x:c>
      <x:c r="L84" s="14" t="n">
        <x:v>10</x:v>
      </x:c>
      <x:c r="M84" s="14" t="n">
        <x:v>0</x:v>
      </x:c>
      <x:c r="N84" s="14" t="n">
        <x:v>1650</x:v>
      </x:c>
      <x:c r="O84" s="14" t="n">
        <x:v>12</x:v>
      </x:c>
      <x:c r="P84" s="10" t="str">
        <x:v>В пределах лимита; полнота не гарантирована</x:v>
      </x:c>
      <x:c r="Q84" s="10" t="str">
        <x:v>Шоа; тяжёлый контент</x:v>
      </x:c>
      <x:c r="R84" s="10" t="str">
        <x:v>YadVashem יד ושם</x:v>
      </x:c>
      <x:c r="S84" s="11" t="str">
        <x:v>https://www.youtube.com/playlist?list=PLVA6iCeBK_XJoNxxDmjtCCtMS5MtB_2dA</x:v>
      </x:c>
      <x:c r="T84" s="16" t="n">
        <x:v>46308</x:v>
      </x:c>
    </x:row>
    <x:row r="85" ht="60" customHeight="1">
      <x:c r="A85" s="9" t="str">
        <x:v>C079</x:v>
      </x:c>
      <x:c r="B85" s="10" t="str">
        <x:v>שנות ה-80</x:v>
      </x:c>
      <x:c r="C85" s="10" t="str">
        <x:v>Семья и культурная память</x:v>
      </x:c>
      <x:c r="D85" s="10" t="str">
        <x:v>Сериалы; мизрахи-культура; ностальгия</x:v>
      </x:c>
      <x:c r="E85" s="9" t="str">
        <x:v>Сериал</x:v>
      </x:c>
      <x:c r="F85" s="10" t="str">
        <x:v>B2–C1 (гипотеза)</x:v>
      </x:c>
      <x:c r="G85" s="10" t="str">
        <x:v>Семейная комедия добавляет ностальгию и культурный контекст мизрахи. Важная альтернатива сериалам Kan.</x:v>
      </x:c>
      <x:c r="H85" s="10" t="str">
        <x:v>Выбрать диалог; объяснить бытовую отсылку и шутку.</x:v>
      </x:c>
      <x:c r="I85" s="10" t="str">
        <x:v>Семейная память и ностальгия</x:v>
      </x:c>
      <x:c r="J85" s="10" t="str">
        <x:v>Расширение</x:v>
      </x:c>
      <x:c r="K85" s="14" t="n">
        <x:v>40</x:v>
      </x:c>
      <x:c r="L85" s="14" t="n">
        <x:v>35</x:v>
      </x:c>
      <x:c r="M85" s="14" t="n">
        <x:v>0</x:v>
      </x:c>
      <x:c r="N85" s="14" t="n">
        <x:v>198000</x:v>
      </x:c>
      <x:c r="O85" s="14" t="n">
        <x:v>40</x:v>
      </x:c>
      <x:c r="P85" s="10" t="str">
        <x:v>Лимит достигнут; это выборка</x:v>
      </x:c>
      <x:c r="Q85" s="10" t="str">
        <x:v>Плейлист может содержать только фрагменты; полный выпуск проверяется отдельно</x:v>
      </x:c>
      <x:c r="R85" s="10" t="str">
        <x:v>רשת 13</x:v>
      </x:c>
      <x:c r="S85" s="11" t="str">
        <x:v>https://www.youtube.com/playlist?list=PL5tTMlIkxhYclnhSKHgM3iDpxmLjyasMp</x:v>
      </x:c>
      <x:c r="T85" s="16" t="n">
        <x:v>46308</x:v>
      </x:c>
    </x:row>
    <x:row r="86" ht="60" customHeight="1">
      <x:c r="A86" s="9" t="str">
        <x:v>C080</x:v>
      </x:c>
      <x:c r="B86" s="10" t="str">
        <x:v>שנות ה-90</x:v>
      </x:c>
      <x:c r="C86" s="10" t="str">
        <x:v>Семья и культурная память</x:v>
      </x:c>
      <x:c r="D86" s="10" t="str">
        <x:v>Сериалы; ностальгия; взрослые</x:v>
      </x:c>
      <x:c r="E86" s="9" t="str">
        <x:v>Сериал</x:v>
      </x:c>
      <x:c r="F86" s="10" t="str">
        <x:v>B2–C1 (гипотеза)</x:v>
      </x:c>
      <x:c r="G86" s="10" t="str">
        <x:v>Продолжает семейную и социальную тему в другой эпохе. Подходит любителям привычных персонажей.</x:v>
      </x:c>
      <x:c r="H86" s="10" t="str">
        <x:v>Сравнить две бытовые нормы прошлого и настоящего.</x:v>
      </x:c>
      <x:c r="I86" s="10" t="str">
        <x:v>Израиль девяностых в комедии</x:v>
      </x:c>
      <x:c r="J86" s="10" t="str">
        <x:v>Расширение</x:v>
      </x:c>
      <x:c r="K86" s="14" t="n">
        <x:v>35</x:v>
      </x:c>
      <x:c r="L86" s="14" t="n">
        <x:v>35</x:v>
      </x:c>
      <x:c r="M86" s="14" t="n">
        <x:v>0</x:v>
      </x:c>
      <x:c r="N86" s="14" t="n">
        <x:v>138000</x:v>
      </x:c>
      <x:c r="O86" s="14" t="n">
        <x:v>35</x:v>
      </x:c>
      <x:c r="P86" s="10" t="str">
        <x:v>Лимит достигнут; это выборка</x:v>
      </x:c>
      <x:c r="Q86" s="10" t="str">
        <x:v>Могут быть фрагменты, а не полные серии</x:v>
      </x:c>
      <x:c r="R86" s="10" t="str">
        <x:v>רשת 13</x:v>
      </x:c>
      <x:c r="S86" s="11" t="str">
        <x:v>https://www.youtube.com/playlist?list=PL5tTMlIkxhYd6PYfo74-EPVyT88pmzMpZ</x:v>
      </x:c>
      <x:c r="T86" s="16" t="n">
        <x:v>46308</x:v>
      </x:c>
    </x:row>
    <x:row r="87" ht="60" customHeight="1">
      <x:c r="A87" s="9" t="str">
        <x:v>C081</x:v>
      </x:c>
      <x:c r="B87" s="10" t="str">
        <x:v>המקור</x:v>
      </x:c>
      <x:c r="C87" s="10" t="str">
        <x:v>Журналистика и общество</x:v>
      </x:c>
      <x:c r="D87" s="10" t="str">
        <x:v>Расследования; общество; продвинутые</x:v>
      </x:c>
      <x:c r="E87" s="9" t="str">
        <x:v>Общество</x:v>
      </x:c>
      <x:c r="F87" s="10" t="str">
        <x:v>B2–C1 (гипотеза)</x:v>
      </x:c>
      <x:c r="G87" s="10" t="str">
        <x:v>Второй редакционный источник помогает не ограничиваться одной журналистской повесткой.</x:v>
      </x:c>
      <x:c r="H87" s="10" t="str">
        <x:v>Карта утверждений, документов и ответов сторон.</x:v>
      </x:c>
      <x:c r="I87" s="10" t="str">
        <x:v>Разбор расследования с проверкой источников</x:v>
      </x:c>
      <x:c r="J87" s="10" t="str">
        <x:v>Расширение</x:v>
      </x:c>
      <x:c r="K87" s="14" t="n">
        <x:v>21</x:v>
      </x:c>
      <x:c r="L87" s="14" t="n">
        <x:v>19</x:v>
      </x:c>
      <x:c r="M87" s="14" t="n">
        <x:v>0</x:v>
      </x:c>
      <x:c r="N87" s="14" t="n">
        <x:v>6000</x:v>
      </x:c>
      <x:c r="O87" s="14" t="n">
        <x:v>30</x:v>
      </x:c>
      <x:c r="P87" s="10" t="str">
        <x:v>В пределах лимита; полнота не гарантирована</x:v>
      </x:c>
      <x:c r="Q87" s="10" t="str">
        <x:v>Фрагменты, обвинения; перепроверить актуальный контекст</x:v>
      </x:c>
      <x:c r="R87" s="10" t="str">
        <x:v>רשת 13</x:v>
      </x:c>
      <x:c r="S87" s="11" t="str">
        <x:v>https://www.youtube.com/playlist?list=PL5tTMlIkxhYf9OzV7pUPLnhGt5-qXElOW</x:v>
      </x:c>
      <x:c r="T87" s="16" t="n">
        <x:v>46308</x:v>
      </x:c>
    </x:row>
    <x:row r="88" ht="60" customHeight="1">
      <x:c r="A88" s="9" t="str">
        <x:v>C082</x:v>
      </x:c>
      <x:c r="B88" s="10" t="str">
        <x:v>שיחה עם עודד הרוש</x:v>
      </x:c>
      <x:c r="C88" s="10" t="str">
        <x:v>Люди Израиля</x:v>
      </x:c>
      <x:c r="D88" s="10" t="str">
        <x:v>Интервью; общество; традиционная аудитория</x:v>
      </x:c>
      <x:c r="E88" s="9" t="str">
        <x:v>Интервью</x:v>
      </x:c>
      <x:c r="F88" s="10" t="str">
        <x:v>B2–C1 (гипотеза)</x:v>
      </x:c>
      <x:c r="G88" s="10" t="str">
        <x:v>Дополняет биографические интервью другим ведущим и кругом гостей.</x:v>
      </x:c>
      <x:c r="H88" s="10" t="str">
        <x:v>Выделить один тезис гостя, уточняющий вопрос и аргументы.</x:v>
      </x:c>
      <x:c r="I88" s="10" t="str">
        <x:v>Другой круг гостей и жизненных историй</x:v>
      </x:c>
      <x:c r="J88" s="10" t="str">
        <x:v>Расширение</x:v>
      </x:c>
      <x:c r="K88" s="14" t="n">
        <x:v>35</x:v>
      </x:c>
      <x:c r="L88" s="14" t="n">
        <x:v>35</x:v>
      </x:c>
      <x:c r="M88" s="14" t="n">
        <x:v>0</x:v>
      </x:c>
      <x:c r="N88" s="14" t="n">
        <x:v>19000</x:v>
      </x:c>
      <x:c r="O88" s="14" t="n">
        <x:v>35</x:v>
      </x:c>
      <x:c r="P88" s="10" t="str">
        <x:v>Лимит достигнут; это выборка</x:v>
      </x:c>
      <x:c r="Q88" s="10" t="str">
        <x:v>Общественно-политические взгляды; атрибутировать гостю</x:v>
      </x:c>
      <x:c r="R88" s="10" t="str">
        <x:v>C14</x:v>
      </x:c>
      <x:c r="S88" s="11" t="str">
        <x:v>https://www.youtube.com/playlist?list=PL8E54R76rowCtmv0gKg7TZZ-ezCs6ykBX</x:v>
      </x:c>
      <x:c r="T88" s="16" t="n">
        <x:v>46308</x:v>
      </x:c>
    </x:row>
    <x:row r="89" ht="60" customHeight="1">
      <x:c r="A89" s="9" t="str">
        <x:v>C083</x:v>
      </x:c>
      <x:c r="B89" s="10" t="str">
        <x:v>תוכנית חומש</x:v>
      </x:c>
      <x:c r="C89" s="10" t="str">
        <x:v>Общество и политика</x:v>
      </x:c>
      <x:c r="D89" s="10" t="str">
        <x:v>Политика; общество; продвинутые</x:v>
      </x:c>
      <x:c r="E89" s="9" t="str">
        <x:v>Общество</x:v>
      </x:c>
      <x:c r="F89" s="10" t="str">
        <x:v>B2–C1 (гипотеза)</x:v>
      </x:c>
      <x:c r="G89" s="10" t="str">
        <x:v>Сохраняет связь с текущей редакционной линией владельца и позволяет сопоставлять общественные нарративы.</x:v>
      </x:c>
      <x:c r="H89" s="10" t="str">
        <x:v>Отделить фактическое утверждение, цитату и редакционную оценку.</x:v>
      </x:c>
      <x:c r="I89" s="10" t="str">
        <x:v>Контекст уже выбранного владельцем цикла</x:v>
      </x:c>
      <x:c r="J89" s="10" t="str">
        <x:v>Расширение</x:v>
      </x:c>
      <x:c r="K89" s="14" t="n">
        <x:v>3</x:v>
      </x:c>
      <x:c r="L89" s="14" t="n">
        <x:v>3</x:v>
      </x:c>
      <x:c r="M89" s="14" t="n">
        <x:v>3</x:v>
      </x:c>
      <x:c r="N89" s="14"/>
      <x:c r="O89" s="14" t="n">
        <x:v>12</x:v>
      </x:c>
      <x:c r="P89" s="10" t="str">
        <x:v>В пределах лимита; полнота не гарантирована</x:v>
      </x:c>
      <x:c r="Q89" s="10" t="str">
        <x:v>Политическая перспектива; проверка фактов и контекста</x:v>
      </x:c>
      <x:c r="R89" s="10" t="str">
        <x:v>C14</x:v>
      </x:c>
      <x:c r="S89" s="11" t="str">
        <x:v>https://www.youtube.com/playlist?list=PL8E54R76rowDtQESYPqhis-w6eFiCed7D</x:v>
      </x:c>
      <x:c r="T89" s="16" t="n">
        <x:v>46308</x:v>
      </x:c>
    </x:row>
    <x:row r="90" ht="60" customHeight="1">
      <x:c r="A90" s="9" t="str">
        <x:v>C084</x:v>
      </x:c>
      <x:c r="B90" s="10" t="str">
        <x:v>הדרום הפרוע</x:v>
      </x:c>
      <x:c r="C90" s="10" t="str">
        <x:v>Общество и периферия</x:v>
      </x:c>
      <x:c r="D90" s="10" t="str">
        <x:v>Общество; региональная история; продвинутые</x:v>
      </x:c>
      <x:c r="E90" s="9" t="str">
        <x:v>Общество</x:v>
      </x:c>
      <x:c r="F90" s="10" t="str">
        <x:v>B2–C1 (гипотеза)</x:v>
      </x:c>
      <x:c r="G90" s="10" t="str">
        <x:v>Региональная тема расширяет фокус за пределы центра страны. Не смешивать с другим циклом 7.10 — גרסת יו״ש.</x:v>
      </x:c>
      <x:c r="H90" s="10" t="str">
        <x:v>Различить слова участников, статистику и выводы автора.</x:v>
      </x:c>
      <x:c r="I90" s="10" t="str">
        <x:v>Региональный вопрос и разные участники</x:v>
      </x:c>
      <x:c r="J90" s="10" t="str">
        <x:v>Расширение</x:v>
      </x:c>
      <x:c r="K90" s="14" t="n">
        <x:v>3</x:v>
      </x:c>
      <x:c r="L90" s="14" t="n">
        <x:v>3</x:v>
      </x:c>
      <x:c r="M90" s="14" t="n">
        <x:v>0</x:v>
      </x:c>
      <x:c r="N90" s="14"/>
      <x:c r="O90" s="14" t="n">
        <x:v>12</x:v>
      </x:c>
      <x:c r="P90" s="10" t="str">
        <x:v>В пределах лимита; полнота не гарантирована</x:v>
      </x:c>
      <x:c r="Q90" s="10" t="str">
        <x:v>Конфликтная тема; проверять обобщения и ответы сторон</x:v>
      </x:c>
      <x:c r="R90" s="10" t="str">
        <x:v>C14</x:v>
      </x:c>
      <x:c r="S90" s="11" t="str">
        <x:v>https://www.youtube.com/playlist?list=PL8E54R76rowC7vgiKuV2jfjeF3M-sbqcE</x:v>
      </x:c>
      <x:c r="T90" s="16" t="n">
        <x:v>46308</x:v>
      </x:c>
    </x:row>
    <x:row r="91" ht="60" customHeight="1">
      <x:c r="A91" s="9" t="str">
        <x:v>C085</x:v>
      </x:c>
      <x:c r="B91" s="10" t="str">
        <x:v>סיפורי חכמי המזרח - חכימא</x:v>
      </x:c>
      <x:c r="C91" s="10" t="str">
        <x:v>Культура общин</x:v>
      </x:c>
      <x:c r="D91" s="10" t="str">
        <x:v>Традиционная аудитория; еврейское наследие</x:v>
      </x:c>
      <x:c r="E91" s="9" t="str">
        <x:v>Культура</x:v>
      </x:c>
      <x:c r="F91" s="10" t="str">
        <x:v>B1–B2 (гипотеза)</x:v>
      </x:c>
      <x:c r="G91" s="10" t="str">
        <x:v>Истории мудрецов Востока расширяют предложение для традиционно ориентированных зрителей.</x:v>
      </x:c>
      <x:c r="H91" s="10" t="str">
        <x:v>Выделить мораль истории и пересказать современными словами.</x:v>
      </x:c>
      <x:c r="I91" s="10" t="str">
        <x:v>Восточные еврейские традиции через рассказ</x:v>
      </x:c>
      <x:c r="J91" s="10" t="str">
        <x:v>Расширение</x:v>
      </x:c>
      <x:c r="K91" s="14" t="n">
        <x:v>15</x:v>
      </x:c>
      <x:c r="L91" s="14" t="n">
        <x:v>15</x:v>
      </x:c>
      <x:c r="M91" s="14" t="n">
        <x:v>0</x:v>
      </x:c>
      <x:c r="N91" s="14" t="n">
        <x:v>659</x:v>
      </x:c>
      <x:c r="O91" s="14" t="n">
        <x:v>20</x:v>
      </x:c>
      <x:c r="P91" s="10" t="str">
        <x:v>В пределах лимита; полнота не гарантирована</x:v>
      </x:c>
      <x:c r="Q91" s="10" t="str">
        <x:v>Религиозные понятия и первичные тексты</x:v>
      </x:c>
      <x:c r="R91" s="10" t="str">
        <x:v>C14</x:v>
      </x:c>
      <x:c r="S91" s="11" t="str">
        <x:v>https://www.youtube.com/playlist?list=PL8E54R76rowDoyvp5SuXWPq5UZVOM-_Et</x:v>
      </x:c>
      <x:c r="T91" s="16" t="n">
        <x:v>46308</x:v>
      </x:c>
    </x:row>
    <x:row r="92" ht="60" customHeight="1">
      <x:c r="A92" s="9" t="str">
        <x:v>C086</x:v>
      </x:c>
      <x:c r="B92" s="10" t="str">
        <x:v>פרויקט 001 - Videos</x:v>
      </x:c>
      <x:c r="C92" s="10" t="str">
        <x:v>Люди и общественные идеи</x:v>
      </x:c>
      <x:c r="D92" s="10" t="str">
        <x:v>Интервью; общество; продвинутые</x:v>
      </x:c>
      <x:c r="E92" s="9" t="str">
        <x:v>Интервью</x:v>
      </x:c>
      <x:c r="F92" s="10" t="str">
        <x:v>B2–C1 (гипотеза)</x:v>
      </x:c>
      <x:c r="G92" s="10" t="str">
        <x:v>Связь с уже выбранным владельцем источником. Длинные разговоры дают разные профессиональные и общественные биографии.</x:v>
      </x:c>
      <x:c r="H92" s="10" t="str">
        <x:v>Выбрать 5–8 минут: тезис, аргумент, уточняющий вопрос. Проверить фактические утверждения.</x:v>
      </x:c>
      <x:c r="I92" s="10" t="str">
        <x:v>Позиция конкретного собеседника</x:v>
      </x:c>
      <x:c r="J92" s="10" t="str">
        <x:v>Расширение</x:v>
      </x:c>
      <x:c r="K92" s="14" t="n">
        <x:v>35</x:v>
      </x:c>
      <x:c r="L92" s="14" t="n">
        <x:v>19</x:v>
      </x:c>
      <x:c r="M92" s="14" t="n">
        <x:v>1</x:v>
      </x:c>
      <x:c r="N92" s="14" t="n">
        <x:v>4500</x:v>
      </x:c>
      <x:c r="O92" s="14" t="n">
        <x:v>35</x:v>
      </x:c>
      <x:c r="P92" s="10" t="str">
        <x:v>Лимит достигнут; это выборка</x:v>
      </x:c>
      <x:c r="Q92" s="10" t="str">
        <x:v>Авторская политическая перспектива; не выдавать за нейтральный обзор</x:v>
      </x:c>
      <x:c r="R92" s="10" t="str">
        <x:v>פרויקט 001</x:v>
      </x:c>
      <x:c r="S92" s="11" t="str">
        <x:v>https://www.youtube.com/@001_il/videos</x:v>
      </x:c>
      <x:c r="T92" s="16" t="n">
        <x:v>46308</x:v>
      </x:c>
    </x:row>
    <x:row r="93" ht="60" customHeight="1">
      <x:c r="A93" s="9" t="str">
        <x:v>C087</x:v>
      </x:c>
      <x:c r="B93" s="10" t="str">
        <x:v>גדי טאוב: שומר סף - Videos</x:v>
      </x:c>
      <x:c r="C93" s="10" t="str">
        <x:v>Общественная дискуссия</x:v>
      </x:c>
      <x:c r="D93" s="10" t="str">
        <x:v>Интервью; общество; продвинутые</x:v>
      </x:c>
      <x:c r="E93" s="9" t="str">
        <x:v>Интервью</x:v>
      </x:c>
      <x:c r="F93" s="10" t="str">
        <x:v>B2–C1 (гипотеза)</x:v>
      </x:c>
      <x:c r="G93" s="10" t="str">
        <x:v>Источник для аудитории общественных дебатов; полезен при явной атрибуции позиции ведущего и гостя.</x:v>
      </x:c>
      <x:c r="H93" s="10" t="str">
        <x:v>Выбрать 5–8 минут: тезис, аргумент, уточняющий вопрос. Проверить фактические утверждения.</x:v>
      </x:c>
      <x:c r="I93" s="10" t="str">
        <x:v>Позиция конкретного собеседника</x:v>
      </x:c>
      <x:c r="J93" s="10" t="str">
        <x:v>Расширение</x:v>
      </x:c>
      <x:c r="K93" s="14" t="n">
        <x:v>35</x:v>
      </x:c>
      <x:c r="L93" s="14" t="n">
        <x:v>35</x:v>
      </x:c>
      <x:c r="M93" s="14" t="n">
        <x:v>2</x:v>
      </x:c>
      <x:c r="N93" s="14" t="n">
        <x:v>33000</x:v>
      </x:c>
      <x:c r="O93" s="14" t="n">
        <x:v>35</x:v>
      </x:c>
      <x:c r="P93" s="10" t="str">
        <x:v>Лимит достигнут; это выборка</x:v>
      </x:c>
      <x:c r="Q93" s="10" t="str">
        <x:v>Авторская политическая перспектива; не выдавать за нейтральный обзор</x:v>
      </x:c>
      <x:c r="R93" s="10" t="str">
        <x:v>גדי טאוב: שומר סף</x:v>
      </x:c>
      <x:c r="S93" s="11" t="str">
        <x:v>https://www.youtube.com/@Shomersaf/videos</x:v>
      </x:c>
      <x:c r="T93" s="16" t="n">
        <x:v>46308</x:v>
      </x:c>
    </x:row>
    <x:row r="94" ht="60" customHeight="1">
      <x:c r="A94" s="9" t="str">
        <x:v>C088</x:v>
      </x:c>
      <x:c r="B94" s="10" t="str">
        <x:v>אידיוטים שימושיים - עקיבא ביגמן - Videos</x:v>
      </x:c>
      <x:c r="C94" s="10" t="str">
        <x:v>Общественная дискуссия</x:v>
      </x:c>
      <x:c r="D94" s="10" t="str">
        <x:v>Интервью; общество; продвинутые</x:v>
      </x:c>
      <x:c r="E94" s="9" t="str">
        <x:v>Интервью</x:v>
      </x:c>
      <x:c r="F94" s="10" t="str">
        <x:v>B2–C1 (гипотеза)</x:v>
      </x:c>
      <x:c r="G94" s="10" t="str">
        <x:v>Дополнительная перспектива в общественной дискуссии. Включать по конкретной теме и гостю, а не по одной популярности.</x:v>
      </x:c>
      <x:c r="H94" s="10" t="str">
        <x:v>Выбрать 5–8 минут: тезис, аргумент, уточняющий вопрос. Проверить фактические утверждения.</x:v>
      </x:c>
      <x:c r="I94" s="10" t="str">
        <x:v>Позиция конкретного собеседника</x:v>
      </x:c>
      <x:c r="J94" s="10" t="str">
        <x:v>Расширение</x:v>
      </x:c>
      <x:c r="K94" s="14" t="n">
        <x:v>35</x:v>
      </x:c>
      <x:c r="L94" s="14" t="n">
        <x:v>14</x:v>
      </x:c>
      <x:c r="M94" s="14" t="n">
        <x:v>0</x:v>
      </x:c>
      <x:c r="N94" s="14" t="n">
        <x:v>3200</x:v>
      </x:c>
      <x:c r="O94" s="14" t="n">
        <x:v>35</x:v>
      </x:c>
      <x:c r="P94" s="10" t="str">
        <x:v>Лимит достигнут; это выборка</x:v>
      </x:c>
      <x:c r="Q94" s="10" t="str">
        <x:v>Авторская политическая перспектива; не выдавать за нейтральный обзор</x:v>
      </x:c>
      <x:c r="R94" s="10" t="str">
        <x:v>אידיוטים שימושיים - עקיבא ביגמן</x:v>
      </x:c>
      <x:c r="S94" s="11" t="str">
        <x:v>https://www.youtube.com/@akibigman/videos</x:v>
      </x:c>
      <x:c r="T94" s="16" t="n">
        <x:v>46308</x:v>
      </x:c>
    </x:row>
    <x:row r="95" ht="60" customHeight="1">
      <x:c r="A95" s="9" t="str">
        <x:v>C089</x:v>
      </x:c>
      <x:c r="B95" s="10" t="str">
        <x:v>שאלה על הסליחה: ריצוי, מחילה וכשלון בספרות חז"ל</x:v>
      </x:c>
      <x:c r="C95" s="10" t="str">
        <x:v>Еврейская мысль и прощение</x:v>
      </x:c>
      <x:c r="D95" s="10" t="str">
        <x:v>Еврейское наследие; культура; продвинутые</x:v>
      </x:c>
      <x:c r="E95" s="9" t="str">
        <x:v>История</x:v>
      </x:c>
      <x:c r="F95" s="10" t="str">
        <x:v>B2–C1 (гипотеза)</x:v>
      </x:c>
      <x:c r="G95" s="10" t="str">
        <x:v>Тема прощения подходит для содержательного сезонного маршрута перед Йом Кипуром и для интереса к еврейской мысли.</x:v>
      </x:c>
      <x:c r="H95" s="10" t="str">
        <x:v>Выбрать фрагмент: различить просьбу о прощении, примирение и отказ.</x:v>
      </x:c>
      <x:c r="I95" s="10" t="str">
        <x:v>Прощение и его границы в текстовой традиции</x:v>
      </x:c>
      <x:c r="J95" s="10" t="str">
        <x:v>Расширение</x:v>
      </x:c>
      <x:c r="K95" s="14" t="n">
        <x:v>5</x:v>
      </x:c>
      <x:c r="L95" s="14" t="n">
        <x:v>5</x:v>
      </x:c>
      <x:c r="M95" s="14" t="n">
        <x:v>0</x:v>
      </x:c>
      <x:c r="N95" s="14" t="n">
        <x:v>721</x:v>
      </x:c>
      <x:c r="O95" s="14" t="n">
        <x:v>12</x:v>
      </x:c>
      <x:c r="P95" s="10" t="str">
        <x:v>В пределах лимита; полнота не гарантирована</x:v>
      </x:c>
      <x:c r="Q95" s="10" t="str">
        <x:v>Арамейские цитаты; основной язык и конкретный фрагмент проверить</x:v>
      </x:c>
      <x:c r="R95" s="10" t="str">
        <x:v>בית אבי חי</x:v>
      </x:c>
      <x:c r="S95" s="11" t="str">
        <x:v>https://www.youtube.com/playlist?list=PLv2rnAORLiVCJpL3m4XoAa72ROXXj_VZ8</x:v>
      </x:c>
      <x:c r="T95" s="16" t="n">
        <x:v>46308</x:v>
      </x:c>
    </x:row>
    <x:row r="96" ht="60" customHeight="1">
      <x:c r="A96" s="9" t="str">
        <x:v>C090</x:v>
      </x:c>
      <x:c r="B96" s="10" t="str">
        <x:v>סרטונים מדעיים לחג חנוכה</x:v>
      </x:c>
      <x:c r="C96" s="10" t="str">
        <x:v>Ханука и наука</x:v>
      </x:c>
      <x:c r="D96" s="10" t="str">
        <x:v>Наука; семьи; любознательные</x:v>
      </x:c>
      <x:c r="E96" s="9" t="str">
        <x:v>Образование</x:v>
      </x:c>
      <x:c r="F96" s="10" t="str">
        <x:v>B1–B2 (гипотеза)</x:v>
      </x:c>
      <x:c r="G96" s="10" t="str">
        <x:v>Научные сюжеты, отобранные издателем к Хануке, дают сезонный вход через демонстрацию и удивление.</x:v>
      </x:c>
      <x:c r="H96" s="10" t="str">
        <x:v>Объяснить эксперимент и научный механизм; проверить безопасность.</x:v>
      </x:c>
      <x:c r="I96" s="10" t="str">
        <x:v>Ханука через научную демонстрацию</x:v>
      </x:c>
      <x:c r="J96" s="10" t="str">
        <x:v>Расширение</x:v>
      </x:c>
      <x:c r="K96" s="14" t="n">
        <x:v>15</x:v>
      </x:c>
      <x:c r="L96" s="14" t="n">
        <x:v>14</x:v>
      </x:c>
      <x:c r="M96" s="14" t="n">
        <x:v>0</x:v>
      </x:c>
      <x:c r="N96" s="14" t="n">
        <x:v>26500</x:v>
      </x:c>
      <x:c r="O96" s="14" t="n">
        <x:v>15</x:v>
      </x:c>
      <x:c r="P96" s="10" t="str">
        <x:v>Лимит достигнут; это выборка</x:v>
      </x:c>
      <x:c r="Q96" s="10" t="str">
        <x:v>Проверить язык речи и безопасность демонстрации</x:v>
      </x:c>
      <x:c r="R96" s="10" t="str">
        <x:v>מכון דוידסון - סרטוני מדע</x:v>
      </x:c>
      <x:c r="S96" s="11" t="str">
        <x:v>https://www.youtube.com/playlist?list=PL0ZkulyfP8belyU5Ooh_vYbS5vzoFpmGt</x:v>
      </x:c>
      <x:c r="T96" s="16" t="n">
        <x:v>46308</x:v>
      </x:c>
    </x:row>
  </x:sheetData>
  <x:pageMargins left="0.7" right="0.7" top="0.75" bottom="0.75" header="0.3" footer="0.3"/>
  <x:tableParts count="1">
    <x:tablePart xmlns:r="http://schemas.openxmlformats.org/officeDocument/2006/relationships" r:id="Ref75305cbdbc4ec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51" hidden="0" customWidth="1"/>
    <x:col min="3" max="3" width="25" hidden="0" customWidth="1"/>
    <x:col min="4" max="4" width="17" hidden="0" customWidth="1"/>
    <x:col min="5" max="5" width="36" hidden="0" customWidth="1"/>
    <x:col min="6" max="6" width="25" hidden="0" customWidth="1"/>
    <x:col min="7" max="7" width="16" hidden="0" customWidth="1"/>
    <x:col min="8" max="8" width="17" hidden="0" customWidth="1"/>
    <x:col min="9" max="9" width="27" hidden="0" customWidth="1"/>
    <x:col min="10" max="10" width="17" hidden="0" customWidth="1"/>
    <x:col min="11" max="11" width="20" hidden="0" customWidth="1"/>
    <x:col min="12" max="12" width="17" hidden="0" customWidth="1"/>
    <x:col min="13" max="13" width="76" hidden="0" customWidth="1"/>
    <x:col min="14" max="14" width="66" hidden="0" customWidth="1"/>
    <x:col min="15" max="15" width="53" hidden="0" customWidth="1"/>
    <x:col min="16" max="16" width="30" hidden="0" customWidth="1"/>
    <x:col min="17" max="17" width="20" hidden="0" customWidth="1"/>
    <x:col min="18" max="18" width="16" hidden="0" customWidth="1"/>
    <x:col min="19" max="19" width="20" hidden="0" customWidth="1"/>
    <x:col min="20" max="20" width="42" hidden="0" customWidth="1"/>
    <x:col min="21" max="21" width="48" hidden="0" customWidth="1"/>
    <x:col min="22" max="22" width="18" hidden="0" customWidth="1"/>
    <x:col min="23" max="23" width="18" hidden="0" customWidth="1"/>
    <x:col min="24" max="24" width="42" hidden="0" customWidth="1"/>
    <x:col min="25" max="25" width="48" hidden="0" customWidth="1"/>
    <x:col min="26" max="26" width="32" hidden="0" customWidth="1"/>
    <x:col min="27" max="27" width="54" hidden="0" customWidth="1"/>
    <x:col min="28" max="28" width="22" hidden="0" customWidth="1"/>
    <x:col min="29" max="29" width="22" hidden="0" customWidth="1"/>
    <x:col min="30" max="30" width="20" hidden="0" customWidth="1"/>
    <x:col min="31" max="31" width="20" hidden="0" customWidth="1"/>
    <x:col min="32" max="32" width="24" hidden="0" customWidth="1"/>
    <x:col min="33" max="33" width="27" hidden="0" customWidth="1"/>
    <x:col min="34" max="34" width="23" hidden="0" customWidth="1"/>
    <x:col min="35" max="35" width="28" hidden="0" customWidth="1"/>
    <x:col min="36" max="36" width="44" hidden="0" customWidth="1"/>
    <x:col min="37" max="37" width="48" hidden="0" customWidth="1"/>
    <x:col min="38" max="38" width="18" hidden="0" customWidth="1"/>
    <x:col min="39" max="39" width="15" hidden="0" customWidth="1"/>
    <x:col min="40" max="40" width="18" hidden="0" customWidth="1"/>
  </x:cols>
  <x:sheetData>
    <x:row r="2">
      <x:c r="A2" s="2" t="str">
        <x:v>Видео для редакторского выбора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</x:row>
    <x:row r="6" ht="44" customHeight="1">
      <x:c r="A6" s="8" t="str">
        <x:v>YouTube ID</x:v>
      </x:c>
      <x:c r="B6" s="8" t="str">
        <x:v>Название оригинала</x:v>
      </x:c>
      <x:c r="C6" s="8" t="str">
        <x:v>Тема</x:v>
      </x:c>
      <x:c r="D6" s="8" t="str">
        <x:v>Формат</x:v>
      </x:c>
      <x:c r="E6" s="8" t="str">
        <x:v>Кому интересно — гипотеза</x:v>
      </x:c>
      <x:c r="F6" s="8" t="str">
        <x:v>Уровень — гипотеза</x:v>
      </x:c>
      <x:c r="G6" s="8" t="str">
        <x:v>Полная длительность, мин</x:v>
      </x:c>
      <x:c r="H6" s="8" t="str">
        <x:v>Просмотры</x:v>
      </x:c>
      <x:c r="I6" s="8" t="str">
        <x:v>Точность просмотров</x:v>
      </x:c>
      <x:c r="J6" s="8" t="str">
        <x:v>Просмотры в списке</x:v>
      </x:c>
      <x:c r="K6" s="8" t="str">
        <x:v>Медиана выборки цикла</x:v>
      </x:c>
      <x:c r="L6" s="8" t="str">
        <x:v>× медианы цикла</x:v>
      </x:c>
      <x:c r="M6" s="8" t="str">
        <x:v>Почему выбрать — гипотеза</x:v>
      </x:c>
      <x:c r="N6" s="8" t="str">
        <x:v>Учебный сценарий</x:v>
      </x:c>
      <x:c r="O6" s="8" t="str">
        <x:v>Чувствительность / ограничения</x:v>
      </x:c>
      <x:c r="P6" s="8" t="str">
        <x:v>Полный выпуск или фрагмент</x:v>
      </x:c>
      <x:c r="Q6" s="8" t="str">
        <x:v>Есть в публичном каталоге</x:v>
      </x:c>
      <x:c r="R6" s="8" t="str">
        <x:v>Основная подборка ID</x:v>
      </x:c>
      <x:c r="S6" s="8" t="str">
        <x:v>Все подборки ID</x:v>
      </x:c>
      <x:c r="T6" s="8" t="str">
        <x:v>Канал</x:v>
      </x:c>
      <x:c r="U6" s="8" t="str">
        <x:v>Ссылка на видео</x:v>
      </x:c>
      <x:c r="V6" s="8" t="str">
        <x:v>Метаданные проверены</x:v>
      </x:c>
      <x:c r="W6" s="8" t="str">
        <x:v>Дата загрузки</x:v>
      </x:c>
      <x:c r="X6" s="8" t="str">
        <x:v>Язык по метаданным</x:v>
      </x:c>
      <x:c r="Y6" s="8" t="str">
        <x:v>Дорожка HE</x:v>
      </x:c>
      <x:c r="Z6" s="8" t="str">
        <x:v>Встраивание по метаданным</x:v>
      </x:c>
      <x:c r="AA6" s="8" t="str">
        <x:v>Глубина проверки</x:v>
      </x:c>
      <x:c r="AB6" s="8" t="str">
        <x:v>Средние просмотры / день за весь срок</x:v>
      </x:c>
      <x:c r="AC6" s="8" t="str">
        <x:v>Решение редактора</x:v>
      </x:c>
      <x:c r="AD6" s="8" t="str">
        <x:v>Плеер проверен</x:v>
      </x:c>
      <x:c r="AE6" s="8" t="str">
        <x:v>Речь HE проверена</x:v>
      </x:c>
      <x:c r="AF6" s="8" t="str">
        <x:v>Текст и тайминг проверены</x:v>
      </x:c>
      <x:c r="AG6" s="8" t="str">
        <x:v>Основание использования проверено</x:v>
      </x:c>
      <x:c r="AH6" s="8" t="str">
        <x:v>Учебный пакет проверен</x:v>
      </x:c>
      <x:c r="AI6" s="8" t="str">
        <x:v>Готовность к публикации</x:v>
      </x:c>
      <x:c r="AJ6" s="8" t="str">
        <x:v>Заметка редактора</x:v>
      </x:c>
      <x:c r="AK6" s="8" t="str">
        <x:v>Источник списка</x:v>
      </x:c>
      <x:c r="AL6" s="8" t="str">
        <x:v>Позиция в исходном списке</x:v>
      </x:c>
      <x:c r="AM6" s="8" t="str">
        <x:v>Номер серии</x:v>
      </x:c>
      <x:c r="AN6" s="8" t="str">
        <x:v>Возрастной флаг YouTube</x:v>
      </x:c>
    </x:row>
    <x:row r="7" ht="60" customHeight="1">
      <x:c r="A7" s="9" t="str">
        <x:v>iL686rbf82M</x:v>
      </x:c>
      <x:c r="B7" s="10" t="str">
        <x:v>קופה ראשית עונה 5 🛒 | פרק 1 - כפרות</x:v>
      </x:c>
      <x:c r="C7" s="10" t="str">
        <x:v>Повседневность и юмор</x:v>
      </x:c>
      <x:c r="D7" s="9" t="str">
        <x:v>Сериал</x:v>
      </x:c>
      <x:c r="E7" s="10" t="str">
        <x:v>Сериалы; разговорный иврит; новые репатрианты</x:v>
      </x:c>
      <x:c r="F7" s="10" t="str">
        <x:v>B1–B2 (гипотеза)</x:v>
      </x:c>
      <x:c r="G7" s="12" t="n">
        <x:v>24</x:v>
      </x:c>
      <x:c r="H7" s="14" t="n">
        <x:v>4270653</x:v>
      </x:c>
      <x:c r="I7" s="15" t="str">
        <x:v>Точный счётчик метаданных видео</x:v>
      </x:c>
      <x:c r="J7" s="14" t="n">
        <x:v>4200000</x:v>
      </x:c>
      <x:c r="K7" s="14" t="n">
        <x:v>3150000</x:v>
      </x:c>
      <x:c r="L7" s="12" t="n">
        <x:f>IF(COUNT(J7:K7)=2,IF(K7=0,"",J7/K7),"")</x:f>
        <x:v>1.3333333333333333</x:v>
      </x:c>
      <x:c r="M7" s="10" t="str">
        <x:v>Эпизод 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" s="10" t="str">
        <x:v>Выбрать диалог 2–4 минуты: просьбы, возражения, разговорные сокращения. Разыграть сцену.</x:v>
      </x:c>
      <x:c r="O7" s="10" t="str">
        <x:v>Сарказм, стереотипы, грубая речь; проверить выпуск</x:v>
      </x:c>
      <x:c r="P7" s="10" t="str">
        <x:v>Полная серия — кандидат</x:v>
      </x:c>
      <x:c r="Q7" s="9" t="str">
        <x:v>Нет</x:v>
      </x:c>
      <x:c r="R7" s="9" t="str">
        <x:v>C001</x:v>
      </x:c>
      <x:c r="S7" s="9" t="str">
        <x:v>C001</x:v>
      </x:c>
      <x:c r="T7" s="10" t="str">
        <x:v>כאן 11 - תאגיד השידור הישראלי</x:v>
      </x:c>
      <x:c r="U7" s="11" t="str">
        <x:v>https://www.youtube.com/watch?v=iL686rbf82M</x:v>
      </x:c>
      <x:c r="V7" s="16" t="n">
        <x:v>46308</x:v>
      </x:c>
      <x:c r="W7" s="16" t="n">
        <x:v>45608</x:v>
      </x:c>
      <x:c r="X7" s="10" t="str">
        <x:v>Иврит предполагается по заголовку и источнику</x:v>
      </x:c>
      <x:c r="Y7" s="10" t="str">
        <x:v>Дорожка HE не найдена в метаданных; вшитые титры не проверены</x:v>
      </x:c>
      <x:c r="Z7" s="10" t="str">
        <x:v>Разрешено по метаданным</x:v>
      </x:c>
      <x:c r="AA7" s="10" t="str">
        <x:v>Метаданные видео; воспроизведение и содержание не проверены</x:v>
      </x:c>
      <x:c r="AB7" s="13" t="n">
        <x:f>IF(AND(ISNUMBER(H7),ISNUMBER(W7)),H7/MAX(1,'Обзор'!$B$4-W7),"")</x:f>
        <x:v>6100.932857142857</x:v>
      </x:c>
      <x:c r="AC7" s="17" t="str">
        <x:v>Не решено</x:v>
      </x:c>
      <x:c r="AD7" s="17" t="str">
        <x:v>Не проверено</x:v>
      </x:c>
      <x:c r="AE7" s="17" t="str">
        <x:v>Не проверено</x:v>
      </x:c>
      <x:c r="AF7" s="17" t="str">
        <x:v>Не проверено</x:v>
      </x:c>
      <x:c r="AG7" s="17" t="str">
        <x:v>Не решено</x:v>
      </x:c>
      <x:c r="AH7" s="17" t="str">
        <x:v>Не проверено</x:v>
      </x:c>
      <x:c r="AI7" s="10" t="str">
        <x:f>IF(AC7="Отклонить","Отклонено",IF(AND(AC7="Взять",COUNTIFS(AD7:AH7,"Да")=5),"Готово","Нужна редактура"))</x:f>
        <x:v>Нужна редактура</x:v>
      </x:c>
      <x:c r="AJ7" s="17" t="str"/>
      <x:c r="AK7" s="9" t="str">
        <x:v>https://www.youtube.com/playlist?list=PLLttfoK87AdW1TI5VZVTlGvQ4LpPAiP-n</x:v>
      </x:c>
      <x:c r="AL7" s="9" t="n">
        <x:v>1</x:v>
      </x:c>
      <x:c r="AM7" s="9" t="n">
        <x:v>1</x:v>
      </x:c>
      <x:c r="AN7" s="9" t="n">
        <x:v>0</x:v>
      </x:c>
    </x:row>
    <x:row r="8" ht="60" customHeight="1">
      <x:c r="A8" s="9" t="str">
        <x:v>UKww1xabTNQ</x:v>
      </x:c>
      <x:c r="B8" s="10" t="str">
        <x:v>קופה ראשית עונה 5 🛒 | פרק 2 - הסטארט-אפ של כוכבה</x:v>
      </x:c>
      <x:c r="C8" s="10" t="str">
        <x:v>Повседневность и юмор</x:v>
      </x:c>
      <x:c r="D8" s="9" t="str">
        <x:v>Сериал</x:v>
      </x:c>
      <x:c r="E8" s="10" t="str">
        <x:v>Сериалы; разговорный иврит; новые репатрианты</x:v>
      </x:c>
      <x:c r="F8" s="10" t="str">
        <x:v>B1–B2 (гипотеза)</x:v>
      </x:c>
      <x:c r="G8" s="12" t="n">
        <x:v>24.6</x:v>
      </x:c>
      <x:c r="H8" s="14" t="n">
        <x:v>3542276</x:v>
      </x:c>
      <x:c r="I8" s="15" t="str">
        <x:v>Точный счётчик метаданных видео</x:v>
      </x:c>
      <x:c r="J8" s="14" t="n">
        <x:v>3500000</x:v>
      </x:c>
      <x:c r="K8" s="14" t="n">
        <x:v>3150000</x:v>
      </x:c>
      <x:c r="L8" s="12" t="n">
        <x:f>IF(COUNT(J8:K8)=2,IF(K8=0,"",J8/K8),"")</x:f>
        <x:v>1.1111111111111112</x:v>
      </x:c>
      <x:c r="M8" s="10" t="str"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" s="10" t="str">
        <x:v>Выбрать диалог 2–4 минуты: просьбы, возражения, разговорные сокращения. Разыграть сцену.</x:v>
      </x:c>
      <x:c r="O8" s="10" t="str">
        <x:v>Сарказм, стереотипы, грубая речь; проверить выпуск</x:v>
      </x:c>
      <x:c r="P8" s="10" t="str">
        <x:v>Полная серия — кандидат</x:v>
      </x:c>
      <x:c r="Q8" s="9" t="str">
        <x:v>Нет</x:v>
      </x:c>
      <x:c r="R8" s="9" t="str">
        <x:v>C001</x:v>
      </x:c>
      <x:c r="S8" s="9" t="str">
        <x:v>C001</x:v>
      </x:c>
      <x:c r="T8" s="10" t="str">
        <x:v>כאן 11 - תאגיד השידור הישראלי</x:v>
      </x:c>
      <x:c r="U8" s="11" t="str">
        <x:v>https://www.youtube.com/watch?v=UKww1xabTNQ</x:v>
      </x:c>
      <x:c r="V8" s="16" t="n">
        <x:v>46308</x:v>
      </x:c>
      <x:c r="W8" s="16" t="n">
        <x:v>45615</x:v>
      </x:c>
      <x:c r="X8" s="10" t="str">
        <x:v>Иврит предполагается по заголовку и источнику</x:v>
      </x:c>
      <x:c r="Y8" s="10" t="str">
        <x:v>Автоматическая дорожка HE по метаданным</x:v>
      </x:c>
      <x:c r="Z8" s="10" t="str">
        <x:v>Разрешено по метаданным</x:v>
      </x:c>
      <x:c r="AA8" s="10" t="str">
        <x:v>Метаданные видео; воспроизведение и содержание не проверены</x:v>
      </x:c>
      <x:c r="AB8" s="13" t="n">
        <x:f>IF(AND(ISNUMBER(H8),ISNUMBER(W8)),H8/MAX(1,'Обзор'!$B$4-W8),"")</x:f>
        <x:v>5111.50937950938</x:v>
      </x:c>
      <x:c r="AC8" s="17" t="str">
        <x:v>Не решено</x:v>
      </x:c>
      <x:c r="AD8" s="17" t="str">
        <x:v>Не проверено</x:v>
      </x:c>
      <x:c r="AE8" s="17" t="str">
        <x:v>Не проверено</x:v>
      </x:c>
      <x:c r="AF8" s="17" t="str">
        <x:v>Не проверено</x:v>
      </x:c>
      <x:c r="AG8" s="17" t="str">
        <x:v>Не решено</x:v>
      </x:c>
      <x:c r="AH8" s="17" t="str">
        <x:v>Не проверено</x:v>
      </x:c>
      <x:c r="AI8" s="10" t="str">
        <x:f>IF(AC8="Отклонить","Отклонено",IF(AND(AC8="Взять",COUNTIFS(AD8:AH8,"Да")=5),"Готово","Нужна редактура"))</x:f>
        <x:v>Нужна редактура</x:v>
      </x:c>
      <x:c r="AJ8" s="17" t="str"/>
      <x:c r="AK8" s="9" t="str">
        <x:v>https://www.youtube.com/playlist?list=PLLttfoK87AdW1TI5VZVTlGvQ4LpPAiP-n</x:v>
      </x:c>
      <x:c r="AL8" s="9" t="n">
        <x:v>2</x:v>
      </x:c>
      <x:c r="AM8" s="9" t="n">
        <x:v>2</x:v>
      </x:c>
      <x:c r="AN8" s="9" t="n">
        <x:v>0</x:v>
      </x:c>
    </x:row>
    <x:row r="9" ht="60" customHeight="1">
      <x:c r="A9" s="9" t="str">
        <x:v>ihH9gucGRS4</x:v>
      </x:c>
      <x:c r="B9" s="10" t="str">
        <x:v>קופה ראשית עונה 5 🛒 | פרק 3 - שברת שילמת</x:v>
      </x:c>
      <x:c r="C9" s="10" t="str">
        <x:v>Повседневность и юмор</x:v>
      </x:c>
      <x:c r="D9" s="9" t="str">
        <x:v>Сериал</x:v>
      </x:c>
      <x:c r="E9" s="10" t="str">
        <x:v>Сериалы; разговорный иврит; новые репатрианты</x:v>
      </x:c>
      <x:c r="F9" s="10" t="str">
        <x:v>B1–B2 (гипотеза)</x:v>
      </x:c>
      <x:c r="G9" s="12" t="n">
        <x:v>22.6</x:v>
      </x:c>
      <x:c r="H9" s="14" t="n">
        <x:v>4058041</x:v>
      </x:c>
      <x:c r="I9" s="15" t="str">
        <x:v>Точный счётчик метаданных видео</x:v>
      </x:c>
      <x:c r="J9" s="14" t="n">
        <x:v>4000000</x:v>
      </x:c>
      <x:c r="K9" s="14" t="n">
        <x:v>3150000</x:v>
      </x:c>
      <x:c r="L9" s="12" t="n">
        <x:f>IF(COUNT(J9:K9)=2,IF(K9=0,"",J9/K9),"")</x:f>
        <x:v>1.2698412698412698</x:v>
      </x:c>
      <x:c r="M9" s="10" t="str">
        <x:v>Эпизод 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9" s="10" t="str">
        <x:v>Выбрать диалог 2–4 минуты: просьбы, возражения, разговорные сокращения. Разыграть сцену.</x:v>
      </x:c>
      <x:c r="O9" s="10" t="str">
        <x:v>Сарказм, стереотипы, грубая речь; проверить выпуск</x:v>
      </x:c>
      <x:c r="P9" s="10" t="str">
        <x:v>Полная серия — кандидат</x:v>
      </x:c>
      <x:c r="Q9" s="9" t="str">
        <x:v>Нет</x:v>
      </x:c>
      <x:c r="R9" s="9" t="str">
        <x:v>C001</x:v>
      </x:c>
      <x:c r="S9" s="9" t="str">
        <x:v>C001</x:v>
      </x:c>
      <x:c r="T9" s="10" t="str">
        <x:v>כאן 11 - תאגיד השידור הישראלי</x:v>
      </x:c>
      <x:c r="U9" s="11" t="str">
        <x:v>https://www.youtube.com/watch?v=ihH9gucGRS4</x:v>
      </x:c>
      <x:c r="V9" s="16" t="n">
        <x:v>46308</x:v>
      </x:c>
      <x:c r="W9" s="16" t="n">
        <x:v>45622</x:v>
      </x:c>
      <x:c r="X9" s="10" t="str">
        <x:v>Иврит предполагается по заголовку и источнику</x:v>
      </x:c>
      <x:c r="Y9" s="10" t="str">
        <x:v>Автоматическая дорожка HE по метаданным</x:v>
      </x:c>
      <x:c r="Z9" s="10" t="str">
        <x:v>Разрешено по метаданным</x:v>
      </x:c>
      <x:c r="AA9" s="10" t="str">
        <x:v>Метаданные видео; воспроизведение и содержание не проверены</x:v>
      </x:c>
      <x:c r="AB9" s="13" t="n">
        <x:f>IF(AND(ISNUMBER(H9),ISNUMBER(W9)),H9/MAX(1,'Обзор'!$B$4-W9),"")</x:f>
        <x:v>5915.51166180758</x:v>
      </x:c>
      <x:c r="AC9" s="17" t="str">
        <x:v>Не решено</x:v>
      </x:c>
      <x:c r="AD9" s="17" t="str">
        <x:v>Не проверено</x:v>
      </x:c>
      <x:c r="AE9" s="17" t="str">
        <x:v>Не проверено</x:v>
      </x:c>
      <x:c r="AF9" s="17" t="str">
        <x:v>Не проверено</x:v>
      </x:c>
      <x:c r="AG9" s="17" t="str">
        <x:v>Не решено</x:v>
      </x:c>
      <x:c r="AH9" s="17" t="str">
        <x:v>Не проверено</x:v>
      </x:c>
      <x:c r="AI9" s="10" t="str">
        <x:f>IF(AC9="Отклонить","Отклонено",IF(AND(AC9="Взять",COUNTIFS(AD9:AH9,"Да")=5),"Готово","Нужна редактура"))</x:f>
        <x:v>Нужна редактура</x:v>
      </x:c>
      <x:c r="AJ9" s="17" t="str"/>
      <x:c r="AK9" s="9" t="str">
        <x:v>https://www.youtube.com/playlist?list=PLLttfoK87AdW1TI5VZVTlGvQ4LpPAiP-n</x:v>
      </x:c>
      <x:c r="AL9" s="9" t="n">
        <x:v>3</x:v>
      </x:c>
      <x:c r="AM9" s="9" t="n">
        <x:v>3</x:v>
      </x:c>
      <x:c r="AN9" s="9" t="n">
        <x:v>0</x:v>
      </x:c>
    </x:row>
    <x:row r="10" ht="60" customHeight="1">
      <x:c r="A10" s="9" t="str">
        <x:v>OWUaTKTQ-bo</x:v>
      </x:c>
      <x:c r="B10" s="10" t="str">
        <x:v>קופה ראשית עונה 5 🛒 | פרק 4 - דניס קמחי</x:v>
      </x:c>
      <x:c r="C10" s="10" t="str">
        <x:v>Повседневность и юмор</x:v>
      </x:c>
      <x:c r="D10" s="9" t="str">
        <x:v>Сериал</x:v>
      </x:c>
      <x:c r="E10" s="10" t="str">
        <x:v>Сериалы; разговорный иврит; новые репатрианты</x:v>
      </x:c>
      <x:c r="F10" s="10" t="str">
        <x:v>B1–B2 (гипотеза)</x:v>
      </x:c>
      <x:c r="G10" s="12" t="n">
        <x:v>26.5</x:v>
      </x:c>
      <x:c r="H10" s="14" t="n">
        <x:v>3481854</x:v>
      </x:c>
      <x:c r="I10" s="15" t="str">
        <x:v>Точный счётчик метаданных видео</x:v>
      </x:c>
      <x:c r="J10" s="14" t="n">
        <x:v>3400000</x:v>
      </x:c>
      <x:c r="K10" s="14" t="n">
        <x:v>3150000</x:v>
      </x:c>
      <x:c r="L10" s="12" t="n">
        <x:f>IF(COUNT(J10:K10)=2,IF(K10=0,"",J10/K10),"")</x:f>
        <x:v>1.0793650793650793</x:v>
      </x:c>
      <x:c r="M10" s="10" t="str">
        <x:v>Эпизод 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10" s="10" t="str">
        <x:v>Выбрать диалог 2–4 минуты: просьбы, возражения, разговорные сокращения. Разыграть сцену.</x:v>
      </x:c>
      <x:c r="O10" s="10" t="str">
        <x:v>Сарказм, стереотипы, грубая речь; проверить выпуск</x:v>
      </x:c>
      <x:c r="P10" s="10" t="str">
        <x:v>Полная серия — кандидат</x:v>
      </x:c>
      <x:c r="Q10" s="9" t="str">
        <x:v>Нет</x:v>
      </x:c>
      <x:c r="R10" s="9" t="str">
        <x:v>C001</x:v>
      </x:c>
      <x:c r="S10" s="9" t="str">
        <x:v>C001</x:v>
      </x:c>
      <x:c r="T10" s="10" t="str">
        <x:v>כאן 11 - תאגיד השידור הישראלי</x:v>
      </x:c>
      <x:c r="U10" s="11" t="str">
        <x:v>https://www.youtube.com/watch?v=OWUaTKTQ-bo</x:v>
      </x:c>
      <x:c r="V10" s="16" t="n">
        <x:v>46308</x:v>
      </x:c>
      <x:c r="W10" s="16" t="n">
        <x:v>45629</x:v>
      </x:c>
      <x:c r="X10" s="10" t="str">
        <x:v>Иврит предполагается по заголовку и источнику</x:v>
      </x:c>
      <x:c r="Y10" s="10" t="str">
        <x:v>Автоматическая дорожка HE по метаданным</x:v>
      </x:c>
      <x:c r="Z10" s="10" t="str">
        <x:v>Разрешено по метаданным</x:v>
      </x:c>
      <x:c r="AA10" s="10" t="str">
        <x:v>Метаданные видео; воспроизведение и содержание не проверены</x:v>
      </x:c>
      <x:c r="AB10" s="13" t="n">
        <x:f>IF(AND(ISNUMBER(H10),ISNUMBER(W10)),H10/MAX(1,'Обзор'!$B$4-W10),"")</x:f>
        <x:v>5127.9145802650955</x:v>
      </x:c>
      <x:c r="AC10" s="17" t="str">
        <x:v>Не решено</x:v>
      </x:c>
      <x:c r="AD10" s="17" t="str">
        <x:v>Не проверено</x:v>
      </x:c>
      <x:c r="AE10" s="17" t="str">
        <x:v>Не проверено</x:v>
      </x:c>
      <x:c r="AF10" s="17" t="str">
        <x:v>Не проверено</x:v>
      </x:c>
      <x:c r="AG10" s="17" t="str">
        <x:v>Не решено</x:v>
      </x:c>
      <x:c r="AH10" s="17" t="str">
        <x:v>Не проверено</x:v>
      </x:c>
      <x:c r="AI10" s="10" t="str">
        <x:f>IF(AC10="Отклонить","Отклонено",IF(AND(AC10="Взять",COUNTIFS(AD10:AH10,"Да")=5),"Готово","Нужна редактура"))</x:f>
        <x:v>Нужна редактура</x:v>
      </x:c>
      <x:c r="AJ10" s="17" t="str"/>
      <x:c r="AK10" s="9" t="str">
        <x:v>https://www.youtube.com/playlist?list=PLLttfoK87AdW1TI5VZVTlGvQ4LpPAiP-n</x:v>
      </x:c>
      <x:c r="AL10" s="9" t="n">
        <x:v>4</x:v>
      </x:c>
      <x:c r="AM10" s="9" t="n">
        <x:v>4</x:v>
      </x:c>
      <x:c r="AN10" s="9" t="n">
        <x:v>0</x:v>
      </x:c>
    </x:row>
    <x:row r="11" ht="60" customHeight="1">
      <x:c r="A11" s="9" t="str">
        <x:v>hqyK0VQVsPQ</x:v>
      </x:c>
      <x:c r="B11" s="10" t="str">
        <x:v>קופה ראשית עונה 5 🛒 | פרק 5 - טלפונובלה</x:v>
      </x:c>
      <x:c r="C11" s="10" t="str">
        <x:v>Повседневность и юмор</x:v>
      </x:c>
      <x:c r="D11" s="9" t="str">
        <x:v>Сериал</x:v>
      </x:c>
      <x:c r="E11" s="10" t="str">
        <x:v>Сериалы; разговорный иврит; новые репатрианты</x:v>
      </x:c>
      <x:c r="F11" s="10" t="str">
        <x:v>B1–B2 (гипотеза)</x:v>
      </x:c>
      <x:c r="G11" s="12" t="n">
        <x:v>23.2</x:v>
      </x:c>
      <x:c r="H11" s="14" t="n">
        <x:v>4626157</x:v>
      </x:c>
      <x:c r="I11" s="15" t="str">
        <x:v>Точный счётчик метаданных видео</x:v>
      </x:c>
      <x:c r="J11" s="14" t="n">
        <x:v>4600000</x:v>
      </x:c>
      <x:c r="K11" s="14" t="n">
        <x:v>3150000</x:v>
      </x:c>
      <x:c r="L11" s="12" t="n">
        <x:f>IF(COUNT(J11:K11)=2,IF(K11=0,"",J11/K11),"")</x:f>
        <x:v>1.4603174603174602</x:v>
      </x:c>
      <x:c r="M11" s="10" t="str">
        <x:v>Эпизод 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11" s="10" t="str">
        <x:v>Выбрать диалог 2–4 минуты: просьбы, возражения, разговорные сокращения. Разыграть сцену.</x:v>
      </x:c>
      <x:c r="O11" s="10" t="str">
        <x:v>Сарказм, стереотипы, грубая речь; проверить выпуск</x:v>
      </x:c>
      <x:c r="P11" s="10" t="str">
        <x:v>Полная серия — кандидат</x:v>
      </x:c>
      <x:c r="Q11" s="9" t="str">
        <x:v>Нет</x:v>
      </x:c>
      <x:c r="R11" s="9" t="str">
        <x:v>C001</x:v>
      </x:c>
      <x:c r="S11" s="9" t="str">
        <x:v>C001</x:v>
      </x:c>
      <x:c r="T11" s="10" t="str">
        <x:v>כאן 11 - תאגיד השידור הישראלי</x:v>
      </x:c>
      <x:c r="U11" s="11" t="str">
        <x:v>https://www.youtube.com/watch?v=hqyK0VQVsPQ</x:v>
      </x:c>
      <x:c r="V11" s="16" t="n">
        <x:v>46308</x:v>
      </x:c>
      <x:c r="W11" s="16" t="n">
        <x:v>45636</x:v>
      </x:c>
      <x:c r="X11" s="10" t="str">
        <x:v>Иврит предполагается по заголовку и источнику</x:v>
      </x:c>
      <x:c r="Y11" s="10" t="str">
        <x:v>Автоматическая дорожка HE по метаданным</x:v>
      </x:c>
      <x:c r="Z11" s="10" t="str">
        <x:v>Разрешено по метаданным</x:v>
      </x:c>
      <x:c r="AA11" s="10" t="str">
        <x:v>Метаданные видео; воспроизведение и содержание не проверены</x:v>
      </x:c>
      <x:c r="AB11" s="13" t="n">
        <x:f>IF(AND(ISNUMBER(H11),ISNUMBER(W11)),H11/MAX(1,'Обзор'!$B$4-W11),"")</x:f>
        <x:v>6884.162202380952</x:v>
      </x:c>
      <x:c r="AC11" s="17" t="str">
        <x:v>Не решено</x:v>
      </x:c>
      <x:c r="AD11" s="17" t="str">
        <x:v>Не проверено</x:v>
      </x:c>
      <x:c r="AE11" s="17" t="str">
        <x:v>Не проверено</x:v>
      </x:c>
      <x:c r="AF11" s="17" t="str">
        <x:v>Не проверено</x:v>
      </x:c>
      <x:c r="AG11" s="17" t="str">
        <x:v>Не решено</x:v>
      </x:c>
      <x:c r="AH11" s="17" t="str">
        <x:v>Не проверено</x:v>
      </x:c>
      <x:c r="AI11" s="10" t="str">
        <x:f>IF(AC11="Отклонить","Отклонено",IF(AND(AC11="Взять",COUNTIFS(AD11:AH11,"Да")=5),"Готово","Нужна редактура"))</x:f>
        <x:v>Нужна редактура</x:v>
      </x:c>
      <x:c r="AJ11" s="17" t="str"/>
      <x:c r="AK11" s="9" t="str">
        <x:v>https://www.youtube.com/playlist?list=PLLttfoK87AdW1TI5VZVTlGvQ4LpPAiP-n</x:v>
      </x:c>
      <x:c r="AL11" s="9" t="n">
        <x:v>5</x:v>
      </x:c>
      <x:c r="AM11" s="9" t="n">
        <x:v>5</x:v>
      </x:c>
      <x:c r="AN11" s="9" t="n">
        <x:v>0</x:v>
      </x:c>
    </x:row>
    <x:row r="12" ht="60" customHeight="1">
      <x:c r="A12" s="9" t="str">
        <x:v>9m-aRG2DHYk</x:v>
      </x:c>
      <x:c r="B12" s="10" t="str">
        <x:v>קופה ראשית עונה 5 🛒 | פרק 6 - גזענות קירחים</x:v>
      </x:c>
      <x:c r="C12" s="10" t="str">
        <x:v>Повседневность и юмор</x:v>
      </x:c>
      <x:c r="D12" s="9" t="str">
        <x:v>Сериал</x:v>
      </x:c>
      <x:c r="E12" s="10" t="str">
        <x:v>Сериалы; разговорный иврит; новые репатрианты</x:v>
      </x:c>
      <x:c r="F12" s="10" t="str">
        <x:v>B1–B2 (гипотеза)</x:v>
      </x:c>
      <x:c r="G12" s="12" t="n">
        <x:v>23.6</x:v>
      </x:c>
      <x:c r="H12" s="14" t="n">
        <x:v>3254869</x:v>
      </x:c>
      <x:c r="I12" s="15" t="str">
        <x:v>Точный счётчик метаданных видео</x:v>
      </x:c>
      <x:c r="J12" s="14" t="n">
        <x:v>3200000</x:v>
      </x:c>
      <x:c r="K12" s="14" t="n">
        <x:v>3150000</x:v>
      </x:c>
      <x:c r="L12" s="12" t="n">
        <x:f>IF(COUNT(J12:K12)=2,IF(K12=0,"",J12/K12),"")</x:f>
        <x:v>1.0158730158730158</x:v>
      </x:c>
      <x:c r="M12" s="10" t="str">
        <x:v>Эпизод 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12" s="10" t="str">
        <x:v>Выбрать диалог 2–4 минуты: просьбы, возражения, разговорные сокращения. Разыграть сцену.</x:v>
      </x:c>
      <x:c r="O12" s="10" t="str">
        <x:v>Сарказм, стереотипы, грубая речь; проверить выпуск</x:v>
      </x:c>
      <x:c r="P12" s="10" t="str">
        <x:v>Полная серия — кандидат</x:v>
      </x:c>
      <x:c r="Q12" s="9" t="str">
        <x:v>Нет</x:v>
      </x:c>
      <x:c r="R12" s="9" t="str">
        <x:v>C001</x:v>
      </x:c>
      <x:c r="S12" s="9" t="str">
        <x:v>C001</x:v>
      </x:c>
      <x:c r="T12" s="10" t="str">
        <x:v>כאן 11 - תאגיד השידור הישראלי</x:v>
      </x:c>
      <x:c r="U12" s="11" t="str">
        <x:v>https://www.youtube.com/watch?v=9m-aRG2DHYk</x:v>
      </x:c>
      <x:c r="V12" s="16" t="n">
        <x:v>46308</x:v>
      </x:c>
      <x:c r="W12" s="16" t="n">
        <x:v>45643</x:v>
      </x:c>
      <x:c r="X12" s="10" t="str">
        <x:v>iw</x:v>
      </x:c>
      <x:c r="Y12" s="10" t="str">
        <x:v>Автоматическая дорожка HE по метаданным</x:v>
      </x:c>
      <x:c r="Z12" s="10" t="str">
        <x:v>Разрешено по метаданным</x:v>
      </x:c>
      <x:c r="AA12" s="10" t="str">
        <x:v>Метаданные видео; воспроизведение и содержание не проверены</x:v>
      </x:c>
      <x:c r="AB12" s="13" t="n">
        <x:f>IF(AND(ISNUMBER(H12),ISNUMBER(W12)),H12/MAX(1,'Обзор'!$B$4-W12),"")</x:f>
        <x:v>4894.5398496240605</x:v>
      </x:c>
      <x:c r="AC12" s="17" t="str">
        <x:v>Не решено</x:v>
      </x:c>
      <x:c r="AD12" s="17" t="str">
        <x:v>Не проверено</x:v>
      </x:c>
      <x:c r="AE12" s="17" t="str">
        <x:v>Не проверено</x:v>
      </x:c>
      <x:c r="AF12" s="17" t="str">
        <x:v>Не проверено</x:v>
      </x:c>
      <x:c r="AG12" s="17" t="str">
        <x:v>Не решено</x:v>
      </x:c>
      <x:c r="AH12" s="17" t="str">
        <x:v>Не проверено</x:v>
      </x:c>
      <x:c r="AI12" s="10" t="str">
        <x:f>IF(AC12="Отклонить","Отклонено",IF(AND(AC12="Взять",COUNTIFS(AD12:AH12,"Да")=5),"Готово","Нужна редактура"))</x:f>
        <x:v>Нужна редактура</x:v>
      </x:c>
      <x:c r="AJ12" s="17" t="str"/>
      <x:c r="AK12" s="9" t="str">
        <x:v>https://www.youtube.com/playlist?list=PLLttfoK87AdW1TI5VZVTlGvQ4LpPAiP-n</x:v>
      </x:c>
      <x:c r="AL12" s="9" t="n">
        <x:v>6</x:v>
      </x:c>
      <x:c r="AM12" s="9" t="n">
        <x:v>6</x:v>
      </x:c>
      <x:c r="AN12" s="9" t="n">
        <x:v>0</x:v>
      </x:c>
    </x:row>
    <x:row r="13" ht="60" customHeight="1">
      <x:c r="A13" s="9" t="str">
        <x:v>KMR00mcwuHw</x:v>
      </x:c>
      <x:c r="B13" s="10" t="str">
        <x:v>קופה ראשית עונה 5 🛒 | פרק 7 - אבא של כוכבה</x:v>
      </x:c>
      <x:c r="C13" s="10" t="str">
        <x:v>Повседневность и юмор</x:v>
      </x:c>
      <x:c r="D13" s="9" t="str">
        <x:v>Сериал</x:v>
      </x:c>
      <x:c r="E13" s="10" t="str">
        <x:v>Сериалы; разговорный иврит; новые репатрианты</x:v>
      </x:c>
      <x:c r="F13" s="10" t="str">
        <x:v>B1–B2 (гипотеза)</x:v>
      </x:c>
      <x:c r="G13" s="12" t="n">
        <x:v>25.9</x:v>
      </x:c>
      <x:c r="H13" s="14" t="n">
        <x:v>2909358</x:v>
      </x:c>
      <x:c r="I13" s="15" t="str">
        <x:v>Точный счётчик метаданных видео</x:v>
      </x:c>
      <x:c r="J13" s="14" t="n">
        <x:v>2900000</x:v>
      </x:c>
      <x:c r="K13" s="14" t="n">
        <x:v>3150000</x:v>
      </x:c>
      <x:c r="L13" s="12" t="n">
        <x:f>IF(COUNT(J13:K13)=2,IF(K13=0,"",J13/K13),"")</x:f>
        <x:v>0.9206349206349206</x:v>
      </x:c>
      <x:c r="M13" s="10" t="str">
        <x:v>Эпизод 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13" s="10" t="str">
        <x:v>Выбрать диалог 2–4 минуты: просьбы, возражения, разговорные сокращения. Разыграть сцену.</x:v>
      </x:c>
      <x:c r="O13" s="10" t="str">
        <x:v>Сарказм, стереотипы, грубая речь; проверить выпуск</x:v>
      </x:c>
      <x:c r="P13" s="10" t="str">
        <x:v>Полная серия — кандидат</x:v>
      </x:c>
      <x:c r="Q13" s="9" t="str">
        <x:v>Нет</x:v>
      </x:c>
      <x:c r="R13" s="9" t="str">
        <x:v>C001</x:v>
      </x:c>
      <x:c r="S13" s="9" t="str">
        <x:v>C001</x:v>
      </x:c>
      <x:c r="T13" s="10" t="str">
        <x:v>כאן 11 - תאגיד השידור הישראלי</x:v>
      </x:c>
      <x:c r="U13" s="11" t="str">
        <x:v>https://www.youtube.com/watch?v=KMR00mcwuHw</x:v>
      </x:c>
      <x:c r="V13" s="16" t="n">
        <x:v>46308</x:v>
      </x:c>
      <x:c r="W13" s="16" t="n">
        <x:v>45650</x:v>
      </x:c>
      <x:c r="X13" s="10" t="str">
        <x:v>Иврит предполагается по заголовку и источнику</x:v>
      </x:c>
      <x:c r="Y13" s="10" t="str">
        <x:v>Автоматическая дорожка HE по метаданным</x:v>
      </x:c>
      <x:c r="Z13" s="10" t="str">
        <x:v>Разрешено по метаданным</x:v>
      </x:c>
      <x:c r="AA13" s="10" t="str">
        <x:v>Метаданные видео; воспроизведение и содержание не проверены</x:v>
      </x:c>
      <x:c r="AB13" s="13" t="n">
        <x:f>IF(AND(ISNUMBER(H13),ISNUMBER(W13)),H13/MAX(1,'Обзор'!$B$4-W13),"")</x:f>
        <x:v>4421.516717325228</x:v>
      </x:c>
      <x:c r="AC13" s="17" t="str">
        <x:v>Не решено</x:v>
      </x:c>
      <x:c r="AD13" s="17" t="str">
        <x:v>Не проверено</x:v>
      </x:c>
      <x:c r="AE13" s="17" t="str">
        <x:v>Не проверено</x:v>
      </x:c>
      <x:c r="AF13" s="17" t="str">
        <x:v>Не проверено</x:v>
      </x:c>
      <x:c r="AG13" s="17" t="str">
        <x:v>Не решено</x:v>
      </x:c>
      <x:c r="AH13" s="17" t="str">
        <x:v>Не проверено</x:v>
      </x:c>
      <x:c r="AI13" s="10" t="str">
        <x:f>IF(AC13="Отклонить","Отклонено",IF(AND(AC13="Взять",COUNTIFS(AD13:AH13,"Да")=5),"Готово","Нужна редактура"))</x:f>
        <x:v>Нужна редактура</x:v>
      </x:c>
      <x:c r="AJ13" s="17" t="str"/>
      <x:c r="AK13" s="9" t="str">
        <x:v>https://www.youtube.com/playlist?list=PLLttfoK87AdW1TI5VZVTlGvQ4LpPAiP-n</x:v>
      </x:c>
      <x:c r="AL13" s="9" t="n">
        <x:v>7</x:v>
      </x:c>
      <x:c r="AM13" s="9" t="n">
        <x:v>7</x:v>
      </x:c>
      <x:c r="AN13" s="9" t="n">
        <x:v>0</x:v>
      </x:c>
    </x:row>
    <x:row r="14" ht="60" customHeight="1">
      <x:c r="A14" s="9" t="str">
        <x:v>Pqp5r24VXHI</x:v>
      </x:c>
      <x:c r="B14" s="10" t="str">
        <x:v>קופה ראשית עונה 5 🛒 | פרק 8 - התרומה</x:v>
      </x:c>
      <x:c r="C14" s="10" t="str">
        <x:v>Повседневность и юмор</x:v>
      </x:c>
      <x:c r="D14" s="9" t="str">
        <x:v>Сериал</x:v>
      </x:c>
      <x:c r="E14" s="10" t="str">
        <x:v>Сериалы; разговорный иврит; новые репатрианты</x:v>
      </x:c>
      <x:c r="F14" s="10" t="str">
        <x:v>B1–B2 (гипотеза)</x:v>
      </x:c>
      <x:c r="G14" s="12" t="n">
        <x:v>25</x:v>
      </x:c>
      <x:c r="H14" s="14" t="n">
        <x:v>2348263</x:v>
      </x:c>
      <x:c r="I14" s="15" t="str">
        <x:v>Точный счётчик метаданных видео</x:v>
      </x:c>
      <x:c r="J14" s="14" t="n">
        <x:v>2300000</x:v>
      </x:c>
      <x:c r="K14" s="14" t="n">
        <x:v>3150000</x:v>
      </x:c>
      <x:c r="L14" s="12" t="n">
        <x:f>IF(COUNT(J14:K14)=2,IF(K14=0,"",J14/K14),"")</x:f>
        <x:v>0.7301587301587301</x:v>
      </x:c>
      <x:c r="M14" s="10" t="str">
        <x:v>Эпизод 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14" s="10" t="str">
        <x:v>Выбрать диалог 2–4 минуты: просьбы, возражения, разговорные сокращения. Разыграть сцену.</x:v>
      </x:c>
      <x:c r="O14" s="10" t="str">
        <x:v>Сарказм, стереотипы, грубая речь; проверить выпуск</x:v>
      </x:c>
      <x:c r="P14" s="10" t="str">
        <x:v>Полная серия — кандидат</x:v>
      </x:c>
      <x:c r="Q14" s="9" t="str">
        <x:v>Нет</x:v>
      </x:c>
      <x:c r="R14" s="9" t="str">
        <x:v>C001</x:v>
      </x:c>
      <x:c r="S14" s="9" t="str">
        <x:v>C001</x:v>
      </x:c>
      <x:c r="T14" s="10" t="str">
        <x:v>כאן 11 - תאגיד השידור הישראלי</x:v>
      </x:c>
      <x:c r="U14" s="11" t="str">
        <x:v>https://www.youtube.com/watch?v=Pqp5r24VXHI</x:v>
      </x:c>
      <x:c r="V14" s="16" t="n">
        <x:v>46308</x:v>
      </x:c>
      <x:c r="W14" s="16" t="n">
        <x:v>45657</x:v>
      </x:c>
      <x:c r="X14" s="10" t="str">
        <x:v>Иврит предполагается по заголовку и источнику</x:v>
      </x:c>
      <x:c r="Y14" s="10" t="str">
        <x:v>Автоматическая дорожка HE по метаданным</x:v>
      </x:c>
      <x:c r="Z14" s="10" t="str">
        <x:v>Разрешено по метаданным</x:v>
      </x:c>
      <x:c r="AA14" s="10" t="str">
        <x:v>Метаданные видео; воспроизведение и содержание не проверены</x:v>
      </x:c>
      <x:c r="AB14" s="13" t="n">
        <x:f>IF(AND(ISNUMBER(H14),ISNUMBER(W14)),H14/MAX(1,'Обзор'!$B$4-W14),"")</x:f>
        <x:v>3607.1628264208907</x:v>
      </x:c>
      <x:c r="AC14" s="17" t="str">
        <x:v>Не решено</x:v>
      </x:c>
      <x:c r="AD14" s="17" t="str">
        <x:v>Не проверено</x:v>
      </x:c>
      <x:c r="AE14" s="17" t="str">
        <x:v>Не проверено</x:v>
      </x:c>
      <x:c r="AF14" s="17" t="str">
        <x:v>Не проверено</x:v>
      </x:c>
      <x:c r="AG14" s="17" t="str">
        <x:v>Не решено</x:v>
      </x:c>
      <x:c r="AH14" s="17" t="str">
        <x:v>Не проверено</x:v>
      </x:c>
      <x:c r="AI14" s="10" t="str">
        <x:f>IF(AC14="Отклонить","Отклонено",IF(AND(AC14="Взять",COUNTIFS(AD14:AH14,"Да")=5),"Готово","Нужна редактура"))</x:f>
        <x:v>Нужна редактура</x:v>
      </x:c>
      <x:c r="AJ14" s="17" t="str"/>
      <x:c r="AK14" s="9" t="str">
        <x:v>https://www.youtube.com/playlist?list=PLLttfoK87AdW1TI5VZVTlGvQ4LpPAiP-n</x:v>
      </x:c>
      <x:c r="AL14" s="9" t="n">
        <x:v>8</x:v>
      </x:c>
      <x:c r="AM14" s="9" t="n">
        <x:v>8</x:v>
      </x:c>
      <x:c r="AN14" s="9" t="n">
        <x:v>0</x:v>
      </x:c>
    </x:row>
    <x:row r="15" ht="60" customHeight="1">
      <x:c r="A15" s="9" t="str">
        <x:v>YvxVA7sxdks</x:v>
      </x:c>
      <x:c r="B15" s="10" t="str">
        <x:v>קופה ראשית עונה 5 🛒 | פרק 9 - לדפוק חתונה</x:v>
      </x:c>
      <x:c r="C15" s="10" t="str">
        <x:v>Повседневность и юмор</x:v>
      </x:c>
      <x:c r="D15" s="9" t="str">
        <x:v>Сериал</x:v>
      </x:c>
      <x:c r="E15" s="10" t="str">
        <x:v>Сериалы; разговорный иврит; новые репатрианты</x:v>
      </x:c>
      <x:c r="F15" s="10" t="str">
        <x:v>B1–B2 (гипотеза)</x:v>
      </x:c>
      <x:c r="G15" s="12" t="n">
        <x:v>22.3</x:v>
      </x:c>
      <x:c r="H15" s="14" t="n">
        <x:v>3188088</x:v>
      </x:c>
      <x:c r="I15" s="15" t="str">
        <x:v>Точный счётчик метаданных видео</x:v>
      </x:c>
      <x:c r="J15" s="14" t="n">
        <x:v>3100000</x:v>
      </x:c>
      <x:c r="K15" s="14" t="n">
        <x:v>3150000</x:v>
      </x:c>
      <x:c r="L15" s="12" t="n">
        <x:f>IF(COUNT(J15:K15)=2,IF(K15=0,"",J15/K15),"")</x:f>
        <x:v>0.9841269841269841</x:v>
      </x:c>
      <x:c r="M15" s="10" t="str">
        <x:v>Эпизод 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15" s="10" t="str">
        <x:v>Выбрать диалог 2–4 минуты: просьбы, возражения, разговорные сокращения. Разыграть сцену.</x:v>
      </x:c>
      <x:c r="O15" s="10" t="str">
        <x:v>Сарказм, стереотипы, грубая речь; проверить выпуск</x:v>
      </x:c>
      <x:c r="P15" s="10" t="str">
        <x:v>Полная серия — кандидат</x:v>
      </x:c>
      <x:c r="Q15" s="9" t="str">
        <x:v>Нет</x:v>
      </x:c>
      <x:c r="R15" s="9" t="str">
        <x:v>C001</x:v>
      </x:c>
      <x:c r="S15" s="9" t="str">
        <x:v>C001</x:v>
      </x:c>
      <x:c r="T15" s="10" t="str">
        <x:v>כאן 11 - תאגיד השידור הישראלי</x:v>
      </x:c>
      <x:c r="U15" s="11" t="str">
        <x:v>https://www.youtube.com/watch?v=YvxVA7sxdks</x:v>
      </x:c>
      <x:c r="V15" s="16" t="n">
        <x:v>46308</x:v>
      </x:c>
      <x:c r="W15" s="16" t="n">
        <x:v>45664</x:v>
      </x:c>
      <x:c r="X15" s="10" t="str">
        <x:v>Иврит предполагается по заголовку и источнику</x:v>
      </x:c>
      <x:c r="Y15" s="10" t="str">
        <x:v>Автоматическая дорожка HE по метаданным</x:v>
      </x:c>
      <x:c r="Z15" s="10" t="str">
        <x:v>Разрешено по метаданным</x:v>
      </x:c>
      <x:c r="AA15" s="10" t="str">
        <x:v>Метаданные видео; воспроизведение и содержание не проверены</x:v>
      </x:c>
      <x:c r="AB15" s="13" t="n">
        <x:f>IF(AND(ISNUMBER(H15),ISNUMBER(W15)),H15/MAX(1,'Обзор'!$B$4-W15),"")</x:f>
        <x:v>4950.447204968944</x:v>
      </x:c>
      <x:c r="AC15" s="17" t="str">
        <x:v>Не решено</x:v>
      </x:c>
      <x:c r="AD15" s="17" t="str">
        <x:v>Не проверено</x:v>
      </x:c>
      <x:c r="AE15" s="17" t="str">
        <x:v>Не проверено</x:v>
      </x:c>
      <x:c r="AF15" s="17" t="str">
        <x:v>Не проверено</x:v>
      </x:c>
      <x:c r="AG15" s="17" t="str">
        <x:v>Не решено</x:v>
      </x:c>
      <x:c r="AH15" s="17" t="str">
        <x:v>Не проверено</x:v>
      </x:c>
      <x:c r="AI15" s="10" t="str">
        <x:f>IF(AC15="Отклонить","Отклонено",IF(AND(AC15="Взять",COUNTIFS(AD15:AH15,"Да")=5),"Готово","Нужна редактура"))</x:f>
        <x:v>Нужна редактура</x:v>
      </x:c>
      <x:c r="AJ15" s="17" t="str"/>
      <x:c r="AK15" s="9" t="str">
        <x:v>https://www.youtube.com/playlist?list=PLLttfoK87AdW1TI5VZVTlGvQ4LpPAiP-n</x:v>
      </x:c>
      <x:c r="AL15" s="9" t="n">
        <x:v>9</x:v>
      </x:c>
      <x:c r="AM15" s="9" t="n">
        <x:v>9</x:v>
      </x:c>
      <x:c r="AN15" s="9" t="n">
        <x:v>0</x:v>
      </x:c>
    </x:row>
    <x:row r="16" ht="60" customHeight="1">
      <x:c r="A16" s="9" t="str">
        <x:v>Np6j5oLwLts</x:v>
      </x:c>
      <x:c r="B16" s="10" t="str">
        <x:v>קופה ראשית עונה 5 🛒 | פרק 10 - הטיפ של ראמזי</x:v>
      </x:c>
      <x:c r="C16" s="10" t="str">
        <x:v>Повседневность и юмор</x:v>
      </x:c>
      <x:c r="D16" s="9" t="str">
        <x:v>Сериал</x:v>
      </x:c>
      <x:c r="E16" s="10" t="str">
        <x:v>Сериалы; разговорный иврит; новые репатрианты</x:v>
      </x:c>
      <x:c r="F16" s="10" t="str">
        <x:v>B1–B2 (гипотеза)</x:v>
      </x:c>
      <x:c r="G16" s="12" t="n">
        <x:v>23.4</x:v>
      </x:c>
      <x:c r="H16" s="14" t="n">
        <x:v>2461182</x:v>
      </x:c>
      <x:c r="I16" s="15" t="str">
        <x:v>Точный счётчик метаданных видео</x:v>
      </x:c>
      <x:c r="J16" s="14" t="n">
        <x:v>2400000</x:v>
      </x:c>
      <x:c r="K16" s="14" t="n">
        <x:v>3150000</x:v>
      </x:c>
      <x:c r="L16" s="12" t="n">
        <x:f>IF(COUNT(J16:K16)=2,IF(K16=0,"",J16/K16),"")</x:f>
        <x:v>0.7619047619047619</x:v>
      </x:c>
      <x:c r="M16" s="10" t="str">
        <x:v>Эпизод 10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16" s="10" t="str">
        <x:v>Выбрать диалог 2–4 минуты: просьбы, возражения, разговорные сокращения. Разыграть сцену.</x:v>
      </x:c>
      <x:c r="O16" s="10" t="str">
        <x:v>Сарказм, стереотипы, грубая речь; проверить выпуск</x:v>
      </x:c>
      <x:c r="P16" s="10" t="str">
        <x:v>Полная серия — кандидат</x:v>
      </x:c>
      <x:c r="Q16" s="9" t="str">
        <x:v>Нет</x:v>
      </x:c>
      <x:c r="R16" s="9" t="str">
        <x:v>C001</x:v>
      </x:c>
      <x:c r="S16" s="9" t="str">
        <x:v>C001</x:v>
      </x:c>
      <x:c r="T16" s="10" t="str">
        <x:v>כאן 11 - תאגיד השידור הישראלי</x:v>
      </x:c>
      <x:c r="U16" s="11" t="str">
        <x:v>https://www.youtube.com/watch?v=Np6j5oLwLts</x:v>
      </x:c>
      <x:c r="V16" s="16" t="n">
        <x:v>46308</x:v>
      </x:c>
      <x:c r="W16" s="16" t="n">
        <x:v>45671</x:v>
      </x:c>
      <x:c r="X16" s="10" t="str">
        <x:v>Иврит предполагается по заголовку и источнику</x:v>
      </x:c>
      <x:c r="Y16" s="10" t="str">
        <x:v>Дорожка HE не найдена в метаданных; вшитые титры не проверены</x:v>
      </x:c>
      <x:c r="Z16" s="10" t="str">
        <x:v>Разрешено по метаданным</x:v>
      </x:c>
      <x:c r="AA16" s="10" t="str">
        <x:v>Метаданные видео; воспроизведение и содержание не проверены</x:v>
      </x:c>
      <x:c r="AB16" s="13" t="n">
        <x:f>IF(AND(ISNUMBER(H16),ISNUMBER(W16)),H16/MAX(1,'Обзор'!$B$4-W16),"")</x:f>
        <x:v>3863.708006279435</x:v>
      </x:c>
      <x:c r="AC16" s="17" t="str">
        <x:v>Не решено</x:v>
      </x:c>
      <x:c r="AD16" s="17" t="str">
        <x:v>Не проверено</x:v>
      </x:c>
      <x:c r="AE16" s="17" t="str">
        <x:v>Не проверено</x:v>
      </x:c>
      <x:c r="AF16" s="17" t="str">
        <x:v>Не проверено</x:v>
      </x:c>
      <x:c r="AG16" s="17" t="str">
        <x:v>Не решено</x:v>
      </x:c>
      <x:c r="AH16" s="17" t="str">
        <x:v>Не проверено</x:v>
      </x:c>
      <x:c r="AI16" s="10" t="str">
        <x:f>IF(AC16="Отклонить","Отклонено",IF(AND(AC16="Взять",COUNTIFS(AD16:AH16,"Да")=5),"Готово","Нужна редактура"))</x:f>
        <x:v>Нужна редактура</x:v>
      </x:c>
      <x:c r="AJ16" s="17" t="str"/>
      <x:c r="AK16" s="9" t="str">
        <x:v>https://www.youtube.com/playlist?list=PLLttfoK87AdW1TI5VZVTlGvQ4LpPAiP-n</x:v>
      </x:c>
      <x:c r="AL16" s="9" t="n">
        <x:v>10</x:v>
      </x:c>
      <x:c r="AM16" s="9" t="n">
        <x:v>10</x:v>
      </x:c>
      <x:c r="AN16" s="9" t="n">
        <x:v>0</x:v>
      </x:c>
    </x:row>
    <x:row r="17" ht="60" customHeight="1">
      <x:c r="A17" s="9" t="str">
        <x:v>f_DGjoiaGVM</x:v>
      </x:c>
      <x:c r="B17" s="10" t="str">
        <x:v>קופה ראשית עונה 5 🛒 | פרק 11 - הקללה של שירה</x:v>
      </x:c>
      <x:c r="C17" s="10" t="str">
        <x:v>Повседневность и юмор</x:v>
      </x:c>
      <x:c r="D17" s="9" t="str">
        <x:v>Сериал</x:v>
      </x:c>
      <x:c r="E17" s="10" t="str">
        <x:v>Сериалы; разговорный иврит; новые репатрианты</x:v>
      </x:c>
      <x:c r="F17" s="10" t="str">
        <x:v>B1–B2 (гипотеза)</x:v>
      </x:c>
      <x:c r="G17" s="12" t="n">
        <x:v>24.8</x:v>
      </x:c>
      <x:c r="H17" s="14" t="n">
        <x:v>2686887</x:v>
      </x:c>
      <x:c r="I17" s="15" t="str">
        <x:v>Точный счётчик метаданных видео</x:v>
      </x:c>
      <x:c r="J17" s="14" t="n">
        <x:v>2600000</x:v>
      </x:c>
      <x:c r="K17" s="14" t="n">
        <x:v>3150000</x:v>
      </x:c>
      <x:c r="L17" s="12" t="n">
        <x:f>IF(COUNT(J17:K17)=2,IF(K17=0,"",J17/K17),"")</x:f>
        <x:v>0.8253968253968254</x:v>
      </x:c>
      <x:c r="M17" s="10" t="str">
        <x:v>Эпизод 11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17" s="10" t="str">
        <x:v>Выбрать диалог 2–4 минуты: просьбы, возражения, разговорные сокращения. Разыграть сцену.</x:v>
      </x:c>
      <x:c r="O17" s="10" t="str">
        <x:v>Сарказм, стереотипы, грубая речь; проверить выпуск</x:v>
      </x:c>
      <x:c r="P17" s="10" t="str">
        <x:v>Полная серия — кандидат</x:v>
      </x:c>
      <x:c r="Q17" s="9" t="str">
        <x:v>Нет</x:v>
      </x:c>
      <x:c r="R17" s="9" t="str">
        <x:v>C001</x:v>
      </x:c>
      <x:c r="S17" s="9" t="str">
        <x:v>C001</x:v>
      </x:c>
      <x:c r="T17" s="10" t="str">
        <x:v>כאן 11 - תאגיד השידור הישראלי</x:v>
      </x:c>
      <x:c r="U17" s="11" t="str">
        <x:v>https://www.youtube.com/watch?v=f_DGjoiaGVM</x:v>
      </x:c>
      <x:c r="V17" s="16" t="n">
        <x:v>46308</x:v>
      </x:c>
      <x:c r="W17" s="16" t="n">
        <x:v>45678</x:v>
      </x:c>
      <x:c r="X17" s="10" t="str">
        <x:v>Иврит предполагается по заголовку и источнику</x:v>
      </x:c>
      <x:c r="Y17" s="10" t="str">
        <x:v>Автоматическая дорожка HE по метаданным</x:v>
      </x:c>
      <x:c r="Z17" s="10" t="str">
        <x:v>Разрешено по метаданным</x:v>
      </x:c>
      <x:c r="AA17" s="10" t="str">
        <x:v>Метаданные видео; воспроизведение и содержание не проверены</x:v>
      </x:c>
      <x:c r="AB17" s="13" t="n">
        <x:f>IF(AND(ISNUMBER(H17),ISNUMBER(W17)),H17/MAX(1,'Обзор'!$B$4-W17),"")</x:f>
        <x:v>4264.9</x:v>
      </x:c>
      <x:c r="AC17" s="17" t="str">
        <x:v>Не решено</x:v>
      </x:c>
      <x:c r="AD17" s="17" t="str">
        <x:v>Не проверено</x:v>
      </x:c>
      <x:c r="AE17" s="17" t="str">
        <x:v>Не проверено</x:v>
      </x:c>
      <x:c r="AF17" s="17" t="str">
        <x:v>Не проверено</x:v>
      </x:c>
      <x:c r="AG17" s="17" t="str">
        <x:v>Не решено</x:v>
      </x:c>
      <x:c r="AH17" s="17" t="str">
        <x:v>Не проверено</x:v>
      </x:c>
      <x:c r="AI17" s="10" t="str">
        <x:f>IF(AC17="Отклонить","Отклонено",IF(AND(AC17="Взять",COUNTIFS(AD17:AH17,"Да")=5),"Готово","Нужна редактура"))</x:f>
        <x:v>Нужна редактура</x:v>
      </x:c>
      <x:c r="AJ17" s="17" t="str"/>
      <x:c r="AK17" s="9" t="str">
        <x:v>https://www.youtube.com/playlist?list=PLLttfoK87AdW1TI5VZVTlGvQ4LpPAiP-n</x:v>
      </x:c>
      <x:c r="AL17" s="9" t="n">
        <x:v>11</x:v>
      </x:c>
      <x:c r="AM17" s="9" t="n">
        <x:v>11</x:v>
      </x:c>
      <x:c r="AN17" s="9" t="n">
        <x:v>0</x:v>
      </x:c>
    </x:row>
    <x:row r="18" ht="60" customHeight="1">
      <x:c r="A18" s="9" t="str">
        <x:v>3Pn6rOarD9w</x:v>
      </x:c>
      <x:c r="B18" s="10" t="str">
        <x:v>קופה ראשית עונה 5 🛒 | פרק 12 - אחות של כוכבה</x:v>
      </x:c>
      <x:c r="C18" s="10" t="str">
        <x:v>Повседневность и юмор</x:v>
      </x:c>
      <x:c r="D18" s="9" t="str">
        <x:v>Сериал</x:v>
      </x:c>
      <x:c r="E18" s="10" t="str">
        <x:v>Сериалы; разговорный иврит; новые репатрианты</x:v>
      </x:c>
      <x:c r="F18" s="10" t="str">
        <x:v>B1–B2 (гипотеза)</x:v>
      </x:c>
      <x:c r="G18" s="12" t="n">
        <x:v>23.8</x:v>
      </x:c>
      <x:c r="H18" s="14" t="n">
        <x:v>3500567</x:v>
      </x:c>
      <x:c r="I18" s="15" t="str">
        <x:v>Точный счётчик метаданных видео</x:v>
      </x:c>
      <x:c r="J18" s="14" t="n">
        <x:v>3500000</x:v>
      </x:c>
      <x:c r="K18" s="14" t="n">
        <x:v>3150000</x:v>
      </x:c>
      <x:c r="L18" s="12" t="n">
        <x:f>IF(COUNT(J18:K18)=2,IF(K18=0,"",J18/K18),"")</x:f>
        <x:v>1.1111111111111112</x:v>
      </x:c>
      <x:c r="M18" s="10" t="str">
        <x:v>Эпизод 12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18" s="10" t="str">
        <x:v>Выбрать диалог 2–4 минуты: просьбы, возражения, разговорные сокращения. Разыграть сцену.</x:v>
      </x:c>
      <x:c r="O18" s="10" t="str">
        <x:v>Сарказм, стереотипы, грубая речь; проверить выпуск</x:v>
      </x:c>
      <x:c r="P18" s="10" t="str">
        <x:v>Полная серия — кандидат</x:v>
      </x:c>
      <x:c r="Q18" s="9" t="str">
        <x:v>Нет</x:v>
      </x:c>
      <x:c r="R18" s="9" t="str">
        <x:v>C001</x:v>
      </x:c>
      <x:c r="S18" s="9" t="str">
        <x:v>C001</x:v>
      </x:c>
      <x:c r="T18" s="10" t="str">
        <x:v>כאן 11 - תאגיד השידור הישראלי</x:v>
      </x:c>
      <x:c r="U18" s="11" t="str">
        <x:v>https://www.youtube.com/watch?v=3Pn6rOarD9w</x:v>
      </x:c>
      <x:c r="V18" s="16" t="n">
        <x:v>46308</x:v>
      </x:c>
      <x:c r="W18" s="16" t="n">
        <x:v>45685</x:v>
      </x:c>
      <x:c r="X18" s="10" t="str">
        <x:v>iw</x:v>
      </x:c>
      <x:c r="Y18" s="10" t="str">
        <x:v>Автоматическая дорожка HE по метаданным</x:v>
      </x:c>
      <x:c r="Z18" s="10" t="str">
        <x:v>Разрешено по метаданным</x:v>
      </x:c>
      <x:c r="AA18" s="10" t="str">
        <x:v>Метаданные видео; воспроизведение и содержание не проверены</x:v>
      </x:c>
      <x:c r="AB18" s="13" t="n">
        <x:f>IF(AND(ISNUMBER(H18),ISNUMBER(W18)),H18/MAX(1,'Обзор'!$B$4-W18),"")</x:f>
        <x:v>5618.887640449439</x:v>
      </x:c>
      <x:c r="AC18" s="17" t="str">
        <x:v>Не решено</x:v>
      </x:c>
      <x:c r="AD18" s="17" t="str">
        <x:v>Не проверено</x:v>
      </x:c>
      <x:c r="AE18" s="17" t="str">
        <x:v>Не проверено</x:v>
      </x:c>
      <x:c r="AF18" s="17" t="str">
        <x:v>Не проверено</x:v>
      </x:c>
      <x:c r="AG18" s="17" t="str">
        <x:v>Не решено</x:v>
      </x:c>
      <x:c r="AH18" s="17" t="str">
        <x:v>Не проверено</x:v>
      </x:c>
      <x:c r="AI18" s="10" t="str">
        <x:f>IF(AC18="Отклонить","Отклонено",IF(AND(AC18="Взять",COUNTIFS(AD18:AH18,"Да")=5),"Готово","Нужна редактура"))</x:f>
        <x:v>Нужна редактура</x:v>
      </x:c>
      <x:c r="AJ18" s="17" t="str"/>
      <x:c r="AK18" s="9" t="str">
        <x:v>https://www.youtube.com/playlist?list=PLLttfoK87AdW1TI5VZVTlGvQ4LpPAiP-n</x:v>
      </x:c>
      <x:c r="AL18" s="9" t="n">
        <x:v>12</x:v>
      </x:c>
      <x:c r="AM18" s="9" t="n">
        <x:v>12</x:v>
      </x:c>
      <x:c r="AN18" s="9" t="n">
        <x:v>0</x:v>
      </x:c>
    </x:row>
    <x:row r="19" ht="60" customHeight="1">
      <x:c r="A19" s="9" t="str">
        <x:v>sV_prJK6TV4</x:v>
      </x:c>
      <x:c r="B19" s="10" t="str">
        <x:v>קופה ראשית עונה 5 🛒 | פרק 13 - הו הא מי זה בא?</x:v>
      </x:c>
      <x:c r="C19" s="10" t="str">
        <x:v>Повседневность и юмор</x:v>
      </x:c>
      <x:c r="D19" s="9" t="str">
        <x:v>Сериал</x:v>
      </x:c>
      <x:c r="E19" s="10" t="str">
        <x:v>Сериалы; разговорный иврит; новые репатрианты</x:v>
      </x:c>
      <x:c r="F19" s="10" t="str">
        <x:v>B1–B2 (гипотеза)</x:v>
      </x:c>
      <x:c r="G19" s="12" t="n">
        <x:v>24.5</x:v>
      </x:c>
      <x:c r="H19" s="14" t="n">
        <x:v>3280590</x:v>
      </x:c>
      <x:c r="I19" s="15" t="str">
        <x:v>Точный счётчик метаданных видео</x:v>
      </x:c>
      <x:c r="J19" s="14" t="n">
        <x:v>3200000</x:v>
      </x:c>
      <x:c r="K19" s="14" t="n">
        <x:v>3150000</x:v>
      </x:c>
      <x:c r="L19" s="12" t="n">
        <x:f>IF(COUNT(J19:K19)=2,IF(K19=0,"",J19/K19),"")</x:f>
        <x:v>1.0158730158730158</x:v>
      </x:c>
      <x:c r="M19" s="10" t="str">
        <x:v>Эпизод 13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19" s="10" t="str">
        <x:v>Выбрать диалог 2–4 минуты: просьбы, возражения, разговорные сокращения. Разыграть сцену.</x:v>
      </x:c>
      <x:c r="O19" s="10" t="str">
        <x:v>Сарказм, стереотипы, грубая речь; проверить выпуск</x:v>
      </x:c>
      <x:c r="P19" s="10" t="str">
        <x:v>Полная серия — кандидат</x:v>
      </x:c>
      <x:c r="Q19" s="9" t="str">
        <x:v>Нет</x:v>
      </x:c>
      <x:c r="R19" s="9" t="str">
        <x:v>C001</x:v>
      </x:c>
      <x:c r="S19" s="9" t="str">
        <x:v>C001</x:v>
      </x:c>
      <x:c r="T19" s="10" t="str">
        <x:v>כאן 11 - תאגיד השידור הישראלי</x:v>
      </x:c>
      <x:c r="U19" s="11" t="str">
        <x:v>https://www.youtube.com/watch?v=sV_prJK6TV4</x:v>
      </x:c>
      <x:c r="V19" s="16" t="n">
        <x:v>46308</x:v>
      </x:c>
      <x:c r="W19" s="16" t="n">
        <x:v>45692</x:v>
      </x:c>
      <x:c r="X19" s="10" t="str">
        <x:v>Иврит предполагается по заголовку и источнику</x:v>
      </x:c>
      <x:c r="Y19" s="10" t="str">
        <x:v>Автоматическая дорожка HE по метаданным</x:v>
      </x:c>
      <x:c r="Z19" s="10" t="str">
        <x:v>Разрешено по метаданным</x:v>
      </x:c>
      <x:c r="AA19" s="10" t="str">
        <x:v>Метаданные видео; воспроизведение и содержание не проверены</x:v>
      </x:c>
      <x:c r="AB19" s="13" t="n">
        <x:f>IF(AND(ISNUMBER(H19),ISNUMBER(W19)),H19/MAX(1,'Обзор'!$B$4-W19),"")</x:f>
        <x:v>5325.633116883117</x:v>
      </x:c>
      <x:c r="AC19" s="17" t="str">
        <x:v>Не решено</x:v>
      </x:c>
      <x:c r="AD19" s="17" t="str">
        <x:v>Не проверено</x:v>
      </x:c>
      <x:c r="AE19" s="17" t="str">
        <x:v>Не проверено</x:v>
      </x:c>
      <x:c r="AF19" s="17" t="str">
        <x:v>Не проверено</x:v>
      </x:c>
      <x:c r="AG19" s="17" t="str">
        <x:v>Не решено</x:v>
      </x:c>
      <x:c r="AH19" s="17" t="str">
        <x:v>Не проверено</x:v>
      </x:c>
      <x:c r="AI19" s="10" t="str">
        <x:f>IF(AC19="Отклонить","Отклонено",IF(AND(AC19="Взять",COUNTIFS(AD19:AH19,"Да")=5),"Готово","Нужна редактура"))</x:f>
        <x:v>Нужна редактура</x:v>
      </x:c>
      <x:c r="AJ19" s="17" t="str"/>
      <x:c r="AK19" s="9" t="str">
        <x:v>https://www.youtube.com/playlist?list=PLLttfoK87AdW1TI5VZVTlGvQ4LpPAiP-n</x:v>
      </x:c>
      <x:c r="AL19" s="9" t="n">
        <x:v>13</x:v>
      </x:c>
      <x:c r="AM19" s="9" t="n">
        <x:v>13</x:v>
      </x:c>
      <x:c r="AN19" s="9" t="n">
        <x:v>0</x:v>
      </x:c>
    </x:row>
    <x:row r="20" ht="60" customHeight="1">
      <x:c r="A20" s="9" t="str">
        <x:v>woGDLM3Tdr0</x:v>
      </x:c>
      <x:c r="B20" s="10" t="str">
        <x:v>קופה ראשית עונה 5 🛒 | פרק 14 - המזל של ניסים</x:v>
      </x:c>
      <x:c r="C20" s="10" t="str">
        <x:v>Повседневность и юмор</x:v>
      </x:c>
      <x:c r="D20" s="9" t="str">
        <x:v>Сериал</x:v>
      </x:c>
      <x:c r="E20" s="10" t="str">
        <x:v>Сериалы; разговорный иврит; новые репатрианты</x:v>
      </x:c>
      <x:c r="F20" s="10" t="str">
        <x:v>B1–B2 (гипотеза)</x:v>
      </x:c>
      <x:c r="G20" s="12" t="n">
        <x:v>22.4</x:v>
      </x:c>
      <x:c r="H20" s="14" t="n">
        <x:v>2931603</x:v>
      </x:c>
      <x:c r="I20" s="15" t="str">
        <x:v>Точный счётчик метаданных видео</x:v>
      </x:c>
      <x:c r="J20" s="14" t="n">
        <x:v>2900000</x:v>
      </x:c>
      <x:c r="K20" s="14" t="n">
        <x:v>3150000</x:v>
      </x:c>
      <x:c r="L20" s="12" t="n">
        <x:f>IF(COUNT(J20:K20)=2,IF(K20=0,"",J20/K20),"")</x:f>
        <x:v>0.9206349206349206</x:v>
      </x:c>
      <x:c r="M20" s="10" t="str">
        <x:v>Эпизод 14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20" s="10" t="str">
        <x:v>Выбрать диалог 2–4 минуты: просьбы, возражения, разговорные сокращения. Разыграть сцену.</x:v>
      </x:c>
      <x:c r="O20" s="10" t="str">
        <x:v>Сарказм, стереотипы, грубая речь; проверить выпуск</x:v>
      </x:c>
      <x:c r="P20" s="10" t="str">
        <x:v>Полная серия — кандидат</x:v>
      </x:c>
      <x:c r="Q20" s="9" t="str">
        <x:v>Нет</x:v>
      </x:c>
      <x:c r="R20" s="9" t="str">
        <x:v>C001</x:v>
      </x:c>
      <x:c r="S20" s="9" t="str">
        <x:v>C001</x:v>
      </x:c>
      <x:c r="T20" s="10" t="str">
        <x:v>כאן 11 - תאגיד השידור הישראלי</x:v>
      </x:c>
      <x:c r="U20" s="11" t="str">
        <x:v>https://www.youtube.com/watch?v=woGDLM3Tdr0</x:v>
      </x:c>
      <x:c r="V20" s="16" t="n">
        <x:v>46308</x:v>
      </x:c>
      <x:c r="W20" s="16" t="n">
        <x:v>45699</x:v>
      </x:c>
      <x:c r="X20" s="10" t="str">
        <x:v>Иврит предполагается по заголовку и источнику</x:v>
      </x:c>
      <x:c r="Y20" s="10" t="str">
        <x:v>Автоматическая дорожка HE по метаданным</x:v>
      </x:c>
      <x:c r="Z20" s="10" t="str">
        <x:v>Разрешено по метаданным</x:v>
      </x:c>
      <x:c r="AA20" s="10" t="str">
        <x:v>Метаданные видео; воспроизведение и содержание не проверены</x:v>
      </x:c>
      <x:c r="AB20" s="13" t="n">
        <x:f>IF(AND(ISNUMBER(H20),ISNUMBER(W20)),H20/MAX(1,'Обзор'!$B$4-W20),"")</x:f>
        <x:v>4813.79802955665</x:v>
      </x:c>
      <x:c r="AC20" s="17" t="str">
        <x:v>Не решено</x:v>
      </x:c>
      <x:c r="AD20" s="17" t="str">
        <x:v>Не проверено</x:v>
      </x:c>
      <x:c r="AE20" s="17" t="str">
        <x:v>Не проверено</x:v>
      </x:c>
      <x:c r="AF20" s="17" t="str">
        <x:v>Не проверено</x:v>
      </x:c>
      <x:c r="AG20" s="17" t="str">
        <x:v>Не решено</x:v>
      </x:c>
      <x:c r="AH20" s="17" t="str">
        <x:v>Не проверено</x:v>
      </x:c>
      <x:c r="AI20" s="10" t="str">
        <x:f>IF(AC20="Отклонить","Отклонено",IF(AND(AC20="Взять",COUNTIFS(AD20:AH20,"Да")=5),"Готово","Нужна редактура"))</x:f>
        <x:v>Нужна редактура</x:v>
      </x:c>
      <x:c r="AJ20" s="17" t="str"/>
      <x:c r="AK20" s="9" t="str">
        <x:v>https://www.youtube.com/playlist?list=PLLttfoK87AdW1TI5VZVTlGvQ4LpPAiP-n</x:v>
      </x:c>
      <x:c r="AL20" s="9" t="n">
        <x:v>14</x:v>
      </x:c>
      <x:c r="AM20" s="9" t="n">
        <x:v>14</x:v>
      </x:c>
      <x:c r="AN20" s="9" t="n">
        <x:v>0</x:v>
      </x:c>
    </x:row>
    <x:row r="21" ht="60" customHeight="1">
      <x:c r="A21" s="9" t="str">
        <x:v>4eJGg635cGs</x:v>
      </x:c>
      <x:c r="B21" s="10" t="str">
        <x:v>קופה ראשית עונה 5 🛒 | פרק 15 - מסיבת סילבסטר</x:v>
      </x:c>
      <x:c r="C21" s="10" t="str">
        <x:v>Повседневность и юмор</x:v>
      </x:c>
      <x:c r="D21" s="9" t="str">
        <x:v>Сериал</x:v>
      </x:c>
      <x:c r="E21" s="10" t="str">
        <x:v>Сериалы; разговорный иврит; новые репатрианты</x:v>
      </x:c>
      <x:c r="F21" s="10" t="str">
        <x:v>B1–B2 (гипотеза)</x:v>
      </x:c>
      <x:c r="G21" s="12" t="n">
        <x:v>23.3</x:v>
      </x:c>
      <x:c r="H21" s="14" t="n">
        <x:v>2586625</x:v>
      </x:c>
      <x:c r="I21" s="15" t="str">
        <x:v>Точный счётчик метаданных видео</x:v>
      </x:c>
      <x:c r="J21" s="14" t="n">
        <x:v>2500000</x:v>
      </x:c>
      <x:c r="K21" s="14" t="n">
        <x:v>3150000</x:v>
      </x:c>
      <x:c r="L21" s="12" t="n">
        <x:f>IF(COUNT(J21:K21)=2,IF(K21=0,"",J21/K21),"")</x:f>
        <x:v>0.7936507936507936</x:v>
      </x:c>
      <x:c r="M21" s="10" t="str">
        <x:v>Эпизод 15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21" s="10" t="str">
        <x:v>Выбрать диалог 2–4 минуты: просьбы, возражения, разговорные сокращения. Разыграть сцену.</x:v>
      </x:c>
      <x:c r="O21" s="10" t="str">
        <x:v>Сарказм, стереотипы, грубая речь; проверить выпуск</x:v>
      </x:c>
      <x:c r="P21" s="10" t="str">
        <x:v>Полная серия — кандидат</x:v>
      </x:c>
      <x:c r="Q21" s="9" t="str">
        <x:v>Нет</x:v>
      </x:c>
      <x:c r="R21" s="9" t="str">
        <x:v>C001</x:v>
      </x:c>
      <x:c r="S21" s="9" t="str">
        <x:v>C001</x:v>
      </x:c>
      <x:c r="T21" s="10" t="str">
        <x:v>כאן 11 - תאגיד השידור הישראלי</x:v>
      </x:c>
      <x:c r="U21" s="11" t="str">
        <x:v>https://www.youtube.com/watch?v=4eJGg635cGs</x:v>
      </x:c>
      <x:c r="V21" s="16" t="n">
        <x:v>46308</x:v>
      </x:c>
      <x:c r="W21" s="16" t="n">
        <x:v>45706</x:v>
      </x:c>
      <x:c r="X21" s="10" t="str">
        <x:v>iw</x:v>
      </x:c>
      <x:c r="Y21" s="10" t="str">
        <x:v>Автоматическая дорожка HE по метаданным</x:v>
      </x:c>
      <x:c r="Z21" s="10" t="str">
        <x:v>Разрешено по метаданным</x:v>
      </x:c>
      <x:c r="AA21" s="10" t="str">
        <x:v>Метаданные видео; воспроизведение и содержание не проверены</x:v>
      </x:c>
      <x:c r="AB21" s="13" t="n">
        <x:f>IF(AND(ISNUMBER(H21),ISNUMBER(W21)),H21/MAX(1,'Обзор'!$B$4-W21),"")</x:f>
        <x:v>4296.71926910299</x:v>
      </x:c>
      <x:c r="AC21" s="17" t="str">
        <x:v>Не решено</x:v>
      </x:c>
      <x:c r="AD21" s="17" t="str">
        <x:v>Не проверено</x:v>
      </x:c>
      <x:c r="AE21" s="17" t="str">
        <x:v>Не проверено</x:v>
      </x:c>
      <x:c r="AF21" s="17" t="str">
        <x:v>Не проверено</x:v>
      </x:c>
      <x:c r="AG21" s="17" t="str">
        <x:v>Не решено</x:v>
      </x:c>
      <x:c r="AH21" s="17" t="str">
        <x:v>Не проверено</x:v>
      </x:c>
      <x:c r="AI21" s="10" t="str">
        <x:f>IF(AC21="Отклонить","Отклонено",IF(AND(AC21="Взять",COUNTIFS(AD21:AH21,"Да")=5),"Готово","Нужна редактура"))</x:f>
        <x:v>Нужна редактура</x:v>
      </x:c>
      <x:c r="AJ21" s="17" t="str"/>
      <x:c r="AK21" s="9" t="str">
        <x:v>https://www.youtube.com/playlist?list=PLLttfoK87AdW1TI5VZVTlGvQ4LpPAiP-n</x:v>
      </x:c>
      <x:c r="AL21" s="9" t="n">
        <x:v>15</x:v>
      </x:c>
      <x:c r="AM21" s="9" t="n">
        <x:v>15</x:v>
      </x:c>
      <x:c r="AN21" s="9" t="n">
        <x:v>0</x:v>
      </x:c>
    </x:row>
    <x:row r="22" ht="60" customHeight="1">
      <x:c r="A22" s="9" t="str">
        <x:v>BWZ9_y3ldK4</x:v>
      </x:c>
      <x:c r="B22" s="10" t="str">
        <x:v>קופה ראשית עונה 5 🛒 | פרק 16 - נכנסת חסכת</x:v>
      </x:c>
      <x:c r="C22" s="10" t="str">
        <x:v>Повседневность и юмор</x:v>
      </x:c>
      <x:c r="D22" s="9" t="str">
        <x:v>Сериал</x:v>
      </x:c>
      <x:c r="E22" s="10" t="str">
        <x:v>Сериалы; разговорный иврит; новые репатрианты</x:v>
      </x:c>
      <x:c r="F22" s="10" t="str">
        <x:v>B1–B2 (гипотеза)</x:v>
      </x:c>
      <x:c r="G22" s="12" t="n">
        <x:v>25.9</x:v>
      </x:c>
      <x:c r="H22" s="14" t="n">
        <x:v>4429175</x:v>
      </x:c>
      <x:c r="I22" s="15" t="str">
        <x:v>Точный счётчик метаданных видео</x:v>
      </x:c>
      <x:c r="J22" s="14" t="n">
        <x:v>4400000</x:v>
      </x:c>
      <x:c r="K22" s="14" t="n">
        <x:v>3150000</x:v>
      </x:c>
      <x:c r="L22" s="12" t="n">
        <x:f>IF(COUNT(J22:K22)=2,IF(K22=0,"",J22/K22),"")</x:f>
        <x:v>1.3968253968253967</x:v>
      </x:c>
      <x:c r="M22" s="10" t="str">
        <x:v>Эпизод 16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22" s="10" t="str">
        <x:v>Выбрать диалог 2–4 минуты: просьбы, возражения, разговорные сокращения. Разыграть сцену.</x:v>
      </x:c>
      <x:c r="O22" s="10" t="str">
        <x:v>Сарказм, стереотипы, грубая речь; проверить выпуск</x:v>
      </x:c>
      <x:c r="P22" s="10" t="str">
        <x:v>Полная серия — кандидат</x:v>
      </x:c>
      <x:c r="Q22" s="9" t="str">
        <x:v>Нет</x:v>
      </x:c>
      <x:c r="R22" s="9" t="str">
        <x:v>C001</x:v>
      </x:c>
      <x:c r="S22" s="9" t="str">
        <x:v>C001</x:v>
      </x:c>
      <x:c r="T22" s="10" t="str">
        <x:v>כאן 11 - תאגיד השידור הישראלי</x:v>
      </x:c>
      <x:c r="U22" s="11" t="str">
        <x:v>https://www.youtube.com/watch?v=BWZ9_y3ldK4</x:v>
      </x:c>
      <x:c r="V22" s="16" t="n">
        <x:v>46308</x:v>
      </x:c>
      <x:c r="W22" s="16" t="n">
        <x:v>45713</x:v>
      </x:c>
      <x:c r="X22" s="10" t="str">
        <x:v>iw</x:v>
      </x:c>
      <x:c r="Y22" s="10" t="str">
        <x:v>Автоматическая дорожка HE по метаданным</x:v>
      </x:c>
      <x:c r="Z22" s="10" t="str">
        <x:v>Разрешено по метаданным</x:v>
      </x:c>
      <x:c r="AA22" s="10" t="str">
        <x:v>Метаданные видео; воспроизведение и содержание не проверены</x:v>
      </x:c>
      <x:c r="AB22" s="13" t="n">
        <x:f>IF(AND(ISNUMBER(H22),ISNUMBER(W22)),H22/MAX(1,'Обзор'!$B$4-W22),"")</x:f>
        <x:v>7443.991596638655</x:v>
      </x:c>
      <x:c r="AC22" s="17" t="str">
        <x:v>Не решено</x:v>
      </x:c>
      <x:c r="AD22" s="17" t="str">
        <x:v>Не проверено</x:v>
      </x:c>
      <x:c r="AE22" s="17" t="str">
        <x:v>Не проверено</x:v>
      </x:c>
      <x:c r="AF22" s="17" t="str">
        <x:v>Не проверено</x:v>
      </x:c>
      <x:c r="AG22" s="17" t="str">
        <x:v>Не решено</x:v>
      </x:c>
      <x:c r="AH22" s="17" t="str">
        <x:v>Не проверено</x:v>
      </x:c>
      <x:c r="AI22" s="10" t="str">
        <x:f>IF(AC22="Отклонить","Отклонено",IF(AND(AC22="Взять",COUNTIFS(AD22:AH22,"Да")=5),"Готово","Нужна редактура"))</x:f>
        <x:v>Нужна редактура</x:v>
      </x:c>
      <x:c r="AJ22" s="17" t="str"/>
      <x:c r="AK22" s="9" t="str">
        <x:v>https://www.youtube.com/playlist?list=PLLttfoK87AdW1TI5VZVTlGvQ4LpPAiP-n</x:v>
      </x:c>
      <x:c r="AL22" s="9" t="n">
        <x:v>16</x:v>
      </x:c>
      <x:c r="AM22" s="9" t="n">
        <x:v>16</x:v>
      </x:c>
      <x:c r="AN22" s="9" t="n">
        <x:v>0</x:v>
      </x:c>
    </x:row>
    <x:row r="23" ht="60" customHeight="1">
      <x:c r="A23" s="9" t="str">
        <x:v>dB9KFZWOmhw</x:v>
      </x:c>
      <x:c r="B23" s="10" t="str">
        <x:v>קופה ראשית עונה 5 🛒 | פרק 17 - אמנון והאונליין</x:v>
      </x:c>
      <x:c r="C23" s="10" t="str">
        <x:v>Повседневность и юмор</x:v>
      </x:c>
      <x:c r="D23" s="9" t="str">
        <x:v>Сериал</x:v>
      </x:c>
      <x:c r="E23" s="10" t="str">
        <x:v>Сериалы; разговорный иврит; новые репатрианты</x:v>
      </x:c>
      <x:c r="F23" s="10" t="str">
        <x:v>B1–B2 (гипотеза)</x:v>
      </x:c>
      <x:c r="G23" s="12" t="n">
        <x:v>25.2</x:v>
      </x:c>
      <x:c r="H23" s="14" t="n">
        <x:v>3490500</x:v>
      </x:c>
      <x:c r="I23" s="15" t="str">
        <x:v>Точный счётчик метаданных видео</x:v>
      </x:c>
      <x:c r="J23" s="14" t="n">
        <x:v>3400000</x:v>
      </x:c>
      <x:c r="K23" s="14" t="n">
        <x:v>3150000</x:v>
      </x:c>
      <x:c r="L23" s="12" t="n">
        <x:f>IF(COUNT(J23:K23)=2,IF(K23=0,"",J23/K23),"")</x:f>
        <x:v>1.0793650793650793</x:v>
      </x:c>
      <x:c r="M23" s="10" t="str">
        <x:v>Эпизод 17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23" s="10" t="str">
        <x:v>Выбрать диалог 2–4 минуты: просьбы, возражения, разговорные сокращения. Разыграть сцену.</x:v>
      </x:c>
      <x:c r="O23" s="10" t="str">
        <x:v>Сарказм, стереотипы, грубая речь; проверить выпуск</x:v>
      </x:c>
      <x:c r="P23" s="10" t="str">
        <x:v>Полная серия — кандидат</x:v>
      </x:c>
      <x:c r="Q23" s="9" t="str">
        <x:v>Нет</x:v>
      </x:c>
      <x:c r="R23" s="9" t="str">
        <x:v>C001</x:v>
      </x:c>
      <x:c r="S23" s="9" t="str">
        <x:v>C001</x:v>
      </x:c>
      <x:c r="T23" s="10" t="str">
        <x:v>כאן 11 - תאגיד השידור הישראלי</x:v>
      </x:c>
      <x:c r="U23" s="11" t="str">
        <x:v>https://www.youtube.com/watch?v=dB9KFZWOmhw</x:v>
      </x:c>
      <x:c r="V23" s="16" t="n">
        <x:v>46308</x:v>
      </x:c>
      <x:c r="W23" s="16" t="n">
        <x:v>45720</x:v>
      </x:c>
      <x:c r="X23" s="10" t="str">
        <x:v>Иврит предполагается по заголовку и источнику</x:v>
      </x:c>
      <x:c r="Y23" s="10" t="str">
        <x:v>Автоматическая дорожка HE по метаданным</x:v>
      </x:c>
      <x:c r="Z23" s="10" t="str">
        <x:v>Разрешено по метаданным</x:v>
      </x:c>
      <x:c r="AA23" s="10" t="str">
        <x:v>Метаданные видео; воспроизведение и содержание не проверены</x:v>
      </x:c>
      <x:c r="AB23" s="13" t="n">
        <x:f>IF(AND(ISNUMBER(H23),ISNUMBER(W23)),H23/MAX(1,'Обзор'!$B$4-W23),"")</x:f>
        <x:v>5936.224489795918</x:v>
      </x:c>
      <x:c r="AC23" s="17" t="str">
        <x:v>Не решено</x:v>
      </x:c>
      <x:c r="AD23" s="17" t="str">
        <x:v>Не проверено</x:v>
      </x:c>
      <x:c r="AE23" s="17" t="str">
        <x:v>Не проверено</x:v>
      </x:c>
      <x:c r="AF23" s="17" t="str">
        <x:v>Не проверено</x:v>
      </x:c>
      <x:c r="AG23" s="17" t="str">
        <x:v>Не решено</x:v>
      </x:c>
      <x:c r="AH23" s="17" t="str">
        <x:v>Не проверено</x:v>
      </x:c>
      <x:c r="AI23" s="10" t="str">
        <x:f>IF(AC23="Отклонить","Отклонено",IF(AND(AC23="Взять",COUNTIFS(AD23:AH23,"Да")=5),"Готово","Нужна редактура"))</x:f>
        <x:v>Нужна редактура</x:v>
      </x:c>
      <x:c r="AJ23" s="17" t="str"/>
      <x:c r="AK23" s="9" t="str">
        <x:v>https://www.youtube.com/playlist?list=PLLttfoK87AdW1TI5VZVTlGvQ4LpPAiP-n</x:v>
      </x:c>
      <x:c r="AL23" s="9" t="n">
        <x:v>17</x:v>
      </x:c>
      <x:c r="AM23" s="9" t="n">
        <x:v>17</x:v>
      </x:c>
      <x:c r="AN23" s="9" t="n">
        <x:v>0</x:v>
      </x:c>
    </x:row>
    <x:row r="24" ht="60" customHeight="1">
      <x:c r="A24" s="9" t="str">
        <x:v>erfGJAvedjg</x:v>
      </x:c>
      <x:c r="B24" s="10" t="str">
        <x:v>קופה ראשית עונה 5 🛒 | פרק 18 - ריקוד האהבה</x:v>
      </x:c>
      <x:c r="C24" s="10" t="str">
        <x:v>Повседневность и юмор</x:v>
      </x:c>
      <x:c r="D24" s="9" t="str">
        <x:v>Сериал</x:v>
      </x:c>
      <x:c r="E24" s="10" t="str">
        <x:v>Сериалы; разговорный иврит; новые репатрианты</x:v>
      </x:c>
      <x:c r="F24" s="10" t="str">
        <x:v>B1–B2 (гипотеза)</x:v>
      </x:c>
      <x:c r="G24" s="12" t="n">
        <x:v>22.1</x:v>
      </x:c>
      <x:c r="H24" s="14" t="n">
        <x:v>2153040</x:v>
      </x:c>
      <x:c r="I24" s="15" t="str">
        <x:v>Точный счётчик метаданных видео</x:v>
      </x:c>
      <x:c r="J24" s="14" t="n">
        <x:v>2100000</x:v>
      </x:c>
      <x:c r="K24" s="14" t="n">
        <x:v>3150000</x:v>
      </x:c>
      <x:c r="L24" s="12" t="n">
        <x:f>IF(COUNT(J24:K24)=2,IF(K24=0,"",J24/K24),"")</x:f>
        <x:v>0.6666666666666666</x:v>
      </x:c>
      <x:c r="M24" s="10" t="str">
        <x:v>Эпизод 18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24" s="10" t="str">
        <x:v>Выбрать диалог 2–4 минуты: просьбы, возражения, разговорные сокращения. Разыграть сцену.</x:v>
      </x:c>
      <x:c r="O24" s="10" t="str">
        <x:v>Сарказм, стереотипы, грубая речь; проверить выпуск</x:v>
      </x:c>
      <x:c r="P24" s="10" t="str">
        <x:v>Полная серия — кандидат</x:v>
      </x:c>
      <x:c r="Q24" s="9" t="str">
        <x:v>Нет</x:v>
      </x:c>
      <x:c r="R24" s="9" t="str">
        <x:v>C001</x:v>
      </x:c>
      <x:c r="S24" s="9" t="str">
        <x:v>C001</x:v>
      </x:c>
      <x:c r="T24" s="10" t="str">
        <x:v>כאן 11 - תאגיד השידור הישראלי</x:v>
      </x:c>
      <x:c r="U24" s="11" t="str">
        <x:v>https://www.youtube.com/watch?v=erfGJAvedjg</x:v>
      </x:c>
      <x:c r="V24" s="16" t="n">
        <x:v>46308</x:v>
      </x:c>
      <x:c r="W24" s="16" t="n">
        <x:v>45727</x:v>
      </x:c>
      <x:c r="X24" s="10" t="str">
        <x:v>Иврит предполагается по заголовку и источнику</x:v>
      </x:c>
      <x:c r="Y24" s="10" t="str">
        <x:v>Автоматическая дорожка HE по метаданным</x:v>
      </x:c>
      <x:c r="Z24" s="10" t="str">
        <x:v>Разрешено по метаданным</x:v>
      </x:c>
      <x:c r="AA24" s="10" t="str">
        <x:v>Метаданные видео; воспроизведение и содержание не проверены</x:v>
      </x:c>
      <x:c r="AB24" s="13" t="n">
        <x:f>IF(AND(ISNUMBER(H24),ISNUMBER(W24)),H24/MAX(1,'Обзор'!$B$4-W24),"")</x:f>
        <x:v>3705.7487091222033</x:v>
      </x:c>
      <x:c r="AC24" s="17" t="str">
        <x:v>Не решено</x:v>
      </x:c>
      <x:c r="AD24" s="17" t="str">
        <x:v>Не проверено</x:v>
      </x:c>
      <x:c r="AE24" s="17" t="str">
        <x:v>Не проверено</x:v>
      </x:c>
      <x:c r="AF24" s="17" t="str">
        <x:v>Не проверено</x:v>
      </x:c>
      <x:c r="AG24" s="17" t="str">
        <x:v>Не решено</x:v>
      </x:c>
      <x:c r="AH24" s="17" t="str">
        <x:v>Не проверено</x:v>
      </x:c>
      <x:c r="AI24" s="10" t="str">
        <x:f>IF(AC24="Отклонить","Отклонено",IF(AND(AC24="Взять",COUNTIFS(AD24:AH24,"Да")=5),"Готово","Нужна редактура"))</x:f>
        <x:v>Нужна редактура</x:v>
      </x:c>
      <x:c r="AJ24" s="17" t="str"/>
      <x:c r="AK24" s="9" t="str">
        <x:v>https://www.youtube.com/playlist?list=PLLttfoK87AdW1TI5VZVTlGvQ4LpPAiP-n</x:v>
      </x:c>
      <x:c r="AL24" s="9" t="n">
        <x:v>18</x:v>
      </x:c>
      <x:c r="AM24" s="9" t="n">
        <x:v>18</x:v>
      </x:c>
      <x:c r="AN24" s="9" t="n">
        <x:v>0</x:v>
      </x:c>
    </x:row>
    <x:row r="25" ht="60" customHeight="1">
      <x:c r="A25" s="9" t="str">
        <x:v>Ssy21RjZjyg</x:v>
      </x:c>
      <x:c r="B25" s="10" t="str">
        <x:v>קופה ראשית עונה 5 🛒 | פרק 19 - אמנון ומאריסה</x:v>
      </x:c>
      <x:c r="C25" s="10" t="str">
        <x:v>Повседневность и юмор</x:v>
      </x:c>
      <x:c r="D25" s="9" t="str">
        <x:v>Сериал</x:v>
      </x:c>
      <x:c r="E25" s="10" t="str">
        <x:v>Сериалы; разговорный иврит; новые репатрианты</x:v>
      </x:c>
      <x:c r="F25" s="10" t="str">
        <x:v>B1–B2 (гипотеза)</x:v>
      </x:c>
      <x:c r="G25" s="12" t="n">
        <x:v>23.5</x:v>
      </x:c>
      <x:c r="H25" s="14" t="n">
        <x:v>2122968</x:v>
      </x:c>
      <x:c r="I25" s="15" t="str">
        <x:v>Точный счётчик метаданных видео</x:v>
      </x:c>
      <x:c r="J25" s="14" t="n">
        <x:v>2100000</x:v>
      </x:c>
      <x:c r="K25" s="14" t="n">
        <x:v>3150000</x:v>
      </x:c>
      <x:c r="L25" s="12" t="n">
        <x:f>IF(COUNT(J25:K25)=2,IF(K25=0,"",J25/K25),"")</x:f>
        <x:v>0.6666666666666666</x:v>
      </x:c>
      <x:c r="M25" s="10" t="str">
        <x:v>Эпизод 19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25" s="10" t="str">
        <x:v>Выбрать диалог 2–4 минуты: просьбы, возражения, разговорные сокращения. Разыграть сцену.</x:v>
      </x:c>
      <x:c r="O25" s="10" t="str">
        <x:v>Сарказм, стереотипы, грубая речь; проверить выпуск</x:v>
      </x:c>
      <x:c r="P25" s="10" t="str">
        <x:v>Полная серия — кандидат</x:v>
      </x:c>
      <x:c r="Q25" s="9" t="str">
        <x:v>Нет</x:v>
      </x:c>
      <x:c r="R25" s="9" t="str">
        <x:v>C001</x:v>
      </x:c>
      <x:c r="S25" s="9" t="str">
        <x:v>C001</x:v>
      </x:c>
      <x:c r="T25" s="10" t="str">
        <x:v>כאן 11 - תאגיד השידור הישראלי</x:v>
      </x:c>
      <x:c r="U25" s="11" t="str">
        <x:v>https://www.youtube.com/watch?v=Ssy21RjZjyg</x:v>
      </x:c>
      <x:c r="V25" s="16" t="n">
        <x:v>46308</x:v>
      </x:c>
      <x:c r="W25" s="16" t="n">
        <x:v>45734</x:v>
      </x:c>
      <x:c r="X25" s="10" t="str">
        <x:v>Иврит предполагается по заголовку и источнику</x:v>
      </x:c>
      <x:c r="Y25" s="10" t="str">
        <x:v>Автоматическая дорожка HE по метаданным</x:v>
      </x:c>
      <x:c r="Z25" s="10" t="str">
        <x:v>Разрешено по метаданным</x:v>
      </x:c>
      <x:c r="AA25" s="10" t="str">
        <x:v>Метаданные видео; воспроизведение и содержание не проверены</x:v>
      </x:c>
      <x:c r="AB25" s="13" t="n">
        <x:f>IF(AND(ISNUMBER(H25),ISNUMBER(W25)),H25/MAX(1,'Обзор'!$B$4-W25),"")</x:f>
        <x:v>3698.5505226480836</x:v>
      </x:c>
      <x:c r="AC25" s="17" t="str">
        <x:v>Не решено</x:v>
      </x:c>
      <x:c r="AD25" s="17" t="str">
        <x:v>Не проверено</x:v>
      </x:c>
      <x:c r="AE25" s="17" t="str">
        <x:v>Не проверено</x:v>
      </x:c>
      <x:c r="AF25" s="17" t="str">
        <x:v>Не проверено</x:v>
      </x:c>
      <x:c r="AG25" s="17" t="str">
        <x:v>Не решено</x:v>
      </x:c>
      <x:c r="AH25" s="17" t="str">
        <x:v>Не проверено</x:v>
      </x:c>
      <x:c r="AI25" s="10" t="str">
        <x:f>IF(AC25="Отклонить","Отклонено",IF(AND(AC25="Взять",COUNTIFS(AD25:AH25,"Да")=5),"Готово","Нужна редактура"))</x:f>
        <x:v>Нужна редактура</x:v>
      </x:c>
      <x:c r="AJ25" s="17" t="str"/>
      <x:c r="AK25" s="9" t="str">
        <x:v>https://www.youtube.com/playlist?list=PLLttfoK87AdW1TI5VZVTlGvQ4LpPAiP-n</x:v>
      </x:c>
      <x:c r="AL25" s="9" t="n">
        <x:v>19</x:v>
      </x:c>
      <x:c r="AM25" s="9" t="n">
        <x:v>19</x:v>
      </x:c>
      <x:c r="AN25" s="9" t="n">
        <x:v>0</x:v>
      </x:c>
    </x:row>
    <x:row r="26" ht="60" customHeight="1">
      <x:c r="A26" s="9" t="str">
        <x:v>FfaGNnDC3fY</x:v>
      </x:c>
      <x:c r="B26" s="10" t="str">
        <x:v>קופה ראשית עונה 5 🛒 | פרק 20 ואחרון לעונה - שירה חודש תשע</x:v>
      </x:c>
      <x:c r="C26" s="10" t="str">
        <x:v>Повседневность и юмор</x:v>
      </x:c>
      <x:c r="D26" s="9" t="str">
        <x:v>Сериал</x:v>
      </x:c>
      <x:c r="E26" s="10" t="str">
        <x:v>Сериалы; разговорный иврит; новые репатрианты</x:v>
      </x:c>
      <x:c r="F26" s="10" t="str">
        <x:v>B1–B2 (гипотеза)</x:v>
      </x:c>
      <x:c r="G26" s="12" t="n">
        <x:v>27.3</x:v>
      </x:c>
      <x:c r="H26" s="14" t="n">
        <x:v>2589936</x:v>
      </x:c>
      <x:c r="I26" s="15" t="str">
        <x:v>Точный счётчик метаданных видео</x:v>
      </x:c>
      <x:c r="J26" s="14" t="n">
        <x:v>2500000</x:v>
      </x:c>
      <x:c r="K26" s="14" t="n">
        <x:v>3150000</x:v>
      </x:c>
      <x:c r="L26" s="12" t="n">
        <x:f>IF(COUNT(J26:K26)=2,IF(K26=0,"",J26/K26),"")</x:f>
        <x:v>0.7936507936507936</x:v>
      </x:c>
      <x:c r="M26" s="10" t="str">
        <x:v>Эпизод 20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26" s="10" t="str">
        <x:v>Выбрать диалог 2–4 минуты: просьбы, возражения, разговорные сокращения. Разыграть сцену.</x:v>
      </x:c>
      <x:c r="O26" s="10" t="str">
        <x:v>Сарказм, стереотипы, грубая речь; проверить выпуск</x:v>
      </x:c>
      <x:c r="P26" s="10" t="str">
        <x:v>Полная серия — кандидат</x:v>
      </x:c>
      <x:c r="Q26" s="9" t="str">
        <x:v>Нет</x:v>
      </x:c>
      <x:c r="R26" s="9" t="str">
        <x:v>C001</x:v>
      </x:c>
      <x:c r="S26" s="9" t="str">
        <x:v>C001</x:v>
      </x:c>
      <x:c r="T26" s="10" t="str">
        <x:v>כאן 11 - תאגיד השידור הישראלי</x:v>
      </x:c>
      <x:c r="U26" s="11" t="str">
        <x:v>https://www.youtube.com/watch?v=FfaGNnDC3fY</x:v>
      </x:c>
      <x:c r="V26" s="16" t="n">
        <x:v>46308</x:v>
      </x:c>
      <x:c r="W26" s="16" t="n">
        <x:v>45741</x:v>
      </x:c>
      <x:c r="X26" s="10" t="str">
        <x:v>iw</x:v>
      </x:c>
      <x:c r="Y26" s="10" t="str">
        <x:v>Автоматическая дорожка HE по метаданным</x:v>
      </x:c>
      <x:c r="Z26" s="10" t="str">
        <x:v>Разрешено по метаданным</x:v>
      </x:c>
      <x:c r="AA26" s="10" t="str">
        <x:v>Метаданные видео; воспроизведение и содержание не проверены</x:v>
      </x:c>
      <x:c r="AB26" s="13" t="n">
        <x:f>IF(AND(ISNUMBER(H26),ISNUMBER(W26)),H26/MAX(1,'Обзор'!$B$4-W26),"")</x:f>
        <x:v>4567.78835978836</x:v>
      </x:c>
      <x:c r="AC26" s="17" t="str">
        <x:v>Не решено</x:v>
      </x:c>
      <x:c r="AD26" s="17" t="str">
        <x:v>Не проверено</x:v>
      </x:c>
      <x:c r="AE26" s="17" t="str">
        <x:v>Не проверено</x:v>
      </x:c>
      <x:c r="AF26" s="17" t="str">
        <x:v>Не проверено</x:v>
      </x:c>
      <x:c r="AG26" s="17" t="str">
        <x:v>Не решено</x:v>
      </x:c>
      <x:c r="AH26" s="17" t="str">
        <x:v>Не проверено</x:v>
      </x:c>
      <x:c r="AI26" s="10" t="str">
        <x:f>IF(AC26="Отклонить","Отклонено",IF(AND(AC26="Взять",COUNTIFS(AD26:AH26,"Да")=5),"Готово","Нужна редактура"))</x:f>
        <x:v>Нужна редактура</x:v>
      </x:c>
      <x:c r="AJ26" s="17" t="str"/>
      <x:c r="AK26" s="9" t="str">
        <x:v>https://www.youtube.com/playlist?list=PLLttfoK87AdW1TI5VZVTlGvQ4LpPAiP-n</x:v>
      </x:c>
      <x:c r="AL26" s="9" t="n">
        <x:v>20</x:v>
      </x:c>
      <x:c r="AM26" s="9" t="n">
        <x:v>20</x:v>
      </x:c>
      <x:c r="AN26" s="9" t="n">
        <x:v>0</x:v>
      </x:c>
    </x:row>
    <x:row r="27" ht="60" customHeight="1">
      <x:c r="A27" s="9" t="str">
        <x:v>r3ny3GjuvZM</x:v>
      </x:c>
      <x:c r="B27" s="10" t="str">
        <x:v>קופה ראשית | מי פה האחראי? - ספיישל עצמאות 2025</x:v>
      </x:c>
      <x:c r="C27" s="10" t="str">
        <x:v>Повседневность и юмор</x:v>
      </x:c>
      <x:c r="D27" s="9" t="str">
        <x:v>Сериал</x:v>
      </x:c>
      <x:c r="E27" s="10" t="str">
        <x:v>Сериалы; разговорный иврит; новые репатрианты</x:v>
      </x:c>
      <x:c r="F27" s="10" t="str">
        <x:v>B1–B2 (гипотеза)</x:v>
      </x:c>
      <x:c r="G27" s="12" t="n">
        <x:v>23</x:v>
      </x:c>
      <x:c r="H27" s="14" t="n">
        <x:v>1800000</x:v>
      </x:c>
      <x:c r="I27" s="15" t="str">
        <x:v>Округлённый счётчик в списке YouTube</x:v>
      </x:c>
      <x:c r="J27" s="14" t="n">
        <x:v>1800000</x:v>
      </x:c>
      <x:c r="K27" s="14" t="n">
        <x:v>3150000</x:v>
      </x:c>
      <x:c r="L27" s="12" t="n">
        <x:f>IF(COUNT(J27:K27)=2,IF(K27=0,"",J27/K27),"")</x:f>
        <x:v>0.5714285714285714</x:v>
      </x:c>
      <x:c r="M27" s="10" t="str">
        <x:v>Самостоятельный специальный выпуск.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27" s="10" t="str">
        <x:v>Выбрать диалог 2–4 минуты: просьбы, возражения, разговорные сокращения. Разыграть сцену.</x:v>
      </x:c>
      <x:c r="O27" s="10" t="str">
        <x:v>Сарказм, стереотипы, грубая речь; проверить выпуск</x:v>
      </x:c>
      <x:c r="P27" s="10" t="str">
        <x:v>Спецвыпуск сериала</x:v>
      </x:c>
      <x:c r="Q27" s="9" t="str">
        <x:v>Нет</x:v>
      </x:c>
      <x:c r="R27" s="9" t="str">
        <x:v>C001</x:v>
      </x:c>
      <x:c r="S27" s="9" t="str">
        <x:v>C001</x:v>
      </x:c>
      <x:c r="T27" s="10" t="str">
        <x:v>כאן 11 - תאגיד השידור הישראלי</x:v>
      </x:c>
      <x:c r="U27" s="11" t="str">
        <x:v>https://www.youtube.com/watch?v=r3ny3GjuvZM</x:v>
      </x:c>
      <x:c r="V27" s="16" t="n">
        <x:v>46308</x:v>
      </x:c>
      <x:c r="W27" s="16"/>
      <x:c r="X27" s="10" t="str">
        <x:v>Иврит предполагается по заголовку и источнику</x:v>
      </x:c>
      <x:c r="Y27" s="10" t="str">
        <x:v>Не проверено</x:v>
      </x:c>
      <x:c r="Z27" s="10" t="str">
        <x:v>Не проверено</x:v>
      </x:c>
      <x:c r="AA27" s="10" t="str">
        <x:v>Метаданные списка; видео не просмотрено</x:v>
      </x:c>
      <x:c r="AB27" s="13" t="str">
        <x:f>IF(AND(ISNUMBER(H27),ISNUMBER(W27)),H27/MAX(1,'Обзор'!$B$4-W27),"")</x:f>
      </x:c>
      <x:c r="AC27" s="17" t="str">
        <x:v>Не решено</x:v>
      </x:c>
      <x:c r="AD27" s="17" t="str">
        <x:v>Не проверено</x:v>
      </x:c>
      <x:c r="AE27" s="17" t="str">
        <x:v>Не проверено</x:v>
      </x:c>
      <x:c r="AF27" s="17" t="str">
        <x:v>Не проверено</x:v>
      </x:c>
      <x:c r="AG27" s="17" t="str">
        <x:v>Не решено</x:v>
      </x:c>
      <x:c r="AH27" s="17" t="str">
        <x:v>Не проверено</x:v>
      </x:c>
      <x:c r="AI27" s="10" t="str">
        <x:f>IF(AC27="Отклонить","Отклонено",IF(AND(AC27="Взять",COUNTIFS(AD27:AH27,"Да")=5),"Готово","Нужна редактура"))</x:f>
        <x:v>Нужна редактура</x:v>
      </x:c>
      <x:c r="AJ27" s="17" t="str"/>
      <x:c r="AK27" s="9" t="str">
        <x:v>https://www.youtube.com/playlist?list=PLLttfoK87AdW1TI5VZVTlGvQ4LpPAiP-n</x:v>
      </x:c>
      <x:c r="AL27" s="9" t="n">
        <x:v>22</x:v>
      </x:c>
      <x:c r="AM27" s="9"/>
      <x:c r="AN27" s="9"/>
    </x:row>
    <x:row r="28" ht="60" customHeight="1">
      <x:c r="A28" s="9" t="str">
        <x:v>7lsWf4zhLyI</x:v>
      </x:c>
      <x:c r="B28" s="10" t="str">
        <x:v>קופה ראשית | ספיישל וידויים מהקופה</x:v>
      </x:c>
      <x:c r="C28" s="10" t="str">
        <x:v>Повседневность и юмор</x:v>
      </x:c>
      <x:c r="D28" s="9" t="str">
        <x:v>Сериал</x:v>
      </x:c>
      <x:c r="E28" s="10" t="str">
        <x:v>Сериалы; разговорный иврит; новые репатрианты</x:v>
      </x:c>
      <x:c r="F28" s="10" t="str">
        <x:v>B1–B2 (гипотеза)</x:v>
      </x:c>
      <x:c r="G28" s="12" t="n">
        <x:v>28.5</x:v>
      </x:c>
      <x:c r="H28" s="14" t="n">
        <x:v>859000</x:v>
      </x:c>
      <x:c r="I28" s="15" t="str">
        <x:v>Округлённый счётчик в списке YouTube</x:v>
      </x:c>
      <x:c r="J28" s="14" t="n">
        <x:v>859000</x:v>
      </x:c>
      <x:c r="K28" s="14" t="n">
        <x:v>3150000</x:v>
      </x:c>
      <x:c r="L28" s="12" t="n">
        <x:f>IF(COUNT(J28:K28)=2,IF(K28=0,"",J28/K28),"")</x:f>
        <x:v>0.2726984126984127</x:v>
      </x:c>
      <x:c r="M28" s="10" t="str">
        <x:v>Самостоятельный специальный выпуск. Просмотры ниже медианы цикла; выбирать за нишевую ценность, а не за массовый охват.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28" s="10" t="str">
        <x:v>Выбрать диалог 2–4 минуты: просьбы, возражения, разговорные сокращения. Разыграть сцену.</x:v>
      </x:c>
      <x:c r="O28" s="10" t="str">
        <x:v>Сарказм, стереотипы, грубая речь; проверить выпуск</x:v>
      </x:c>
      <x:c r="P28" s="10" t="str">
        <x:v>Спецвыпуск сериала</x:v>
      </x:c>
      <x:c r="Q28" s="9" t="str">
        <x:v>Нет</x:v>
      </x:c>
      <x:c r="R28" s="9" t="str">
        <x:v>C001</x:v>
      </x:c>
      <x:c r="S28" s="9" t="str">
        <x:v>C001</x:v>
      </x:c>
      <x:c r="T28" s="10" t="str">
        <x:v>כאן 11 - תאגיד השידור הישראלי</x:v>
      </x:c>
      <x:c r="U28" s="11" t="str">
        <x:v>https://www.youtube.com/watch?v=7lsWf4zhLyI</x:v>
      </x:c>
      <x:c r="V28" s="16" t="n">
        <x:v>46308</x:v>
      </x:c>
      <x:c r="W28" s="16"/>
      <x:c r="X28" s="10" t="str">
        <x:v>Иврит предполагается по заголовку и источнику</x:v>
      </x:c>
      <x:c r="Y28" s="10" t="str">
        <x:v>Не проверено</x:v>
      </x:c>
      <x:c r="Z28" s="10" t="str">
        <x:v>Не проверено</x:v>
      </x:c>
      <x:c r="AA28" s="10" t="str">
        <x:v>Метаданные списка; видео не просмотрено</x:v>
      </x:c>
      <x:c r="AB28" s="13" t="str">
        <x:f>IF(AND(ISNUMBER(H28),ISNUMBER(W28)),H28/MAX(1,'Обзор'!$B$4-W28),"")</x:f>
      </x:c>
      <x:c r="AC28" s="17" t="str">
        <x:v>Не решено</x:v>
      </x:c>
      <x:c r="AD28" s="17" t="str">
        <x:v>Не проверено</x:v>
      </x:c>
      <x:c r="AE28" s="17" t="str">
        <x:v>Не проверено</x:v>
      </x:c>
      <x:c r="AF28" s="17" t="str">
        <x:v>Не проверено</x:v>
      </x:c>
      <x:c r="AG28" s="17" t="str">
        <x:v>Не решено</x:v>
      </x:c>
      <x:c r="AH28" s="17" t="str">
        <x:v>Не проверено</x:v>
      </x:c>
      <x:c r="AI28" s="10" t="str">
        <x:f>IF(AC28="Отклонить","Отклонено",IF(AND(AC28="Взять",COUNTIFS(AD28:AH28,"Да")=5),"Готово","Нужна редактура"))</x:f>
        <x:v>Нужна редактура</x:v>
      </x:c>
      <x:c r="AJ28" s="17" t="str"/>
      <x:c r="AK28" s="9" t="str">
        <x:v>https://www.youtube.com/playlist?list=PLLttfoK87AdW1TI5VZVTlGvQ4LpPAiP-n</x:v>
      </x:c>
      <x:c r="AL28" s="9" t="n">
        <x:v>23</x:v>
      </x:c>
      <x:c r="AM28" s="9"/>
      <x:c r="AN28" s="9"/>
    </x:row>
    <x:row r="29" ht="60" customHeight="1">
      <x:c r="A29" s="9" t="str">
        <x:v>1czhcHL-YwA</x:v>
      </x:c>
      <x:c r="B29" s="10" t="str">
        <x:v>קופה ראשית עונה 4🛒 | פרק 1 - ריקוד מושחת</x:v>
      </x:c>
      <x:c r="C29" s="10" t="str">
        <x:v>Повседневность и юмор</x:v>
      </x:c>
      <x:c r="D29" s="9" t="str">
        <x:v>Сериал</x:v>
      </x:c>
      <x:c r="E29" s="10" t="str">
        <x:v>Сериалы; разговорный иврит; новые репатрианты</x:v>
      </x:c>
      <x:c r="F29" s="10" t="str">
        <x:v>B1–B2 (гипотеза)</x:v>
      </x:c>
      <x:c r="G29" s="12" t="n">
        <x:v>23.8</x:v>
      </x:c>
      <x:c r="H29" s="14" t="n">
        <x:v>5901562</x:v>
      </x:c>
      <x:c r="I29" s="15" t="str">
        <x:v>Точный счётчик метаданных видео</x:v>
      </x:c>
      <x:c r="J29" s="14" t="n">
        <x:v>5900000</x:v>
      </x:c>
      <x:c r="K29" s="14" t="n">
        <x:v>6500000</x:v>
      </x:c>
      <x:c r="L29" s="12" t="n">
        <x:f>IF(COUNT(J29:K29)=2,IF(K29=0,"",J29/K29),"")</x:f>
        <x:v>0.9076923076923077</x:v>
      </x:c>
      <x:c r="M29" s="10" t="str">
        <x:v>Эпизод 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29" s="10" t="str">
        <x:v>Выбрать диалог 2–4 минуты: просьбы, возражения, разговорные сокращения. Разыграть сцену.</x:v>
      </x:c>
      <x:c r="O29" s="10" t="str">
        <x:v>Сарказм, стереотипы, грубая речь; проверить выпуск</x:v>
      </x:c>
      <x:c r="P29" s="10" t="str">
        <x:v>Полная серия — кандидат</x:v>
      </x:c>
      <x:c r="Q29" s="9" t="str">
        <x:v>Нет</x:v>
      </x:c>
      <x:c r="R29" s="9" t="str">
        <x:v>C002</x:v>
      </x:c>
      <x:c r="S29" s="9" t="str">
        <x:v>C002</x:v>
      </x:c>
      <x:c r="T29" s="10" t="str">
        <x:v>כאן 11 - תאגיד השידור הישראלי</x:v>
      </x:c>
      <x:c r="U29" s="11" t="str">
        <x:v>https://www.youtube.com/watch?v=1czhcHL-YwA</x:v>
      </x:c>
      <x:c r="V29" s="16" t="n">
        <x:v>46308</x:v>
      </x:c>
      <x:c r="W29" s="16" t="n">
        <x:v>45049</x:v>
      </x:c>
      <x:c r="X29" s="10" t="str">
        <x:v>Иврит предполагается по заголовку и источнику</x:v>
      </x:c>
      <x:c r="Y29" s="10" t="str">
        <x:v>Дорожка HE не найдена в метаданных; вшитые титры не проверены</x:v>
      </x:c>
      <x:c r="Z29" s="10" t="str">
        <x:v>Разрешено по метаданным</x:v>
      </x:c>
      <x:c r="AA29" s="10" t="str">
        <x:v>Метаданные видео; воспроизведение и содержание не проверены</x:v>
      </x:c>
      <x:c r="AB29" s="13" t="n">
        <x:f>IF(AND(ISNUMBER(H29),ISNUMBER(W29)),H29/MAX(1,'Обзор'!$B$4-W29),"")</x:f>
        <x:v>4687.499602859412</x:v>
      </x:c>
      <x:c r="AC29" s="17" t="str">
        <x:v>Не решено</x:v>
      </x:c>
      <x:c r="AD29" s="17" t="str">
        <x:v>Не проверено</x:v>
      </x:c>
      <x:c r="AE29" s="17" t="str">
        <x:v>Не проверено</x:v>
      </x:c>
      <x:c r="AF29" s="17" t="str">
        <x:v>Не проверено</x:v>
      </x:c>
      <x:c r="AG29" s="17" t="str">
        <x:v>Не решено</x:v>
      </x:c>
      <x:c r="AH29" s="17" t="str">
        <x:v>Не проверено</x:v>
      </x:c>
      <x:c r="AI29" s="10" t="str">
        <x:f>IF(AC29="Отклонить","Отклонено",IF(AND(AC29="Взять",COUNTIFS(AD29:AH29,"Да")=5),"Готово","Нужна редактура"))</x:f>
        <x:v>Нужна редактура</x:v>
      </x:c>
      <x:c r="AJ29" s="17" t="str"/>
      <x:c r="AK29" s="9" t="str">
        <x:v>https://www.youtube.com/playlist?list=PLLttfoK87AdVhDg0tejz3xJjx8Bo3H_0c</x:v>
      </x:c>
      <x:c r="AL29" s="9" t="n">
        <x:v>1</x:v>
      </x:c>
      <x:c r="AM29" s="9" t="n">
        <x:v>1</x:v>
      </x:c>
      <x:c r="AN29" s="9" t="n">
        <x:v>0</x:v>
      </x:c>
    </x:row>
    <x:row r="30" ht="60" customHeight="1">
      <x:c r="A30" s="9" t="str">
        <x:v>EaMcZYTxaDU</x:v>
      </x:c>
      <x:c r="B30" s="10" t="str">
        <x:v>קופה ראשית עונה 4🛒 | פרק 2 - הג'ל של ראמזי</x:v>
      </x:c>
      <x:c r="C30" s="10" t="str">
        <x:v>Повседневность и юмор</x:v>
      </x:c>
      <x:c r="D30" s="9" t="str">
        <x:v>Сериал</x:v>
      </x:c>
      <x:c r="E30" s="10" t="str">
        <x:v>Сериалы; разговорный иврит; новые репатрианты</x:v>
      </x:c>
      <x:c r="F30" s="10" t="str">
        <x:v>B1–B2 (гипотеза)</x:v>
      </x:c>
      <x:c r="G30" s="12" t="n">
        <x:v>25.8</x:v>
      </x:c>
      <x:c r="H30" s="14" t="n">
        <x:v>6960907</x:v>
      </x:c>
      <x:c r="I30" s="15" t="str">
        <x:v>Точный счётчик метаданных видео</x:v>
      </x:c>
      <x:c r="J30" s="14" t="n">
        <x:v>6900000</x:v>
      </x:c>
      <x:c r="K30" s="14" t="n">
        <x:v>6500000</x:v>
      </x:c>
      <x:c r="L30" s="12" t="n">
        <x:f>IF(COUNT(J30:K30)=2,IF(K30=0,"",J30/K30),"")</x:f>
        <x:v>1.0615384615384615</x:v>
      </x:c>
      <x:c r="M30" s="10" t="str"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30" s="10" t="str">
        <x:v>Выбрать диалог 2–4 минуты: просьбы, возражения, разговорные сокращения. Разыграть сцену.</x:v>
      </x:c>
      <x:c r="O30" s="10" t="str">
        <x:v>Сарказм, стереотипы, грубая речь; проверить выпуск</x:v>
      </x:c>
      <x:c r="P30" s="10" t="str">
        <x:v>Полная серия — кандидат</x:v>
      </x:c>
      <x:c r="Q30" s="9" t="str">
        <x:v>Нет</x:v>
      </x:c>
      <x:c r="R30" s="9" t="str">
        <x:v>C002</x:v>
      </x:c>
      <x:c r="S30" s="9" t="str">
        <x:v>C002</x:v>
      </x:c>
      <x:c r="T30" s="10" t="str">
        <x:v>כאן 11 - תאגיד השידור הישראלי</x:v>
      </x:c>
      <x:c r="U30" s="11" t="str">
        <x:v>https://www.youtube.com/watch?v=EaMcZYTxaDU</x:v>
      </x:c>
      <x:c r="V30" s="16" t="n">
        <x:v>46308</x:v>
      </x:c>
      <x:c r="W30" s="16" t="n">
        <x:v>45042</x:v>
      </x:c>
      <x:c r="X30" s="10" t="str">
        <x:v>Иврит предполагается по заголовку и источнику</x:v>
      </x:c>
      <x:c r="Y30" s="10" t="str">
        <x:v>Дорожка HE не найдена в метаданных; вшитые титры не проверены</x:v>
      </x:c>
      <x:c r="Z30" s="10" t="str">
        <x:v>Разрешено по метаданным</x:v>
      </x:c>
      <x:c r="AA30" s="10" t="str">
        <x:v>Метаданные видео; воспроизведение и содержание не проверены</x:v>
      </x:c>
      <x:c r="AB30" s="13" t="n">
        <x:f>IF(AND(ISNUMBER(H30),ISNUMBER(W30)),H30/MAX(1,'Обзор'!$B$4-W30),"")</x:f>
        <x:v>5498.3467614533965</x:v>
      </x:c>
      <x:c r="AC30" s="17" t="str">
        <x:v>Не решено</x:v>
      </x:c>
      <x:c r="AD30" s="17" t="str">
        <x:v>Не проверено</x:v>
      </x:c>
      <x:c r="AE30" s="17" t="str">
        <x:v>Не проверено</x:v>
      </x:c>
      <x:c r="AF30" s="17" t="str">
        <x:v>Не проверено</x:v>
      </x:c>
      <x:c r="AG30" s="17" t="str">
        <x:v>Не решено</x:v>
      </x:c>
      <x:c r="AH30" s="17" t="str">
        <x:v>Не проверено</x:v>
      </x:c>
      <x:c r="AI30" s="10" t="str">
        <x:f>IF(AC30="Отклонить","Отклонено",IF(AND(AC30="Взять",COUNTIFS(AD30:AH30,"Да")=5),"Готово","Нужна редактура"))</x:f>
        <x:v>Нужна редактура</x:v>
      </x:c>
      <x:c r="AJ30" s="17" t="str"/>
      <x:c r="AK30" s="9" t="str">
        <x:v>https://www.youtube.com/playlist?list=PLLttfoK87AdVhDg0tejz3xJjx8Bo3H_0c</x:v>
      </x:c>
      <x:c r="AL30" s="9" t="n">
        <x:v>2</x:v>
      </x:c>
      <x:c r="AM30" s="9" t="n">
        <x:v>2</x:v>
      </x:c>
      <x:c r="AN30" s="9" t="n">
        <x:v>0</x:v>
      </x:c>
    </x:row>
    <x:row r="31" ht="60" customHeight="1">
      <x:c r="A31" s="9" t="str">
        <x:v>GGBXF3mMrj4</x:v>
      </x:c>
      <x:c r="B31" s="10" t="str">
        <x:v>קופה ראשית עונה 4🛒  | פרק 3 - טיטינסקים לא קונים בעונה</x:v>
      </x:c>
      <x:c r="C31" s="10" t="str">
        <x:v>Повседневность и юмор</x:v>
      </x:c>
      <x:c r="D31" s="9" t="str">
        <x:v>Сериал</x:v>
      </x:c>
      <x:c r="E31" s="10" t="str">
        <x:v>Сериалы; разговорный иврит; новые репатрианты</x:v>
      </x:c>
      <x:c r="F31" s="10" t="str">
        <x:v>B1–B2 (гипотеза)</x:v>
      </x:c>
      <x:c r="G31" s="12" t="n">
        <x:v>23.1</x:v>
      </x:c>
      <x:c r="H31" s="14" t="n">
        <x:v>6501783</x:v>
      </x:c>
      <x:c r="I31" s="15" t="str">
        <x:v>Точный счётчик метаданных видео</x:v>
      </x:c>
      <x:c r="J31" s="14" t="n">
        <x:v>6500000</x:v>
      </x:c>
      <x:c r="K31" s="14" t="n">
        <x:v>6500000</x:v>
      </x:c>
      <x:c r="L31" s="12" t="n">
        <x:f>IF(COUNT(J31:K31)=2,IF(K31=0,"",J31/K31),"")</x:f>
        <x:v>1</x:v>
      </x:c>
      <x:c r="M31" s="10" t="str">
        <x:v>Эпизод 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31" s="10" t="str">
        <x:v>Выбрать диалог 2–4 минуты: просьбы, возражения, разговорные сокращения. Разыграть сцену.</x:v>
      </x:c>
      <x:c r="O31" s="10" t="str">
        <x:v>Сарказм, стереотипы, грубая речь; проверить выпуск</x:v>
      </x:c>
      <x:c r="P31" s="10" t="str">
        <x:v>Полная серия — кандидат</x:v>
      </x:c>
      <x:c r="Q31" s="9" t="str">
        <x:v>Нет</x:v>
      </x:c>
      <x:c r="R31" s="9" t="str">
        <x:v>C002</x:v>
      </x:c>
      <x:c r="S31" s="9" t="str">
        <x:v>C002</x:v>
      </x:c>
      <x:c r="T31" s="10" t="str">
        <x:v>כאן 11 - תאגיד השידור הישראלי</x:v>
      </x:c>
      <x:c r="U31" s="11" t="str">
        <x:v>https://www.youtube.com/watch?v=GGBXF3mMrj4</x:v>
      </x:c>
      <x:c r="V31" s="16" t="n">
        <x:v>46308</x:v>
      </x:c>
      <x:c r="W31" s="16" t="n">
        <x:v>45049</x:v>
      </x:c>
      <x:c r="X31" s="10" t="str">
        <x:v>Иврит предполагается по заголовку и источнику</x:v>
      </x:c>
      <x:c r="Y31" s="10" t="str">
        <x:v>Дорожка HE не найдена в метаданных; вшитые титры не проверены</x:v>
      </x:c>
      <x:c r="Z31" s="10" t="str">
        <x:v>Разрешено по метаданным</x:v>
      </x:c>
      <x:c r="AA31" s="10" t="str">
        <x:v>Метаданные видео; воспроизведение и содержание не проверены</x:v>
      </x:c>
      <x:c r="AB31" s="13" t="n">
        <x:f>IF(AND(ISNUMBER(H31),ISNUMBER(W31)),H31/MAX(1,'Обзор'!$B$4-W31),"")</x:f>
        <x:v>5164.243844320889</x:v>
      </x:c>
      <x:c r="AC31" s="17" t="str">
        <x:v>Не решено</x:v>
      </x:c>
      <x:c r="AD31" s="17" t="str">
        <x:v>Не проверено</x:v>
      </x:c>
      <x:c r="AE31" s="17" t="str">
        <x:v>Не проверено</x:v>
      </x:c>
      <x:c r="AF31" s="17" t="str">
        <x:v>Не проверено</x:v>
      </x:c>
      <x:c r="AG31" s="17" t="str">
        <x:v>Не решено</x:v>
      </x:c>
      <x:c r="AH31" s="17" t="str">
        <x:v>Не проверено</x:v>
      </x:c>
      <x:c r="AI31" s="10" t="str">
        <x:f>IF(AC31="Отклонить","Отклонено",IF(AND(AC31="Взять",COUNTIFS(AD31:AH31,"Да")=5),"Готово","Нужна редактура"))</x:f>
        <x:v>Нужна редактура</x:v>
      </x:c>
      <x:c r="AJ31" s="17" t="str"/>
      <x:c r="AK31" s="9" t="str">
        <x:v>https://www.youtube.com/playlist?list=PLLttfoK87AdVhDg0tejz3xJjx8Bo3H_0c</x:v>
      </x:c>
      <x:c r="AL31" s="9" t="n">
        <x:v>3</x:v>
      </x:c>
      <x:c r="AM31" s="9" t="n">
        <x:v>3</x:v>
      </x:c>
      <x:c r="AN31" s="9" t="n">
        <x:v>0</x:v>
      </x:c>
    </x:row>
    <x:row r="32" ht="60" customHeight="1">
      <x:c r="A32" s="9" t="str">
        <x:v>SQw9PRlZ60Q</x:v>
      </x:c>
      <x:c r="B32" s="10" t="str">
        <x:v>קופה ראשית עונה 4🛒  | פרק 4 - בר מצווה אנטולי</x:v>
      </x:c>
      <x:c r="C32" s="10" t="str">
        <x:v>Повседневность и юмор</x:v>
      </x:c>
      <x:c r="D32" s="9" t="str">
        <x:v>Сериал</x:v>
      </x:c>
      <x:c r="E32" s="10" t="str">
        <x:v>Сериалы; разговорный иврит; новые репатрианты</x:v>
      </x:c>
      <x:c r="F32" s="10" t="str">
        <x:v>B1–B2 (гипотеза)</x:v>
      </x:c>
      <x:c r="G32" s="12" t="n">
        <x:v>24.5</x:v>
      </x:c>
      <x:c r="H32" s="14" t="n">
        <x:v>5650784</x:v>
      </x:c>
      <x:c r="I32" s="15" t="str">
        <x:v>Точный счётчик метаданных видео</x:v>
      </x:c>
      <x:c r="J32" s="14" t="n">
        <x:v>5600000</x:v>
      </x:c>
      <x:c r="K32" s="14" t="n">
        <x:v>6500000</x:v>
      </x:c>
      <x:c r="L32" s="12" t="n">
        <x:f>IF(COUNT(J32:K32)=2,IF(K32=0,"",J32/K32),"")</x:f>
        <x:v>0.8615384615384616</x:v>
      </x:c>
      <x:c r="M32" s="10" t="str">
        <x:v>Эпизод 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32" s="10" t="str">
        <x:v>Выбрать диалог 2–4 минуты: просьбы, возражения, разговорные сокращения. Разыграть сцену.</x:v>
      </x:c>
      <x:c r="O32" s="10" t="str">
        <x:v>Сарказм, стереотипы, грубая речь; проверить выпуск</x:v>
      </x:c>
      <x:c r="P32" s="10" t="str">
        <x:v>Полная серия — кандидат</x:v>
      </x:c>
      <x:c r="Q32" s="9" t="str">
        <x:v>Нет</x:v>
      </x:c>
      <x:c r="R32" s="9" t="str">
        <x:v>C002</x:v>
      </x:c>
      <x:c r="S32" s="9" t="str">
        <x:v>C002</x:v>
      </x:c>
      <x:c r="T32" s="10" t="str">
        <x:v>כאן 11 - תאגיד השידור הישראלי</x:v>
      </x:c>
      <x:c r="U32" s="11" t="str">
        <x:v>https://www.youtube.com/watch?v=SQw9PRlZ60Q</x:v>
      </x:c>
      <x:c r="V32" s="16" t="n">
        <x:v>46308</x:v>
      </x:c>
      <x:c r="W32" s="16" t="n">
        <x:v>45056</x:v>
      </x:c>
      <x:c r="X32" s="10" t="str">
        <x:v>Иврит предполагается по заголовку и источнику</x:v>
      </x:c>
      <x:c r="Y32" s="10" t="str">
        <x:v>Дорожка HE не найдена в метаданных; вшитые титры не проверены</x:v>
      </x:c>
      <x:c r="Z32" s="10" t="str">
        <x:v>Разрешено по метаданным</x:v>
      </x:c>
      <x:c r="AA32" s="10" t="str">
        <x:v>Метаданные видео; воспроизведение и содержание не проверены</x:v>
      </x:c>
      <x:c r="AB32" s="13" t="n">
        <x:f>IF(AND(ISNUMBER(H32),ISNUMBER(W32)),H32/MAX(1,'Обзор'!$B$4-W32),"")</x:f>
        <x:v>4513.405750798722</x:v>
      </x:c>
      <x:c r="AC32" s="17" t="str">
        <x:v>Не решено</x:v>
      </x:c>
      <x:c r="AD32" s="17" t="str">
        <x:v>Не проверено</x:v>
      </x:c>
      <x:c r="AE32" s="17" t="str">
        <x:v>Не проверено</x:v>
      </x:c>
      <x:c r="AF32" s="17" t="str">
        <x:v>Не проверено</x:v>
      </x:c>
      <x:c r="AG32" s="17" t="str">
        <x:v>Не решено</x:v>
      </x:c>
      <x:c r="AH32" s="17" t="str">
        <x:v>Не проверено</x:v>
      </x:c>
      <x:c r="AI32" s="10" t="str">
        <x:f>IF(AC32="Отклонить","Отклонено",IF(AND(AC32="Взять",COUNTIFS(AD32:AH32,"Да")=5),"Готово","Нужна редактура"))</x:f>
        <x:v>Нужна редактура</x:v>
      </x:c>
      <x:c r="AJ32" s="17" t="str"/>
      <x:c r="AK32" s="9" t="str">
        <x:v>https://www.youtube.com/playlist?list=PLLttfoK87AdVhDg0tejz3xJjx8Bo3H_0c</x:v>
      </x:c>
      <x:c r="AL32" s="9" t="n">
        <x:v>4</x:v>
      </x:c>
      <x:c r="AM32" s="9" t="n">
        <x:v>4</x:v>
      </x:c>
      <x:c r="AN32" s="9" t="n">
        <x:v>0</x:v>
      </x:c>
    </x:row>
    <x:row r="33" ht="60" customHeight="1">
      <x:c r="A33" s="9" t="str">
        <x:v>zyP0st9aW6w</x:v>
      </x:c>
      <x:c r="B33" s="10" t="str">
        <x:v>קופה ראשית עונה 4🛒  | פרק 5 - האקדמיה ללשון</x:v>
      </x:c>
      <x:c r="C33" s="10" t="str">
        <x:v>Повседневность и юмор</x:v>
      </x:c>
      <x:c r="D33" s="9" t="str">
        <x:v>Сериал</x:v>
      </x:c>
      <x:c r="E33" s="10" t="str">
        <x:v>Сериалы; разговорный иврит; новые репатрианты</x:v>
      </x:c>
      <x:c r="F33" s="10" t="str">
        <x:v>B1–B2 (гипотеза)</x:v>
      </x:c>
      <x:c r="G33" s="12" t="n">
        <x:v>23.3</x:v>
      </x:c>
      <x:c r="H33" s="14" t="n">
        <x:v>7146015</x:v>
      </x:c>
      <x:c r="I33" s="15" t="str">
        <x:v>Точный счётчик метаданных видео</x:v>
      </x:c>
      <x:c r="J33" s="14" t="n">
        <x:v>7100000</x:v>
      </x:c>
      <x:c r="K33" s="14" t="n">
        <x:v>6500000</x:v>
      </x:c>
      <x:c r="L33" s="12" t="n">
        <x:f>IF(COUNT(J33:K33)=2,IF(K33=0,"",J33/K33),"")</x:f>
        <x:v>1.0923076923076922</x:v>
      </x:c>
      <x:c r="M33" s="10" t="str">
        <x:v>Эпизод 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33" s="10" t="str">
        <x:v>Выбрать диалог 2–4 минуты: просьбы, возражения, разговорные сокращения. Разыграть сцену.</x:v>
      </x:c>
      <x:c r="O33" s="10" t="str">
        <x:v>Сарказм, стереотипы, грубая речь; проверить выпуск</x:v>
      </x:c>
      <x:c r="P33" s="10" t="str">
        <x:v>Полная серия — кандидат</x:v>
      </x:c>
      <x:c r="Q33" s="9" t="str">
        <x:v>Нет</x:v>
      </x:c>
      <x:c r="R33" s="9" t="str">
        <x:v>C002</x:v>
      </x:c>
      <x:c r="S33" s="9" t="str">
        <x:v>C002</x:v>
      </x:c>
      <x:c r="T33" s="10" t="str">
        <x:v>כאן 11 - תאגיד השידור הישראלי</x:v>
      </x:c>
      <x:c r="U33" s="11" t="str">
        <x:v>https://www.youtube.com/watch?v=zyP0st9aW6w</x:v>
      </x:c>
      <x:c r="V33" s="16" t="n">
        <x:v>46308</x:v>
      </x:c>
      <x:c r="W33" s="16" t="n">
        <x:v>45063</x:v>
      </x:c>
      <x:c r="X33" s="10" t="str">
        <x:v>Иврит предполагается по заголовку и источнику</x:v>
      </x:c>
      <x:c r="Y33" s="10" t="str">
        <x:v>Автоматическая дорожка HE по метаданным</x:v>
      </x:c>
      <x:c r="Z33" s="10" t="str">
        <x:v>Разрешено по метаданным</x:v>
      </x:c>
      <x:c r="AA33" s="10" t="str">
        <x:v>Метаданные видео; воспроизведение и содержание не проверены</x:v>
      </x:c>
      <x:c r="AB33" s="13" t="n">
        <x:f>IF(AND(ISNUMBER(H33),ISNUMBER(W33)),H33/MAX(1,'Обзор'!$B$4-W33),"")</x:f>
        <x:v>5739.77108433735</x:v>
      </x:c>
      <x:c r="AC33" s="17" t="str">
        <x:v>Не решено</x:v>
      </x:c>
      <x:c r="AD33" s="17" t="str">
        <x:v>Не проверено</x:v>
      </x:c>
      <x:c r="AE33" s="17" t="str">
        <x:v>Не проверено</x:v>
      </x:c>
      <x:c r="AF33" s="17" t="str">
        <x:v>Не проверено</x:v>
      </x:c>
      <x:c r="AG33" s="17" t="str">
        <x:v>Не решено</x:v>
      </x:c>
      <x:c r="AH33" s="17" t="str">
        <x:v>Не проверено</x:v>
      </x:c>
      <x:c r="AI33" s="10" t="str">
        <x:f>IF(AC33="Отклонить","Отклонено",IF(AND(AC33="Взять",COUNTIFS(AD33:AH33,"Да")=5),"Готово","Нужна редактура"))</x:f>
        <x:v>Нужна редактура</x:v>
      </x:c>
      <x:c r="AJ33" s="17" t="str"/>
      <x:c r="AK33" s="9" t="str">
        <x:v>https://www.youtube.com/playlist?list=PLLttfoK87AdVhDg0tejz3xJjx8Bo3H_0c</x:v>
      </x:c>
      <x:c r="AL33" s="9" t="n">
        <x:v>5</x:v>
      </x:c>
      <x:c r="AM33" s="9" t="n">
        <x:v>5</x:v>
      </x:c>
      <x:c r="AN33" s="9" t="n">
        <x:v>0</x:v>
      </x:c>
    </x:row>
    <x:row r="34" ht="60" customHeight="1">
      <x:c r="A34" s="9" t="str">
        <x:v>KK4zLYp_O6E</x:v>
      </x:c>
      <x:c r="B34" s="10" t="str">
        <x:v>קופה ראשית עונה 4🛒  | פרק 6 - אבא של נעמי</x:v>
      </x:c>
      <x:c r="C34" s="10" t="str">
        <x:v>Повседневность и юмор</x:v>
      </x:c>
      <x:c r="D34" s="9" t="str">
        <x:v>Сериал</x:v>
      </x:c>
      <x:c r="E34" s="10" t="str">
        <x:v>Сериалы; разговорный иврит; новые репатрианты</x:v>
      </x:c>
      <x:c r="F34" s="10" t="str">
        <x:v>B1–B2 (гипотеза)</x:v>
      </x:c>
      <x:c r="G34" s="12" t="n">
        <x:v>26.2</x:v>
      </x:c>
      <x:c r="H34" s="14" t="n">
        <x:v>6576059</x:v>
      </x:c>
      <x:c r="I34" s="15" t="str">
        <x:v>Точный счётчик метаданных видео</x:v>
      </x:c>
      <x:c r="J34" s="14" t="n">
        <x:v>6500000</x:v>
      </x:c>
      <x:c r="K34" s="14" t="n">
        <x:v>6500000</x:v>
      </x:c>
      <x:c r="L34" s="12" t="n">
        <x:f>IF(COUNT(J34:K34)=2,IF(K34=0,"",J34/K34),"")</x:f>
        <x:v>1</x:v>
      </x:c>
      <x:c r="M34" s="10" t="str">
        <x:v>Эпизод 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34" s="10" t="str">
        <x:v>Выбрать диалог 2–4 минуты: просьбы, возражения, разговорные сокращения. Разыграть сцену.</x:v>
      </x:c>
      <x:c r="O34" s="10" t="str">
        <x:v>Сарказм, стереотипы, грубая речь; проверить выпуск</x:v>
      </x:c>
      <x:c r="P34" s="10" t="str">
        <x:v>Полная серия — кандидат</x:v>
      </x:c>
      <x:c r="Q34" s="9" t="str">
        <x:v>Нет</x:v>
      </x:c>
      <x:c r="R34" s="9" t="str">
        <x:v>C002</x:v>
      </x:c>
      <x:c r="S34" s="9" t="str">
        <x:v>C002</x:v>
      </x:c>
      <x:c r="T34" s="10" t="str">
        <x:v>כאן 11 - תאגיד השידור הישראלי</x:v>
      </x:c>
      <x:c r="U34" s="11" t="str">
        <x:v>https://www.youtube.com/watch?v=KK4zLYp_O6E</x:v>
      </x:c>
      <x:c r="V34" s="16" t="n">
        <x:v>46308</x:v>
      </x:c>
      <x:c r="W34" s="16" t="n">
        <x:v>45073</x:v>
      </x:c>
      <x:c r="X34" s="10" t="str">
        <x:v>Иврит предполагается по заголовку и источнику</x:v>
      </x:c>
      <x:c r="Y34" s="10" t="str">
        <x:v>Автоматическая дорожка HE по метаданным</x:v>
      </x:c>
      <x:c r="Z34" s="10" t="str">
        <x:v>Разрешено по метаданным</x:v>
      </x:c>
      <x:c r="AA34" s="10" t="str">
        <x:v>Метаданные видео; воспроизведение и содержание не проверены</x:v>
      </x:c>
      <x:c r="AB34" s="13" t="n">
        <x:f>IF(AND(ISNUMBER(H34),ISNUMBER(W34)),H34/MAX(1,'Обзор'!$B$4-W34),"")</x:f>
        <x:v>5324.744129554656</x:v>
      </x:c>
      <x:c r="AC34" s="17" t="str">
        <x:v>Не решено</x:v>
      </x:c>
      <x:c r="AD34" s="17" t="str">
        <x:v>Не проверено</x:v>
      </x:c>
      <x:c r="AE34" s="17" t="str">
        <x:v>Не проверено</x:v>
      </x:c>
      <x:c r="AF34" s="17" t="str">
        <x:v>Не проверено</x:v>
      </x:c>
      <x:c r="AG34" s="17" t="str">
        <x:v>Не решено</x:v>
      </x:c>
      <x:c r="AH34" s="17" t="str">
        <x:v>Не проверено</x:v>
      </x:c>
      <x:c r="AI34" s="10" t="str">
        <x:f>IF(AC34="Отклонить","Отклонено",IF(AND(AC34="Взять",COUNTIFS(AD34:AH34,"Да")=5),"Готово","Нужна редактура"))</x:f>
        <x:v>Нужна редактура</x:v>
      </x:c>
      <x:c r="AJ34" s="17" t="str"/>
      <x:c r="AK34" s="9" t="str">
        <x:v>https://www.youtube.com/playlist?list=PLLttfoK87AdVhDg0tejz3xJjx8Bo3H_0c</x:v>
      </x:c>
      <x:c r="AL34" s="9" t="n">
        <x:v>6</x:v>
      </x:c>
      <x:c r="AM34" s="9" t="n">
        <x:v>6</x:v>
      </x:c>
      <x:c r="AN34" s="9" t="n">
        <x:v>0</x:v>
      </x:c>
    </x:row>
    <x:row r="35" ht="60" customHeight="1">
      <x:c r="A35" s="9" t="str">
        <x:v>lFvrjguieo0</x:v>
      </x:c>
      <x:c r="B35" s="10" t="str">
        <x:v>קופה ראשית עונה 4🛒 | פרק 7 - קופה אדומה</x:v>
      </x:c>
      <x:c r="C35" s="10" t="str">
        <x:v>Повседневность и юмор</x:v>
      </x:c>
      <x:c r="D35" s="9" t="str">
        <x:v>Сериал</x:v>
      </x:c>
      <x:c r="E35" s="10" t="str">
        <x:v>Сериалы; разговорный иврит; новые репатрианты</x:v>
      </x:c>
      <x:c r="F35" s="10" t="str">
        <x:v>B1–B2 (гипотеза)</x:v>
      </x:c>
      <x:c r="G35" s="12" t="n">
        <x:v>23.1</x:v>
      </x:c>
      <x:c r="H35" s="14" t="n">
        <x:v>6743223</x:v>
      </x:c>
      <x:c r="I35" s="15" t="str">
        <x:v>Точный счётчик метаданных видео</x:v>
      </x:c>
      <x:c r="J35" s="14" t="n">
        <x:v>6700000</x:v>
      </x:c>
      <x:c r="K35" s="14" t="n">
        <x:v>6500000</x:v>
      </x:c>
      <x:c r="L35" s="12" t="n">
        <x:f>IF(COUNT(J35:K35)=2,IF(K35=0,"",J35/K35),"")</x:f>
        <x:v>1.0307692307692307</x:v>
      </x:c>
      <x:c r="M35" s="10" t="str">
        <x:v>Эпизод 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35" s="10" t="str">
        <x:v>Выбрать диалог 2–4 минуты: просьбы, возражения, разговорные сокращения. Разыграть сцену.</x:v>
      </x:c>
      <x:c r="O35" s="10" t="str">
        <x:v>Сарказм, стереотипы, грубая речь; проверить выпуск</x:v>
      </x:c>
      <x:c r="P35" s="10" t="str">
        <x:v>Полная серия — кандидат</x:v>
      </x:c>
      <x:c r="Q35" s="9" t="str">
        <x:v>Нет</x:v>
      </x:c>
      <x:c r="R35" s="9" t="str">
        <x:v>C002</x:v>
      </x:c>
      <x:c r="S35" s="9" t="str">
        <x:v>C002</x:v>
      </x:c>
      <x:c r="T35" s="10" t="str">
        <x:v>כאן 11 - תאגיד השידור הישראלי</x:v>
      </x:c>
      <x:c r="U35" s="11" t="str">
        <x:v>https://www.youtube.com/watch?v=lFvrjguieo0</x:v>
      </x:c>
      <x:c r="V35" s="16" t="n">
        <x:v>46308</x:v>
      </x:c>
      <x:c r="W35" s="16" t="n">
        <x:v>45077</x:v>
      </x:c>
      <x:c r="X35" s="10" t="str">
        <x:v>Иврит предполагается по заголовку и источнику</x:v>
      </x:c>
      <x:c r="Y35" s="10" t="str">
        <x:v>Дорожка HE не найдена в метаданных; вшитые титры не проверены</x:v>
      </x:c>
      <x:c r="Z35" s="10" t="str">
        <x:v>Разрешено по метаданным</x:v>
      </x:c>
      <x:c r="AA35" s="10" t="str">
        <x:v>Метаданные видео; воспроизведение и содержание не проверены</x:v>
      </x:c>
      <x:c r="AB35" s="13" t="n">
        <x:f>IF(AND(ISNUMBER(H35),ISNUMBER(W35)),H35/MAX(1,'Обзор'!$B$4-W35),"")</x:f>
        <x:v>5477.841592201462</x:v>
      </x:c>
      <x:c r="AC35" s="17" t="str">
        <x:v>Не решено</x:v>
      </x:c>
      <x:c r="AD35" s="17" t="str">
        <x:v>Не проверено</x:v>
      </x:c>
      <x:c r="AE35" s="17" t="str">
        <x:v>Не проверено</x:v>
      </x:c>
      <x:c r="AF35" s="17" t="str">
        <x:v>Не проверено</x:v>
      </x:c>
      <x:c r="AG35" s="17" t="str">
        <x:v>Не решено</x:v>
      </x:c>
      <x:c r="AH35" s="17" t="str">
        <x:v>Не проверено</x:v>
      </x:c>
      <x:c r="AI35" s="10" t="str">
        <x:f>IF(AC35="Отклонить","Отклонено",IF(AND(AC35="Взять",COUNTIFS(AD35:AH35,"Да")=5),"Готово","Нужна редактура"))</x:f>
        <x:v>Нужна редактура</x:v>
      </x:c>
      <x:c r="AJ35" s="17" t="str"/>
      <x:c r="AK35" s="9" t="str">
        <x:v>https://www.youtube.com/playlist?list=PLLttfoK87AdVhDg0tejz3xJjx8Bo3H_0c</x:v>
      </x:c>
      <x:c r="AL35" s="9" t="n">
        <x:v>7</x:v>
      </x:c>
      <x:c r="AM35" s="9" t="n">
        <x:v>7</x:v>
      </x:c>
      <x:c r="AN35" s="9" t="n">
        <x:v>0</x:v>
      </x:c>
    </x:row>
    <x:row r="36" ht="60" customHeight="1">
      <x:c r="A36" s="9" t="str">
        <x:v>mxDzbynZTMU</x:v>
      </x:c>
      <x:c r="B36" s="10" t="str">
        <x:v>קופה ראשית עונה 4🛒 | פרק 8 - מרד בר כוכבה</x:v>
      </x:c>
      <x:c r="C36" s="10" t="str">
        <x:v>Повседневность и юмор</x:v>
      </x:c>
      <x:c r="D36" s="9" t="str">
        <x:v>Сериал</x:v>
      </x:c>
      <x:c r="E36" s="10" t="str">
        <x:v>Сериалы; разговорный иврит; новые репатрианты</x:v>
      </x:c>
      <x:c r="F36" s="10" t="str">
        <x:v>B1–B2 (гипотеза)</x:v>
      </x:c>
      <x:c r="G36" s="12" t="n">
        <x:v>24.2</x:v>
      </x:c>
      <x:c r="H36" s="14" t="n">
        <x:v>6669284</x:v>
      </x:c>
      <x:c r="I36" s="15" t="str">
        <x:v>Точный счётчик метаданных видео</x:v>
      </x:c>
      <x:c r="J36" s="14" t="n">
        <x:v>6600000</x:v>
      </x:c>
      <x:c r="K36" s="14" t="n">
        <x:v>6500000</x:v>
      </x:c>
      <x:c r="L36" s="12" t="n">
        <x:f>IF(COUNT(J36:K36)=2,IF(K36=0,"",J36/K36),"")</x:f>
        <x:v>1.0153846153846153</x:v>
      </x:c>
      <x:c r="M36" s="10" t="str">
        <x:v>Эпизод 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36" s="10" t="str">
        <x:v>Выбрать диалог 2–4 минуты: просьбы, возражения, разговорные сокращения. Разыграть сцену.</x:v>
      </x:c>
      <x:c r="O36" s="10" t="str">
        <x:v>Сарказм, стереотипы, грубая речь; проверить выпуск</x:v>
      </x:c>
      <x:c r="P36" s="10" t="str">
        <x:v>Полная серия — кандидат</x:v>
      </x:c>
      <x:c r="Q36" s="9" t="str">
        <x:v>Нет</x:v>
      </x:c>
      <x:c r="R36" s="9" t="str">
        <x:v>C002</x:v>
      </x:c>
      <x:c r="S36" s="9" t="str">
        <x:v>C002</x:v>
      </x:c>
      <x:c r="T36" s="10" t="str">
        <x:v>כאן 11 - תאגיד השידור הישראלי</x:v>
      </x:c>
      <x:c r="U36" s="11" t="str">
        <x:v>https://www.youtube.com/watch?v=mxDzbynZTMU</x:v>
      </x:c>
      <x:c r="V36" s="16" t="n">
        <x:v>46308</x:v>
      </x:c>
      <x:c r="W36" s="16" t="n">
        <x:v>45084</x:v>
      </x:c>
      <x:c r="X36" s="10" t="str">
        <x:v>Иврит предполагается по заголовку и источнику</x:v>
      </x:c>
      <x:c r="Y36" s="10" t="str">
        <x:v>Автоматическая дорожка HE по метаданным</x:v>
      </x:c>
      <x:c r="Z36" s="10" t="str">
        <x:v>Разрешено по метаданным</x:v>
      </x:c>
      <x:c r="AA36" s="10" t="str">
        <x:v>Метаданные видео; воспроизведение и содержание не проверены</x:v>
      </x:c>
      <x:c r="AB36" s="13" t="n">
        <x:f>IF(AND(ISNUMBER(H36),ISNUMBER(W36)),H36/MAX(1,'Обзор'!$B$4-W36),"")</x:f>
        <x:v>5448.761437908497</x:v>
      </x:c>
      <x:c r="AC36" s="17" t="str">
        <x:v>Не решено</x:v>
      </x:c>
      <x:c r="AD36" s="17" t="str">
        <x:v>Не проверено</x:v>
      </x:c>
      <x:c r="AE36" s="17" t="str">
        <x:v>Не проверено</x:v>
      </x:c>
      <x:c r="AF36" s="17" t="str">
        <x:v>Не проверено</x:v>
      </x:c>
      <x:c r="AG36" s="17" t="str">
        <x:v>Не решено</x:v>
      </x:c>
      <x:c r="AH36" s="17" t="str">
        <x:v>Не проверено</x:v>
      </x:c>
      <x:c r="AI36" s="10" t="str">
        <x:f>IF(AC36="Отклонить","Отклонено",IF(AND(AC36="Взять",COUNTIFS(AD36:AH36,"Да")=5),"Готово","Нужна редактура"))</x:f>
        <x:v>Нужна редактура</x:v>
      </x:c>
      <x:c r="AJ36" s="17" t="str"/>
      <x:c r="AK36" s="9" t="str">
        <x:v>https://www.youtube.com/playlist?list=PLLttfoK87AdVhDg0tejz3xJjx8Bo3H_0c</x:v>
      </x:c>
      <x:c r="AL36" s="9" t="n">
        <x:v>8</x:v>
      </x:c>
      <x:c r="AM36" s="9" t="n">
        <x:v>8</x:v>
      </x:c>
      <x:c r="AN36" s="9" t="n">
        <x:v>0</x:v>
      </x:c>
    </x:row>
    <x:row r="37" ht="60" customHeight="1">
      <x:c r="A37" s="9" t="str">
        <x:v>sYLlJjdKNS0</x:v>
      </x:c>
      <x:c r="B37" s="10" t="str">
        <x:v>קופה ראשית עונה 4🛒 | פרק 9 - כי הלקוח הוא גם חבר</x:v>
      </x:c>
      <x:c r="C37" s="10" t="str">
        <x:v>Повседневность и юмор</x:v>
      </x:c>
      <x:c r="D37" s="9" t="str">
        <x:v>Сериал</x:v>
      </x:c>
      <x:c r="E37" s="10" t="str">
        <x:v>Сериалы; разговорный иврит; новые репатрианты</x:v>
      </x:c>
      <x:c r="F37" s="10" t="str">
        <x:v>B1–B2 (гипотеза)</x:v>
      </x:c>
      <x:c r="G37" s="12" t="n">
        <x:v>25.2</x:v>
      </x:c>
      <x:c r="H37" s="14" t="n">
        <x:v>7776736</x:v>
      </x:c>
      <x:c r="I37" s="15" t="str">
        <x:v>Точный счётчик метаданных видео</x:v>
      </x:c>
      <x:c r="J37" s="14" t="n">
        <x:v>7700000</x:v>
      </x:c>
      <x:c r="K37" s="14" t="n">
        <x:v>6500000</x:v>
      </x:c>
      <x:c r="L37" s="12" t="n">
        <x:f>IF(COUNT(J37:K37)=2,IF(K37=0,"",J37/K37),"")</x:f>
        <x:v>1.1846153846153846</x:v>
      </x:c>
      <x:c r="M37" s="10" t="str">
        <x:v>Эпизод 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37" s="10" t="str">
        <x:v>Выбрать диалог 2–4 минуты: просьбы, возражения, разговорные сокращения. Разыграть сцену.</x:v>
      </x:c>
      <x:c r="O37" s="10" t="str">
        <x:v>Сарказм, стереотипы, грубая речь; проверить выпуск</x:v>
      </x:c>
      <x:c r="P37" s="10" t="str">
        <x:v>Полная серия — кандидат</x:v>
      </x:c>
      <x:c r="Q37" s="9" t="str">
        <x:v>Нет</x:v>
      </x:c>
      <x:c r="R37" s="9" t="str">
        <x:v>C002</x:v>
      </x:c>
      <x:c r="S37" s="9" t="str">
        <x:v>C002</x:v>
      </x:c>
      <x:c r="T37" s="10" t="str">
        <x:v>כאן 11 - תאגיד השידור הישראלי</x:v>
      </x:c>
      <x:c r="U37" s="11" t="str">
        <x:v>https://www.youtube.com/watch?v=sYLlJjdKNS0</x:v>
      </x:c>
      <x:c r="V37" s="16" t="n">
        <x:v>46308</x:v>
      </x:c>
      <x:c r="W37" s="16" t="n">
        <x:v>45091</x:v>
      </x:c>
      <x:c r="X37" s="10" t="str">
        <x:v>Иврит предполагается по заголовку и источнику</x:v>
      </x:c>
      <x:c r="Y37" s="10" t="str">
        <x:v>Дорожка HE не найдена в метаданных; вшитые титры не проверены</x:v>
      </x:c>
      <x:c r="Z37" s="10" t="str">
        <x:v>Разрешено по метаданным</x:v>
      </x:c>
      <x:c r="AA37" s="10" t="str">
        <x:v>Метаданные видео; воспроизведение и содержание не проверены</x:v>
      </x:c>
      <x:c r="AB37" s="13" t="n">
        <x:f>IF(AND(ISNUMBER(H37),ISNUMBER(W37)),H37/MAX(1,'Обзор'!$B$4-W37),"")</x:f>
        <x:v>6390.087099424815</x:v>
      </x:c>
      <x:c r="AC37" s="17" t="str">
        <x:v>Не решено</x:v>
      </x:c>
      <x:c r="AD37" s="17" t="str">
        <x:v>Не проверено</x:v>
      </x:c>
      <x:c r="AE37" s="17" t="str">
        <x:v>Не проверено</x:v>
      </x:c>
      <x:c r="AF37" s="17" t="str">
        <x:v>Не проверено</x:v>
      </x:c>
      <x:c r="AG37" s="17" t="str">
        <x:v>Не решено</x:v>
      </x:c>
      <x:c r="AH37" s="17" t="str">
        <x:v>Не проверено</x:v>
      </x:c>
      <x:c r="AI37" s="10" t="str">
        <x:f>IF(AC37="Отклонить","Отклонено",IF(AND(AC37="Взять",COUNTIFS(AD37:AH37,"Да")=5),"Готово","Нужна редактура"))</x:f>
        <x:v>Нужна редактура</x:v>
      </x:c>
      <x:c r="AJ37" s="17" t="str"/>
      <x:c r="AK37" s="9" t="str">
        <x:v>https://www.youtube.com/playlist?list=PLLttfoK87AdVhDg0tejz3xJjx8Bo3H_0c</x:v>
      </x:c>
      <x:c r="AL37" s="9" t="n">
        <x:v>9</x:v>
      </x:c>
      <x:c r="AM37" s="9" t="n">
        <x:v>9</x:v>
      </x:c>
      <x:c r="AN37" s="9" t="n">
        <x:v>0</x:v>
      </x:c>
    </x:row>
    <x:row r="38" ht="60" customHeight="1">
      <x:c r="A38" s="9" t="str">
        <x:v>bB-1vs2XBo8</x:v>
      </x:c>
      <x:c r="B38" s="10" t="str">
        <x:v>קופה ראשית עונה 4🛒 | פרק 10 - לוויה ראשית - חלק א'</x:v>
      </x:c>
      <x:c r="C38" s="10" t="str">
        <x:v>Повседневность и юмор</x:v>
      </x:c>
      <x:c r="D38" s="9" t="str">
        <x:v>Сериал</x:v>
      </x:c>
      <x:c r="E38" s="10" t="str">
        <x:v>Сериалы; разговорный иврит; новые репатрианты</x:v>
      </x:c>
      <x:c r="F38" s="10" t="str">
        <x:v>B1–B2 (гипотеза)</x:v>
      </x:c>
      <x:c r="G38" s="12" t="n">
        <x:v>25.8</x:v>
      </x:c>
      <x:c r="H38" s="14" t="n">
        <x:v>5300356</x:v>
      </x:c>
      <x:c r="I38" s="15" t="str">
        <x:v>Точный счётчик метаданных видео</x:v>
      </x:c>
      <x:c r="J38" s="14" t="n">
        <x:v>5300000</x:v>
      </x:c>
      <x:c r="K38" s="14" t="n">
        <x:v>6500000</x:v>
      </x:c>
      <x:c r="L38" s="12" t="n">
        <x:f>IF(COUNT(J38:K38)=2,IF(K38=0,"",J38/K38),"")</x:f>
        <x:v>0.8153846153846154</x:v>
      </x:c>
      <x:c r="M38" s="10" t="str">
        <x:v>Эпизод 10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38" s="10" t="str">
        <x:v>Выбрать диалог 2–4 минуты: просьбы, возражения, разговорные сокращения. Разыграть сцену.</x:v>
      </x:c>
      <x:c r="O38" s="10" t="str">
        <x:v>Сарказм, стереотипы, грубая речь; проверить выпуск</x:v>
      </x:c>
      <x:c r="P38" s="10" t="str">
        <x:v>Полная серия — кандидат</x:v>
      </x:c>
      <x:c r="Q38" s="9" t="str">
        <x:v>Нет</x:v>
      </x:c>
      <x:c r="R38" s="9" t="str">
        <x:v>C002</x:v>
      </x:c>
      <x:c r="S38" s="9" t="str">
        <x:v>C002</x:v>
      </x:c>
      <x:c r="T38" s="10" t="str">
        <x:v>כאן 11 - תאגיד השידור הישראלי</x:v>
      </x:c>
      <x:c r="U38" s="11" t="str">
        <x:v>https://www.youtube.com/watch?v=bB-1vs2XBo8</x:v>
      </x:c>
      <x:c r="V38" s="16" t="n">
        <x:v>46308</x:v>
      </x:c>
      <x:c r="W38" s="16" t="n">
        <x:v>45098</x:v>
      </x:c>
      <x:c r="X38" s="10" t="str">
        <x:v>Иврит предполагается по заголовку и источнику</x:v>
      </x:c>
      <x:c r="Y38" s="10" t="str">
        <x:v>Дорожка HE не найдена в метаданных; вшитые титры не проверены</x:v>
      </x:c>
      <x:c r="Z38" s="10" t="str">
        <x:v>Разрешено по метаданным</x:v>
      </x:c>
      <x:c r="AA38" s="10" t="str">
        <x:v>Метаданные видео; воспроизведение и содержание не проверены</x:v>
      </x:c>
      <x:c r="AB38" s="13" t="n">
        <x:f>IF(AND(ISNUMBER(H38),ISNUMBER(W38)),H38/MAX(1,'Обзор'!$B$4-W38),"")</x:f>
        <x:v>4380.459504132232</x:v>
      </x:c>
      <x:c r="AC38" s="17" t="str">
        <x:v>Не решено</x:v>
      </x:c>
      <x:c r="AD38" s="17" t="str">
        <x:v>Не проверено</x:v>
      </x:c>
      <x:c r="AE38" s="17" t="str">
        <x:v>Не проверено</x:v>
      </x:c>
      <x:c r="AF38" s="17" t="str">
        <x:v>Не проверено</x:v>
      </x:c>
      <x:c r="AG38" s="17" t="str">
        <x:v>Не решено</x:v>
      </x:c>
      <x:c r="AH38" s="17" t="str">
        <x:v>Не проверено</x:v>
      </x:c>
      <x:c r="AI38" s="10" t="str">
        <x:f>IF(AC38="Отклонить","Отклонено",IF(AND(AC38="Взять",COUNTIFS(AD38:AH38,"Да")=5),"Готово","Нужна редактура"))</x:f>
        <x:v>Нужна редактура</x:v>
      </x:c>
      <x:c r="AJ38" s="17" t="str"/>
      <x:c r="AK38" s="9" t="str">
        <x:v>https://www.youtube.com/playlist?list=PLLttfoK87AdVhDg0tejz3xJjx8Bo3H_0c</x:v>
      </x:c>
      <x:c r="AL38" s="9" t="n">
        <x:v>10</x:v>
      </x:c>
      <x:c r="AM38" s="9" t="n">
        <x:v>10</x:v>
      </x:c>
      <x:c r="AN38" s="9" t="n">
        <x:v>0</x:v>
      </x:c>
    </x:row>
    <x:row r="39" ht="60" customHeight="1">
      <x:c r="A39" s="9" t="str">
        <x:v>fbhM6mV2DGE</x:v>
      </x:c>
      <x:c r="B39" s="10" t="str">
        <x:v>קופה ראשית עונה 4🛒 | פרק 11 - לוויה ראשית - חלק ב'</x:v>
      </x:c>
      <x:c r="C39" s="10" t="str">
        <x:v>Повседневность и юмор</x:v>
      </x:c>
      <x:c r="D39" s="9" t="str">
        <x:v>Сериал</x:v>
      </x:c>
      <x:c r="E39" s="10" t="str">
        <x:v>Сериалы; разговорный иврит; новые репатрианты</x:v>
      </x:c>
      <x:c r="F39" s="10" t="str">
        <x:v>B1–B2 (гипотеза)</x:v>
      </x:c>
      <x:c r="G39" s="12" t="n">
        <x:v>26.2</x:v>
      </x:c>
      <x:c r="H39" s="14" t="n">
        <x:v>4916464</x:v>
      </x:c>
      <x:c r="I39" s="15" t="str">
        <x:v>Точный счётчик метаданных видео</x:v>
      </x:c>
      <x:c r="J39" s="14" t="n">
        <x:v>4900000</x:v>
      </x:c>
      <x:c r="K39" s="14" t="n">
        <x:v>6500000</x:v>
      </x:c>
      <x:c r="L39" s="12" t="n">
        <x:f>IF(COUNT(J39:K39)=2,IF(K39=0,"",J39/K39),"")</x:f>
        <x:v>0.7538461538461538</x:v>
      </x:c>
      <x:c r="M39" s="10" t="str">
        <x:v>Эпизод 11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39" s="10" t="str">
        <x:v>Выбрать диалог 2–4 минуты: просьбы, возражения, разговорные сокращения. Разыграть сцену.</x:v>
      </x:c>
      <x:c r="O39" s="10" t="str">
        <x:v>Сарказм, стереотипы, грубая речь; проверить выпуск</x:v>
      </x:c>
      <x:c r="P39" s="10" t="str">
        <x:v>Полная серия — кандидат</x:v>
      </x:c>
      <x:c r="Q39" s="9" t="str">
        <x:v>Нет</x:v>
      </x:c>
      <x:c r="R39" s="9" t="str">
        <x:v>C002</x:v>
      </x:c>
      <x:c r="S39" s="9" t="str">
        <x:v>C002</x:v>
      </x:c>
      <x:c r="T39" s="10" t="str">
        <x:v>כאן 11 - תאגיד השידור הישראלי</x:v>
      </x:c>
      <x:c r="U39" s="11" t="str">
        <x:v>https://www.youtube.com/watch?v=fbhM6mV2DGE</x:v>
      </x:c>
      <x:c r="V39" s="16" t="n">
        <x:v>46308</x:v>
      </x:c>
      <x:c r="W39" s="16" t="n">
        <x:v>45106</x:v>
      </x:c>
      <x:c r="X39" s="10" t="str">
        <x:v>Иврит предполагается по заголовку и источнику</x:v>
      </x:c>
      <x:c r="Y39" s="10" t="str">
        <x:v>Дорожка HE не найдена в метаданных; вшитые титры не проверены</x:v>
      </x:c>
      <x:c r="Z39" s="10" t="str">
        <x:v>Разрешено по метаданным</x:v>
      </x:c>
      <x:c r="AA39" s="10" t="str">
        <x:v>Метаданные видео; воспроизведение и содержание не проверены</x:v>
      </x:c>
      <x:c r="AB39" s="13" t="n">
        <x:f>IF(AND(ISNUMBER(H39),ISNUMBER(W39)),H39/MAX(1,'Обзор'!$B$4-W39),"")</x:f>
        <x:v>4090.2362728785356</x:v>
      </x:c>
      <x:c r="AC39" s="17" t="str">
        <x:v>Не решено</x:v>
      </x:c>
      <x:c r="AD39" s="17" t="str">
        <x:v>Не проверено</x:v>
      </x:c>
      <x:c r="AE39" s="17" t="str">
        <x:v>Не проверено</x:v>
      </x:c>
      <x:c r="AF39" s="17" t="str">
        <x:v>Не проверено</x:v>
      </x:c>
      <x:c r="AG39" s="17" t="str">
        <x:v>Не решено</x:v>
      </x:c>
      <x:c r="AH39" s="17" t="str">
        <x:v>Не проверено</x:v>
      </x:c>
      <x:c r="AI39" s="10" t="str">
        <x:f>IF(AC39="Отклонить","Отклонено",IF(AND(AC39="Взять",COUNTIFS(AD39:AH39,"Да")=5),"Готово","Нужна редактура"))</x:f>
        <x:v>Нужна редактура</x:v>
      </x:c>
      <x:c r="AJ39" s="17" t="str"/>
      <x:c r="AK39" s="9" t="str">
        <x:v>https://www.youtube.com/playlist?list=PLLttfoK87AdVhDg0tejz3xJjx8Bo3H_0c</x:v>
      </x:c>
      <x:c r="AL39" s="9" t="n">
        <x:v>11</x:v>
      </x:c>
      <x:c r="AM39" s="9" t="n">
        <x:v>11</x:v>
      </x:c>
      <x:c r="AN39" s="9" t="n">
        <x:v>0</x:v>
      </x:c>
    </x:row>
    <x:row r="40" ht="60" customHeight="1">
      <x:c r="A40" s="9" t="str">
        <x:v>gRrIBT6EVCI</x:v>
      </x:c>
      <x:c r="B40" s="10" t="str">
        <x:v>קופה ראשית עונה 4🛒 | פרק 12 - העורבים</x:v>
      </x:c>
      <x:c r="C40" s="10" t="str">
        <x:v>Повседневность и юмор</x:v>
      </x:c>
      <x:c r="D40" s="9" t="str">
        <x:v>Сериал</x:v>
      </x:c>
      <x:c r="E40" s="10" t="str">
        <x:v>Сериалы; разговорный иврит; новые репатрианты</x:v>
      </x:c>
      <x:c r="F40" s="10" t="str">
        <x:v>B1–B2 (гипотеза)</x:v>
      </x:c>
      <x:c r="G40" s="12" t="n">
        <x:v>26.5</x:v>
      </x:c>
      <x:c r="H40" s="14" t="n">
        <x:v>6230998</x:v>
      </x:c>
      <x:c r="I40" s="15" t="str">
        <x:v>Точный счётчик метаданных видео</x:v>
      </x:c>
      <x:c r="J40" s="14" t="n">
        <x:v>6200000</x:v>
      </x:c>
      <x:c r="K40" s="14" t="n">
        <x:v>6500000</x:v>
      </x:c>
      <x:c r="L40" s="12" t="n">
        <x:f>IF(COUNT(J40:K40)=2,IF(K40=0,"",J40/K40),"")</x:f>
        <x:v>0.9538461538461539</x:v>
      </x:c>
      <x:c r="M40" s="10" t="str">
        <x:v>Эпизод 12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40" s="10" t="str">
        <x:v>Выбрать диалог 2–4 минуты: просьбы, возражения, разговорные сокращения. Разыграть сцену.</x:v>
      </x:c>
      <x:c r="O40" s="10" t="str">
        <x:v>Сарказм, стереотипы, грубая речь; проверить выпуск</x:v>
      </x:c>
      <x:c r="P40" s="10" t="str">
        <x:v>Полная серия — кандидат</x:v>
      </x:c>
      <x:c r="Q40" s="9" t="str">
        <x:v>Нет</x:v>
      </x:c>
      <x:c r="R40" s="9" t="str">
        <x:v>C002</x:v>
      </x:c>
      <x:c r="S40" s="9" t="str">
        <x:v>C002</x:v>
      </x:c>
      <x:c r="T40" s="10" t="str">
        <x:v>כאן 11 - תאגיד השידור הישראלי</x:v>
      </x:c>
      <x:c r="U40" s="11" t="str">
        <x:v>https://www.youtube.com/watch?v=gRrIBT6EVCI</x:v>
      </x:c>
      <x:c r="V40" s="16" t="n">
        <x:v>46308</x:v>
      </x:c>
      <x:c r="W40" s="16" t="n">
        <x:v>45119</x:v>
      </x:c>
      <x:c r="X40" s="10" t="str">
        <x:v>Иврит предполагается по заголовку и источнику</x:v>
      </x:c>
      <x:c r="Y40" s="10" t="str">
        <x:v>Дорожка HE не найдена в метаданных; вшитые титры не проверены</x:v>
      </x:c>
      <x:c r="Z40" s="10" t="str">
        <x:v>Разрешено по метаданным</x:v>
      </x:c>
      <x:c r="AA40" s="10" t="str">
        <x:v>Метаданные видео; воспроизведение и содержание не проверены</x:v>
      </x:c>
      <x:c r="AB40" s="13" t="n">
        <x:f>IF(AND(ISNUMBER(H40),ISNUMBER(W40)),H40/MAX(1,'Обзор'!$B$4-W40),"")</x:f>
        <x:v>5240.536585365854</x:v>
      </x:c>
      <x:c r="AC40" s="17" t="str">
        <x:v>Не решено</x:v>
      </x:c>
      <x:c r="AD40" s="17" t="str">
        <x:v>Не проверено</x:v>
      </x:c>
      <x:c r="AE40" s="17" t="str">
        <x:v>Не проверено</x:v>
      </x:c>
      <x:c r="AF40" s="17" t="str">
        <x:v>Не проверено</x:v>
      </x:c>
      <x:c r="AG40" s="17" t="str">
        <x:v>Не решено</x:v>
      </x:c>
      <x:c r="AH40" s="17" t="str">
        <x:v>Не проверено</x:v>
      </x:c>
      <x:c r="AI40" s="10" t="str">
        <x:f>IF(AC40="Отклонить","Отклонено",IF(AND(AC40="Взять",COUNTIFS(AD40:AH40,"Да")=5),"Готово","Нужна редактура"))</x:f>
        <x:v>Нужна редактура</x:v>
      </x:c>
      <x:c r="AJ40" s="17" t="str"/>
      <x:c r="AK40" s="9" t="str">
        <x:v>https://www.youtube.com/playlist?list=PLLttfoK87AdVhDg0tejz3xJjx8Bo3H_0c</x:v>
      </x:c>
      <x:c r="AL40" s="9" t="n">
        <x:v>12</x:v>
      </x:c>
      <x:c r="AM40" s="9" t="n">
        <x:v>12</x:v>
      </x:c>
      <x:c r="AN40" s="9" t="n">
        <x:v>0</x:v>
      </x:c>
    </x:row>
    <x:row r="41" ht="60" customHeight="1">
      <x:c r="A41" s="9" t="str">
        <x:v>JUfVRoaHvDg</x:v>
      </x:c>
      <x:c r="B41" s="10" t="str">
        <x:v>קופה ראשית עונה 4🛒 | פרק 13 - המשקיע</x:v>
      </x:c>
      <x:c r="C41" s="10" t="str">
        <x:v>Повседневность и юмор</x:v>
      </x:c>
      <x:c r="D41" s="9" t="str">
        <x:v>Сериал</x:v>
      </x:c>
      <x:c r="E41" s="10" t="str">
        <x:v>Сериалы; разговорный иврит; новые репатрианты</x:v>
      </x:c>
      <x:c r="F41" s="10" t="str">
        <x:v>B1–B2 (гипотеза)</x:v>
      </x:c>
      <x:c r="G41" s="12" t="n">
        <x:v>25.1</x:v>
      </x:c>
      <x:c r="H41" s="14" t="n">
        <x:v>6533472</x:v>
      </x:c>
      <x:c r="I41" s="15" t="str">
        <x:v>Точный счётчик метаданных видео</x:v>
      </x:c>
      <x:c r="J41" s="14" t="n">
        <x:v>6500000</x:v>
      </x:c>
      <x:c r="K41" s="14" t="n">
        <x:v>6500000</x:v>
      </x:c>
      <x:c r="L41" s="12" t="n">
        <x:f>IF(COUNT(J41:K41)=2,IF(K41=0,"",J41/K41),"")</x:f>
        <x:v>1</x:v>
      </x:c>
      <x:c r="M41" s="10" t="str">
        <x:v>Эпизод 13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41" s="10" t="str">
        <x:v>Выбрать диалог 2–4 минуты: просьбы, возражения, разговорные сокращения. Разыграть сцену.</x:v>
      </x:c>
      <x:c r="O41" s="10" t="str">
        <x:v>Сарказм, стереотипы, грубая речь; проверить выпуск</x:v>
      </x:c>
      <x:c r="P41" s="10" t="str">
        <x:v>Полная серия — кандидат</x:v>
      </x:c>
      <x:c r="Q41" s="9" t="str">
        <x:v>Нет</x:v>
      </x:c>
      <x:c r="R41" s="9" t="str">
        <x:v>C002</x:v>
      </x:c>
      <x:c r="S41" s="9" t="str">
        <x:v>C002</x:v>
      </x:c>
      <x:c r="T41" s="10" t="str">
        <x:v>כאן 11 - תאגיד השידור הישראלי</x:v>
      </x:c>
      <x:c r="U41" s="11" t="str">
        <x:v>https://www.youtube.com/watch?v=JUfVRoaHvDg</x:v>
      </x:c>
      <x:c r="V41" s="16" t="n">
        <x:v>46308</x:v>
      </x:c>
      <x:c r="W41" s="16" t="n">
        <x:v>45126</x:v>
      </x:c>
      <x:c r="X41" s="10" t="str">
        <x:v>Иврит предполагается по заголовку и источнику</x:v>
      </x:c>
      <x:c r="Y41" s="10" t="str">
        <x:v>Дорожка HE не найдена в метаданных; вшитые титры не проверены</x:v>
      </x:c>
      <x:c r="Z41" s="10" t="str">
        <x:v>Разрешено по метаданным</x:v>
      </x:c>
      <x:c r="AA41" s="10" t="str">
        <x:v>Метаданные видео; воспроизведение и содержание не проверены</x:v>
      </x:c>
      <x:c r="AB41" s="13" t="n">
        <x:f>IF(AND(ISNUMBER(H41),ISNUMBER(W41)),H41/MAX(1,'Обзор'!$B$4-W41),"")</x:f>
        <x:v>5527.472081218274</x:v>
      </x:c>
      <x:c r="AC41" s="17" t="str">
        <x:v>Не решено</x:v>
      </x:c>
      <x:c r="AD41" s="17" t="str">
        <x:v>Не проверено</x:v>
      </x:c>
      <x:c r="AE41" s="17" t="str">
        <x:v>Не проверено</x:v>
      </x:c>
      <x:c r="AF41" s="17" t="str">
        <x:v>Не проверено</x:v>
      </x:c>
      <x:c r="AG41" s="17" t="str">
        <x:v>Не решено</x:v>
      </x:c>
      <x:c r="AH41" s="17" t="str">
        <x:v>Не проверено</x:v>
      </x:c>
      <x:c r="AI41" s="10" t="str">
        <x:f>IF(AC41="Отклонить","Отклонено",IF(AND(AC41="Взять",COUNTIFS(AD41:AH41,"Да")=5),"Готово","Нужна редактура"))</x:f>
        <x:v>Нужна редактура</x:v>
      </x:c>
      <x:c r="AJ41" s="17" t="str"/>
      <x:c r="AK41" s="9" t="str">
        <x:v>https://www.youtube.com/playlist?list=PLLttfoK87AdVhDg0tejz3xJjx8Bo3H_0c</x:v>
      </x:c>
      <x:c r="AL41" s="9" t="n">
        <x:v>13</x:v>
      </x:c>
      <x:c r="AM41" s="9" t="n">
        <x:v>13</x:v>
      </x:c>
      <x:c r="AN41" s="9" t="n">
        <x:v>0</x:v>
      </x:c>
    </x:row>
    <x:row r="42" ht="60" customHeight="1">
      <x:c r="A42" s="9" t="str">
        <x:v>6MRvKxhiJmg</x:v>
      </x:c>
      <x:c r="B42" s="10" t="str">
        <x:v>קופה ראשית עונה 4🛒 | פרק 14 - יום האהבה</x:v>
      </x:c>
      <x:c r="C42" s="10" t="str">
        <x:v>Повседневность и юмор</x:v>
      </x:c>
      <x:c r="D42" s="9" t="str">
        <x:v>Сериал</x:v>
      </x:c>
      <x:c r="E42" s="10" t="str">
        <x:v>Сериалы; разговорный иврит; новые репатрианты</x:v>
      </x:c>
      <x:c r="F42" s="10" t="str">
        <x:v>B1–B2 (гипотеза)</x:v>
      </x:c>
      <x:c r="G42" s="12" t="n">
        <x:v>24.8</x:v>
      </x:c>
      <x:c r="H42" s="14" t="n">
        <x:v>6017150</x:v>
      </x:c>
      <x:c r="I42" s="15" t="str">
        <x:v>Точный счётчик метаданных видео</x:v>
      </x:c>
      <x:c r="J42" s="14" t="n">
        <x:v>6000000</x:v>
      </x:c>
      <x:c r="K42" s="14" t="n">
        <x:v>6500000</x:v>
      </x:c>
      <x:c r="L42" s="12" t="n">
        <x:f>IF(COUNT(J42:K42)=2,IF(K42=0,"",J42/K42),"")</x:f>
        <x:v>0.9230769230769231</x:v>
      </x:c>
      <x:c r="M42" s="10" t="str">
        <x:v>Эпизод 14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42" s="10" t="str">
        <x:v>Выбрать диалог 2–4 минуты: просьбы, возражения, разговорные сокращения. Разыграть сцену.</x:v>
      </x:c>
      <x:c r="O42" s="10" t="str">
        <x:v>Сарказм, стереотипы, грубая речь; проверить выпуск</x:v>
      </x:c>
      <x:c r="P42" s="10" t="str">
        <x:v>Полная серия — кандидат</x:v>
      </x:c>
      <x:c r="Q42" s="9" t="str">
        <x:v>Нет</x:v>
      </x:c>
      <x:c r="R42" s="9" t="str">
        <x:v>C002</x:v>
      </x:c>
      <x:c r="S42" s="9" t="str">
        <x:v>C002</x:v>
      </x:c>
      <x:c r="T42" s="10" t="str">
        <x:v>כאן 11 - תאגיד השידור הישראלי</x:v>
      </x:c>
      <x:c r="U42" s="11" t="str">
        <x:v>https://www.youtube.com/watch?v=6MRvKxhiJmg</x:v>
      </x:c>
      <x:c r="V42" s="16" t="n">
        <x:v>46308</x:v>
      </x:c>
      <x:c r="W42" s="16" t="n">
        <x:v>45140</x:v>
      </x:c>
      <x:c r="X42" s="10" t="str">
        <x:v>Иврит предполагается по заголовку и источнику</x:v>
      </x:c>
      <x:c r="Y42" s="10" t="str">
        <x:v>Дорожка HE не найдена в метаданных; вшитые титры не проверены</x:v>
      </x:c>
      <x:c r="Z42" s="10" t="str">
        <x:v>Разрешено по метаданным</x:v>
      </x:c>
      <x:c r="AA42" s="10" t="str">
        <x:v>Метаданные видео; воспроизведение и содержание не проверены</x:v>
      </x:c>
      <x:c r="AB42" s="13" t="n">
        <x:f>IF(AND(ISNUMBER(H42),ISNUMBER(W42)),H42/MAX(1,'Обзор'!$B$4-W42),"")</x:f>
        <x:v>5151.6695205479455</x:v>
      </x:c>
      <x:c r="AC42" s="17" t="str">
        <x:v>Не решено</x:v>
      </x:c>
      <x:c r="AD42" s="17" t="str">
        <x:v>Не проверено</x:v>
      </x:c>
      <x:c r="AE42" s="17" t="str">
        <x:v>Не проверено</x:v>
      </x:c>
      <x:c r="AF42" s="17" t="str">
        <x:v>Не проверено</x:v>
      </x:c>
      <x:c r="AG42" s="17" t="str">
        <x:v>Не решено</x:v>
      </x:c>
      <x:c r="AH42" s="17" t="str">
        <x:v>Не проверено</x:v>
      </x:c>
      <x:c r="AI42" s="10" t="str">
        <x:f>IF(AC42="Отклонить","Отклонено",IF(AND(AC42="Взять",COUNTIFS(AD42:AH42,"Да")=5),"Готово","Нужна редактура"))</x:f>
        <x:v>Нужна редактура</x:v>
      </x:c>
      <x:c r="AJ42" s="17" t="str"/>
      <x:c r="AK42" s="9" t="str">
        <x:v>https://www.youtube.com/playlist?list=PLLttfoK87AdVhDg0tejz3xJjx8Bo3H_0c</x:v>
      </x:c>
      <x:c r="AL42" s="9" t="n">
        <x:v>14</x:v>
      </x:c>
      <x:c r="AM42" s="9" t="n">
        <x:v>14</x:v>
      </x:c>
      <x:c r="AN42" s="9" t="n">
        <x:v>0</x:v>
      </x:c>
    </x:row>
    <x:row r="43" ht="60" customHeight="1">
      <x:c r="A43" s="9" t="str">
        <x:v>4T2lUsxZc50</x:v>
      </x:c>
      <x:c r="B43" s="10" t="str">
        <x:v>קופה ראשית עונה 4🛒 | פרק 15 - אתגר המיקרו</x:v>
      </x:c>
      <x:c r="C43" s="10" t="str">
        <x:v>Повседневность и юмор</x:v>
      </x:c>
      <x:c r="D43" s="9" t="str">
        <x:v>Сериал</x:v>
      </x:c>
      <x:c r="E43" s="10" t="str">
        <x:v>Сериалы; разговорный иврит; новые репатрианты</x:v>
      </x:c>
      <x:c r="F43" s="10" t="str">
        <x:v>B1–B2 (гипотеза)</x:v>
      </x:c>
      <x:c r="G43" s="12" t="n">
        <x:v>24.8</x:v>
      </x:c>
      <x:c r="H43" s="14" t="n">
        <x:v>6346318</x:v>
      </x:c>
      <x:c r="I43" s="15" t="str">
        <x:v>Точный счётчик метаданных видео</x:v>
      </x:c>
      <x:c r="J43" s="14" t="n">
        <x:v>6300000</x:v>
      </x:c>
      <x:c r="K43" s="14" t="n">
        <x:v>6500000</x:v>
      </x:c>
      <x:c r="L43" s="12" t="n">
        <x:f>IF(COUNT(J43:K43)=2,IF(K43=0,"",J43/K43),"")</x:f>
        <x:v>0.9692307692307692</x:v>
      </x:c>
      <x:c r="M43" s="10" t="str">
        <x:v>Эпизод 15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43" s="10" t="str">
        <x:v>Выбрать диалог 2–4 минуты: просьбы, возражения, разговорные сокращения. Разыграть сцену.</x:v>
      </x:c>
      <x:c r="O43" s="10" t="str">
        <x:v>Сарказм, стереотипы, грубая речь; проверить выпуск</x:v>
      </x:c>
      <x:c r="P43" s="10" t="str">
        <x:v>Полная серия — кандидат</x:v>
      </x:c>
      <x:c r="Q43" s="9" t="str">
        <x:v>Нет</x:v>
      </x:c>
      <x:c r="R43" s="9" t="str">
        <x:v>C002</x:v>
      </x:c>
      <x:c r="S43" s="9" t="str">
        <x:v>C002</x:v>
      </x:c>
      <x:c r="T43" s="10" t="str">
        <x:v>כאן 11 - תאגיד השידור הישראלי</x:v>
      </x:c>
      <x:c r="U43" s="11" t="str">
        <x:v>https://www.youtube.com/watch?v=4T2lUsxZc50</x:v>
      </x:c>
      <x:c r="V43" s="16" t="n">
        <x:v>46308</x:v>
      </x:c>
      <x:c r="W43" s="16" t="n">
        <x:v>45147</x:v>
      </x:c>
      <x:c r="X43" s="10" t="str">
        <x:v>iw</x:v>
      </x:c>
      <x:c r="Y43" s="10" t="str">
        <x:v>Автоматическая дорожка HE по метаданным</x:v>
      </x:c>
      <x:c r="Z43" s="10" t="str">
        <x:v>Разрешено по метаданным</x:v>
      </x:c>
      <x:c r="AA43" s="10" t="str">
        <x:v>Метаданные видео; воспроизведение и содержание не проверены</x:v>
      </x:c>
      <x:c r="AB43" s="13" t="n">
        <x:f>IF(AND(ISNUMBER(H43),ISNUMBER(W43)),H43/MAX(1,'Обзор'!$B$4-W43),"")</x:f>
        <x:v>5466.251507321274</x:v>
      </x:c>
      <x:c r="AC43" s="17" t="str">
        <x:v>Не решено</x:v>
      </x:c>
      <x:c r="AD43" s="17" t="str">
        <x:v>Не проверено</x:v>
      </x:c>
      <x:c r="AE43" s="17" t="str">
        <x:v>Не проверено</x:v>
      </x:c>
      <x:c r="AF43" s="17" t="str">
        <x:v>Не проверено</x:v>
      </x:c>
      <x:c r="AG43" s="17" t="str">
        <x:v>Не решено</x:v>
      </x:c>
      <x:c r="AH43" s="17" t="str">
        <x:v>Не проверено</x:v>
      </x:c>
      <x:c r="AI43" s="10" t="str">
        <x:f>IF(AC43="Отклонить","Отклонено",IF(AND(AC43="Взять",COUNTIFS(AD43:AH43,"Да")=5),"Готово","Нужна редактура"))</x:f>
        <x:v>Нужна редактура</x:v>
      </x:c>
      <x:c r="AJ43" s="17" t="str"/>
      <x:c r="AK43" s="9" t="str">
        <x:v>https://www.youtube.com/playlist?list=PLLttfoK87AdVhDg0tejz3xJjx8Bo3H_0c</x:v>
      </x:c>
      <x:c r="AL43" s="9" t="n">
        <x:v>15</x:v>
      </x:c>
      <x:c r="AM43" s="9" t="n">
        <x:v>15</x:v>
      </x:c>
      <x:c r="AN43" s="9" t="n">
        <x:v>0</x:v>
      </x:c>
    </x:row>
    <x:row r="44" ht="60" customHeight="1">
      <x:c r="A44" s="9" t="str">
        <x:v>NSBysaSZ3jg</x:v>
      </x:c>
      <x:c r="B44" s="10" t="str">
        <x:v>קופה ראשית עונה 4🛒 | פרק 16 - המחליפה</x:v>
      </x:c>
      <x:c r="C44" s="10" t="str">
        <x:v>Повседневность и юмор</x:v>
      </x:c>
      <x:c r="D44" s="9" t="str">
        <x:v>Сериал</x:v>
      </x:c>
      <x:c r="E44" s="10" t="str">
        <x:v>Сериалы; разговорный иврит; новые репатрианты</x:v>
      </x:c>
      <x:c r="F44" s="10" t="str">
        <x:v>B1–B2 (гипотеза)</x:v>
      </x:c>
      <x:c r="G44" s="12" t="n">
        <x:v>25.8</x:v>
      </x:c>
      <x:c r="H44" s="14" t="n">
        <x:v>6534905</x:v>
      </x:c>
      <x:c r="I44" s="15" t="str">
        <x:v>Точный счётчик метаданных видео</x:v>
      </x:c>
      <x:c r="J44" s="14" t="n">
        <x:v>6500000</x:v>
      </x:c>
      <x:c r="K44" s="14" t="n">
        <x:v>6500000</x:v>
      </x:c>
      <x:c r="L44" s="12" t="n">
        <x:f>IF(COUNT(J44:K44)=2,IF(K44=0,"",J44/K44),"")</x:f>
        <x:v>1</x:v>
      </x:c>
      <x:c r="M44" s="10" t="str">
        <x:v>Эпизод 16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44" s="10" t="str">
        <x:v>Выбрать диалог 2–4 минуты: просьбы, возражения, разговорные сокращения. Разыграть сцену.</x:v>
      </x:c>
      <x:c r="O44" s="10" t="str">
        <x:v>Сарказм, стереотипы, грубая речь; проверить выпуск</x:v>
      </x:c>
      <x:c r="P44" s="10" t="str">
        <x:v>Полная серия — кандидат</x:v>
      </x:c>
      <x:c r="Q44" s="9" t="str">
        <x:v>Нет</x:v>
      </x:c>
      <x:c r="R44" s="9" t="str">
        <x:v>C002</x:v>
      </x:c>
      <x:c r="S44" s="9" t="str">
        <x:v>C002</x:v>
      </x:c>
      <x:c r="T44" s="10" t="str">
        <x:v>כאן 11 - תאגיד השידור הישראלי</x:v>
      </x:c>
      <x:c r="U44" s="11" t="str">
        <x:v>https://www.youtube.com/watch?v=NSBysaSZ3jg</x:v>
      </x:c>
      <x:c r="V44" s="16" t="n">
        <x:v>46308</x:v>
      </x:c>
      <x:c r="W44" s="16" t="n">
        <x:v>45154</x:v>
      </x:c>
      <x:c r="X44" s="10" t="str">
        <x:v>Иврит предполагается по заголовку и источнику</x:v>
      </x:c>
      <x:c r="Y44" s="10" t="str">
        <x:v>Автоматическая дорожка HE по метаданным</x:v>
      </x:c>
      <x:c r="Z44" s="10" t="str">
        <x:v>Разрешено по метаданным</x:v>
      </x:c>
      <x:c r="AA44" s="10" t="str">
        <x:v>Метаданные видео; воспроизведение и содержание не проверены</x:v>
      </x:c>
      <x:c r="AB44" s="13" t="n">
        <x:f>IF(AND(ISNUMBER(H44),ISNUMBER(W44)),H44/MAX(1,'Обзор'!$B$4-W44),"")</x:f>
        <x:v>5662.829289428077</x:v>
      </x:c>
      <x:c r="AC44" s="17" t="str">
        <x:v>Не решено</x:v>
      </x:c>
      <x:c r="AD44" s="17" t="str">
        <x:v>Не проверено</x:v>
      </x:c>
      <x:c r="AE44" s="17" t="str">
        <x:v>Не проверено</x:v>
      </x:c>
      <x:c r="AF44" s="17" t="str">
        <x:v>Не проверено</x:v>
      </x:c>
      <x:c r="AG44" s="17" t="str">
        <x:v>Не решено</x:v>
      </x:c>
      <x:c r="AH44" s="17" t="str">
        <x:v>Не проверено</x:v>
      </x:c>
      <x:c r="AI44" s="10" t="str">
        <x:f>IF(AC44="Отклонить","Отклонено",IF(AND(AC44="Взять",COUNTIFS(AD44:AH44,"Да")=5),"Готово","Нужна редактура"))</x:f>
        <x:v>Нужна редактура</x:v>
      </x:c>
      <x:c r="AJ44" s="17" t="str"/>
      <x:c r="AK44" s="9" t="str">
        <x:v>https://www.youtube.com/playlist?list=PLLttfoK87AdVhDg0tejz3xJjx8Bo3H_0c</x:v>
      </x:c>
      <x:c r="AL44" s="9" t="n">
        <x:v>16</x:v>
      </x:c>
      <x:c r="AM44" s="9" t="n">
        <x:v>16</x:v>
      </x:c>
      <x:c r="AN44" s="9" t="n">
        <x:v>0</x:v>
      </x:c>
    </x:row>
    <x:row r="45" ht="60" customHeight="1">
      <x:c r="A45" s="9" t="str">
        <x:v>dFg16e0vhuU</x:v>
      </x:c>
      <x:c r="B45" s="10" t="str">
        <x:v>קופה ראשית עונה 4🛒 | פרק 17 - הטוסט של גריאני</x:v>
      </x:c>
      <x:c r="C45" s="10" t="str">
        <x:v>Повседневность и юмор</x:v>
      </x:c>
      <x:c r="D45" s="9" t="str">
        <x:v>Сериал</x:v>
      </x:c>
      <x:c r="E45" s="10" t="str">
        <x:v>Сериалы; разговорный иврит; новые репатрианты</x:v>
      </x:c>
      <x:c r="F45" s="10" t="str">
        <x:v>B1–B2 (гипотеза)</x:v>
      </x:c>
      <x:c r="G45" s="12" t="n">
        <x:v>23.5</x:v>
      </x:c>
      <x:c r="H45" s="14" t="n">
        <x:v>7591243</x:v>
      </x:c>
      <x:c r="I45" s="15" t="str">
        <x:v>Точный счётчик метаданных видео</x:v>
      </x:c>
      <x:c r="J45" s="14" t="n">
        <x:v>7500000</x:v>
      </x:c>
      <x:c r="K45" s="14" t="n">
        <x:v>6500000</x:v>
      </x:c>
      <x:c r="L45" s="12" t="n">
        <x:f>IF(COUNT(J45:K45)=2,IF(K45=0,"",J45/K45),"")</x:f>
        <x:v>1.1538461538461537</x:v>
      </x:c>
      <x:c r="M45" s="10" t="str">
        <x:v>Эпизод 17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45" s="10" t="str">
        <x:v>Выбрать диалог 2–4 минуты: просьбы, возражения, разговорные сокращения. Разыграть сцену.</x:v>
      </x:c>
      <x:c r="O45" s="10" t="str">
        <x:v>Сарказм, стереотипы, грубая речь; проверить выпуск</x:v>
      </x:c>
      <x:c r="P45" s="10" t="str">
        <x:v>Полная серия — кандидат</x:v>
      </x:c>
      <x:c r="Q45" s="9" t="str">
        <x:v>Нет</x:v>
      </x:c>
      <x:c r="R45" s="9" t="str">
        <x:v>C002</x:v>
      </x:c>
      <x:c r="S45" s="9" t="str">
        <x:v>C002</x:v>
      </x:c>
      <x:c r="T45" s="10" t="str">
        <x:v>כאן 11 - תאגיד השידור הישראלי</x:v>
      </x:c>
      <x:c r="U45" s="11" t="str">
        <x:v>https://www.youtube.com/watch?v=dFg16e0vhuU</x:v>
      </x:c>
      <x:c r="V45" s="16" t="n">
        <x:v>46308</x:v>
      </x:c>
      <x:c r="W45" s="16" t="n">
        <x:v>45161</x:v>
      </x:c>
      <x:c r="X45" s="10" t="str">
        <x:v>Иврит предполагается по заголовку и источнику</x:v>
      </x:c>
      <x:c r="Y45" s="10" t="str">
        <x:v>Автоматическая дорожка HE по метаданным</x:v>
      </x:c>
      <x:c r="Z45" s="10" t="str">
        <x:v>Разрешено по метаданным</x:v>
      </x:c>
      <x:c r="AA45" s="10" t="str">
        <x:v>Метаданные видео; воспроизведение и содержание не проверены</x:v>
      </x:c>
      <x:c r="AB45" s="13" t="n">
        <x:f>IF(AND(ISNUMBER(H45),ISNUMBER(W45)),H45/MAX(1,'Обзор'!$B$4-W45),"")</x:f>
        <x:v>6618.346120313862</x:v>
      </x:c>
      <x:c r="AC45" s="17" t="str">
        <x:v>Не решено</x:v>
      </x:c>
      <x:c r="AD45" s="17" t="str">
        <x:v>Не проверено</x:v>
      </x:c>
      <x:c r="AE45" s="17" t="str">
        <x:v>Не проверено</x:v>
      </x:c>
      <x:c r="AF45" s="17" t="str">
        <x:v>Не проверено</x:v>
      </x:c>
      <x:c r="AG45" s="17" t="str">
        <x:v>Не решено</x:v>
      </x:c>
      <x:c r="AH45" s="17" t="str">
        <x:v>Не проверено</x:v>
      </x:c>
      <x:c r="AI45" s="10" t="str">
        <x:f>IF(AC45="Отклонить","Отклонено",IF(AND(AC45="Взять",COUNTIFS(AD45:AH45,"Да")=5),"Готово","Нужна редактура"))</x:f>
        <x:v>Нужна редактура</x:v>
      </x:c>
      <x:c r="AJ45" s="17" t="str"/>
      <x:c r="AK45" s="9" t="str">
        <x:v>https://www.youtube.com/playlist?list=PLLttfoK87AdVhDg0tejz3xJjx8Bo3H_0c</x:v>
      </x:c>
      <x:c r="AL45" s="9" t="n">
        <x:v>17</x:v>
      </x:c>
      <x:c r="AM45" s="9" t="n">
        <x:v>17</x:v>
      </x:c>
      <x:c r="AN45" s="9" t="n">
        <x:v>0</x:v>
      </x:c>
    </x:row>
    <x:row r="46" ht="60" customHeight="1">
      <x:c r="A46" s="9" t="str">
        <x:v>9Ab0ieHY9rg</x:v>
      </x:c>
      <x:c r="B46" s="10" t="str">
        <x:v>קופה ראשית עונה 4🛒 | פרק 18 - אמנון עובד בסופר</x:v>
      </x:c>
      <x:c r="C46" s="10" t="str">
        <x:v>Повседневность и юмор</x:v>
      </x:c>
      <x:c r="D46" s="9" t="str">
        <x:v>Сериал</x:v>
      </x:c>
      <x:c r="E46" s="10" t="str">
        <x:v>Сериалы; разговорный иврит; новые репатрианты</x:v>
      </x:c>
      <x:c r="F46" s="10" t="str">
        <x:v>B1–B2 (гипотеза)</x:v>
      </x:c>
      <x:c r="G46" s="12" t="n">
        <x:v>25.8</x:v>
      </x:c>
      <x:c r="H46" s="14" t="n">
        <x:v>7212847</x:v>
      </x:c>
      <x:c r="I46" s="15" t="str">
        <x:v>Точный счётчик метаданных видео</x:v>
      </x:c>
      <x:c r="J46" s="14" t="n">
        <x:v>7200000</x:v>
      </x:c>
      <x:c r="K46" s="14" t="n">
        <x:v>6500000</x:v>
      </x:c>
      <x:c r="L46" s="12" t="n">
        <x:f>IF(COUNT(J46:K46)=2,IF(K46=0,"",J46/K46),"")</x:f>
        <x:v>1.1076923076923078</x:v>
      </x:c>
      <x:c r="M46" s="10" t="str">
        <x:v>Эпизод 18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46" s="10" t="str">
        <x:v>Выбрать диалог 2–4 минуты: просьбы, возражения, разговорные сокращения. Разыграть сцену.</x:v>
      </x:c>
      <x:c r="O46" s="10" t="str">
        <x:v>Сарказм, стереотипы, грубая речь; проверить выпуск</x:v>
      </x:c>
      <x:c r="P46" s="10" t="str">
        <x:v>Полная серия — кандидат</x:v>
      </x:c>
      <x:c r="Q46" s="9" t="str">
        <x:v>Нет</x:v>
      </x:c>
      <x:c r="R46" s="9" t="str">
        <x:v>C002</x:v>
      </x:c>
      <x:c r="S46" s="9" t="str">
        <x:v>C002</x:v>
      </x:c>
      <x:c r="T46" s="10" t="str">
        <x:v>כאן 11 - תאגיד השידור הישראלי</x:v>
      </x:c>
      <x:c r="U46" s="11" t="str">
        <x:v>https://www.youtube.com/watch?v=9Ab0ieHY9rg</x:v>
      </x:c>
      <x:c r="V46" s="16" t="n">
        <x:v>46308</x:v>
      </x:c>
      <x:c r="W46" s="16" t="n">
        <x:v>45168</x:v>
      </x:c>
      <x:c r="X46" s="10" t="str">
        <x:v>iw</x:v>
      </x:c>
      <x:c r="Y46" s="10" t="str">
        <x:v>Автоматическая дорожка HE по метаданным</x:v>
      </x:c>
      <x:c r="Z46" s="10" t="str">
        <x:v>Разрешено по метаданным</x:v>
      </x:c>
      <x:c r="AA46" s="10" t="str">
        <x:v>Метаданные видео; воспроизведение и содержание не проверены</x:v>
      </x:c>
      <x:c r="AB46" s="13" t="n">
        <x:f>IF(AND(ISNUMBER(H46),ISNUMBER(W46)),H46/MAX(1,'Обзор'!$B$4-W46),"")</x:f>
        <x:v>6327.058771929825</x:v>
      </x:c>
      <x:c r="AC46" s="17" t="str">
        <x:v>Не решено</x:v>
      </x:c>
      <x:c r="AD46" s="17" t="str">
        <x:v>Не проверено</x:v>
      </x:c>
      <x:c r="AE46" s="17" t="str">
        <x:v>Не проверено</x:v>
      </x:c>
      <x:c r="AF46" s="17" t="str">
        <x:v>Не проверено</x:v>
      </x:c>
      <x:c r="AG46" s="17" t="str">
        <x:v>Не решено</x:v>
      </x:c>
      <x:c r="AH46" s="17" t="str">
        <x:v>Не проверено</x:v>
      </x:c>
      <x:c r="AI46" s="10" t="str">
        <x:f>IF(AC46="Отклонить","Отклонено",IF(AND(AC46="Взять",COUNTIFS(AD46:AH46,"Да")=5),"Готово","Нужна редактура"))</x:f>
        <x:v>Нужна редактура</x:v>
      </x:c>
      <x:c r="AJ46" s="17" t="str"/>
      <x:c r="AK46" s="9" t="str">
        <x:v>https://www.youtube.com/playlist?list=PLLttfoK87AdVhDg0tejz3xJjx8Bo3H_0c</x:v>
      </x:c>
      <x:c r="AL46" s="9" t="n">
        <x:v>18</x:v>
      </x:c>
      <x:c r="AM46" s="9" t="n">
        <x:v>18</x:v>
      </x:c>
      <x:c r="AN46" s="9" t="n">
        <x:v>0</x:v>
      </x:c>
    </x:row>
    <x:row r="47" ht="60" customHeight="1">
      <x:c r="A47" s="9" t="str">
        <x:v>GL2KeRhl5YY</x:v>
      </x:c>
      <x:c r="B47" s="10" t="str">
        <x:v>קופה ראשית עונה 4🛒 | פרק 19 - הצתה מאוחרת</x:v>
      </x:c>
      <x:c r="C47" s="10" t="str">
        <x:v>Повседневность и юмор</x:v>
      </x:c>
      <x:c r="D47" s="9" t="str">
        <x:v>Сериал</x:v>
      </x:c>
      <x:c r="E47" s="10" t="str">
        <x:v>Сериалы; разговорный иврит; новые репатрианты</x:v>
      </x:c>
      <x:c r="F47" s="10" t="str">
        <x:v>B1–B2 (гипотеза)</x:v>
      </x:c>
      <x:c r="G47" s="12" t="n">
        <x:v>26.3</x:v>
      </x:c>
      <x:c r="H47" s="14" t="n">
        <x:v>6046021</x:v>
      </x:c>
      <x:c r="I47" s="15" t="str">
        <x:v>Точный счётчик метаданных видео</x:v>
      </x:c>
      <x:c r="J47" s="14" t="n">
        <x:v>6000000</x:v>
      </x:c>
      <x:c r="K47" s="14" t="n">
        <x:v>6500000</x:v>
      </x:c>
      <x:c r="L47" s="12" t="n">
        <x:f>IF(COUNT(J47:K47)=2,IF(K47=0,"",J47/K47),"")</x:f>
        <x:v>0.9230769230769231</x:v>
      </x:c>
      <x:c r="M47" s="10" t="str">
        <x:v>Эпизод 19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47" s="10" t="str">
        <x:v>Выбрать диалог 2–4 минуты: просьбы, возражения, разговорные сокращения. Разыграть сцену.</x:v>
      </x:c>
      <x:c r="O47" s="10" t="str">
        <x:v>Сарказм, стереотипы, грубая речь; проверить выпуск</x:v>
      </x:c>
      <x:c r="P47" s="10" t="str">
        <x:v>Полная серия — кандидат</x:v>
      </x:c>
      <x:c r="Q47" s="9" t="str">
        <x:v>Нет</x:v>
      </x:c>
      <x:c r="R47" s="9" t="str">
        <x:v>C002</x:v>
      </x:c>
      <x:c r="S47" s="9" t="str">
        <x:v>C002</x:v>
      </x:c>
      <x:c r="T47" s="10" t="str">
        <x:v>כאן 11 - תאגיד השידור הישראלי</x:v>
      </x:c>
      <x:c r="U47" s="11" t="str">
        <x:v>https://www.youtube.com/watch?v=GL2KeRhl5YY</x:v>
      </x:c>
      <x:c r="V47" s="16" t="n">
        <x:v>46308</x:v>
      </x:c>
      <x:c r="W47" s="16" t="n">
        <x:v>45175</x:v>
      </x:c>
      <x:c r="X47" s="10" t="str">
        <x:v>iw</x:v>
      </x:c>
      <x:c r="Y47" s="10" t="str">
        <x:v>Автоматическая дорожка HE по метаданным</x:v>
      </x:c>
      <x:c r="Z47" s="10" t="str">
        <x:v>Разрешено по метаданным</x:v>
      </x:c>
      <x:c r="AA47" s="10" t="str">
        <x:v>Метаданные видео; воспроизведение и содержание не проверены</x:v>
      </x:c>
      <x:c r="AB47" s="13" t="n">
        <x:f>IF(AND(ISNUMBER(H47),ISNUMBER(W47)),H47/MAX(1,'Обзор'!$B$4-W47),"")</x:f>
        <x:v>5336.293909973521</x:v>
      </x:c>
      <x:c r="AC47" s="17" t="str">
        <x:v>Не решено</x:v>
      </x:c>
      <x:c r="AD47" s="17" t="str">
        <x:v>Не проверено</x:v>
      </x:c>
      <x:c r="AE47" s="17" t="str">
        <x:v>Не проверено</x:v>
      </x:c>
      <x:c r="AF47" s="17" t="str">
        <x:v>Не проверено</x:v>
      </x:c>
      <x:c r="AG47" s="17" t="str">
        <x:v>Не решено</x:v>
      </x:c>
      <x:c r="AH47" s="17" t="str">
        <x:v>Не проверено</x:v>
      </x:c>
      <x:c r="AI47" s="10" t="str">
        <x:f>IF(AC47="Отклонить","Отклонено",IF(AND(AC47="Взять",COUNTIFS(AD47:AH47,"Да")=5),"Готово","Нужна редактура"))</x:f>
        <x:v>Нужна редактура</x:v>
      </x:c>
      <x:c r="AJ47" s="17" t="str"/>
      <x:c r="AK47" s="9" t="str">
        <x:v>https://www.youtube.com/playlist?list=PLLttfoK87AdVhDg0tejz3xJjx8Bo3H_0c</x:v>
      </x:c>
      <x:c r="AL47" s="9" t="n">
        <x:v>19</x:v>
      </x:c>
      <x:c r="AM47" s="9" t="n">
        <x:v>19</x:v>
      </x:c>
      <x:c r="AN47" s="9" t="n">
        <x:v>0</x:v>
      </x:c>
    </x:row>
    <x:row r="48" ht="60" customHeight="1">
      <x:c r="A48" s="9" t="str">
        <x:v>kUgwDdxQ2i0</x:v>
      </x:c>
      <x:c r="B48" s="10" t="str">
        <x:v>קופה ראשית עונה 4🛒 | פרק 20 - ראמזי חזור הביתה - פרק אחרון לעונה</x:v>
      </x:c>
      <x:c r="C48" s="10" t="str">
        <x:v>Повседневность и юмор</x:v>
      </x:c>
      <x:c r="D48" s="9" t="str">
        <x:v>Сериал</x:v>
      </x:c>
      <x:c r="E48" s="10" t="str">
        <x:v>Сериалы; разговорный иврит; новые репатрианты</x:v>
      </x:c>
      <x:c r="F48" s="10" t="str">
        <x:v>B1–B2 (гипотеза)</x:v>
      </x:c>
      <x:c r="G48" s="12" t="n">
        <x:v>27.7</x:v>
      </x:c>
      <x:c r="H48" s="14" t="n">
        <x:v>4974880</x:v>
      </x:c>
      <x:c r="I48" s="15" t="str">
        <x:v>Точный счётчик метаданных видео</x:v>
      </x:c>
      <x:c r="J48" s="14" t="n">
        <x:v>4900000</x:v>
      </x:c>
      <x:c r="K48" s="14" t="n">
        <x:v>6500000</x:v>
      </x:c>
      <x:c r="L48" s="12" t="n">
        <x:f>IF(COUNT(J48:K48)=2,IF(K48=0,"",J48/K48),"")</x:f>
        <x:v>0.7538461538461538</x:v>
      </x:c>
      <x:c r="M48" s="10" t="str">
        <x:v>Эпизод 20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48" s="10" t="str">
        <x:v>Выбрать диалог 2–4 минуты: просьбы, возражения, разговорные сокращения. Разыграть сцену.</x:v>
      </x:c>
      <x:c r="O48" s="10" t="str">
        <x:v>Сарказм, стереотипы, грубая речь; проверить выпуск</x:v>
      </x:c>
      <x:c r="P48" s="10" t="str">
        <x:v>Полная серия — кандидат</x:v>
      </x:c>
      <x:c r="Q48" s="9" t="str">
        <x:v>Нет</x:v>
      </x:c>
      <x:c r="R48" s="9" t="str">
        <x:v>C002</x:v>
      </x:c>
      <x:c r="S48" s="9" t="str">
        <x:v>C002</x:v>
      </x:c>
      <x:c r="T48" s="10" t="str">
        <x:v>כאן 11 - תאגיד השידור הישראלי</x:v>
      </x:c>
      <x:c r="U48" s="11" t="str">
        <x:v>https://www.youtube.com/watch?v=kUgwDdxQ2i0</x:v>
      </x:c>
      <x:c r="V48" s="16" t="n">
        <x:v>46308</x:v>
      </x:c>
      <x:c r="W48" s="16" t="n">
        <x:v>45182</x:v>
      </x:c>
      <x:c r="X48" s="10" t="str">
        <x:v>Иврит предполагается по заголовку и источнику</x:v>
      </x:c>
      <x:c r="Y48" s="10" t="str">
        <x:v>Автоматическая дорожка HE по метаданным</x:v>
      </x:c>
      <x:c r="Z48" s="10" t="str">
        <x:v>Разрешено по метаданным</x:v>
      </x:c>
      <x:c r="AA48" s="10" t="str">
        <x:v>Метаданные видео; воспроизведение и содержание не проверены</x:v>
      </x:c>
      <x:c r="AB48" s="13" t="n">
        <x:f>IF(AND(ISNUMBER(H48),ISNUMBER(W48)),H48/MAX(1,'Обзор'!$B$4-W48),"")</x:f>
        <x:v>4418.188277087033</x:v>
      </x:c>
      <x:c r="AC48" s="17" t="str">
        <x:v>Не решено</x:v>
      </x:c>
      <x:c r="AD48" s="17" t="str">
        <x:v>Не проверено</x:v>
      </x:c>
      <x:c r="AE48" s="17" t="str">
        <x:v>Не проверено</x:v>
      </x:c>
      <x:c r="AF48" s="17" t="str">
        <x:v>Не проверено</x:v>
      </x:c>
      <x:c r="AG48" s="17" t="str">
        <x:v>Не решено</x:v>
      </x:c>
      <x:c r="AH48" s="17" t="str">
        <x:v>Не проверено</x:v>
      </x:c>
      <x:c r="AI48" s="10" t="str">
        <x:f>IF(AC48="Отклонить","Отклонено",IF(AND(AC48="Взять",COUNTIFS(AD48:AH48,"Да")=5),"Готово","Нужна редактура"))</x:f>
        <x:v>Нужна редактура</x:v>
      </x:c>
      <x:c r="AJ48" s="17" t="str"/>
      <x:c r="AK48" s="9" t="str">
        <x:v>https://www.youtube.com/playlist?list=PLLttfoK87AdVhDg0tejz3xJjx8Bo3H_0c</x:v>
      </x:c>
      <x:c r="AL48" s="9" t="n">
        <x:v>20</x:v>
      </x:c>
      <x:c r="AM48" s="9" t="n">
        <x:v>20</x:v>
      </x:c>
      <x:c r="AN48" s="9" t="n">
        <x:v>0</x:v>
      </x:c>
    </x:row>
    <x:row r="49" ht="60" customHeight="1">
      <x:c r="A49" s="9" t="str">
        <x:v>TwWZSW2GkXY</x:v>
      </x:c>
      <x:c r="B49" s="10" t="str">
        <x:v>קופה ראשית | קופת ברזל - פרק מלחמה</x:v>
      </x:c>
      <x:c r="C49" s="10" t="str">
        <x:v>Повседневность и юмор</x:v>
      </x:c>
      <x:c r="D49" s="9" t="str">
        <x:v>Сериал</x:v>
      </x:c>
      <x:c r="E49" s="10" t="str">
        <x:v>Сериалы; разговорный иврит; новые репатрианты</x:v>
      </x:c>
      <x:c r="F49" s="10" t="str">
        <x:v>B1–B2 (гипотеза)</x:v>
      </x:c>
      <x:c r="G49" s="12" t="n">
        <x:v>28.7</x:v>
      </x:c>
      <x:c r="H49" s="14" t="n">
        <x:v>5274694</x:v>
      </x:c>
      <x:c r="I49" s="15" t="str">
        <x:v>Точный счётчик метаданных видео</x:v>
      </x:c>
      <x:c r="J49" s="14" t="n">
        <x:v>5200000</x:v>
      </x:c>
      <x:c r="K49" s="14" t="n">
        <x:v>6500000</x:v>
      </x:c>
      <x:c r="L49" s="12" t="n">
        <x:f>IF(COUNT(J49:K49)=2,IF(K49=0,"",J49/K49),"")</x:f>
        <x:v>0.8</x:v>
      </x:c>
      <x:c r="M49" s="10" t="str">
        <x:v>Самостоятельный специальный выпуск.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49" s="10" t="str">
        <x:v>Выбрать диалог 2–4 минуты: просьбы, возражения, разговорные сокращения. Разыграть сцену.</x:v>
      </x:c>
      <x:c r="O49" s="10" t="str">
        <x:v>Сарказм, стереотипы, грубая речь; проверить выпуск</x:v>
      </x:c>
      <x:c r="P49" s="10" t="str">
        <x:v>Спецвыпуск сериала</x:v>
      </x:c>
      <x:c r="Q49" s="9" t="str">
        <x:v>Нет</x:v>
      </x:c>
      <x:c r="R49" s="9" t="str">
        <x:v>C002</x:v>
      </x:c>
      <x:c r="S49" s="9" t="str">
        <x:v>C002</x:v>
      </x:c>
      <x:c r="T49" s="10" t="str">
        <x:v>כאן 11 - תאגיד השידור הישראלי</x:v>
      </x:c>
      <x:c r="U49" s="11" t="str">
        <x:v>https://www.youtube.com/watch?v=TwWZSW2GkXY</x:v>
      </x:c>
      <x:c r="V49" s="16" t="n">
        <x:v>46308</x:v>
      </x:c>
      <x:c r="W49" s="16" t="n">
        <x:v>45292</x:v>
      </x:c>
      <x:c r="X49" s="10" t="str">
        <x:v>Иврит предполагается по заголовку и источнику</x:v>
      </x:c>
      <x:c r="Y49" s="10" t="str">
        <x:v>Автоматическая дорожка HE по метаданным</x:v>
      </x:c>
      <x:c r="Z49" s="10" t="str">
        <x:v>Разрешено по метаданным</x:v>
      </x:c>
      <x:c r="AA49" s="10" t="str">
        <x:v>Метаданные видео; воспроизведение и содержание не проверены</x:v>
      </x:c>
      <x:c r="AB49" s="13" t="n">
        <x:f>IF(AND(ISNUMBER(H49),ISNUMBER(W49)),H49/MAX(1,'Обзор'!$B$4-W49),"")</x:f>
        <x:v>5191.627952755905</x:v>
      </x:c>
      <x:c r="AC49" s="17" t="str">
        <x:v>Не решено</x:v>
      </x:c>
      <x:c r="AD49" s="17" t="str">
        <x:v>Не проверено</x:v>
      </x:c>
      <x:c r="AE49" s="17" t="str">
        <x:v>Не проверено</x:v>
      </x:c>
      <x:c r="AF49" s="17" t="str">
        <x:v>Не проверено</x:v>
      </x:c>
      <x:c r="AG49" s="17" t="str">
        <x:v>Не решено</x:v>
      </x:c>
      <x:c r="AH49" s="17" t="str">
        <x:v>Не проверено</x:v>
      </x:c>
      <x:c r="AI49" s="10" t="str">
        <x:f>IF(AC49="Отклонить","Отклонено",IF(AND(AC49="Взять",COUNTIFS(AD49:AH49,"Да")=5),"Готово","Нужна редактура"))</x:f>
        <x:v>Нужна редактура</x:v>
      </x:c>
      <x:c r="AJ49" s="17" t="str"/>
      <x:c r="AK49" s="9" t="str">
        <x:v>https://www.youtube.com/playlist?list=PLLttfoK87AdVhDg0tejz3xJjx8Bo3H_0c</x:v>
      </x:c>
      <x:c r="AL49" s="9" t="n">
        <x:v>22</x:v>
      </x:c>
      <x:c r="AM49" s="9"/>
      <x:c r="AN49" s="9" t="n">
        <x:v>0</x:v>
      </x:c>
    </x:row>
    <x:row r="50" ht="60" customHeight="1">
      <x:c r="A50" s="9" t="str">
        <x:v>N1QtAXj9y48</x:v>
      </x:c>
      <x:c r="B50" s="10" t="str">
        <x:v>קופה ראשית | עצמאות גרציאן - ספיישל עצמאות 2024</x:v>
      </x:c>
      <x:c r="C50" s="10" t="str">
        <x:v>Повседневность и юмор</x:v>
      </x:c>
      <x:c r="D50" s="9" t="str">
        <x:v>Сериал</x:v>
      </x:c>
      <x:c r="E50" s="10" t="str">
        <x:v>Сериалы; разговорный иврит; новые репатрианты</x:v>
      </x:c>
      <x:c r="F50" s="10" t="str">
        <x:v>B1–B2 (гипотеза)</x:v>
      </x:c>
      <x:c r="G50" s="12" t="n">
        <x:v>27.3</x:v>
      </x:c>
      <x:c r="H50" s="14" t="n">
        <x:v>4200000</x:v>
      </x:c>
      <x:c r="I50" s="15" t="str">
        <x:v>Округлённый счётчик в списке YouTube</x:v>
      </x:c>
      <x:c r="J50" s="14" t="n">
        <x:v>4200000</x:v>
      </x:c>
      <x:c r="K50" s="14" t="n">
        <x:v>6500000</x:v>
      </x:c>
      <x:c r="L50" s="12" t="n">
        <x:f>IF(COUNT(J50:K50)=2,IF(K50=0,"",J50/K50),"")</x:f>
        <x:v>0.6461538461538462</x:v>
      </x:c>
      <x:c r="M50" s="10" t="str">
        <x:v>Самостоятельный специальный выпуск.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50" s="10" t="str">
        <x:v>Выбрать диалог 2–4 минуты: просьбы, возражения, разговорные сокращения. Разыграть сцену.</x:v>
      </x:c>
      <x:c r="O50" s="10" t="str">
        <x:v>Сарказм, стереотипы, грубая речь; проверить выпуск</x:v>
      </x:c>
      <x:c r="P50" s="10" t="str">
        <x:v>Спецвыпуск сериала</x:v>
      </x:c>
      <x:c r="Q50" s="9" t="str">
        <x:v>Нет</x:v>
      </x:c>
      <x:c r="R50" s="9" t="str">
        <x:v>C002</x:v>
      </x:c>
      <x:c r="S50" s="9" t="str">
        <x:v>C002</x:v>
      </x:c>
      <x:c r="T50" s="10" t="str">
        <x:v>כאן 11 - תאגיד השידור הישראלי</x:v>
      </x:c>
      <x:c r="U50" s="11" t="str">
        <x:v>https://www.youtube.com/watch?v=N1QtAXj9y48</x:v>
      </x:c>
      <x:c r="V50" s="16" t="n">
        <x:v>46308</x:v>
      </x:c>
      <x:c r="W50" s="16"/>
      <x:c r="X50" s="10" t="str">
        <x:v>Иврит предполагается по заголовку и источнику</x:v>
      </x:c>
      <x:c r="Y50" s="10" t="str">
        <x:v>Не проверено</x:v>
      </x:c>
      <x:c r="Z50" s="10" t="str">
        <x:v>Не проверено</x:v>
      </x:c>
      <x:c r="AA50" s="10" t="str">
        <x:v>Метаданные списка; видео не просмотрено</x:v>
      </x:c>
      <x:c r="AB50" s="13" t="str">
        <x:f>IF(AND(ISNUMBER(H50),ISNUMBER(W50)),H50/MAX(1,'Обзор'!$B$4-W50),"")</x:f>
      </x:c>
      <x:c r="AC50" s="17" t="str">
        <x:v>Не решено</x:v>
      </x:c>
      <x:c r="AD50" s="17" t="str">
        <x:v>Не проверено</x:v>
      </x:c>
      <x:c r="AE50" s="17" t="str">
        <x:v>Не проверено</x:v>
      </x:c>
      <x:c r="AF50" s="17" t="str">
        <x:v>Не проверено</x:v>
      </x:c>
      <x:c r="AG50" s="17" t="str">
        <x:v>Не решено</x:v>
      </x:c>
      <x:c r="AH50" s="17" t="str">
        <x:v>Не проверено</x:v>
      </x:c>
      <x:c r="AI50" s="10" t="str">
        <x:f>IF(AC50="Отклонить","Отклонено",IF(AND(AC50="Взять",COUNTIFS(AD50:AH50,"Да")=5),"Готово","Нужна редактура"))</x:f>
        <x:v>Нужна редактура</x:v>
      </x:c>
      <x:c r="AJ50" s="17" t="str"/>
      <x:c r="AK50" s="9" t="str">
        <x:v>https://www.youtube.com/playlist?list=PLLttfoK87AdVhDg0tejz3xJjx8Bo3H_0c</x:v>
      </x:c>
      <x:c r="AL50" s="9" t="n">
        <x:v>23</x:v>
      </x:c>
      <x:c r="AM50" s="9"/>
      <x:c r="AN50" s="9"/>
    </x:row>
    <x:row r="51" ht="60" customHeight="1">
      <x:c r="A51" s="9" t="str">
        <x:v>vPHTo9NsnNI</x:v>
      </x:c>
      <x:c r="B51" s="10" t="str">
        <x:v>קופה ראשית עונה 3🛒 | בקבוק בלי פקק - פרק 1</x:v>
      </x:c>
      <x:c r="C51" s="10" t="str">
        <x:v>Повседневность и юмор</x:v>
      </x:c>
      <x:c r="D51" s="9" t="str">
        <x:v>Сериал</x:v>
      </x:c>
      <x:c r="E51" s="10" t="str">
        <x:v>Сериалы; разговорный иврит; новые репатрианты</x:v>
      </x:c>
      <x:c r="F51" s="10" t="str">
        <x:v>B1–B2 (гипотеза)</x:v>
      </x:c>
      <x:c r="G51" s="12" t="n">
        <x:v>28.3</x:v>
      </x:c>
      <x:c r="H51" s="14" t="n">
        <x:v>10890069</x:v>
      </x:c>
      <x:c r="I51" s="15" t="str">
        <x:v>Точный счётчик метаданных видео</x:v>
      </x:c>
      <x:c r="J51" s="14" t="n">
        <x:v>10000000</x:v>
      </x:c>
      <x:c r="K51" s="14" t="n">
        <x:v>7600000</x:v>
      </x:c>
      <x:c r="L51" s="12" t="n">
        <x:f>IF(COUNT(J51:K51)=2,IF(K51=0,"",J51/K51),"")</x:f>
        <x:v>1.3157894736842106</x:v>
      </x:c>
      <x:c r="M51" s="10" t="str">
        <x:v>Эпизод 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51" s="10" t="str">
        <x:v>Выбрать диалог 2–4 минуты: просьбы, возражения, разговорные сокращения. Разыграть сцену.</x:v>
      </x:c>
      <x:c r="O51" s="10" t="str">
        <x:v>Сарказм, стереотипы, грубая речь; проверить выпуск</x:v>
      </x:c>
      <x:c r="P51" s="10" t="str">
        <x:v>Полная серия — кандидат</x:v>
      </x:c>
      <x:c r="Q51" s="9" t="str">
        <x:v>Нет</x:v>
      </x:c>
      <x:c r="R51" s="9" t="str">
        <x:v>C003</x:v>
      </x:c>
      <x:c r="S51" s="9" t="str">
        <x:v>C003</x:v>
      </x:c>
      <x:c r="T51" s="10" t="str">
        <x:v>כאן 11 - תאגיד השידור הישראלי</x:v>
      </x:c>
      <x:c r="U51" s="11" t="str">
        <x:v>https://www.youtube.com/watch?v=vPHTo9NsnNI</x:v>
      </x:c>
      <x:c r="V51" s="16" t="n">
        <x:v>46308</x:v>
      </x:c>
      <x:c r="W51" s="16" t="n">
        <x:v>44403</x:v>
      </x:c>
      <x:c r="X51" s="10" t="str">
        <x:v>Иврит предполагается по заголовку и источнику</x:v>
      </x:c>
      <x:c r="Y51" s="10" t="str">
        <x:v>Дорожка HE не найдена в метаданных; вшитые титры не проверены</x:v>
      </x:c>
      <x:c r="Z51" s="10" t="str">
        <x:v>Разрешено по метаданным</x:v>
      </x:c>
      <x:c r="AA51" s="10" t="str">
        <x:v>Метаданные видео; воспроизведение и содержание не проверены</x:v>
      </x:c>
      <x:c r="AB51" s="13" t="n">
        <x:f>IF(AND(ISNUMBER(H51),ISNUMBER(W51)),H51/MAX(1,'Обзор'!$B$4-W51),"")</x:f>
        <x:v>5716.571653543307</x:v>
      </x:c>
      <x:c r="AC51" s="17" t="str">
        <x:v>Не решено</x:v>
      </x:c>
      <x:c r="AD51" s="17" t="str">
        <x:v>Не проверено</x:v>
      </x:c>
      <x:c r="AE51" s="17" t="str">
        <x:v>Не проверено</x:v>
      </x:c>
      <x:c r="AF51" s="17" t="str">
        <x:v>Не проверено</x:v>
      </x:c>
      <x:c r="AG51" s="17" t="str">
        <x:v>Не решено</x:v>
      </x:c>
      <x:c r="AH51" s="17" t="str">
        <x:v>Не проверено</x:v>
      </x:c>
      <x:c r="AI51" s="10" t="str">
        <x:f>IF(AC51="Отклонить","Отклонено",IF(AND(AC51="Взять",COUNTIFS(AD51:AH51,"Да")=5),"Готово","Нужна редактура"))</x:f>
        <x:v>Нужна редактура</x:v>
      </x:c>
      <x:c r="AJ51" s="17" t="str"/>
      <x:c r="AK51" s="9" t="str">
        <x:v>https://www.youtube.com/playlist?list=PLLttfoK87AdVDPNRcYni-j0vG3OHPqRPa</x:v>
      </x:c>
      <x:c r="AL51" s="9" t="n">
        <x:v>1</x:v>
      </x:c>
      <x:c r="AM51" s="9" t="n">
        <x:v>1</x:v>
      </x:c>
      <x:c r="AN51" s="9" t="n">
        <x:v>0</x:v>
      </x:c>
    </x:row>
    <x:row r="52" ht="60" customHeight="1">
      <x:c r="A52" s="9" t="str">
        <x:v>Er030BPnVl0</x:v>
      </x:c>
      <x:c r="B52" s="10" t="str">
        <x:v>קופה ראשית עונה 3🛒 | קוקו וקוקו - פרק 2</x:v>
      </x:c>
      <x:c r="C52" s="10" t="str">
        <x:v>Повседневность и юмор</x:v>
      </x:c>
      <x:c r="D52" s="9" t="str">
        <x:v>Сериал</x:v>
      </x:c>
      <x:c r="E52" s="10" t="str">
        <x:v>Сериалы; разговорный иврит; новые репатрианты</x:v>
      </x:c>
      <x:c r="F52" s="10" t="str">
        <x:v>B1–B2 (гипотеза)</x:v>
      </x:c>
      <x:c r="G52" s="12" t="n">
        <x:v>25.2</x:v>
      </x:c>
      <x:c r="H52" s="14" t="n">
        <x:v>7048778</x:v>
      </x:c>
      <x:c r="I52" s="15" t="str">
        <x:v>Точный счётчик метаданных видео</x:v>
      </x:c>
      <x:c r="J52" s="14" t="n">
        <x:v>7000000</x:v>
      </x:c>
      <x:c r="K52" s="14" t="n">
        <x:v>7600000</x:v>
      </x:c>
      <x:c r="L52" s="12" t="n">
        <x:f>IF(COUNT(J52:K52)=2,IF(K52=0,"",J52/K52),"")</x:f>
        <x:v>0.9210526315789473</x:v>
      </x:c>
      <x:c r="M52" s="10" t="str"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52" s="10" t="str">
        <x:v>Выбрать диалог 2–4 минуты: просьбы, возражения, разговорные сокращения. Разыграть сцену.</x:v>
      </x:c>
      <x:c r="O52" s="10" t="str">
        <x:v>Сарказм, стереотипы, грубая речь; проверить выпуск</x:v>
      </x:c>
      <x:c r="P52" s="10" t="str">
        <x:v>Полная серия — кандидат</x:v>
      </x:c>
      <x:c r="Q52" s="9" t="str">
        <x:v>Нет</x:v>
      </x:c>
      <x:c r="R52" s="9" t="str">
        <x:v>C003</x:v>
      </x:c>
      <x:c r="S52" s="9" t="str">
        <x:v>C003</x:v>
      </x:c>
      <x:c r="T52" s="10" t="str">
        <x:v>כאן 11 - תאגיד השידור הישראלי</x:v>
      </x:c>
      <x:c r="U52" s="11" t="str">
        <x:v>https://www.youtube.com/watch?v=Er030BPnVl0</x:v>
      </x:c>
      <x:c r="V52" s="16" t="n">
        <x:v>46308</x:v>
      </x:c>
      <x:c r="W52" s="16" t="n">
        <x:v>44403</x:v>
      </x:c>
      <x:c r="X52" s="10" t="str">
        <x:v>Иврит предполагается по заголовку и источнику</x:v>
      </x:c>
      <x:c r="Y52" s="10" t="str">
        <x:v>Дорожка HE не найдена в метаданных; вшитые титры не проверены</x:v>
      </x:c>
      <x:c r="Z52" s="10" t="str">
        <x:v>Разрешено по метаданным</x:v>
      </x:c>
      <x:c r="AA52" s="10" t="str">
        <x:v>Метаданные видео; воспроизведение и содержание не проверены</x:v>
      </x:c>
      <x:c r="AB52" s="13" t="n">
        <x:f>IF(AND(ISNUMBER(H52),ISNUMBER(W52)),H52/MAX(1,'Обзор'!$B$4-W52),"")</x:f>
        <x:v>3700.14593175853</x:v>
      </x:c>
      <x:c r="AC52" s="17" t="str">
        <x:v>Не решено</x:v>
      </x:c>
      <x:c r="AD52" s="17" t="str">
        <x:v>Не проверено</x:v>
      </x:c>
      <x:c r="AE52" s="17" t="str">
        <x:v>Не проверено</x:v>
      </x:c>
      <x:c r="AF52" s="17" t="str">
        <x:v>Не проверено</x:v>
      </x:c>
      <x:c r="AG52" s="17" t="str">
        <x:v>Не решено</x:v>
      </x:c>
      <x:c r="AH52" s="17" t="str">
        <x:v>Не проверено</x:v>
      </x:c>
      <x:c r="AI52" s="10" t="str">
        <x:f>IF(AC52="Отклонить","Отклонено",IF(AND(AC52="Взять",COUNTIFS(AD52:AH52,"Да")=5),"Готово","Нужна редактура"))</x:f>
        <x:v>Нужна редактура</x:v>
      </x:c>
      <x:c r="AJ52" s="17" t="str"/>
      <x:c r="AK52" s="9" t="str">
        <x:v>https://www.youtube.com/playlist?list=PLLttfoK87AdVDPNRcYni-j0vG3OHPqRPa</x:v>
      </x:c>
      <x:c r="AL52" s="9" t="n">
        <x:v>2</x:v>
      </x:c>
      <x:c r="AM52" s="9" t="n">
        <x:v>2</x:v>
      </x:c>
      <x:c r="AN52" s="9" t="n">
        <x:v>0</x:v>
      </x:c>
    </x:row>
    <x:row r="53" ht="60" customHeight="1">
      <x:c r="A53" s="9" t="str">
        <x:v>NsjeEt1ZpqQ</x:v>
      </x:c>
      <x:c r="B53" s="10" t="str">
        <x:v>קופה ראשית עונה 3🛒 | 15 דקות - פרק 3</x:v>
      </x:c>
      <x:c r="C53" s="10" t="str">
        <x:v>Повседневность и юмор</x:v>
      </x:c>
      <x:c r="D53" s="9" t="str">
        <x:v>Сериал</x:v>
      </x:c>
      <x:c r="E53" s="10" t="str">
        <x:v>Сериалы; разговорный иврит; новые репатрианты</x:v>
      </x:c>
      <x:c r="F53" s="10" t="str">
        <x:v>B1–B2 (гипотеза)</x:v>
      </x:c>
      <x:c r="G53" s="12" t="n">
        <x:v>23.4</x:v>
      </x:c>
      <x:c r="H53" s="14" t="n">
        <x:v>10822044</x:v>
      </x:c>
      <x:c r="I53" s="15" t="str">
        <x:v>Точный счётчик метаданных видео</x:v>
      </x:c>
      <x:c r="J53" s="14" t="n">
        <x:v>10000000</x:v>
      </x:c>
      <x:c r="K53" s="14" t="n">
        <x:v>7600000</x:v>
      </x:c>
      <x:c r="L53" s="12" t="n">
        <x:f>IF(COUNT(J53:K53)=2,IF(K53=0,"",J53/K53),"")</x:f>
        <x:v>1.3157894736842106</x:v>
      </x:c>
      <x:c r="M53" s="10" t="str">
        <x:v>Эпизод 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53" s="10" t="str">
        <x:v>Выбрать диалог 2–4 минуты: просьбы, возражения, разговорные сокращения. Разыграть сцену.</x:v>
      </x:c>
      <x:c r="O53" s="10" t="str">
        <x:v>Сарказм, стереотипы, грубая речь; проверить выпуск</x:v>
      </x:c>
      <x:c r="P53" s="10" t="str">
        <x:v>Полная серия — кандидат</x:v>
      </x:c>
      <x:c r="Q53" s="9" t="str">
        <x:v>Нет</x:v>
      </x:c>
      <x:c r="R53" s="9" t="str">
        <x:v>C003</x:v>
      </x:c>
      <x:c r="S53" s="9" t="str">
        <x:v>C003</x:v>
      </x:c>
      <x:c r="T53" s="10" t="str">
        <x:v>כאן 11 - תאגיד השידור הישראלי</x:v>
      </x:c>
      <x:c r="U53" s="11" t="str">
        <x:v>https://www.youtube.com/watch?v=NsjeEt1ZpqQ</x:v>
      </x:c>
      <x:c r="V53" s="16" t="n">
        <x:v>46308</x:v>
      </x:c>
      <x:c r="W53" s="16" t="n">
        <x:v>44410</x:v>
      </x:c>
      <x:c r="X53" s="10" t="str">
        <x:v>Иврит предполагается по заголовку и источнику</x:v>
      </x:c>
      <x:c r="Y53" s="10" t="str">
        <x:v>Дорожка HE не найдена в метаданных; вшитые титры не проверены</x:v>
      </x:c>
      <x:c r="Z53" s="10" t="str">
        <x:v>Разрешено по метаданным</x:v>
      </x:c>
      <x:c r="AA53" s="10" t="str">
        <x:v>Метаданные видео; воспроизведение и содержание не проверены</x:v>
      </x:c>
      <x:c r="AB53" s="13" t="n">
        <x:f>IF(AND(ISNUMBER(H53),ISNUMBER(W53)),H53/MAX(1,'Обзор'!$B$4-W53),"")</x:f>
        <x:v>5701.814541622761</x:v>
      </x:c>
      <x:c r="AC53" s="17" t="str">
        <x:v>Не решено</x:v>
      </x:c>
      <x:c r="AD53" s="17" t="str">
        <x:v>Не проверено</x:v>
      </x:c>
      <x:c r="AE53" s="17" t="str">
        <x:v>Не проверено</x:v>
      </x:c>
      <x:c r="AF53" s="17" t="str">
        <x:v>Не проверено</x:v>
      </x:c>
      <x:c r="AG53" s="17" t="str">
        <x:v>Не решено</x:v>
      </x:c>
      <x:c r="AH53" s="17" t="str">
        <x:v>Не проверено</x:v>
      </x:c>
      <x:c r="AI53" s="10" t="str">
        <x:f>IF(AC53="Отклонить","Отклонено",IF(AND(AC53="Взять",COUNTIFS(AD53:AH53,"Да")=5),"Готово","Нужна редактура"))</x:f>
        <x:v>Нужна редактура</x:v>
      </x:c>
      <x:c r="AJ53" s="17" t="str"/>
      <x:c r="AK53" s="9" t="str">
        <x:v>https://www.youtube.com/playlist?list=PLLttfoK87AdVDPNRcYni-j0vG3OHPqRPa</x:v>
      </x:c>
      <x:c r="AL53" s="9" t="n">
        <x:v>3</x:v>
      </x:c>
      <x:c r="AM53" s="9" t="n">
        <x:v>3</x:v>
      </x:c>
      <x:c r="AN53" s="9" t="n">
        <x:v>0</x:v>
      </x:c>
    </x:row>
    <x:row r="54" ht="60" customHeight="1">
      <x:c r="A54" s="9" t="str">
        <x:v>SJhz7KFE3Hg</x:v>
      </x:c>
      <x:c r="B54" s="10" t="str">
        <x:v>קופה ראשית עונה 3🛒 | יומולדת בסופר - פרק 4</x:v>
      </x:c>
      <x:c r="C54" s="10" t="str">
        <x:v>Повседневность и юмор</x:v>
      </x:c>
      <x:c r="D54" s="9" t="str">
        <x:v>Сериал</x:v>
      </x:c>
      <x:c r="E54" s="10" t="str">
        <x:v>Сериалы; разговорный иврит; новые репатрианты</x:v>
      </x:c>
      <x:c r="F54" s="10" t="str">
        <x:v>B1–B2 (гипотеза)</x:v>
      </x:c>
      <x:c r="G54" s="12" t="n">
        <x:v>24.9</x:v>
      </x:c>
      <x:c r="H54" s="14" t="n">
        <x:v>9406285</x:v>
      </x:c>
      <x:c r="I54" s="15" t="str">
        <x:v>Точный счётчик метаданных видео</x:v>
      </x:c>
      <x:c r="J54" s="14" t="n">
        <x:v>9400000</x:v>
      </x:c>
      <x:c r="K54" s="14" t="n">
        <x:v>7600000</x:v>
      </x:c>
      <x:c r="L54" s="12" t="n">
        <x:f>IF(COUNT(J54:K54)=2,IF(K54=0,"",J54/K54),"")</x:f>
        <x:v>1.236842105263158</x:v>
      </x:c>
      <x:c r="M54" s="10" t="str">
        <x:v>Эпизод 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54" s="10" t="str">
        <x:v>Выбрать диалог 2–4 минуты: просьбы, возражения, разговорные сокращения. Разыграть сцену.</x:v>
      </x:c>
      <x:c r="O54" s="10" t="str">
        <x:v>Сарказм, стереотипы, грубая речь; проверить выпуск</x:v>
      </x:c>
      <x:c r="P54" s="10" t="str">
        <x:v>Полная серия — кандидат</x:v>
      </x:c>
      <x:c r="Q54" s="9" t="str">
        <x:v>Нет</x:v>
      </x:c>
      <x:c r="R54" s="9" t="str">
        <x:v>C003</x:v>
      </x:c>
      <x:c r="S54" s="9" t="str">
        <x:v>C003</x:v>
      </x:c>
      <x:c r="T54" s="10" t="str">
        <x:v>כאן 11 - תאגיד השידור הישראלי</x:v>
      </x:c>
      <x:c r="U54" s="11" t="str">
        <x:v>https://www.youtube.com/watch?v=SJhz7KFE3Hg</x:v>
      </x:c>
      <x:c r="V54" s="16" t="n">
        <x:v>46308</x:v>
      </x:c>
      <x:c r="W54" s="16" t="n">
        <x:v>44417</x:v>
      </x:c>
      <x:c r="X54" s="10" t="str">
        <x:v>Иврит предполагается по заголовку и источнику</x:v>
      </x:c>
      <x:c r="Y54" s="10" t="str">
        <x:v>Дорожка HE не найдена в метаданных; вшитые титры не проверены</x:v>
      </x:c>
      <x:c r="Z54" s="10" t="str">
        <x:v>Разрешено по метаданным</x:v>
      </x:c>
      <x:c r="AA54" s="10" t="str">
        <x:v>Метаданные видео; воспроизведение и содержание не проверены</x:v>
      </x:c>
      <x:c r="AB54" s="13" t="n">
        <x:f>IF(AND(ISNUMBER(H54),ISNUMBER(W54)),H54/MAX(1,'Обзор'!$B$4-W54),"")</x:f>
        <x:v>4974.238498149128</x:v>
      </x:c>
      <x:c r="AC54" s="17" t="str">
        <x:v>Не решено</x:v>
      </x:c>
      <x:c r="AD54" s="17" t="str">
        <x:v>Не проверено</x:v>
      </x:c>
      <x:c r="AE54" s="17" t="str">
        <x:v>Не проверено</x:v>
      </x:c>
      <x:c r="AF54" s="17" t="str">
        <x:v>Не проверено</x:v>
      </x:c>
      <x:c r="AG54" s="17" t="str">
        <x:v>Не решено</x:v>
      </x:c>
      <x:c r="AH54" s="17" t="str">
        <x:v>Не проверено</x:v>
      </x:c>
      <x:c r="AI54" s="10" t="str">
        <x:f>IF(AC54="Отклонить","Отклонено",IF(AND(AC54="Взять",COUNTIFS(AD54:AH54,"Да")=5),"Готово","Нужна редактура"))</x:f>
        <x:v>Нужна редактура</x:v>
      </x:c>
      <x:c r="AJ54" s="17" t="str"/>
      <x:c r="AK54" s="9" t="str">
        <x:v>https://www.youtube.com/playlist?list=PLLttfoK87AdVDPNRcYni-j0vG3OHPqRPa</x:v>
      </x:c>
      <x:c r="AL54" s="9" t="n">
        <x:v>4</x:v>
      </x:c>
      <x:c r="AM54" s="9" t="n">
        <x:v>4</x:v>
      </x:c>
      <x:c r="AN54" s="9" t="n">
        <x:v>0</x:v>
      </x:c>
    </x:row>
    <x:row r="55" ht="60" customHeight="1">
      <x:c r="A55" s="9" t="str">
        <x:v>gnAyOSwMjEw</x:v>
      </x:c>
      <x:c r="B55" s="10" t="str">
        <x:v>קופה ראשית עונה 3🛒 | כוכבה היפה - פרק 5</x:v>
      </x:c>
      <x:c r="C55" s="10" t="str">
        <x:v>Повседневность и юмор</x:v>
      </x:c>
      <x:c r="D55" s="9" t="str">
        <x:v>Сериал</x:v>
      </x:c>
      <x:c r="E55" s="10" t="str">
        <x:v>Сериалы; разговорный иврит; новые репатрианты</x:v>
      </x:c>
      <x:c r="F55" s="10" t="str">
        <x:v>B1–B2 (гипотеза)</x:v>
      </x:c>
      <x:c r="G55" s="12" t="n">
        <x:v>24.6</x:v>
      </x:c>
      <x:c r="H55" s="14" t="n">
        <x:v>8290265</x:v>
      </x:c>
      <x:c r="I55" s="15" t="str">
        <x:v>Точный счётчик метаданных видео</x:v>
      </x:c>
      <x:c r="J55" s="14" t="n">
        <x:v>8200000</x:v>
      </x:c>
      <x:c r="K55" s="14" t="n">
        <x:v>7600000</x:v>
      </x:c>
      <x:c r="L55" s="12" t="n">
        <x:f>IF(COUNT(J55:K55)=2,IF(K55=0,"",J55/K55),"")</x:f>
        <x:v>1.0789473684210527</x:v>
      </x:c>
      <x:c r="M55" s="10" t="str">
        <x:v>Эпизод 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55" s="10" t="str">
        <x:v>Выбрать диалог 2–4 минуты: просьбы, возражения, разговорные сокращения. Разыграть сцену.</x:v>
      </x:c>
      <x:c r="O55" s="10" t="str">
        <x:v>Сарказм, стереотипы, грубая речь; проверить выпуск</x:v>
      </x:c>
      <x:c r="P55" s="10" t="str">
        <x:v>Полная серия — кандидат</x:v>
      </x:c>
      <x:c r="Q55" s="9" t="str">
        <x:v>Нет</x:v>
      </x:c>
      <x:c r="R55" s="9" t="str">
        <x:v>C003</x:v>
      </x:c>
      <x:c r="S55" s="9" t="str">
        <x:v>C003</x:v>
      </x:c>
      <x:c r="T55" s="10" t="str">
        <x:v>כאן 11 - תאגיד השידור הישראלי</x:v>
      </x:c>
      <x:c r="U55" s="11" t="str">
        <x:v>https://www.youtube.com/watch?v=gnAyOSwMjEw</x:v>
      </x:c>
      <x:c r="V55" s="16" t="n">
        <x:v>46308</x:v>
      </x:c>
      <x:c r="W55" s="16" t="n">
        <x:v>44424</x:v>
      </x:c>
      <x:c r="X55" s="10" t="str">
        <x:v>Иврит предполагается по заголовку и источнику</x:v>
      </x:c>
      <x:c r="Y55" s="10" t="str">
        <x:v>Дорожка HE не найдена в метаданных; вшитые титры не проверены</x:v>
      </x:c>
      <x:c r="Z55" s="10" t="str">
        <x:v>Разрешено по метаданным</x:v>
      </x:c>
      <x:c r="AA55" s="10" t="str">
        <x:v>Метаданные видео; воспроизведение и содержание не проверены</x:v>
      </x:c>
      <x:c r="AB55" s="13" t="n">
        <x:f>IF(AND(ISNUMBER(H55),ISNUMBER(W55)),H55/MAX(1,'Обзор'!$B$4-W55),"")</x:f>
        <x:v>4400.3529723991505</x:v>
      </x:c>
      <x:c r="AC55" s="17" t="str">
        <x:v>Не решено</x:v>
      </x:c>
      <x:c r="AD55" s="17" t="str">
        <x:v>Не проверено</x:v>
      </x:c>
      <x:c r="AE55" s="17" t="str">
        <x:v>Не проверено</x:v>
      </x:c>
      <x:c r="AF55" s="17" t="str">
        <x:v>Не проверено</x:v>
      </x:c>
      <x:c r="AG55" s="17" t="str">
        <x:v>Не решено</x:v>
      </x:c>
      <x:c r="AH55" s="17" t="str">
        <x:v>Не проверено</x:v>
      </x:c>
      <x:c r="AI55" s="10" t="str">
        <x:f>IF(AC55="Отклонить","Отклонено",IF(AND(AC55="Взять",COUNTIFS(AD55:AH55,"Да")=5),"Готово","Нужна редактура"))</x:f>
        <x:v>Нужна редактура</x:v>
      </x:c>
      <x:c r="AJ55" s="17" t="str"/>
      <x:c r="AK55" s="9" t="str">
        <x:v>https://www.youtube.com/playlist?list=PLLttfoK87AdVDPNRcYni-j0vG3OHPqRPa</x:v>
      </x:c>
      <x:c r="AL55" s="9" t="n">
        <x:v>5</x:v>
      </x:c>
      <x:c r="AM55" s="9" t="n">
        <x:v>5</x:v>
      </x:c>
      <x:c r="AN55" s="9" t="n">
        <x:v>0</x:v>
      </x:c>
    </x:row>
    <x:row r="56" ht="60" customHeight="1">
      <x:c r="A56" s="9" t="str">
        <x:v>3_p3Q293u44</x:v>
      </x:c>
      <x:c r="B56" s="10" t="str">
        <x:v>קופה ראשית עונה 3🛒 | יולנדה - פרק 6</x:v>
      </x:c>
      <x:c r="C56" s="10" t="str">
        <x:v>Повседневность и юмор</x:v>
      </x:c>
      <x:c r="D56" s="9" t="str">
        <x:v>Сериал</x:v>
      </x:c>
      <x:c r="E56" s="10" t="str">
        <x:v>Сериалы; разговорный иврит; новые репатрианты</x:v>
      </x:c>
      <x:c r="F56" s="10" t="str">
        <x:v>B1–B2 (гипотеза)</x:v>
      </x:c>
      <x:c r="G56" s="12" t="n">
        <x:v>26.7</x:v>
      </x:c>
      <x:c r="H56" s="14" t="n">
        <x:v>9287416</x:v>
      </x:c>
      <x:c r="I56" s="15" t="str">
        <x:v>Точный счётчик метаданных видео</x:v>
      </x:c>
      <x:c r="J56" s="14" t="n">
        <x:v>9200000</x:v>
      </x:c>
      <x:c r="K56" s="14" t="n">
        <x:v>7600000</x:v>
      </x:c>
      <x:c r="L56" s="12" t="n">
        <x:f>IF(COUNT(J56:K56)=2,IF(K56=0,"",J56/K56),"")</x:f>
        <x:v>1.2105263157894737</x:v>
      </x:c>
      <x:c r="M56" s="10" t="str">
        <x:v>Эпизод 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56" s="10" t="str">
        <x:v>Выбрать диалог 2–4 минуты: просьбы, возражения, разговорные сокращения. Разыграть сцену.</x:v>
      </x:c>
      <x:c r="O56" s="10" t="str">
        <x:v>Сарказм, стереотипы, грубая речь; проверить выпуск</x:v>
      </x:c>
      <x:c r="P56" s="10" t="str">
        <x:v>Полная серия — кандидат</x:v>
      </x:c>
      <x:c r="Q56" s="9" t="str">
        <x:v>Нет</x:v>
      </x:c>
      <x:c r="R56" s="9" t="str">
        <x:v>C003</x:v>
      </x:c>
      <x:c r="S56" s="9" t="str">
        <x:v>C003</x:v>
      </x:c>
      <x:c r="T56" s="10" t="str">
        <x:v>כאן 11 - תאגיד השידור הישראלי</x:v>
      </x:c>
      <x:c r="U56" s="11" t="str">
        <x:v>https://www.youtube.com/watch?v=3_p3Q293u44</x:v>
      </x:c>
      <x:c r="V56" s="16" t="n">
        <x:v>46308</x:v>
      </x:c>
      <x:c r="W56" s="16" t="n">
        <x:v>44431</x:v>
      </x:c>
      <x:c r="X56" s="10" t="str">
        <x:v>Иврит предполагается по заголовку и источнику</x:v>
      </x:c>
      <x:c r="Y56" s="10" t="str">
        <x:v>Дорожка HE не найдена в метаданных; вшитые титры не проверены</x:v>
      </x:c>
      <x:c r="Z56" s="10" t="str">
        <x:v>Разрешено по метаданным</x:v>
      </x:c>
      <x:c r="AA56" s="10" t="str">
        <x:v>Метаданные видео; воспроизведение и содержание не проверены</x:v>
      </x:c>
      <x:c r="AB56" s="13" t="n">
        <x:f>IF(AND(ISNUMBER(H56),ISNUMBER(W56)),H56/MAX(1,'Обзор'!$B$4-W56),"")</x:f>
        <x:v>4948.010655301012</x:v>
      </x:c>
      <x:c r="AC56" s="17" t="str">
        <x:v>Не решено</x:v>
      </x:c>
      <x:c r="AD56" s="17" t="str">
        <x:v>Не проверено</x:v>
      </x:c>
      <x:c r="AE56" s="17" t="str">
        <x:v>Не проверено</x:v>
      </x:c>
      <x:c r="AF56" s="17" t="str">
        <x:v>Не проверено</x:v>
      </x:c>
      <x:c r="AG56" s="17" t="str">
        <x:v>Не решено</x:v>
      </x:c>
      <x:c r="AH56" s="17" t="str">
        <x:v>Не проверено</x:v>
      </x:c>
      <x:c r="AI56" s="10" t="str">
        <x:f>IF(AC56="Отклонить","Отклонено",IF(AND(AC56="Взять",COUNTIFS(AD56:AH56,"Да")=5),"Готово","Нужна редактура"))</x:f>
        <x:v>Нужна редактура</x:v>
      </x:c>
      <x:c r="AJ56" s="17" t="str"/>
      <x:c r="AK56" s="9" t="str">
        <x:v>https://www.youtube.com/playlist?list=PLLttfoK87AdVDPNRcYni-j0vG3OHPqRPa</x:v>
      </x:c>
      <x:c r="AL56" s="9" t="n">
        <x:v>6</x:v>
      </x:c>
      <x:c r="AM56" s="9" t="n">
        <x:v>6</x:v>
      </x:c>
      <x:c r="AN56" s="9" t="n">
        <x:v>0</x:v>
      </x:c>
    </x:row>
    <x:row r="57" ht="60" customHeight="1">
      <x:c r="A57" s="9" t="str">
        <x:v>82jdHBw1pEE</x:v>
      </x:c>
      <x:c r="B57" s="10" t="str">
        <x:v>קופה ראשית עונה 3🛒 | הפצוע המולדבי - פרק 7</x:v>
      </x:c>
      <x:c r="C57" s="10" t="str">
        <x:v>Повседневность и юмор</x:v>
      </x:c>
      <x:c r="D57" s="9" t="str">
        <x:v>Сериал</x:v>
      </x:c>
      <x:c r="E57" s="10" t="str">
        <x:v>Сериалы; разговорный иврит; новые репатрианты</x:v>
      </x:c>
      <x:c r="F57" s="10" t="str">
        <x:v>B1–B2 (гипотеза)</x:v>
      </x:c>
      <x:c r="G57" s="12" t="n">
        <x:v>23.8</x:v>
      </x:c>
      <x:c r="H57" s="14" t="n">
        <x:v>12238719</x:v>
      </x:c>
      <x:c r="I57" s="15" t="str">
        <x:v>Точный счётчик метаданных видео</x:v>
      </x:c>
      <x:c r="J57" s="14" t="n">
        <x:v>12000000</x:v>
      </x:c>
      <x:c r="K57" s="14" t="n">
        <x:v>7600000</x:v>
      </x:c>
      <x:c r="L57" s="12" t="n">
        <x:f>IF(COUNT(J57:K57)=2,IF(K57=0,"",J57/K57),"")</x:f>
        <x:v>1.5789473684210527</x:v>
      </x:c>
      <x:c r="M57" s="10" t="str">
        <x:v>Эпизод 7 в знакомой сюжетной ветке. Просмотры в списке выше медианы выборки этого цикла в 1.58 раза.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57" s="10" t="str">
        <x:v>Выбрать диалог 2–4 минуты: просьбы, возражения, разговорные сокращения. Разыграть сцену.</x:v>
      </x:c>
      <x:c r="O57" s="10" t="str">
        <x:v>Сарказм, стереотипы, грубая речь; проверить выпуск</x:v>
      </x:c>
      <x:c r="P57" s="10" t="str">
        <x:v>Полная серия — кандидат</x:v>
      </x:c>
      <x:c r="Q57" s="9" t="str">
        <x:v>Нет</x:v>
      </x:c>
      <x:c r="R57" s="9" t="str">
        <x:v>C003</x:v>
      </x:c>
      <x:c r="S57" s="9" t="str">
        <x:v>C003</x:v>
      </x:c>
      <x:c r="T57" s="10" t="str">
        <x:v>כאן 11 - תאגיד השידור הישראלי</x:v>
      </x:c>
      <x:c r="U57" s="11" t="str">
        <x:v>https://www.youtube.com/watch?v=82jdHBw1pEE</x:v>
      </x:c>
      <x:c r="V57" s="16" t="n">
        <x:v>46308</x:v>
      </x:c>
      <x:c r="W57" s="16" t="n">
        <x:v>44438</x:v>
      </x:c>
      <x:c r="X57" s="10" t="str">
        <x:v>Иврит предполагается по заголовку и источнику</x:v>
      </x:c>
      <x:c r="Y57" s="10" t="str">
        <x:v>Дорожка HE не найдена в метаданных; вшитые титры не проверены</x:v>
      </x:c>
      <x:c r="Z57" s="10" t="str">
        <x:v>Разрешено по метаданным</x:v>
      </x:c>
      <x:c r="AA57" s="10" t="str">
        <x:v>Метаданные видео; воспроизведение и содержание не проверены</x:v>
      </x:c>
      <x:c r="AB57" s="13" t="n">
        <x:f>IF(AND(ISNUMBER(H57),ISNUMBER(W57)),H57/MAX(1,'Обзор'!$B$4-W57),"")</x:f>
        <x:v>6544.769518716577</x:v>
      </x:c>
      <x:c r="AC57" s="17" t="str">
        <x:v>Не решено</x:v>
      </x:c>
      <x:c r="AD57" s="17" t="str">
        <x:v>Не проверено</x:v>
      </x:c>
      <x:c r="AE57" s="17" t="str">
        <x:v>Не проверено</x:v>
      </x:c>
      <x:c r="AF57" s="17" t="str">
        <x:v>Не проверено</x:v>
      </x:c>
      <x:c r="AG57" s="17" t="str">
        <x:v>Не решено</x:v>
      </x:c>
      <x:c r="AH57" s="17" t="str">
        <x:v>Не проверено</x:v>
      </x:c>
      <x:c r="AI57" s="10" t="str">
        <x:f>IF(AC57="Отклонить","Отклонено",IF(AND(AC57="Взять",COUNTIFS(AD57:AH57,"Да")=5),"Готово","Нужна редактура"))</x:f>
        <x:v>Нужна редактура</x:v>
      </x:c>
      <x:c r="AJ57" s="17" t="str"/>
      <x:c r="AK57" s="9" t="str">
        <x:v>https://www.youtube.com/playlist?list=PLLttfoK87AdVDPNRcYni-j0vG3OHPqRPa</x:v>
      </x:c>
      <x:c r="AL57" s="9" t="n">
        <x:v>7</x:v>
      </x:c>
      <x:c r="AM57" s="9" t="n">
        <x:v>7</x:v>
      </x:c>
      <x:c r="AN57" s="9" t="n">
        <x:v>0</x:v>
      </x:c>
    </x:row>
    <x:row r="58" ht="60" customHeight="1">
      <x:c r="A58" s="9" t="str">
        <x:v>fwIN1UESTcc</x:v>
      </x:c>
      <x:c r="B58" s="10" t="str">
        <x:v>קופה ראשית עונה 3🛒 | סלסילות - פרק 8</x:v>
      </x:c>
      <x:c r="C58" s="10" t="str">
        <x:v>Повседневность и юмор</x:v>
      </x:c>
      <x:c r="D58" s="9" t="str">
        <x:v>Сериал</x:v>
      </x:c>
      <x:c r="E58" s="10" t="str">
        <x:v>Сериалы; разговорный иврит; новые репатрианты</x:v>
      </x:c>
      <x:c r="F58" s="10" t="str">
        <x:v>B1–B2 (гипотеза)</x:v>
      </x:c>
      <x:c r="G58" s="12" t="n">
        <x:v>24.8</x:v>
      </x:c>
      <x:c r="H58" s="14" t="n">
        <x:v>7906945</x:v>
      </x:c>
      <x:c r="I58" s="15" t="str">
        <x:v>Точный счётчик метаданных видео</x:v>
      </x:c>
      <x:c r="J58" s="14" t="n">
        <x:v>7900000</x:v>
      </x:c>
      <x:c r="K58" s="14" t="n">
        <x:v>7600000</x:v>
      </x:c>
      <x:c r="L58" s="12" t="n">
        <x:f>IF(COUNT(J58:K58)=2,IF(K58=0,"",J58/K58),"")</x:f>
        <x:v>1.0394736842105263</x:v>
      </x:c>
      <x:c r="M58" s="10" t="str">
        <x:v>Эпизод 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58" s="10" t="str">
        <x:v>Выбрать диалог 2–4 минуты: просьбы, возражения, разговорные сокращения. Разыграть сцену.</x:v>
      </x:c>
      <x:c r="O58" s="10" t="str">
        <x:v>Сарказм, стереотипы, грубая речь; проверить выпуск</x:v>
      </x:c>
      <x:c r="P58" s="10" t="str">
        <x:v>Полная серия — кандидат</x:v>
      </x:c>
      <x:c r="Q58" s="9" t="str">
        <x:v>Нет</x:v>
      </x:c>
      <x:c r="R58" s="9" t="str">
        <x:v>C003</x:v>
      </x:c>
      <x:c r="S58" s="9" t="str">
        <x:v>C003</x:v>
      </x:c>
      <x:c r="T58" s="10" t="str">
        <x:v>כאן 11 - תאגיד השידור הישראלי</x:v>
      </x:c>
      <x:c r="U58" s="11" t="str">
        <x:v>https://www.youtube.com/watch?v=fwIN1UESTcc</x:v>
      </x:c>
      <x:c r="V58" s="16" t="n">
        <x:v>46308</x:v>
      </x:c>
      <x:c r="W58" s="16" t="n">
        <x:v>44444</x:v>
      </x:c>
      <x:c r="X58" s="10" t="str">
        <x:v>Иврит предполагается по заголовку и источнику</x:v>
      </x:c>
      <x:c r="Y58" s="10" t="str">
        <x:v>Автоматическая дорожка HE по метаданным</x:v>
      </x:c>
      <x:c r="Z58" s="10" t="str">
        <x:v>Разрешено по метаданным</x:v>
      </x:c>
      <x:c r="AA58" s="10" t="str">
        <x:v>Метаданные видео; воспроизведение и содержание не проверены</x:v>
      </x:c>
      <x:c r="AB58" s="13" t="n">
        <x:f>IF(AND(ISNUMBER(H58),ISNUMBER(W58)),H58/MAX(1,'Обзор'!$B$4-W58),"")</x:f>
        <x:v>4241.923283261803</x:v>
      </x:c>
      <x:c r="AC58" s="17" t="str">
        <x:v>Не решено</x:v>
      </x:c>
      <x:c r="AD58" s="17" t="str">
        <x:v>Не проверено</x:v>
      </x:c>
      <x:c r="AE58" s="17" t="str">
        <x:v>Не проверено</x:v>
      </x:c>
      <x:c r="AF58" s="17" t="str">
        <x:v>Не проверено</x:v>
      </x:c>
      <x:c r="AG58" s="17" t="str">
        <x:v>Не решено</x:v>
      </x:c>
      <x:c r="AH58" s="17" t="str">
        <x:v>Не проверено</x:v>
      </x:c>
      <x:c r="AI58" s="10" t="str">
        <x:f>IF(AC58="Отклонить","Отклонено",IF(AND(AC58="Взять",COUNTIFS(AD58:AH58,"Да")=5),"Готово","Нужна редактура"))</x:f>
        <x:v>Нужна редактура</x:v>
      </x:c>
      <x:c r="AJ58" s="17" t="str"/>
      <x:c r="AK58" s="9" t="str">
        <x:v>https://www.youtube.com/playlist?list=PLLttfoK87AdVDPNRcYni-j0vG3OHPqRPa</x:v>
      </x:c>
      <x:c r="AL58" s="9" t="n">
        <x:v>8</x:v>
      </x:c>
      <x:c r="AM58" s="9" t="n">
        <x:v>8</x:v>
      </x:c>
      <x:c r="AN58" s="9" t="n">
        <x:v>0</x:v>
      </x:c>
    </x:row>
    <x:row r="59" ht="60" customHeight="1">
      <x:c r="A59" s="9" t="str">
        <x:v>ii_P3Hc8AJo</x:v>
      </x:c>
      <x:c r="B59" s="10" t="str">
        <x:v>קופה ראשית עונה 3🛒 | עוד שישי בסופר - פרק 9</x:v>
      </x:c>
      <x:c r="C59" s="10" t="str">
        <x:v>Повседневность и юмор</x:v>
      </x:c>
      <x:c r="D59" s="9" t="str">
        <x:v>Сериал</x:v>
      </x:c>
      <x:c r="E59" s="10" t="str">
        <x:v>Сериалы; разговорный иврит; новые репатрианты</x:v>
      </x:c>
      <x:c r="F59" s="10" t="str">
        <x:v>B1–B2 (гипотеза)</x:v>
      </x:c>
      <x:c r="G59" s="12" t="n">
        <x:v>23.5</x:v>
      </x:c>
      <x:c r="H59" s="14" t="n">
        <x:v>7730509</x:v>
      </x:c>
      <x:c r="I59" s="15" t="str">
        <x:v>Точный счётчик метаданных видео</x:v>
      </x:c>
      <x:c r="J59" s="14" t="n">
        <x:v>7700000</x:v>
      </x:c>
      <x:c r="K59" s="14" t="n">
        <x:v>7600000</x:v>
      </x:c>
      <x:c r="L59" s="12" t="n">
        <x:f>IF(COUNT(J59:K59)=2,IF(K59=0,"",J59/K59),"")</x:f>
        <x:v>1.013157894736842</x:v>
      </x:c>
      <x:c r="M59" s="10" t="str">
        <x:v>Эпизод 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59" s="10" t="str">
        <x:v>Выбрать диалог 2–4 минуты: просьбы, возражения, разговорные сокращения. Разыграть сцену.</x:v>
      </x:c>
      <x:c r="O59" s="10" t="str">
        <x:v>Сарказм, стереотипы, грубая речь; проверить выпуск</x:v>
      </x:c>
      <x:c r="P59" s="10" t="str">
        <x:v>Полная серия — кандидат</x:v>
      </x:c>
      <x:c r="Q59" s="9" t="str">
        <x:v>Нет</x:v>
      </x:c>
      <x:c r="R59" s="9" t="str">
        <x:v>C003</x:v>
      </x:c>
      <x:c r="S59" s="9" t="str">
        <x:v>C003</x:v>
      </x:c>
      <x:c r="T59" s="10" t="str">
        <x:v>כאן 11 - תאגיד השידור הישראלי</x:v>
      </x:c>
      <x:c r="U59" s="11" t="str">
        <x:v>https://www.youtube.com/watch?v=ii_P3Hc8AJo</x:v>
      </x:c>
      <x:c r="V59" s="16" t="n">
        <x:v>46308</x:v>
      </x:c>
      <x:c r="W59" s="16" t="n">
        <x:v>44451</x:v>
      </x:c>
      <x:c r="X59" s="10" t="str">
        <x:v>Иврит предполагается по заголовку и источнику</x:v>
      </x:c>
      <x:c r="Y59" s="10" t="str">
        <x:v>Дорожка HE не найдена в метаданных; вшитые титры не проверены</x:v>
      </x:c>
      <x:c r="Z59" s="10" t="str">
        <x:v>Разрешено по метаданным</x:v>
      </x:c>
      <x:c r="AA59" s="10" t="str">
        <x:v>Метаданные видео; воспроизведение и содержание не проверены</x:v>
      </x:c>
      <x:c r="AB59" s="13" t="n">
        <x:f>IF(AND(ISNUMBER(H59),ISNUMBER(W59)),H59/MAX(1,'Обзор'!$B$4-W59),"")</x:f>
        <x:v>4162.901992460958</x:v>
      </x:c>
      <x:c r="AC59" s="17" t="str">
        <x:v>Не решено</x:v>
      </x:c>
      <x:c r="AD59" s="17" t="str">
        <x:v>Не проверено</x:v>
      </x:c>
      <x:c r="AE59" s="17" t="str">
        <x:v>Не проверено</x:v>
      </x:c>
      <x:c r="AF59" s="17" t="str">
        <x:v>Не проверено</x:v>
      </x:c>
      <x:c r="AG59" s="17" t="str">
        <x:v>Не решено</x:v>
      </x:c>
      <x:c r="AH59" s="17" t="str">
        <x:v>Не проверено</x:v>
      </x:c>
      <x:c r="AI59" s="10" t="str">
        <x:f>IF(AC59="Отклонить","Отклонено",IF(AND(AC59="Взять",COUNTIFS(AD59:AH59,"Да")=5),"Готово","Нужна редактура"))</x:f>
        <x:v>Нужна редактура</x:v>
      </x:c>
      <x:c r="AJ59" s="17" t="str"/>
      <x:c r="AK59" s="9" t="str">
        <x:v>https://www.youtube.com/playlist?list=PLLttfoK87AdVDPNRcYni-j0vG3OHPqRPa</x:v>
      </x:c>
      <x:c r="AL59" s="9" t="n">
        <x:v>9</x:v>
      </x:c>
      <x:c r="AM59" s="9" t="n">
        <x:v>9</x:v>
      </x:c>
      <x:c r="AN59" s="9" t="n">
        <x:v>0</x:v>
      </x:c>
    </x:row>
    <x:row r="60" ht="60" customHeight="1">
      <x:c r="A60" s="9" t="str">
        <x:v>3RkC309_Ako</x:v>
      </x:c>
      <x:c r="B60" s="10" t="str">
        <x:v>קופה ראשית עונה 3🛒 | סרגיי פלאץ׳ - פרק 10</x:v>
      </x:c>
      <x:c r="C60" s="10" t="str">
        <x:v>Повседневность и юмор</x:v>
      </x:c>
      <x:c r="D60" s="9" t="str">
        <x:v>Сериал</x:v>
      </x:c>
      <x:c r="E60" s="10" t="str">
        <x:v>Сериалы; разговорный иврит; новые репатрианты</x:v>
      </x:c>
      <x:c r="F60" s="10" t="str">
        <x:v>B1–B2 (гипотеза)</x:v>
      </x:c>
      <x:c r="G60" s="12" t="n">
        <x:v>26.2</x:v>
      </x:c>
      <x:c r="H60" s="14" t="n">
        <x:v>9904461</x:v>
      </x:c>
      <x:c r="I60" s="15" t="str">
        <x:v>Точный счётчик метаданных видео</x:v>
      </x:c>
      <x:c r="J60" s="14" t="n">
        <x:v>9900000</x:v>
      </x:c>
      <x:c r="K60" s="14" t="n">
        <x:v>7600000</x:v>
      </x:c>
      <x:c r="L60" s="12" t="n">
        <x:f>IF(COUNT(J60:K60)=2,IF(K60=0,"",J60/K60),"")</x:f>
        <x:v>1.3026315789473684</x:v>
      </x:c>
      <x:c r="M60" s="10" t="str">
        <x:v>Эпизод 10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60" s="10" t="str">
        <x:v>Выбрать диалог 2–4 минуты: просьбы, возражения, разговорные сокращения. Разыграть сцену.</x:v>
      </x:c>
      <x:c r="O60" s="10" t="str">
        <x:v>Сарказм, стереотипы, грубая речь; проверить выпуск</x:v>
      </x:c>
      <x:c r="P60" s="10" t="str">
        <x:v>Полная серия — кандидат</x:v>
      </x:c>
      <x:c r="Q60" s="9" t="str">
        <x:v>Нет</x:v>
      </x:c>
      <x:c r="R60" s="9" t="str">
        <x:v>C003</x:v>
      </x:c>
      <x:c r="S60" s="9" t="str">
        <x:v>C003</x:v>
      </x:c>
      <x:c r="T60" s="10" t="str">
        <x:v>כאן 11 - תאגיד השידור הישראלי</x:v>
      </x:c>
      <x:c r="U60" s="11" t="str">
        <x:v>https://www.youtube.com/watch?v=3RkC309_Ako</x:v>
      </x:c>
      <x:c r="V60" s="16" t="n">
        <x:v>46308</x:v>
      </x:c>
      <x:c r="W60" s="16" t="n">
        <x:v>44458</x:v>
      </x:c>
      <x:c r="X60" s="10" t="str">
        <x:v>Иврит предполагается по заголовку и источнику</x:v>
      </x:c>
      <x:c r="Y60" s="10" t="str">
        <x:v>Дорожка HE не найдена в метаданных; вшитые титры не проверены</x:v>
      </x:c>
      <x:c r="Z60" s="10" t="str">
        <x:v>Разрешено по метаданным</x:v>
      </x:c>
      <x:c r="AA60" s="10" t="str">
        <x:v>Метаданные видео; воспроизведение и содержание не проверены</x:v>
      </x:c>
      <x:c r="AB60" s="13" t="n">
        <x:f>IF(AND(ISNUMBER(H60),ISNUMBER(W60)),H60/MAX(1,'Обзор'!$B$4-W60),"")</x:f>
        <x:v>5353.762702702703</x:v>
      </x:c>
      <x:c r="AC60" s="17" t="str">
        <x:v>Не решено</x:v>
      </x:c>
      <x:c r="AD60" s="17" t="str">
        <x:v>Не проверено</x:v>
      </x:c>
      <x:c r="AE60" s="17" t="str">
        <x:v>Не проверено</x:v>
      </x:c>
      <x:c r="AF60" s="17" t="str">
        <x:v>Не проверено</x:v>
      </x:c>
      <x:c r="AG60" s="17" t="str">
        <x:v>Не решено</x:v>
      </x:c>
      <x:c r="AH60" s="17" t="str">
        <x:v>Не проверено</x:v>
      </x:c>
      <x:c r="AI60" s="10" t="str">
        <x:f>IF(AC60="Отклонить","Отклонено",IF(AND(AC60="Взять",COUNTIFS(AD60:AH60,"Да")=5),"Готово","Нужна редактура"))</x:f>
        <x:v>Нужна редактура</x:v>
      </x:c>
      <x:c r="AJ60" s="17" t="str"/>
      <x:c r="AK60" s="9" t="str">
        <x:v>https://www.youtube.com/playlist?list=PLLttfoK87AdVDPNRcYni-j0vG3OHPqRPa</x:v>
      </x:c>
      <x:c r="AL60" s="9" t="n">
        <x:v>10</x:v>
      </x:c>
      <x:c r="AM60" s="9" t="n">
        <x:v>10</x:v>
      </x:c>
      <x:c r="AN60" s="9" t="n">
        <x:v>0</x:v>
      </x:c>
    </x:row>
    <x:row r="61" ht="60" customHeight="1">
      <x:c r="A61" s="9" t="str">
        <x:v>QMPokM7RoBQ</x:v>
      </x:c>
      <x:c r="B61" s="10" t="str">
        <x:v>מלדאבסקיה פלאצ׳י / התליינים ממולדובה 🇲🇩 | מתוך קופה ראשית עונה 3 פרק 10</x:v>
      </x:c>
      <x:c r="C61" s="10" t="str">
        <x:v>Повседневность и юмор</x:v>
      </x:c>
      <x:c r="D61" s="9" t="str">
        <x:v>Сериал</x:v>
      </x:c>
      <x:c r="E61" s="10" t="str">
        <x:v>Сериалы; разговорный иврит; новые репатрианты</x:v>
      </x:c>
      <x:c r="F61" s="10" t="str">
        <x:v>B1–B2 (гипотеза)</x:v>
      </x:c>
      <x:c r="G61" s="12" t="n">
        <x:v>1.3</x:v>
      </x:c>
      <x:c r="H61" s="14" t="n">
        <x:v>822000</x:v>
      </x:c>
      <x:c r="I61" s="15" t="str">
        <x:v>Округлённый счётчик в списке YouTube</x:v>
      </x:c>
      <x:c r="J61" s="14" t="n">
        <x:v>822000</x:v>
      </x:c>
      <x:c r="K61" s="14" t="n">
        <x:v>7600000</x:v>
      </x:c>
      <x:c r="L61" s="12" t="n">
        <x:f>IF(COUNT(J61:K61)=2,IF(K61=0,"",J61/K61),"")</x:f>
        <x:v>0.1081578947368421</x:v>
      </x:c>
      <x:c r="M61" s="10" t="str">
        <x:v>Эпизод 10 в знакомой сюжетной ветке. Просмотры ниже медианы цикла; выбирать за нишевую ценность, а не за массовый охват.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61" s="10" t="str">
        <x:v>Выбрать диалог 2–4 минуты: просьбы, возражения, разговорные сокращения. Разыграть сцену.</x:v>
      </x:c>
      <x:c r="O61" s="10" t="str">
        <x:v>Сарказм, стереотипы, грубая речь; проверить выпуск</x:v>
      </x:c>
      <x:c r="P61" s="10" t="str">
        <x:v>Фрагмент сериала</x:v>
      </x:c>
      <x:c r="Q61" s="9" t="str">
        <x:v>Нет</x:v>
      </x:c>
      <x:c r="R61" s="9" t="str">
        <x:v>C003</x:v>
      </x:c>
      <x:c r="S61" s="9" t="str">
        <x:v>C003</x:v>
      </x:c>
      <x:c r="T61" s="10" t="str">
        <x:v>כאן 11 - תאגיד השידור הישראלי</x:v>
      </x:c>
      <x:c r="U61" s="11" t="str">
        <x:v>https://www.youtube.com/watch?v=QMPokM7RoBQ</x:v>
      </x:c>
      <x:c r="V61" s="16" t="n">
        <x:v>46308</x:v>
      </x:c>
      <x:c r="W61" s="16"/>
      <x:c r="X61" s="10" t="str">
        <x:v>Иврит предполагается по заголовку и источнику</x:v>
      </x:c>
      <x:c r="Y61" s="10" t="str">
        <x:v>Не проверено</x:v>
      </x:c>
      <x:c r="Z61" s="10" t="str">
        <x:v>Не проверено</x:v>
      </x:c>
      <x:c r="AA61" s="10" t="str">
        <x:v>Метаданные списка; видео не просмотрено</x:v>
      </x:c>
      <x:c r="AB61" s="13" t="str">
        <x:f>IF(AND(ISNUMBER(H61),ISNUMBER(W61)),H61/MAX(1,'Обзор'!$B$4-W61),"")</x:f>
      </x:c>
      <x:c r="AC61" s="17" t="str">
        <x:v>Не решено</x:v>
      </x:c>
      <x:c r="AD61" s="17" t="str">
        <x:v>Не проверено</x:v>
      </x:c>
      <x:c r="AE61" s="17" t="str">
        <x:v>Не проверено</x:v>
      </x:c>
      <x:c r="AF61" s="17" t="str">
        <x:v>Не проверено</x:v>
      </x:c>
      <x:c r="AG61" s="17" t="str">
        <x:v>Не решено</x:v>
      </x:c>
      <x:c r="AH61" s="17" t="str">
        <x:v>Не проверено</x:v>
      </x:c>
      <x:c r="AI61" s="10" t="str">
        <x:f>IF(AC61="Отклонить","Отклонено",IF(AND(AC61="Взять",COUNTIFS(AD61:AH61,"Да")=5),"Готово","Нужна редактура"))</x:f>
        <x:v>Нужна редактура</x:v>
      </x:c>
      <x:c r="AJ61" s="17" t="str"/>
      <x:c r="AK61" s="9" t="str">
        <x:v>https://www.youtube.com/playlist?list=PLLttfoK87AdVDPNRcYni-j0vG3OHPqRPa</x:v>
      </x:c>
      <x:c r="AL61" s="9" t="n">
        <x:v>27</x:v>
      </x:c>
      <x:c r="AM61" s="9" t="n">
        <x:v>10</x:v>
      </x:c>
      <x:c r="AN61" s="9"/>
    </x:row>
    <x:row r="62" ht="60" customHeight="1">
      <x:c r="A62" s="9" t="str">
        <x:v>FMk5wxwdkQc</x:v>
      </x:c>
      <x:c r="B62" s="10" t="str">
        <x:v>קופה ראשית עונה 3🛒 | אמא של טיטינסקי - פרק 11</x:v>
      </x:c>
      <x:c r="C62" s="10" t="str">
        <x:v>Повседневность и юмор</x:v>
      </x:c>
      <x:c r="D62" s="9" t="str">
        <x:v>Сериал</x:v>
      </x:c>
      <x:c r="E62" s="10" t="str">
        <x:v>Сериалы; разговорный иврит; новые репатрианты</x:v>
      </x:c>
      <x:c r="F62" s="10" t="str">
        <x:v>B1–B2 (гипотеза)</x:v>
      </x:c>
      <x:c r="G62" s="12" t="n">
        <x:v>24.8</x:v>
      </x:c>
      <x:c r="H62" s="14" t="n">
        <x:v>7293479</x:v>
      </x:c>
      <x:c r="I62" s="15" t="str">
        <x:v>Точный счётчик метаданных видео</x:v>
      </x:c>
      <x:c r="J62" s="14" t="n">
        <x:v>7200000</x:v>
      </x:c>
      <x:c r="K62" s="14" t="n">
        <x:v>7600000</x:v>
      </x:c>
      <x:c r="L62" s="12" t="n">
        <x:f>IF(COUNT(J62:K62)=2,IF(K62=0,"",J62/K62),"")</x:f>
        <x:v>0.9473684210526315</x:v>
      </x:c>
      <x:c r="M62" s="10" t="str">
        <x:v>Эпизод 11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62" s="10" t="str">
        <x:v>Выбрать диалог 2–4 минуты: просьбы, возражения, разговорные сокращения. Разыграть сцену.</x:v>
      </x:c>
      <x:c r="O62" s="10" t="str">
        <x:v>Сарказм, стереотипы, грубая речь; проверить выпуск</x:v>
      </x:c>
      <x:c r="P62" s="10" t="str">
        <x:v>Полная серия — кандидат</x:v>
      </x:c>
      <x:c r="Q62" s="9" t="str">
        <x:v>Нет</x:v>
      </x:c>
      <x:c r="R62" s="9" t="str">
        <x:v>C003</x:v>
      </x:c>
      <x:c r="S62" s="9" t="str">
        <x:v>C003</x:v>
      </x:c>
      <x:c r="T62" s="10" t="str">
        <x:v>כאן 11 - תאגיד השידור הישראלי</x:v>
      </x:c>
      <x:c r="U62" s="11" t="str">
        <x:v>https://www.youtube.com/watch?v=FMk5wxwdkQc</x:v>
      </x:c>
      <x:c r="V62" s="16" t="n">
        <x:v>46308</x:v>
      </x:c>
      <x:c r="W62" s="16" t="n">
        <x:v>44465</x:v>
      </x:c>
      <x:c r="X62" s="10" t="str">
        <x:v>Иврит предполагается по заголовку и источнику</x:v>
      </x:c>
      <x:c r="Y62" s="10" t="str">
        <x:v>Дорожка HE не найдена в метаданных; вшитые титры не проверены</x:v>
      </x:c>
      <x:c r="Z62" s="10" t="str">
        <x:v>Разрешено по метаданным</x:v>
      </x:c>
      <x:c r="AA62" s="10" t="str">
        <x:v>Метаданные видео; воспроизведение и содержание не проверены</x:v>
      </x:c>
      <x:c r="AB62" s="13" t="n">
        <x:f>IF(AND(ISNUMBER(H62),ISNUMBER(W62)),H62/MAX(1,'Обзор'!$B$4-W62),"")</x:f>
        <x:v>3957.395008138904</x:v>
      </x:c>
      <x:c r="AC62" s="17" t="str">
        <x:v>Не решено</x:v>
      </x:c>
      <x:c r="AD62" s="17" t="str">
        <x:v>Не проверено</x:v>
      </x:c>
      <x:c r="AE62" s="17" t="str">
        <x:v>Не проверено</x:v>
      </x:c>
      <x:c r="AF62" s="17" t="str">
        <x:v>Не проверено</x:v>
      </x:c>
      <x:c r="AG62" s="17" t="str">
        <x:v>Не решено</x:v>
      </x:c>
      <x:c r="AH62" s="17" t="str">
        <x:v>Не проверено</x:v>
      </x:c>
      <x:c r="AI62" s="10" t="str">
        <x:f>IF(AC62="Отклонить","Отклонено",IF(AND(AC62="Взять",COUNTIFS(AD62:AH62,"Да")=5),"Готово","Нужна редактура"))</x:f>
        <x:v>Нужна редактура</x:v>
      </x:c>
      <x:c r="AJ62" s="17" t="str"/>
      <x:c r="AK62" s="9" t="str">
        <x:v>https://www.youtube.com/playlist?list=PLLttfoK87AdVDPNRcYni-j0vG3OHPqRPa</x:v>
      </x:c>
      <x:c r="AL62" s="9" t="n">
        <x:v>11</x:v>
      </x:c>
      <x:c r="AM62" s="9" t="n">
        <x:v>11</x:v>
      </x:c>
      <x:c r="AN62" s="9" t="n">
        <x:v>0</x:v>
      </x:c>
    </x:row>
    <x:row r="63" ht="60" customHeight="1">
      <x:c r="A63" s="9" t="str">
        <x:v>cUfwFKT4DvA</x:v>
      </x:c>
      <x:c r="B63" s="10" t="str">
        <x:v>קופה ראשית עונה 3🛒 | אבא של טיטינסקי - פרק 12</x:v>
      </x:c>
      <x:c r="C63" s="10" t="str">
        <x:v>Повседневность и юмор</x:v>
      </x:c>
      <x:c r="D63" s="9" t="str">
        <x:v>Сериал</x:v>
      </x:c>
      <x:c r="E63" s="10" t="str">
        <x:v>Сериалы; разговорный иврит; новые репатрианты</x:v>
      </x:c>
      <x:c r="F63" s="10" t="str">
        <x:v>B1–B2 (гипотеза)</x:v>
      </x:c>
      <x:c r="G63" s="12" t="n">
        <x:v>25.4</x:v>
      </x:c>
      <x:c r="H63" s="14" t="n">
        <x:v>6771227</x:v>
      </x:c>
      <x:c r="I63" s="15" t="str">
        <x:v>Точный счётчик метаданных видео</x:v>
      </x:c>
      <x:c r="J63" s="14" t="n">
        <x:v>6700000</x:v>
      </x:c>
      <x:c r="K63" s="14" t="n">
        <x:v>7600000</x:v>
      </x:c>
      <x:c r="L63" s="12" t="n">
        <x:f>IF(COUNT(J63:K63)=2,IF(K63=0,"",J63/K63),"")</x:f>
        <x:v>0.881578947368421</x:v>
      </x:c>
      <x:c r="M63" s="10" t="str">
        <x:v>Эпизод 12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63" s="10" t="str">
        <x:v>Выбрать диалог 2–4 минуты: просьбы, возражения, разговорные сокращения. Разыграть сцену.</x:v>
      </x:c>
      <x:c r="O63" s="10" t="str">
        <x:v>Сарказм, стереотипы, грубая речь; проверить выпуск</x:v>
      </x:c>
      <x:c r="P63" s="10" t="str">
        <x:v>Полная серия — кандидат</x:v>
      </x:c>
      <x:c r="Q63" s="9" t="str">
        <x:v>Нет</x:v>
      </x:c>
      <x:c r="R63" s="9" t="str">
        <x:v>C003</x:v>
      </x:c>
      <x:c r="S63" s="9" t="str">
        <x:v>C003</x:v>
      </x:c>
      <x:c r="T63" s="10" t="str">
        <x:v>כאן 11 - תאגיד השידור הישראלי</x:v>
      </x:c>
      <x:c r="U63" s="11" t="str">
        <x:v>https://www.youtube.com/watch?v=cUfwFKT4DvA</x:v>
      </x:c>
      <x:c r="V63" s="16" t="n">
        <x:v>46308</x:v>
      </x:c>
      <x:c r="W63" s="16" t="n">
        <x:v>44472</x:v>
      </x:c>
      <x:c r="X63" s="10" t="str">
        <x:v>Иврит предполагается по заголовку и источнику</x:v>
      </x:c>
      <x:c r="Y63" s="10" t="str">
        <x:v>Дорожка HE не найдена в метаданных; вшитые титры не проверены</x:v>
      </x:c>
      <x:c r="Z63" s="10" t="str">
        <x:v>Разрешено по метаданным</x:v>
      </x:c>
      <x:c r="AA63" s="10" t="str">
        <x:v>Метаданные видео; воспроизведение и содержание не проверены</x:v>
      </x:c>
      <x:c r="AB63" s="13" t="n">
        <x:f>IF(AND(ISNUMBER(H63),ISNUMBER(W63)),H63/MAX(1,'Обзор'!$B$4-W63),"")</x:f>
        <x:v>3688.032135076253</x:v>
      </x:c>
      <x:c r="AC63" s="17" t="str">
        <x:v>Не решено</x:v>
      </x:c>
      <x:c r="AD63" s="17" t="str">
        <x:v>Не проверено</x:v>
      </x:c>
      <x:c r="AE63" s="17" t="str">
        <x:v>Не проверено</x:v>
      </x:c>
      <x:c r="AF63" s="17" t="str">
        <x:v>Не проверено</x:v>
      </x:c>
      <x:c r="AG63" s="17" t="str">
        <x:v>Не решено</x:v>
      </x:c>
      <x:c r="AH63" s="17" t="str">
        <x:v>Не проверено</x:v>
      </x:c>
      <x:c r="AI63" s="10" t="str">
        <x:f>IF(AC63="Отклонить","Отклонено",IF(AND(AC63="Взять",COUNTIFS(AD63:AH63,"Да")=5),"Готово","Нужна редактура"))</x:f>
        <x:v>Нужна редактура</x:v>
      </x:c>
      <x:c r="AJ63" s="17" t="str"/>
      <x:c r="AK63" s="9" t="str">
        <x:v>https://www.youtube.com/playlist?list=PLLttfoK87AdVDPNRcYni-j0vG3OHPqRPa</x:v>
      </x:c>
      <x:c r="AL63" s="9" t="n">
        <x:v>12</x:v>
      </x:c>
      <x:c r="AM63" s="9" t="n">
        <x:v>12</x:v>
      </x:c>
      <x:c r="AN63" s="9" t="n">
        <x:v>0</x:v>
      </x:c>
    </x:row>
    <x:row r="64" ht="60" customHeight="1">
      <x:c r="A64" s="9" t="str">
        <x:v>q8Nq-xNxUjo</x:v>
      </x:c>
      <x:c r="B64" s="10" t="str">
        <x:v>קופה ראשית עונה 3🛒 | דקלה - פרק 13</x:v>
      </x:c>
      <x:c r="C64" s="10" t="str">
        <x:v>Повседневность и юмор</x:v>
      </x:c>
      <x:c r="D64" s="9" t="str">
        <x:v>Сериал</x:v>
      </x:c>
      <x:c r="E64" s="10" t="str">
        <x:v>Сериалы; разговорный иврит; новые репатрианты</x:v>
      </x:c>
      <x:c r="F64" s="10" t="str">
        <x:v>B1–B2 (гипотеза)</x:v>
      </x:c>
      <x:c r="G64" s="12" t="n">
        <x:v>26.2</x:v>
      </x:c>
      <x:c r="H64" s="14" t="n">
        <x:v>7590799</x:v>
      </x:c>
      <x:c r="I64" s="15" t="str">
        <x:v>Точный счётчик метаданных видео</x:v>
      </x:c>
      <x:c r="J64" s="14" t="n">
        <x:v>7500000</x:v>
      </x:c>
      <x:c r="K64" s="14" t="n">
        <x:v>7600000</x:v>
      </x:c>
      <x:c r="L64" s="12" t="n">
        <x:f>IF(COUNT(J64:K64)=2,IF(K64=0,"",J64/K64),"")</x:f>
        <x:v>0.9868421052631579</x:v>
      </x:c>
      <x:c r="M64" s="10" t="str">
        <x:v>Эпизод 13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64" s="10" t="str">
        <x:v>Выбрать диалог 2–4 минуты: просьбы, возражения, разговорные сокращения. Разыграть сцену.</x:v>
      </x:c>
      <x:c r="O64" s="10" t="str">
        <x:v>Сарказм, стереотипы, грубая речь; проверить выпуск</x:v>
      </x:c>
      <x:c r="P64" s="10" t="str">
        <x:v>Полная серия — кандидат</x:v>
      </x:c>
      <x:c r="Q64" s="9" t="str">
        <x:v>Нет</x:v>
      </x:c>
      <x:c r="R64" s="9" t="str">
        <x:v>C003</x:v>
      </x:c>
      <x:c r="S64" s="9" t="str">
        <x:v>C003</x:v>
      </x:c>
      <x:c r="T64" s="10" t="str">
        <x:v>כאן 11 - תאגיד השידור הישראלי</x:v>
      </x:c>
      <x:c r="U64" s="11" t="str">
        <x:v>https://www.youtube.com/watch?v=q8Nq-xNxUjo</x:v>
      </x:c>
      <x:c r="V64" s="16" t="n">
        <x:v>46308</x:v>
      </x:c>
      <x:c r="W64" s="16" t="n">
        <x:v>44479</x:v>
      </x:c>
      <x:c r="X64" s="10" t="str">
        <x:v>Иврит предполагается по заголовку и источнику</x:v>
      </x:c>
      <x:c r="Y64" s="10" t="str">
        <x:v>Дорожка HE не найдена в метаданных; вшитые титры не проверены</x:v>
      </x:c>
      <x:c r="Z64" s="10" t="str">
        <x:v>Разрешено по метаданным</x:v>
      </x:c>
      <x:c r="AA64" s="10" t="str">
        <x:v>Метаданные видео; воспроизведение и содержание не проверены</x:v>
      </x:c>
      <x:c r="AB64" s="13" t="n">
        <x:f>IF(AND(ISNUMBER(H64),ISNUMBER(W64)),H64/MAX(1,'Обзор'!$B$4-W64),"")</x:f>
        <x:v>4150.2454893384365</x:v>
      </x:c>
      <x:c r="AC64" s="17" t="str">
        <x:v>Не решено</x:v>
      </x:c>
      <x:c r="AD64" s="17" t="str">
        <x:v>Не проверено</x:v>
      </x:c>
      <x:c r="AE64" s="17" t="str">
        <x:v>Не проверено</x:v>
      </x:c>
      <x:c r="AF64" s="17" t="str">
        <x:v>Не проверено</x:v>
      </x:c>
      <x:c r="AG64" s="17" t="str">
        <x:v>Не решено</x:v>
      </x:c>
      <x:c r="AH64" s="17" t="str">
        <x:v>Не проверено</x:v>
      </x:c>
      <x:c r="AI64" s="10" t="str">
        <x:f>IF(AC64="Отклонить","Отклонено",IF(AND(AC64="Взять",COUNTIFS(AD64:AH64,"Да")=5),"Готово","Нужна редактура"))</x:f>
        <x:v>Нужна редактура</x:v>
      </x:c>
      <x:c r="AJ64" s="17" t="str"/>
      <x:c r="AK64" s="9" t="str">
        <x:v>https://www.youtube.com/playlist?list=PLLttfoK87AdVDPNRcYni-j0vG3OHPqRPa</x:v>
      </x:c>
      <x:c r="AL64" s="9" t="n">
        <x:v>13</x:v>
      </x:c>
      <x:c r="AM64" s="9" t="n">
        <x:v>13</x:v>
      </x:c>
      <x:c r="AN64" s="9" t="n">
        <x:v>0</x:v>
      </x:c>
    </x:row>
    <x:row r="65" ht="60" customHeight="1">
      <x:c r="A65" s="9" t="str">
        <x:v>iceLA7lhoEI</x:v>
      </x:c>
      <x:c r="B65" s="10" t="str">
        <x:v>קופה ראשית עונה 3🛒 | ראמזי טהור לעד - פרק 14</x:v>
      </x:c>
      <x:c r="C65" s="10" t="str">
        <x:v>Повседневность и юмор</x:v>
      </x:c>
      <x:c r="D65" s="9" t="str">
        <x:v>Сериал</x:v>
      </x:c>
      <x:c r="E65" s="10" t="str">
        <x:v>Сериалы; разговорный иврит; новые репатрианты</x:v>
      </x:c>
      <x:c r="F65" s="10" t="str">
        <x:v>B1–B2 (гипотеза)</x:v>
      </x:c>
      <x:c r="G65" s="12" t="n">
        <x:v>25.3</x:v>
      </x:c>
      <x:c r="H65" s="14" t="n">
        <x:v>6363965</x:v>
      </x:c>
      <x:c r="I65" s="15" t="str">
        <x:v>Точный счётчик метаданных видео</x:v>
      </x:c>
      <x:c r="J65" s="14" t="n">
        <x:v>6300000</x:v>
      </x:c>
      <x:c r="K65" s="14" t="n">
        <x:v>7600000</x:v>
      </x:c>
      <x:c r="L65" s="12" t="n">
        <x:f>IF(COUNT(J65:K65)=2,IF(K65=0,"",J65/K65),"")</x:f>
        <x:v>0.8289473684210527</x:v>
      </x:c>
      <x:c r="M65" s="10" t="str">
        <x:v>Эпизод 14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65" s="10" t="str">
        <x:v>Выбрать диалог 2–4 минуты: просьбы, возражения, разговорные сокращения. Разыграть сцену.</x:v>
      </x:c>
      <x:c r="O65" s="10" t="str">
        <x:v>Сарказм, стереотипы, грубая речь; проверить выпуск</x:v>
      </x:c>
      <x:c r="P65" s="10" t="str">
        <x:v>Полная серия — кандидат</x:v>
      </x:c>
      <x:c r="Q65" s="9" t="str">
        <x:v>Нет</x:v>
      </x:c>
      <x:c r="R65" s="9" t="str">
        <x:v>C003</x:v>
      </x:c>
      <x:c r="S65" s="9" t="str">
        <x:v>C003</x:v>
      </x:c>
      <x:c r="T65" s="10" t="str">
        <x:v>כאן 11 - תאגיד השידור הישראלי</x:v>
      </x:c>
      <x:c r="U65" s="11" t="str">
        <x:v>https://www.youtube.com/watch?v=iceLA7lhoEI</x:v>
      </x:c>
      <x:c r="V65" s="16" t="n">
        <x:v>46308</x:v>
      </x:c>
      <x:c r="W65" s="16" t="n">
        <x:v>44486</x:v>
      </x:c>
      <x:c r="X65" s="10" t="str">
        <x:v>Иврит предполагается по заголовку и источнику</x:v>
      </x:c>
      <x:c r="Y65" s="10" t="str">
        <x:v>Автоматическая дорожка HE по метаданным</x:v>
      </x:c>
      <x:c r="Z65" s="10" t="str">
        <x:v>Разрешено по метаданным</x:v>
      </x:c>
      <x:c r="AA65" s="10" t="str">
        <x:v>Метаданные видео; воспроизведение и содержание не проверены</x:v>
      </x:c>
      <x:c r="AB65" s="13" t="n">
        <x:f>IF(AND(ISNUMBER(H65),ISNUMBER(W65)),H65/MAX(1,'Обзор'!$B$4-W65),"")</x:f>
        <x:v>3492.845773874863</x:v>
      </x:c>
      <x:c r="AC65" s="17" t="str">
        <x:v>Не решено</x:v>
      </x:c>
      <x:c r="AD65" s="17" t="str">
        <x:v>Не проверено</x:v>
      </x:c>
      <x:c r="AE65" s="17" t="str">
        <x:v>Не проверено</x:v>
      </x:c>
      <x:c r="AF65" s="17" t="str">
        <x:v>Не проверено</x:v>
      </x:c>
      <x:c r="AG65" s="17" t="str">
        <x:v>Не решено</x:v>
      </x:c>
      <x:c r="AH65" s="17" t="str">
        <x:v>Не проверено</x:v>
      </x:c>
      <x:c r="AI65" s="10" t="str">
        <x:f>IF(AC65="Отклонить","Отклонено",IF(AND(AC65="Взять",COUNTIFS(AD65:AH65,"Да")=5),"Готово","Нужна редактура"))</x:f>
        <x:v>Нужна редактура</x:v>
      </x:c>
      <x:c r="AJ65" s="17" t="str"/>
      <x:c r="AK65" s="9" t="str">
        <x:v>https://www.youtube.com/playlist?list=PLLttfoK87AdVDPNRcYni-j0vG3OHPqRPa</x:v>
      </x:c>
      <x:c r="AL65" s="9" t="n">
        <x:v>14</x:v>
      </x:c>
      <x:c r="AM65" s="9" t="n">
        <x:v>14</x:v>
      </x:c>
      <x:c r="AN65" s="9" t="n">
        <x:v>0</x:v>
      </x:c>
    </x:row>
    <x:row r="66" ht="60" customHeight="1">
      <x:c r="A66" s="9" t="str">
        <x:v>b_cJIoOQCSw</x:v>
      </x:c>
      <x:c r="B66" s="10" t="str">
        <x:v>קופה ראשית עונה 3🛒 | עקיצות - פרק 15</x:v>
      </x:c>
      <x:c r="C66" s="10" t="str">
        <x:v>Повседневность и юмор</x:v>
      </x:c>
      <x:c r="D66" s="9" t="str">
        <x:v>Сериал</x:v>
      </x:c>
      <x:c r="E66" s="10" t="str">
        <x:v>Сериалы; разговорный иврит; новые репатрианты</x:v>
      </x:c>
      <x:c r="F66" s="10" t="str">
        <x:v>B1–B2 (гипотеза)</x:v>
      </x:c>
      <x:c r="G66" s="12" t="n">
        <x:v>24.6</x:v>
      </x:c>
      <x:c r="H66" s="14" t="n">
        <x:v>6822935</x:v>
      </x:c>
      <x:c r="I66" s="15" t="str">
        <x:v>Точный счётчик метаданных видео</x:v>
      </x:c>
      <x:c r="J66" s="14" t="n">
        <x:v>6800000</x:v>
      </x:c>
      <x:c r="K66" s="14" t="n">
        <x:v>7600000</x:v>
      </x:c>
      <x:c r="L66" s="12" t="n">
        <x:f>IF(COUNT(J66:K66)=2,IF(K66=0,"",J66/K66),"")</x:f>
        <x:v>0.8947368421052632</x:v>
      </x:c>
      <x:c r="M66" s="10" t="str">
        <x:v>Эпизод 15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66" s="10" t="str">
        <x:v>Выбрать диалог 2–4 минуты: просьбы, возражения, разговорные сокращения. Разыграть сцену.</x:v>
      </x:c>
      <x:c r="O66" s="10" t="str">
        <x:v>Сарказм, стереотипы, грубая речь; проверить выпуск</x:v>
      </x:c>
      <x:c r="P66" s="10" t="str">
        <x:v>Полная серия — кандидат</x:v>
      </x:c>
      <x:c r="Q66" s="9" t="str">
        <x:v>Нет</x:v>
      </x:c>
      <x:c r="R66" s="9" t="str">
        <x:v>C003</x:v>
      </x:c>
      <x:c r="S66" s="9" t="str">
        <x:v>C003</x:v>
      </x:c>
      <x:c r="T66" s="10" t="str">
        <x:v>כאן 11 - תאגיד השידור הישראלי</x:v>
      </x:c>
      <x:c r="U66" s="11" t="str">
        <x:v>https://www.youtube.com/watch?v=b_cJIoOQCSw</x:v>
      </x:c>
      <x:c r="V66" s="16" t="n">
        <x:v>46308</x:v>
      </x:c>
      <x:c r="W66" s="16" t="n">
        <x:v>44493</x:v>
      </x:c>
      <x:c r="X66" s="10" t="str">
        <x:v>Иврит предполагается по заголовку и источнику</x:v>
      </x:c>
      <x:c r="Y66" s="10" t="str">
        <x:v>Автоматическая дорожка HE по метаданным</x:v>
      </x:c>
      <x:c r="Z66" s="10" t="str">
        <x:v>Разрешено по метаданным</x:v>
      </x:c>
      <x:c r="AA66" s="10" t="str">
        <x:v>Метаданные видео; воспроизведение и содержание не проверены</x:v>
      </x:c>
      <x:c r="AB66" s="13" t="n">
        <x:f>IF(AND(ISNUMBER(H66),ISNUMBER(W66)),H66/MAX(1,'Обзор'!$B$4-W66),"")</x:f>
        <x:v>3759.192837465565</x:v>
      </x:c>
      <x:c r="AC66" s="17" t="str">
        <x:v>Не решено</x:v>
      </x:c>
      <x:c r="AD66" s="17" t="str">
        <x:v>Не проверено</x:v>
      </x:c>
      <x:c r="AE66" s="17" t="str">
        <x:v>Не проверено</x:v>
      </x:c>
      <x:c r="AF66" s="17" t="str">
        <x:v>Не проверено</x:v>
      </x:c>
      <x:c r="AG66" s="17" t="str">
        <x:v>Не решено</x:v>
      </x:c>
      <x:c r="AH66" s="17" t="str">
        <x:v>Не проверено</x:v>
      </x:c>
      <x:c r="AI66" s="10" t="str">
        <x:f>IF(AC66="Отклонить","Отклонено",IF(AND(AC66="Взять",COUNTIFS(AD66:AH66,"Да")=5),"Готово","Нужна редактура"))</x:f>
        <x:v>Нужна редактура</x:v>
      </x:c>
      <x:c r="AJ66" s="17" t="str"/>
      <x:c r="AK66" s="9" t="str">
        <x:v>https://www.youtube.com/playlist?list=PLLttfoK87AdVDPNRcYni-j0vG3OHPqRPa</x:v>
      </x:c>
      <x:c r="AL66" s="9" t="n">
        <x:v>15</x:v>
      </x:c>
      <x:c r="AM66" s="9" t="n">
        <x:v>15</x:v>
      </x:c>
      <x:c r="AN66" s="9" t="n">
        <x:v>0</x:v>
      </x:c>
    </x:row>
    <x:row r="67" ht="60" customHeight="1">
      <x:c r="A67" s="9" t="str">
        <x:v>zf_bnvCIzeM</x:v>
      </x:c>
      <x:c r="B67" s="10" t="str">
        <x:v>קופה ראשית עונה 3🛒 | קקפונים - פרק 16</x:v>
      </x:c>
      <x:c r="C67" s="10" t="str">
        <x:v>Повседневность и юмор</x:v>
      </x:c>
      <x:c r="D67" s="9" t="str">
        <x:v>Сериал</x:v>
      </x:c>
      <x:c r="E67" s="10" t="str">
        <x:v>Сериалы; разговорный иврит; новые репатрианты</x:v>
      </x:c>
      <x:c r="F67" s="10" t="str">
        <x:v>B1–B2 (гипотеза)</x:v>
      </x:c>
      <x:c r="G67" s="12" t="n">
        <x:v>22.6</x:v>
      </x:c>
      <x:c r="H67" s="14" t="n">
        <x:v>5205451</x:v>
      </x:c>
      <x:c r="I67" s="15" t="str">
        <x:v>Точный счётчик метаданных видео</x:v>
      </x:c>
      <x:c r="J67" s="14" t="n">
        <x:v>5200000</x:v>
      </x:c>
      <x:c r="K67" s="14" t="n">
        <x:v>7600000</x:v>
      </x:c>
      <x:c r="L67" s="12" t="n">
        <x:f>IF(COUNT(J67:K67)=2,IF(K67=0,"",J67/K67),"")</x:f>
        <x:v>0.6842105263157895</x:v>
      </x:c>
      <x:c r="M67" s="10" t="str">
        <x:v>Эпизод 16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67" s="10" t="str">
        <x:v>Выбрать диалог 2–4 минуты: просьбы, возражения, разговорные сокращения. Разыграть сцену.</x:v>
      </x:c>
      <x:c r="O67" s="10" t="str">
        <x:v>Сарказм, стереотипы, грубая речь; проверить выпуск</x:v>
      </x:c>
      <x:c r="P67" s="10" t="str">
        <x:v>Полная серия — кандидат</x:v>
      </x:c>
      <x:c r="Q67" s="9" t="str">
        <x:v>Нет</x:v>
      </x:c>
      <x:c r="R67" s="9" t="str">
        <x:v>C003</x:v>
      </x:c>
      <x:c r="S67" s="9" t="str">
        <x:v>C003</x:v>
      </x:c>
      <x:c r="T67" s="10" t="str">
        <x:v>כאן 11 - תאגיד השידור הישראלי</x:v>
      </x:c>
      <x:c r="U67" s="11" t="str">
        <x:v>https://www.youtube.com/watch?v=zf_bnvCIzeM</x:v>
      </x:c>
      <x:c r="V67" s="16" t="n">
        <x:v>46308</x:v>
      </x:c>
      <x:c r="W67" s="16" t="n">
        <x:v>44500</x:v>
      </x:c>
      <x:c r="X67" s="10" t="str">
        <x:v>Иврит предполагается по заголовку и источнику</x:v>
      </x:c>
      <x:c r="Y67" s="10" t="str">
        <x:v>Дорожка HE не найдена в метаданных; вшитые титры не проверены</x:v>
      </x:c>
      <x:c r="Z67" s="10" t="str">
        <x:v>Разрешено по метаданным</x:v>
      </x:c>
      <x:c r="AA67" s="10" t="str">
        <x:v>Метаданные видео; воспроизведение и содержание не проверены</x:v>
      </x:c>
      <x:c r="AB67" s="13" t="n">
        <x:f>IF(AND(ISNUMBER(H67),ISNUMBER(W67)),H67/MAX(1,'Обзор'!$B$4-W67),"")</x:f>
        <x:v>2879.121128318584</x:v>
      </x:c>
      <x:c r="AC67" s="17" t="str">
        <x:v>Не решено</x:v>
      </x:c>
      <x:c r="AD67" s="17" t="str">
        <x:v>Не проверено</x:v>
      </x:c>
      <x:c r="AE67" s="17" t="str">
        <x:v>Не проверено</x:v>
      </x:c>
      <x:c r="AF67" s="17" t="str">
        <x:v>Не проверено</x:v>
      </x:c>
      <x:c r="AG67" s="17" t="str">
        <x:v>Не решено</x:v>
      </x:c>
      <x:c r="AH67" s="17" t="str">
        <x:v>Не проверено</x:v>
      </x:c>
      <x:c r="AI67" s="10" t="str">
        <x:f>IF(AC67="Отклонить","Отклонено",IF(AND(AC67="Взять",COUNTIFS(AD67:AH67,"Да")=5),"Готово","Нужна редактура"))</x:f>
        <x:v>Нужна редактура</x:v>
      </x:c>
      <x:c r="AJ67" s="17" t="str"/>
      <x:c r="AK67" s="9" t="str">
        <x:v>https://www.youtube.com/playlist?list=PLLttfoK87AdVDPNRcYni-j0vG3OHPqRPa</x:v>
      </x:c>
      <x:c r="AL67" s="9" t="n">
        <x:v>16</x:v>
      </x:c>
      <x:c r="AM67" s="9" t="n">
        <x:v>16</x:v>
      </x:c>
      <x:c r="AN67" s="9" t="n">
        <x:v>0</x:v>
      </x:c>
    </x:row>
    <x:row r="68" ht="60" customHeight="1">
      <x:c r="A68" s="9" t="str">
        <x:v>ShyPwmDHUd0</x:v>
      </x:c>
      <x:c r="B68" s="10" t="str">
        <x:v>קופה ראשית עונה 3🛒 | שוד ושבר - פרק 17</x:v>
      </x:c>
      <x:c r="C68" s="10" t="str">
        <x:v>Повседневность и юмор</x:v>
      </x:c>
      <x:c r="D68" s="9" t="str">
        <x:v>Сериал</x:v>
      </x:c>
      <x:c r="E68" s="10" t="str">
        <x:v>Сериалы; разговорный иврит; новые репатрианты</x:v>
      </x:c>
      <x:c r="F68" s="10" t="str">
        <x:v>B1–B2 (гипотеза)</x:v>
      </x:c>
      <x:c r="G68" s="12" t="n">
        <x:v>26.8</x:v>
      </x:c>
      <x:c r="H68" s="14" t="n">
        <x:v>8988860</x:v>
      </x:c>
      <x:c r="I68" s="15" t="str">
        <x:v>Точный счётчик метаданных видео</x:v>
      </x:c>
      <x:c r="J68" s="14" t="n">
        <x:v>8900000</x:v>
      </x:c>
      <x:c r="K68" s="14" t="n">
        <x:v>7600000</x:v>
      </x:c>
      <x:c r="L68" s="12" t="n">
        <x:f>IF(COUNT(J68:K68)=2,IF(K68=0,"",J68/K68),"")</x:f>
        <x:v>1.1710526315789473</x:v>
      </x:c>
      <x:c r="M68" s="10" t="str">
        <x:v>Эпизод 17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68" s="10" t="str">
        <x:v>Выбрать диалог 2–4 минуты: просьбы, возражения, разговорные сокращения. Разыграть сцену.</x:v>
      </x:c>
      <x:c r="O68" s="10" t="str">
        <x:v>Сарказм, стереотипы, грубая речь; проверить выпуск</x:v>
      </x:c>
      <x:c r="P68" s="10" t="str">
        <x:v>Полная серия — кандидат</x:v>
      </x:c>
      <x:c r="Q68" s="9" t="str">
        <x:v>Нет</x:v>
      </x:c>
      <x:c r="R68" s="9" t="str">
        <x:v>C003</x:v>
      </x:c>
      <x:c r="S68" s="9" t="str">
        <x:v>C003</x:v>
      </x:c>
      <x:c r="T68" s="10" t="str">
        <x:v>כאן 11 - תאגיד השידור הישראלי</x:v>
      </x:c>
      <x:c r="U68" s="11" t="str">
        <x:v>https://www.youtube.com/watch?v=ShyPwmDHUd0</x:v>
      </x:c>
      <x:c r="V68" s="16" t="n">
        <x:v>46308</x:v>
      </x:c>
      <x:c r="W68" s="16" t="n">
        <x:v>44507</x:v>
      </x:c>
      <x:c r="X68" s="10" t="str">
        <x:v>Иврит предполагается по заголовку и источнику</x:v>
      </x:c>
      <x:c r="Y68" s="10" t="str">
        <x:v>Дорожка HE не найдена в метаданных; вшитые титры не проверены</x:v>
      </x:c>
      <x:c r="Z68" s="10" t="str">
        <x:v>Разрешено по метаданным</x:v>
      </x:c>
      <x:c r="AA68" s="10" t="str">
        <x:v>Метаданные видео; воспроизведение и содержание не проверены</x:v>
      </x:c>
      <x:c r="AB68" s="13" t="n">
        <x:f>IF(AND(ISNUMBER(H68),ISNUMBER(W68)),H68/MAX(1,'Обзор'!$B$4-W68),"")</x:f>
        <x:v>4991.038312048861</x:v>
      </x:c>
      <x:c r="AC68" s="17" t="str">
        <x:v>Не решено</x:v>
      </x:c>
      <x:c r="AD68" s="17" t="str">
        <x:v>Не проверено</x:v>
      </x:c>
      <x:c r="AE68" s="17" t="str">
        <x:v>Не проверено</x:v>
      </x:c>
      <x:c r="AF68" s="17" t="str">
        <x:v>Не проверено</x:v>
      </x:c>
      <x:c r="AG68" s="17" t="str">
        <x:v>Не решено</x:v>
      </x:c>
      <x:c r="AH68" s="17" t="str">
        <x:v>Не проверено</x:v>
      </x:c>
      <x:c r="AI68" s="10" t="str">
        <x:f>IF(AC68="Отклонить","Отклонено",IF(AND(AC68="Взять",COUNTIFS(AD68:AH68,"Да")=5),"Готово","Нужна редактура"))</x:f>
        <x:v>Нужна редактура</x:v>
      </x:c>
      <x:c r="AJ68" s="17" t="str"/>
      <x:c r="AK68" s="9" t="str">
        <x:v>https://www.youtube.com/playlist?list=PLLttfoK87AdVDPNRcYni-j0vG3OHPqRPa</x:v>
      </x:c>
      <x:c r="AL68" s="9" t="n">
        <x:v>17</x:v>
      </x:c>
      <x:c r="AM68" s="9" t="n">
        <x:v>17</x:v>
      </x:c>
      <x:c r="AN68" s="9" t="n">
        <x:v>0</x:v>
      </x:c>
    </x:row>
    <x:row r="69" ht="60" customHeight="1">
      <x:c r="A69" s="9" t="str">
        <x:v>FOfV6mUDlfI</x:v>
      </x:c>
      <x:c r="B69" s="10" t="str">
        <x:v>קופה ראשית עונה 3🛒 | מאשה חודש תשע  - פרק 18</x:v>
      </x:c>
      <x:c r="C69" s="10" t="str">
        <x:v>Повседневность и юмор</x:v>
      </x:c>
      <x:c r="D69" s="9" t="str">
        <x:v>Сериал</x:v>
      </x:c>
      <x:c r="E69" s="10" t="str">
        <x:v>Сериалы; разговорный иврит; новые репатрианты</x:v>
      </x:c>
      <x:c r="F69" s="10" t="str">
        <x:v>B1–B2 (гипотеза)</x:v>
      </x:c>
      <x:c r="G69" s="12" t="n">
        <x:v>24</x:v>
      </x:c>
      <x:c r="H69" s="14" t="n">
        <x:v>5569451</x:v>
      </x:c>
      <x:c r="I69" s="15" t="str">
        <x:v>Точный счётчик метаданных видео</x:v>
      </x:c>
      <x:c r="J69" s="14" t="n">
        <x:v>5500000</x:v>
      </x:c>
      <x:c r="K69" s="14" t="n">
        <x:v>7600000</x:v>
      </x:c>
      <x:c r="L69" s="12" t="n">
        <x:f>IF(COUNT(J69:K69)=2,IF(K69=0,"",J69/K69),"")</x:f>
        <x:v>0.7236842105263158</x:v>
      </x:c>
      <x:c r="M69" s="10" t="str">
        <x:v>Эпизод 18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69" s="10" t="str">
        <x:v>Выбрать диалог 2–4 минуты: просьбы, возражения, разговорные сокращения. Разыграть сцену.</x:v>
      </x:c>
      <x:c r="O69" s="10" t="str">
        <x:v>Сарказм, стереотипы, грубая речь; проверить выпуск</x:v>
      </x:c>
      <x:c r="P69" s="10" t="str">
        <x:v>Полная серия — кандидат</x:v>
      </x:c>
      <x:c r="Q69" s="9" t="str">
        <x:v>Нет</x:v>
      </x:c>
      <x:c r="R69" s="9" t="str">
        <x:v>C003</x:v>
      </x:c>
      <x:c r="S69" s="9" t="str">
        <x:v>C003</x:v>
      </x:c>
      <x:c r="T69" s="10" t="str">
        <x:v>כאן 11 - תאגיד השידור הישראלי</x:v>
      </x:c>
      <x:c r="U69" s="11" t="str">
        <x:v>https://www.youtube.com/watch?v=FOfV6mUDlfI</x:v>
      </x:c>
      <x:c r="V69" s="16" t="n">
        <x:v>46308</x:v>
      </x:c>
      <x:c r="W69" s="16" t="n">
        <x:v>44514</x:v>
      </x:c>
      <x:c r="X69" s="10" t="str">
        <x:v>iw</x:v>
      </x:c>
      <x:c r="Y69" s="10" t="str">
        <x:v>Автоматическая дорожка HE по метаданным</x:v>
      </x:c>
      <x:c r="Z69" s="10" t="str">
        <x:v>Разрешено по метаданным</x:v>
      </x:c>
      <x:c r="AA69" s="10" t="str">
        <x:v>Метаданные видео; воспроизведение и содержание не проверены</x:v>
      </x:c>
      <x:c r="AB69" s="13" t="n">
        <x:f>IF(AND(ISNUMBER(H69),ISNUMBER(W69)),H69/MAX(1,'Обзор'!$B$4-W69),"")</x:f>
        <x:v>3104.4877369007804</x:v>
      </x:c>
      <x:c r="AC69" s="17" t="str">
        <x:v>Не решено</x:v>
      </x:c>
      <x:c r="AD69" s="17" t="str">
        <x:v>Не проверено</x:v>
      </x:c>
      <x:c r="AE69" s="17" t="str">
        <x:v>Не проверено</x:v>
      </x:c>
      <x:c r="AF69" s="17" t="str">
        <x:v>Не проверено</x:v>
      </x:c>
      <x:c r="AG69" s="17" t="str">
        <x:v>Не решено</x:v>
      </x:c>
      <x:c r="AH69" s="17" t="str">
        <x:v>Не проверено</x:v>
      </x:c>
      <x:c r="AI69" s="10" t="str">
        <x:f>IF(AC69="Отклонить","Отклонено",IF(AND(AC69="Взять",COUNTIFS(AD69:AH69,"Да")=5),"Готово","Нужна редактура"))</x:f>
        <x:v>Нужна редактура</x:v>
      </x:c>
      <x:c r="AJ69" s="17" t="str"/>
      <x:c r="AK69" s="9" t="str">
        <x:v>https://www.youtube.com/playlist?list=PLLttfoK87AdVDPNRcYni-j0vG3OHPqRPa</x:v>
      </x:c>
      <x:c r="AL69" s="9" t="n">
        <x:v>18</x:v>
      </x:c>
      <x:c r="AM69" s="9" t="n">
        <x:v>18</x:v>
      </x:c>
      <x:c r="AN69" s="9" t="n">
        <x:v>0</x:v>
      </x:c>
    </x:row>
    <x:row r="70" ht="60" customHeight="1">
      <x:c r="A70" s="9" t="str">
        <x:v>H19Wp_kO6XQ</x:v>
      </x:c>
      <x:c r="B70" s="10" t="str">
        <x:v>קופה ראשית עונה 3🛒 | חנוכה - פרק 19</x:v>
      </x:c>
      <x:c r="C70" s="10" t="str">
        <x:v>Повседневность и юмор</x:v>
      </x:c>
      <x:c r="D70" s="9" t="str">
        <x:v>Сериал</x:v>
      </x:c>
      <x:c r="E70" s="10" t="str">
        <x:v>Сериалы; разговорный иврит; новые репатрианты</x:v>
      </x:c>
      <x:c r="F70" s="10" t="str">
        <x:v>B1–B2 (гипотеза)</x:v>
      </x:c>
      <x:c r="G70" s="12" t="n">
        <x:v>25.8</x:v>
      </x:c>
      <x:c r="H70" s="14" t="n">
        <x:v>7495457</x:v>
      </x:c>
      <x:c r="I70" s="15" t="str">
        <x:v>Точный счётчик метаданных видео</x:v>
      </x:c>
      <x:c r="J70" s="14" t="n">
        <x:v>7400000</x:v>
      </x:c>
      <x:c r="K70" s="14" t="n">
        <x:v>7600000</x:v>
      </x:c>
      <x:c r="L70" s="12" t="n">
        <x:f>IF(COUNT(J70:K70)=2,IF(K70=0,"",J70/K70),"")</x:f>
        <x:v>0.9736842105263158</x:v>
      </x:c>
      <x:c r="M70" s="10" t="str">
        <x:v>Эпизод 19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0" s="10" t="str">
        <x:v>Выбрать диалог 2–4 минуты: просьбы, возражения, разговорные сокращения. Разыграть сцену.</x:v>
      </x:c>
      <x:c r="O70" s="10" t="str">
        <x:v>Сарказм, стереотипы, грубая речь; проверить выпуск</x:v>
      </x:c>
      <x:c r="P70" s="10" t="str">
        <x:v>Полная серия — кандидат</x:v>
      </x:c>
      <x:c r="Q70" s="9" t="str">
        <x:v>Нет</x:v>
      </x:c>
      <x:c r="R70" s="9" t="str">
        <x:v>C003</x:v>
      </x:c>
      <x:c r="S70" s="9" t="str">
        <x:v>C003</x:v>
      </x:c>
      <x:c r="T70" s="10" t="str">
        <x:v>כאן 11 - תאגיד השידור הישראלי</x:v>
      </x:c>
      <x:c r="U70" s="11" t="str">
        <x:v>https://www.youtube.com/watch?v=H19Wp_kO6XQ</x:v>
      </x:c>
      <x:c r="V70" s="16" t="n">
        <x:v>46308</x:v>
      </x:c>
      <x:c r="W70" s="16" t="n">
        <x:v>44521</x:v>
      </x:c>
      <x:c r="X70" s="10" t="str">
        <x:v>Иврит предполагается по заголовку и источнику</x:v>
      </x:c>
      <x:c r="Y70" s="10" t="str">
        <x:v>Дорожка HE не найдена в метаданных; вшитые титры не проверены</x:v>
      </x:c>
      <x:c r="Z70" s="10" t="str">
        <x:v>Разрешено по метаданным</x:v>
      </x:c>
      <x:c r="AA70" s="10" t="str">
        <x:v>Метаданные видео; воспроизведение и содержание не проверены</x:v>
      </x:c>
      <x:c r="AB70" s="13" t="n">
        <x:f>IF(AND(ISNUMBER(H70),ISNUMBER(W70)),H70/MAX(1,'Обзор'!$B$4-W70),"")</x:f>
        <x:v>4194.435926133184</x:v>
      </x:c>
      <x:c r="AC70" s="17" t="str">
        <x:v>Не решено</x:v>
      </x:c>
      <x:c r="AD70" s="17" t="str">
        <x:v>Не проверено</x:v>
      </x:c>
      <x:c r="AE70" s="17" t="str">
        <x:v>Не проверено</x:v>
      </x:c>
      <x:c r="AF70" s="17" t="str">
        <x:v>Не проверено</x:v>
      </x:c>
      <x:c r="AG70" s="17" t="str">
        <x:v>Не решено</x:v>
      </x:c>
      <x:c r="AH70" s="17" t="str">
        <x:v>Не проверено</x:v>
      </x:c>
      <x:c r="AI70" s="10" t="str">
        <x:f>IF(AC70="Отклонить","Отклонено",IF(AND(AC70="Взять",COUNTIFS(AD70:AH70,"Да")=5),"Готово","Нужна редактура"))</x:f>
        <x:v>Нужна редактура</x:v>
      </x:c>
      <x:c r="AJ70" s="17" t="str"/>
      <x:c r="AK70" s="9" t="str">
        <x:v>https://www.youtube.com/playlist?list=PLLttfoK87AdVDPNRcYni-j0vG3OHPqRPa</x:v>
      </x:c>
      <x:c r="AL70" s="9" t="n">
        <x:v>19</x:v>
      </x:c>
      <x:c r="AM70" s="9" t="n">
        <x:v>19</x:v>
      </x:c>
      <x:c r="AN70" s="9" t="n">
        <x:v>0</x:v>
      </x:c>
    </x:row>
    <x:row r="71" ht="60" customHeight="1">
      <x:c r="A71" s="9" t="str">
        <x:v>bKd7dnnuNLo</x:v>
      </x:c>
      <x:c r="B71" s="10" t="str">
        <x:v>קופה ראשית עונה 3🛒 | חופה ראשית - פרק 20 (אחרון לעונה)</x:v>
      </x:c>
      <x:c r="C71" s="10" t="str">
        <x:v>Повседневность и юмор</x:v>
      </x:c>
      <x:c r="D71" s="9" t="str">
        <x:v>Сериал</x:v>
      </x:c>
      <x:c r="E71" s="10" t="str">
        <x:v>Сериалы; разговорный иврит; новые репатрианты</x:v>
      </x:c>
      <x:c r="F71" s="10" t="str">
        <x:v>B1–B2 (гипотеза)</x:v>
      </x:c>
      <x:c r="G71" s="12" t="n">
        <x:v>29.4</x:v>
      </x:c>
      <x:c r="H71" s="14" t="n">
        <x:v>5826506</x:v>
      </x:c>
      <x:c r="I71" s="15" t="str">
        <x:v>Точный счётчик метаданных видео</x:v>
      </x:c>
      <x:c r="J71" s="14" t="n">
        <x:v>5800000</x:v>
      </x:c>
      <x:c r="K71" s="14" t="n">
        <x:v>7600000</x:v>
      </x:c>
      <x:c r="L71" s="12" t="n">
        <x:f>IF(COUNT(J71:K71)=2,IF(K71=0,"",J71/K71),"")</x:f>
        <x:v>0.7631578947368421</x:v>
      </x:c>
      <x:c r="M71" s="10" t="str">
        <x:v>Эпизод 20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1" s="10" t="str">
        <x:v>Выбрать диалог 2–4 минуты: просьбы, возражения, разговорные сокращения. Разыграть сцену.</x:v>
      </x:c>
      <x:c r="O71" s="10" t="str">
        <x:v>Сарказм, стереотипы, грубая речь; проверить выпуск</x:v>
      </x:c>
      <x:c r="P71" s="10" t="str">
        <x:v>Полная серия — кандидат</x:v>
      </x:c>
      <x:c r="Q71" s="9" t="str">
        <x:v>Нет</x:v>
      </x:c>
      <x:c r="R71" s="9" t="str">
        <x:v>C003</x:v>
      </x:c>
      <x:c r="S71" s="9" t="str">
        <x:v>C003</x:v>
      </x:c>
      <x:c r="T71" s="10" t="str">
        <x:v>כאן 11 - תאגיד השידור הישראלי</x:v>
      </x:c>
      <x:c r="U71" s="11" t="str">
        <x:v>https://www.youtube.com/watch?v=bKd7dnnuNLo</x:v>
      </x:c>
      <x:c r="V71" s="16" t="n">
        <x:v>46308</x:v>
      </x:c>
      <x:c r="W71" s="16" t="n">
        <x:v>44528</x:v>
      </x:c>
      <x:c r="X71" s="10" t="str">
        <x:v>Иврит предполагается по заголовку и источнику</x:v>
      </x:c>
      <x:c r="Y71" s="10" t="str">
        <x:v>Дорожка HE не найдена в метаданных; вшитые титры не проверены</x:v>
      </x:c>
      <x:c r="Z71" s="10" t="str">
        <x:v>Разрешено по метаданным</x:v>
      </x:c>
      <x:c r="AA71" s="10" t="str">
        <x:v>Метаданные видео; воспроизведение и содержание не проверены</x:v>
      </x:c>
      <x:c r="AB71" s="13" t="n">
        <x:f>IF(AND(ISNUMBER(H71),ISNUMBER(W71)),H71/MAX(1,'Обзор'!$B$4-W71),"")</x:f>
        <x:v>3273.31797752809</x:v>
      </x:c>
      <x:c r="AC71" s="17" t="str">
        <x:v>Не решено</x:v>
      </x:c>
      <x:c r="AD71" s="17" t="str">
        <x:v>Не проверено</x:v>
      </x:c>
      <x:c r="AE71" s="17" t="str">
        <x:v>Не проверено</x:v>
      </x:c>
      <x:c r="AF71" s="17" t="str">
        <x:v>Не проверено</x:v>
      </x:c>
      <x:c r="AG71" s="17" t="str">
        <x:v>Не решено</x:v>
      </x:c>
      <x:c r="AH71" s="17" t="str">
        <x:v>Не проверено</x:v>
      </x:c>
      <x:c r="AI71" s="10" t="str">
        <x:f>IF(AC71="Отклонить","Отклонено",IF(AND(AC71="Взять",COUNTIFS(AD71:AH71,"Да")=5),"Готово","Нужна редактура"))</x:f>
        <x:v>Нужна редактура</x:v>
      </x:c>
      <x:c r="AJ71" s="17" t="str"/>
      <x:c r="AK71" s="9" t="str">
        <x:v>https://www.youtube.com/playlist?list=PLLttfoK87AdVDPNRcYni-j0vG3OHPqRPa</x:v>
      </x:c>
      <x:c r="AL71" s="9" t="n">
        <x:v>20</x:v>
      </x:c>
      <x:c r="AM71" s="9" t="n">
        <x:v>20</x:v>
      </x:c>
      <x:c r="AN71" s="9" t="n">
        <x:v>0</x:v>
      </x:c>
    </x:row>
    <x:row r="72" ht="60" customHeight="1">
      <x:c r="A72" s="9" t="str">
        <x:v>OLjSvY_MKC4</x:v>
      </x:c>
      <x:c r="B72" s="10" t="str">
        <x:v>איך מייצרים דפדקים? | תוצרת ישראל</x:v>
      </x:c>
      <x:c r="C72" s="10" t="str">
        <x:v>Повседневность и юмор</x:v>
      </x:c>
      <x:c r="D72" s="9" t="str">
        <x:v>Сериал</x:v>
      </x:c>
      <x:c r="E72" s="10" t="str">
        <x:v>Сериалы; разговорный иврит; новые репатрианты</x:v>
      </x:c>
      <x:c r="F72" s="10" t="str">
        <x:v>B1–B2 (гипотеза)</x:v>
      </x:c>
      <x:c r="G72" s="12" t="n">
        <x:v>4.5</x:v>
      </x:c>
      <x:c r="H72" s="14" t="n">
        <x:v>396000</x:v>
      </x:c>
      <x:c r="I72" s="15" t="str">
        <x:v>Округлённый счётчик в списке YouTube</x:v>
      </x:c>
      <x:c r="J72" s="14" t="n">
        <x:v>396000</x:v>
      </x:c>
      <x:c r="K72" s="14" t="n">
        <x:v>7600000</x:v>
      </x:c>
      <x:c r="L72" s="12" t="n">
        <x:f>IF(COUNT(J72:K72)=2,IF(K72=0,"",J72/K72),"")</x:f>
        <x:v>0.05210526315789474</x:v>
      </x:c>
      <x:c r="M72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2" s="10" t="str">
        <x:v>Выбрать диалог 2–4 минуты: просьбы, возражения, разговорные сокращения. Разыграть сцену.</x:v>
      </x:c>
      <x:c r="O72" s="10" t="str">
        <x:v>Сарказм, стереотипы, грубая речь; проверить выпуск</x:v>
      </x:c>
      <x:c r="P72" s="10" t="str">
        <x:v>Фрагмент сериала</x:v>
      </x:c>
      <x:c r="Q72" s="9" t="str">
        <x:v>Нет</x:v>
      </x:c>
      <x:c r="R72" s="9" t="str">
        <x:v>C003</x:v>
      </x:c>
      <x:c r="S72" s="9" t="str">
        <x:v>C003</x:v>
      </x:c>
      <x:c r="T72" s="10" t="str">
        <x:v>כאן | דיגיטל - תאגיד השידור הישראלי</x:v>
      </x:c>
      <x:c r="U72" s="11" t="str">
        <x:v>https://www.youtube.com/watch?v=OLjSvY_MKC4</x:v>
      </x:c>
      <x:c r="V72" s="16" t="n">
        <x:v>46308</x:v>
      </x:c>
      <x:c r="W72" s="16"/>
      <x:c r="X72" s="10" t="str">
        <x:v>Иврит предполагается по заголовку и источнику</x:v>
      </x:c>
      <x:c r="Y72" s="10" t="str">
        <x:v>Не проверено</x:v>
      </x:c>
      <x:c r="Z72" s="10" t="str">
        <x:v>Не проверено</x:v>
      </x:c>
      <x:c r="AA72" s="10" t="str">
        <x:v>Метаданные списка; видео не просмотрено</x:v>
      </x:c>
      <x:c r="AB72" s="13" t="str">
        <x:f>IF(AND(ISNUMBER(H72),ISNUMBER(W72)),H72/MAX(1,'Обзор'!$B$4-W72),"")</x:f>
      </x:c>
      <x:c r="AC72" s="17" t="str">
        <x:v>Не решено</x:v>
      </x:c>
      <x:c r="AD72" s="17" t="str">
        <x:v>Не проверено</x:v>
      </x:c>
      <x:c r="AE72" s="17" t="str">
        <x:v>Не проверено</x:v>
      </x:c>
      <x:c r="AF72" s="17" t="str">
        <x:v>Не проверено</x:v>
      </x:c>
      <x:c r="AG72" s="17" t="str">
        <x:v>Не решено</x:v>
      </x:c>
      <x:c r="AH72" s="17" t="str">
        <x:v>Не проверено</x:v>
      </x:c>
      <x:c r="AI72" s="10" t="str">
        <x:f>IF(AC72="Отклонить","Отклонено",IF(AND(AC72="Взять",COUNTIFS(AD72:AH72,"Да")=5),"Готово","Нужна редактура"))</x:f>
        <x:v>Нужна редактура</x:v>
      </x:c>
      <x:c r="AJ72" s="17" t="str"/>
      <x:c r="AK72" s="9" t="str">
        <x:v>https://www.youtube.com/playlist?list=PLLttfoK87AdVDPNRcYni-j0vG3OHPqRPa</x:v>
      </x:c>
      <x:c r="AL72" s="9" t="n">
        <x:v>22</x:v>
      </x:c>
      <x:c r="AM72" s="9"/>
      <x:c r="AN72" s="9"/>
    </x:row>
    <x:row r="73" ht="60" customHeight="1">
      <x:c r="A73" s="9" t="str">
        <x:v>7YRO_uOiwCQ</x:v>
      </x:c>
      <x:c r="B73" s="10" t="str">
        <x:v>חתונה נה נה - קליפ החתונה המלא של גון ואוצר 🤵💍🤵 | מתוך קופה ראשית</x:v>
      </x:c>
      <x:c r="C73" s="10" t="str">
        <x:v>Повседневность и юмор</x:v>
      </x:c>
      <x:c r="D73" s="9" t="str">
        <x:v>Сериал</x:v>
      </x:c>
      <x:c r="E73" s="10" t="str">
        <x:v>Сериалы; разговорный иврит; новые репатрианты</x:v>
      </x:c>
      <x:c r="F73" s="10" t="str">
        <x:v>B1–B2 (гипотеза)</x:v>
      </x:c>
      <x:c r="G73" s="12" t="n">
        <x:v>1.4</x:v>
      </x:c>
      <x:c r="H73" s="14" t="n">
        <x:v>808000</x:v>
      </x:c>
      <x:c r="I73" s="15" t="str">
        <x:v>Округлённый счётчик в списке YouTube</x:v>
      </x:c>
      <x:c r="J73" s="14" t="n">
        <x:v>808000</x:v>
      </x:c>
      <x:c r="K73" s="14" t="n">
        <x:v>7600000</x:v>
      </x:c>
      <x:c r="L73" s="12" t="n">
        <x:f>IF(COUNT(J73:K73)=2,IF(K73=0,"",J73/K73),"")</x:f>
        <x:v>0.10631578947368421</x:v>
      </x:c>
      <x:c r="M73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3" s="10" t="str">
        <x:v>Выбрать диалог 2–4 минуты: просьбы, возражения, разговорные сокращения. Разыграть сцену.</x:v>
      </x:c>
      <x:c r="O73" s="10" t="str">
        <x:v>Сарказм, стереотипы, грубая речь; проверить выпуск</x:v>
      </x:c>
      <x:c r="P73" s="10" t="str">
        <x:v>Фрагмент сериала</x:v>
      </x:c>
      <x:c r="Q73" s="9" t="str">
        <x:v>Нет</x:v>
      </x:c>
      <x:c r="R73" s="9" t="str">
        <x:v>C003</x:v>
      </x:c>
      <x:c r="S73" s="9" t="str">
        <x:v>C003</x:v>
      </x:c>
      <x:c r="T73" s="10" t="str">
        <x:v>כאן 11 - תאגיד השידור הישראלי</x:v>
      </x:c>
      <x:c r="U73" s="11" t="str">
        <x:v>https://www.youtube.com/watch?v=7YRO_uOiwCQ</x:v>
      </x:c>
      <x:c r="V73" s="16" t="n">
        <x:v>46308</x:v>
      </x:c>
      <x:c r="W73" s="16"/>
      <x:c r="X73" s="10" t="str">
        <x:v>Иврит предполагается по заголовку и источнику</x:v>
      </x:c>
      <x:c r="Y73" s="10" t="str">
        <x:v>Не проверено</x:v>
      </x:c>
      <x:c r="Z73" s="10" t="str">
        <x:v>Не проверено</x:v>
      </x:c>
      <x:c r="AA73" s="10" t="str">
        <x:v>Метаданные списка; видео не просмотрено</x:v>
      </x:c>
      <x:c r="AB73" s="13" t="str">
        <x:f>IF(AND(ISNUMBER(H73),ISNUMBER(W73)),H73/MAX(1,'Обзор'!$B$4-W73),"")</x:f>
      </x:c>
      <x:c r="AC73" s="17" t="str">
        <x:v>Не решено</x:v>
      </x:c>
      <x:c r="AD73" s="17" t="str">
        <x:v>Не проверено</x:v>
      </x:c>
      <x:c r="AE73" s="17" t="str">
        <x:v>Не проверено</x:v>
      </x:c>
      <x:c r="AF73" s="17" t="str">
        <x:v>Не проверено</x:v>
      </x:c>
      <x:c r="AG73" s="17" t="str">
        <x:v>Не решено</x:v>
      </x:c>
      <x:c r="AH73" s="17" t="str">
        <x:v>Не проверено</x:v>
      </x:c>
      <x:c r="AI73" s="10" t="str">
        <x:f>IF(AC73="Отклонить","Отклонено",IF(AND(AC73="Взять",COUNTIFS(AD73:AH73,"Да")=5),"Готово","Нужна редактура"))</x:f>
        <x:v>Нужна редактура</x:v>
      </x:c>
      <x:c r="AJ73" s="17" t="str"/>
      <x:c r="AK73" s="9" t="str">
        <x:v>https://www.youtube.com/playlist?list=PLLttfoK87AdVDPNRcYni-j0vG3OHPqRPa</x:v>
      </x:c>
      <x:c r="AL73" s="9" t="n">
        <x:v>23</x:v>
      </x:c>
      <x:c r="AM73" s="9"/>
      <x:c r="AN73" s="9"/>
    </x:row>
    <x:row r="74" ht="60" customHeight="1">
      <x:c r="A74" s="9" t="str">
        <x:v>2kShI3LqMNc</x:v>
      </x:c>
      <x:c r="B74" s="10" t="str">
        <x:v>בוסגה בוסגה // בביצוע ראמזי עבד ראמזי 🎸</x:v>
      </x:c>
      <x:c r="C74" s="10" t="str">
        <x:v>Повседневность и юмор</x:v>
      </x:c>
      <x:c r="D74" s="9" t="str">
        <x:v>Сериал</x:v>
      </x:c>
      <x:c r="E74" s="10" t="str">
        <x:v>Сериалы; разговорный иврит; новые репатрианты</x:v>
      </x:c>
      <x:c r="F74" s="10" t="str">
        <x:v>B1–B2 (гипотеза)</x:v>
      </x:c>
      <x:c r="G74" s="12" t="n">
        <x:v>1.4</x:v>
      </x:c>
      <x:c r="H74" s="14" t="n">
        <x:v>211000</x:v>
      </x:c>
      <x:c r="I74" s="15" t="str">
        <x:v>Округлённый счётчик в списке YouTube</x:v>
      </x:c>
      <x:c r="J74" s="14" t="n">
        <x:v>211000</x:v>
      </x:c>
      <x:c r="K74" s="14" t="n">
        <x:v>7600000</x:v>
      </x:c>
      <x:c r="L74" s="12" t="n">
        <x:f>IF(COUNT(J74:K74)=2,IF(K74=0,"",J74/K74),"")</x:f>
        <x:v>0.027763157894736844</x:v>
      </x:c>
      <x:c r="M74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4" s="10" t="str">
        <x:v>Выбрать диалог 2–4 минуты: просьбы, возражения, разговорные сокращения. Разыграть сцену.</x:v>
      </x:c>
      <x:c r="O74" s="10" t="str">
        <x:v>Сарказм, стереотипы, грубая речь; проверить выпуск</x:v>
      </x:c>
      <x:c r="P74" s="10" t="str">
        <x:v>Фрагмент сериала</x:v>
      </x:c>
      <x:c r="Q74" s="9" t="str">
        <x:v>Нет</x:v>
      </x:c>
      <x:c r="R74" s="9" t="str">
        <x:v>C003</x:v>
      </x:c>
      <x:c r="S74" s="9" t="str">
        <x:v>C003</x:v>
      </x:c>
      <x:c r="T74" s="10" t="str">
        <x:v>כאן 11 - תאגיד השידור הישראלי</x:v>
      </x:c>
      <x:c r="U74" s="11" t="str">
        <x:v>https://www.youtube.com/watch?v=2kShI3LqMNc</x:v>
      </x:c>
      <x:c r="V74" s="16" t="n">
        <x:v>46308</x:v>
      </x:c>
      <x:c r="W74" s="16"/>
      <x:c r="X74" s="10" t="str">
        <x:v>Иврит предполагается по заголовку и источнику</x:v>
      </x:c>
      <x:c r="Y74" s="10" t="str">
        <x:v>Не проверено</x:v>
      </x:c>
      <x:c r="Z74" s="10" t="str">
        <x:v>Не проверено</x:v>
      </x:c>
      <x:c r="AA74" s="10" t="str">
        <x:v>Метаданные списка; видео не просмотрено</x:v>
      </x:c>
      <x:c r="AB74" s="13" t="str">
        <x:f>IF(AND(ISNUMBER(H74),ISNUMBER(W74)),H74/MAX(1,'Обзор'!$B$4-W74),"")</x:f>
      </x:c>
      <x:c r="AC74" s="17" t="str">
        <x:v>Не решено</x:v>
      </x:c>
      <x:c r="AD74" s="17" t="str">
        <x:v>Не проверено</x:v>
      </x:c>
      <x:c r="AE74" s="17" t="str">
        <x:v>Не проверено</x:v>
      </x:c>
      <x:c r="AF74" s="17" t="str">
        <x:v>Не проверено</x:v>
      </x:c>
      <x:c r="AG74" s="17" t="str">
        <x:v>Не решено</x:v>
      </x:c>
      <x:c r="AH74" s="17" t="str">
        <x:v>Не проверено</x:v>
      </x:c>
      <x:c r="AI74" s="10" t="str">
        <x:f>IF(AC74="Отклонить","Отклонено",IF(AND(AC74="Взять",COUNTIFS(AD74:AH74,"Да")=5),"Готово","Нужна редактура"))</x:f>
        <x:v>Нужна редактура</x:v>
      </x:c>
      <x:c r="AJ74" s="17" t="str"/>
      <x:c r="AK74" s="9" t="str">
        <x:v>https://www.youtube.com/playlist?list=PLLttfoK87AdVDPNRcYni-j0vG3OHPqRPa</x:v>
      </x:c>
      <x:c r="AL74" s="9" t="n">
        <x:v>24</x:v>
      </x:c>
      <x:c r="AM74" s="9"/>
      <x:c r="AN74" s="9"/>
    </x:row>
    <x:row r="75" ht="60" customHeight="1">
      <x:c r="A75" s="9" t="str">
        <x:v>h6cKDxHfV3Y</x:v>
      </x:c>
      <x:c r="B75" s="10" t="str">
        <x:v>ראמזי עושה ASMR (שוקולד סוכריות קופצות)  🍫🍬</x:v>
      </x:c>
      <x:c r="C75" s="10" t="str">
        <x:v>Повседневность и юмор</x:v>
      </x:c>
      <x:c r="D75" s="9" t="str">
        <x:v>Сериал</x:v>
      </x:c>
      <x:c r="E75" s="10" t="str">
        <x:v>Сериалы; разговорный иврит; новые репатрианты</x:v>
      </x:c>
      <x:c r="F75" s="10" t="str">
        <x:v>B1–B2 (гипотеза)</x:v>
      </x:c>
      <x:c r="G75" s="12" t="n">
        <x:v>5.2</x:v>
      </x:c>
      <x:c r="H75" s="14" t="n">
        <x:v>158000</x:v>
      </x:c>
      <x:c r="I75" s="15" t="str">
        <x:v>Округлённый счётчик в списке YouTube</x:v>
      </x:c>
      <x:c r="J75" s="14" t="n">
        <x:v>158000</x:v>
      </x:c>
      <x:c r="K75" s="14" t="n">
        <x:v>7600000</x:v>
      </x:c>
      <x:c r="L75" s="12" t="n">
        <x:f>IF(COUNT(J75:K75)=2,IF(K75=0,"",J75/K75),"")</x:f>
        <x:v>0.020789473684210528</x:v>
      </x:c>
      <x:c r="M75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5" s="10" t="str">
        <x:v>Выбрать диалог 2–4 минуты: просьбы, возражения, разговорные сокращения. Разыграть сцену.</x:v>
      </x:c>
      <x:c r="O75" s="10" t="str">
        <x:v>Сарказм, стереотипы, грубая речь; проверить выпуск</x:v>
      </x:c>
      <x:c r="P75" s="10" t="str">
        <x:v>Фрагмент сериала</x:v>
      </x:c>
      <x:c r="Q75" s="9" t="str">
        <x:v>Нет</x:v>
      </x:c>
      <x:c r="R75" s="9" t="str">
        <x:v>C003</x:v>
      </x:c>
      <x:c r="S75" s="9" t="str">
        <x:v>C003</x:v>
      </x:c>
      <x:c r="T75" s="10" t="str">
        <x:v>כאן 11 - תאגיד השידור הישראלי</x:v>
      </x:c>
      <x:c r="U75" s="11" t="str">
        <x:v>https://www.youtube.com/watch?v=h6cKDxHfV3Y</x:v>
      </x:c>
      <x:c r="V75" s="16" t="n">
        <x:v>46308</x:v>
      </x:c>
      <x:c r="W75" s="16"/>
      <x:c r="X75" s="10" t="str">
        <x:v>Иврит предполагается по заголовку и источнику</x:v>
      </x:c>
      <x:c r="Y75" s="10" t="str">
        <x:v>Не проверено</x:v>
      </x:c>
      <x:c r="Z75" s="10" t="str">
        <x:v>Не проверено</x:v>
      </x:c>
      <x:c r="AA75" s="10" t="str">
        <x:v>Метаданные списка; видео не просмотрено</x:v>
      </x:c>
      <x:c r="AB75" s="13" t="str">
        <x:f>IF(AND(ISNUMBER(H75),ISNUMBER(W75)),H75/MAX(1,'Обзор'!$B$4-W75),"")</x:f>
      </x:c>
      <x:c r="AC75" s="17" t="str">
        <x:v>Не решено</x:v>
      </x:c>
      <x:c r="AD75" s="17" t="str">
        <x:v>Не проверено</x:v>
      </x:c>
      <x:c r="AE75" s="17" t="str">
        <x:v>Не проверено</x:v>
      </x:c>
      <x:c r="AF75" s="17" t="str">
        <x:v>Не проверено</x:v>
      </x:c>
      <x:c r="AG75" s="17" t="str">
        <x:v>Не решено</x:v>
      </x:c>
      <x:c r="AH75" s="17" t="str">
        <x:v>Не проверено</x:v>
      </x:c>
      <x:c r="AI75" s="10" t="str">
        <x:f>IF(AC75="Отклонить","Отклонено",IF(AND(AC75="Взять",COUNTIFS(AD75:AH75,"Да")=5),"Готово","Нужна редактура"))</x:f>
        <x:v>Нужна редактура</x:v>
      </x:c>
      <x:c r="AJ75" s="17" t="str"/>
      <x:c r="AK75" s="9" t="str">
        <x:v>https://www.youtube.com/playlist?list=PLLttfoK87AdVDPNRcYni-j0vG3OHPqRPa</x:v>
      </x:c>
      <x:c r="AL75" s="9" t="n">
        <x:v>25</x:v>
      </x:c>
      <x:c r="AM75" s="9"/>
      <x:c r="AN75" s="9"/>
    </x:row>
    <x:row r="76" ht="60" customHeight="1">
      <x:c r="A76" s="9" t="str">
        <x:v>4_wWSTJ4FEY</x:v>
      </x:c>
      <x:c r="B76" s="10" t="str">
        <x:v>שקיעה נוגה יורדת על שפע יששכר 😂 | מאש-אפ קופה ראשית 🛒 VS בואו לאכול איתי 🍴</x:v>
      </x:c>
      <x:c r="C76" s="10" t="str">
        <x:v>Повседневность и юмор</x:v>
      </x:c>
      <x:c r="D76" s="9" t="str">
        <x:v>Сериал</x:v>
      </x:c>
      <x:c r="E76" s="10" t="str">
        <x:v>Сериалы; разговорный иврит; новые репатрианты</x:v>
      </x:c>
      <x:c r="F76" s="10" t="str">
        <x:v>B1–B2 (гипотеза)</x:v>
      </x:c>
      <x:c r="G76" s="12" t="n">
        <x:v>6.9</x:v>
      </x:c>
      <x:c r="H76" s="14" t="n">
        <x:v>371000</x:v>
      </x:c>
      <x:c r="I76" s="15" t="str">
        <x:v>Округлённый счётчик в списке YouTube</x:v>
      </x:c>
      <x:c r="J76" s="14" t="n">
        <x:v>371000</x:v>
      </x:c>
      <x:c r="K76" s="14" t="n">
        <x:v>7600000</x:v>
      </x:c>
      <x:c r="L76" s="12" t="n">
        <x:f>IF(COUNT(J76:K76)=2,IF(K76=0,"",J76/K76),"")</x:f>
        <x:v>0.04881578947368421</x:v>
      </x:c>
      <x:c r="M76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6" s="10" t="str">
        <x:v>Выбрать диалог 2–4 минуты: просьбы, возражения, разговорные сокращения. Разыграть сцену.</x:v>
      </x:c>
      <x:c r="O76" s="10" t="str">
        <x:v>Сарказм, стереотипы, грубая речь; проверить выпуск</x:v>
      </x:c>
      <x:c r="P76" s="10" t="str">
        <x:v>Фрагмент сериала</x:v>
      </x:c>
      <x:c r="Q76" s="9" t="str">
        <x:v>Нет</x:v>
      </x:c>
      <x:c r="R76" s="9" t="str">
        <x:v>C003</x:v>
      </x:c>
      <x:c r="S76" s="9" t="str">
        <x:v>C003</x:v>
      </x:c>
      <x:c r="T76" s="10" t="str">
        <x:v>כאן 11 - תאגיד השידור הישראלי</x:v>
      </x:c>
      <x:c r="U76" s="11" t="str">
        <x:v>https://www.youtube.com/watch?v=4_wWSTJ4FEY</x:v>
      </x:c>
      <x:c r="V76" s="16" t="n">
        <x:v>46308</x:v>
      </x:c>
      <x:c r="W76" s="16"/>
      <x:c r="X76" s="10" t="str">
        <x:v>Иврит предполагается по заголовку и источнику</x:v>
      </x:c>
      <x:c r="Y76" s="10" t="str">
        <x:v>Не проверено</x:v>
      </x:c>
      <x:c r="Z76" s="10" t="str">
        <x:v>Не проверено</x:v>
      </x:c>
      <x:c r="AA76" s="10" t="str">
        <x:v>Метаданные списка; видео не просмотрено</x:v>
      </x:c>
      <x:c r="AB76" s="13" t="str">
        <x:f>IF(AND(ISNUMBER(H76),ISNUMBER(W76)),H76/MAX(1,'Обзор'!$B$4-W76),"")</x:f>
      </x:c>
      <x:c r="AC76" s="17" t="str">
        <x:v>Не решено</x:v>
      </x:c>
      <x:c r="AD76" s="17" t="str">
        <x:v>Не проверено</x:v>
      </x:c>
      <x:c r="AE76" s="17" t="str">
        <x:v>Не проверено</x:v>
      </x:c>
      <x:c r="AF76" s="17" t="str">
        <x:v>Не проверено</x:v>
      </x:c>
      <x:c r="AG76" s="17" t="str">
        <x:v>Не решено</x:v>
      </x:c>
      <x:c r="AH76" s="17" t="str">
        <x:v>Не проверено</x:v>
      </x:c>
      <x:c r="AI76" s="10" t="str">
        <x:f>IF(AC76="Отклонить","Отклонено",IF(AND(AC76="Взять",COUNTIFS(AD76:AH76,"Да")=5),"Готово","Нужна редактура"))</x:f>
        <x:v>Нужна редактура</x:v>
      </x:c>
      <x:c r="AJ76" s="17" t="str"/>
      <x:c r="AK76" s="9" t="str">
        <x:v>https://www.youtube.com/playlist?list=PLLttfoK87AdVDPNRcYni-j0vG3OHPqRPa</x:v>
      </x:c>
      <x:c r="AL76" s="9" t="n">
        <x:v>26</x:v>
      </x:c>
      <x:c r="AM76" s="9"/>
      <x:c r="AN76" s="9"/>
    </x:row>
    <x:row r="77" ht="60" customHeight="1">
      <x:c r="A77" s="9" t="str">
        <x:v>cOgDVvpz-Ww</x:v>
      </x:c>
      <x:c r="B77" s="10" t="str">
        <x:v>קופה ראשית עונה 2🛒 | שירותי הנהלה 🚽</x:v>
      </x:c>
      <x:c r="C77" s="10" t="str">
        <x:v>Повседневность и юмор</x:v>
      </x:c>
      <x:c r="D77" s="9" t="str">
        <x:v>Сериал</x:v>
      </x:c>
      <x:c r="E77" s="10" t="str">
        <x:v>Сериалы; разговорный иврит; новые репатрианты</x:v>
      </x:c>
      <x:c r="F77" s="10" t="str">
        <x:v>B1–B2 (гипотеза)</x:v>
      </x:c>
      <x:c r="G77" s="12" t="n">
        <x:v>25.6</x:v>
      </x:c>
      <x:c r="H77" s="14" t="n">
        <x:v>9900000</x:v>
      </x:c>
      <x:c r="I77" s="15" t="str">
        <x:v>Округлённый счётчик в списке YouTube</x:v>
      </x:c>
      <x:c r="J77" s="14" t="n">
        <x:v>9900000</x:v>
      </x:c>
      <x:c r="K77" s="14" t="n">
        <x:v>7900000</x:v>
      </x:c>
      <x:c r="L77" s="12" t="n">
        <x:f>IF(COUNT(J77:K77)=2,IF(K77=0,"",J77/K77),"")</x:f>
        <x:v>1.2531645569620253</x:v>
      </x:c>
      <x:c r="M77" s="10" t="str">
        <x:v>Тип длинного материала требует уточнения.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7" s="10" t="str">
        <x:v>Выбрать диалог 2–4 минуты: просьбы, возражения, разговорные сокращения. Разыграть сцену.</x:v>
      </x:c>
      <x:c r="O77" s="10" t="str">
        <x:v>Сарказм, стереотипы, грубая речь; проверить выпуск</x:v>
      </x:c>
      <x:c r="P77" s="10" t="str">
        <x:v>Длинный материал сериала; тип уточнить</x:v>
      </x:c>
      <x:c r="Q77" s="9" t="str">
        <x:v>Нет</x:v>
      </x:c>
      <x:c r="R77" s="9" t="str">
        <x:v>C004</x:v>
      </x:c>
      <x:c r="S77" s="9" t="str">
        <x:v>C004</x:v>
      </x:c>
      <x:c r="T77" s="10" t="str">
        <x:v>כאן 11 - תאגיד השידור הישראלי</x:v>
      </x:c>
      <x:c r="U77" s="11" t="str">
        <x:v>https://www.youtube.com/watch?v=cOgDVvpz-Ww</x:v>
      </x:c>
      <x:c r="V77" s="16" t="n">
        <x:v>46308</x:v>
      </x:c>
      <x:c r="W77" s="16"/>
      <x:c r="X77" s="10" t="str">
        <x:v>Иврит предполагается по заголовку и источнику</x:v>
      </x:c>
      <x:c r="Y77" s="10" t="str">
        <x:v>Не проверено</x:v>
      </x:c>
      <x:c r="Z77" s="10" t="str">
        <x:v>Не проверено</x:v>
      </x:c>
      <x:c r="AA77" s="10" t="str">
        <x:v>Метаданные списка; видео не просмотрено</x:v>
      </x:c>
      <x:c r="AB77" s="13" t="str">
        <x:f>IF(AND(ISNUMBER(H77),ISNUMBER(W77)),H77/MAX(1,'Обзор'!$B$4-W77),"")</x:f>
      </x:c>
      <x:c r="AC77" s="17" t="str">
        <x:v>Не решено</x:v>
      </x:c>
      <x:c r="AD77" s="17" t="str">
        <x:v>Не проверено</x:v>
      </x:c>
      <x:c r="AE77" s="17" t="str">
        <x:v>Не проверено</x:v>
      </x:c>
      <x:c r="AF77" s="17" t="str">
        <x:v>Не проверено</x:v>
      </x:c>
      <x:c r="AG77" s="17" t="str">
        <x:v>Не решено</x:v>
      </x:c>
      <x:c r="AH77" s="17" t="str">
        <x:v>Не проверено</x:v>
      </x:c>
      <x:c r="AI77" s="10" t="str">
        <x:f>IF(AC77="Отклонить","Отклонено",IF(AND(AC77="Взять",COUNTIFS(AD77:AH77,"Да")=5),"Готово","Нужна редактура"))</x:f>
        <x:v>Нужна редактура</x:v>
      </x:c>
      <x:c r="AJ77" s="17" t="str"/>
      <x:c r="AK77" s="9" t="str">
        <x:v>https://www.youtube.com/playlist?list=PLLttfoK87AdUIJwIF9Zttig6sgNk5hu5W</x:v>
      </x:c>
      <x:c r="AL77" s="9" t="n">
        <x:v>1</x:v>
      </x:c>
      <x:c r="AM77" s="9"/>
      <x:c r="AN77" s="9"/>
    </x:row>
    <x:row r="78" ht="60" customHeight="1">
      <x:c r="A78" s="9" t="str">
        <x:v>83PqTMga2oM</x:v>
      </x:c>
      <x:c r="B78" s="10" t="str">
        <x:v>קופה ראשית עונה 2🛒 | פרק 2 - אחות של ראמזי</x:v>
      </x:c>
      <x:c r="C78" s="10" t="str">
        <x:v>Повседневность и юмор</x:v>
      </x:c>
      <x:c r="D78" s="9" t="str">
        <x:v>Сериал</x:v>
      </x:c>
      <x:c r="E78" s="10" t="str">
        <x:v>Сериалы; разговорный иврит; новые репатрианты</x:v>
      </x:c>
      <x:c r="F78" s="10" t="str">
        <x:v>B1–B2 (гипотеза)</x:v>
      </x:c>
      <x:c r="G78" s="12" t="n">
        <x:v>24.5</x:v>
      </x:c>
      <x:c r="H78" s="14" t="n">
        <x:v>7713438</x:v>
      </x:c>
      <x:c r="I78" s="15" t="str">
        <x:v>Точный счётчик метаданных видео</x:v>
      </x:c>
      <x:c r="J78" s="14" t="n">
        <x:v>7700000</x:v>
      </x:c>
      <x:c r="K78" s="14" t="n">
        <x:v>7900000</x:v>
      </x:c>
      <x:c r="L78" s="12" t="n">
        <x:f>IF(COUNT(J78:K78)=2,IF(K78=0,"",J78/K78),"")</x:f>
        <x:v>0.9746835443037974</x:v>
      </x:c>
      <x:c r="M78" s="10" t="str">
        <x:v>Эпизод 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8" s="10" t="str">
        <x:v>Выбрать диалог 2–4 минуты: просьбы, возражения, разговорные сокращения. Разыграть сцену.</x:v>
      </x:c>
      <x:c r="O78" s="10" t="str">
        <x:v>Сарказм, стереотипы, грубая речь; проверить выпуск</x:v>
      </x:c>
      <x:c r="P78" s="10" t="str">
        <x:v>Полная серия — кандидат</x:v>
      </x:c>
      <x:c r="Q78" s="9" t="str">
        <x:v>Нет</x:v>
      </x:c>
      <x:c r="R78" s="9" t="str">
        <x:v>C004</x:v>
      </x:c>
      <x:c r="S78" s="9" t="str">
        <x:v>C004</x:v>
      </x:c>
      <x:c r="T78" s="10" t="str">
        <x:v>כאן 11 - תאגיד השידור הישראלי</x:v>
      </x:c>
      <x:c r="U78" s="11" t="str">
        <x:v>https://www.youtube.com/watch?v=83PqTMga2oM</x:v>
      </x:c>
      <x:c r="V78" s="16" t="n">
        <x:v>46308</x:v>
      </x:c>
      <x:c r="W78" s="16" t="n">
        <x:v>43838</x:v>
      </x:c>
      <x:c r="X78" s="10" t="str">
        <x:v>iw</x:v>
      </x:c>
      <x:c r="Y78" s="10" t="str">
        <x:v>Автоматическая дорожка HE по метаданным</x:v>
      </x:c>
      <x:c r="Z78" s="10" t="str">
        <x:v>Разрешено по метаданным</x:v>
      </x:c>
      <x:c r="AA78" s="10" t="str">
        <x:v>Метаданные видео; воспроизведение и содержание не проверены</x:v>
      </x:c>
      <x:c r="AB78" s="13" t="n">
        <x:f>IF(AND(ISNUMBER(H78),ISNUMBER(W78)),H78/MAX(1,'Обзор'!$B$4-W78),"")</x:f>
        <x:v>3122.8493927125505</x:v>
      </x:c>
      <x:c r="AC78" s="17" t="str">
        <x:v>Не решено</x:v>
      </x:c>
      <x:c r="AD78" s="17" t="str">
        <x:v>Не проверено</x:v>
      </x:c>
      <x:c r="AE78" s="17" t="str">
        <x:v>Не проверено</x:v>
      </x:c>
      <x:c r="AF78" s="17" t="str">
        <x:v>Не проверено</x:v>
      </x:c>
      <x:c r="AG78" s="17" t="str">
        <x:v>Не решено</x:v>
      </x:c>
      <x:c r="AH78" s="17" t="str">
        <x:v>Не проверено</x:v>
      </x:c>
      <x:c r="AI78" s="10" t="str">
        <x:f>IF(AC78="Отклонить","Отклонено",IF(AND(AC78="Взять",COUNTIFS(AD78:AH78,"Да")=5),"Готово","Нужна редактура"))</x:f>
        <x:v>Нужна редактура</x:v>
      </x:c>
      <x:c r="AJ78" s="17" t="str"/>
      <x:c r="AK78" s="9" t="str">
        <x:v>https://www.youtube.com/playlist?list=PLLttfoK87AdUIJwIF9Zttig6sgNk5hu5W</x:v>
      </x:c>
      <x:c r="AL78" s="9" t="n">
        <x:v>2</x:v>
      </x:c>
      <x:c r="AM78" s="9" t="n">
        <x:v>2</x:v>
      </x:c>
      <x:c r="AN78" s="9" t="n">
        <x:v>0</x:v>
      </x:c>
    </x:row>
    <x:row r="79" ht="60" customHeight="1">
      <x:c r="A79" s="9" t="str">
        <x:v>PBQZz1xuYK8</x:v>
      </x:c>
      <x:c r="B79" s="10" t="str">
        <x:v>קופה ראשית עונה 2🛒 | פרק 3 - מה עובר על שירה?</x:v>
      </x:c>
      <x:c r="C79" s="10" t="str">
        <x:v>Повседневность и юмор</x:v>
      </x:c>
      <x:c r="D79" s="9" t="str">
        <x:v>Сериал</x:v>
      </x:c>
      <x:c r="E79" s="10" t="str">
        <x:v>Сериалы; разговорный иврит; новые репатрианты</x:v>
      </x:c>
      <x:c r="F79" s="10" t="str">
        <x:v>B1–B2 (гипотеза)</x:v>
      </x:c>
      <x:c r="G79" s="12" t="n">
        <x:v>23.9</x:v>
      </x:c>
      <x:c r="H79" s="14" t="n">
        <x:v>8153401</x:v>
      </x:c>
      <x:c r="I79" s="15" t="str">
        <x:v>Точный счётчик метаданных видео</x:v>
      </x:c>
      <x:c r="J79" s="14" t="n">
        <x:v>8100000</x:v>
      </x:c>
      <x:c r="K79" s="14" t="n">
        <x:v>7900000</x:v>
      </x:c>
      <x:c r="L79" s="12" t="n">
        <x:f>IF(COUNT(J79:K79)=2,IF(K79=0,"",J79/K79),"")</x:f>
        <x:v>1.0253164556962024</x:v>
      </x:c>
      <x:c r="M79" s="10" t="str">
        <x:v>Эпизод 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79" s="10" t="str">
        <x:v>Выбрать диалог 2–4 минуты: просьбы, возражения, разговорные сокращения. Разыграть сцену.</x:v>
      </x:c>
      <x:c r="O79" s="10" t="str">
        <x:v>Сарказм, стереотипы, грубая речь; проверить выпуск</x:v>
      </x:c>
      <x:c r="P79" s="10" t="str">
        <x:v>Полная серия — кандидат</x:v>
      </x:c>
      <x:c r="Q79" s="9" t="str">
        <x:v>Нет</x:v>
      </x:c>
      <x:c r="R79" s="9" t="str">
        <x:v>C004</x:v>
      </x:c>
      <x:c r="S79" s="9" t="str">
        <x:v>C004</x:v>
      </x:c>
      <x:c r="T79" s="10" t="str">
        <x:v>כאן 11 - תאגיד השידור הישראלי</x:v>
      </x:c>
      <x:c r="U79" s="11" t="str">
        <x:v>https://www.youtube.com/watch?v=PBQZz1xuYK8</x:v>
      </x:c>
      <x:c r="V79" s="16" t="n">
        <x:v>46308</x:v>
      </x:c>
      <x:c r="W79" s="16" t="n">
        <x:v>43845</x:v>
      </x:c>
      <x:c r="X79" s="10" t="str">
        <x:v>Иврит предполагается по заголовку и источнику</x:v>
      </x:c>
      <x:c r="Y79" s="10" t="str">
        <x:v>Дорожка HE не найдена в метаданных; вшитые титры не проверены</x:v>
      </x:c>
      <x:c r="Z79" s="10" t="str">
        <x:v>Разрешено по метаданным</x:v>
      </x:c>
      <x:c r="AA79" s="10" t="str">
        <x:v>Метаданные видео; воспроизведение и содержание не проверены</x:v>
      </x:c>
      <x:c r="AB79" s="13" t="n">
        <x:f>IF(AND(ISNUMBER(H79),ISNUMBER(W79)),H79/MAX(1,'Обзор'!$B$4-W79),"")</x:f>
        <x:v>3310.3536337799433</x:v>
      </x:c>
      <x:c r="AC79" s="17" t="str">
        <x:v>Не решено</x:v>
      </x:c>
      <x:c r="AD79" s="17" t="str">
        <x:v>Не проверено</x:v>
      </x:c>
      <x:c r="AE79" s="17" t="str">
        <x:v>Не проверено</x:v>
      </x:c>
      <x:c r="AF79" s="17" t="str">
        <x:v>Не проверено</x:v>
      </x:c>
      <x:c r="AG79" s="17" t="str">
        <x:v>Не решено</x:v>
      </x:c>
      <x:c r="AH79" s="17" t="str">
        <x:v>Не проверено</x:v>
      </x:c>
      <x:c r="AI79" s="10" t="str">
        <x:f>IF(AC79="Отклонить","Отклонено",IF(AND(AC79="Взять",COUNTIFS(AD79:AH79,"Да")=5),"Готово","Нужна редактура"))</x:f>
        <x:v>Нужна редактура</x:v>
      </x:c>
      <x:c r="AJ79" s="17" t="str"/>
      <x:c r="AK79" s="9" t="str">
        <x:v>https://www.youtube.com/playlist?list=PLLttfoK87AdUIJwIF9Zttig6sgNk5hu5W</x:v>
      </x:c>
      <x:c r="AL79" s="9" t="n">
        <x:v>3</x:v>
      </x:c>
      <x:c r="AM79" s="9" t="n">
        <x:v>3</x:v>
      </x:c>
      <x:c r="AN79" s="9" t="n">
        <x:v>0</x:v>
      </x:c>
    </x:row>
    <x:row r="80" ht="60" customHeight="1">
      <x:c r="A80" s="9" t="str">
        <x:v>eyAMuGeZ9RA</x:v>
      </x:c>
      <x:c r="B80" s="10" t="str">
        <x:v>קופה ראשית עונה 2🛒 | סופר-פוד - פרק 4</x:v>
      </x:c>
      <x:c r="C80" s="10" t="str">
        <x:v>Повседневность и юмор</x:v>
      </x:c>
      <x:c r="D80" s="9" t="str">
        <x:v>Сериал</x:v>
      </x:c>
      <x:c r="E80" s="10" t="str">
        <x:v>Сериалы; разговорный иврит; новые репатрианты</x:v>
      </x:c>
      <x:c r="F80" s="10" t="str">
        <x:v>B1–B2 (гипотеза)</x:v>
      </x:c>
      <x:c r="G80" s="12" t="n">
        <x:v>23</x:v>
      </x:c>
      <x:c r="H80" s="14" t="n">
        <x:v>8384218</x:v>
      </x:c>
      <x:c r="I80" s="15" t="str">
        <x:v>Точный счётчик метаданных видео</x:v>
      </x:c>
      <x:c r="J80" s="14" t="n">
        <x:v>8300000</x:v>
      </x:c>
      <x:c r="K80" s="14" t="n">
        <x:v>7900000</x:v>
      </x:c>
      <x:c r="L80" s="12" t="n">
        <x:f>IF(COUNT(J80:K80)=2,IF(K80=0,"",J80/K80),"")</x:f>
        <x:v>1.0506329113924051</x:v>
      </x:c>
      <x:c r="M80" s="10" t="str">
        <x:v>Эпизод 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0" s="10" t="str">
        <x:v>Выбрать диалог 2–4 минуты: просьбы, возражения, разговорные сокращения. Разыграть сцену.</x:v>
      </x:c>
      <x:c r="O80" s="10" t="str">
        <x:v>Сарказм, стереотипы, грубая речь; проверить выпуск</x:v>
      </x:c>
      <x:c r="P80" s="10" t="str">
        <x:v>Полная серия — кандидат</x:v>
      </x:c>
      <x:c r="Q80" s="9" t="str">
        <x:v>Нет</x:v>
      </x:c>
      <x:c r="R80" s="9" t="str">
        <x:v>C004</x:v>
      </x:c>
      <x:c r="S80" s="9" t="str">
        <x:v>C004</x:v>
      </x:c>
      <x:c r="T80" s="10" t="str">
        <x:v>כאן 11 - תאגיד השידור הישראלי</x:v>
      </x:c>
      <x:c r="U80" s="11" t="str">
        <x:v>https://www.youtube.com/watch?v=eyAMuGeZ9RA</x:v>
      </x:c>
      <x:c r="V80" s="16" t="n">
        <x:v>46308</x:v>
      </x:c>
      <x:c r="W80" s="16" t="n">
        <x:v>43852</x:v>
      </x:c>
      <x:c r="X80" s="10" t="str">
        <x:v>Иврит предполагается по заголовку и источнику</x:v>
      </x:c>
      <x:c r="Y80" s="10" t="str">
        <x:v>Дорожка HE не найдена в метаданных; вшитые титры не проверены</x:v>
      </x:c>
      <x:c r="Z80" s="10" t="str">
        <x:v>Разрешено по метаданным</x:v>
      </x:c>
      <x:c r="AA80" s="10" t="str">
        <x:v>Метаданные видео; воспроизведение и содержание не проверены</x:v>
      </x:c>
      <x:c r="AB80" s="13" t="n">
        <x:f>IF(AND(ISNUMBER(H80),ISNUMBER(W80)),H80/MAX(1,'Обзор'!$B$4-W80),"")</x:f>
        <x:v>3413.7695439739414</x:v>
      </x:c>
      <x:c r="AC80" s="17" t="str">
        <x:v>Не решено</x:v>
      </x:c>
      <x:c r="AD80" s="17" t="str">
        <x:v>Не проверено</x:v>
      </x:c>
      <x:c r="AE80" s="17" t="str">
        <x:v>Не проверено</x:v>
      </x:c>
      <x:c r="AF80" s="17" t="str">
        <x:v>Не проверено</x:v>
      </x:c>
      <x:c r="AG80" s="17" t="str">
        <x:v>Не решено</x:v>
      </x:c>
      <x:c r="AH80" s="17" t="str">
        <x:v>Не проверено</x:v>
      </x:c>
      <x:c r="AI80" s="10" t="str">
        <x:f>IF(AC80="Отклонить","Отклонено",IF(AND(AC80="Взять",COUNTIFS(AD80:AH80,"Да")=5),"Готово","Нужна редактура"))</x:f>
        <x:v>Нужна редактура</x:v>
      </x:c>
      <x:c r="AJ80" s="17" t="str"/>
      <x:c r="AK80" s="9" t="str">
        <x:v>https://www.youtube.com/playlist?list=PLLttfoK87AdUIJwIF9Zttig6sgNk5hu5W</x:v>
      </x:c>
      <x:c r="AL80" s="9" t="n">
        <x:v>4</x:v>
      </x:c>
      <x:c r="AM80" s="9" t="n">
        <x:v>4</x:v>
      </x:c>
      <x:c r="AN80" s="9" t="n">
        <x:v>0</x:v>
      </x:c>
    </x:row>
    <x:row r="81" ht="60" customHeight="1">
      <x:c r="A81" s="9" t="str">
        <x:v>bQzstRIfghQ</x:v>
      </x:c>
      <x:c r="B81" s="10" t="str">
        <x:v>קופה ראשית עונה 2🛒 | הדרבי הגדול - פרק 5</x:v>
      </x:c>
      <x:c r="C81" s="10" t="str">
        <x:v>Повседневность и юмор</x:v>
      </x:c>
      <x:c r="D81" s="9" t="str">
        <x:v>Сериал</x:v>
      </x:c>
      <x:c r="E81" s="10" t="str">
        <x:v>Сериалы; разговорный иврит; новые репатрианты</x:v>
      </x:c>
      <x:c r="F81" s="10" t="str">
        <x:v>B1–B2 (гипотеза)</x:v>
      </x:c>
      <x:c r="G81" s="12" t="n">
        <x:v>25.2</x:v>
      </x:c>
      <x:c r="H81" s="14" t="n">
        <x:v>8798834</x:v>
      </x:c>
      <x:c r="I81" s="15" t="str">
        <x:v>Точный счётчик метаданных видео</x:v>
      </x:c>
      <x:c r="J81" s="14" t="n">
        <x:v>8700000</x:v>
      </x:c>
      <x:c r="K81" s="14" t="n">
        <x:v>7900000</x:v>
      </x:c>
      <x:c r="L81" s="12" t="n">
        <x:f>IF(COUNT(J81:K81)=2,IF(K81=0,"",J81/K81),"")</x:f>
        <x:v>1.1012658227848102</x:v>
      </x:c>
      <x:c r="M81" s="10" t="str">
        <x:v>Эпизод 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1" s="10" t="str">
        <x:v>Выбрать диалог 2–4 минуты: просьбы, возражения, разговорные сокращения. Разыграть сцену.</x:v>
      </x:c>
      <x:c r="O81" s="10" t="str">
        <x:v>Сарказм, стереотипы, грубая речь; проверить выпуск</x:v>
      </x:c>
      <x:c r="P81" s="10" t="str">
        <x:v>Полная серия — кандидат</x:v>
      </x:c>
      <x:c r="Q81" s="9" t="str">
        <x:v>Нет</x:v>
      </x:c>
      <x:c r="R81" s="9" t="str">
        <x:v>C004</x:v>
      </x:c>
      <x:c r="S81" s="9" t="str">
        <x:v>C004</x:v>
      </x:c>
      <x:c r="T81" s="10" t="str">
        <x:v>כאן 11 - תאגיד השידור הישראלי</x:v>
      </x:c>
      <x:c r="U81" s="11" t="str">
        <x:v>https://www.youtube.com/watch?v=bQzstRIfghQ</x:v>
      </x:c>
      <x:c r="V81" s="16" t="n">
        <x:v>46308</x:v>
      </x:c>
      <x:c r="W81" s="16" t="n">
        <x:v>43859</x:v>
      </x:c>
      <x:c r="X81" s="10" t="str">
        <x:v>Иврит предполагается по заголовку и источнику</x:v>
      </x:c>
      <x:c r="Y81" s="10" t="str">
        <x:v>Дорожка HE не найдена в метаданных; вшитые титры не проверены</x:v>
      </x:c>
      <x:c r="Z81" s="10" t="str">
        <x:v>Разрешено по метаданным</x:v>
      </x:c>
      <x:c r="AA81" s="10" t="str">
        <x:v>Метаданные видео; воспроизведение и содержание не проверены</x:v>
      </x:c>
      <x:c r="AB81" s="13" t="n">
        <x:f>IF(AND(ISNUMBER(H81),ISNUMBER(W81)),H81/MAX(1,'Обзор'!$B$4-W81),"")</x:f>
        <x:v>3592.8272764393632</x:v>
      </x:c>
      <x:c r="AC81" s="17" t="str">
        <x:v>Не решено</x:v>
      </x:c>
      <x:c r="AD81" s="17" t="str">
        <x:v>Не проверено</x:v>
      </x:c>
      <x:c r="AE81" s="17" t="str">
        <x:v>Не проверено</x:v>
      </x:c>
      <x:c r="AF81" s="17" t="str">
        <x:v>Не проверено</x:v>
      </x:c>
      <x:c r="AG81" s="17" t="str">
        <x:v>Не решено</x:v>
      </x:c>
      <x:c r="AH81" s="17" t="str">
        <x:v>Не проверено</x:v>
      </x:c>
      <x:c r="AI81" s="10" t="str">
        <x:f>IF(AC81="Отклонить","Отклонено",IF(AND(AC81="Взять",COUNTIFS(AD81:AH81,"Да")=5),"Готово","Нужна редактура"))</x:f>
        <x:v>Нужна редактура</x:v>
      </x:c>
      <x:c r="AJ81" s="17" t="str"/>
      <x:c r="AK81" s="9" t="str">
        <x:v>https://www.youtube.com/playlist?list=PLLttfoK87AdUIJwIF9Zttig6sgNk5hu5W</x:v>
      </x:c>
      <x:c r="AL81" s="9" t="n">
        <x:v>5</x:v>
      </x:c>
      <x:c r="AM81" s="9" t="n">
        <x:v>5</x:v>
      </x:c>
      <x:c r="AN81" s="9" t="n">
        <x:v>0</x:v>
      </x:c>
    </x:row>
    <x:row r="82" ht="60" customHeight="1">
      <x:c r="A82" s="9" t="str">
        <x:v>sMR_--zYApg</x:v>
      </x:c>
      <x:c r="B82" s="10" t="str">
        <x:v>קופה ראשית עונה 2🛒 | גזר - פרק 6</x:v>
      </x:c>
      <x:c r="C82" s="10" t="str">
        <x:v>Повседневность и юмор</x:v>
      </x:c>
      <x:c r="D82" s="9" t="str">
        <x:v>Сериал</x:v>
      </x:c>
      <x:c r="E82" s="10" t="str">
        <x:v>Сериалы; разговорный иврит; новые репатрианты</x:v>
      </x:c>
      <x:c r="F82" s="10" t="str">
        <x:v>B1–B2 (гипотеза)</x:v>
      </x:c>
      <x:c r="G82" s="12" t="n">
        <x:v>24.9</x:v>
      </x:c>
      <x:c r="H82" s="14" t="n">
        <x:v>7542182</x:v>
      </x:c>
      <x:c r="I82" s="15" t="str">
        <x:v>Точный счётчик метаданных видео</x:v>
      </x:c>
      <x:c r="J82" s="14" t="n">
        <x:v>7500000</x:v>
      </x:c>
      <x:c r="K82" s="14" t="n">
        <x:v>7900000</x:v>
      </x:c>
      <x:c r="L82" s="12" t="n">
        <x:f>IF(COUNT(J82:K82)=2,IF(K82=0,"",J82/K82),"")</x:f>
        <x:v>0.9493670886075949</x:v>
      </x:c>
      <x:c r="M82" s="10" t="str">
        <x:v>Эпизод 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2" s="10" t="str">
        <x:v>Выбрать диалог 2–4 минуты: просьбы, возражения, разговорные сокращения. Разыграть сцену.</x:v>
      </x:c>
      <x:c r="O82" s="10" t="str">
        <x:v>Сарказм, стереотипы, грубая речь; проверить выпуск</x:v>
      </x:c>
      <x:c r="P82" s="10" t="str">
        <x:v>Полная серия — кандидат</x:v>
      </x:c>
      <x:c r="Q82" s="9" t="str">
        <x:v>Нет</x:v>
      </x:c>
      <x:c r="R82" s="9" t="str">
        <x:v>C004</x:v>
      </x:c>
      <x:c r="S82" s="9" t="str">
        <x:v>C004</x:v>
      </x:c>
      <x:c r="T82" s="10" t="str">
        <x:v>כאן 11 - תאגיד השידור הישראלי</x:v>
      </x:c>
      <x:c r="U82" s="11" t="str">
        <x:v>https://www.youtube.com/watch?v=sMR_--zYApg</x:v>
      </x:c>
      <x:c r="V82" s="16" t="n">
        <x:v>46308</x:v>
      </x:c>
      <x:c r="W82" s="16" t="n">
        <x:v>43866</x:v>
      </x:c>
      <x:c r="X82" s="10" t="str">
        <x:v>Иврит предполагается по заголовку и источнику</x:v>
      </x:c>
      <x:c r="Y82" s="10" t="str">
        <x:v>Дорожка HE не найдена в метаданных; вшитые титры не проверены</x:v>
      </x:c>
      <x:c r="Z82" s="10" t="str">
        <x:v>Разрешено по метаданным</x:v>
      </x:c>
      <x:c r="AA82" s="10" t="str">
        <x:v>Метаданные видео; воспроизведение и содержание не проверены</x:v>
      </x:c>
      <x:c r="AB82" s="13" t="n">
        <x:f>IF(AND(ISNUMBER(H82),ISNUMBER(W82)),H82/MAX(1,'Обзор'!$B$4-W82),"")</x:f>
        <x:v>3088.5266175266174</x:v>
      </x:c>
      <x:c r="AC82" s="17" t="str">
        <x:v>Не решено</x:v>
      </x:c>
      <x:c r="AD82" s="17" t="str">
        <x:v>Не проверено</x:v>
      </x:c>
      <x:c r="AE82" s="17" t="str">
        <x:v>Не проверено</x:v>
      </x:c>
      <x:c r="AF82" s="17" t="str">
        <x:v>Не проверено</x:v>
      </x:c>
      <x:c r="AG82" s="17" t="str">
        <x:v>Не решено</x:v>
      </x:c>
      <x:c r="AH82" s="17" t="str">
        <x:v>Не проверено</x:v>
      </x:c>
      <x:c r="AI82" s="10" t="str">
        <x:f>IF(AC82="Отклонить","Отклонено",IF(AND(AC82="Взять",COUNTIFS(AD82:AH82,"Да")=5),"Готово","Нужна редактура"))</x:f>
        <x:v>Нужна редактура</x:v>
      </x:c>
      <x:c r="AJ82" s="17" t="str"/>
      <x:c r="AK82" s="9" t="str">
        <x:v>https://www.youtube.com/playlist?list=PLLttfoK87AdUIJwIF9Zttig6sgNk5hu5W</x:v>
      </x:c>
      <x:c r="AL82" s="9" t="n">
        <x:v>6</x:v>
      </x:c>
      <x:c r="AM82" s="9" t="n">
        <x:v>6</x:v>
      </x:c>
      <x:c r="AN82" s="9" t="n">
        <x:v>0</x:v>
      </x:c>
    </x:row>
    <x:row r="83" ht="60" customHeight="1">
      <x:c r="A83" s="9" t="str">
        <x:v>-itB3hpl7gQ</x:v>
      </x:c>
      <x:c r="B83" s="10" t="str">
        <x:v>קופה ראשית עונה 2🛒 | סיפורי סבתא - פרק 7</x:v>
      </x:c>
      <x:c r="C83" s="10" t="str">
        <x:v>Повседневность и юмор</x:v>
      </x:c>
      <x:c r="D83" s="9" t="str">
        <x:v>Сериал</x:v>
      </x:c>
      <x:c r="E83" s="10" t="str">
        <x:v>Сериалы; разговорный иврит; новые репатрианты</x:v>
      </x:c>
      <x:c r="F83" s="10" t="str">
        <x:v>B1–B2 (гипотеза)</x:v>
      </x:c>
      <x:c r="G83" s="12" t="n">
        <x:v>24.5</x:v>
      </x:c>
      <x:c r="H83" s="14" t="n">
        <x:v>5718702</x:v>
      </x:c>
      <x:c r="I83" s="15" t="str">
        <x:v>Точный счётчик метаданных видео</x:v>
      </x:c>
      <x:c r="J83" s="14" t="n">
        <x:v>5700000</x:v>
      </x:c>
      <x:c r="K83" s="14" t="n">
        <x:v>7900000</x:v>
      </x:c>
      <x:c r="L83" s="12" t="n">
        <x:f>IF(COUNT(J83:K83)=2,IF(K83=0,"",J83/K83),"")</x:f>
        <x:v>0.7215189873417721</x:v>
      </x:c>
      <x:c r="M83" s="10" t="str">
        <x:v>Эпизод 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3" s="10" t="str">
        <x:v>Выбрать диалог 2–4 минуты: просьбы, возражения, разговорные сокращения. Разыграть сцену.</x:v>
      </x:c>
      <x:c r="O83" s="10" t="str">
        <x:v>Сарказм, стереотипы, грубая речь; проверить выпуск</x:v>
      </x:c>
      <x:c r="P83" s="10" t="str">
        <x:v>Полная серия — кандидат</x:v>
      </x:c>
      <x:c r="Q83" s="9" t="str">
        <x:v>Нет</x:v>
      </x:c>
      <x:c r="R83" s="9" t="str">
        <x:v>C004</x:v>
      </x:c>
      <x:c r="S83" s="9" t="str">
        <x:v>C004</x:v>
      </x:c>
      <x:c r="T83" s="10" t="str">
        <x:v>כאן 11 - תאגיד השידור הישראלי</x:v>
      </x:c>
      <x:c r="U83" s="11" t="str">
        <x:v>https://www.youtube.com/watch?v=-itB3hpl7gQ</x:v>
      </x:c>
      <x:c r="V83" s="16" t="n">
        <x:v>46308</x:v>
      </x:c>
      <x:c r="W83" s="16" t="n">
        <x:v>43873</x:v>
      </x:c>
      <x:c r="X83" s="10" t="str">
        <x:v>Иврит предполагается по заголовку и источнику</x:v>
      </x:c>
      <x:c r="Y83" s="10" t="str">
        <x:v>Дорожка HE не найдена в метаданных; вшитые титры не проверены</x:v>
      </x:c>
      <x:c r="Z83" s="10" t="str">
        <x:v>Разрешено по метаданным</x:v>
      </x:c>
      <x:c r="AA83" s="10" t="str">
        <x:v>Метаданные видео; воспроизведение и содержание не проверены</x:v>
      </x:c>
      <x:c r="AB83" s="13" t="n">
        <x:f>IF(AND(ISNUMBER(H83),ISNUMBER(W83)),H83/MAX(1,'Обзор'!$B$4-W83),"")</x:f>
        <x:v>2348.5429158110883</x:v>
      </x:c>
      <x:c r="AC83" s="17" t="str">
        <x:v>Не решено</x:v>
      </x:c>
      <x:c r="AD83" s="17" t="str">
        <x:v>Не проверено</x:v>
      </x:c>
      <x:c r="AE83" s="17" t="str">
        <x:v>Не проверено</x:v>
      </x:c>
      <x:c r="AF83" s="17" t="str">
        <x:v>Не проверено</x:v>
      </x:c>
      <x:c r="AG83" s="17" t="str">
        <x:v>Не решено</x:v>
      </x:c>
      <x:c r="AH83" s="17" t="str">
        <x:v>Не проверено</x:v>
      </x:c>
      <x:c r="AI83" s="10" t="str">
        <x:f>IF(AC83="Отклонить","Отклонено",IF(AND(AC83="Взять",COUNTIFS(AD83:AH83,"Да")=5),"Готово","Нужна редактура"))</x:f>
        <x:v>Нужна редактура</x:v>
      </x:c>
      <x:c r="AJ83" s="17" t="str"/>
      <x:c r="AK83" s="9" t="str">
        <x:v>https://www.youtube.com/playlist?list=PLLttfoK87AdUIJwIF9Zttig6sgNk5hu5W</x:v>
      </x:c>
      <x:c r="AL83" s="9" t="n">
        <x:v>7</x:v>
      </x:c>
      <x:c r="AM83" s="9" t="n">
        <x:v>7</x:v>
      </x:c>
      <x:c r="AN83" s="9" t="n">
        <x:v>0</x:v>
      </x:c>
    </x:row>
    <x:row r="84" ht="60" customHeight="1">
      <x:c r="A84" s="9" t="str">
        <x:v>ATx7nzqP-E4</x:v>
      </x:c>
      <x:c r="B84" s="10" t="str">
        <x:v>קופה ראשית עונה 2🛒 | בטיפול - פרק 8</x:v>
      </x:c>
      <x:c r="C84" s="10" t="str">
        <x:v>Повседневность и юмор</x:v>
      </x:c>
      <x:c r="D84" s="9" t="str">
        <x:v>Сериал</x:v>
      </x:c>
      <x:c r="E84" s="10" t="str">
        <x:v>Сериалы; разговорный иврит; новые репатрианты</x:v>
      </x:c>
      <x:c r="F84" s="10" t="str">
        <x:v>B1–B2 (гипотеза)</x:v>
      </x:c>
      <x:c r="G84" s="12" t="n">
        <x:v>24.2</x:v>
      </x:c>
      <x:c r="H84" s="14" t="n">
        <x:v>6609896</x:v>
      </x:c>
      <x:c r="I84" s="15" t="str">
        <x:v>Точный счётчик метаданных видео</x:v>
      </x:c>
      <x:c r="J84" s="14" t="n">
        <x:v>6600000</x:v>
      </x:c>
      <x:c r="K84" s="14" t="n">
        <x:v>7900000</x:v>
      </x:c>
      <x:c r="L84" s="12" t="n">
        <x:f>IF(COUNT(J84:K84)=2,IF(K84=0,"",J84/K84),"")</x:f>
        <x:v>0.8354430379746836</x:v>
      </x:c>
      <x:c r="M84" s="10" t="str">
        <x:v>Эпизод 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4" s="10" t="str">
        <x:v>Выбрать диалог 2–4 минуты: просьбы, возражения, разговорные сокращения. Разыграть сцену.</x:v>
      </x:c>
      <x:c r="O84" s="10" t="str">
        <x:v>Сарказм, стереотипы, грубая речь; проверить выпуск</x:v>
      </x:c>
      <x:c r="P84" s="10" t="str">
        <x:v>Полная серия — кандидат</x:v>
      </x:c>
      <x:c r="Q84" s="9" t="str">
        <x:v>Нет</x:v>
      </x:c>
      <x:c r="R84" s="9" t="str">
        <x:v>C004</x:v>
      </x:c>
      <x:c r="S84" s="9" t="str">
        <x:v>C004</x:v>
      </x:c>
      <x:c r="T84" s="10" t="str">
        <x:v>כאן 11 - תאגיד השידור הישראלי</x:v>
      </x:c>
      <x:c r="U84" s="11" t="str">
        <x:v>https://www.youtube.com/watch?v=ATx7nzqP-E4</x:v>
      </x:c>
      <x:c r="V84" s="16" t="n">
        <x:v>46308</x:v>
      </x:c>
      <x:c r="W84" s="16" t="n">
        <x:v>43880</x:v>
      </x:c>
      <x:c r="X84" s="10" t="str">
        <x:v>Иврит предполагается по заголовку и источнику</x:v>
      </x:c>
      <x:c r="Y84" s="10" t="str">
        <x:v>Дорожка HE не найдена в метаданных; вшитые титры не проверены</x:v>
      </x:c>
      <x:c r="Z84" s="10" t="str">
        <x:v>Разрешено по метаданным</x:v>
      </x:c>
      <x:c r="AA84" s="10" t="str">
        <x:v>Метаданные видео; воспроизведение и содержание не проверены</x:v>
      </x:c>
      <x:c r="AB84" s="13" t="n">
        <x:f>IF(AND(ISNUMBER(H84),ISNUMBER(W84)),H84/MAX(1,'Обзор'!$B$4-W84),"")</x:f>
        <x:v>2722.3624382207577</x:v>
      </x:c>
      <x:c r="AC84" s="17" t="str">
        <x:v>Не решено</x:v>
      </x:c>
      <x:c r="AD84" s="17" t="str">
        <x:v>Не проверено</x:v>
      </x:c>
      <x:c r="AE84" s="17" t="str">
        <x:v>Не проверено</x:v>
      </x:c>
      <x:c r="AF84" s="17" t="str">
        <x:v>Не проверено</x:v>
      </x:c>
      <x:c r="AG84" s="17" t="str">
        <x:v>Не решено</x:v>
      </x:c>
      <x:c r="AH84" s="17" t="str">
        <x:v>Не проверено</x:v>
      </x:c>
      <x:c r="AI84" s="10" t="str">
        <x:f>IF(AC84="Отклонить","Отклонено",IF(AND(AC84="Взять",COUNTIFS(AD84:AH84,"Да")=5),"Готово","Нужна редактура"))</x:f>
        <x:v>Нужна редактура</x:v>
      </x:c>
      <x:c r="AJ84" s="17" t="str"/>
      <x:c r="AK84" s="9" t="str">
        <x:v>https://www.youtube.com/playlist?list=PLLttfoK87AdUIJwIF9Zttig6sgNk5hu5W</x:v>
      </x:c>
      <x:c r="AL84" s="9" t="n">
        <x:v>8</x:v>
      </x:c>
      <x:c r="AM84" s="9" t="n">
        <x:v>8</x:v>
      </x:c>
      <x:c r="AN84" s="9" t="n">
        <x:v>0</x:v>
      </x:c>
    </x:row>
    <x:row r="85" ht="60" customHeight="1">
      <x:c r="A85" s="9" t="str">
        <x:v>X_EbFZ_UZBc</x:v>
      </x:c>
      <x:c r="B85" s="10" t="str">
        <x:v>קופה ראשית עונה 2🛒 | המרצדס - פרק 9</x:v>
      </x:c>
      <x:c r="C85" s="10" t="str">
        <x:v>Повседневность и юмор</x:v>
      </x:c>
      <x:c r="D85" s="9" t="str">
        <x:v>Сериал</x:v>
      </x:c>
      <x:c r="E85" s="10" t="str">
        <x:v>Сериалы; разговорный иврит; новые репатрианты</x:v>
      </x:c>
      <x:c r="F85" s="10" t="str">
        <x:v>B1–B2 (гипотеза)</x:v>
      </x:c>
      <x:c r="G85" s="12" t="n">
        <x:v>24.9</x:v>
      </x:c>
      <x:c r="H85" s="14" t="n">
        <x:v>8016477</x:v>
      </x:c>
      <x:c r="I85" s="15" t="str">
        <x:v>Точный счётчик метаданных видео</x:v>
      </x:c>
      <x:c r="J85" s="14" t="n">
        <x:v>8000000</x:v>
      </x:c>
      <x:c r="K85" s="14" t="n">
        <x:v>7900000</x:v>
      </x:c>
      <x:c r="L85" s="12" t="n">
        <x:f>IF(COUNT(J85:K85)=2,IF(K85=0,"",J85/K85),"")</x:f>
        <x:v>1.0126582278481013</x:v>
      </x:c>
      <x:c r="M85" s="10" t="str">
        <x:v>Эпизод 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5" s="10" t="str">
        <x:v>Выбрать диалог 2–4 минуты: просьбы, возражения, разговорные сокращения. Разыграть сцену.</x:v>
      </x:c>
      <x:c r="O85" s="10" t="str">
        <x:v>Сарказм, стереотипы, грубая речь; проверить выпуск</x:v>
      </x:c>
      <x:c r="P85" s="10" t="str">
        <x:v>Полная серия — кандидат</x:v>
      </x:c>
      <x:c r="Q85" s="9" t="str">
        <x:v>Нет</x:v>
      </x:c>
      <x:c r="R85" s="9" t="str">
        <x:v>C004</x:v>
      </x:c>
      <x:c r="S85" s="9" t="str">
        <x:v>C004</x:v>
      </x:c>
      <x:c r="T85" s="10" t="str">
        <x:v>כאן 11 - תאגיד השידור הישראלי</x:v>
      </x:c>
      <x:c r="U85" s="11" t="str">
        <x:v>https://www.youtube.com/watch?v=X_EbFZ_UZBc</x:v>
      </x:c>
      <x:c r="V85" s="16" t="n">
        <x:v>46308</x:v>
      </x:c>
      <x:c r="W85" s="16" t="n">
        <x:v>43887</x:v>
      </x:c>
      <x:c r="X85" s="10" t="str">
        <x:v>Иврит предполагается по заголовку и источнику</x:v>
      </x:c>
      <x:c r="Y85" s="10" t="str">
        <x:v>Дорожка HE не найдена в метаданных; вшитые титры не проверены</x:v>
      </x:c>
      <x:c r="Z85" s="10" t="str">
        <x:v>Разрешено по метаданным</x:v>
      </x:c>
      <x:c r="AA85" s="10" t="str">
        <x:v>Метаданные видео; воспроизведение и содержание не проверены</x:v>
      </x:c>
      <x:c r="AB85" s="13" t="n">
        <x:f>IF(AND(ISNUMBER(H85),ISNUMBER(W85)),H85/MAX(1,'Обзор'!$B$4-W85),"")</x:f>
        <x:v>3311.2255266418833</x:v>
      </x:c>
      <x:c r="AC85" s="17" t="str">
        <x:v>Не решено</x:v>
      </x:c>
      <x:c r="AD85" s="17" t="str">
        <x:v>Не проверено</x:v>
      </x:c>
      <x:c r="AE85" s="17" t="str">
        <x:v>Не проверено</x:v>
      </x:c>
      <x:c r="AF85" s="17" t="str">
        <x:v>Не проверено</x:v>
      </x:c>
      <x:c r="AG85" s="17" t="str">
        <x:v>Не решено</x:v>
      </x:c>
      <x:c r="AH85" s="17" t="str">
        <x:v>Не проверено</x:v>
      </x:c>
      <x:c r="AI85" s="10" t="str">
        <x:f>IF(AC85="Отклонить","Отклонено",IF(AND(AC85="Взять",COUNTIFS(AD85:AH85,"Да")=5),"Готово","Нужна редактура"))</x:f>
        <x:v>Нужна редактура</x:v>
      </x:c>
      <x:c r="AJ85" s="17" t="str"/>
      <x:c r="AK85" s="9" t="str">
        <x:v>https://www.youtube.com/playlist?list=PLLttfoK87AdUIJwIF9Zttig6sgNk5hu5W</x:v>
      </x:c>
      <x:c r="AL85" s="9" t="n">
        <x:v>9</x:v>
      </x:c>
      <x:c r="AM85" s="9" t="n">
        <x:v>9</x:v>
      </x:c>
      <x:c r="AN85" s="9" t="n">
        <x:v>0</x:v>
      </x:c>
    </x:row>
    <x:row r="86" ht="60" customHeight="1">
      <x:c r="A86" s="9" t="str">
        <x:v>yiIcldovEwI</x:v>
      </x:c>
      <x:c r="B86" s="10" t="str">
        <x:v>קופה ראשית עונה 2🛒 | פורים - פרק 10</x:v>
      </x:c>
      <x:c r="C86" s="10" t="str">
        <x:v>Повседневность и юмор</x:v>
      </x:c>
      <x:c r="D86" s="9" t="str">
        <x:v>Сериал</x:v>
      </x:c>
      <x:c r="E86" s="10" t="str">
        <x:v>Сериалы; разговорный иврит; новые репатрианты</x:v>
      </x:c>
      <x:c r="F86" s="10" t="str">
        <x:v>B1–B2 (гипотеза)</x:v>
      </x:c>
      <x:c r="G86" s="12" t="n">
        <x:v>23.7</x:v>
      </x:c>
      <x:c r="H86" s="14" t="n">
        <x:v>6549268</x:v>
      </x:c>
      <x:c r="I86" s="15" t="str">
        <x:v>Точный счётчик метаданных видео</x:v>
      </x:c>
      <x:c r="J86" s="14" t="n">
        <x:v>6500000</x:v>
      </x:c>
      <x:c r="K86" s="14" t="n">
        <x:v>7900000</x:v>
      </x:c>
      <x:c r="L86" s="12" t="n">
        <x:f>IF(COUNT(J86:K86)=2,IF(K86=0,"",J86/K86),"")</x:f>
        <x:v>0.8227848101265823</x:v>
      </x:c>
      <x:c r="M86" s="10" t="str">
        <x:v>Эпизод 10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6" s="10" t="str">
        <x:v>Выбрать диалог 2–4 минуты: просьбы, возражения, разговорные сокращения. Разыграть сцену.</x:v>
      </x:c>
      <x:c r="O86" s="10" t="str">
        <x:v>Сарказм, стереотипы, грубая речь; проверить выпуск</x:v>
      </x:c>
      <x:c r="P86" s="10" t="str">
        <x:v>Полная серия — кандидат</x:v>
      </x:c>
      <x:c r="Q86" s="9" t="str">
        <x:v>Нет</x:v>
      </x:c>
      <x:c r="R86" s="9" t="str">
        <x:v>C004</x:v>
      </x:c>
      <x:c r="S86" s="9" t="str">
        <x:v>C004</x:v>
      </x:c>
      <x:c r="T86" s="10" t="str">
        <x:v>כאן 11 - תאגיד השידור הישראלי</x:v>
      </x:c>
      <x:c r="U86" s="11" t="str">
        <x:v>https://www.youtube.com/watch?v=yiIcldovEwI</x:v>
      </x:c>
      <x:c r="V86" s="16" t="n">
        <x:v>46308</x:v>
      </x:c>
      <x:c r="W86" s="16" t="n">
        <x:v>43894</x:v>
      </x:c>
      <x:c r="X86" s="10" t="str">
        <x:v>Иврит предполагается по заголовку и источнику</x:v>
      </x:c>
      <x:c r="Y86" s="10" t="str">
        <x:v>Автоматическая дорожка HE по метаданным</x:v>
      </x:c>
      <x:c r="Z86" s="10" t="str">
        <x:v>Разрешено по метаданным</x:v>
      </x:c>
      <x:c r="AA86" s="10" t="str">
        <x:v>Метаданные видео; воспроизведение и содержание не проверены</x:v>
      </x:c>
      <x:c r="AB86" s="13" t="n">
        <x:f>IF(AND(ISNUMBER(H86),ISNUMBER(W86)),H86/MAX(1,'Обзор'!$B$4-W86),"")</x:f>
        <x:v>2713.0356255178126</x:v>
      </x:c>
      <x:c r="AC86" s="17" t="str">
        <x:v>Не решено</x:v>
      </x:c>
      <x:c r="AD86" s="17" t="str">
        <x:v>Не проверено</x:v>
      </x:c>
      <x:c r="AE86" s="17" t="str">
        <x:v>Не проверено</x:v>
      </x:c>
      <x:c r="AF86" s="17" t="str">
        <x:v>Не проверено</x:v>
      </x:c>
      <x:c r="AG86" s="17" t="str">
        <x:v>Не решено</x:v>
      </x:c>
      <x:c r="AH86" s="17" t="str">
        <x:v>Не проверено</x:v>
      </x:c>
      <x:c r="AI86" s="10" t="str">
        <x:f>IF(AC86="Отклонить","Отклонено",IF(AND(AC86="Взять",COUNTIFS(AD86:AH86,"Да")=5),"Готово","Нужна редактура"))</x:f>
        <x:v>Нужна редактура</x:v>
      </x:c>
      <x:c r="AJ86" s="17" t="str"/>
      <x:c r="AK86" s="9" t="str">
        <x:v>https://www.youtube.com/playlist?list=PLLttfoK87AdUIJwIF9Zttig6sgNk5hu5W</x:v>
      </x:c>
      <x:c r="AL86" s="9" t="n">
        <x:v>10</x:v>
      </x:c>
      <x:c r="AM86" s="9" t="n">
        <x:v>10</x:v>
      </x:c>
      <x:c r="AN86" s="9" t="n">
        <x:v>0</x:v>
      </x:c>
    </x:row>
    <x:row r="87" ht="60" customHeight="1">
      <x:c r="A87" s="9" t="str">
        <x:v>bHDB2916l_g</x:v>
      </x:c>
      <x:c r="B87" s="10" t="str">
        <x:v>קופה ראשית עונה 2🛒 | אנטולי מתערב  - פרק 11</x:v>
      </x:c>
      <x:c r="C87" s="10" t="str">
        <x:v>Повседневность и юмор</x:v>
      </x:c>
      <x:c r="D87" s="9" t="str">
        <x:v>Сериал</x:v>
      </x:c>
      <x:c r="E87" s="10" t="str">
        <x:v>Сериалы; разговорный иврит; новые репатрианты</x:v>
      </x:c>
      <x:c r="F87" s="10" t="str">
        <x:v>B1–B2 (гипотеза)</x:v>
      </x:c>
      <x:c r="G87" s="12" t="n">
        <x:v>22.9</x:v>
      </x:c>
      <x:c r="H87" s="14" t="n">
        <x:v>7897457</x:v>
      </x:c>
      <x:c r="I87" s="15" t="str">
        <x:v>Точный счётчик метаданных видео</x:v>
      </x:c>
      <x:c r="J87" s="14" t="n">
        <x:v>7800000</x:v>
      </x:c>
      <x:c r="K87" s="14" t="n">
        <x:v>7900000</x:v>
      </x:c>
      <x:c r="L87" s="12" t="n">
        <x:f>IF(COUNT(J87:K87)=2,IF(K87=0,"",J87/K87),"")</x:f>
        <x:v>0.9873417721518988</x:v>
      </x:c>
      <x:c r="M87" s="10" t="str">
        <x:v>Эпизод 11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7" s="10" t="str">
        <x:v>Выбрать диалог 2–4 минуты: просьбы, возражения, разговорные сокращения. Разыграть сцену.</x:v>
      </x:c>
      <x:c r="O87" s="10" t="str">
        <x:v>Сарказм, стереотипы, грубая речь; проверить выпуск</x:v>
      </x:c>
      <x:c r="P87" s="10" t="str">
        <x:v>Полная серия — кандидат</x:v>
      </x:c>
      <x:c r="Q87" s="9" t="str">
        <x:v>Нет</x:v>
      </x:c>
      <x:c r="R87" s="9" t="str">
        <x:v>C004</x:v>
      </x:c>
      <x:c r="S87" s="9" t="str">
        <x:v>C004</x:v>
      </x:c>
      <x:c r="T87" s="10" t="str">
        <x:v>כאן 11 - תאגיד השידור הישראלי</x:v>
      </x:c>
      <x:c r="U87" s="11" t="str">
        <x:v>https://www.youtube.com/watch?v=bHDB2916l_g</x:v>
      </x:c>
      <x:c r="V87" s="16" t="n">
        <x:v>46308</x:v>
      </x:c>
      <x:c r="W87" s="16" t="n">
        <x:v>43901</x:v>
      </x:c>
      <x:c r="X87" s="10" t="str">
        <x:v>Иврит предполагается по заголовку и источнику</x:v>
      </x:c>
      <x:c r="Y87" s="10" t="str">
        <x:v>Дорожка HE не найдена в метаданных; вшитые титры не проверены</x:v>
      </x:c>
      <x:c r="Z87" s="10" t="str">
        <x:v>Разрешено по метаданным</x:v>
      </x:c>
      <x:c r="AA87" s="10" t="str">
        <x:v>Метаданные видео; воспроизведение и содержание не проверены</x:v>
      </x:c>
      <x:c r="AB87" s="13" t="n">
        <x:f>IF(AND(ISNUMBER(H87),ISNUMBER(W87)),H87/MAX(1,'Обзор'!$B$4-W87),"")</x:f>
        <x:v>3281.0373909430828</x:v>
      </x:c>
      <x:c r="AC87" s="17" t="str">
        <x:v>Не решено</x:v>
      </x:c>
      <x:c r="AD87" s="17" t="str">
        <x:v>Не проверено</x:v>
      </x:c>
      <x:c r="AE87" s="17" t="str">
        <x:v>Не проверено</x:v>
      </x:c>
      <x:c r="AF87" s="17" t="str">
        <x:v>Не проверено</x:v>
      </x:c>
      <x:c r="AG87" s="17" t="str">
        <x:v>Не решено</x:v>
      </x:c>
      <x:c r="AH87" s="17" t="str">
        <x:v>Не проверено</x:v>
      </x:c>
      <x:c r="AI87" s="10" t="str">
        <x:f>IF(AC87="Отклонить","Отклонено",IF(AND(AC87="Взять",COUNTIFS(AD87:AH87,"Да")=5),"Готово","Нужна редактура"))</x:f>
        <x:v>Нужна редактура</x:v>
      </x:c>
      <x:c r="AJ87" s="17" t="str"/>
      <x:c r="AK87" s="9" t="str">
        <x:v>https://www.youtube.com/playlist?list=PLLttfoK87AdUIJwIF9Zttig6sgNk5hu5W</x:v>
      </x:c>
      <x:c r="AL87" s="9" t="n">
        <x:v>11</x:v>
      </x:c>
      <x:c r="AM87" s="9" t="n">
        <x:v>11</x:v>
      </x:c>
      <x:c r="AN87" s="9" t="n">
        <x:v>0</x:v>
      </x:c>
    </x:row>
    <x:row r="88" ht="60" customHeight="1">
      <x:c r="A88" s="9" t="str">
        <x:v>m-OzT2AKQ7k</x:v>
      </x:c>
      <x:c r="B88" s="10" t="str">
        <x:v>קופה ראשית עונה 2🛒 | אביחי חי ת׳חלום - פרק 12</x:v>
      </x:c>
      <x:c r="C88" s="10" t="str">
        <x:v>Повседневность и юмор</x:v>
      </x:c>
      <x:c r="D88" s="9" t="str">
        <x:v>Сериал</x:v>
      </x:c>
      <x:c r="E88" s="10" t="str">
        <x:v>Сериалы; разговорный иврит; новые репатрианты</x:v>
      </x:c>
      <x:c r="F88" s="10" t="str">
        <x:v>B1–B2 (гипотеза)</x:v>
      </x:c>
      <x:c r="G88" s="12" t="n">
        <x:v>24.4</x:v>
      </x:c>
      <x:c r="H88" s="14" t="n">
        <x:v>6470353</x:v>
      </x:c>
      <x:c r="I88" s="15" t="str">
        <x:v>Точный счётчик метаданных видео</x:v>
      </x:c>
      <x:c r="J88" s="14" t="n">
        <x:v>6400000</x:v>
      </x:c>
      <x:c r="K88" s="14" t="n">
        <x:v>7900000</x:v>
      </x:c>
      <x:c r="L88" s="12" t="n">
        <x:f>IF(COUNT(J88:K88)=2,IF(K88=0,"",J88/K88),"")</x:f>
        <x:v>0.810126582278481</x:v>
      </x:c>
      <x:c r="M88" s="10" t="str">
        <x:v>Эпизод 12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8" s="10" t="str">
        <x:v>Выбрать диалог 2–4 минуты: просьбы, возражения, разговорные сокращения. Разыграть сцену.</x:v>
      </x:c>
      <x:c r="O88" s="10" t="str">
        <x:v>Сарказм, стереотипы, грубая речь; проверить выпуск</x:v>
      </x:c>
      <x:c r="P88" s="10" t="str">
        <x:v>Полная серия — кандидат</x:v>
      </x:c>
      <x:c r="Q88" s="9" t="str">
        <x:v>Нет</x:v>
      </x:c>
      <x:c r="R88" s="9" t="str">
        <x:v>C004</x:v>
      </x:c>
      <x:c r="S88" s="9" t="str">
        <x:v>C004</x:v>
      </x:c>
      <x:c r="T88" s="10" t="str">
        <x:v>כאן 11 - תאגיד השידור הישראלי</x:v>
      </x:c>
      <x:c r="U88" s="11" t="str">
        <x:v>https://www.youtube.com/watch?v=m-OzT2AKQ7k</x:v>
      </x:c>
      <x:c r="V88" s="16" t="n">
        <x:v>46308</x:v>
      </x:c>
      <x:c r="W88" s="16" t="n">
        <x:v>43908</x:v>
      </x:c>
      <x:c r="X88" s="10" t="str">
        <x:v>Иврит предполагается по заголовку и источнику</x:v>
      </x:c>
      <x:c r="Y88" s="10" t="str">
        <x:v>Автоматическая дорожка HE по метаданным</x:v>
      </x:c>
      <x:c r="Z88" s="10" t="str">
        <x:v>Разрешено по метаданным</x:v>
      </x:c>
      <x:c r="AA88" s="10" t="str">
        <x:v>Метаданные видео; воспроизведение и содержание не проверены</x:v>
      </x:c>
      <x:c r="AB88" s="13" t="n">
        <x:f>IF(AND(ISNUMBER(H88),ISNUMBER(W88)),H88/MAX(1,'Обзор'!$B$4-W88),"")</x:f>
        <x:v>2695.9804166666668</x:v>
      </x:c>
      <x:c r="AC88" s="17" t="str">
        <x:v>Не решено</x:v>
      </x:c>
      <x:c r="AD88" s="17" t="str">
        <x:v>Не проверено</x:v>
      </x:c>
      <x:c r="AE88" s="17" t="str">
        <x:v>Не проверено</x:v>
      </x:c>
      <x:c r="AF88" s="17" t="str">
        <x:v>Не проверено</x:v>
      </x:c>
      <x:c r="AG88" s="17" t="str">
        <x:v>Не решено</x:v>
      </x:c>
      <x:c r="AH88" s="17" t="str">
        <x:v>Не проверено</x:v>
      </x:c>
      <x:c r="AI88" s="10" t="str">
        <x:f>IF(AC88="Отклонить","Отклонено",IF(AND(AC88="Взять",COUNTIFS(AD88:AH88,"Да")=5),"Готово","Нужна редактура"))</x:f>
        <x:v>Нужна редактура</x:v>
      </x:c>
      <x:c r="AJ88" s="17" t="str"/>
      <x:c r="AK88" s="9" t="str">
        <x:v>https://www.youtube.com/playlist?list=PLLttfoK87AdUIJwIF9Zttig6sgNk5hu5W</x:v>
      </x:c>
      <x:c r="AL88" s="9" t="n">
        <x:v>12</x:v>
      </x:c>
      <x:c r="AM88" s="9" t="n">
        <x:v>12</x:v>
      </x:c>
      <x:c r="AN88" s="9" t="n">
        <x:v>0</x:v>
      </x:c>
    </x:row>
    <x:row r="89" ht="60" customHeight="1">
      <x:c r="A89" s="9" t="str">
        <x:v>pBWlYbHmkJ4</x:v>
      </x:c>
      <x:c r="B89" s="10" t="str">
        <x:v>קופה ראשית עונה 2🛒 | הקרב על המזגן  - פרק 13</x:v>
      </x:c>
      <x:c r="C89" s="10" t="str">
        <x:v>Повседневность и юмор</x:v>
      </x:c>
      <x:c r="D89" s="9" t="str">
        <x:v>Сериал</x:v>
      </x:c>
      <x:c r="E89" s="10" t="str">
        <x:v>Сериалы; разговорный иврит; новые репатрианты</x:v>
      </x:c>
      <x:c r="F89" s="10" t="str">
        <x:v>B1–B2 (гипотеза)</x:v>
      </x:c>
      <x:c r="G89" s="12" t="n">
        <x:v>23.7</x:v>
      </x:c>
      <x:c r="H89" s="14" t="n">
        <x:v>10826153</x:v>
      </x:c>
      <x:c r="I89" s="15" t="str">
        <x:v>Точный счётчик метаданных видео</x:v>
      </x:c>
      <x:c r="J89" s="14" t="n">
        <x:v>10000000</x:v>
      </x:c>
      <x:c r="K89" s="14" t="n">
        <x:v>7900000</x:v>
      </x:c>
      <x:c r="L89" s="12" t="n">
        <x:f>IF(COUNT(J89:K89)=2,IF(K89=0,"",J89/K89),"")</x:f>
        <x:v>1.2658227848101267</x:v>
      </x:c>
      <x:c r="M89" s="10" t="str">
        <x:v>Эпизод 13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89" s="10" t="str">
        <x:v>Выбрать диалог 2–4 минуты: просьбы, возражения, разговорные сокращения. Разыграть сцену.</x:v>
      </x:c>
      <x:c r="O89" s="10" t="str">
        <x:v>Сарказм, стереотипы, грубая речь; проверить выпуск</x:v>
      </x:c>
      <x:c r="P89" s="10" t="str">
        <x:v>Полная серия — кандидат</x:v>
      </x:c>
      <x:c r="Q89" s="9" t="str">
        <x:v>Нет</x:v>
      </x:c>
      <x:c r="R89" s="9" t="str">
        <x:v>C004</x:v>
      </x:c>
      <x:c r="S89" s="9" t="str">
        <x:v>C004</x:v>
      </x:c>
      <x:c r="T89" s="10" t="str">
        <x:v>כאן 11 - תאגיד השידור הישראלי</x:v>
      </x:c>
      <x:c r="U89" s="11" t="str">
        <x:v>https://www.youtube.com/watch?v=pBWlYbHmkJ4</x:v>
      </x:c>
      <x:c r="V89" s="16" t="n">
        <x:v>46308</x:v>
      </x:c>
      <x:c r="W89" s="16" t="n">
        <x:v>43915</x:v>
      </x:c>
      <x:c r="X89" s="10" t="str">
        <x:v>Иврит предполагается по заголовку и источнику</x:v>
      </x:c>
      <x:c r="Y89" s="10" t="str">
        <x:v>Дорожка HE не найдена в метаданных; вшитые титры не проверены</x:v>
      </x:c>
      <x:c r="Z89" s="10" t="str">
        <x:v>Разрешено по метаданным</x:v>
      </x:c>
      <x:c r="AA89" s="10" t="str">
        <x:v>Метаданные видео; воспроизведение и содержание не проверены</x:v>
      </x:c>
      <x:c r="AB89" s="13" t="n">
        <x:f>IF(AND(ISNUMBER(H89),ISNUMBER(W89)),H89/MAX(1,'Обзор'!$B$4-W89),"")</x:f>
        <x:v>4524.092352695361</x:v>
      </x:c>
      <x:c r="AC89" s="17" t="str">
        <x:v>Не решено</x:v>
      </x:c>
      <x:c r="AD89" s="17" t="str">
        <x:v>Не проверено</x:v>
      </x:c>
      <x:c r="AE89" s="17" t="str">
        <x:v>Не проверено</x:v>
      </x:c>
      <x:c r="AF89" s="17" t="str">
        <x:v>Не проверено</x:v>
      </x:c>
      <x:c r="AG89" s="17" t="str">
        <x:v>Не решено</x:v>
      </x:c>
      <x:c r="AH89" s="17" t="str">
        <x:v>Не проверено</x:v>
      </x:c>
      <x:c r="AI89" s="10" t="str">
        <x:f>IF(AC89="Отклонить","Отклонено",IF(AND(AC89="Взять",COUNTIFS(AD89:AH89,"Да")=5),"Готово","Нужна редактура"))</x:f>
        <x:v>Нужна редактура</x:v>
      </x:c>
      <x:c r="AJ89" s="17" t="str"/>
      <x:c r="AK89" s="9" t="str">
        <x:v>https://www.youtube.com/playlist?list=PLLttfoK87AdUIJwIF9Zttig6sgNk5hu5W</x:v>
      </x:c>
      <x:c r="AL89" s="9" t="n">
        <x:v>13</x:v>
      </x:c>
      <x:c r="AM89" s="9" t="n">
        <x:v>13</x:v>
      </x:c>
      <x:c r="AN89" s="9" t="n">
        <x:v>0</x:v>
      </x:c>
    </x:row>
    <x:row r="90" ht="60" customHeight="1">
      <x:c r="A90" s="9" t="str">
        <x:v>QgAmuR_jabE</x:v>
      </x:c>
      <x:c r="B90" s="10" t="str">
        <x:v>קופה ראשית עונה 2🛒 | פסח בא - פרק 14</x:v>
      </x:c>
      <x:c r="C90" s="10" t="str">
        <x:v>Повседневность и юмор</x:v>
      </x:c>
      <x:c r="D90" s="9" t="str">
        <x:v>Сериал</x:v>
      </x:c>
      <x:c r="E90" s="10" t="str">
        <x:v>Сериалы; разговорный иврит; новые репатрианты</x:v>
      </x:c>
      <x:c r="F90" s="10" t="str">
        <x:v>B1–B2 (гипотеза)</x:v>
      </x:c>
      <x:c r="G90" s="12" t="n">
        <x:v>24</x:v>
      </x:c>
      <x:c r="H90" s="14" t="n">
        <x:v>9319980</x:v>
      </x:c>
      <x:c r="I90" s="15" t="str">
        <x:v>Точный счётчик метаданных видео</x:v>
      </x:c>
      <x:c r="J90" s="14" t="n">
        <x:v>9300000</x:v>
      </x:c>
      <x:c r="K90" s="14" t="n">
        <x:v>7900000</x:v>
      </x:c>
      <x:c r="L90" s="12" t="n">
        <x:f>IF(COUNT(J90:K90)=2,IF(K90=0,"",J90/K90),"")</x:f>
        <x:v>1.1772151898734178</x:v>
      </x:c>
      <x:c r="M90" s="10" t="str">
        <x:v>Эпизод 14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90" s="10" t="str">
        <x:v>Выбрать диалог 2–4 минуты: просьбы, возражения, разговорные сокращения. Разыграть сцену.</x:v>
      </x:c>
      <x:c r="O90" s="10" t="str">
        <x:v>Сарказм, стереотипы, грубая речь; проверить выпуск</x:v>
      </x:c>
      <x:c r="P90" s="10" t="str">
        <x:v>Полная серия — кандидат</x:v>
      </x:c>
      <x:c r="Q90" s="9" t="str">
        <x:v>Нет</x:v>
      </x:c>
      <x:c r="R90" s="9" t="str">
        <x:v>C004</x:v>
      </x:c>
      <x:c r="S90" s="9" t="str">
        <x:v>C004</x:v>
      </x:c>
      <x:c r="T90" s="10" t="str">
        <x:v>כאן 11 - תאגיד השידור הישראלי</x:v>
      </x:c>
      <x:c r="U90" s="11" t="str">
        <x:v>https://www.youtube.com/watch?v=QgAmuR_jabE</x:v>
      </x:c>
      <x:c r="V90" s="16" t="n">
        <x:v>46308</x:v>
      </x:c>
      <x:c r="W90" s="16" t="n">
        <x:v>43921</x:v>
      </x:c>
      <x:c r="X90" s="10" t="str">
        <x:v>Иврит предполагается по заголовку и источнику</x:v>
      </x:c>
      <x:c r="Y90" s="10" t="str">
        <x:v>Дорожка HE не найдена в метаданных; вшитые титры не проверены</x:v>
      </x:c>
      <x:c r="Z90" s="10" t="str">
        <x:v>Разрешено по метаданным</x:v>
      </x:c>
      <x:c r="AA90" s="10" t="str">
        <x:v>Метаданные видео; воспроизведение и содержание не проверены</x:v>
      </x:c>
      <x:c r="AB90" s="13" t="n">
        <x:f>IF(AND(ISNUMBER(H90),ISNUMBER(W90)),H90/MAX(1,'Обзор'!$B$4-W90),"")</x:f>
        <x:v>3904.4742354419773</x:v>
      </x:c>
      <x:c r="AC90" s="17" t="str">
        <x:v>Не решено</x:v>
      </x:c>
      <x:c r="AD90" s="17" t="str">
        <x:v>Не проверено</x:v>
      </x:c>
      <x:c r="AE90" s="17" t="str">
        <x:v>Не проверено</x:v>
      </x:c>
      <x:c r="AF90" s="17" t="str">
        <x:v>Не проверено</x:v>
      </x:c>
      <x:c r="AG90" s="17" t="str">
        <x:v>Не решено</x:v>
      </x:c>
      <x:c r="AH90" s="17" t="str">
        <x:v>Не проверено</x:v>
      </x:c>
      <x:c r="AI90" s="10" t="str">
        <x:f>IF(AC90="Отклонить","Отклонено",IF(AND(AC90="Взять",COUNTIFS(AD90:AH90,"Да")=5),"Готово","Нужна редактура"))</x:f>
        <x:v>Нужна редактура</x:v>
      </x:c>
      <x:c r="AJ90" s="17" t="str"/>
      <x:c r="AK90" s="9" t="str">
        <x:v>https://www.youtube.com/playlist?list=PLLttfoK87AdUIJwIF9Zttig6sgNk5hu5W</x:v>
      </x:c>
      <x:c r="AL90" s="9" t="n">
        <x:v>14</x:v>
      </x:c>
      <x:c r="AM90" s="9" t="n">
        <x:v>14</x:v>
      </x:c>
      <x:c r="AN90" s="9" t="n">
        <x:v>0</x:v>
      </x:c>
    </x:row>
    <x:row r="91" ht="60" customHeight="1">
      <x:c r="A91" s="9" t="str">
        <x:v>XsVVGpb-X5E</x:v>
      </x:c>
      <x:c r="B91" s="10" t="str">
        <x:v>קופה ראשית עונה 2🛒 | אמנון לא מתנצל - פרק 15</x:v>
      </x:c>
      <x:c r="C91" s="10" t="str">
        <x:v>Повседневность и юмор</x:v>
      </x:c>
      <x:c r="D91" s="9" t="str">
        <x:v>Сериал</x:v>
      </x:c>
      <x:c r="E91" s="10" t="str">
        <x:v>Сериалы; разговорный иврит; новые репатрианты</x:v>
      </x:c>
      <x:c r="F91" s="10" t="str">
        <x:v>B1–B2 (гипотеза)</x:v>
      </x:c>
      <x:c r="G91" s="12" t="n">
        <x:v>23.7</x:v>
      </x:c>
      <x:c r="H91" s="14" t="n">
        <x:v>8345586</x:v>
      </x:c>
      <x:c r="I91" s="15" t="str">
        <x:v>Точный счётчик метаданных видео</x:v>
      </x:c>
      <x:c r="J91" s="14" t="n">
        <x:v>8300000</x:v>
      </x:c>
      <x:c r="K91" s="14" t="n">
        <x:v>7900000</x:v>
      </x:c>
      <x:c r="L91" s="12" t="n">
        <x:f>IF(COUNT(J91:K91)=2,IF(K91=0,"",J91/K91),"")</x:f>
        <x:v>1.0506329113924051</x:v>
      </x:c>
      <x:c r="M91" s="10" t="str">
        <x:v>Эпизод 15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91" s="10" t="str">
        <x:v>Выбрать диалог 2–4 минуты: просьбы, возражения, разговорные сокращения. Разыграть сцену.</x:v>
      </x:c>
      <x:c r="O91" s="10" t="str">
        <x:v>Сарказм, стереотипы, грубая речь; проверить выпуск</x:v>
      </x:c>
      <x:c r="P91" s="10" t="str">
        <x:v>Полная серия — кандидат</x:v>
      </x:c>
      <x:c r="Q91" s="9" t="str">
        <x:v>Нет</x:v>
      </x:c>
      <x:c r="R91" s="9" t="str">
        <x:v>C004</x:v>
      </x:c>
      <x:c r="S91" s="9" t="str">
        <x:v>C004</x:v>
      </x:c>
      <x:c r="T91" s="10" t="str">
        <x:v>כאן 11 - תאגיד השידור הישראלי</x:v>
      </x:c>
      <x:c r="U91" s="11" t="str">
        <x:v>https://www.youtube.com/watch?v=XsVVGpb-X5E</x:v>
      </x:c>
      <x:c r="V91" s="16" t="n">
        <x:v>46308</x:v>
      </x:c>
      <x:c r="W91" s="16" t="n">
        <x:v>43928</x:v>
      </x:c>
      <x:c r="X91" s="10" t="str">
        <x:v>Иврит предполагается по заголовку и источнику</x:v>
      </x:c>
      <x:c r="Y91" s="10" t="str">
        <x:v>Дорожка HE не найдена в метаданных; вшитые титры не проверены</x:v>
      </x:c>
      <x:c r="Z91" s="10" t="str">
        <x:v>Разрешено по метаданным</x:v>
      </x:c>
      <x:c r="AA91" s="10" t="str">
        <x:v>Метаданные видео; воспроизведение и содержание не проверены</x:v>
      </x:c>
      <x:c r="AB91" s="13" t="n">
        <x:f>IF(AND(ISNUMBER(H91),ISNUMBER(W91)),H91/MAX(1,'Обзор'!$B$4-W91),"")</x:f>
        <x:v>3506.548739495798</x:v>
      </x:c>
      <x:c r="AC91" s="17" t="str">
        <x:v>Не решено</x:v>
      </x:c>
      <x:c r="AD91" s="17" t="str">
        <x:v>Не проверено</x:v>
      </x:c>
      <x:c r="AE91" s="17" t="str">
        <x:v>Не проверено</x:v>
      </x:c>
      <x:c r="AF91" s="17" t="str">
        <x:v>Не проверено</x:v>
      </x:c>
      <x:c r="AG91" s="17" t="str">
        <x:v>Не решено</x:v>
      </x:c>
      <x:c r="AH91" s="17" t="str">
        <x:v>Не проверено</x:v>
      </x:c>
      <x:c r="AI91" s="10" t="str">
        <x:f>IF(AC91="Отклонить","Отклонено",IF(AND(AC91="Взять",COUNTIFS(AD91:AH91,"Да")=5),"Готово","Нужна редактура"))</x:f>
        <x:v>Нужна редактура</x:v>
      </x:c>
      <x:c r="AJ91" s="17" t="str"/>
      <x:c r="AK91" s="9" t="str">
        <x:v>https://www.youtube.com/playlist?list=PLLttfoK87AdUIJwIF9Zttig6sgNk5hu5W</x:v>
      </x:c>
      <x:c r="AL91" s="9" t="n">
        <x:v>15</x:v>
      </x:c>
      <x:c r="AM91" s="9" t="n">
        <x:v>15</x:v>
      </x:c>
      <x:c r="AN91" s="9" t="n">
        <x:v>0</x:v>
      </x:c>
    </x:row>
    <x:row r="92" ht="60" customHeight="1">
      <x:c r="A92" s="9" t="str">
        <x:v>xF7oMsU5des</x:v>
      </x:c>
      <x:c r="B92" s="10" t="str">
        <x:v>קופה ראשית עונה 2🛒 | שירה לא אחראית - פרק 16</x:v>
      </x:c>
      <x:c r="C92" s="10" t="str">
        <x:v>Повседневность и юмор</x:v>
      </x:c>
      <x:c r="D92" s="9" t="str">
        <x:v>Сериал</x:v>
      </x:c>
      <x:c r="E92" s="10" t="str">
        <x:v>Сериалы; разговорный иврит; новые репатрианты</x:v>
      </x:c>
      <x:c r="F92" s="10" t="str">
        <x:v>B1–B2 (гипотеза)</x:v>
      </x:c>
      <x:c r="G92" s="12" t="n">
        <x:v>23</x:v>
      </x:c>
      <x:c r="H92" s="14" t="n">
        <x:v>7260426</x:v>
      </x:c>
      <x:c r="I92" s="15" t="str">
        <x:v>Точный счётчик метаданных видео</x:v>
      </x:c>
      <x:c r="J92" s="14" t="n">
        <x:v>7200000</x:v>
      </x:c>
      <x:c r="K92" s="14" t="n">
        <x:v>7900000</x:v>
      </x:c>
      <x:c r="L92" s="12" t="n">
        <x:f>IF(COUNT(J92:K92)=2,IF(K92=0,"",J92/K92),"")</x:f>
        <x:v>0.9113924050632911</x:v>
      </x:c>
      <x:c r="M92" s="10" t="str">
        <x:v>Эпизод 16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92" s="10" t="str">
        <x:v>Выбрать диалог 2–4 минуты: просьбы, возражения, разговорные сокращения. Разыграть сцену.</x:v>
      </x:c>
      <x:c r="O92" s="10" t="str">
        <x:v>Сарказм, стереотипы, грубая речь; проверить выпуск</x:v>
      </x:c>
      <x:c r="P92" s="10" t="str">
        <x:v>Полная серия — кандидат</x:v>
      </x:c>
      <x:c r="Q92" s="9" t="str">
        <x:v>Нет</x:v>
      </x:c>
      <x:c r="R92" s="9" t="str">
        <x:v>C004</x:v>
      </x:c>
      <x:c r="S92" s="9" t="str">
        <x:v>C004</x:v>
      </x:c>
      <x:c r="T92" s="10" t="str">
        <x:v>כאן 11 - תאגיד השידור הישראלי</x:v>
      </x:c>
      <x:c r="U92" s="11" t="str">
        <x:v>https://www.youtube.com/watch?v=xF7oMsU5des</x:v>
      </x:c>
      <x:c r="V92" s="16" t="n">
        <x:v>46308</x:v>
      </x:c>
      <x:c r="W92" s="16" t="n">
        <x:v>43931</x:v>
      </x:c>
      <x:c r="X92" s="10" t="str">
        <x:v>Иврит предполагается по заголовку и источнику</x:v>
      </x:c>
      <x:c r="Y92" s="10" t="str">
        <x:v>Дорожка HE не найдена в метаданных; вшитые титры не проверены</x:v>
      </x:c>
      <x:c r="Z92" s="10" t="str">
        <x:v>Разрешено по метаданным</x:v>
      </x:c>
      <x:c r="AA92" s="10" t="str">
        <x:v>Метаданные видео; воспроизведение и содержание не проверены</x:v>
      </x:c>
      <x:c r="AB92" s="13" t="n">
        <x:f>IF(AND(ISNUMBER(H92),ISNUMBER(W92)),H92/MAX(1,'Обзор'!$B$4-W92),"")</x:f>
        <x:v>3054.4493058477074</x:v>
      </x:c>
      <x:c r="AC92" s="17" t="str">
        <x:v>Не решено</x:v>
      </x:c>
      <x:c r="AD92" s="17" t="str">
        <x:v>Не проверено</x:v>
      </x:c>
      <x:c r="AE92" s="17" t="str">
        <x:v>Не проверено</x:v>
      </x:c>
      <x:c r="AF92" s="17" t="str">
        <x:v>Не проверено</x:v>
      </x:c>
      <x:c r="AG92" s="17" t="str">
        <x:v>Не решено</x:v>
      </x:c>
      <x:c r="AH92" s="17" t="str">
        <x:v>Не проверено</x:v>
      </x:c>
      <x:c r="AI92" s="10" t="str">
        <x:f>IF(AC92="Отклонить","Отклонено",IF(AND(AC92="Взять",COUNTIFS(AD92:AH92,"Да")=5),"Готово","Нужна редактура"))</x:f>
        <x:v>Нужна редактура</x:v>
      </x:c>
      <x:c r="AJ92" s="17" t="str"/>
      <x:c r="AK92" s="9" t="str">
        <x:v>https://www.youtube.com/playlist?list=PLLttfoK87AdUIJwIF9Zttig6sgNk5hu5W</x:v>
      </x:c>
      <x:c r="AL92" s="9" t="n">
        <x:v>16</x:v>
      </x:c>
      <x:c r="AM92" s="9" t="n">
        <x:v>16</x:v>
      </x:c>
      <x:c r="AN92" s="9" t="n">
        <x:v>0</x:v>
      </x:c>
    </x:row>
    <x:row r="93" ht="60" customHeight="1">
      <x:c r="A93" s="9" t="str">
        <x:v>JB2IySKvXfc</x:v>
      </x:c>
      <x:c r="B93" s="10" t="str">
        <x:v>קופה ראשית עונה 2🛒 | ראמזי ושודדי העגלות - פרק 17</x:v>
      </x:c>
      <x:c r="C93" s="10" t="str">
        <x:v>Повседневность и юмор</x:v>
      </x:c>
      <x:c r="D93" s="9" t="str">
        <x:v>Сериал</x:v>
      </x:c>
      <x:c r="E93" s="10" t="str">
        <x:v>Сериалы; разговорный иврит; новые репатрианты</x:v>
      </x:c>
      <x:c r="F93" s="10" t="str">
        <x:v>B1–B2 (гипотеза)</x:v>
      </x:c>
      <x:c r="G93" s="12" t="n">
        <x:v>23.4</x:v>
      </x:c>
      <x:c r="H93" s="14" t="n">
        <x:v>5200954</x:v>
      </x:c>
      <x:c r="I93" s="15" t="str">
        <x:v>Точный счётчик метаданных видео</x:v>
      </x:c>
      <x:c r="J93" s="14" t="n">
        <x:v>5200000</x:v>
      </x:c>
      <x:c r="K93" s="14" t="n">
        <x:v>7900000</x:v>
      </x:c>
      <x:c r="L93" s="12" t="n">
        <x:f>IF(COUNT(J93:K93)=2,IF(K93=0,"",J93/K93),"")</x:f>
        <x:v>0.6582278481012658</x:v>
      </x:c>
      <x:c r="M93" s="10" t="str">
        <x:v>Эпизод 17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93" s="10" t="str">
        <x:v>Выбрать диалог 2–4 минуты: просьбы, возражения, разговорные сокращения. Разыграть сцену.</x:v>
      </x:c>
      <x:c r="O93" s="10" t="str">
        <x:v>Сарказм, стереотипы, грубая речь; проверить выпуск</x:v>
      </x:c>
      <x:c r="P93" s="10" t="str">
        <x:v>Полная серия — кандидат</x:v>
      </x:c>
      <x:c r="Q93" s="9" t="str">
        <x:v>Нет</x:v>
      </x:c>
      <x:c r="R93" s="9" t="str">
        <x:v>C004</x:v>
      </x:c>
      <x:c r="S93" s="9" t="str">
        <x:v>C004</x:v>
      </x:c>
      <x:c r="T93" s="10" t="str">
        <x:v>כאן 11 - תאגיד השידור הישראלי</x:v>
      </x:c>
      <x:c r="U93" s="11" t="str">
        <x:v>https://www.youtube.com/watch?v=JB2IySKvXfc</x:v>
      </x:c>
      <x:c r="V93" s="16" t="n">
        <x:v>46308</x:v>
      </x:c>
      <x:c r="W93" s="16" t="n">
        <x:v>43935</x:v>
      </x:c>
      <x:c r="X93" s="10" t="str">
        <x:v>Иврит предполагается по заголовку и источнику</x:v>
      </x:c>
      <x:c r="Y93" s="10" t="str">
        <x:v>Дорожка HE не найдена в метаданных; вшитые титры не проверены</x:v>
      </x:c>
      <x:c r="Z93" s="10" t="str">
        <x:v>Разрешено по метаданным</x:v>
      </x:c>
      <x:c r="AA93" s="10" t="str">
        <x:v>Метаданные видео; воспроизведение и содержание не проверены</x:v>
      </x:c>
      <x:c r="AB93" s="13" t="n">
        <x:f>IF(AND(ISNUMBER(H93),ISNUMBER(W93)),H93/MAX(1,'Обзор'!$B$4-W93),"")</x:f>
        <x:v>2191.7210282343026</x:v>
      </x:c>
      <x:c r="AC93" s="17" t="str">
        <x:v>Не решено</x:v>
      </x:c>
      <x:c r="AD93" s="17" t="str">
        <x:v>Не проверено</x:v>
      </x:c>
      <x:c r="AE93" s="17" t="str">
        <x:v>Не проверено</x:v>
      </x:c>
      <x:c r="AF93" s="17" t="str">
        <x:v>Не проверено</x:v>
      </x:c>
      <x:c r="AG93" s="17" t="str">
        <x:v>Не решено</x:v>
      </x:c>
      <x:c r="AH93" s="17" t="str">
        <x:v>Не проверено</x:v>
      </x:c>
      <x:c r="AI93" s="10" t="str">
        <x:f>IF(AC93="Отклонить","Отклонено",IF(AND(AC93="Взять",COUNTIFS(AD93:AH93,"Да")=5),"Готово","Нужна редактура"))</x:f>
        <x:v>Нужна редактура</x:v>
      </x:c>
      <x:c r="AJ93" s="17" t="str"/>
      <x:c r="AK93" s="9" t="str">
        <x:v>https://www.youtube.com/playlist?list=PLLttfoK87AdUIJwIF9Zttig6sgNk5hu5W</x:v>
      </x:c>
      <x:c r="AL93" s="9" t="n">
        <x:v>17</x:v>
      </x:c>
      <x:c r="AM93" s="9" t="n">
        <x:v>17</x:v>
      </x:c>
      <x:c r="AN93" s="9" t="n">
        <x:v>0</x:v>
      </x:c>
    </x:row>
    <x:row r="94" ht="60" customHeight="1">
      <x:c r="A94" s="9" t="str">
        <x:v>wauwpe0FxEU</x:v>
      </x:c>
      <x:c r="B94" s="10" t="str">
        <x:v>קופה ראשית עונה 2🛒 | חמישים מיליון - פרק 18</x:v>
      </x:c>
      <x:c r="C94" s="10" t="str">
        <x:v>Повседневность и юмор</x:v>
      </x:c>
      <x:c r="D94" s="9" t="str">
        <x:v>Сериал</x:v>
      </x:c>
      <x:c r="E94" s="10" t="str">
        <x:v>Сериалы; разговорный иврит; новые репатрианты</x:v>
      </x:c>
      <x:c r="F94" s="10" t="str">
        <x:v>B1–B2 (гипотеза)</x:v>
      </x:c>
      <x:c r="G94" s="12" t="n">
        <x:v>24.6</x:v>
      </x:c>
      <x:c r="H94" s="14" t="n">
        <x:v>7909881</x:v>
      </x:c>
      <x:c r="I94" s="15" t="str">
        <x:v>Точный счётчик метаданных видео</x:v>
      </x:c>
      <x:c r="J94" s="14" t="n">
        <x:v>7900000</x:v>
      </x:c>
      <x:c r="K94" s="14" t="n">
        <x:v>7900000</x:v>
      </x:c>
      <x:c r="L94" s="12" t="n">
        <x:f>IF(COUNT(J94:K94)=2,IF(K94=0,"",J94/K94),"")</x:f>
        <x:v>1</x:v>
      </x:c>
      <x:c r="M94" s="10" t="str">
        <x:v>Эпизод 18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94" s="10" t="str">
        <x:v>Выбрать диалог 2–4 минуты: просьбы, возражения, разговорные сокращения. Разыграть сцену.</x:v>
      </x:c>
      <x:c r="O94" s="10" t="str">
        <x:v>Сарказм, стереотипы, грубая речь; проверить выпуск</x:v>
      </x:c>
      <x:c r="P94" s="10" t="str">
        <x:v>Полная серия — кандидат</x:v>
      </x:c>
      <x:c r="Q94" s="9" t="str">
        <x:v>Нет</x:v>
      </x:c>
      <x:c r="R94" s="9" t="str">
        <x:v>C004</x:v>
      </x:c>
      <x:c r="S94" s="9" t="str">
        <x:v>C004</x:v>
      </x:c>
      <x:c r="T94" s="10" t="str">
        <x:v>כאן 11 - תאגיד השידור הישראלי</x:v>
      </x:c>
      <x:c r="U94" s="11" t="str">
        <x:v>https://www.youtube.com/watch?v=wauwpe0FxEU</x:v>
      </x:c>
      <x:c r="V94" s="16" t="n">
        <x:v>46308</x:v>
      </x:c>
      <x:c r="W94" s="16" t="n">
        <x:v>43943</x:v>
      </x:c>
      <x:c r="X94" s="10" t="str">
        <x:v>Иврит предполагается по заголовку и источнику</x:v>
      </x:c>
      <x:c r="Y94" s="10" t="str">
        <x:v>Дорожка HE не найдена в метаданных; вшитые титры не проверены</x:v>
      </x:c>
      <x:c r="Z94" s="10" t="str">
        <x:v>Разрешено по метаданным</x:v>
      </x:c>
      <x:c r="AA94" s="10" t="str">
        <x:v>Метаданные видео; воспроизведение и содержание не проверены</x:v>
      </x:c>
      <x:c r="AB94" s="13" t="n">
        <x:f>IF(AND(ISNUMBER(H94),ISNUMBER(W94)),H94/MAX(1,'Обзор'!$B$4-W94),"")</x:f>
        <x:v>3344.558562367865</x:v>
      </x:c>
      <x:c r="AC94" s="17" t="str">
        <x:v>Не решено</x:v>
      </x:c>
      <x:c r="AD94" s="17" t="str">
        <x:v>Не проверено</x:v>
      </x:c>
      <x:c r="AE94" s="17" t="str">
        <x:v>Не проверено</x:v>
      </x:c>
      <x:c r="AF94" s="17" t="str">
        <x:v>Не проверено</x:v>
      </x:c>
      <x:c r="AG94" s="17" t="str">
        <x:v>Не решено</x:v>
      </x:c>
      <x:c r="AH94" s="17" t="str">
        <x:v>Не проверено</x:v>
      </x:c>
      <x:c r="AI94" s="10" t="str">
        <x:f>IF(AC94="Отклонить","Отклонено",IF(AND(AC94="Взять",COUNTIFS(AD94:AH94,"Да")=5),"Готово","Нужна редактура"))</x:f>
        <x:v>Нужна редактура</x:v>
      </x:c>
      <x:c r="AJ94" s="17" t="str"/>
      <x:c r="AK94" s="9" t="str">
        <x:v>https://www.youtube.com/playlist?list=PLLttfoK87AdUIJwIF9Zttig6sgNk5hu5W</x:v>
      </x:c>
      <x:c r="AL94" s="9" t="n">
        <x:v>18</x:v>
      </x:c>
      <x:c r="AM94" s="9" t="n">
        <x:v>18</x:v>
      </x:c>
      <x:c r="AN94" s="9" t="n">
        <x:v>0</x:v>
      </x:c>
    </x:row>
    <x:row r="95" ht="60" customHeight="1">
      <x:c r="A95" s="9" t="str">
        <x:v>CF48yUSGFj8</x:v>
      </x:c>
      <x:c r="B95" s="10" t="str">
        <x:v>כוכבי קופה ראשית במבצע אריזת מזון 🛒</x:v>
      </x:c>
      <x:c r="C95" s="10" t="str">
        <x:v>Повседневность и юмор</x:v>
      </x:c>
      <x:c r="D95" s="9" t="str">
        <x:v>Сериал</x:v>
      </x:c>
      <x:c r="E95" s="10" t="str">
        <x:v>Сериалы; разговорный иврит; новые репатрианты</x:v>
      </x:c>
      <x:c r="F95" s="10" t="str">
        <x:v>B1–B2 (гипотеза)</x:v>
      </x:c>
      <x:c r="G95" s="12" t="n">
        <x:v>6</x:v>
      </x:c>
      <x:c r="H95" s="14" t="n">
        <x:v>807000</x:v>
      </x:c>
      <x:c r="I95" s="15" t="str">
        <x:v>Округлённый счётчик в списке YouTube</x:v>
      </x:c>
      <x:c r="J95" s="14" t="n">
        <x:v>807000</x:v>
      </x:c>
      <x:c r="K95" s="14" t="n">
        <x:v>7900000</x:v>
      </x:c>
      <x:c r="L95" s="12" t="n">
        <x:f>IF(COUNT(J95:K95)=2,IF(K95=0,"",J95/K95),"")</x:f>
        <x:v>0.10215189873417721</x:v>
      </x:c>
      <x:c r="M95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95" s="10" t="str">
        <x:v>Выбрать диалог 2–4 минуты: просьбы, возражения, разговорные сокращения. Разыграть сцену.</x:v>
      </x:c>
      <x:c r="O95" s="10" t="str">
        <x:v>Сарказм, стереотипы, грубая речь; проверить выпуск</x:v>
      </x:c>
      <x:c r="P95" s="10" t="str">
        <x:v>Фрагмент сериала</x:v>
      </x:c>
      <x:c r="Q95" s="9" t="str">
        <x:v>Нет</x:v>
      </x:c>
      <x:c r="R95" s="9" t="str">
        <x:v>C004</x:v>
      </x:c>
      <x:c r="S95" s="9" t="str">
        <x:v>C004</x:v>
      </x:c>
      <x:c r="T95" s="10" t="str">
        <x:v>כאן 11 - תאגיד השידור הישראלי</x:v>
      </x:c>
      <x:c r="U95" s="11" t="str">
        <x:v>https://www.youtube.com/watch?v=CF48yUSGFj8</x:v>
      </x:c>
      <x:c r="V95" s="16" t="n">
        <x:v>46308</x:v>
      </x:c>
      <x:c r="W95" s="16"/>
      <x:c r="X95" s="10" t="str">
        <x:v>Иврит предполагается по заголовку и источнику</x:v>
      </x:c>
      <x:c r="Y95" s="10" t="str">
        <x:v>Не проверено</x:v>
      </x:c>
      <x:c r="Z95" s="10" t="str">
        <x:v>Не проверено</x:v>
      </x:c>
      <x:c r="AA95" s="10" t="str">
        <x:v>Метаданные списка; видео не просмотрено</x:v>
      </x:c>
      <x:c r="AB95" s="13" t="str">
        <x:f>IF(AND(ISNUMBER(H95),ISNUMBER(W95)),H95/MAX(1,'Обзор'!$B$4-W95),"")</x:f>
      </x:c>
      <x:c r="AC95" s="17" t="str">
        <x:v>Не решено</x:v>
      </x:c>
      <x:c r="AD95" s="17" t="str">
        <x:v>Не проверено</x:v>
      </x:c>
      <x:c r="AE95" s="17" t="str">
        <x:v>Не проверено</x:v>
      </x:c>
      <x:c r="AF95" s="17" t="str">
        <x:v>Не проверено</x:v>
      </x:c>
      <x:c r="AG95" s="17" t="str">
        <x:v>Не решено</x:v>
      </x:c>
      <x:c r="AH95" s="17" t="str">
        <x:v>Не проверено</x:v>
      </x:c>
      <x:c r="AI95" s="10" t="str">
        <x:f>IF(AC95="Отклонить","Отклонено",IF(AND(AC95="Взять",COUNTIFS(AD95:AH95,"Да")=5),"Готово","Нужна редактура"))</x:f>
        <x:v>Нужна редактура</x:v>
      </x:c>
      <x:c r="AJ95" s="17" t="str"/>
      <x:c r="AK95" s="9" t="str">
        <x:v>https://www.youtube.com/playlist?list=PLLttfoK87AdUIJwIF9Zttig6sgNk5hu5W</x:v>
      </x:c>
      <x:c r="AL95" s="9" t="n">
        <x:v>19</x:v>
      </x:c>
      <x:c r="AM95" s="9"/>
      <x:c r="AN95" s="9"/>
    </x:row>
    <x:row r="96" ht="60" customHeight="1">
      <x:c r="A96" s="9" t="str">
        <x:v>Y6XR7sIvlzE</x:v>
      </x:c>
      <x:c r="B96" s="10" t="str">
        <x:v>קופה ראשית עונה 2🛒 | מה עושים עם כוכבה - פרק 19</x:v>
      </x:c>
      <x:c r="C96" s="10" t="str">
        <x:v>Повседневность и юмор</x:v>
      </x:c>
      <x:c r="D96" s="9" t="str">
        <x:v>Сериал</x:v>
      </x:c>
      <x:c r="E96" s="10" t="str">
        <x:v>Сериалы; разговорный иврит; новые репатрианты</x:v>
      </x:c>
      <x:c r="F96" s="10" t="str">
        <x:v>B1–B2 (гипотеза)</x:v>
      </x:c>
      <x:c r="G96" s="12" t="n">
        <x:v>26.5</x:v>
      </x:c>
      <x:c r="H96" s="14" t="n">
        <x:v>9325983</x:v>
      </x:c>
      <x:c r="I96" s="15" t="str">
        <x:v>Точный счётчик метаданных видео</x:v>
      </x:c>
      <x:c r="J96" s="14" t="n">
        <x:v>9300000</x:v>
      </x:c>
      <x:c r="K96" s="14" t="n">
        <x:v>7900000</x:v>
      </x:c>
      <x:c r="L96" s="12" t="n">
        <x:f>IF(COUNT(J96:K96)=2,IF(K96=0,"",J96/K96),"")</x:f>
        <x:v>1.1772151898734178</x:v>
      </x:c>
      <x:c r="M96" s="10" t="str">
        <x:v>Эпизод 19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96" s="10" t="str">
        <x:v>Выбрать диалог 2–4 минуты: просьбы, возражения, разговорные сокращения. Разыграть сцену.</x:v>
      </x:c>
      <x:c r="O96" s="10" t="str">
        <x:v>Сарказм, стереотипы, грубая речь; проверить выпуск</x:v>
      </x:c>
      <x:c r="P96" s="10" t="str">
        <x:v>Полная серия — кандидат</x:v>
      </x:c>
      <x:c r="Q96" s="9" t="str">
        <x:v>Нет</x:v>
      </x:c>
      <x:c r="R96" s="9" t="str">
        <x:v>C004</x:v>
      </x:c>
      <x:c r="S96" s="9" t="str">
        <x:v>C004</x:v>
      </x:c>
      <x:c r="T96" s="10" t="str">
        <x:v>כאן 11 - תאגיד השידור הישראלי</x:v>
      </x:c>
      <x:c r="U96" s="11" t="str">
        <x:v>https://www.youtube.com/watch?v=Y6XR7sIvlzE</x:v>
      </x:c>
      <x:c r="V96" s="16" t="n">
        <x:v>46308</x:v>
      </x:c>
      <x:c r="W96" s="16" t="n">
        <x:v>43951</x:v>
      </x:c>
      <x:c r="X96" s="10" t="str">
        <x:v>Иврит предполагается по заголовку и источнику</x:v>
      </x:c>
      <x:c r="Y96" s="10" t="str">
        <x:v>Дорожка HE не найдена в метаданных; вшитые титры не проверены</x:v>
      </x:c>
      <x:c r="Z96" s="10" t="str">
        <x:v>Разрешено по метаданным</x:v>
      </x:c>
      <x:c r="AA96" s="10" t="str">
        <x:v>Метаданные видео; воспроизведение и содержание не проверены</x:v>
      </x:c>
      <x:c r="AB96" s="13" t="n">
        <x:f>IF(AND(ISNUMBER(H96),ISNUMBER(W96)),H96/MAX(1,'Обзор'!$B$4-W96),"")</x:f>
        <x:v>3956.7174374204496</x:v>
      </x:c>
      <x:c r="AC96" s="17" t="str">
        <x:v>Не решено</x:v>
      </x:c>
      <x:c r="AD96" s="17" t="str">
        <x:v>Не проверено</x:v>
      </x:c>
      <x:c r="AE96" s="17" t="str">
        <x:v>Не проверено</x:v>
      </x:c>
      <x:c r="AF96" s="17" t="str">
        <x:v>Не проверено</x:v>
      </x:c>
      <x:c r="AG96" s="17" t="str">
        <x:v>Не решено</x:v>
      </x:c>
      <x:c r="AH96" s="17" t="str">
        <x:v>Не проверено</x:v>
      </x:c>
      <x:c r="AI96" s="10" t="str">
        <x:f>IF(AC96="Отклонить","Отклонено",IF(AND(AC96="Взять",COUNTIFS(AD96:AH96,"Да")=5),"Готово","Нужна редактура"))</x:f>
        <x:v>Нужна редактура</x:v>
      </x:c>
      <x:c r="AJ96" s="17" t="str"/>
      <x:c r="AK96" s="9" t="str">
        <x:v>https://www.youtube.com/playlist?list=PLLttfoK87AdUIJwIF9Zttig6sgNk5hu5W</x:v>
      </x:c>
      <x:c r="AL96" s="9" t="n">
        <x:v>20</x:v>
      </x:c>
      <x:c r="AM96" s="9" t="n">
        <x:v>19</x:v>
      </x:c>
      <x:c r="AN96" s="9" t="n">
        <x:v>0</x:v>
      </x:c>
    </x:row>
    <x:row r="97" ht="60" customHeight="1">
      <x:c r="A97" s="9" t="str">
        <x:v>sUk3HfSllFc</x:v>
      </x:c>
      <x:c r="B97" s="10" t="str">
        <x:v>קופה ראשית עונה 2🛒 | מה עושים בלי כוכבה - פרק 20 (אחרון לעונה) 🔥</x:v>
      </x:c>
      <x:c r="C97" s="10" t="str">
        <x:v>Повседневность и юмор</x:v>
      </x:c>
      <x:c r="D97" s="9" t="str">
        <x:v>Сериал</x:v>
      </x:c>
      <x:c r="E97" s="10" t="str">
        <x:v>Сериалы; разговорный иврит; новые репатрианты</x:v>
      </x:c>
      <x:c r="F97" s="10" t="str">
        <x:v>B1–B2 (гипотеза)</x:v>
      </x:c>
      <x:c r="G97" s="12" t="n">
        <x:v>30.3</x:v>
      </x:c>
      <x:c r="H97" s="14" t="n">
        <x:v>10249481</x:v>
      </x:c>
      <x:c r="I97" s="15" t="str">
        <x:v>Точный счётчик метаданных видео</x:v>
      </x:c>
      <x:c r="J97" s="14" t="n">
        <x:v>10000000</x:v>
      </x:c>
      <x:c r="K97" s="14" t="n">
        <x:v>7900000</x:v>
      </x:c>
      <x:c r="L97" s="12" t="n">
        <x:f>IF(COUNT(J97:K97)=2,IF(K97=0,"",J97/K97),"")</x:f>
        <x:v>1.2658227848101267</x:v>
      </x:c>
      <x:c r="M97" s="10" t="str">
        <x:v>Эпизод 20 в знакомой сюжетной ветке. Повторяющиеся герои и ситуации супермаркета создают повод вернуться к следующему выпуску. Живая бытовая речь пригодится при покупках и общении на работе.</x:v>
      </x:c>
      <x:c r="N97" s="10" t="str">
        <x:v>Выбрать диалог 2–4 минуты: просьбы, возражения, разговорные сокращения. Разыграть сцену.</x:v>
      </x:c>
      <x:c r="O97" s="10" t="str">
        <x:v>Сарказм, стереотипы, грубая речь; проверить выпуск</x:v>
      </x:c>
      <x:c r="P97" s="10" t="str">
        <x:v>Полная серия — кандидат</x:v>
      </x:c>
      <x:c r="Q97" s="9" t="str">
        <x:v>Нет</x:v>
      </x:c>
      <x:c r="R97" s="9" t="str">
        <x:v>C004</x:v>
      </x:c>
      <x:c r="S97" s="9" t="str">
        <x:v>C004</x:v>
      </x:c>
      <x:c r="T97" s="10" t="str">
        <x:v>כאן 11 - תאגיד השידור הישראלי</x:v>
      </x:c>
      <x:c r="U97" s="11" t="str">
        <x:v>https://www.youtube.com/watch?v=sUk3HfSllFc</x:v>
      </x:c>
      <x:c r="V97" s="16" t="n">
        <x:v>46308</x:v>
      </x:c>
      <x:c r="W97" s="16" t="n">
        <x:v>43959</x:v>
      </x:c>
      <x:c r="X97" s="10" t="str">
        <x:v>Иврит предполагается по заголовку и источнику</x:v>
      </x:c>
      <x:c r="Y97" s="10" t="str">
        <x:v>Дорожка HE не найдена в метаданных; вшитые титры не проверены</x:v>
      </x:c>
      <x:c r="Z97" s="10" t="str">
        <x:v>Разрешено по метаданным</x:v>
      </x:c>
      <x:c r="AA97" s="10" t="str">
        <x:v>Метаданные видео; воспроизведение и содержание не проверены</x:v>
      </x:c>
      <x:c r="AB97" s="13" t="n">
        <x:f>IF(AND(ISNUMBER(H97),ISNUMBER(W97)),H97/MAX(1,'Обзор'!$B$4-W97),"")</x:f>
        <x:v>4363.3380161770965</x:v>
      </x:c>
      <x:c r="AC97" s="17" t="str">
        <x:v>Не решено</x:v>
      </x:c>
      <x:c r="AD97" s="17" t="str">
        <x:v>Не проверено</x:v>
      </x:c>
      <x:c r="AE97" s="17" t="str">
        <x:v>Не проверено</x:v>
      </x:c>
      <x:c r="AF97" s="17" t="str">
        <x:v>Не проверено</x:v>
      </x:c>
      <x:c r="AG97" s="17" t="str">
        <x:v>Не решено</x:v>
      </x:c>
      <x:c r="AH97" s="17" t="str">
        <x:v>Не проверено</x:v>
      </x:c>
      <x:c r="AI97" s="10" t="str">
        <x:f>IF(AC97="Отклонить","Отклонено",IF(AND(AC97="Взять",COUNTIFS(AD97:AH97,"Да")=5),"Готово","Нужна редактура"))</x:f>
        <x:v>Нужна редактура</x:v>
      </x:c>
      <x:c r="AJ97" s="17" t="str"/>
      <x:c r="AK97" s="9" t="str">
        <x:v>https://www.youtube.com/playlist?list=PLLttfoK87AdUIJwIF9Zttig6sgNk5hu5W</x:v>
      </x:c>
      <x:c r="AL97" s="9" t="n">
        <x:v>21</x:v>
      </x:c>
      <x:c r="AM97" s="9" t="n">
        <x:v>20</x:v>
      </x:c>
      <x:c r="AN97" s="9" t="n">
        <x:v>0</x:v>
      </x:c>
    </x:row>
    <x:row r="98" ht="60" customHeight="1">
      <x:c r="A98" s="9" t="str">
        <x:v>fSiYNiCuZiA</x:v>
      </x:c>
      <x:c r="B98" s="10" t="str">
        <x:v>המפקדת 📋 | פרק 1 - עיניים אליי! 🔥</x:v>
      </x:c>
      <x:c r="C98" s="10" t="str">
        <x:v>Общество и армия</x:v>
      </x:c>
      <x:c r="D98" s="9" t="str">
        <x:v>Сериал</x:v>
      </x:c>
      <x:c r="E98" s="10" t="str">
        <x:v>Сериалы; молодёжь; культура Израиля</x:v>
      </x:c>
      <x:c r="F98" s="10" t="str">
        <x:v>B2–C1 (гипотеза)</x:v>
      </x:c>
      <x:c r="G98" s="12" t="n">
        <x:v>33.7</x:v>
      </x:c>
      <x:c r="H98" s="14" t="n">
        <x:v>1556731</x:v>
      </x:c>
      <x:c r="I98" s="15" t="str">
        <x:v>Точный счётчик метаданных видео</x:v>
      </x:c>
      <x:c r="J98" s="14" t="n">
        <x:v>1500000</x:v>
      </x:c>
      <x:c r="K98" s="14" t="n">
        <x:v>929500</x:v>
      </x:c>
      <x:c r="L98" s="12" t="n">
        <x:f>IF(COUNT(J98:K98)=2,IF(K98=0,"",J98/K98),"")</x:f>
        <x:v>1.6137708445400754</x:v>
      </x:c>
      <x:c r="M98" s="10" t="str">
        <x:v>Эпизод 1 в знакомой сюжетной ветке. Просмотры в списке выше медианы выборки этого цикла в 1.61 раза. Армейская повседневность объясняет важный пласт израильских шуток и разговоров. Серийный сюжет поддерживает длительный просмотр.</x:v>
      </x:c>
      <x:c r="N98" s="10" t="str">
        <x:v>Разобрать команды, аббревиатуры и смену регистра между начальником и подчинённым.</x:v>
      </x:c>
      <x:c r="O98" s="10" t="str">
        <x:v>Грубая речь, власть, сексуальные темы</x:v>
      </x:c>
      <x:c r="P98" s="10" t="str">
        <x:v>Полная серия — кандидат</x:v>
      </x:c>
      <x:c r="Q98" s="9" t="str">
        <x:v>Нет</x:v>
      </x:c>
      <x:c r="R98" s="9" t="str">
        <x:v>C005</x:v>
      </x:c>
      <x:c r="S98" s="9" t="str">
        <x:v>C005</x:v>
      </x:c>
      <x:c r="T98" s="10" t="str">
        <x:v>כאן 11 - תאגיד השידור הישראלי</x:v>
      </x:c>
      <x:c r="U98" s="11" t="str">
        <x:v>https://www.youtube.com/watch?v=fSiYNiCuZiA</x:v>
      </x:c>
      <x:c r="V98" s="16" t="n">
        <x:v>46308</x:v>
      </x:c>
      <x:c r="W98" s="16" t="n">
        <x:v>44301</x:v>
      </x:c>
      <x:c r="X98" s="10" t="str">
        <x:v>Иврит предполагается по заголовку и источнику</x:v>
      </x:c>
      <x:c r="Y98" s="10" t="str">
        <x:v>Дорожка HE не найдена в метаданных; вшитые титры не проверены</x:v>
      </x:c>
      <x:c r="Z98" s="10" t="str">
        <x:v>Разрешено по метаданным</x:v>
      </x:c>
      <x:c r="AA98" s="10" t="str">
        <x:v>Метаданные видео; воспроизведение и содержание не проверены</x:v>
      </x:c>
      <x:c r="AB98" s="13" t="n">
        <x:f>IF(AND(ISNUMBER(H98),ISNUMBER(W98)),H98/MAX(1,'Обзор'!$B$4-W98),"")</x:f>
        <x:v>775.6507224713503</x:v>
      </x:c>
      <x:c r="AC98" s="17" t="str">
        <x:v>Не решено</x:v>
      </x:c>
      <x:c r="AD98" s="17" t="str">
        <x:v>Не проверено</x:v>
      </x:c>
      <x:c r="AE98" s="17" t="str">
        <x:v>Не проверено</x:v>
      </x:c>
      <x:c r="AF98" s="17" t="str">
        <x:v>Не проверено</x:v>
      </x:c>
      <x:c r="AG98" s="17" t="str">
        <x:v>Не решено</x:v>
      </x:c>
      <x:c r="AH98" s="17" t="str">
        <x:v>Не проверено</x:v>
      </x:c>
      <x:c r="AI98" s="10" t="str">
        <x:f>IF(AC98="Отклонить","Отклонено",IF(AND(AC98="Взять",COUNTIFS(AD98:AH98,"Да")=5),"Готово","Нужна редактура"))</x:f>
        <x:v>Нужна редактура</x:v>
      </x:c>
      <x:c r="AJ98" s="17" t="str"/>
      <x:c r="AK98" s="9" t="str">
        <x:v>https://www.youtube.com/playlist?list=PLLttfoK87AdX3Mdl17iO8NqEip3Uo20Qw</x:v>
      </x:c>
      <x:c r="AL98" s="9" t="n">
        <x:v>1</x:v>
      </x:c>
      <x:c r="AM98" s="9" t="n">
        <x:v>1</x:v>
      </x:c>
      <x:c r="AN98" s="9" t="n">
        <x:v>0</x:v>
      </x:c>
    </x:row>
    <x:row r="99" ht="60" customHeight="1">
      <x:c r="A99" s="9" t="str">
        <x:v>tZeQOxa2Em8</x:v>
      </x:c>
      <x:c r="B99" s="10" t="str">
        <x:v>המפקדת 📋 | פרק 2 - מה שלא הורג 🔥</x:v>
      </x:c>
      <x:c r="C99" s="10" t="str">
        <x:v>Общество и армия</x:v>
      </x:c>
      <x:c r="D99" s="9" t="str">
        <x:v>Сериал</x:v>
      </x:c>
      <x:c r="E99" s="10" t="str">
        <x:v>Сериалы; молодёжь; культура Израиля</x:v>
      </x:c>
      <x:c r="F99" s="10" t="str">
        <x:v>B2–C1 (гипотеза)</x:v>
      </x:c>
      <x:c r="G99" s="12" t="n">
        <x:v>36.5</x:v>
      </x:c>
      <x:c r="H99" s="14" t="n">
        <x:v>1025884</x:v>
      </x:c>
      <x:c r="I99" s="15" t="str">
        <x:v>Точный счётчик метаданных видео</x:v>
      </x:c>
      <x:c r="J99" s="14" t="n">
        <x:v>1000000</x:v>
      </x:c>
      <x:c r="K99" s="14" t="n">
        <x:v>929500</x:v>
      </x:c>
      <x:c r="L99" s="12" t="n">
        <x:f>IF(COUNT(J99:K99)=2,IF(K99=0,"",J99/K99),"")</x:f>
        <x:v>1.0758472296933836</x:v>
      </x:c>
      <x:c r="M99" s="10" t="str">
        <x:v>Эпизод 2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N99" s="10" t="str">
        <x:v>Разобрать команды, аббревиатуры и смену регистра между начальником и подчинённым.</x:v>
      </x:c>
      <x:c r="O99" s="10" t="str">
        <x:v>Грубая речь, власть, сексуальные темы</x:v>
      </x:c>
      <x:c r="P99" s="10" t="str">
        <x:v>Полная серия — кандидат</x:v>
      </x:c>
      <x:c r="Q99" s="9" t="str">
        <x:v>Нет</x:v>
      </x:c>
      <x:c r="R99" s="9" t="str">
        <x:v>C005</x:v>
      </x:c>
      <x:c r="S99" s="9" t="str">
        <x:v>C005</x:v>
      </x:c>
      <x:c r="T99" s="10" t="str">
        <x:v>כאן 11 - תאגיד השידור הישראלי</x:v>
      </x:c>
      <x:c r="U99" s="11" t="str">
        <x:v>https://www.youtube.com/watch?v=tZeQOxa2Em8</x:v>
      </x:c>
      <x:c r="V99" s="16" t="n">
        <x:v>46308</x:v>
      </x:c>
      <x:c r="W99" s="16" t="n">
        <x:v>44305</x:v>
      </x:c>
      <x:c r="X99" s="10" t="str">
        <x:v>Иврит предполагается по заголовку и источнику</x:v>
      </x:c>
      <x:c r="Y99" s="10" t="str">
        <x:v>Дорожка HE не найдена в метаданных; вшитые титры не проверены</x:v>
      </x:c>
      <x:c r="Z99" s="10" t="str">
        <x:v>Разрешено по метаданным</x:v>
      </x:c>
      <x:c r="AA99" s="10" t="str">
        <x:v>Метаданные видео; воспроизведение и содержание не проверены</x:v>
      </x:c>
      <x:c r="AB99" s="13" t="n">
        <x:f>IF(AND(ISNUMBER(H99),ISNUMBER(W99)),H99/MAX(1,'Обзор'!$B$4-W99),"")</x:f>
        <x:v>512.1737393909136</x:v>
      </x:c>
      <x:c r="AC99" s="17" t="str">
        <x:v>Не решено</x:v>
      </x:c>
      <x:c r="AD99" s="17" t="str">
        <x:v>Не проверено</x:v>
      </x:c>
      <x:c r="AE99" s="17" t="str">
        <x:v>Не проверено</x:v>
      </x:c>
      <x:c r="AF99" s="17" t="str">
        <x:v>Не проверено</x:v>
      </x:c>
      <x:c r="AG99" s="17" t="str">
        <x:v>Не решено</x:v>
      </x:c>
      <x:c r="AH99" s="17" t="str">
        <x:v>Не проверено</x:v>
      </x:c>
      <x:c r="AI99" s="10" t="str">
        <x:f>IF(AC99="Отклонить","Отклонено",IF(AND(AC99="Взять",COUNTIFS(AD99:AH99,"Да")=5),"Готово","Нужна редактура"))</x:f>
        <x:v>Нужна редактура</x:v>
      </x:c>
      <x:c r="AJ99" s="17" t="str"/>
      <x:c r="AK99" s="9" t="str">
        <x:v>https://www.youtube.com/playlist?list=PLLttfoK87AdX3Mdl17iO8NqEip3Uo20Qw</x:v>
      </x:c>
      <x:c r="AL99" s="9" t="n">
        <x:v>2</x:v>
      </x:c>
      <x:c r="AM99" s="9" t="n">
        <x:v>2</x:v>
      </x:c>
      <x:c r="AN99" s="9" t="n">
        <x:v>0</x:v>
      </x:c>
    </x:row>
    <x:row r="100" ht="60" customHeight="1">
      <x:c r="A100" s="9" t="str">
        <x:v>D7KEUhmjDEY</x:v>
      </x:c>
      <x:c r="B100" s="10" t="str">
        <x:v>המפקדת 📋 | פרק 3 - כשהגלים מתחזקים 🔥</x:v>
      </x:c>
      <x:c r="C100" s="10" t="str">
        <x:v>Общество и армия</x:v>
      </x:c>
      <x:c r="D100" s="9" t="str">
        <x:v>Сериал</x:v>
      </x:c>
      <x:c r="E100" s="10" t="str">
        <x:v>Сериалы; молодёжь; культура Израиля</x:v>
      </x:c>
      <x:c r="F100" s="10" t="str">
        <x:v>B2–C1 (гипотеза)</x:v>
      </x:c>
      <x:c r="G100" s="12" t="n">
        <x:v>34.1</x:v>
      </x:c>
      <x:c r="H100" s="14" t="n">
        <x:v>984695</x:v>
      </x:c>
      <x:c r="I100" s="15" t="str">
        <x:v>Точный счётчик метаданных видео</x:v>
      </x:c>
      <x:c r="J100" s="14" t="n">
        <x:v>984000</x:v>
      </x:c>
      <x:c r="K100" s="14" t="n">
        <x:v>929500</x:v>
      </x:c>
      <x:c r="L100" s="12" t="n">
        <x:f>IF(COUNT(J100:K100)=2,IF(K100=0,"",J100/K100),"")</x:f>
        <x:v>1.0586336740182893</x:v>
      </x:c>
      <x:c r="M100" s="10" t="str">
        <x:v>Эпизод 3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N100" s="10" t="str">
        <x:v>Разобрать команды, аббревиатуры и смену регистра между начальником и подчинённым.</x:v>
      </x:c>
      <x:c r="O100" s="10" t="str">
        <x:v>Грубая речь, власть, сексуальные темы</x:v>
      </x:c>
      <x:c r="P100" s="10" t="str">
        <x:v>Полная серия — кандидат</x:v>
      </x:c>
      <x:c r="Q100" s="9" t="str">
        <x:v>Нет</x:v>
      </x:c>
      <x:c r="R100" s="9" t="str">
        <x:v>C005</x:v>
      </x:c>
      <x:c r="S100" s="9" t="str">
        <x:v>C005</x:v>
      </x:c>
      <x:c r="T100" s="10" t="str">
        <x:v>כאן 11 - תאגיד השידור הישראלי</x:v>
      </x:c>
      <x:c r="U100" s="11" t="str">
        <x:v>https://www.youtube.com/watch?v=D7KEUhmjDEY</x:v>
      </x:c>
      <x:c r="V100" s="16" t="n">
        <x:v>46308</x:v>
      </x:c>
      <x:c r="W100" s="16" t="n">
        <x:v>44308</x:v>
      </x:c>
      <x:c r="X100" s="10" t="str">
        <x:v>Иврит предполагается по заголовку и источнику</x:v>
      </x:c>
      <x:c r="Y100" s="10" t="str">
        <x:v>Дорожка HE не найдена в метаданных; вшитые титры не проверены</x:v>
      </x:c>
      <x:c r="Z100" s="10" t="str">
        <x:v>Разрешено по метаданным</x:v>
      </x:c>
      <x:c r="AA100" s="10" t="str">
        <x:v>Метаданные видео; воспроизведение и содержание не проверены</x:v>
      </x:c>
      <x:c r="AB100" s="13" t="n">
        <x:f>IF(AND(ISNUMBER(H100),ISNUMBER(W100)),H100/MAX(1,'Обзор'!$B$4-W100),"")</x:f>
        <x:v>492.3475</x:v>
      </x:c>
      <x:c r="AC100" s="17" t="str">
        <x:v>Не решено</x:v>
      </x:c>
      <x:c r="AD100" s="17" t="str">
        <x:v>Не проверено</x:v>
      </x:c>
      <x:c r="AE100" s="17" t="str">
        <x:v>Не проверено</x:v>
      </x:c>
      <x:c r="AF100" s="17" t="str">
        <x:v>Не проверено</x:v>
      </x:c>
      <x:c r="AG100" s="17" t="str">
        <x:v>Не решено</x:v>
      </x:c>
      <x:c r="AH100" s="17" t="str">
        <x:v>Не проверено</x:v>
      </x:c>
      <x:c r="AI100" s="10" t="str">
        <x:f>IF(AC100="Отклонить","Отклонено",IF(AND(AC100="Взять",COUNTIFS(AD100:AH100,"Да")=5),"Готово","Нужна редактура"))</x:f>
        <x:v>Нужна редактура</x:v>
      </x:c>
      <x:c r="AJ100" s="17" t="str"/>
      <x:c r="AK100" s="9" t="str">
        <x:v>https://www.youtube.com/playlist?list=PLLttfoK87AdX3Mdl17iO8NqEip3Uo20Qw</x:v>
      </x:c>
      <x:c r="AL100" s="9" t="n">
        <x:v>3</x:v>
      </x:c>
      <x:c r="AM100" s="9" t="n">
        <x:v>3</x:v>
      </x:c>
      <x:c r="AN100" s="9" t="n">
        <x:v>0</x:v>
      </x:c>
    </x:row>
    <x:row r="101" ht="60" customHeight="1">
      <x:c r="A101" s="9" t="str">
        <x:v>5BDo8oOFdhM</x:v>
      </x:c>
      <x:c r="B101" s="10" t="str">
        <x:v>המפקדת 📋 | פרק 4 - החזקים מתגלים 🔥</x:v>
      </x:c>
      <x:c r="C101" s="10" t="str">
        <x:v>Общество и армия</x:v>
      </x:c>
      <x:c r="D101" s="9" t="str">
        <x:v>Сериал</x:v>
      </x:c>
      <x:c r="E101" s="10" t="str">
        <x:v>Сериалы; молодёжь; культура Израиля</x:v>
      </x:c>
      <x:c r="F101" s="10" t="str">
        <x:v>B2–C1 (гипотеза)</x:v>
      </x:c>
      <x:c r="G101" s="12" t="n">
        <x:v>35.3</x:v>
      </x:c>
      <x:c r="H101" s="14" t="n">
        <x:v>1037522</x:v>
      </x:c>
      <x:c r="I101" s="15" t="str">
        <x:v>Точный счётчик метаданных видео</x:v>
      </x:c>
      <x:c r="J101" s="14" t="n">
        <x:v>1000000</x:v>
      </x:c>
      <x:c r="K101" s="14" t="n">
        <x:v>929500</x:v>
      </x:c>
      <x:c r="L101" s="12" t="n">
        <x:f>IF(COUNT(J101:K101)=2,IF(K101=0,"",J101/K101),"")</x:f>
        <x:v>1.0758472296933836</x:v>
      </x:c>
      <x:c r="M101" s="10" t="str">
        <x:v>Эпизод 4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N101" s="10" t="str">
        <x:v>Разобрать команды, аббревиатуры и смену регистра между начальником и подчинённым.</x:v>
      </x:c>
      <x:c r="O101" s="10" t="str">
        <x:v>Грубая речь, власть, сексуальные темы</x:v>
      </x:c>
      <x:c r="P101" s="10" t="str">
        <x:v>Полная серия — кандидат</x:v>
      </x:c>
      <x:c r="Q101" s="9" t="str">
        <x:v>Нет</x:v>
      </x:c>
      <x:c r="R101" s="9" t="str">
        <x:v>C005</x:v>
      </x:c>
      <x:c r="S101" s="9" t="str">
        <x:v>C005</x:v>
      </x:c>
      <x:c r="T101" s="10" t="str">
        <x:v>כאן 11 - תאגיד השידור הישראלי</x:v>
      </x:c>
      <x:c r="U101" s="11" t="str">
        <x:v>https://www.youtube.com/watch?v=5BDo8oOFdhM</x:v>
      </x:c>
      <x:c r="V101" s="16" t="n">
        <x:v>46308</x:v>
      </x:c>
      <x:c r="W101" s="16" t="n">
        <x:v>44312</x:v>
      </x:c>
      <x:c r="X101" s="10" t="str">
        <x:v>Иврит предполагается по заголовку и источнику</x:v>
      </x:c>
      <x:c r="Y101" s="10" t="str">
        <x:v>Дорожка HE не найдена в метаданных; вшитые титры не проверены</x:v>
      </x:c>
      <x:c r="Z101" s="10" t="str">
        <x:v>Разрешено по метаданным</x:v>
      </x:c>
      <x:c r="AA101" s="10" t="str">
        <x:v>Метаданные видео; воспроизведение и содержание не проверены</x:v>
      </x:c>
      <x:c r="AB101" s="13" t="n">
        <x:f>IF(AND(ISNUMBER(H101),ISNUMBER(W101)),H101/MAX(1,'Обзор'!$B$4-W101),"")</x:f>
        <x:v>519.8006012024048</x:v>
      </x:c>
      <x:c r="AC101" s="17" t="str">
        <x:v>Не решено</x:v>
      </x:c>
      <x:c r="AD101" s="17" t="str">
        <x:v>Не проверено</x:v>
      </x:c>
      <x:c r="AE101" s="17" t="str">
        <x:v>Не проверено</x:v>
      </x:c>
      <x:c r="AF101" s="17" t="str">
        <x:v>Не проверено</x:v>
      </x:c>
      <x:c r="AG101" s="17" t="str">
        <x:v>Не решено</x:v>
      </x:c>
      <x:c r="AH101" s="17" t="str">
        <x:v>Не проверено</x:v>
      </x:c>
      <x:c r="AI101" s="10" t="str">
        <x:f>IF(AC101="Отклонить","Отклонено",IF(AND(AC101="Взять",COUNTIFS(AD101:AH101,"Да")=5),"Готово","Нужна редактура"))</x:f>
        <x:v>Нужна редактура</x:v>
      </x:c>
      <x:c r="AJ101" s="17" t="str"/>
      <x:c r="AK101" s="9" t="str">
        <x:v>https://www.youtube.com/playlist?list=PLLttfoK87AdX3Mdl17iO8NqEip3Uo20Qw</x:v>
      </x:c>
      <x:c r="AL101" s="9" t="n">
        <x:v>4</x:v>
      </x:c>
      <x:c r="AM101" s="9" t="n">
        <x:v>4</x:v>
      </x:c>
      <x:c r="AN101" s="9" t="n">
        <x:v>0</x:v>
      </x:c>
    </x:row>
    <x:row r="102" ht="60" customHeight="1">
      <x:c r="A102" s="9" t="str">
        <x:v>_aRwOI-ohJs</x:v>
      </x:c>
      <x:c r="B102" s="10" t="str">
        <x:v>המפקדת 📋 | פרק 5 - חתירה למגע 🔥</x:v>
      </x:c>
      <x:c r="C102" s="10" t="str">
        <x:v>Общество и армия</x:v>
      </x:c>
      <x:c r="D102" s="9" t="str">
        <x:v>Сериал</x:v>
      </x:c>
      <x:c r="E102" s="10" t="str">
        <x:v>Сериалы; молодёжь; культура Израиля</x:v>
      </x:c>
      <x:c r="F102" s="10" t="str">
        <x:v>B2–C1 (гипотеза)</x:v>
      </x:c>
      <x:c r="G102" s="12" t="n">
        <x:v>33.9</x:v>
      </x:c>
      <x:c r="H102" s="14" t="n">
        <x:v>951541</x:v>
      </x:c>
      <x:c r="I102" s="15" t="str">
        <x:v>Точный счётчик метаданных видео</x:v>
      </x:c>
      <x:c r="J102" s="14" t="n">
        <x:v>951000</x:v>
      </x:c>
      <x:c r="K102" s="14" t="n">
        <x:v>929500</x:v>
      </x:c>
      <x:c r="L102" s="12" t="n">
        <x:f>IF(COUNT(J102:K102)=2,IF(K102=0,"",J102/K102),"")</x:f>
        <x:v>1.0231307154384077</x:v>
      </x:c>
      <x:c r="M102" s="10" t="str">
        <x:v>Эпизод 5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N102" s="10" t="str">
        <x:v>Разобрать команды, аббревиатуры и смену регистра между начальником и подчинённым.</x:v>
      </x:c>
      <x:c r="O102" s="10" t="str">
        <x:v>Грубая речь, власть, сексуальные темы</x:v>
      </x:c>
      <x:c r="P102" s="10" t="str">
        <x:v>Полная серия — кандидат</x:v>
      </x:c>
      <x:c r="Q102" s="9" t="str">
        <x:v>Нет</x:v>
      </x:c>
      <x:c r="R102" s="9" t="str">
        <x:v>C005</x:v>
      </x:c>
      <x:c r="S102" s="9" t="str">
        <x:v>C005</x:v>
      </x:c>
      <x:c r="T102" s="10" t="str">
        <x:v>כאן 11 - תאגיד השידור הישראלי</x:v>
      </x:c>
      <x:c r="U102" s="11" t="str">
        <x:v>https://www.youtube.com/watch?v=_aRwOI-ohJs</x:v>
      </x:c>
      <x:c r="V102" s="16" t="n">
        <x:v>46308</x:v>
      </x:c>
      <x:c r="W102" s="16" t="n">
        <x:v>44315</x:v>
      </x:c>
      <x:c r="X102" s="10" t="str">
        <x:v>Иврит предполагается по заголовку и источнику</x:v>
      </x:c>
      <x:c r="Y102" s="10" t="str">
        <x:v>Дорожка HE не найдена в метаданных; вшитые титры не проверены</x:v>
      </x:c>
      <x:c r="Z102" s="10" t="str">
        <x:v>Разрешено по метаданным</x:v>
      </x:c>
      <x:c r="AA102" s="10" t="str">
        <x:v>Метаданные видео; воспроизведение и содержание не проверены</x:v>
      </x:c>
      <x:c r="AB102" s="13" t="n">
        <x:f>IF(AND(ISNUMBER(H102),ISNUMBER(W102)),H102/MAX(1,'Обзор'!$B$4-W102),"")</x:f>
        <x:v>477.44154540893123</x:v>
      </x:c>
      <x:c r="AC102" s="17" t="str">
        <x:v>Не решено</x:v>
      </x:c>
      <x:c r="AD102" s="17" t="str">
        <x:v>Не проверено</x:v>
      </x:c>
      <x:c r="AE102" s="17" t="str">
        <x:v>Не проверено</x:v>
      </x:c>
      <x:c r="AF102" s="17" t="str">
        <x:v>Не проверено</x:v>
      </x:c>
      <x:c r="AG102" s="17" t="str">
        <x:v>Не решено</x:v>
      </x:c>
      <x:c r="AH102" s="17" t="str">
        <x:v>Не проверено</x:v>
      </x:c>
      <x:c r="AI102" s="10" t="str">
        <x:f>IF(AC102="Отклонить","Отклонено",IF(AND(AC102="Взять",COUNTIFS(AD102:AH102,"Да")=5),"Готово","Нужна редактура"))</x:f>
        <x:v>Нужна редактура</x:v>
      </x:c>
      <x:c r="AJ102" s="17" t="str"/>
      <x:c r="AK102" s="9" t="str">
        <x:v>https://www.youtube.com/playlist?list=PLLttfoK87AdX3Mdl17iO8NqEip3Uo20Qw</x:v>
      </x:c>
      <x:c r="AL102" s="9" t="n">
        <x:v>5</x:v>
      </x:c>
      <x:c r="AM102" s="9" t="n">
        <x:v>5</x:v>
      </x:c>
      <x:c r="AN102" s="9" t="n">
        <x:v>0</x:v>
      </x:c>
    </x:row>
    <x:row r="103" ht="60" customHeight="1">
      <x:c r="A103" s="9" t="str">
        <x:v>fThRbiM39m8</x:v>
      </x:c>
      <x:c r="B103" s="10" t="str">
        <x:v>המפקדת 📋 | פרק 6 - פיקוח נפש 🔥</x:v>
      </x:c>
      <x:c r="C103" s="10" t="str">
        <x:v>Общество и армия</x:v>
      </x:c>
      <x:c r="D103" s="9" t="str">
        <x:v>Сериал</x:v>
      </x:c>
      <x:c r="E103" s="10" t="str">
        <x:v>Сериалы; молодёжь; культура Израиля</x:v>
      </x:c>
      <x:c r="F103" s="10" t="str">
        <x:v>B2–C1 (гипотеза)</x:v>
      </x:c>
      <x:c r="G103" s="12" t="n">
        <x:v>35.6</x:v>
      </x:c>
      <x:c r="H103" s="14" t="n">
        <x:v>908909</x:v>
      </x:c>
      <x:c r="I103" s="15" t="str">
        <x:v>Точный счётчик метаданных видео</x:v>
      </x:c>
      <x:c r="J103" s="14" t="n">
        <x:v>908000</x:v>
      </x:c>
      <x:c r="K103" s="14" t="n">
        <x:v>929500</x:v>
      </x:c>
      <x:c r="L103" s="12" t="n">
        <x:f>IF(COUNT(J103:K103)=2,IF(K103=0,"",J103/K103),"")</x:f>
        <x:v>0.9768692845615923</x:v>
      </x:c>
      <x:c r="M103" s="10" t="str">
        <x:v>Эпизод 6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N103" s="10" t="str">
        <x:v>Разобрать команды, аббревиатуры и смену регистра между начальником и подчинённым.</x:v>
      </x:c>
      <x:c r="O103" s="10" t="str">
        <x:v>Грубая речь, власть, сексуальные темы</x:v>
      </x:c>
      <x:c r="P103" s="10" t="str">
        <x:v>Полная серия — кандидат</x:v>
      </x:c>
      <x:c r="Q103" s="9" t="str">
        <x:v>Нет</x:v>
      </x:c>
      <x:c r="R103" s="9" t="str">
        <x:v>C005</x:v>
      </x:c>
      <x:c r="S103" s="9" t="str">
        <x:v>C005</x:v>
      </x:c>
      <x:c r="T103" s="10" t="str">
        <x:v>כאן 11 - תאגיד השידור הישראלי</x:v>
      </x:c>
      <x:c r="U103" s="11" t="str">
        <x:v>https://www.youtube.com/watch?v=fThRbiM39m8</x:v>
      </x:c>
      <x:c r="V103" s="16" t="n">
        <x:v>46308</x:v>
      </x:c>
      <x:c r="W103" s="16" t="n">
        <x:v>44319</x:v>
      </x:c>
      <x:c r="X103" s="10" t="str">
        <x:v>Иврит предполагается по заголовку и источнику</x:v>
      </x:c>
      <x:c r="Y103" s="10" t="str">
        <x:v>Дорожка HE не найдена в метаданных; вшитые титры не проверены</x:v>
      </x:c>
      <x:c r="Z103" s="10" t="str">
        <x:v>Разрешено по метаданным</x:v>
      </x:c>
      <x:c r="AA103" s="10" t="str">
        <x:v>Метаданные видео; воспроизведение и содержание не проверены</x:v>
      </x:c>
      <x:c r="AB103" s="13" t="n">
        <x:f>IF(AND(ISNUMBER(H103),ISNUMBER(W103)),H103/MAX(1,'Обзор'!$B$4-W103),"")</x:f>
        <x:v>456.96782302664656</x:v>
      </x:c>
      <x:c r="AC103" s="17" t="str">
        <x:v>Не решено</x:v>
      </x:c>
      <x:c r="AD103" s="17" t="str">
        <x:v>Не проверено</x:v>
      </x:c>
      <x:c r="AE103" s="17" t="str">
        <x:v>Не проверено</x:v>
      </x:c>
      <x:c r="AF103" s="17" t="str">
        <x:v>Не проверено</x:v>
      </x:c>
      <x:c r="AG103" s="17" t="str">
        <x:v>Не решено</x:v>
      </x:c>
      <x:c r="AH103" s="17" t="str">
        <x:v>Не проверено</x:v>
      </x:c>
      <x:c r="AI103" s="10" t="str">
        <x:f>IF(AC103="Отклонить","Отклонено",IF(AND(AC103="Взять",COUNTIFS(AD103:AH103,"Да")=5),"Готово","Нужна редактура"))</x:f>
        <x:v>Нужна редактура</x:v>
      </x:c>
      <x:c r="AJ103" s="17" t="str"/>
      <x:c r="AK103" s="9" t="str">
        <x:v>https://www.youtube.com/playlist?list=PLLttfoK87AdX3Mdl17iO8NqEip3Uo20Qw</x:v>
      </x:c>
      <x:c r="AL103" s="9" t="n">
        <x:v>6</x:v>
      </x:c>
      <x:c r="AM103" s="9" t="n">
        <x:v>6</x:v>
      </x:c>
      <x:c r="AN103" s="9" t="n">
        <x:v>0</x:v>
      </x:c>
    </x:row>
    <x:row r="104" ht="60" customHeight="1">
      <x:c r="A104" s="9" t="str">
        <x:v>6W0j8o4hh-A</x:v>
      </x:c>
      <x:c r="B104" s="10" t="str">
        <x:v>המפקדת 📋 | פרק 7 - נכתבו בדם 🔥</x:v>
      </x:c>
      <x:c r="C104" s="10" t="str">
        <x:v>Общество и армия</x:v>
      </x:c>
      <x:c r="D104" s="9" t="str">
        <x:v>Сериал</x:v>
      </x:c>
      <x:c r="E104" s="10" t="str">
        <x:v>Сериалы; молодёжь; культура Израиля</x:v>
      </x:c>
      <x:c r="F104" s="10" t="str">
        <x:v>B2–C1 (гипотеза)</x:v>
      </x:c>
      <x:c r="G104" s="12" t="n">
        <x:v>33.9</x:v>
      </x:c>
      <x:c r="H104" s="14" t="n">
        <x:v>855632</x:v>
      </x:c>
      <x:c r="I104" s="15" t="str">
        <x:v>Точный счётчик метаданных видео</x:v>
      </x:c>
      <x:c r="J104" s="14" t="n">
        <x:v>855000</x:v>
      </x:c>
      <x:c r="K104" s="14" t="n">
        <x:v>929500</x:v>
      </x:c>
      <x:c r="L104" s="12" t="n">
        <x:f>IF(COUNT(J104:K104)=2,IF(K104=0,"",J104/K104),"")</x:f>
        <x:v>0.9198493813878429</x:v>
      </x:c>
      <x:c r="M104" s="10" t="str">
        <x:v>Эпизод 7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N104" s="10" t="str">
        <x:v>Разобрать команды, аббревиатуры и смену регистра между начальником и подчинённым.</x:v>
      </x:c>
      <x:c r="O104" s="10" t="str">
        <x:v>Грубая речь, власть, сексуальные темы</x:v>
      </x:c>
      <x:c r="P104" s="10" t="str">
        <x:v>Полная серия — кандидат</x:v>
      </x:c>
      <x:c r="Q104" s="9" t="str">
        <x:v>Нет</x:v>
      </x:c>
      <x:c r="R104" s="9" t="str">
        <x:v>C005</x:v>
      </x:c>
      <x:c r="S104" s="9" t="str">
        <x:v>C005</x:v>
      </x:c>
      <x:c r="T104" s="10" t="str">
        <x:v>כאן 11 - תאגיד השידור הישראלי</x:v>
      </x:c>
      <x:c r="U104" s="11" t="str">
        <x:v>https://www.youtube.com/watch?v=6W0j8o4hh-A</x:v>
      </x:c>
      <x:c r="V104" s="16" t="n">
        <x:v>46308</x:v>
      </x:c>
      <x:c r="W104" s="16" t="n">
        <x:v>44322</x:v>
      </x:c>
      <x:c r="X104" s="10" t="str">
        <x:v>Иврит предполагается по заголовку и источнику</x:v>
      </x:c>
      <x:c r="Y104" s="10" t="str">
        <x:v>Дорожка HE не найдена в метаданных; вшитые титры не проверены</x:v>
      </x:c>
      <x:c r="Z104" s="10" t="str">
        <x:v>Разрешено по метаданным</x:v>
      </x:c>
      <x:c r="AA104" s="10" t="str">
        <x:v>Метаданные видео; воспроизведение и содержание не проверены</x:v>
      </x:c>
      <x:c r="AB104" s="13" t="n">
        <x:f>IF(AND(ISNUMBER(H104),ISNUMBER(W104)),H104/MAX(1,'Обзор'!$B$4-W104),"")</x:f>
        <x:v>430.83182275931523</x:v>
      </x:c>
      <x:c r="AC104" s="17" t="str">
        <x:v>Не решено</x:v>
      </x:c>
      <x:c r="AD104" s="17" t="str">
        <x:v>Не проверено</x:v>
      </x:c>
      <x:c r="AE104" s="17" t="str">
        <x:v>Не проверено</x:v>
      </x:c>
      <x:c r="AF104" s="17" t="str">
        <x:v>Не проверено</x:v>
      </x:c>
      <x:c r="AG104" s="17" t="str">
        <x:v>Не решено</x:v>
      </x:c>
      <x:c r="AH104" s="17" t="str">
        <x:v>Не проверено</x:v>
      </x:c>
      <x:c r="AI104" s="10" t="str">
        <x:f>IF(AC104="Отклонить","Отклонено",IF(AND(AC104="Взять",COUNTIFS(AD104:AH104,"Да")=5),"Готово","Нужна редактура"))</x:f>
        <x:v>Нужна редактура</x:v>
      </x:c>
      <x:c r="AJ104" s="17" t="str"/>
      <x:c r="AK104" s="9" t="str">
        <x:v>https://www.youtube.com/playlist?list=PLLttfoK87AdX3Mdl17iO8NqEip3Uo20Qw</x:v>
      </x:c>
      <x:c r="AL104" s="9" t="n">
        <x:v>7</x:v>
      </x:c>
      <x:c r="AM104" s="9" t="n">
        <x:v>7</x:v>
      </x:c>
      <x:c r="AN104" s="9" t="n">
        <x:v>0</x:v>
      </x:c>
    </x:row>
    <x:row r="105" ht="60" customHeight="1">
      <x:c r="A105" s="9" t="str">
        <x:v>ANn4lt2C8j4</x:v>
      </x:c>
      <x:c r="B105" s="10" t="str">
        <x:v>המפקדת 📋 | פרק 8 - מדוגמת פלס 🔥</x:v>
      </x:c>
      <x:c r="C105" s="10" t="str">
        <x:v>Общество и армия</x:v>
      </x:c>
      <x:c r="D105" s="9" t="str">
        <x:v>Сериал</x:v>
      </x:c>
      <x:c r="E105" s="10" t="str">
        <x:v>Сериалы; молодёжь; культура Израиля</x:v>
      </x:c>
      <x:c r="F105" s="10" t="str">
        <x:v>B2–C1 (гипотеза)</x:v>
      </x:c>
      <x:c r="G105" s="12" t="n">
        <x:v>32.4</x:v>
      </x:c>
      <x:c r="H105" s="14" t="n">
        <x:v>869447</x:v>
      </x:c>
      <x:c r="I105" s="15" t="str">
        <x:v>Точный счётчик метаданных видео</x:v>
      </x:c>
      <x:c r="J105" s="14" t="n">
        <x:v>869000</x:v>
      </x:c>
      <x:c r="K105" s="14" t="n">
        <x:v>929500</x:v>
      </x:c>
      <x:c r="L105" s="12" t="n">
        <x:f>IF(COUNT(J105:K105)=2,IF(K105=0,"",J105/K105),"")</x:f>
        <x:v>0.9349112426035503</x:v>
      </x:c>
      <x:c r="M105" s="10" t="str">
        <x:v>Эпизод 8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N105" s="10" t="str">
        <x:v>Разобрать команды, аббревиатуры и смену регистра между начальником и подчинённым.</x:v>
      </x:c>
      <x:c r="O105" s="10" t="str">
        <x:v>Грубая речь, власть, сексуальные темы</x:v>
      </x:c>
      <x:c r="P105" s="10" t="str">
        <x:v>Полная серия — кандидат</x:v>
      </x:c>
      <x:c r="Q105" s="9" t="str">
        <x:v>Нет</x:v>
      </x:c>
      <x:c r="R105" s="9" t="str">
        <x:v>C005</x:v>
      </x:c>
      <x:c r="S105" s="9" t="str">
        <x:v>C005</x:v>
      </x:c>
      <x:c r="T105" s="10" t="str">
        <x:v>כאן 11 - תאגיד השידור הישראלי</x:v>
      </x:c>
      <x:c r="U105" s="11" t="str">
        <x:v>https://www.youtube.com/watch?v=ANn4lt2C8j4</x:v>
      </x:c>
      <x:c r="V105" s="16" t="n">
        <x:v>46308</x:v>
      </x:c>
      <x:c r="W105" s="16" t="n">
        <x:v>44326</x:v>
      </x:c>
      <x:c r="X105" s="10" t="str">
        <x:v>Иврит предполагается по заголовку и источнику</x:v>
      </x:c>
      <x:c r="Y105" s="10" t="str">
        <x:v>Дорожка HE не найдена в метаданных; вшитые титры не проверены</x:v>
      </x:c>
      <x:c r="Z105" s="10" t="str">
        <x:v>Разрешено по метаданным</x:v>
      </x:c>
      <x:c r="AA105" s="10" t="str">
        <x:v>Метаданные видео; воспроизведение и содержание не проверены</x:v>
      </x:c>
      <x:c r="AB105" s="13" t="n">
        <x:f>IF(AND(ISNUMBER(H105),ISNUMBER(W105)),H105/MAX(1,'Обзор'!$B$4-W105),"")</x:f>
        <x:v>438.6715438950555</x:v>
      </x:c>
      <x:c r="AC105" s="17" t="str">
        <x:v>Не решено</x:v>
      </x:c>
      <x:c r="AD105" s="17" t="str">
        <x:v>Не проверено</x:v>
      </x:c>
      <x:c r="AE105" s="17" t="str">
        <x:v>Не проверено</x:v>
      </x:c>
      <x:c r="AF105" s="17" t="str">
        <x:v>Не проверено</x:v>
      </x:c>
      <x:c r="AG105" s="17" t="str">
        <x:v>Не решено</x:v>
      </x:c>
      <x:c r="AH105" s="17" t="str">
        <x:v>Не проверено</x:v>
      </x:c>
      <x:c r="AI105" s="10" t="str">
        <x:f>IF(AC105="Отклонить","Отклонено",IF(AND(AC105="Взять",COUNTIFS(AD105:AH105,"Да")=5),"Готово","Нужна редактура"))</x:f>
        <x:v>Нужна редактура</x:v>
      </x:c>
      <x:c r="AJ105" s="17" t="str"/>
      <x:c r="AK105" s="9" t="str">
        <x:v>https://www.youtube.com/playlist?list=PLLttfoK87AdX3Mdl17iO8NqEip3Uo20Qw</x:v>
      </x:c>
      <x:c r="AL105" s="9" t="n">
        <x:v>8</x:v>
      </x:c>
      <x:c r="AM105" s="9" t="n">
        <x:v>8</x:v>
      </x:c>
      <x:c r="AN105" s="9" t="n">
        <x:v>0</x:v>
      </x:c>
    </x:row>
    <x:row r="106" ht="60" customHeight="1">
      <x:c r="A106" s="9" t="str">
        <x:v>BdIUefGy3r4</x:v>
      </x:c>
      <x:c r="B106" s="10" t="str">
        <x:v>המפקדת 📋 | פרק 9 - נשבעת נשבעת נשבעת 🔥</x:v>
      </x:c>
      <x:c r="C106" s="10" t="str">
        <x:v>Общество и армия</x:v>
      </x:c>
      <x:c r="D106" s="9" t="str">
        <x:v>Сериал</x:v>
      </x:c>
      <x:c r="E106" s="10" t="str">
        <x:v>Сериалы; молодёжь; культура Израиля</x:v>
      </x:c>
      <x:c r="F106" s="10" t="str">
        <x:v>B2–C1 (гипотеза)</x:v>
      </x:c>
      <x:c r="G106" s="12" t="n">
        <x:v>35.3</x:v>
      </x:c>
      <x:c r="H106" s="14" t="n">
        <x:v>830017</x:v>
      </x:c>
      <x:c r="I106" s="15" t="str">
        <x:v>Точный счётчик метаданных видео</x:v>
      </x:c>
      <x:c r="J106" s="14" t="n">
        <x:v>830000</x:v>
      </x:c>
      <x:c r="K106" s="14" t="n">
        <x:v>929500</x:v>
      </x:c>
      <x:c r="L106" s="12" t="n">
        <x:f>IF(COUNT(J106:K106)=2,IF(K106=0,"",J106/K106),"")</x:f>
        <x:v>0.8929532006455083</x:v>
      </x:c>
      <x:c r="M106" s="10" t="str">
        <x:v>Эпизод 9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N106" s="10" t="str">
        <x:v>Разобрать команды, аббревиатуры и смену регистра между начальником и подчинённым.</x:v>
      </x:c>
      <x:c r="O106" s="10" t="str">
        <x:v>Грубая речь, власть, сексуальные темы</x:v>
      </x:c>
      <x:c r="P106" s="10" t="str">
        <x:v>Полная серия — кандидат</x:v>
      </x:c>
      <x:c r="Q106" s="9" t="str">
        <x:v>Нет</x:v>
      </x:c>
      <x:c r="R106" s="9" t="str">
        <x:v>C005</x:v>
      </x:c>
      <x:c r="S106" s="9" t="str">
        <x:v>C005</x:v>
      </x:c>
      <x:c r="T106" s="10" t="str">
        <x:v>כאן 11 - תאגיד השידור הישראלי</x:v>
      </x:c>
      <x:c r="U106" s="11" t="str">
        <x:v>https://www.youtube.com/watch?v=BdIUefGy3r4</x:v>
      </x:c>
      <x:c r="V106" s="16" t="n">
        <x:v>46308</x:v>
      </x:c>
      <x:c r="W106" s="16" t="n">
        <x:v>44329</x:v>
      </x:c>
      <x:c r="X106" s="10" t="str">
        <x:v>Иврит предполагается по заголовку и источнику</x:v>
      </x:c>
      <x:c r="Y106" s="10" t="str">
        <x:v>Дорожка HE не найдена в метаданных; вшитые титры не проверены</x:v>
      </x:c>
      <x:c r="Z106" s="10" t="str">
        <x:v>Разрешено по метаданным</x:v>
      </x:c>
      <x:c r="AA106" s="10" t="str">
        <x:v>Метаданные видео; воспроизведение и содержание не проверены</x:v>
      </x:c>
      <x:c r="AB106" s="13" t="n">
        <x:f>IF(AND(ISNUMBER(H106),ISNUMBER(W106)),H106/MAX(1,'Обзор'!$B$4-W106),"")</x:f>
        <x:v>419.4123294593229</x:v>
      </x:c>
      <x:c r="AC106" s="17" t="str">
        <x:v>Не решено</x:v>
      </x:c>
      <x:c r="AD106" s="17" t="str">
        <x:v>Не проверено</x:v>
      </x:c>
      <x:c r="AE106" s="17" t="str">
        <x:v>Не проверено</x:v>
      </x:c>
      <x:c r="AF106" s="17" t="str">
        <x:v>Не проверено</x:v>
      </x:c>
      <x:c r="AG106" s="17" t="str">
        <x:v>Не решено</x:v>
      </x:c>
      <x:c r="AH106" s="17" t="str">
        <x:v>Не проверено</x:v>
      </x:c>
      <x:c r="AI106" s="10" t="str">
        <x:f>IF(AC106="Отклонить","Отклонено",IF(AND(AC106="Взять",COUNTIFS(AD106:AH106,"Да")=5),"Готово","Нужна редактура"))</x:f>
        <x:v>Нужна редактура</x:v>
      </x:c>
      <x:c r="AJ106" s="17" t="str"/>
      <x:c r="AK106" s="9" t="str">
        <x:v>https://www.youtube.com/playlist?list=PLLttfoK87AdX3Mdl17iO8NqEip3Uo20Qw</x:v>
      </x:c>
      <x:c r="AL106" s="9" t="n">
        <x:v>9</x:v>
      </x:c>
      <x:c r="AM106" s="9" t="n">
        <x:v>9</x:v>
      </x:c>
      <x:c r="AN106" s="9" t="n">
        <x:v>0</x:v>
      </x:c>
    </x:row>
    <x:row r="107" ht="60" customHeight="1">
      <x:c r="A107" s="9" t="str">
        <x:v>XMjGib1xwrg</x:v>
      </x:c>
      <x:c r="B107" s="10" t="str">
        <x:v>המפקדת 📋 | פרק 10 ואחרון לעונה  - איחלתי לחיילת בהצלחה 🔥</x:v>
      </x:c>
      <x:c r="C107" s="10" t="str">
        <x:v>Общество и армия</x:v>
      </x:c>
      <x:c r="D107" s="9" t="str">
        <x:v>Сериал</x:v>
      </x:c>
      <x:c r="E107" s="10" t="str">
        <x:v>Сериалы; молодёжь; культура Израиля</x:v>
      </x:c>
      <x:c r="F107" s="10" t="str">
        <x:v>B2–C1 (гипотеза)</x:v>
      </x:c>
      <x:c r="G107" s="12" t="n">
        <x:v>39.3</x:v>
      </x:c>
      <x:c r="H107" s="14" t="n">
        <x:v>849154</x:v>
      </x:c>
      <x:c r="I107" s="15" t="str">
        <x:v>Точный счётчик метаданных видео</x:v>
      </x:c>
      <x:c r="J107" s="14" t="n">
        <x:v>849000</x:v>
      </x:c>
      <x:c r="K107" s="14" t="n">
        <x:v>929500</x:v>
      </x:c>
      <x:c r="L107" s="12" t="n">
        <x:f>IF(COUNT(J107:K107)=2,IF(K107=0,"",J107/K107),"")</x:f>
        <x:v>0.9133942980096826</x:v>
      </x:c>
      <x:c r="M107" s="10" t="str">
        <x:v>Эпизод 10 в знакомой сюжетной ветке. Армейская повседневность объясняет важный пласт израильских шуток и разговоров. Серийный сюжет поддерживает длительный просмотр.</x:v>
      </x:c>
      <x:c r="N107" s="10" t="str">
        <x:v>Разобрать команды, аббревиатуры и смену регистра между начальником и подчинённым.</x:v>
      </x:c>
      <x:c r="O107" s="10" t="str">
        <x:v>Грубая речь, власть, сексуальные темы</x:v>
      </x:c>
      <x:c r="P107" s="10" t="str">
        <x:v>Полная серия — кандидат</x:v>
      </x:c>
      <x:c r="Q107" s="9" t="str">
        <x:v>Нет</x:v>
      </x:c>
      <x:c r="R107" s="9" t="str">
        <x:v>C005</x:v>
      </x:c>
      <x:c r="S107" s="9" t="str">
        <x:v>C005</x:v>
      </x:c>
      <x:c r="T107" s="10" t="str">
        <x:v>כאן 11 - תאגיד השידור הישראלי</x:v>
      </x:c>
      <x:c r="U107" s="11" t="str">
        <x:v>https://www.youtube.com/watch?v=XMjGib1xwrg</x:v>
      </x:c>
      <x:c r="V107" s="16" t="n">
        <x:v>46308</x:v>
      </x:c>
      <x:c r="W107" s="16" t="n">
        <x:v>44333</x:v>
      </x:c>
      <x:c r="X107" s="10" t="str">
        <x:v>Иврит предполагается по заголовку и источнику</x:v>
      </x:c>
      <x:c r="Y107" s="10" t="str">
        <x:v>Дорожка HE не найдена в метаданных; вшитые титры не проверены</x:v>
      </x:c>
      <x:c r="Z107" s="10" t="str">
        <x:v>Разрешено по метаданным</x:v>
      </x:c>
      <x:c r="AA107" s="10" t="str">
        <x:v>Метаданные видео; воспроизведение и содержание не проверены</x:v>
      </x:c>
      <x:c r="AB107" s="13" t="n">
        <x:f>IF(AND(ISNUMBER(H107),ISNUMBER(W107)),H107/MAX(1,'Обзор'!$B$4-W107),"")</x:f>
        <x:v>429.9513924050633</x:v>
      </x:c>
      <x:c r="AC107" s="17" t="str">
        <x:v>Не решено</x:v>
      </x:c>
      <x:c r="AD107" s="17" t="str">
        <x:v>Не проверено</x:v>
      </x:c>
      <x:c r="AE107" s="17" t="str">
        <x:v>Не проверено</x:v>
      </x:c>
      <x:c r="AF107" s="17" t="str">
        <x:v>Не проверено</x:v>
      </x:c>
      <x:c r="AG107" s="17" t="str">
        <x:v>Не решено</x:v>
      </x:c>
      <x:c r="AH107" s="17" t="str">
        <x:v>Не проверено</x:v>
      </x:c>
      <x:c r="AI107" s="10" t="str">
        <x:f>IF(AC107="Отклонить","Отклонено",IF(AND(AC107="Взять",COUNTIFS(AD107:AH107,"Да")=5),"Готово","Нужна редактура"))</x:f>
        <x:v>Нужна редактура</x:v>
      </x:c>
      <x:c r="AJ107" s="17" t="str"/>
      <x:c r="AK107" s="9" t="str">
        <x:v>https://www.youtube.com/playlist?list=PLLttfoK87AdX3Mdl17iO8NqEip3Uo20Qw</x:v>
      </x:c>
      <x:c r="AL107" s="9" t="n">
        <x:v>10</x:v>
      </x:c>
      <x:c r="AM107" s="9" t="n">
        <x:v>10</x:v>
      </x:c>
      <x:c r="AN107" s="9" t="n">
        <x:v>0</x:v>
      </x:c>
    </x:row>
    <x:row r="108" ht="60" customHeight="1">
      <x:c r="A108" s="9" t="str">
        <x:v>hf2WRoW1N5o</x:v>
      </x:c>
      <x:c r="B108" s="10" t="str">
        <x:v>עיניים אליי - אקו &amp; תומר כץ  (D Fine Us) | שיר הנושא מתוך #המפקדת כאן 11</x:v>
      </x:c>
      <x:c r="C108" s="10" t="str">
        <x:v>Общество и армия</x:v>
      </x:c>
      <x:c r="D108" s="9" t="str">
        <x:v>Сериал</x:v>
      </x:c>
      <x:c r="E108" s="10" t="str">
        <x:v>Сериалы; молодёжь; культура Израиля</x:v>
      </x:c>
      <x:c r="F108" s="10" t="str">
        <x:v>B2–C1 (гипотеза)</x:v>
      </x:c>
      <x:c r="G108" s="12" t="n">
        <x:v>2.7</x:v>
      </x:c>
      <x:c r="H108" s="14" t="n">
        <x:v>156000</x:v>
      </x:c>
      <x:c r="I108" s="15" t="str">
        <x:v>Округлённый счётчик в списке YouTube</x:v>
      </x:c>
      <x:c r="J108" s="14" t="n">
        <x:v>156000</x:v>
      </x:c>
      <x:c r="K108" s="14" t="n">
        <x:v>929500</x:v>
      </x:c>
      <x:c r="L108" s="12" t="n">
        <x:f>IF(COUNT(J108:K108)=2,IF(K108=0,"",J108/K108),"")</x:f>
        <x:v>0.16783216783216784</x:v>
      </x:c>
      <x:c r="M108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Армейская повседневность объясняет важный пласт израильских шуток и разговоров. Серийный сюжет поддерживает длительный просмотр.</x:v>
      </x:c>
      <x:c r="N108" s="10" t="str">
        <x:v>Разобрать команды, аббревиатуры и смену регистра между начальником и подчинённым.</x:v>
      </x:c>
      <x:c r="O108" s="10" t="str">
        <x:v>Грубая речь, власть, сексуальные темы</x:v>
      </x:c>
      <x:c r="P108" s="10" t="str">
        <x:v>Фрагмент сериала</x:v>
      </x:c>
      <x:c r="Q108" s="9" t="str">
        <x:v>Нет</x:v>
      </x:c>
      <x:c r="R108" s="9" t="str">
        <x:v>C005</x:v>
      </x:c>
      <x:c r="S108" s="9" t="str">
        <x:v>C005</x:v>
      </x:c>
      <x:c r="T108" s="10" t="str">
        <x:v>כאן 11 - תאגיד השידור הישראלי</x:v>
      </x:c>
      <x:c r="U108" s="11" t="str">
        <x:v>https://www.youtube.com/watch?v=hf2WRoW1N5o</x:v>
      </x:c>
      <x:c r="V108" s="16" t="n">
        <x:v>46308</x:v>
      </x:c>
      <x:c r="W108" s="16"/>
      <x:c r="X108" s="10" t="str">
        <x:v>Иврит предполагается по заголовку и источнику</x:v>
      </x:c>
      <x:c r="Y108" s="10" t="str">
        <x:v>Не проверено</x:v>
      </x:c>
      <x:c r="Z108" s="10" t="str">
        <x:v>Не проверено</x:v>
      </x:c>
      <x:c r="AA108" s="10" t="str">
        <x:v>Метаданные списка; видео не просмотрено</x:v>
      </x:c>
      <x:c r="AB108" s="13" t="str">
        <x:f>IF(AND(ISNUMBER(H108),ISNUMBER(W108)),H108/MAX(1,'Обзор'!$B$4-W108),"")</x:f>
      </x:c>
      <x:c r="AC108" s="17" t="str">
        <x:v>Не решено</x:v>
      </x:c>
      <x:c r="AD108" s="17" t="str">
        <x:v>Не проверено</x:v>
      </x:c>
      <x:c r="AE108" s="17" t="str">
        <x:v>Не проверено</x:v>
      </x:c>
      <x:c r="AF108" s="17" t="str">
        <x:v>Не проверено</x:v>
      </x:c>
      <x:c r="AG108" s="17" t="str">
        <x:v>Не решено</x:v>
      </x:c>
      <x:c r="AH108" s="17" t="str">
        <x:v>Не проверено</x:v>
      </x:c>
      <x:c r="AI108" s="10" t="str">
        <x:f>IF(AC108="Отклонить","Отклонено",IF(AND(AC108="Взять",COUNTIFS(AD108:AH108,"Да")=5),"Готово","Нужна редактура"))</x:f>
        <x:v>Нужна редактура</x:v>
      </x:c>
      <x:c r="AJ108" s="17" t="str"/>
      <x:c r="AK108" s="9" t="str">
        <x:v>https://www.youtube.com/playlist?list=PLLttfoK87AdX3Mdl17iO8NqEip3Uo20Qw</x:v>
      </x:c>
      <x:c r="AL108" s="9" t="n">
        <x:v>12</x:v>
      </x:c>
      <x:c r="AM108" s="9"/>
      <x:c r="AN108" s="9"/>
    </x:row>
    <x:row r="109" ht="60" customHeight="1">
      <x:c r="A109" s="9" t="str">
        <x:v>YZGfXQ8YJjo</x:v>
      </x:c>
      <x:c r="B109" s="10" t="str">
        <x:v>"המפקדת בכאן 11 - מכוונת גבוה ופוגעת בול'' | ריאיון עם אלונה סער ועטרה פריש - מתוך סוכן תרבות</x:v>
      </x:c>
      <x:c r="C109" s="10" t="str">
        <x:v>Общество и армия</x:v>
      </x:c>
      <x:c r="D109" s="9" t="str">
        <x:v>Сериал</x:v>
      </x:c>
      <x:c r="E109" s="10" t="str">
        <x:v>Сериалы; молодёжь; культура Израиля</x:v>
      </x:c>
      <x:c r="F109" s="10" t="str">
        <x:v>B2–C1 (гипотеза)</x:v>
      </x:c>
      <x:c r="G109" s="12" t="n">
        <x:v>12.6</x:v>
      </x:c>
      <x:c r="H109" s="14" t="n">
        <x:v>201000</x:v>
      </x:c>
      <x:c r="I109" s="15" t="str">
        <x:v>Округлённый счётчик в списке YouTube</x:v>
      </x:c>
      <x:c r="J109" s="14" t="n">
        <x:v>201000</x:v>
      </x:c>
      <x:c r="K109" s="14" t="n">
        <x:v>929500</x:v>
      </x:c>
      <x:c r="L109" s="12" t="n">
        <x:f>IF(COUNT(J109:K109)=2,IF(K109=0,"",J109/K109),"")</x:f>
        <x:v>0.2162452931683701</x:v>
      </x:c>
      <x:c r="M109" s="10" t="str">
        <x:v>Тип длинного материала требует уточнения. Просмотры ниже медианы цикла; выбирать за нишевую ценность, а не за массовый охват. Армейская повседневность объясняет важный пласт израильских шуток и разговоров. Серийный сюжет поддерживает длительный просмотр.</x:v>
      </x:c>
      <x:c r="N109" s="10" t="str">
        <x:v>Разобрать команды, аббревиатуры и смену регистра между начальником и подчинённым.</x:v>
      </x:c>
      <x:c r="O109" s="10" t="str">
        <x:v>Грубая речь, власть, сексуальные темы</x:v>
      </x:c>
      <x:c r="P109" s="10" t="str">
        <x:v>Длинный материал сериала; тип уточнить</x:v>
      </x:c>
      <x:c r="Q109" s="9" t="str">
        <x:v>Нет</x:v>
      </x:c>
      <x:c r="R109" s="9" t="str">
        <x:v>C005</x:v>
      </x:c>
      <x:c r="S109" s="9" t="str">
        <x:v>C005</x:v>
      </x:c>
      <x:c r="T109" s="10" t="str">
        <x:v>כאן 11 - תאגיד השידור הישראלי</x:v>
      </x:c>
      <x:c r="U109" s="11" t="str">
        <x:v>https://www.youtube.com/watch?v=YZGfXQ8YJjo</x:v>
      </x:c>
      <x:c r="V109" s="16" t="n">
        <x:v>46308</x:v>
      </x:c>
      <x:c r="W109" s="16"/>
      <x:c r="X109" s="10" t="str">
        <x:v>Иврит предполагается по заголовку и источнику</x:v>
      </x:c>
      <x:c r="Y109" s="10" t="str">
        <x:v>Не проверено</x:v>
      </x:c>
      <x:c r="Z109" s="10" t="str">
        <x:v>Не проверено</x:v>
      </x:c>
      <x:c r="AA109" s="10" t="str">
        <x:v>Метаданные списка; видео не просмотрено</x:v>
      </x:c>
      <x:c r="AB109" s="13" t="str">
        <x:f>IF(AND(ISNUMBER(H109),ISNUMBER(W109)),H109/MAX(1,'Обзор'!$B$4-W109),"")</x:f>
      </x:c>
      <x:c r="AC109" s="17" t="str">
        <x:v>Не решено</x:v>
      </x:c>
      <x:c r="AD109" s="17" t="str">
        <x:v>Не проверено</x:v>
      </x:c>
      <x:c r="AE109" s="17" t="str">
        <x:v>Не проверено</x:v>
      </x:c>
      <x:c r="AF109" s="17" t="str">
        <x:v>Не проверено</x:v>
      </x:c>
      <x:c r="AG109" s="17" t="str">
        <x:v>Не решено</x:v>
      </x:c>
      <x:c r="AH109" s="17" t="str">
        <x:v>Не проверено</x:v>
      </x:c>
      <x:c r="AI109" s="10" t="str">
        <x:f>IF(AC109="Отклонить","Отклонено",IF(AND(AC109="Взять",COUNTIFS(AD109:AH109,"Да")=5),"Готово","Нужна редактура"))</x:f>
        <x:v>Нужна редактура</x:v>
      </x:c>
      <x:c r="AJ109" s="17" t="str"/>
      <x:c r="AK109" s="9" t="str">
        <x:v>https://www.youtube.com/playlist?list=PLLttfoK87AdX3Mdl17iO8NqEip3Uo20Qw</x:v>
      </x:c>
      <x:c r="AL109" s="9" t="n">
        <x:v>13</x:v>
      </x:c>
      <x:c r="AM109" s="9"/>
      <x:c r="AN109" s="9"/>
    </x:row>
    <x:row r="110" ht="60" customHeight="1">
      <x:c r="A110" s="9" t="str">
        <x:v>MyOoez-OKCM</x:v>
      </x:c>
      <x:c r="B110" s="10" t="str">
        <x:v>המפקדת | לייב סשן - אקו ותומר כץ</x:v>
      </x:c>
      <x:c r="C110" s="10" t="str">
        <x:v>Общество и армия</x:v>
      </x:c>
      <x:c r="D110" s="9" t="str">
        <x:v>Сериал</x:v>
      </x:c>
      <x:c r="E110" s="10" t="str">
        <x:v>Сериалы; молодёжь; культура Израиля</x:v>
      </x:c>
      <x:c r="F110" s="10" t="str">
        <x:v>B2–C1 (гипотеза)</x:v>
      </x:c>
      <x:c r="G110" s="12" t="n">
        <x:v>18.7</x:v>
      </x:c>
      <x:c r="H110" s="14" t="n">
        <x:v>76000</x:v>
      </x:c>
      <x:c r="I110" s="15" t="str">
        <x:v>Округлённый счётчик в списке YouTube</x:v>
      </x:c>
      <x:c r="J110" s="14" t="n">
        <x:v>76000</x:v>
      </x:c>
      <x:c r="K110" s="14" t="n">
        <x:v>557000</x:v>
      </x:c>
      <x:c r="L110" s="12" t="n">
        <x:f>IF(COUNT(J110:K110)=2,IF(K110=0,"",J110/K110),"")</x:f>
        <x:v>0.13644524236983843</x:v>
      </x:c>
      <x:c r="M110" s="10" t="str">
        <x:v>Тип длинного материала требует уточнения. Просмотры ниже медианы цикла; выбирать за нишевую ценность, а не за массовый охват. Продолжение уже знакомых героев снижает затраты на вводный контекст и даёт второй маршрут после первого сезона.</x:v>
      </x:c>
      <x:c r="N110" s="10" t="str">
        <x:v>Отделить повелительное наклонение от просьб и неформальных реплик.</x:v>
      </x:c>
      <x:c r="O110" s="10" t="str">
        <x:v>Смотреть после первого сезона</x:v>
      </x:c>
      <x:c r="P110" s="10" t="str">
        <x:v>Длинный материал сериала; тип уточнить</x:v>
      </x:c>
      <x:c r="Q110" s="9" t="str">
        <x:v>Нет</x:v>
      </x:c>
      <x:c r="R110" s="9" t="str">
        <x:v>C006</x:v>
      </x:c>
      <x:c r="S110" s="9" t="str">
        <x:v>C006</x:v>
      </x:c>
      <x:c r="T110" s="10" t="str">
        <x:v>כאן 11 - תאגיד השידור הישראלי</x:v>
      </x:c>
      <x:c r="U110" s="11" t="str">
        <x:v>https://www.youtube.com/watch?v=MyOoez-OKCM</x:v>
      </x:c>
      <x:c r="V110" s="16" t="n">
        <x:v>46308</x:v>
      </x:c>
      <x:c r="W110" s="16"/>
      <x:c r="X110" s="10" t="str">
        <x:v>Иврит предполагается по заголовку и источнику</x:v>
      </x:c>
      <x:c r="Y110" s="10" t="str">
        <x:v>Не проверено</x:v>
      </x:c>
      <x:c r="Z110" s="10" t="str">
        <x:v>Не проверено</x:v>
      </x:c>
      <x:c r="AA110" s="10" t="str">
        <x:v>Метаданные списка; видео не просмотрено</x:v>
      </x:c>
      <x:c r="AB110" s="13" t="str">
        <x:f>IF(AND(ISNUMBER(H110),ISNUMBER(W110)),H110/MAX(1,'Обзор'!$B$4-W110),"")</x:f>
      </x:c>
      <x:c r="AC110" s="17" t="str">
        <x:v>Не решено</x:v>
      </x:c>
      <x:c r="AD110" s="17" t="str">
        <x:v>Не проверено</x:v>
      </x:c>
      <x:c r="AE110" s="17" t="str">
        <x:v>Не проверено</x:v>
      </x:c>
      <x:c r="AF110" s="17" t="str">
        <x:v>Не проверено</x:v>
      </x:c>
      <x:c r="AG110" s="17" t="str">
        <x:v>Не решено</x:v>
      </x:c>
      <x:c r="AH110" s="17" t="str">
        <x:v>Не проверено</x:v>
      </x:c>
      <x:c r="AI110" s="10" t="str">
        <x:f>IF(AC110="Отклонить","Отклонено",IF(AND(AC110="Взять",COUNTIFS(AD110:AH110,"Да")=5),"Готово","Нужна редактура"))</x:f>
        <x:v>Нужна редактура</x:v>
      </x:c>
      <x:c r="AJ110" s="17" t="str"/>
      <x:c r="AK110" s="9" t="str">
        <x:v>https://www.youtube.com/playlist?list=PLLttfoK87AdUbInZbx08IIe2KLq-sfJlh</x:v>
      </x:c>
      <x:c r="AL110" s="9" t="n">
        <x:v>1</x:v>
      </x:c>
      <x:c r="AM110" s="9"/>
      <x:c r="AN110" s="9"/>
    </x:row>
    <x:row r="111" ht="60" customHeight="1">
      <x:c r="A111" s="9" t="str">
        <x:v>iVXjPa-IehU</x:v>
      </x:c>
      <x:c r="B111" s="10" t="str">
        <x:v>המפקדת עונה 2 | פרק 1 - נוהל כיף</x:v>
      </x:c>
      <x:c r="C111" s="10" t="str">
        <x:v>Общество и армия</x:v>
      </x:c>
      <x:c r="D111" s="9" t="str">
        <x:v>Сериал</x:v>
      </x:c>
      <x:c r="E111" s="10" t="str">
        <x:v>Сериалы; молодёжь; культура Израиля</x:v>
      </x:c>
      <x:c r="F111" s="10" t="str">
        <x:v>B2–C1 (гипотеза)</x:v>
      </x:c>
      <x:c r="G111" s="12" t="n">
        <x:v>37.9</x:v>
      </x:c>
      <x:c r="H111" s="14" t="n">
        <x:v>612882</x:v>
      </x:c>
      <x:c r="I111" s="15" t="str">
        <x:v>Точный счётчик метаданных видео</x:v>
      </x:c>
      <x:c r="J111" s="14" t="n">
        <x:v>612000</x:v>
      </x:c>
      <x:c r="K111" s="14" t="n">
        <x:v>557000</x:v>
      </x:c>
      <x:c r="L111" s="12" t="n">
        <x:f>IF(COUNT(J111:K111)=2,IF(K111=0,"",J111/K111),"")</x:f>
        <x:v>1.0987432675044884</x:v>
      </x:c>
      <x:c r="M111" s="10" t="str">
        <x:v>Эпизод 1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N111" s="10" t="str">
        <x:v>Отделить повелительное наклонение от просьб и неформальных реплик.</x:v>
      </x:c>
      <x:c r="O111" s="10" t="str">
        <x:v>Смотреть после первого сезона</x:v>
      </x:c>
      <x:c r="P111" s="10" t="str">
        <x:v>Полная серия — кандидат</x:v>
      </x:c>
      <x:c r="Q111" s="9" t="str">
        <x:v>Нет</x:v>
      </x:c>
      <x:c r="R111" s="9" t="str">
        <x:v>C006</x:v>
      </x:c>
      <x:c r="S111" s="9" t="str">
        <x:v>C006</x:v>
      </x:c>
      <x:c r="T111" s="10" t="str">
        <x:v>כאן 11 - תאגיד השידור הישראלי</x:v>
      </x:c>
      <x:c r="U111" s="11" t="str">
        <x:v>https://www.youtube.com/watch?v=iVXjPa-IehU</x:v>
      </x:c>
      <x:c r="V111" s="16" t="n">
        <x:v>46308</x:v>
      </x:c>
      <x:c r="W111" s="16" t="n">
        <x:v>44853</x:v>
      </x:c>
      <x:c r="X111" s="10" t="str">
        <x:v>Иврит предполагается по заголовку и источнику</x:v>
      </x:c>
      <x:c r="Y111" s="10" t="str">
        <x:v>Автоматическая дорожка HE по метаданным</x:v>
      </x:c>
      <x:c r="Z111" s="10" t="str">
        <x:v>Разрешено по метаданным</x:v>
      </x:c>
      <x:c r="AA111" s="10" t="str">
        <x:v>Метаданные видео; воспроизведение и содержание не проверены</x:v>
      </x:c>
      <x:c r="AB111" s="13" t="n">
        <x:f>IF(AND(ISNUMBER(H111),ISNUMBER(W111)),H111/MAX(1,'Обзор'!$B$4-W111),"")</x:f>
        <x:v>421.2247422680412</x:v>
      </x:c>
      <x:c r="AC111" s="17" t="str">
        <x:v>Не решено</x:v>
      </x:c>
      <x:c r="AD111" s="17" t="str">
        <x:v>Не проверено</x:v>
      </x:c>
      <x:c r="AE111" s="17" t="str">
        <x:v>Не проверено</x:v>
      </x:c>
      <x:c r="AF111" s="17" t="str">
        <x:v>Не проверено</x:v>
      </x:c>
      <x:c r="AG111" s="17" t="str">
        <x:v>Не решено</x:v>
      </x:c>
      <x:c r="AH111" s="17" t="str">
        <x:v>Не проверено</x:v>
      </x:c>
      <x:c r="AI111" s="10" t="str">
        <x:f>IF(AC111="Отклонить","Отклонено",IF(AND(AC111="Взять",COUNTIFS(AD111:AH111,"Да")=5),"Готово","Нужна редактура"))</x:f>
        <x:v>Нужна редактура</x:v>
      </x:c>
      <x:c r="AJ111" s="17" t="str"/>
      <x:c r="AK111" s="9" t="str">
        <x:v>https://www.youtube.com/playlist?list=PLLttfoK87AdUbInZbx08IIe2KLq-sfJlh</x:v>
      </x:c>
      <x:c r="AL111" s="9" t="n">
        <x:v>12</x:v>
      </x:c>
      <x:c r="AM111" s="9" t="n">
        <x:v>1</x:v>
      </x:c>
      <x:c r="AN111" s="9" t="n">
        <x:v>0</x:v>
      </x:c>
    </x:row>
    <x:row r="112" ht="60" customHeight="1">
      <x:c r="A112" s="9" t="str">
        <x:v>Jh6DVKuteSg</x:v>
      </x:c>
      <x:c r="B112" s="10" t="str">
        <x:v>המפקדת עונה 2 | פרק 2 -  הכאב הוא רגעי</x:v>
      </x:c>
      <x:c r="C112" s="10" t="str">
        <x:v>Общество и армия</x:v>
      </x:c>
      <x:c r="D112" s="9" t="str">
        <x:v>Сериал</x:v>
      </x:c>
      <x:c r="E112" s="10" t="str">
        <x:v>Сериалы; молодёжь; культура Израиля</x:v>
      </x:c>
      <x:c r="F112" s="10" t="str">
        <x:v>B2–C1 (гипотеза)</x:v>
      </x:c>
      <x:c r="G112" s="12" t="n">
        <x:v>34.2</x:v>
      </x:c>
      <x:c r="H112" s="14" t="n">
        <x:v>627482</x:v>
      </x:c>
      <x:c r="I112" s="15" t="str">
        <x:v>Точный счётчик метаданных видео</x:v>
      </x:c>
      <x:c r="J112" s="14" t="n">
        <x:v>627000</x:v>
      </x:c>
      <x:c r="K112" s="14" t="n">
        <x:v>557000</x:v>
      </x:c>
      <x:c r="L112" s="12" t="n">
        <x:f>IF(COUNT(J112:K112)=2,IF(K112=0,"",J112/K112),"")</x:f>
        <x:v>1.125673249551167</x:v>
      </x:c>
      <x:c r="M112" s="10" t="str">
        <x:v>Эпизод 2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N112" s="10" t="str">
        <x:v>Отделить повелительное наклонение от просьб и неформальных реплик.</x:v>
      </x:c>
      <x:c r="O112" s="10" t="str">
        <x:v>Смотреть после первого сезона</x:v>
      </x:c>
      <x:c r="P112" s="10" t="str">
        <x:v>Полная серия — кандидат</x:v>
      </x:c>
      <x:c r="Q112" s="9" t="str">
        <x:v>Нет</x:v>
      </x:c>
      <x:c r="R112" s="9" t="str">
        <x:v>C006</x:v>
      </x:c>
      <x:c r="S112" s="9" t="str">
        <x:v>C006</x:v>
      </x:c>
      <x:c r="T112" s="10" t="str">
        <x:v>כאן 11 - תאגיד השידור הישראלי</x:v>
      </x:c>
      <x:c r="U112" s="11" t="str">
        <x:v>https://www.youtube.com/watch?v=Jh6DVKuteSg</x:v>
      </x:c>
      <x:c r="V112" s="16" t="n">
        <x:v>46308</x:v>
      </x:c>
      <x:c r="W112" s="16" t="n">
        <x:v>44857</x:v>
      </x:c>
      <x:c r="X112" s="10" t="str">
        <x:v>Иврит предполагается по заголовку и источнику</x:v>
      </x:c>
      <x:c r="Y112" s="10" t="str">
        <x:v>Дорожка HE не найдена в метаданных; вшитые титры не проверены</x:v>
      </x:c>
      <x:c r="Z112" s="10" t="str">
        <x:v>Разрешено по метаданным</x:v>
      </x:c>
      <x:c r="AA112" s="10" t="str">
        <x:v>Метаданные видео; воспроизведение и содержание не проверены</x:v>
      </x:c>
      <x:c r="AB112" s="13" t="n">
        <x:f>IF(AND(ISNUMBER(H112),ISNUMBER(W112)),H112/MAX(1,'Обзор'!$B$4-W112),"")</x:f>
        <x:v>432.44796691936597</x:v>
      </x:c>
      <x:c r="AC112" s="17" t="str">
        <x:v>Не решено</x:v>
      </x:c>
      <x:c r="AD112" s="17" t="str">
        <x:v>Не проверено</x:v>
      </x:c>
      <x:c r="AE112" s="17" t="str">
        <x:v>Не проверено</x:v>
      </x:c>
      <x:c r="AF112" s="17" t="str">
        <x:v>Не проверено</x:v>
      </x:c>
      <x:c r="AG112" s="17" t="str">
        <x:v>Не решено</x:v>
      </x:c>
      <x:c r="AH112" s="17" t="str">
        <x:v>Не проверено</x:v>
      </x:c>
      <x:c r="AI112" s="10" t="str">
        <x:f>IF(AC112="Отклонить","Отклонено",IF(AND(AC112="Взять",COUNTIFS(AD112:AH112,"Да")=5),"Готово","Нужна редактура"))</x:f>
        <x:v>Нужна редактура</x:v>
      </x:c>
      <x:c r="AJ112" s="17" t="str"/>
      <x:c r="AK112" s="9" t="str">
        <x:v>https://www.youtube.com/playlist?list=PLLttfoK87AdUbInZbx08IIe2KLq-sfJlh</x:v>
      </x:c>
      <x:c r="AL112" s="9" t="n">
        <x:v>11</x:v>
      </x:c>
      <x:c r="AM112" s="9" t="n">
        <x:v>2</x:v>
      </x:c>
      <x:c r="AN112" s="9" t="n">
        <x:v>0</x:v>
      </x:c>
    </x:row>
    <x:row r="113" ht="60" customHeight="1">
      <x:c r="A113" s="9" t="str">
        <x:v>f1dRsRznNu8</x:v>
      </x:c>
      <x:c r="B113" s="10" t="str">
        <x:v>המפקדת עונה 2 | פרק 3 - הנפקדת</x:v>
      </x:c>
      <x:c r="C113" s="10" t="str">
        <x:v>Общество и армия</x:v>
      </x:c>
      <x:c r="D113" s="9" t="str">
        <x:v>Сериал</x:v>
      </x:c>
      <x:c r="E113" s="10" t="str">
        <x:v>Сериалы; молодёжь; культура Израиля</x:v>
      </x:c>
      <x:c r="F113" s="10" t="str">
        <x:v>B2–C1 (гипотеза)</x:v>
      </x:c>
      <x:c r="G113" s="12" t="n">
        <x:v>35.6</x:v>
      </x:c>
      <x:c r="H113" s="14" t="n">
        <x:v>566389</x:v>
      </x:c>
      <x:c r="I113" s="15" t="str">
        <x:v>Точный счётчик метаданных видео</x:v>
      </x:c>
      <x:c r="J113" s="14" t="n">
        <x:v>566000</x:v>
      </x:c>
      <x:c r="K113" s="14" t="n">
        <x:v>557000</x:v>
      </x:c>
      <x:c r="L113" s="12" t="n">
        <x:f>IF(COUNT(J113:K113)=2,IF(K113=0,"",J113/K113),"")</x:f>
        <x:v>1.0161579892280073</x:v>
      </x:c>
      <x:c r="M113" s="10" t="str">
        <x:v>Эпизод 3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N113" s="10" t="str">
        <x:v>Отделить повелительное наклонение от просьб и неформальных реплик.</x:v>
      </x:c>
      <x:c r="O113" s="10" t="str">
        <x:v>Смотреть после первого сезона</x:v>
      </x:c>
      <x:c r="P113" s="10" t="str">
        <x:v>Полная серия — кандидат</x:v>
      </x:c>
      <x:c r="Q113" s="9" t="str">
        <x:v>Нет</x:v>
      </x:c>
      <x:c r="R113" s="9" t="str">
        <x:v>C006</x:v>
      </x:c>
      <x:c r="S113" s="9" t="str">
        <x:v>C006</x:v>
      </x:c>
      <x:c r="T113" s="10" t="str">
        <x:v>כאן 11 - תאגיד השידור הישראלי</x:v>
      </x:c>
      <x:c r="U113" s="11" t="str">
        <x:v>https://www.youtube.com/watch?v=f1dRsRznNu8</x:v>
      </x:c>
      <x:c r="V113" s="16" t="n">
        <x:v>46308</x:v>
      </x:c>
      <x:c r="W113" s="16" t="n">
        <x:v>44860</x:v>
      </x:c>
      <x:c r="X113" s="10" t="str">
        <x:v>Иврит предполагается по заголовку и источнику</x:v>
      </x:c>
      <x:c r="Y113" s="10" t="str">
        <x:v>Дорожка HE не найдена в метаданных; вшитые титры не проверены</x:v>
      </x:c>
      <x:c r="Z113" s="10" t="str">
        <x:v>Разрешено по метаданным</x:v>
      </x:c>
      <x:c r="AA113" s="10" t="str">
        <x:v>Метаданные видео; воспроизведение и содержание не проверены</x:v>
      </x:c>
      <x:c r="AB113" s="13" t="n">
        <x:f>IF(AND(ISNUMBER(H113),ISNUMBER(W113)),H113/MAX(1,'Обзор'!$B$4-W113),"")</x:f>
        <x:v>391.15262430939225</x:v>
      </x:c>
      <x:c r="AC113" s="17" t="str">
        <x:v>Не решено</x:v>
      </x:c>
      <x:c r="AD113" s="17" t="str">
        <x:v>Не проверено</x:v>
      </x:c>
      <x:c r="AE113" s="17" t="str">
        <x:v>Не проверено</x:v>
      </x:c>
      <x:c r="AF113" s="17" t="str">
        <x:v>Не проверено</x:v>
      </x:c>
      <x:c r="AG113" s="17" t="str">
        <x:v>Не решено</x:v>
      </x:c>
      <x:c r="AH113" s="17" t="str">
        <x:v>Не проверено</x:v>
      </x:c>
      <x:c r="AI113" s="10" t="str">
        <x:f>IF(AC113="Отклонить","Отклонено",IF(AND(AC113="Взять",COUNTIFS(AD113:AH113,"Да")=5),"Готово","Нужна редактура"))</x:f>
        <x:v>Нужна редактура</x:v>
      </x:c>
      <x:c r="AJ113" s="17" t="str"/>
      <x:c r="AK113" s="9" t="str">
        <x:v>https://www.youtube.com/playlist?list=PLLttfoK87AdUbInZbx08IIe2KLq-sfJlh</x:v>
      </x:c>
      <x:c r="AL113" s="9" t="n">
        <x:v>10</x:v>
      </x:c>
      <x:c r="AM113" s="9" t="n">
        <x:v>3</x:v>
      </x:c>
      <x:c r="AN113" s="9" t="n">
        <x:v>0</x:v>
      </x:c>
    </x:row>
    <x:row r="114" ht="60" customHeight="1">
      <x:c r="A114" s="9" t="str">
        <x:v>ClXtuN96phs</x:v>
      </x:c>
      <x:c r="B114" s="10" t="str">
        <x:v>המפקדת עונה 2 | פרק 4 -  מורשת קרב</x:v>
      </x:c>
      <x:c r="C114" s="10" t="str">
        <x:v>Общество и армия</x:v>
      </x:c>
      <x:c r="D114" s="9" t="str">
        <x:v>Сериал</x:v>
      </x:c>
      <x:c r="E114" s="10" t="str">
        <x:v>Сериалы; молодёжь; культура Израиля</x:v>
      </x:c>
      <x:c r="F114" s="10" t="str">
        <x:v>B2–C1 (гипотеза)</x:v>
      </x:c>
      <x:c r="G114" s="12" t="n">
        <x:v>33</x:v>
      </x:c>
      <x:c r="H114" s="14" t="n">
        <x:v>548183</x:v>
      </x:c>
      <x:c r="I114" s="15" t="str">
        <x:v>Точный счётчик метаданных видео</x:v>
      </x:c>
      <x:c r="J114" s="14" t="n">
        <x:v>548000</x:v>
      </x:c>
      <x:c r="K114" s="14" t="n">
        <x:v>557000</x:v>
      </x:c>
      <x:c r="L114" s="12" t="n">
        <x:f>IF(COUNT(J114:K114)=2,IF(K114=0,"",J114/K114),"")</x:f>
        <x:v>0.9838420107719928</x:v>
      </x:c>
      <x:c r="M114" s="10" t="str">
        <x:v>Эпизод 4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N114" s="10" t="str">
        <x:v>Отделить повелительное наклонение от просьб и неформальных реплик.</x:v>
      </x:c>
      <x:c r="O114" s="10" t="str">
        <x:v>Смотреть после первого сезона</x:v>
      </x:c>
      <x:c r="P114" s="10" t="str">
        <x:v>Полная серия — кандидат</x:v>
      </x:c>
      <x:c r="Q114" s="9" t="str">
        <x:v>Нет</x:v>
      </x:c>
      <x:c r="R114" s="9" t="str">
        <x:v>C006</x:v>
      </x:c>
      <x:c r="S114" s="9" t="str">
        <x:v>C006</x:v>
      </x:c>
      <x:c r="T114" s="10" t="str">
        <x:v>כאן 11 - תאגיד השידור הישראלי</x:v>
      </x:c>
      <x:c r="U114" s="11" t="str">
        <x:v>https://www.youtube.com/watch?v=ClXtuN96phs</x:v>
      </x:c>
      <x:c r="V114" s="16" t="n">
        <x:v>46308</x:v>
      </x:c>
      <x:c r="W114" s="16" t="n">
        <x:v>44864</x:v>
      </x:c>
      <x:c r="X114" s="10" t="str">
        <x:v>Иврит предполагается по заголовку и источнику</x:v>
      </x:c>
      <x:c r="Y114" s="10" t="str">
        <x:v>Дорожка HE не найдена в метаданных; вшитые титры не проверены</x:v>
      </x:c>
      <x:c r="Z114" s="10" t="str">
        <x:v>Разрешено по метаданным</x:v>
      </x:c>
      <x:c r="AA114" s="10" t="str">
        <x:v>Метаданные видео; воспроизведение и содержание не проверены</x:v>
      </x:c>
      <x:c r="AB114" s="13" t="n">
        <x:f>IF(AND(ISNUMBER(H114),ISNUMBER(W114)),H114/MAX(1,'Обзор'!$B$4-W114),"")</x:f>
        <x:v>379.6281163434903</x:v>
      </x:c>
      <x:c r="AC114" s="17" t="str">
        <x:v>Не решено</x:v>
      </x:c>
      <x:c r="AD114" s="17" t="str">
        <x:v>Не проверено</x:v>
      </x:c>
      <x:c r="AE114" s="17" t="str">
        <x:v>Не проверено</x:v>
      </x:c>
      <x:c r="AF114" s="17" t="str">
        <x:v>Не проверено</x:v>
      </x:c>
      <x:c r="AG114" s="17" t="str">
        <x:v>Не решено</x:v>
      </x:c>
      <x:c r="AH114" s="17" t="str">
        <x:v>Не проверено</x:v>
      </x:c>
      <x:c r="AI114" s="10" t="str">
        <x:f>IF(AC114="Отклонить","Отклонено",IF(AND(AC114="Взять",COUNTIFS(AD114:AH114,"Да")=5),"Готово","Нужна редактура"))</x:f>
        <x:v>Нужна редактура</x:v>
      </x:c>
      <x:c r="AJ114" s="17" t="str"/>
      <x:c r="AK114" s="9" t="str">
        <x:v>https://www.youtube.com/playlist?list=PLLttfoK87AdUbInZbx08IIe2KLq-sfJlh</x:v>
      </x:c>
      <x:c r="AL114" s="9" t="n">
        <x:v>9</x:v>
      </x:c>
      <x:c r="AM114" s="9" t="n">
        <x:v>4</x:v>
      </x:c>
      <x:c r="AN114" s="9" t="n">
        <x:v>0</x:v>
      </x:c>
    </x:row>
    <x:row r="115" ht="60" customHeight="1">
      <x:c r="A115" s="9" t="str">
        <x:v>lZqNrGFhHfU</x:v>
      </x:c>
      <x:c r="B115" s="10" t="str">
        <x:v>המפקדת עונה 2 | פרק 5 - מכת אש</x:v>
      </x:c>
      <x:c r="C115" s="10" t="str">
        <x:v>Общество и армия</x:v>
      </x:c>
      <x:c r="D115" s="9" t="str">
        <x:v>Сериал</x:v>
      </x:c>
      <x:c r="E115" s="10" t="str">
        <x:v>Сериалы; молодёжь; культура Израиля</x:v>
      </x:c>
      <x:c r="F115" s="10" t="str">
        <x:v>B2–C1 (гипотеза)</x:v>
      </x:c>
      <x:c r="G115" s="12" t="n">
        <x:v>40.4</x:v>
      </x:c>
      <x:c r="H115" s="14" t="n">
        <x:v>588379</x:v>
      </x:c>
      <x:c r="I115" s="15" t="str">
        <x:v>Точный счётчик метаданных видео</x:v>
      </x:c>
      <x:c r="J115" s="14" t="n">
        <x:v>588000</x:v>
      </x:c>
      <x:c r="K115" s="14" t="n">
        <x:v>557000</x:v>
      </x:c>
      <x:c r="L115" s="12" t="n">
        <x:f>IF(COUNT(J115:K115)=2,IF(K115=0,"",J115/K115),"")</x:f>
        <x:v>1.0556552962298025</x:v>
      </x:c>
      <x:c r="M115" s="10" t="str">
        <x:v>Эпизод 5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N115" s="10" t="str">
        <x:v>Отделить повелительное наклонение от просьб и неформальных реплик.</x:v>
      </x:c>
      <x:c r="O115" s="10" t="str">
        <x:v>Смотреть после первого сезона</x:v>
      </x:c>
      <x:c r="P115" s="10" t="str">
        <x:v>Полная серия — кандидат</x:v>
      </x:c>
      <x:c r="Q115" s="9" t="str">
        <x:v>Нет</x:v>
      </x:c>
      <x:c r="R115" s="9" t="str">
        <x:v>C006</x:v>
      </x:c>
      <x:c r="S115" s="9" t="str">
        <x:v>C006</x:v>
      </x:c>
      <x:c r="T115" s="10" t="str">
        <x:v>כאן 11 - תאגיד השידור הישראלי</x:v>
      </x:c>
      <x:c r="U115" s="11" t="str">
        <x:v>https://www.youtube.com/watch?v=lZqNrGFhHfU</x:v>
      </x:c>
      <x:c r="V115" s="16" t="n">
        <x:v>46308</x:v>
      </x:c>
      <x:c r="W115" s="16" t="n">
        <x:v>44867</x:v>
      </x:c>
      <x:c r="X115" s="10" t="str">
        <x:v>Иврит предполагается по заголовку и источнику</x:v>
      </x:c>
      <x:c r="Y115" s="10" t="str">
        <x:v>Дорожка HE не найдена в метаданных; вшитые титры не проверены</x:v>
      </x:c>
      <x:c r="Z115" s="10" t="str">
        <x:v>Разрешено по метаданным</x:v>
      </x:c>
      <x:c r="AA115" s="10" t="str">
        <x:v>Метаданные видео; воспроизведение и содержание не проверены</x:v>
      </x:c>
      <x:c r="AB115" s="13" t="n">
        <x:f>IF(AND(ISNUMBER(H115),ISNUMBER(W115)),H115/MAX(1,'Обзор'!$B$4-W115),"")</x:f>
        <x:v>408.31297709923666</x:v>
      </x:c>
      <x:c r="AC115" s="17" t="str">
        <x:v>Не решено</x:v>
      </x:c>
      <x:c r="AD115" s="17" t="str">
        <x:v>Не проверено</x:v>
      </x:c>
      <x:c r="AE115" s="17" t="str">
        <x:v>Не проверено</x:v>
      </x:c>
      <x:c r="AF115" s="17" t="str">
        <x:v>Не проверено</x:v>
      </x:c>
      <x:c r="AG115" s="17" t="str">
        <x:v>Не решено</x:v>
      </x:c>
      <x:c r="AH115" s="17" t="str">
        <x:v>Не проверено</x:v>
      </x:c>
      <x:c r="AI115" s="10" t="str">
        <x:f>IF(AC115="Отклонить","Отклонено",IF(AND(AC115="Взять",COUNTIFS(AD115:AH115,"Да")=5),"Готово","Нужна редактура"))</x:f>
        <x:v>Нужна редактура</x:v>
      </x:c>
      <x:c r="AJ115" s="17" t="str"/>
      <x:c r="AK115" s="9" t="str">
        <x:v>https://www.youtube.com/playlist?list=PLLttfoK87AdUbInZbx08IIe2KLq-sfJlh</x:v>
      </x:c>
      <x:c r="AL115" s="9" t="n">
        <x:v>8</x:v>
      </x:c>
      <x:c r="AM115" s="9" t="n">
        <x:v>5</x:v>
      </x:c>
      <x:c r="AN115" s="9" t="n">
        <x:v>0</x:v>
      </x:c>
    </x:row>
    <x:row r="116" ht="60" customHeight="1">
      <x:c r="A116" s="9" t="str">
        <x:v>mbRrnAi8cgU</x:v>
      </x:c>
      <x:c r="B116" s="10" t="str">
        <x:v>המפקדת עונה 2 | פרק 6 - להוביל</x:v>
      </x:c>
      <x:c r="C116" s="10" t="str">
        <x:v>Общество и армия</x:v>
      </x:c>
      <x:c r="D116" s="9" t="str">
        <x:v>Сериал</x:v>
      </x:c>
      <x:c r="E116" s="10" t="str">
        <x:v>Сериалы; молодёжь; культура Израиля</x:v>
      </x:c>
      <x:c r="F116" s="10" t="str">
        <x:v>B2–C1 (гипотеза)</x:v>
      </x:c>
      <x:c r="G116" s="12" t="n">
        <x:v>37.7</x:v>
      </x:c>
      <x:c r="H116" s="14" t="n">
        <x:v>567059</x:v>
      </x:c>
      <x:c r="I116" s="15" t="str">
        <x:v>Точный счётчик метаданных видео</x:v>
      </x:c>
      <x:c r="J116" s="14" t="n">
        <x:v>567000</x:v>
      </x:c>
      <x:c r="K116" s="14" t="n">
        <x:v>557000</x:v>
      </x:c>
      <x:c r="L116" s="12" t="n">
        <x:f>IF(COUNT(J116:K116)=2,IF(K116=0,"",J116/K116),"")</x:f>
        <x:v>1.0179533213644525</x:v>
      </x:c>
      <x:c r="M116" s="10" t="str">
        <x:v>Эпизод 6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N116" s="10" t="str">
        <x:v>Отделить повелительное наклонение от просьб и неформальных реплик.</x:v>
      </x:c>
      <x:c r="O116" s="10" t="str">
        <x:v>Смотреть после первого сезона</x:v>
      </x:c>
      <x:c r="P116" s="10" t="str">
        <x:v>Полная серия — кандидат</x:v>
      </x:c>
      <x:c r="Q116" s="9" t="str">
        <x:v>Нет</x:v>
      </x:c>
      <x:c r="R116" s="9" t="str">
        <x:v>C006</x:v>
      </x:c>
      <x:c r="S116" s="9" t="str">
        <x:v>C006</x:v>
      </x:c>
      <x:c r="T116" s="10" t="str">
        <x:v>כאן 11 - תאגיד השידור הישראלי</x:v>
      </x:c>
      <x:c r="U116" s="11" t="str">
        <x:v>https://www.youtube.com/watch?v=mbRrnAi8cgU</x:v>
      </x:c>
      <x:c r="V116" s="16" t="n">
        <x:v>46308</x:v>
      </x:c>
      <x:c r="W116" s="16" t="n">
        <x:v>44871</x:v>
      </x:c>
      <x:c r="X116" s="10" t="str">
        <x:v>Иврит предполагается по заголовку и источнику</x:v>
      </x:c>
      <x:c r="Y116" s="10" t="str">
        <x:v>Автоматическая дорожка HE по метаданным</x:v>
      </x:c>
      <x:c r="Z116" s="10" t="str">
        <x:v>Разрешено по метаданным</x:v>
      </x:c>
      <x:c r="AA116" s="10" t="str">
        <x:v>Метаданные видео; воспроизведение и содержание не проверены</x:v>
      </x:c>
      <x:c r="AB116" s="13" t="n">
        <x:f>IF(AND(ISNUMBER(H116),ISNUMBER(W116)),H116/MAX(1,'Обзор'!$B$4-W116),"")</x:f>
        <x:v>394.61308281141265</x:v>
      </x:c>
      <x:c r="AC116" s="17" t="str">
        <x:v>Не решено</x:v>
      </x:c>
      <x:c r="AD116" s="17" t="str">
        <x:v>Не проверено</x:v>
      </x:c>
      <x:c r="AE116" s="17" t="str">
        <x:v>Не проверено</x:v>
      </x:c>
      <x:c r="AF116" s="17" t="str">
        <x:v>Не проверено</x:v>
      </x:c>
      <x:c r="AG116" s="17" t="str">
        <x:v>Не решено</x:v>
      </x:c>
      <x:c r="AH116" s="17" t="str">
        <x:v>Не проверено</x:v>
      </x:c>
      <x:c r="AI116" s="10" t="str">
        <x:f>IF(AC116="Отклонить","Отклонено",IF(AND(AC116="Взять",COUNTIFS(AD116:AH116,"Да")=5),"Готово","Нужна редактура"))</x:f>
        <x:v>Нужна редактура</x:v>
      </x:c>
      <x:c r="AJ116" s="17" t="str"/>
      <x:c r="AK116" s="9" t="str">
        <x:v>https://www.youtube.com/playlist?list=PLLttfoK87AdUbInZbx08IIe2KLq-sfJlh</x:v>
      </x:c>
      <x:c r="AL116" s="9" t="n">
        <x:v>7</x:v>
      </x:c>
      <x:c r="AM116" s="9" t="n">
        <x:v>6</x:v>
      </x:c>
      <x:c r="AN116" s="9" t="n">
        <x:v>0</x:v>
      </x:c>
    </x:row>
    <x:row r="117" ht="60" customHeight="1">
      <x:c r="A117" s="9" t="str">
        <x:v>NUeWb-Sn0IQ</x:v>
      </x:c>
      <x:c r="B117" s="10" t="str">
        <x:v>המפקדת עונה 2 | פרק 7 - הפולשת</x:v>
      </x:c>
      <x:c r="C117" s="10" t="str">
        <x:v>Общество и армия</x:v>
      </x:c>
      <x:c r="D117" s="9" t="str">
        <x:v>Сериал</x:v>
      </x:c>
      <x:c r="E117" s="10" t="str">
        <x:v>Сериалы; молодёжь; культура Израиля</x:v>
      </x:c>
      <x:c r="F117" s="10" t="str">
        <x:v>B2–C1 (гипотеза)</x:v>
      </x:c>
      <x:c r="G117" s="12" t="n">
        <x:v>35.5</x:v>
      </x:c>
      <x:c r="H117" s="14" t="n">
        <x:v>487183</x:v>
      </x:c>
      <x:c r="I117" s="15" t="str">
        <x:v>Точный счётчик метаданных видео</x:v>
      </x:c>
      <x:c r="J117" s="14" t="n">
        <x:v>487000</x:v>
      </x:c>
      <x:c r="K117" s="14" t="n">
        <x:v>557000</x:v>
      </x:c>
      <x:c r="L117" s="12" t="n">
        <x:f>IF(COUNT(J117:K117)=2,IF(K117=0,"",J117/K117),"")</x:f>
        <x:v>0.874326750448833</x:v>
      </x:c>
      <x:c r="M117" s="10" t="str">
        <x:v>Эпизод 7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N117" s="10" t="str">
        <x:v>Отделить повелительное наклонение от просьб и неформальных реплик.</x:v>
      </x:c>
      <x:c r="O117" s="10" t="str">
        <x:v>Смотреть после первого сезона</x:v>
      </x:c>
      <x:c r="P117" s="10" t="str">
        <x:v>Полная серия — кандидат</x:v>
      </x:c>
      <x:c r="Q117" s="9" t="str">
        <x:v>Нет</x:v>
      </x:c>
      <x:c r="R117" s="9" t="str">
        <x:v>C006</x:v>
      </x:c>
      <x:c r="S117" s="9" t="str">
        <x:v>C006</x:v>
      </x:c>
      <x:c r="T117" s="10" t="str">
        <x:v>כאן 11 - תאגיד השידור הישראלי</x:v>
      </x:c>
      <x:c r="U117" s="11" t="str">
        <x:v>https://www.youtube.com/watch?v=NUeWb-Sn0IQ</x:v>
      </x:c>
      <x:c r="V117" s="16" t="n">
        <x:v>46308</x:v>
      </x:c>
      <x:c r="W117" s="16" t="n">
        <x:v>44874</x:v>
      </x:c>
      <x:c r="X117" s="10" t="str">
        <x:v>Иврит предполагается по заголовку и источнику</x:v>
      </x:c>
      <x:c r="Y117" s="10" t="str">
        <x:v>Автоматическая дорожка HE по метаданным</x:v>
      </x:c>
      <x:c r="Z117" s="10" t="str">
        <x:v>Разрешено по метаданным</x:v>
      </x:c>
      <x:c r="AA117" s="10" t="str">
        <x:v>Метаданные видео; воспроизведение и содержание не проверены</x:v>
      </x:c>
      <x:c r="AB117" s="13" t="n">
        <x:f>IF(AND(ISNUMBER(H117),ISNUMBER(W117)),H117/MAX(1,'Обзор'!$B$4-W117),"")</x:f>
        <x:v>339.7370990237099</x:v>
      </x:c>
      <x:c r="AC117" s="17" t="str">
        <x:v>Не решено</x:v>
      </x:c>
      <x:c r="AD117" s="17" t="str">
        <x:v>Не проверено</x:v>
      </x:c>
      <x:c r="AE117" s="17" t="str">
        <x:v>Не проверено</x:v>
      </x:c>
      <x:c r="AF117" s="17" t="str">
        <x:v>Не проверено</x:v>
      </x:c>
      <x:c r="AG117" s="17" t="str">
        <x:v>Не решено</x:v>
      </x:c>
      <x:c r="AH117" s="17" t="str">
        <x:v>Не проверено</x:v>
      </x:c>
      <x:c r="AI117" s="10" t="str">
        <x:f>IF(AC117="Отклонить","Отклонено",IF(AND(AC117="Взять",COUNTIFS(AD117:AH117,"Да")=5),"Готово","Нужна редактура"))</x:f>
        <x:v>Нужна редактура</x:v>
      </x:c>
      <x:c r="AJ117" s="17" t="str"/>
      <x:c r="AK117" s="9" t="str">
        <x:v>https://www.youtube.com/playlist?list=PLLttfoK87AdUbInZbx08IIe2KLq-sfJlh</x:v>
      </x:c>
      <x:c r="AL117" s="9" t="n">
        <x:v>6</x:v>
      </x:c>
      <x:c r="AM117" s="9" t="n">
        <x:v>7</x:v>
      </x:c>
      <x:c r="AN117" s="9" t="n">
        <x:v>0</x:v>
      </x:c>
    </x:row>
    <x:row r="118" ht="60" customHeight="1">
      <x:c r="A118" s="9" t="str">
        <x:v>iGTNhptWV80</x:v>
      </x:c>
      <x:c r="B118" s="10" t="str">
        <x:v>המפקדת עונה 2 | פרק 8 - להפסיד בקרב</x:v>
      </x:c>
      <x:c r="C118" s="10" t="str">
        <x:v>Общество и армия</x:v>
      </x:c>
      <x:c r="D118" s="9" t="str">
        <x:v>Сериал</x:v>
      </x:c>
      <x:c r="E118" s="10" t="str">
        <x:v>Сериалы; молодёжь; культура Израиля</x:v>
      </x:c>
      <x:c r="F118" s="10" t="str">
        <x:v>B2–C1 (гипотеза)</x:v>
      </x:c>
      <x:c r="G118" s="12" t="n">
        <x:v>34.8</x:v>
      </x:c>
      <x:c r="H118" s="14" t="n">
        <x:v>473542</x:v>
      </x:c>
      <x:c r="I118" s="15" t="str">
        <x:v>Точный счётчик метаданных видео</x:v>
      </x:c>
      <x:c r="J118" s="14" t="n">
        <x:v>473000</x:v>
      </x:c>
      <x:c r="K118" s="14" t="n">
        <x:v>557000</x:v>
      </x:c>
      <x:c r="L118" s="12" t="n">
        <x:f>IF(COUNT(J118:K118)=2,IF(K118=0,"",J118/K118),"")</x:f>
        <x:v>0.8491921005385996</x:v>
      </x:c>
      <x:c r="M118" s="10" t="str">
        <x:v>Эпизод 8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N118" s="10" t="str">
        <x:v>Отделить повелительное наклонение от просьб и неформальных реплик.</x:v>
      </x:c>
      <x:c r="O118" s="10" t="str">
        <x:v>Смотреть после первого сезона</x:v>
      </x:c>
      <x:c r="P118" s="10" t="str">
        <x:v>Полная серия — кандидат</x:v>
      </x:c>
      <x:c r="Q118" s="9" t="str">
        <x:v>Нет</x:v>
      </x:c>
      <x:c r="R118" s="9" t="str">
        <x:v>C006</x:v>
      </x:c>
      <x:c r="S118" s="9" t="str">
        <x:v>C006</x:v>
      </x:c>
      <x:c r="T118" s="10" t="str">
        <x:v>כאן 11 - תאגיד השידור הישראלי</x:v>
      </x:c>
      <x:c r="U118" s="11" t="str">
        <x:v>https://www.youtube.com/watch?v=iGTNhptWV80</x:v>
      </x:c>
      <x:c r="V118" s="16" t="n">
        <x:v>46308</x:v>
      </x:c>
      <x:c r="W118" s="16" t="n">
        <x:v>44878</x:v>
      </x:c>
      <x:c r="X118" s="10" t="str">
        <x:v>Иврит предполагается по заголовку и источнику</x:v>
      </x:c>
      <x:c r="Y118" s="10" t="str">
        <x:v>Дорожка HE не найдена в метаданных; вшитые титры не проверены</x:v>
      </x:c>
      <x:c r="Z118" s="10" t="str">
        <x:v>Разрешено по метаданным</x:v>
      </x:c>
      <x:c r="AA118" s="10" t="str">
        <x:v>Метаданные видео; воспроизведение и содержание не проверены</x:v>
      </x:c>
      <x:c r="AB118" s="13" t="n">
        <x:f>IF(AND(ISNUMBER(H118),ISNUMBER(W118)),H118/MAX(1,'Обзор'!$B$4-W118),"")</x:f>
        <x:v>331.14825174825177</x:v>
      </x:c>
      <x:c r="AC118" s="17" t="str">
        <x:v>Не решено</x:v>
      </x:c>
      <x:c r="AD118" s="17" t="str">
        <x:v>Не проверено</x:v>
      </x:c>
      <x:c r="AE118" s="17" t="str">
        <x:v>Не проверено</x:v>
      </x:c>
      <x:c r="AF118" s="17" t="str">
        <x:v>Не проверено</x:v>
      </x:c>
      <x:c r="AG118" s="17" t="str">
        <x:v>Не решено</x:v>
      </x:c>
      <x:c r="AH118" s="17" t="str">
        <x:v>Не проверено</x:v>
      </x:c>
      <x:c r="AI118" s="10" t="str">
        <x:f>IF(AC118="Отклонить","Отклонено",IF(AND(AC118="Взять",COUNTIFS(AD118:AH118,"Да")=5),"Готово","Нужна редактура"))</x:f>
        <x:v>Нужна редактура</x:v>
      </x:c>
      <x:c r="AJ118" s="17" t="str"/>
      <x:c r="AK118" s="9" t="str">
        <x:v>https://www.youtube.com/playlist?list=PLLttfoK87AdUbInZbx08IIe2KLq-sfJlh</x:v>
      </x:c>
      <x:c r="AL118" s="9" t="n">
        <x:v>5</x:v>
      </x:c>
      <x:c r="AM118" s="9" t="n">
        <x:v>8</x:v>
      </x:c>
      <x:c r="AN118" s="9" t="n">
        <x:v>0</x:v>
      </x:c>
    </x:row>
    <x:row r="119" ht="60" customHeight="1">
      <x:c r="A119" s="9" t="str">
        <x:v>MmNKXw6nIG4</x:v>
      </x:c>
      <x:c r="B119" s="10" t="str">
        <x:v>המפקדת עונה 2 | פרק 9 - לנצח במערכה</x:v>
      </x:c>
      <x:c r="C119" s="10" t="str">
        <x:v>Общество и армия</x:v>
      </x:c>
      <x:c r="D119" s="9" t="str">
        <x:v>Сериал</x:v>
      </x:c>
      <x:c r="E119" s="10" t="str">
        <x:v>Сериалы; молодёжь; культура Израиля</x:v>
      </x:c>
      <x:c r="F119" s="10" t="str">
        <x:v>B2–C1 (гипотеза)</x:v>
      </x:c>
      <x:c r="G119" s="12" t="n">
        <x:v>35.7</x:v>
      </x:c>
      <x:c r="H119" s="14" t="n">
        <x:v>446659</x:v>
      </x:c>
      <x:c r="I119" s="15" t="str">
        <x:v>Точный счётчик метаданных видео</x:v>
      </x:c>
      <x:c r="J119" s="14" t="n">
        <x:v>446000</x:v>
      </x:c>
      <x:c r="K119" s="14" t="n">
        <x:v>557000</x:v>
      </x:c>
      <x:c r="L119" s="12" t="n">
        <x:f>IF(COUNT(J119:K119)=2,IF(K119=0,"",J119/K119),"")</x:f>
        <x:v>0.800718132854578</x:v>
      </x:c>
      <x:c r="M119" s="10" t="str">
        <x:v>Эпизод 9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N119" s="10" t="str">
        <x:v>Отделить повелительное наклонение от просьб и неформальных реплик.</x:v>
      </x:c>
      <x:c r="O119" s="10" t="str">
        <x:v>Смотреть после первого сезона</x:v>
      </x:c>
      <x:c r="P119" s="10" t="str">
        <x:v>Полная серия — кандидат</x:v>
      </x:c>
      <x:c r="Q119" s="9" t="str">
        <x:v>Нет</x:v>
      </x:c>
      <x:c r="R119" s="9" t="str">
        <x:v>C006</x:v>
      </x:c>
      <x:c r="S119" s="9" t="str">
        <x:v>C006</x:v>
      </x:c>
      <x:c r="T119" s="10" t="str">
        <x:v>כאן 11 - תאגיד השידור הישראלי</x:v>
      </x:c>
      <x:c r="U119" s="11" t="str">
        <x:v>https://www.youtube.com/watch?v=MmNKXw6nIG4</x:v>
      </x:c>
      <x:c r="V119" s="16" t="n">
        <x:v>46308</x:v>
      </x:c>
      <x:c r="W119" s="16" t="n">
        <x:v>44881</x:v>
      </x:c>
      <x:c r="X119" s="10" t="str">
        <x:v>Иврит предполагается по заголовку и источнику</x:v>
      </x:c>
      <x:c r="Y119" s="10" t="str">
        <x:v>Дорожка HE не найдена в метаданных; вшитые титры не проверены</x:v>
      </x:c>
      <x:c r="Z119" s="10" t="str">
        <x:v>Разрешено по метаданным</x:v>
      </x:c>
      <x:c r="AA119" s="10" t="str">
        <x:v>Метаданные видео; воспроизведение и содержание не проверены</x:v>
      </x:c>
      <x:c r="AB119" s="13" t="n">
        <x:f>IF(AND(ISNUMBER(H119),ISNUMBER(W119)),H119/MAX(1,'Обзор'!$B$4-W119),"")</x:f>
        <x:v>313.0056061667835</x:v>
      </x:c>
      <x:c r="AC119" s="17" t="str">
        <x:v>Не решено</x:v>
      </x:c>
      <x:c r="AD119" s="17" t="str">
        <x:v>Не проверено</x:v>
      </x:c>
      <x:c r="AE119" s="17" t="str">
        <x:v>Не проверено</x:v>
      </x:c>
      <x:c r="AF119" s="17" t="str">
        <x:v>Не проверено</x:v>
      </x:c>
      <x:c r="AG119" s="17" t="str">
        <x:v>Не решено</x:v>
      </x:c>
      <x:c r="AH119" s="17" t="str">
        <x:v>Не проверено</x:v>
      </x:c>
      <x:c r="AI119" s="10" t="str">
        <x:f>IF(AC119="Отклонить","Отклонено",IF(AND(AC119="Взять",COUNTIFS(AD119:AH119,"Да")=5),"Готово","Нужна редактура"))</x:f>
        <x:v>Нужна редактура</x:v>
      </x:c>
      <x:c r="AJ119" s="17" t="str"/>
      <x:c r="AK119" s="9" t="str">
        <x:v>https://www.youtube.com/playlist?list=PLLttfoK87AdUbInZbx08IIe2KLq-sfJlh</x:v>
      </x:c>
      <x:c r="AL119" s="9" t="n">
        <x:v>4</x:v>
      </x:c>
      <x:c r="AM119" s="9" t="n">
        <x:v>9</x:v>
      </x:c>
      <x:c r="AN119" s="9" t="n">
        <x:v>0</x:v>
      </x:c>
    </x:row>
    <x:row r="120" ht="60" customHeight="1">
      <x:c r="A120" s="9" t="str">
        <x:v>jrCidEY2-9I</x:v>
      </x:c>
      <x:c r="B120" s="10" t="str">
        <x:v>המפקדת עונה 2 | פרק 10 - שיפור שימור - פרק אחרון לעונה</x:v>
      </x:c>
      <x:c r="C120" s="10" t="str">
        <x:v>Общество и армия</x:v>
      </x:c>
      <x:c r="D120" s="9" t="str">
        <x:v>Сериал</x:v>
      </x:c>
      <x:c r="E120" s="10" t="str">
        <x:v>Сериалы; молодёжь; культура Израиля</x:v>
      </x:c>
      <x:c r="F120" s="10" t="str">
        <x:v>B2–C1 (гипотеза)</x:v>
      </x:c>
      <x:c r="G120" s="12" t="n">
        <x:v>41.3</x:v>
      </x:c>
      <x:c r="H120" s="14" t="n">
        <x:v>446576</x:v>
      </x:c>
      <x:c r="I120" s="15" t="str">
        <x:v>Точный счётчик метаданных видео</x:v>
      </x:c>
      <x:c r="J120" s="14" t="n">
        <x:v>446000</x:v>
      </x:c>
      <x:c r="K120" s="14" t="n">
        <x:v>557000</x:v>
      </x:c>
      <x:c r="L120" s="12" t="n">
        <x:f>IF(COUNT(J120:K120)=2,IF(K120=0,"",J120/K120),"")</x:f>
        <x:v>0.800718132854578</x:v>
      </x:c>
      <x:c r="M120" s="10" t="str">
        <x:v>Эпизод 10 в знакомой сюжетной ветке. Продолжение уже знакомых героев снижает затраты на вводный контекст и даёт второй маршрут после первого сезона.</x:v>
      </x:c>
      <x:c r="N120" s="10" t="str">
        <x:v>Отделить повелительное наклонение от просьб и неформальных реплик.</x:v>
      </x:c>
      <x:c r="O120" s="10" t="str">
        <x:v>Смотреть после первого сезона</x:v>
      </x:c>
      <x:c r="P120" s="10" t="str">
        <x:v>Полная серия — кандидат</x:v>
      </x:c>
      <x:c r="Q120" s="9" t="str">
        <x:v>Нет</x:v>
      </x:c>
      <x:c r="R120" s="9" t="str">
        <x:v>C006</x:v>
      </x:c>
      <x:c r="S120" s="9" t="str">
        <x:v>C006</x:v>
      </x:c>
      <x:c r="T120" s="10" t="str">
        <x:v>כאן 11 - תאגיד השידור הישראלי</x:v>
      </x:c>
      <x:c r="U120" s="11" t="str">
        <x:v>https://www.youtube.com/watch?v=jrCidEY2-9I</x:v>
      </x:c>
      <x:c r="V120" s="16" t="n">
        <x:v>46308</x:v>
      </x:c>
      <x:c r="W120" s="16" t="n">
        <x:v>44885</x:v>
      </x:c>
      <x:c r="X120" s="10" t="str">
        <x:v>Иврит предполагается по заголовку и источнику</x:v>
      </x:c>
      <x:c r="Y120" s="10" t="str">
        <x:v>Автоматическая дорожка HE по метаданным</x:v>
      </x:c>
      <x:c r="Z120" s="10" t="str">
        <x:v>Разрешено по метаданным</x:v>
      </x:c>
      <x:c r="AA120" s="10" t="str">
        <x:v>Метаданные видео; воспроизведение и содержание не проверены</x:v>
      </x:c>
      <x:c r="AB120" s="13" t="n">
        <x:f>IF(AND(ISNUMBER(H120),ISNUMBER(W120)),H120/MAX(1,'Обзор'!$B$4-W120),"")</x:f>
        <x:v>313.8271257905833</x:v>
      </x:c>
      <x:c r="AC120" s="17" t="str">
        <x:v>Не решено</x:v>
      </x:c>
      <x:c r="AD120" s="17" t="str">
        <x:v>Не проверено</x:v>
      </x:c>
      <x:c r="AE120" s="17" t="str">
        <x:v>Не проверено</x:v>
      </x:c>
      <x:c r="AF120" s="17" t="str">
        <x:v>Не проверено</x:v>
      </x:c>
      <x:c r="AG120" s="17" t="str">
        <x:v>Не решено</x:v>
      </x:c>
      <x:c r="AH120" s="17" t="str">
        <x:v>Не проверено</x:v>
      </x:c>
      <x:c r="AI120" s="10" t="str">
        <x:f>IF(AC120="Отклонить","Отклонено",IF(AND(AC120="Взять",COUNTIFS(AD120:AH120,"Да")=5),"Готово","Нужна редактура"))</x:f>
        <x:v>Нужна редактура</x:v>
      </x:c>
      <x:c r="AJ120" s="17" t="str"/>
      <x:c r="AK120" s="9" t="str">
        <x:v>https://www.youtube.com/playlist?list=PLLttfoK87AdUbInZbx08IIe2KLq-sfJlh</x:v>
      </x:c>
      <x:c r="AL120" s="9" t="n">
        <x:v>3</x:v>
      </x:c>
      <x:c r="AM120" s="9" t="n">
        <x:v>10</x:v>
      </x:c>
      <x:c r="AN120" s="9" t="n">
        <x:v>0</x:v>
      </x:c>
    </x:row>
    <x:row r="121" ht="60" customHeight="1">
      <x:c r="A121" s="9" t="str">
        <x:v>-F018872c_s</x:v>
      </x:c>
      <x:c r="B121" s="10" t="str">
        <x:v>חזרות - קומדיה (לא) רומנטית 🎭 | פרק 1</x:v>
      </x:c>
      <x:c r="C121" s="10" t="str">
        <x:v>Культура и отношения</x:v>
      </x:c>
      <x:c r="D121" s="9" t="str">
        <x:v>Сериал</x:v>
      </x:c>
      <x:c r="E121" s="10" t="str">
        <x:v>Сериалы; театр; отношения</x:v>
      </x:c>
      <x:c r="F121" s="10" t="str">
        <x:v>B2–C1 (гипотеза)</x:v>
      </x:c>
      <x:c r="G121" s="12" t="n">
        <x:v>33.2</x:v>
      </x:c>
      <x:c r="H121" s="14" t="n">
        <x:v>723509</x:v>
      </x:c>
      <x:c r="I121" s="15" t="str">
        <x:v>Точный счётчик метаданных видео</x:v>
      </x:c>
      <x:c r="J121" s="14" t="n">
        <x:v>723000</x:v>
      </x:c>
      <x:c r="K121" s="14" t="n">
        <x:v>469500</x:v>
      </x:c>
      <x:c r="L121" s="12" t="n">
        <x:f>IF(COUNT(J121:K121)=2,IF(K121=0,"",J121/K121),"")</x:f>
        <x:v>1.5399361022364217</x:v>
      </x:c>
      <x:c r="M121" s="10" t="str">
        <x:v>Эпизод 1 в знакомой сюжетной ветке. Просмотры в списке выше медианы выборки этого цикла в 1.54 раза. Современная комедия о театре расширяет каталог за пределы армии и политики. Диалоги подходят для темы работы и личных отношений.</x:v>
      </x:c>
      <x:c r="N121" s="10" t="str">
        <x:v>Найти способы смягчить несогласие и выразить эмоцию.</x:v>
      </x:c>
      <x:c r="O121" s="10" t="str">
        <x:v>Взрослые темы; конфликтные отношения</x:v>
      </x:c>
      <x:c r="P121" s="10" t="str">
        <x:v>Полная серия — кандидат</x:v>
      </x:c>
      <x:c r="Q121" s="9" t="str">
        <x:v>Нет</x:v>
      </x:c>
      <x:c r="R121" s="9" t="str">
        <x:v>C007</x:v>
      </x:c>
      <x:c r="S121" s="9" t="str">
        <x:v>C007</x:v>
      </x:c>
      <x:c r="T121" s="10" t="str">
        <x:v>כאן 11 - תאגיד השידור הישראלי</x:v>
      </x:c>
      <x:c r="U121" s="11" t="str">
        <x:v>https://www.youtube.com/watch?v=-F018872c_s</x:v>
      </x:c>
      <x:c r="V121" s="16" t="n">
        <x:v>46308</x:v>
      </x:c>
      <x:c r="W121" s="16" t="n">
        <x:v>44147</x:v>
      </x:c>
      <x:c r="X121" s="10" t="str">
        <x:v>Иврит предполагается по заголовку и источнику</x:v>
      </x:c>
      <x:c r="Y121" s="10" t="str">
        <x:v>Дорожка HE не найдена в метаданных; вшитые титры не проверены</x:v>
      </x:c>
      <x:c r="Z121" s="10" t="str">
        <x:v>Разрешено по метаданным</x:v>
      </x:c>
      <x:c r="AA121" s="10" t="str">
        <x:v>Метаданные видео; воспроизведение и содержание не проверены</x:v>
      </x:c>
      <x:c r="AB121" s="13" t="n">
        <x:f>IF(AND(ISNUMBER(H121),ISNUMBER(W121)),H121/MAX(1,'Обзор'!$B$4-W121),"")</x:f>
        <x:v>334.80286904211016</x:v>
      </x:c>
      <x:c r="AC121" s="17" t="str">
        <x:v>Не решено</x:v>
      </x:c>
      <x:c r="AD121" s="17" t="str">
        <x:v>Не проверено</x:v>
      </x:c>
      <x:c r="AE121" s="17" t="str">
        <x:v>Не проверено</x:v>
      </x:c>
      <x:c r="AF121" s="17" t="str">
        <x:v>Не проверено</x:v>
      </x:c>
      <x:c r="AG121" s="17" t="str">
        <x:v>Не решено</x:v>
      </x:c>
      <x:c r="AH121" s="17" t="str">
        <x:v>Не проверено</x:v>
      </x:c>
      <x:c r="AI121" s="10" t="str">
        <x:f>IF(AC121="Отклонить","Отклонено",IF(AND(AC121="Взять",COUNTIFS(AD121:AH121,"Да")=5),"Готово","Нужна редактура"))</x:f>
        <x:v>Нужна редактура</x:v>
      </x:c>
      <x:c r="AJ121" s="17" t="str"/>
      <x:c r="AK121" s="9" t="str">
        <x:v>https://www.youtube.com/playlist?list=PLLttfoK87AdU3VrS26CWvr-SXwduli5kT</x:v>
      </x:c>
      <x:c r="AL121" s="9" t="n">
        <x:v>1</x:v>
      </x:c>
      <x:c r="AM121" s="9" t="n">
        <x:v>1</x:v>
      </x:c>
      <x:c r="AN121" s="9" t="n">
        <x:v>0</x:v>
      </x:c>
    </x:row>
    <x:row r="122" ht="60" customHeight="1">
      <x:c r="A122" s="9" t="str">
        <x:v>QK2pWvDmN54</x:v>
      </x:c>
      <x:c r="B122" s="10" t="str">
        <x:v>חזרות - קומדיה (לא) רומנטית 🎭 | פרק 2</x:v>
      </x:c>
      <x:c r="C122" s="10" t="str">
        <x:v>Культура и отношения</x:v>
      </x:c>
      <x:c r="D122" s="9" t="str">
        <x:v>Сериал</x:v>
      </x:c>
      <x:c r="E122" s="10" t="str">
        <x:v>Сериалы; театр; отношения</x:v>
      </x:c>
      <x:c r="F122" s="10" t="str">
        <x:v>B2–C1 (гипотеза)</x:v>
      </x:c>
      <x:c r="G122" s="12" t="n">
        <x:v>33.9</x:v>
      </x:c>
      <x:c r="H122" s="14" t="n">
        <x:v>490764</x:v>
      </x:c>
      <x:c r="I122" s="15" t="str">
        <x:v>Точный счётчик метаданных видео</x:v>
      </x:c>
      <x:c r="J122" s="14" t="n">
        <x:v>490000</x:v>
      </x:c>
      <x:c r="K122" s="14" t="n">
        <x:v>469500</x:v>
      </x:c>
      <x:c r="L122" s="12" t="n">
        <x:f>IF(COUNT(J122:K122)=2,IF(K122=0,"",J122/K122),"")</x:f>
        <x:v>1.0436634717784878</x:v>
      </x:c>
      <x:c r="M122" s="10" t="str">
        <x:v>Эпизод 2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N122" s="10" t="str">
        <x:v>Найти способы смягчить несогласие и выразить эмоцию.</x:v>
      </x:c>
      <x:c r="O122" s="10" t="str">
        <x:v>Взрослые темы; конфликтные отношения</x:v>
      </x:c>
      <x:c r="P122" s="10" t="str">
        <x:v>Полная серия — кандидат</x:v>
      </x:c>
      <x:c r="Q122" s="9" t="str">
        <x:v>Нет</x:v>
      </x:c>
      <x:c r="R122" s="9" t="str">
        <x:v>C007</x:v>
      </x:c>
      <x:c r="S122" s="9" t="str">
        <x:v>C007</x:v>
      </x:c>
      <x:c r="T122" s="10" t="str">
        <x:v>כאן 11 - תאגיד השידור הישראלי</x:v>
      </x:c>
      <x:c r="U122" s="11" t="str">
        <x:v>https://www.youtube.com/watch?v=QK2pWvDmN54</x:v>
      </x:c>
      <x:c r="V122" s="16" t="n">
        <x:v>46308</x:v>
      </x:c>
      <x:c r="W122" s="16" t="n">
        <x:v>44154</x:v>
      </x:c>
      <x:c r="X122" s="10" t="str">
        <x:v>Иврит предполагается по заголовку и источнику</x:v>
      </x:c>
      <x:c r="Y122" s="10" t="str">
        <x:v>Дорожка HE не найдена в метаданных; вшитые титры не проверены</x:v>
      </x:c>
      <x:c r="Z122" s="10" t="str">
        <x:v>Разрешено по метаданным</x:v>
      </x:c>
      <x:c r="AA122" s="10" t="str">
        <x:v>Метаданные видео; воспроизведение и содержание не проверены</x:v>
      </x:c>
      <x:c r="AB122" s="13" t="n">
        <x:f>IF(AND(ISNUMBER(H122),ISNUMBER(W122)),H122/MAX(1,'Обзор'!$B$4-W122),"")</x:f>
        <x:v>227.83844011142062</x:v>
      </x:c>
      <x:c r="AC122" s="17" t="str">
        <x:v>Не решено</x:v>
      </x:c>
      <x:c r="AD122" s="17" t="str">
        <x:v>Не проверено</x:v>
      </x:c>
      <x:c r="AE122" s="17" t="str">
        <x:v>Не проверено</x:v>
      </x:c>
      <x:c r="AF122" s="17" t="str">
        <x:v>Не проверено</x:v>
      </x:c>
      <x:c r="AG122" s="17" t="str">
        <x:v>Не решено</x:v>
      </x:c>
      <x:c r="AH122" s="17" t="str">
        <x:v>Не проверено</x:v>
      </x:c>
      <x:c r="AI122" s="10" t="str">
        <x:f>IF(AC122="Отклонить","Отклонено",IF(AND(AC122="Взять",COUNTIFS(AD122:AH122,"Да")=5),"Готово","Нужна редактура"))</x:f>
        <x:v>Нужна редактура</x:v>
      </x:c>
      <x:c r="AJ122" s="17" t="str"/>
      <x:c r="AK122" s="9" t="str">
        <x:v>https://www.youtube.com/playlist?list=PLLttfoK87AdU3VrS26CWvr-SXwduli5kT</x:v>
      </x:c>
      <x:c r="AL122" s="9" t="n">
        <x:v>2</x:v>
      </x:c>
      <x:c r="AM122" s="9" t="n">
        <x:v>2</x:v>
      </x:c>
      <x:c r="AN122" s="9" t="n">
        <x:v>0</x:v>
      </x:c>
    </x:row>
    <x:row r="123" ht="60" customHeight="1">
      <x:c r="A123" s="9" t="str">
        <x:v>AldQ3aLFSNk</x:v>
      </x:c>
      <x:c r="B123" s="10" t="str">
        <x:v>חזרות - קומדיה (לא) רומנטית 🎭 | פרק 3</x:v>
      </x:c>
      <x:c r="C123" s="10" t="str">
        <x:v>Культура и отношения</x:v>
      </x:c>
      <x:c r="D123" s="9" t="str">
        <x:v>Сериал</x:v>
      </x:c>
      <x:c r="E123" s="10" t="str">
        <x:v>Сериалы; театр; отношения</x:v>
      </x:c>
      <x:c r="F123" s="10" t="str">
        <x:v>B2–C1 (гипотеза)</x:v>
      </x:c>
      <x:c r="G123" s="12" t="n">
        <x:v>38</x:v>
      </x:c>
      <x:c r="H123" s="14" t="n">
        <x:v>491216</x:v>
      </x:c>
      <x:c r="I123" s="15" t="str">
        <x:v>Точный счётчик метаданных видео</x:v>
      </x:c>
      <x:c r="J123" s="14" t="n">
        <x:v>491000</x:v>
      </x:c>
      <x:c r="K123" s="14" t="n">
        <x:v>469500</x:v>
      </x:c>
      <x:c r="L123" s="12" t="n">
        <x:f>IF(COUNT(J123:K123)=2,IF(K123=0,"",J123/K123),"")</x:f>
        <x:v>1.0457933972310969</x:v>
      </x:c>
      <x:c r="M123" s="10" t="str">
        <x:v>Эпизод 3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N123" s="10" t="str">
        <x:v>Найти способы смягчить несогласие и выразить эмоцию.</x:v>
      </x:c>
      <x:c r="O123" s="10" t="str">
        <x:v>Взрослые темы; конфликтные отношения</x:v>
      </x:c>
      <x:c r="P123" s="10" t="str">
        <x:v>Полная серия — кандидат</x:v>
      </x:c>
      <x:c r="Q123" s="9" t="str">
        <x:v>Нет</x:v>
      </x:c>
      <x:c r="R123" s="9" t="str">
        <x:v>C007</x:v>
      </x:c>
      <x:c r="S123" s="9" t="str">
        <x:v>C007</x:v>
      </x:c>
      <x:c r="T123" s="10" t="str">
        <x:v>כאן 11 - תאגיד השידור הישראלי</x:v>
      </x:c>
      <x:c r="U123" s="11" t="str">
        <x:v>https://www.youtube.com/watch?v=AldQ3aLFSNk</x:v>
      </x:c>
      <x:c r="V123" s="16" t="n">
        <x:v>46308</x:v>
      </x:c>
      <x:c r="W123" s="16" t="n">
        <x:v>44161</x:v>
      </x:c>
      <x:c r="X123" s="10" t="str">
        <x:v>Иврит предполагается по заголовку и источнику</x:v>
      </x:c>
      <x:c r="Y123" s="10" t="str">
        <x:v>Дорожка HE не найдена в метаданных; вшитые титры не проверены</x:v>
      </x:c>
      <x:c r="Z123" s="10" t="str">
        <x:v>Разрешено по метаданным</x:v>
      </x:c>
      <x:c r="AA123" s="10" t="str">
        <x:v>Метаданные видео; воспроизведение и содержание не проверены</x:v>
      </x:c>
      <x:c r="AB123" s="13" t="n">
        <x:f>IF(AND(ISNUMBER(H123),ISNUMBER(W123)),H123/MAX(1,'Обзор'!$B$4-W123),"")</x:f>
        <x:v>228.7918025151374</x:v>
      </x:c>
      <x:c r="AC123" s="17" t="str">
        <x:v>Не решено</x:v>
      </x:c>
      <x:c r="AD123" s="17" t="str">
        <x:v>Не проверено</x:v>
      </x:c>
      <x:c r="AE123" s="17" t="str">
        <x:v>Не проверено</x:v>
      </x:c>
      <x:c r="AF123" s="17" t="str">
        <x:v>Не проверено</x:v>
      </x:c>
      <x:c r="AG123" s="17" t="str">
        <x:v>Не решено</x:v>
      </x:c>
      <x:c r="AH123" s="17" t="str">
        <x:v>Не проверено</x:v>
      </x:c>
      <x:c r="AI123" s="10" t="str">
        <x:f>IF(AC123="Отклонить","Отклонено",IF(AND(AC123="Взять",COUNTIFS(AD123:AH123,"Да")=5),"Готово","Нужна редактура"))</x:f>
        <x:v>Нужна редактура</x:v>
      </x:c>
      <x:c r="AJ123" s="17" t="str"/>
      <x:c r="AK123" s="9" t="str">
        <x:v>https://www.youtube.com/playlist?list=PLLttfoK87AdU3VrS26CWvr-SXwduli5kT</x:v>
      </x:c>
      <x:c r="AL123" s="9" t="n">
        <x:v>3</x:v>
      </x:c>
      <x:c r="AM123" s="9" t="n">
        <x:v>3</x:v>
      </x:c>
      <x:c r="AN123" s="9" t="n">
        <x:v>0</x:v>
      </x:c>
    </x:row>
    <x:row r="124" ht="60" customHeight="1">
      <x:c r="A124" s="9" t="str">
        <x:v>xA2hLKqexZo</x:v>
      </x:c>
      <x:c r="B124" s="10" t="str">
        <x:v>חזרות - קומדיה (לא) רומנטית 🎭 | פרק 4</x:v>
      </x:c>
      <x:c r="C124" s="10" t="str">
        <x:v>Культура и отношения</x:v>
      </x:c>
      <x:c r="D124" s="9" t="str">
        <x:v>Сериал</x:v>
      </x:c>
      <x:c r="E124" s="10" t="str">
        <x:v>Сериалы; театр; отношения</x:v>
      </x:c>
      <x:c r="F124" s="10" t="str">
        <x:v>B2–C1 (гипотеза)</x:v>
      </x:c>
      <x:c r="G124" s="12" t="n">
        <x:v>34.4</x:v>
      </x:c>
      <x:c r="H124" s="14" t="n">
        <x:v>449826</x:v>
      </x:c>
      <x:c r="I124" s="15" t="str">
        <x:v>Точный счётчик метаданных видео</x:v>
      </x:c>
      <x:c r="J124" s="14" t="n">
        <x:v>449000</x:v>
      </x:c>
      <x:c r="K124" s="14" t="n">
        <x:v>469500</x:v>
      </x:c>
      <x:c r="L124" s="12" t="n">
        <x:f>IF(COUNT(J124:K124)=2,IF(K124=0,"",J124/K124),"")</x:f>
        <x:v>0.9563365282215123</x:v>
      </x:c>
      <x:c r="M124" s="10" t="str">
        <x:v>Эпизод 4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N124" s="10" t="str">
        <x:v>Найти способы смягчить несогласие и выразить эмоцию.</x:v>
      </x:c>
      <x:c r="O124" s="10" t="str">
        <x:v>Взрослые темы; конфликтные отношения</x:v>
      </x:c>
      <x:c r="P124" s="10" t="str">
        <x:v>Полная серия — кандидат</x:v>
      </x:c>
      <x:c r="Q124" s="9" t="str">
        <x:v>Нет</x:v>
      </x:c>
      <x:c r="R124" s="9" t="str">
        <x:v>C007</x:v>
      </x:c>
      <x:c r="S124" s="9" t="str">
        <x:v>C007</x:v>
      </x:c>
      <x:c r="T124" s="10" t="str">
        <x:v>כאן 11 - תאגיד השידור הישראלי</x:v>
      </x:c>
      <x:c r="U124" s="11" t="str">
        <x:v>https://www.youtube.com/watch?v=xA2hLKqexZo</x:v>
      </x:c>
      <x:c r="V124" s="16" t="n">
        <x:v>46308</x:v>
      </x:c>
      <x:c r="W124" s="16" t="n">
        <x:v>44168</x:v>
      </x:c>
      <x:c r="X124" s="10" t="str">
        <x:v>Иврит предполагается по заголовку и источнику</x:v>
      </x:c>
      <x:c r="Y124" s="10" t="str">
        <x:v>Дорожка HE не найдена в метаданных; вшитые титры не проверены</x:v>
      </x:c>
      <x:c r="Z124" s="10" t="str">
        <x:v>Разрешено по метаданным</x:v>
      </x:c>
      <x:c r="AA124" s="10" t="str">
        <x:v>Метаданные видео; воспроизведение и содержание не проверены</x:v>
      </x:c>
      <x:c r="AB124" s="13" t="n">
        <x:f>IF(AND(ISNUMBER(H124),ISNUMBER(W124)),H124/MAX(1,'Обзор'!$B$4-W124),"")</x:f>
        <x:v>210.19906542056074</x:v>
      </x:c>
      <x:c r="AC124" s="17" t="str">
        <x:v>Не решено</x:v>
      </x:c>
      <x:c r="AD124" s="17" t="str">
        <x:v>Не проверено</x:v>
      </x:c>
      <x:c r="AE124" s="17" t="str">
        <x:v>Не проверено</x:v>
      </x:c>
      <x:c r="AF124" s="17" t="str">
        <x:v>Не проверено</x:v>
      </x:c>
      <x:c r="AG124" s="17" t="str">
        <x:v>Не решено</x:v>
      </x:c>
      <x:c r="AH124" s="17" t="str">
        <x:v>Не проверено</x:v>
      </x:c>
      <x:c r="AI124" s="10" t="str">
        <x:f>IF(AC124="Отклонить","Отклонено",IF(AND(AC124="Взять",COUNTIFS(AD124:AH124,"Да")=5),"Готово","Нужна редактура"))</x:f>
        <x:v>Нужна редактура</x:v>
      </x:c>
      <x:c r="AJ124" s="17" t="str"/>
      <x:c r="AK124" s="9" t="str">
        <x:v>https://www.youtube.com/playlist?list=PLLttfoK87AdU3VrS26CWvr-SXwduli5kT</x:v>
      </x:c>
      <x:c r="AL124" s="9" t="n">
        <x:v>4</x:v>
      </x:c>
      <x:c r="AM124" s="9" t="n">
        <x:v>4</x:v>
      </x:c>
      <x:c r="AN124" s="9" t="n">
        <x:v>0</x:v>
      </x:c>
    </x:row>
    <x:row r="125" ht="60" customHeight="1">
      <x:c r="A125" s="9" t="str">
        <x:v>IQ6nFrwrFGs</x:v>
      </x:c>
      <x:c r="B125" s="10" t="str">
        <x:v>חזרות - קומדיה (לא) רומנטית 🎭 | פרק 5</x:v>
      </x:c>
      <x:c r="C125" s="10" t="str">
        <x:v>Культура и отношения</x:v>
      </x:c>
      <x:c r="D125" s="9" t="str">
        <x:v>Сериал</x:v>
      </x:c>
      <x:c r="E125" s="10" t="str">
        <x:v>Сериалы; театр; отношения</x:v>
      </x:c>
      <x:c r="F125" s="10" t="str">
        <x:v>B2–C1 (гипотеза)</x:v>
      </x:c>
      <x:c r="G125" s="12" t="n">
        <x:v>35.5</x:v>
      </x:c>
      <x:c r="H125" s="14" t="n">
        <x:v>496385</x:v>
      </x:c>
      <x:c r="I125" s="15" t="str">
        <x:v>Точный счётчик метаданных видео</x:v>
      </x:c>
      <x:c r="J125" s="14" t="n">
        <x:v>496000</x:v>
      </x:c>
      <x:c r="K125" s="14" t="n">
        <x:v>469500</x:v>
      </x:c>
      <x:c r="L125" s="12" t="n">
        <x:f>IF(COUNT(J125:K125)=2,IF(K125=0,"",J125/K125),"")</x:f>
        <x:v>1.0564430244941427</x:v>
      </x:c>
      <x:c r="M125" s="10" t="str">
        <x:v>Эпизод 5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N125" s="10" t="str">
        <x:v>Найти способы смягчить несогласие и выразить эмоцию.</x:v>
      </x:c>
      <x:c r="O125" s="10" t="str">
        <x:v>Взрослые темы; конфликтные отношения</x:v>
      </x:c>
      <x:c r="P125" s="10" t="str">
        <x:v>Полная серия — кандидат</x:v>
      </x:c>
      <x:c r="Q125" s="9" t="str">
        <x:v>Нет</x:v>
      </x:c>
      <x:c r="R125" s="9" t="str">
        <x:v>C007</x:v>
      </x:c>
      <x:c r="S125" s="9" t="str">
        <x:v>C007</x:v>
      </x:c>
      <x:c r="T125" s="10" t="str">
        <x:v>כאן 11 - תאגיד השידור הישראלי</x:v>
      </x:c>
      <x:c r="U125" s="11" t="str">
        <x:v>https://www.youtube.com/watch?v=IQ6nFrwrFGs</x:v>
      </x:c>
      <x:c r="V125" s="16" t="n">
        <x:v>46308</x:v>
      </x:c>
      <x:c r="W125" s="16" t="n">
        <x:v>44175</x:v>
      </x:c>
      <x:c r="X125" s="10" t="str">
        <x:v>Иврит предполагается по заголовку и источнику</x:v>
      </x:c>
      <x:c r="Y125" s="10" t="str">
        <x:v>Дорожка HE не найдена в метаданных; вшитые титры не проверены</x:v>
      </x:c>
      <x:c r="Z125" s="10" t="str">
        <x:v>Разрешено по метаданным</x:v>
      </x:c>
      <x:c r="AA125" s="10" t="str">
        <x:v>Метаданные видео; воспроизведение и содержание не проверены</x:v>
      </x:c>
      <x:c r="AB125" s="13" t="n">
        <x:f>IF(AND(ISNUMBER(H125),ISNUMBER(W125)),H125/MAX(1,'Обзор'!$B$4-W125),"")</x:f>
        <x:v>232.71683075480544</x:v>
      </x:c>
      <x:c r="AC125" s="17" t="str">
        <x:v>Не решено</x:v>
      </x:c>
      <x:c r="AD125" s="17" t="str">
        <x:v>Не проверено</x:v>
      </x:c>
      <x:c r="AE125" s="17" t="str">
        <x:v>Не проверено</x:v>
      </x:c>
      <x:c r="AF125" s="17" t="str">
        <x:v>Не проверено</x:v>
      </x:c>
      <x:c r="AG125" s="17" t="str">
        <x:v>Не решено</x:v>
      </x:c>
      <x:c r="AH125" s="17" t="str">
        <x:v>Не проверено</x:v>
      </x:c>
      <x:c r="AI125" s="10" t="str">
        <x:f>IF(AC125="Отклонить","Отклонено",IF(AND(AC125="Взять",COUNTIFS(AD125:AH125,"Да")=5),"Готово","Нужна редактура"))</x:f>
        <x:v>Нужна редактура</x:v>
      </x:c>
      <x:c r="AJ125" s="17" t="str"/>
      <x:c r="AK125" s="9" t="str">
        <x:v>https://www.youtube.com/playlist?list=PLLttfoK87AdU3VrS26CWvr-SXwduli5kT</x:v>
      </x:c>
      <x:c r="AL125" s="9" t="n">
        <x:v>5</x:v>
      </x:c>
      <x:c r="AM125" s="9" t="n">
        <x:v>5</x:v>
      </x:c>
      <x:c r="AN125" s="9" t="n">
        <x:v>0</x:v>
      </x:c>
    </x:row>
    <x:row r="126" ht="60" customHeight="1">
      <x:c r="A126" s="9" t="str">
        <x:v>5bSvefuTRrA</x:v>
      </x:c>
      <x:c r="B126" s="10" t="str">
        <x:v>חזרות - קומדיה (לא) רומנטית 🎭 | פרק 6</x:v>
      </x:c>
      <x:c r="C126" s="10" t="str">
        <x:v>Культура и отношения</x:v>
      </x:c>
      <x:c r="D126" s="9" t="str">
        <x:v>Сериал</x:v>
      </x:c>
      <x:c r="E126" s="10" t="str">
        <x:v>Сериалы; театр; отношения</x:v>
      </x:c>
      <x:c r="F126" s="10" t="str">
        <x:v>B2–C1 (гипотеза)</x:v>
      </x:c>
      <x:c r="G126" s="12" t="n">
        <x:v>33.6</x:v>
      </x:c>
      <x:c r="H126" s="14" t="n">
        <x:v>429748</x:v>
      </x:c>
      <x:c r="I126" s="15" t="str">
        <x:v>Точный счётчик метаданных видео</x:v>
      </x:c>
      <x:c r="J126" s="14" t="n">
        <x:v>429000</x:v>
      </x:c>
      <x:c r="K126" s="14" t="n">
        <x:v>469500</x:v>
      </x:c>
      <x:c r="L126" s="12" t="n">
        <x:f>IF(COUNT(J126:K126)=2,IF(K126=0,"",J126/K126),"")</x:f>
        <x:v>0.9137380191693291</x:v>
      </x:c>
      <x:c r="M126" s="10" t="str">
        <x:v>Эпизод 6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N126" s="10" t="str">
        <x:v>Найти способы смягчить несогласие и выразить эмоцию.</x:v>
      </x:c>
      <x:c r="O126" s="10" t="str">
        <x:v>Взрослые темы; конфликтные отношения</x:v>
      </x:c>
      <x:c r="P126" s="10" t="str">
        <x:v>Полная серия — кандидат</x:v>
      </x:c>
      <x:c r="Q126" s="9" t="str">
        <x:v>Нет</x:v>
      </x:c>
      <x:c r="R126" s="9" t="str">
        <x:v>C007</x:v>
      </x:c>
      <x:c r="S126" s="9" t="str">
        <x:v>C007</x:v>
      </x:c>
      <x:c r="T126" s="10" t="str">
        <x:v>כאן 11 - תאגיד השידור הישראלי</x:v>
      </x:c>
      <x:c r="U126" s="11" t="str">
        <x:v>https://www.youtube.com/watch?v=5bSvefuTRrA</x:v>
      </x:c>
      <x:c r="V126" s="16" t="n">
        <x:v>46308</x:v>
      </x:c>
      <x:c r="W126" s="16" t="n">
        <x:v>44179</x:v>
      </x:c>
      <x:c r="X126" s="10" t="str">
        <x:v>Иврит предполагается по заголовку и источнику</x:v>
      </x:c>
      <x:c r="Y126" s="10" t="str">
        <x:v>Дорожка HE не найдена в метаданных; вшитые титры не проверены</x:v>
      </x:c>
      <x:c r="Z126" s="10" t="str">
        <x:v>Разрешено по метаданным</x:v>
      </x:c>
      <x:c r="AA126" s="10" t="str">
        <x:v>Метаданные видео; воспроизведение и содержание не проверены</x:v>
      </x:c>
      <x:c r="AB126" s="13" t="n">
        <x:f>IF(AND(ISNUMBER(H126),ISNUMBER(W126)),H126/MAX(1,'Обзор'!$B$4-W126),"")</x:f>
        <x:v>201.85439173320808</x:v>
      </x:c>
      <x:c r="AC126" s="17" t="str">
        <x:v>Не решено</x:v>
      </x:c>
      <x:c r="AD126" s="17" t="str">
        <x:v>Не проверено</x:v>
      </x:c>
      <x:c r="AE126" s="17" t="str">
        <x:v>Не проверено</x:v>
      </x:c>
      <x:c r="AF126" s="17" t="str">
        <x:v>Не проверено</x:v>
      </x:c>
      <x:c r="AG126" s="17" t="str">
        <x:v>Не решено</x:v>
      </x:c>
      <x:c r="AH126" s="17" t="str">
        <x:v>Не проверено</x:v>
      </x:c>
      <x:c r="AI126" s="10" t="str">
        <x:f>IF(AC126="Отклонить","Отклонено",IF(AND(AC126="Взять",COUNTIFS(AD126:AH126,"Да")=5),"Готово","Нужна редактура"))</x:f>
        <x:v>Нужна редактура</x:v>
      </x:c>
      <x:c r="AJ126" s="17" t="str"/>
      <x:c r="AK126" s="9" t="str">
        <x:v>https://www.youtube.com/playlist?list=PLLttfoK87AdU3VrS26CWvr-SXwduli5kT</x:v>
      </x:c>
      <x:c r="AL126" s="9" t="n">
        <x:v>6</x:v>
      </x:c>
      <x:c r="AM126" s="9" t="n">
        <x:v>6</x:v>
      </x:c>
      <x:c r="AN126" s="9" t="n">
        <x:v>0</x:v>
      </x:c>
    </x:row>
    <x:row r="127" ht="60" customHeight="1">
      <x:c r="A127" s="9" t="str">
        <x:v>nUhZQs9wJAU</x:v>
      </x:c>
      <x:c r="B127" s="10" t="str">
        <x:v>חזרות - קומדיה (לא) רומנטית 🎭 | פרק 7</x:v>
      </x:c>
      <x:c r="C127" s="10" t="str">
        <x:v>Культура и отношения</x:v>
      </x:c>
      <x:c r="D127" s="9" t="str">
        <x:v>Сериал</x:v>
      </x:c>
      <x:c r="E127" s="10" t="str">
        <x:v>Сериалы; театр; отношения</x:v>
      </x:c>
      <x:c r="F127" s="10" t="str">
        <x:v>B2–C1 (гипотеза)</x:v>
      </x:c>
      <x:c r="G127" s="12" t="n">
        <x:v>36.3</x:v>
      </x:c>
      <x:c r="H127" s="14" t="n">
        <x:v>496336</x:v>
      </x:c>
      <x:c r="I127" s="15" t="str">
        <x:v>Точный счётчик метаданных видео</x:v>
      </x:c>
      <x:c r="J127" s="14" t="n">
        <x:v>496000</x:v>
      </x:c>
      <x:c r="K127" s="14" t="n">
        <x:v>469500</x:v>
      </x:c>
      <x:c r="L127" s="12" t="n">
        <x:f>IF(COUNT(J127:K127)=2,IF(K127=0,"",J127/K127),"")</x:f>
        <x:v>1.0564430244941427</x:v>
      </x:c>
      <x:c r="M127" s="10" t="str">
        <x:v>Эпизод 7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N127" s="10" t="str">
        <x:v>Найти способы смягчить несогласие и выразить эмоцию.</x:v>
      </x:c>
      <x:c r="O127" s="10" t="str">
        <x:v>Взрослые темы; конфликтные отношения</x:v>
      </x:c>
      <x:c r="P127" s="10" t="str">
        <x:v>Полная серия — кандидат</x:v>
      </x:c>
      <x:c r="Q127" s="9" t="str">
        <x:v>Нет</x:v>
      </x:c>
      <x:c r="R127" s="9" t="str">
        <x:v>C007</x:v>
      </x:c>
      <x:c r="S127" s="9" t="str">
        <x:v>C007</x:v>
      </x:c>
      <x:c r="T127" s="10" t="str">
        <x:v>כאן 11 - תאגיד השידור הישראלי</x:v>
      </x:c>
      <x:c r="U127" s="11" t="str">
        <x:v>https://www.youtube.com/watch?v=nUhZQs9wJAU</x:v>
      </x:c>
      <x:c r="V127" s="16" t="n">
        <x:v>46308</x:v>
      </x:c>
      <x:c r="W127" s="16" t="n">
        <x:v>44186</x:v>
      </x:c>
      <x:c r="X127" s="10" t="str">
        <x:v>Иврит предполагается по заголовку и источнику</x:v>
      </x:c>
      <x:c r="Y127" s="10" t="str">
        <x:v>Дорожка HE не найдена в метаданных; вшитые титры не проверены</x:v>
      </x:c>
      <x:c r="Z127" s="10" t="str">
        <x:v>Разрешено по метаданным</x:v>
      </x:c>
      <x:c r="AA127" s="10" t="str">
        <x:v>Метаданные видео; воспроизведение и содержание не проверены</x:v>
      </x:c>
      <x:c r="AB127" s="13" t="n">
        <x:f>IF(AND(ISNUMBER(H127),ISNUMBER(W127)),H127/MAX(1,'Обзор'!$B$4-W127),"")</x:f>
        <x:v>233.90009425070687</x:v>
      </x:c>
      <x:c r="AC127" s="17" t="str">
        <x:v>Не решено</x:v>
      </x:c>
      <x:c r="AD127" s="17" t="str">
        <x:v>Не проверено</x:v>
      </x:c>
      <x:c r="AE127" s="17" t="str">
        <x:v>Не проверено</x:v>
      </x:c>
      <x:c r="AF127" s="17" t="str">
        <x:v>Не проверено</x:v>
      </x:c>
      <x:c r="AG127" s="17" t="str">
        <x:v>Не решено</x:v>
      </x:c>
      <x:c r="AH127" s="17" t="str">
        <x:v>Не проверено</x:v>
      </x:c>
      <x:c r="AI127" s="10" t="str">
        <x:f>IF(AC127="Отклонить","Отклонено",IF(AND(AC127="Взять",COUNTIFS(AD127:AH127,"Да")=5),"Готово","Нужна редактура"))</x:f>
        <x:v>Нужна редактура</x:v>
      </x:c>
      <x:c r="AJ127" s="17" t="str"/>
      <x:c r="AK127" s="9" t="str">
        <x:v>https://www.youtube.com/playlist?list=PLLttfoK87AdU3VrS26CWvr-SXwduli5kT</x:v>
      </x:c>
      <x:c r="AL127" s="9" t="n">
        <x:v>7</x:v>
      </x:c>
      <x:c r="AM127" s="9" t="n">
        <x:v>7</x:v>
      </x:c>
      <x:c r="AN127" s="9" t="n">
        <x:v>0</x:v>
      </x:c>
    </x:row>
    <x:row r="128" ht="60" customHeight="1">
      <x:c r="A128" s="9" t="str">
        <x:v>cN_TTh8iR-8</x:v>
      </x:c>
      <x:c r="B128" s="10" t="str">
        <x:v>אני נינה במשך שעה | מתוך ''חזרות''</x:v>
      </x:c>
      <x:c r="C128" s="10" t="str">
        <x:v>Культура и отношения</x:v>
      </x:c>
      <x:c r="D128" s="9" t="str">
        <x:v>Сериал</x:v>
      </x:c>
      <x:c r="E128" s="10" t="str">
        <x:v>Сериалы; театр; отношения</x:v>
      </x:c>
      <x:c r="F128" s="10" t="str">
        <x:v>B2–C1 (гипотеза)</x:v>
      </x:c>
      <x:c r="G128" s="12" t="n">
        <x:v>60.7</x:v>
      </x:c>
      <x:c r="H128" s="14" t="n">
        <x:v>162000</x:v>
      </x:c>
      <x:c r="I128" s="15" t="str">
        <x:v>Округлённый счётчик в списке YouTube</x:v>
      </x:c>
      <x:c r="J128" s="14" t="n">
        <x:v>162000</x:v>
      </x:c>
      <x:c r="K128" s="14" t="n">
        <x:v>469500</x:v>
      </x:c>
      <x:c r="L128" s="12" t="n">
        <x:f>IF(COUNT(J128:K128)=2,IF(K128=0,"",J128/K128),"")</x:f>
        <x:v>0.3450479233226837</x:v>
      </x:c>
      <x:c r="M128" s="10" t="str">
        <x:v>Тип длинного материала требует уточнения. Просмотры ниже медианы цикла; выбирать за нишевую ценность, а не за массовый охват. Современная комедия о театре расширяет каталог за пределы армии и политики. Диалоги подходят для темы работы и личных отношений.</x:v>
      </x:c>
      <x:c r="N128" s="10" t="str">
        <x:v>Найти способы смягчить несогласие и выразить эмоцию.</x:v>
      </x:c>
      <x:c r="O128" s="10" t="str">
        <x:v>Взрослые темы; конфликтные отношения</x:v>
      </x:c>
      <x:c r="P128" s="10" t="str">
        <x:v>Длинный материал сериала; тип уточнить</x:v>
      </x:c>
      <x:c r="Q128" s="9" t="str">
        <x:v>Нет</x:v>
      </x:c>
      <x:c r="R128" s="9" t="str">
        <x:v>C007</x:v>
      </x:c>
      <x:c r="S128" s="9" t="str">
        <x:v>C007</x:v>
      </x:c>
      <x:c r="T128" s="10" t="str">
        <x:v>כאן 11 - תאגיד השידור הישראלי</x:v>
      </x:c>
      <x:c r="U128" s="11" t="str">
        <x:v>https://www.youtube.com/watch?v=cN_TTh8iR-8</x:v>
      </x:c>
      <x:c r="V128" s="16" t="n">
        <x:v>46308</x:v>
      </x:c>
      <x:c r="W128" s="16"/>
      <x:c r="X128" s="10" t="str">
        <x:v>Иврит предполагается по заголовку и источнику</x:v>
      </x:c>
      <x:c r="Y128" s="10" t="str">
        <x:v>Не проверено</x:v>
      </x:c>
      <x:c r="Z128" s="10" t="str">
        <x:v>Не проверено</x:v>
      </x:c>
      <x:c r="AA128" s="10" t="str">
        <x:v>Метаданные списка; видео не просмотрено</x:v>
      </x:c>
      <x:c r="AB128" s="13" t="str">
        <x:f>IF(AND(ISNUMBER(H128),ISNUMBER(W128)),H128/MAX(1,'Обзор'!$B$4-W128),"")</x:f>
      </x:c>
      <x:c r="AC128" s="17" t="str">
        <x:v>Не решено</x:v>
      </x:c>
      <x:c r="AD128" s="17" t="str">
        <x:v>Не проверено</x:v>
      </x:c>
      <x:c r="AE128" s="17" t="str">
        <x:v>Не проверено</x:v>
      </x:c>
      <x:c r="AF128" s="17" t="str">
        <x:v>Не проверено</x:v>
      </x:c>
      <x:c r="AG128" s="17" t="str">
        <x:v>Не решено</x:v>
      </x:c>
      <x:c r="AH128" s="17" t="str">
        <x:v>Не проверено</x:v>
      </x:c>
      <x:c r="AI128" s="10" t="str">
        <x:f>IF(AC128="Отклонить","Отклонено",IF(AND(AC128="Взять",COUNTIFS(AD128:AH128,"Да")=5),"Готово","Нужна редактура"))</x:f>
        <x:v>Нужна редактура</x:v>
      </x:c>
      <x:c r="AJ128" s="17" t="str"/>
      <x:c r="AK128" s="9" t="str">
        <x:v>https://www.youtube.com/playlist?list=PLLttfoK87AdU3VrS26CWvr-SXwduli5kT</x:v>
      </x:c>
      <x:c r="AL128" s="9" t="n">
        <x:v>8</x:v>
      </x:c>
      <x:c r="AM128" s="9"/>
      <x:c r="AN128" s="9"/>
    </x:row>
    <x:row r="129" ht="60" customHeight="1">
      <x:c r="A129" s="9" t="str">
        <x:v>RIpBU0CmaMw</x:v>
      </x:c>
      <x:c r="B129" s="10" t="str">
        <x:v>חזרות - קומדיה (לא) רומנטית 🎭 | פרק 8</x:v>
      </x:c>
      <x:c r="C129" s="10" t="str">
        <x:v>Культура и отношения</x:v>
      </x:c>
      <x:c r="D129" s="9" t="str">
        <x:v>Сериал</x:v>
      </x:c>
      <x:c r="E129" s="10" t="str">
        <x:v>Сериалы; театр; отношения</x:v>
      </x:c>
      <x:c r="F129" s="10" t="str">
        <x:v>B2–C1 (гипотеза)</x:v>
      </x:c>
      <x:c r="G129" s="12" t="n">
        <x:v>33</x:v>
      </x:c>
      <x:c r="H129" s="14" t="n">
        <x:v>421898</x:v>
      </x:c>
      <x:c r="I129" s="15" t="str">
        <x:v>Точный счётчик метаданных видео</x:v>
      </x:c>
      <x:c r="J129" s="14" t="n">
        <x:v>421000</x:v>
      </x:c>
      <x:c r="K129" s="14" t="n">
        <x:v>469500</x:v>
      </x:c>
      <x:c r="L129" s="12" t="n">
        <x:f>IF(COUNT(J129:K129)=2,IF(K129=0,"",J129/K129),"")</x:f>
        <x:v>0.8966986155484558</x:v>
      </x:c>
      <x:c r="M129" s="10" t="str">
        <x:v>Эпизод 8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N129" s="10" t="str">
        <x:v>Найти способы смягчить несогласие и выразить эмоцию.</x:v>
      </x:c>
      <x:c r="O129" s="10" t="str">
        <x:v>Взрослые темы; конфликтные отношения</x:v>
      </x:c>
      <x:c r="P129" s="10" t="str">
        <x:v>Полная серия — кандидат</x:v>
      </x:c>
      <x:c r="Q129" s="9" t="str">
        <x:v>Нет</x:v>
      </x:c>
      <x:c r="R129" s="9" t="str">
        <x:v>C007</x:v>
      </x:c>
      <x:c r="S129" s="9" t="str">
        <x:v>C007</x:v>
      </x:c>
      <x:c r="T129" s="10" t="str">
        <x:v>כאן 11 - תאגיד השידור הישראלי</x:v>
      </x:c>
      <x:c r="U129" s="11" t="str">
        <x:v>https://www.youtube.com/watch?v=RIpBU0CmaMw</x:v>
      </x:c>
      <x:c r="V129" s="16" t="n">
        <x:v>46308</x:v>
      </x:c>
      <x:c r="W129" s="16" t="n">
        <x:v>44193</x:v>
      </x:c>
      <x:c r="X129" s="10" t="str">
        <x:v>Иврит предполагается по заголовку и источнику</x:v>
      </x:c>
      <x:c r="Y129" s="10" t="str">
        <x:v>Дорожка HE не найдена в метаданных; вшитые титры не проверены</x:v>
      </x:c>
      <x:c r="Z129" s="10" t="str">
        <x:v>Разрешено по метаданным</x:v>
      </x:c>
      <x:c r="AA129" s="10" t="str">
        <x:v>Метаданные видео; воспроизведение и содержание не проверены</x:v>
      </x:c>
      <x:c r="AB129" s="13" t="n">
        <x:f>IF(AND(ISNUMBER(H129),ISNUMBER(W129)),H129/MAX(1,'Обзор'!$B$4-W129),"")</x:f>
        <x:v>199.4789598108747</x:v>
      </x:c>
      <x:c r="AC129" s="17" t="str">
        <x:v>Не решено</x:v>
      </x:c>
      <x:c r="AD129" s="17" t="str">
        <x:v>Не проверено</x:v>
      </x:c>
      <x:c r="AE129" s="17" t="str">
        <x:v>Не проверено</x:v>
      </x:c>
      <x:c r="AF129" s="17" t="str">
        <x:v>Не проверено</x:v>
      </x:c>
      <x:c r="AG129" s="17" t="str">
        <x:v>Не решено</x:v>
      </x:c>
      <x:c r="AH129" s="17" t="str">
        <x:v>Не проверено</x:v>
      </x:c>
      <x:c r="AI129" s="10" t="str">
        <x:f>IF(AC129="Отклонить","Отклонено",IF(AND(AC129="Взять",COUNTIFS(AD129:AH129,"Да")=5),"Готово","Нужна редактура"))</x:f>
        <x:v>Нужна редактура</x:v>
      </x:c>
      <x:c r="AJ129" s="17" t="str"/>
      <x:c r="AK129" s="9" t="str">
        <x:v>https://www.youtube.com/playlist?list=PLLttfoK87AdU3VrS26CWvr-SXwduli5kT</x:v>
      </x:c>
      <x:c r="AL129" s="9" t="n">
        <x:v>10</x:v>
      </x:c>
      <x:c r="AM129" s="9" t="n">
        <x:v>8</x:v>
      </x:c>
      <x:c r="AN129" s="9" t="n">
        <x:v>0</x:v>
      </x:c>
    </x:row>
    <x:row r="130" ht="60" customHeight="1">
      <x:c r="A130" s="9" t="str">
        <x:v>5xH07rBxK9U</x:v>
      </x:c>
      <x:c r="B130" s="10" t="str">
        <x:v>כל מה שצריך לדעת על חזרות</x:v>
      </x:c>
      <x:c r="C130" s="10" t="str">
        <x:v>Культура и отношения</x:v>
      </x:c>
      <x:c r="D130" s="9" t="str">
        <x:v>Сериал</x:v>
      </x:c>
      <x:c r="E130" s="10" t="str">
        <x:v>Сериалы; театр; отношения</x:v>
      </x:c>
      <x:c r="F130" s="10" t="str">
        <x:v>B2–C1 (гипотеза)</x:v>
      </x:c>
      <x:c r="G130" s="12" t="n">
        <x:v>1.9</x:v>
      </x:c>
      <x:c r="H130" s="14" t="n">
        <x:v>45000</x:v>
      </x:c>
      <x:c r="I130" s="15" t="str">
        <x:v>Округлённый счётчик в списке YouTube</x:v>
      </x:c>
      <x:c r="J130" s="14" t="n">
        <x:v>45000</x:v>
      </x:c>
      <x:c r="K130" s="14" t="n">
        <x:v>469500</x:v>
      </x:c>
      <x:c r="L130" s="12" t="n">
        <x:f>IF(COUNT(J130:K130)=2,IF(K130=0,"",J130/K130),"")</x:f>
        <x:v>0.09584664536741214</x:v>
      </x:c>
      <x:c r="M130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Современная комедия о театре расширяет каталог за пределы армии и политики. Диалоги подходят для темы работы и личных отношений.</x:v>
      </x:c>
      <x:c r="N130" s="10" t="str">
        <x:v>Найти способы смягчить несогласие и выразить эмоцию.</x:v>
      </x:c>
      <x:c r="O130" s="10" t="str">
        <x:v>Взрослые темы; конфликтные отношения</x:v>
      </x:c>
      <x:c r="P130" s="10" t="str">
        <x:v>Фрагмент сериала</x:v>
      </x:c>
      <x:c r="Q130" s="9" t="str">
        <x:v>Нет</x:v>
      </x:c>
      <x:c r="R130" s="9" t="str">
        <x:v>C007</x:v>
      </x:c>
      <x:c r="S130" s="9" t="str">
        <x:v>C007</x:v>
      </x:c>
      <x:c r="T130" s="10" t="str">
        <x:v>כאן 11 - תאגיד השידור הישראלי</x:v>
      </x:c>
      <x:c r="U130" s="11" t="str">
        <x:v>https://www.youtube.com/watch?v=5xH07rBxK9U</x:v>
      </x:c>
      <x:c r="V130" s="16" t="n">
        <x:v>46308</x:v>
      </x:c>
      <x:c r="W130" s="16"/>
      <x:c r="X130" s="10" t="str">
        <x:v>Иврит предполагается по заголовку и источнику</x:v>
      </x:c>
      <x:c r="Y130" s="10" t="str">
        <x:v>Не проверено</x:v>
      </x:c>
      <x:c r="Z130" s="10" t="str">
        <x:v>Не проверено</x:v>
      </x:c>
      <x:c r="AA130" s="10" t="str">
        <x:v>Метаданные списка; видео не просмотрено</x:v>
      </x:c>
      <x:c r="AB130" s="13" t="str">
        <x:f>IF(AND(ISNUMBER(H130),ISNUMBER(W130)),H130/MAX(1,'Обзор'!$B$4-W130),"")</x:f>
      </x:c>
      <x:c r="AC130" s="17" t="str">
        <x:v>Не решено</x:v>
      </x:c>
      <x:c r="AD130" s="17" t="str">
        <x:v>Не проверено</x:v>
      </x:c>
      <x:c r="AE130" s="17" t="str">
        <x:v>Не проверено</x:v>
      </x:c>
      <x:c r="AF130" s="17" t="str">
        <x:v>Не проверено</x:v>
      </x:c>
      <x:c r="AG130" s="17" t="str">
        <x:v>Не решено</x:v>
      </x:c>
      <x:c r="AH130" s="17" t="str">
        <x:v>Не проверено</x:v>
      </x:c>
      <x:c r="AI130" s="10" t="str">
        <x:f>IF(AC130="Отклонить","Отклонено",IF(AND(AC130="Взять",COUNTIFS(AD130:AH130,"Да")=5),"Готово","Нужна редактура"))</x:f>
        <x:v>Нужна редактура</x:v>
      </x:c>
      <x:c r="AJ130" s="17" t="str"/>
      <x:c r="AK130" s="9" t="str">
        <x:v>https://www.youtube.com/playlist?list=PLLttfoK87AdU3VrS26CWvr-SXwduli5kT</x:v>
      </x:c>
      <x:c r="AL130" s="9" t="n">
        <x:v>9</x:v>
      </x:c>
      <x:c r="AM130" s="9"/>
      <x:c r="AN130" s="9"/>
    </x:row>
    <x:row r="131" ht="60" customHeight="1">
      <x:c r="A131" s="9" t="str">
        <x:v>-kmYuFXqNRE</x:v>
      </x:c>
      <x:c r="B131" s="10" t="str">
        <x:v>חזרות - קומדיה (לא) רומנטית 🎭 | פרק 9</x:v>
      </x:c>
      <x:c r="C131" s="10" t="str">
        <x:v>Культура и отношения</x:v>
      </x:c>
      <x:c r="D131" s="9" t="str">
        <x:v>Сериал</x:v>
      </x:c>
      <x:c r="E131" s="10" t="str">
        <x:v>Сериалы; театр; отношения</x:v>
      </x:c>
      <x:c r="F131" s="10" t="str">
        <x:v>B2–C1 (гипотеза)</x:v>
      </x:c>
      <x:c r="G131" s="12" t="n">
        <x:v>32.2</x:v>
      </x:c>
      <x:c r="H131" s="14" t="n">
        <x:v>373129</x:v>
      </x:c>
      <x:c r="I131" s="15" t="str">
        <x:v>Точный счётчик метаданных видео</x:v>
      </x:c>
      <x:c r="J131" s="14" t="n">
        <x:v>373000</x:v>
      </x:c>
      <x:c r="K131" s="14" t="n">
        <x:v>469500</x:v>
      </x:c>
      <x:c r="L131" s="12" t="n">
        <x:f>IF(COUNT(J131:K131)=2,IF(K131=0,"",J131/K131),"")</x:f>
        <x:v>0.7944621938232161</x:v>
      </x:c>
      <x:c r="M131" s="10" t="str">
        <x:v>Эпизод 9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N131" s="10" t="str">
        <x:v>Найти способы смягчить несогласие и выразить эмоцию.</x:v>
      </x:c>
      <x:c r="O131" s="10" t="str">
        <x:v>Взрослые темы; конфликтные отношения</x:v>
      </x:c>
      <x:c r="P131" s="10" t="str">
        <x:v>Полная серия — кандидат</x:v>
      </x:c>
      <x:c r="Q131" s="9" t="str">
        <x:v>Нет</x:v>
      </x:c>
      <x:c r="R131" s="9" t="str">
        <x:v>C007</x:v>
      </x:c>
      <x:c r="S131" s="9" t="str">
        <x:v>C007</x:v>
      </x:c>
      <x:c r="T131" s="10" t="str">
        <x:v>כאן 11 - תאגיד השידור הישראלי</x:v>
      </x:c>
      <x:c r="U131" s="11" t="str">
        <x:v>https://www.youtube.com/watch?v=-kmYuFXqNRE</x:v>
      </x:c>
      <x:c r="V131" s="16" t="n">
        <x:v>46308</x:v>
      </x:c>
      <x:c r="W131" s="16" t="n">
        <x:v>44200</x:v>
      </x:c>
      <x:c r="X131" s="10" t="str">
        <x:v>Иврит предполагается по заголовку и источнику</x:v>
      </x:c>
      <x:c r="Y131" s="10" t="str">
        <x:v>Дорожка HE не найдена в метаданных; вшитые титры не проверены</x:v>
      </x:c>
      <x:c r="Z131" s="10" t="str">
        <x:v>Разрешено по метаданным</x:v>
      </x:c>
      <x:c r="AA131" s="10" t="str">
        <x:v>Метаданные видео; воспроизведение и содержание не проверены</x:v>
      </x:c>
      <x:c r="AB131" s="13" t="n">
        <x:f>IF(AND(ISNUMBER(H131),ISNUMBER(W131)),H131/MAX(1,'Обзор'!$B$4-W131),"")</x:f>
        <x:v>177.0061669829222</x:v>
      </x:c>
      <x:c r="AC131" s="17" t="str">
        <x:v>Не решено</x:v>
      </x:c>
      <x:c r="AD131" s="17" t="str">
        <x:v>Не проверено</x:v>
      </x:c>
      <x:c r="AE131" s="17" t="str">
        <x:v>Не проверено</x:v>
      </x:c>
      <x:c r="AF131" s="17" t="str">
        <x:v>Не проверено</x:v>
      </x:c>
      <x:c r="AG131" s="17" t="str">
        <x:v>Не решено</x:v>
      </x:c>
      <x:c r="AH131" s="17" t="str">
        <x:v>Не проверено</x:v>
      </x:c>
      <x:c r="AI131" s="10" t="str">
        <x:f>IF(AC131="Отклонить","Отклонено",IF(AND(AC131="Взять",COUNTIFS(AD131:AH131,"Да")=5),"Готово","Нужна редактура"))</x:f>
        <x:v>Нужна редактура</x:v>
      </x:c>
      <x:c r="AJ131" s="17" t="str"/>
      <x:c r="AK131" s="9" t="str">
        <x:v>https://www.youtube.com/playlist?list=PLLttfoK87AdU3VrS26CWvr-SXwduli5kT</x:v>
      </x:c>
      <x:c r="AL131" s="9" t="n">
        <x:v>11</x:v>
      </x:c>
      <x:c r="AM131" s="9" t="n">
        <x:v>9</x:v>
      </x:c>
      <x:c r="AN131" s="9" t="n">
        <x:v>0</x:v>
      </x:c>
    </x:row>
    <x:row r="132" ht="60" customHeight="1">
      <x:c r="A132" s="9" t="str">
        <x:v>4xxZXpPP28w</x:v>
      </x:c>
      <x:c r="B132" s="10" t="str">
        <x:v>חזרות - קומדיה (לא) רומנטית 🎭 | פרק 10 - פרק הסיום!</x:v>
      </x:c>
      <x:c r="C132" s="10" t="str">
        <x:v>Культура и отношения</x:v>
      </x:c>
      <x:c r="D132" s="9" t="str">
        <x:v>Сериал</x:v>
      </x:c>
      <x:c r="E132" s="10" t="str">
        <x:v>Сериалы; театр; отношения</x:v>
      </x:c>
      <x:c r="F132" s="10" t="str">
        <x:v>B2–C1 (гипотеза)</x:v>
      </x:c>
      <x:c r="G132" s="12" t="n">
        <x:v>40.5</x:v>
      </x:c>
      <x:c r="H132" s="14" t="n">
        <x:v>430977</x:v>
      </x:c>
      <x:c r="I132" s="15" t="str">
        <x:v>Точный счётчик метаданных видео</x:v>
      </x:c>
      <x:c r="J132" s="14" t="n">
        <x:v>430000</x:v>
      </x:c>
      <x:c r="K132" s="14" t="n">
        <x:v>469500</x:v>
      </x:c>
      <x:c r="L132" s="12" t="n">
        <x:f>IF(COUNT(J132:K132)=2,IF(K132=0,"",J132/K132),"")</x:f>
        <x:v>0.9158679446219382</x:v>
      </x:c>
      <x:c r="M132" s="10" t="str">
        <x:v>Эпизод 10 в знакомой сюжетной ветке. Современная комедия о театре расширяет каталог за пределы армии и политики. Диалоги подходят для темы работы и личных отношений.</x:v>
      </x:c>
      <x:c r="N132" s="10" t="str">
        <x:v>Найти способы смягчить несогласие и выразить эмоцию.</x:v>
      </x:c>
      <x:c r="O132" s="10" t="str">
        <x:v>Взрослые темы; конфликтные отношения</x:v>
      </x:c>
      <x:c r="P132" s="10" t="str">
        <x:v>Полная серия — кандидат</x:v>
      </x:c>
      <x:c r="Q132" s="9" t="str">
        <x:v>Нет</x:v>
      </x:c>
      <x:c r="R132" s="9" t="str">
        <x:v>C007</x:v>
      </x:c>
      <x:c r="S132" s="9" t="str">
        <x:v>C007</x:v>
      </x:c>
      <x:c r="T132" s="10" t="str">
        <x:v>כאן 11 - תאגיד השידור הישראלי</x:v>
      </x:c>
      <x:c r="U132" s="11" t="str">
        <x:v>https://www.youtube.com/watch?v=4xxZXpPP28w</x:v>
      </x:c>
      <x:c r="V132" s="16" t="n">
        <x:v>46308</x:v>
      </x:c>
      <x:c r="W132" s="16" t="n">
        <x:v>44207</x:v>
      </x:c>
      <x:c r="X132" s="10" t="str">
        <x:v>Иврит предполагается по заголовку и источнику</x:v>
      </x:c>
      <x:c r="Y132" s="10" t="str">
        <x:v>Дорожка HE не найдена в метаданных; вшитые титры не проверены</x:v>
      </x:c>
      <x:c r="Z132" s="10" t="str">
        <x:v>Разрешено по метаданным</x:v>
      </x:c>
      <x:c r="AA132" s="10" t="str">
        <x:v>Метаданные видео; воспроизведение и содержание не проверены</x:v>
      </x:c>
      <x:c r="AB132" s="13" t="n">
        <x:f>IF(AND(ISNUMBER(H132),ISNUMBER(W132)),H132/MAX(1,'Обзор'!$B$4-W132),"")</x:f>
        <x:v>205.12946216087576</x:v>
      </x:c>
      <x:c r="AC132" s="17" t="str">
        <x:v>Не решено</x:v>
      </x:c>
      <x:c r="AD132" s="17" t="str">
        <x:v>Не проверено</x:v>
      </x:c>
      <x:c r="AE132" s="17" t="str">
        <x:v>Не проверено</x:v>
      </x:c>
      <x:c r="AF132" s="17" t="str">
        <x:v>Не проверено</x:v>
      </x:c>
      <x:c r="AG132" s="17" t="str">
        <x:v>Не решено</x:v>
      </x:c>
      <x:c r="AH132" s="17" t="str">
        <x:v>Не проверено</x:v>
      </x:c>
      <x:c r="AI132" s="10" t="str">
        <x:f>IF(AC132="Отклонить","Отклонено",IF(AND(AC132="Взять",COUNTIFS(AD132:AH132,"Да")=5),"Готово","Нужна редактура"))</x:f>
        <x:v>Нужна редактура</x:v>
      </x:c>
      <x:c r="AJ132" s="17" t="str"/>
      <x:c r="AK132" s="9" t="str">
        <x:v>https://www.youtube.com/playlist?list=PLLttfoK87AdU3VrS26CWvr-SXwduli5kT</x:v>
      </x:c>
      <x:c r="AL132" s="9" t="n">
        <x:v>12</x:v>
      </x:c>
      <x:c r="AM132" s="9" t="n">
        <x:v>10</x:v>
      </x:c>
      <x:c r="AN132" s="9" t="n">
        <x:v>0</x:v>
      </x:c>
    </x:row>
    <x:row r="133" ht="60" customHeight="1">
      <x:c r="A133" s="9" t="str">
        <x:v>FLZ0vJvNirM</x:v>
      </x:c>
      <x:c r="B133" s="10" t="str">
        <x:v>מנאייכ 👮 | חברים - פרק 1</x:v>
      </x:c>
      <x:c r="C133" s="10" t="str">
        <x:v>Общество и институты</x:v>
      </x:c>
      <x:c r="D133" s="9" t="str">
        <x:v>Сериал</x:v>
      </x:c>
      <x:c r="E133" s="10" t="str">
        <x:v>Сериалы; детектив; продвинутые</x:v>
      </x:c>
      <x:c r="F133" s="10" t="str">
        <x:v>B2–C1 (гипотеза)</x:v>
      </x:c>
      <x:c r="G133" s="12" t="n">
        <x:v>44.8</x:v>
      </x:c>
      <x:c r="H133" s="14" t="n">
        <x:v>1546900</x:v>
      </x:c>
      <x:c r="I133" s="15" t="str">
        <x:v>Точный счётчик метаданных видео</x:v>
      </x:c>
      <x:c r="J133" s="14" t="n">
        <x:v>1500000</x:v>
      </x:c>
      <x:c r="K133" s="14" t="n">
        <x:v>972000</x:v>
      </x:c>
      <x:c r="L133" s="12" t="n">
        <x:f>IF(COUNT(J133:K133)=2,IF(K133=0,"",J133/K133),"")</x:f>
        <x:v>1.5432098765432098</x:v>
      </x:c>
      <x:c r="M133" s="10" t="str">
        <x:v>Эпизод 1 в знакомой сюжетной ветке. Просмотры в списке выше медианы выборки этого цикла в 1.54 раза.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33" s="10" t="str">
        <x:v>Составить карту персонажей и пересказать версию событий с оговорками.</x:v>
      </x:c>
      <x:c r="O133" s="10" t="str">
        <x:v>Насилие, преступления; сложный сленг</x:v>
      </x:c>
      <x:c r="P133" s="10" t="str">
        <x:v>Полная серия — кандидат</x:v>
      </x:c>
      <x:c r="Q133" s="9" t="str">
        <x:v>Нет</x:v>
      </x:c>
      <x:c r="R133" s="9" t="str">
        <x:v>C008</x:v>
      </x:c>
      <x:c r="S133" s="9" t="str">
        <x:v>C008</x:v>
      </x:c>
      <x:c r="T133" s="10" t="str">
        <x:v>כאן 11 - תאגיד השידור הישראלי</x:v>
      </x:c>
      <x:c r="U133" s="11" t="str">
        <x:v>https://www.youtube.com/watch?v=FLZ0vJvNirM</x:v>
      </x:c>
      <x:c r="V133" s="16" t="n">
        <x:v>46308</x:v>
      </x:c>
      <x:c r="W133" s="16" t="n">
        <x:v>44045</x:v>
      </x:c>
      <x:c r="X133" s="10" t="str">
        <x:v>Иврит предполагается по заголовку и источнику</x:v>
      </x:c>
      <x:c r="Y133" s="10" t="str">
        <x:v>Дорожка HE не найдена в метаданных; вшитые титры не проверены</x:v>
      </x:c>
      <x:c r="Z133" s="10" t="str">
        <x:v>Разрешено по метаданным</x:v>
      </x:c>
      <x:c r="AA133" s="10" t="str">
        <x:v>Метаданные видео; воспроизведение и содержание не проверены</x:v>
      </x:c>
      <x:c r="AB133" s="13" t="n">
        <x:f>IF(AND(ISNUMBER(H133),ISNUMBER(W133)),H133/MAX(1,'Обзор'!$B$4-W133),"")</x:f>
        <x:v>683.5616438356165</x:v>
      </x:c>
      <x:c r="AC133" s="17" t="str">
        <x:v>Не решено</x:v>
      </x:c>
      <x:c r="AD133" s="17" t="str">
        <x:v>Не проверено</x:v>
      </x:c>
      <x:c r="AE133" s="17" t="str">
        <x:v>Не проверено</x:v>
      </x:c>
      <x:c r="AF133" s="17" t="str">
        <x:v>Не проверено</x:v>
      </x:c>
      <x:c r="AG133" s="17" t="str">
        <x:v>Не решено</x:v>
      </x:c>
      <x:c r="AH133" s="17" t="str">
        <x:v>Не проверено</x:v>
      </x:c>
      <x:c r="AI133" s="10" t="str">
        <x:f>IF(AC133="Отклонить","Отклонено",IF(AND(AC133="Взять",COUNTIFS(AD133:AH133,"Да")=5),"Готово","Нужна редактура"))</x:f>
        <x:v>Нужна редактура</x:v>
      </x:c>
      <x:c r="AJ133" s="17" t="str"/>
      <x:c r="AK133" s="9" t="str">
        <x:v>https://www.youtube.com/playlist?list=PLLttfoK87AdV6QN2VMLAB78a9Y70An0w9</x:v>
      </x:c>
      <x:c r="AL133" s="9" t="n">
        <x:v>1</x:v>
      </x:c>
      <x:c r="AM133" s="9" t="n">
        <x:v>1</x:v>
      </x:c>
      <x:c r="AN133" s="9" t="n">
        <x:v>0</x:v>
      </x:c>
    </x:row>
    <x:row r="134" ht="60" customHeight="1">
      <x:c r="A134" s="9" t="str">
        <x:v>BUSdM6Blxzc</x:v>
      </x:c>
      <x:c r="B134" s="10" t="str">
        <x:v>מנאייכ 👮 | העד - פרק 2</x:v>
      </x:c>
      <x:c r="C134" s="10" t="str">
        <x:v>Общество и институты</x:v>
      </x:c>
      <x:c r="D134" s="9" t="str">
        <x:v>Сериал</x:v>
      </x:c>
      <x:c r="E134" s="10" t="str">
        <x:v>Сериалы; детектив; продвинутые</x:v>
      </x:c>
      <x:c r="F134" s="10" t="str">
        <x:v>B2–C1 (гипотеза)</x:v>
      </x:c>
      <x:c r="G134" s="12" t="n">
        <x:v>39.9</x:v>
      </x:c>
      <x:c r="H134" s="14" t="n">
        <x:v>970078</x:v>
      </x:c>
      <x:c r="I134" s="15" t="str">
        <x:v>Точный счётчик метаданных видео</x:v>
      </x:c>
      <x:c r="J134" s="14" t="n">
        <x:v>970000</x:v>
      </x:c>
      <x:c r="K134" s="14" t="n">
        <x:v>972000</x:v>
      </x:c>
      <x:c r="L134" s="12" t="n">
        <x:f>IF(COUNT(J134:K134)=2,IF(K134=0,"",J134/K134),"")</x:f>
        <x:v>0.9979423868312757</x:v>
      </x:c>
      <x:c r="M134" s="10" t="str">
        <x:v>Эпизод 2 в знакомой сюжетной ветке.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34" s="10" t="str">
        <x:v>Составить карту персонажей и пересказать версию событий с оговорками.</x:v>
      </x:c>
      <x:c r="O134" s="10" t="str">
        <x:v>Насилие, преступления; сложный сленг</x:v>
      </x:c>
      <x:c r="P134" s="10" t="str">
        <x:v>Полная серия — кандидат</x:v>
      </x:c>
      <x:c r="Q134" s="9" t="str">
        <x:v>Нет</x:v>
      </x:c>
      <x:c r="R134" s="9" t="str">
        <x:v>C008</x:v>
      </x:c>
      <x:c r="S134" s="9" t="str">
        <x:v>C008</x:v>
      </x:c>
      <x:c r="T134" s="10" t="str">
        <x:v>כאן 11 - תאגיד השידור הישראלי</x:v>
      </x:c>
      <x:c r="U134" s="11" t="str">
        <x:v>https://www.youtube.com/watch?v=BUSdM6Blxzc</x:v>
      </x:c>
      <x:c r="V134" s="16" t="n">
        <x:v>46308</x:v>
      </x:c>
      <x:c r="W134" s="16" t="n">
        <x:v>44046</x:v>
      </x:c>
      <x:c r="X134" s="10" t="str">
        <x:v>Иврит предполагается по заголовку и источнику</x:v>
      </x:c>
      <x:c r="Y134" s="10" t="str">
        <x:v>Дорожка HE не найдена в метаданных; вшитые титры не проверены</x:v>
      </x:c>
      <x:c r="Z134" s="10" t="str">
        <x:v>Разрешено по метаданным</x:v>
      </x:c>
      <x:c r="AA134" s="10" t="str">
        <x:v>Метаданные видео; воспроизведение и содержание не проверены</x:v>
      </x:c>
      <x:c r="AB134" s="13" t="n">
        <x:f>IF(AND(ISNUMBER(H134),ISNUMBER(W134)),H134/MAX(1,'Обзор'!$B$4-W134),"")</x:f>
        <x:v>428.85853227232536</x:v>
      </x:c>
      <x:c r="AC134" s="17" t="str">
        <x:v>Не решено</x:v>
      </x:c>
      <x:c r="AD134" s="17" t="str">
        <x:v>Не проверено</x:v>
      </x:c>
      <x:c r="AE134" s="17" t="str">
        <x:v>Не проверено</x:v>
      </x:c>
      <x:c r="AF134" s="17" t="str">
        <x:v>Не проверено</x:v>
      </x:c>
      <x:c r="AG134" s="17" t="str">
        <x:v>Не решено</x:v>
      </x:c>
      <x:c r="AH134" s="17" t="str">
        <x:v>Не проверено</x:v>
      </x:c>
      <x:c r="AI134" s="10" t="str">
        <x:f>IF(AC134="Отклонить","Отклонено",IF(AND(AC134="Взять",COUNTIFS(AD134:AH134,"Да")=5),"Готово","Нужна редактура"))</x:f>
        <x:v>Нужна редактура</x:v>
      </x:c>
      <x:c r="AJ134" s="17" t="str"/>
      <x:c r="AK134" s="9" t="str">
        <x:v>https://www.youtube.com/playlist?list=PLLttfoK87AdV6QN2VMLAB78a9Y70An0w9</x:v>
      </x:c>
      <x:c r="AL134" s="9" t="n">
        <x:v>2</x:v>
      </x:c>
      <x:c r="AM134" s="9" t="n">
        <x:v>2</x:v>
      </x:c>
      <x:c r="AN134" s="9" t="n">
        <x:v>0</x:v>
      </x:c>
    </x:row>
    <x:row r="135" ht="60" customHeight="1">
      <x:c r="A135" s="9" t="str">
        <x:v>qORM-J0PAgk</x:v>
      </x:c>
      <x:c r="B135" s="10" t="str">
        <x:v>מנאייכ 👮 | מרדף - פרק 3</x:v>
      </x:c>
      <x:c r="C135" s="10" t="str">
        <x:v>Общество и институты</x:v>
      </x:c>
      <x:c r="D135" s="9" t="str">
        <x:v>Сериал</x:v>
      </x:c>
      <x:c r="E135" s="10" t="str">
        <x:v>Сериалы; детектив; продвинутые</x:v>
      </x:c>
      <x:c r="F135" s="10" t="str">
        <x:v>B2–C1 (гипотеза)</x:v>
      </x:c>
      <x:c r="G135" s="12" t="n">
        <x:v>41.5</x:v>
      </x:c>
      <x:c r="H135" s="14" t="n">
        <x:v>1042855</x:v>
      </x:c>
      <x:c r="I135" s="15" t="str">
        <x:v>Точный счётчик метаданных видео</x:v>
      </x:c>
      <x:c r="J135" s="14" t="n">
        <x:v>1000000</x:v>
      </x:c>
      <x:c r="K135" s="14" t="n">
        <x:v>972000</x:v>
      </x:c>
      <x:c r="L135" s="12" t="n">
        <x:f>IF(COUNT(J135:K135)=2,IF(K135=0,"",J135/K135),"")</x:f>
        <x:v>1.02880658436214</x:v>
      </x:c>
      <x:c r="M135" s="10" t="str">
        <x:v>Эпизод 3 в знакомой сюжетной ветке.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35" s="10" t="str">
        <x:v>Составить карту персонажей и пересказать версию событий с оговорками.</x:v>
      </x:c>
      <x:c r="O135" s="10" t="str">
        <x:v>Насилие, преступления; сложный сленг</x:v>
      </x:c>
      <x:c r="P135" s="10" t="str">
        <x:v>Полная серия — кандидат</x:v>
      </x:c>
      <x:c r="Q135" s="9" t="str">
        <x:v>Нет</x:v>
      </x:c>
      <x:c r="R135" s="9" t="str">
        <x:v>C008</x:v>
      </x:c>
      <x:c r="S135" s="9" t="str">
        <x:v>C008</x:v>
      </x:c>
      <x:c r="T135" s="10" t="str">
        <x:v>כאן 11 - תאגיד השידור הישראלי</x:v>
      </x:c>
      <x:c r="U135" s="11" t="str">
        <x:v>https://www.youtube.com/watch?v=qORM-J0PAgk</x:v>
      </x:c>
      <x:c r="V135" s="16" t="n">
        <x:v>46308</x:v>
      </x:c>
      <x:c r="W135" s="16" t="n">
        <x:v>44046</x:v>
      </x:c>
      <x:c r="X135" s="10" t="str">
        <x:v>Иврит предполагается по заголовку и источнику</x:v>
      </x:c>
      <x:c r="Y135" s="10" t="str">
        <x:v>Дорожка HE не найдена в метаданных; вшитые титры не проверены</x:v>
      </x:c>
      <x:c r="Z135" s="10" t="str">
        <x:v>Разрешено по метаданным</x:v>
      </x:c>
      <x:c r="AA135" s="10" t="str">
        <x:v>Метаданные видео; воспроизведение и содержание не проверены</x:v>
      </x:c>
      <x:c r="AB135" s="13" t="n">
        <x:f>IF(AND(ISNUMBER(H135),ISNUMBER(W135)),H135/MAX(1,'Обзор'!$B$4-W135),"")</x:f>
        <x:v>461.0322723253758</x:v>
      </x:c>
      <x:c r="AC135" s="17" t="str">
        <x:v>Не решено</x:v>
      </x:c>
      <x:c r="AD135" s="17" t="str">
        <x:v>Не проверено</x:v>
      </x:c>
      <x:c r="AE135" s="17" t="str">
        <x:v>Не проверено</x:v>
      </x:c>
      <x:c r="AF135" s="17" t="str">
        <x:v>Не проверено</x:v>
      </x:c>
      <x:c r="AG135" s="17" t="str">
        <x:v>Не решено</x:v>
      </x:c>
      <x:c r="AH135" s="17" t="str">
        <x:v>Не проверено</x:v>
      </x:c>
      <x:c r="AI135" s="10" t="str">
        <x:f>IF(AC135="Отклонить","Отклонено",IF(AND(AC135="Взять",COUNTIFS(AD135:AH135,"Да")=5),"Готово","Нужна редактура"))</x:f>
        <x:v>Нужна редактура</x:v>
      </x:c>
      <x:c r="AJ135" s="17" t="str"/>
      <x:c r="AK135" s="9" t="str">
        <x:v>https://www.youtube.com/playlist?list=PLLttfoK87AdV6QN2VMLAB78a9Y70An0w9</x:v>
      </x:c>
      <x:c r="AL135" s="9" t="n">
        <x:v>3</x:v>
      </x:c>
      <x:c r="AM135" s="9" t="n">
        <x:v>3</x:v>
      </x:c>
      <x:c r="AN135" s="9" t="n">
        <x:v>0</x:v>
      </x:c>
    </x:row>
    <x:row r="136" ht="60" customHeight="1">
      <x:c r="A136" s="9" t="str">
        <x:v>0YJQ_mgrFMo</x:v>
      </x:c>
      <x:c r="B136" s="10" t="str">
        <x:v>מנאייכ 👮 | רוסלן - פרק 4</x:v>
      </x:c>
      <x:c r="C136" s="10" t="str">
        <x:v>Общество и институты</x:v>
      </x:c>
      <x:c r="D136" s="9" t="str">
        <x:v>Сериал</x:v>
      </x:c>
      <x:c r="E136" s="10" t="str">
        <x:v>Сериалы; детектив; продвинутые</x:v>
      </x:c>
      <x:c r="F136" s="10" t="str">
        <x:v>B2–C1 (гипотеза)</x:v>
      </x:c>
      <x:c r="G136" s="12" t="n">
        <x:v>40.4</x:v>
      </x:c>
      <x:c r="H136" s="14" t="n">
        <x:v>961521</x:v>
      </x:c>
      <x:c r="I136" s="15" t="str">
        <x:v>Точный счётчик метаданных видео</x:v>
      </x:c>
      <x:c r="J136" s="14" t="n">
        <x:v>961000</x:v>
      </x:c>
      <x:c r="K136" s="14" t="n">
        <x:v>972000</x:v>
      </x:c>
      <x:c r="L136" s="12" t="n">
        <x:f>IF(COUNT(J136:K136)=2,IF(K136=0,"",J136/K136),"")</x:f>
        <x:v>0.9886831275720165</x:v>
      </x:c>
      <x:c r="M136" s="10" t="str">
        <x:v>Эпизод 4 в знакомой сюжетной ветке.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36" s="10" t="str">
        <x:v>Составить карту персонажей и пересказать версию событий с оговорками.</x:v>
      </x:c>
      <x:c r="O136" s="10" t="str">
        <x:v>Насилие, преступления; сложный сленг</x:v>
      </x:c>
      <x:c r="P136" s="10" t="str">
        <x:v>Полная серия — кандидат</x:v>
      </x:c>
      <x:c r="Q136" s="9" t="str">
        <x:v>Нет</x:v>
      </x:c>
      <x:c r="R136" s="9" t="str">
        <x:v>C008</x:v>
      </x:c>
      <x:c r="S136" s="9" t="str">
        <x:v>C008</x:v>
      </x:c>
      <x:c r="T136" s="10" t="str">
        <x:v>כאן 11 - תאגיד השידור הישראלי</x:v>
      </x:c>
      <x:c r="U136" s="11" t="str">
        <x:v>https://www.youtube.com/watch?v=0YJQ_mgrFMo</x:v>
      </x:c>
      <x:c r="V136" s="16" t="n">
        <x:v>46308</x:v>
      </x:c>
      <x:c r="W136" s="16" t="n">
        <x:v>44053</x:v>
      </x:c>
      <x:c r="X136" s="10" t="str">
        <x:v>Иврит предполагается по заголовку и источнику</x:v>
      </x:c>
      <x:c r="Y136" s="10" t="str">
        <x:v>Дорожка HE не найдена в метаданных; вшитые титры не проверены</x:v>
      </x:c>
      <x:c r="Z136" s="10" t="str">
        <x:v>Разрешено по метаданным</x:v>
      </x:c>
      <x:c r="AA136" s="10" t="str">
        <x:v>Метаданные видео; воспроизведение и содержание не проверены</x:v>
      </x:c>
      <x:c r="AB136" s="13" t="n">
        <x:f>IF(AND(ISNUMBER(H136),ISNUMBER(W136)),H136/MAX(1,'Обзор'!$B$4-W136),"")</x:f>
        <x:v>426.3951219512195</x:v>
      </x:c>
      <x:c r="AC136" s="17" t="str">
        <x:v>Не решено</x:v>
      </x:c>
      <x:c r="AD136" s="17" t="str">
        <x:v>Не проверено</x:v>
      </x:c>
      <x:c r="AE136" s="17" t="str">
        <x:v>Не проверено</x:v>
      </x:c>
      <x:c r="AF136" s="17" t="str">
        <x:v>Не проверено</x:v>
      </x:c>
      <x:c r="AG136" s="17" t="str">
        <x:v>Не решено</x:v>
      </x:c>
      <x:c r="AH136" s="17" t="str">
        <x:v>Не проверено</x:v>
      </x:c>
      <x:c r="AI136" s="10" t="str">
        <x:f>IF(AC136="Отклонить","Отклонено",IF(AND(AC136="Взять",COUNTIFS(AD136:AH136,"Да")=5),"Готово","Нужна редактура"))</x:f>
        <x:v>Нужна редактура</x:v>
      </x:c>
      <x:c r="AJ136" s="17" t="str"/>
      <x:c r="AK136" s="9" t="str">
        <x:v>https://www.youtube.com/playlist?list=PLLttfoK87AdV6QN2VMLAB78a9Y70An0w9</x:v>
      </x:c>
      <x:c r="AL136" s="9" t="n">
        <x:v>4</x:v>
      </x:c>
      <x:c r="AM136" s="9" t="n">
        <x:v>4</x:v>
      </x:c>
      <x:c r="AN136" s="9" t="n">
        <x:v>0</x:v>
      </x:c>
    </x:row>
    <x:row r="137" ht="60" customHeight="1">
      <x:c r="A137" s="9" t="str">
        <x:v>JFfreAZAiHk</x:v>
      </x:c>
      <x:c r="B137" s="10" t="str">
        <x:v>מנאייכ 👮 | שקרים - פרק 5</x:v>
      </x:c>
      <x:c r="C137" s="10" t="str">
        <x:v>Общество и институты</x:v>
      </x:c>
      <x:c r="D137" s="9" t="str">
        <x:v>Сериал</x:v>
      </x:c>
      <x:c r="E137" s="10" t="str">
        <x:v>Сериалы; детектив; продвинутые</x:v>
      </x:c>
      <x:c r="F137" s="10" t="str">
        <x:v>B2–C1 (гипотеза)</x:v>
      </x:c>
      <x:c r="G137" s="12" t="n">
        <x:v>46.9</x:v>
      </x:c>
      <x:c r="H137" s="14" t="n">
        <x:v>1019254</x:v>
      </x:c>
      <x:c r="I137" s="15" t="str">
        <x:v>Точный счётчик метаданных видео</x:v>
      </x:c>
      <x:c r="J137" s="14" t="n">
        <x:v>1000000</x:v>
      </x:c>
      <x:c r="K137" s="14" t="n">
        <x:v>972000</x:v>
      </x:c>
      <x:c r="L137" s="12" t="n">
        <x:f>IF(COUNT(J137:K137)=2,IF(K137=0,"",J137/K137),"")</x:f>
        <x:v>1.02880658436214</x:v>
      </x:c>
      <x:c r="M137" s="10" t="str">
        <x:v>Эпизод 5 в знакомой сюжетной ветке.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37" s="10" t="str">
        <x:v>Составить карту персонажей и пересказать версию событий с оговорками.</x:v>
      </x:c>
      <x:c r="O137" s="10" t="str">
        <x:v>Насилие, преступления; сложный сленг</x:v>
      </x:c>
      <x:c r="P137" s="10" t="str">
        <x:v>Полная серия — кандидат</x:v>
      </x:c>
      <x:c r="Q137" s="9" t="str">
        <x:v>Нет</x:v>
      </x:c>
      <x:c r="R137" s="9" t="str">
        <x:v>C008</x:v>
      </x:c>
      <x:c r="S137" s="9" t="str">
        <x:v>C008</x:v>
      </x:c>
      <x:c r="T137" s="10" t="str">
        <x:v>כאן 11 - תאגיד השידור הישראלי</x:v>
      </x:c>
      <x:c r="U137" s="11" t="str">
        <x:v>https://www.youtube.com/watch?v=JFfreAZAiHk</x:v>
      </x:c>
      <x:c r="V137" s="16" t="n">
        <x:v>46308</x:v>
      </x:c>
      <x:c r="W137" s="16" t="n">
        <x:v>44059</x:v>
      </x:c>
      <x:c r="X137" s="10" t="str">
        <x:v>Иврит предполагается по заголовку и источнику</x:v>
      </x:c>
      <x:c r="Y137" s="10" t="str">
        <x:v>Дорожка HE не найдена в метаданных; вшитые титры не проверены</x:v>
      </x:c>
      <x:c r="Z137" s="10" t="str">
        <x:v>Разрешено по метаданным</x:v>
      </x:c>
      <x:c r="AA137" s="10" t="str">
        <x:v>Метаданные видео; воспроизведение и содержание не проверены</x:v>
      </x:c>
      <x:c r="AB137" s="13" t="n">
        <x:f>IF(AND(ISNUMBER(H137),ISNUMBER(W137)),H137/MAX(1,'Обзор'!$B$4-W137),"")</x:f>
        <x:v>453.2032014228546</x:v>
      </x:c>
      <x:c r="AC137" s="17" t="str">
        <x:v>Не решено</x:v>
      </x:c>
      <x:c r="AD137" s="17" t="str">
        <x:v>Не проверено</x:v>
      </x:c>
      <x:c r="AE137" s="17" t="str">
        <x:v>Не проверено</x:v>
      </x:c>
      <x:c r="AF137" s="17" t="str">
        <x:v>Не проверено</x:v>
      </x:c>
      <x:c r="AG137" s="17" t="str">
        <x:v>Не решено</x:v>
      </x:c>
      <x:c r="AH137" s="17" t="str">
        <x:v>Не проверено</x:v>
      </x:c>
      <x:c r="AI137" s="10" t="str">
        <x:f>IF(AC137="Отклонить","Отклонено",IF(AND(AC137="Взять",COUNTIFS(AD137:AH137,"Да")=5),"Готово","Нужна редактура"))</x:f>
        <x:v>Нужна редактура</x:v>
      </x:c>
      <x:c r="AJ137" s="17" t="str"/>
      <x:c r="AK137" s="9" t="str">
        <x:v>https://www.youtube.com/playlist?list=PLLttfoK87AdV6QN2VMLAB78a9Y70An0w9</x:v>
      </x:c>
      <x:c r="AL137" s="9" t="n">
        <x:v>5</x:v>
      </x:c>
      <x:c r="AM137" s="9" t="n">
        <x:v>5</x:v>
      </x:c>
      <x:c r="AN137" s="9" t="n">
        <x:v>0</x:v>
      </x:c>
    </x:row>
    <x:row r="138" ht="60" customHeight="1">
      <x:c r="A138" s="9" t="str">
        <x:v>Wya4G6GCJdE</x:v>
      </x:c>
      <x:c r="B138" s="10" t="str">
        <x:v>מנאייכ 👮 | הודים - פרק 6</x:v>
      </x:c>
      <x:c r="C138" s="10" t="str">
        <x:v>Общество и институты</x:v>
      </x:c>
      <x:c r="D138" s="9" t="str">
        <x:v>Сериал</x:v>
      </x:c>
      <x:c r="E138" s="10" t="str">
        <x:v>Сериалы; детектив; продвинутые</x:v>
      </x:c>
      <x:c r="F138" s="10" t="str">
        <x:v>B2–C1 (гипотеза)</x:v>
      </x:c>
      <x:c r="G138" s="12" t="n">
        <x:v>44.8</x:v>
      </x:c>
      <x:c r="H138" s="14" t="n">
        <x:v>1033971</x:v>
      </x:c>
      <x:c r="I138" s="15" t="str">
        <x:v>Точный счётчик метаданных видео</x:v>
      </x:c>
      <x:c r="J138" s="14" t="n">
        <x:v>1000000</x:v>
      </x:c>
      <x:c r="K138" s="14" t="n">
        <x:v>972000</x:v>
      </x:c>
      <x:c r="L138" s="12" t="n">
        <x:f>IF(COUNT(J138:K138)=2,IF(K138=0,"",J138/K138),"")</x:f>
        <x:v>1.02880658436214</x:v>
      </x:c>
      <x:c r="M138" s="10" t="str">
        <x:v>Эпизод 6 в знакомой сюжетной ветке.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38" s="10" t="str">
        <x:v>Составить карту персонажей и пересказать версию событий с оговорками.</x:v>
      </x:c>
      <x:c r="O138" s="10" t="str">
        <x:v>Насилие, преступления; сложный сленг</x:v>
      </x:c>
      <x:c r="P138" s="10" t="str">
        <x:v>Полная серия — кандидат</x:v>
      </x:c>
      <x:c r="Q138" s="9" t="str">
        <x:v>Нет</x:v>
      </x:c>
      <x:c r="R138" s="9" t="str">
        <x:v>C008</x:v>
      </x:c>
      <x:c r="S138" s="9" t="str">
        <x:v>C008</x:v>
      </x:c>
      <x:c r="T138" s="10" t="str">
        <x:v>כאן 11 - תאגיד השידור הישראלי</x:v>
      </x:c>
      <x:c r="U138" s="11" t="str">
        <x:v>https://www.youtube.com/watch?v=Wya4G6GCJdE</x:v>
      </x:c>
      <x:c r="V138" s="16" t="n">
        <x:v>46308</x:v>
      </x:c>
      <x:c r="W138" s="16" t="n">
        <x:v>44060</x:v>
      </x:c>
      <x:c r="X138" s="10" t="str">
        <x:v>Иврит предполагается по заголовку и источнику</x:v>
      </x:c>
      <x:c r="Y138" s="10" t="str">
        <x:v>Дорожка HE не найдена в метаданных; вшитые титры не проверены</x:v>
      </x:c>
      <x:c r="Z138" s="10" t="str">
        <x:v>Разрешено по метаданным</x:v>
      </x:c>
      <x:c r="AA138" s="10" t="str">
        <x:v>Метаданные видео; воспроизведение и содержание не проверены</x:v>
      </x:c>
      <x:c r="AB138" s="13" t="n">
        <x:f>IF(AND(ISNUMBER(H138),ISNUMBER(W138)),H138/MAX(1,'Обзор'!$B$4-W138),"")</x:f>
        <x:v>459.951512455516</x:v>
      </x:c>
      <x:c r="AC138" s="17" t="str">
        <x:v>Не решено</x:v>
      </x:c>
      <x:c r="AD138" s="17" t="str">
        <x:v>Не проверено</x:v>
      </x:c>
      <x:c r="AE138" s="17" t="str">
        <x:v>Не проверено</x:v>
      </x:c>
      <x:c r="AF138" s="17" t="str">
        <x:v>Не проверено</x:v>
      </x:c>
      <x:c r="AG138" s="17" t="str">
        <x:v>Не решено</x:v>
      </x:c>
      <x:c r="AH138" s="17" t="str">
        <x:v>Не проверено</x:v>
      </x:c>
      <x:c r="AI138" s="10" t="str">
        <x:f>IF(AC138="Отклонить","Отклонено",IF(AND(AC138="Взять",COUNTIFS(AD138:AH138,"Да")=5),"Готово","Нужна редактура"))</x:f>
        <x:v>Нужна редактура</x:v>
      </x:c>
      <x:c r="AJ138" s="17" t="str"/>
      <x:c r="AK138" s="9" t="str">
        <x:v>https://www.youtube.com/playlist?list=PLLttfoK87AdV6QN2VMLAB78a9Y70An0w9</x:v>
      </x:c>
      <x:c r="AL138" s="9" t="n">
        <x:v>6</x:v>
      </x:c>
      <x:c r="AM138" s="9" t="n">
        <x:v>6</x:v>
      </x:c>
      <x:c r="AN138" s="9" t="n">
        <x:v>0</x:v>
      </x:c>
    </x:row>
    <x:row r="139" ht="60" customHeight="1">
      <x:c r="A139" s="9" t="str">
        <x:v>OK952C1tx2k</x:v>
      </x:c>
      <x:c r="B139" s="10" t="str">
        <x:v>מנאייכ 👮 | הפרקליטה - פרק 7</x:v>
      </x:c>
      <x:c r="C139" s="10" t="str">
        <x:v>Общество и институты</x:v>
      </x:c>
      <x:c r="D139" s="9" t="str">
        <x:v>Сериал</x:v>
      </x:c>
      <x:c r="E139" s="10" t="str">
        <x:v>Сериалы; детектив; продвинутые</x:v>
      </x:c>
      <x:c r="F139" s="10" t="str">
        <x:v>B2–C1 (гипотеза)</x:v>
      </x:c>
      <x:c r="G139" s="12" t="n">
        <x:v>45.5</x:v>
      </x:c>
      <x:c r="H139" s="14" t="n">
        <x:v>974070</x:v>
      </x:c>
      <x:c r="I139" s="15" t="str">
        <x:v>Точный счётчик метаданных видео</x:v>
      </x:c>
      <x:c r="J139" s="14" t="n">
        <x:v>974000</x:v>
      </x:c>
      <x:c r="K139" s="14" t="n">
        <x:v>972000</x:v>
      </x:c>
      <x:c r="L139" s="12" t="n">
        <x:f>IF(COUNT(J139:K139)=2,IF(K139=0,"",J139/K139),"")</x:f>
        <x:v>1.0020576131687242</x:v>
      </x:c>
      <x:c r="M139" s="10" t="str">
        <x:v>Эпизод 7 в знакомой сюжетной ветке.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39" s="10" t="str">
        <x:v>Составить карту персонажей и пересказать версию событий с оговорками.</x:v>
      </x:c>
      <x:c r="O139" s="10" t="str">
        <x:v>Насилие, преступления; сложный сленг</x:v>
      </x:c>
      <x:c r="P139" s="10" t="str">
        <x:v>Полная серия — кандидат</x:v>
      </x:c>
      <x:c r="Q139" s="9" t="str">
        <x:v>Нет</x:v>
      </x:c>
      <x:c r="R139" s="9" t="str">
        <x:v>C008</x:v>
      </x:c>
      <x:c r="S139" s="9" t="str">
        <x:v>C008</x:v>
      </x:c>
      <x:c r="T139" s="10" t="str">
        <x:v>כאן 11 - תאגיד השידור הישראלי</x:v>
      </x:c>
      <x:c r="U139" s="11" t="str">
        <x:v>https://www.youtube.com/watch?v=OK952C1tx2k</x:v>
      </x:c>
      <x:c r="V139" s="16" t="n">
        <x:v>46308</x:v>
      </x:c>
      <x:c r="W139" s="16" t="n">
        <x:v>44065</x:v>
      </x:c>
      <x:c r="X139" s="10" t="str">
        <x:v>Иврит предполагается по заголовку и источнику</x:v>
      </x:c>
      <x:c r="Y139" s="10" t="str">
        <x:v>Дорожка HE не найдена в метаданных; вшитые титры не проверены</x:v>
      </x:c>
      <x:c r="Z139" s="10" t="str">
        <x:v>Разрешено по метаданным</x:v>
      </x:c>
      <x:c r="AA139" s="10" t="str">
        <x:v>Метаданные видео; воспроизведение и содержание не проверены</x:v>
      </x:c>
      <x:c r="AB139" s="13" t="n">
        <x:f>IF(AND(ISNUMBER(H139),ISNUMBER(W139)),H139/MAX(1,'Обзор'!$B$4-W139),"")</x:f>
        <x:v>434.27106553722695</x:v>
      </x:c>
      <x:c r="AC139" s="17" t="str">
        <x:v>Не решено</x:v>
      </x:c>
      <x:c r="AD139" s="17" t="str">
        <x:v>Не проверено</x:v>
      </x:c>
      <x:c r="AE139" s="17" t="str">
        <x:v>Не проверено</x:v>
      </x:c>
      <x:c r="AF139" s="17" t="str">
        <x:v>Не проверено</x:v>
      </x:c>
      <x:c r="AG139" s="17" t="str">
        <x:v>Не решено</x:v>
      </x:c>
      <x:c r="AH139" s="17" t="str">
        <x:v>Не проверено</x:v>
      </x:c>
      <x:c r="AI139" s="10" t="str">
        <x:f>IF(AC139="Отклонить","Отклонено",IF(AND(AC139="Взять",COUNTIFS(AD139:AH139,"Да")=5),"Готово","Нужна редактура"))</x:f>
        <x:v>Нужна редактура</x:v>
      </x:c>
      <x:c r="AJ139" s="17" t="str"/>
      <x:c r="AK139" s="9" t="str">
        <x:v>https://www.youtube.com/playlist?list=PLLttfoK87AdV6QN2VMLAB78a9Y70An0w9</x:v>
      </x:c>
      <x:c r="AL139" s="9" t="n">
        <x:v>7</x:v>
      </x:c>
      <x:c r="AM139" s="9" t="n">
        <x:v>7</x:v>
      </x:c>
      <x:c r="AN139" s="9" t="n">
        <x:v>0</x:v>
      </x:c>
    </x:row>
    <x:row r="140" ht="60" customHeight="1">
      <x:c r="A140" s="9" t="str">
        <x:v>TYE-0ufc6AI</x:v>
      </x:c>
      <x:c r="B140" s="10" t="str">
        <x:v>מנאייכ 👮 | צמיגים - פרק 8</x:v>
      </x:c>
      <x:c r="C140" s="10" t="str">
        <x:v>Общество и институты</x:v>
      </x:c>
      <x:c r="D140" s="9" t="str">
        <x:v>Сериал</x:v>
      </x:c>
      <x:c r="E140" s="10" t="str">
        <x:v>Сериалы; детектив; продвинутые</x:v>
      </x:c>
      <x:c r="F140" s="10" t="str">
        <x:v>B2–C1 (гипотеза)</x:v>
      </x:c>
      <x:c r="G140" s="12" t="n">
        <x:v>40.6</x:v>
      </x:c>
      <x:c r="H140" s="14" t="n">
        <x:v>915464</x:v>
      </x:c>
      <x:c r="I140" s="15" t="str">
        <x:v>Точный счётчик метаданных видео</x:v>
      </x:c>
      <x:c r="J140" s="14" t="n">
        <x:v>915000</x:v>
      </x:c>
      <x:c r="K140" s="14" t="n">
        <x:v>972000</x:v>
      </x:c>
      <x:c r="L140" s="12" t="n">
        <x:f>IF(COUNT(J140:K140)=2,IF(K140=0,"",J140/K140),"")</x:f>
        <x:v>0.941358024691358</x:v>
      </x:c>
      <x:c r="M140" s="10" t="str">
        <x:v>Эпизод 8 в знакомой сюжетной ветке.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40" s="10" t="str">
        <x:v>Составить карту персонажей и пересказать версию событий с оговорками.</x:v>
      </x:c>
      <x:c r="O140" s="10" t="str">
        <x:v>Насилие, преступления; сложный сленг</x:v>
      </x:c>
      <x:c r="P140" s="10" t="str">
        <x:v>Полная серия — кандидат</x:v>
      </x:c>
      <x:c r="Q140" s="9" t="str">
        <x:v>Нет</x:v>
      </x:c>
      <x:c r="R140" s="9" t="str">
        <x:v>C008</x:v>
      </x:c>
      <x:c r="S140" s="9" t="str">
        <x:v>C008</x:v>
      </x:c>
      <x:c r="T140" s="10" t="str">
        <x:v>כאן 11 - תאגיד השידור הישראלי</x:v>
      </x:c>
      <x:c r="U140" s="11" t="str">
        <x:v>https://www.youtube.com/watch?v=TYE-0ufc6AI</x:v>
      </x:c>
      <x:c r="V140" s="16" t="n">
        <x:v>46308</x:v>
      </x:c>
      <x:c r="W140" s="16" t="n">
        <x:v>44067</x:v>
      </x:c>
      <x:c r="X140" s="10" t="str">
        <x:v>Иврит предполагается по заголовку и источнику</x:v>
      </x:c>
      <x:c r="Y140" s="10" t="str">
        <x:v>Дорожка HE не найдена в метаданных; вшитые титры не проверены</x:v>
      </x:c>
      <x:c r="Z140" s="10" t="str">
        <x:v>Разрешено по метаданным</x:v>
      </x:c>
      <x:c r="AA140" s="10" t="str">
        <x:v>Метаданные видео; воспроизведение и содержание не проверены</x:v>
      </x:c>
      <x:c r="AB140" s="13" t="n">
        <x:f>IF(AND(ISNUMBER(H140),ISNUMBER(W140)),H140/MAX(1,'Обзор'!$B$4-W140),"")</x:f>
        <x:v>408.50691655510934</x:v>
      </x:c>
      <x:c r="AC140" s="17" t="str">
        <x:v>Не решено</x:v>
      </x:c>
      <x:c r="AD140" s="17" t="str">
        <x:v>Не проверено</x:v>
      </x:c>
      <x:c r="AE140" s="17" t="str">
        <x:v>Не проверено</x:v>
      </x:c>
      <x:c r="AF140" s="17" t="str">
        <x:v>Не проверено</x:v>
      </x:c>
      <x:c r="AG140" s="17" t="str">
        <x:v>Не решено</x:v>
      </x:c>
      <x:c r="AH140" s="17" t="str">
        <x:v>Не проверено</x:v>
      </x:c>
      <x:c r="AI140" s="10" t="str">
        <x:f>IF(AC140="Отклонить","Отклонено",IF(AND(AC140="Взять",COUNTIFS(AD140:AH140,"Да")=5),"Готово","Нужна редактура"))</x:f>
        <x:v>Нужна редактура</x:v>
      </x:c>
      <x:c r="AJ140" s="17" t="str"/>
      <x:c r="AK140" s="9" t="str">
        <x:v>https://www.youtube.com/playlist?list=PLLttfoK87AdV6QN2VMLAB78a9Y70An0w9</x:v>
      </x:c>
      <x:c r="AL140" s="9" t="n">
        <x:v>8</x:v>
      </x:c>
      <x:c r="AM140" s="9" t="n">
        <x:v>8</x:v>
      </x:c>
      <x:c r="AN140" s="9" t="n">
        <x:v>0</x:v>
      </x:c>
    </x:row>
    <x:row r="141" ht="60" customHeight="1">
      <x:c r="A141" s="9" t="str">
        <x:v>LSglTvpFtEk</x:v>
      </x:c>
      <x:c r="B141" s="10" t="str">
        <x:v>מנאייכ 👮 | אומן - פרק 9</x:v>
      </x:c>
      <x:c r="C141" s="10" t="str">
        <x:v>Общество и институты</x:v>
      </x:c>
      <x:c r="D141" s="9" t="str">
        <x:v>Сериал</x:v>
      </x:c>
      <x:c r="E141" s="10" t="str">
        <x:v>Сериалы; детектив; продвинутые</x:v>
      </x:c>
      <x:c r="F141" s="10" t="str">
        <x:v>B2–C1 (гипотеза)</x:v>
      </x:c>
      <x:c r="G141" s="12" t="n">
        <x:v>47.4</x:v>
      </x:c>
      <x:c r="H141" s="14" t="n">
        <x:v>899424</x:v>
      </x:c>
      <x:c r="I141" s="15" t="str">
        <x:v>Точный счётчик метаданных видео</x:v>
      </x:c>
      <x:c r="J141" s="14" t="n">
        <x:v>899000</x:v>
      </x:c>
      <x:c r="K141" s="14" t="n">
        <x:v>972000</x:v>
      </x:c>
      <x:c r="L141" s="12" t="n">
        <x:f>IF(COUNT(J141:K141)=2,IF(K141=0,"",J141/K141),"")</x:f>
        <x:v>0.9248971193415638</x:v>
      </x:c>
      <x:c r="M141" s="10" t="str">
        <x:v>Эпизод 9 в знакомой сюжетной ветке.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41" s="10" t="str">
        <x:v>Составить карту персонажей и пересказать версию событий с оговорками.</x:v>
      </x:c>
      <x:c r="O141" s="10" t="str">
        <x:v>Насилие, преступления; сложный сленг</x:v>
      </x:c>
      <x:c r="P141" s="10" t="str">
        <x:v>Полная серия — кандидат</x:v>
      </x:c>
      <x:c r="Q141" s="9" t="str">
        <x:v>Нет</x:v>
      </x:c>
      <x:c r="R141" s="9" t="str">
        <x:v>C008</x:v>
      </x:c>
      <x:c r="S141" s="9" t="str">
        <x:v>C008</x:v>
      </x:c>
      <x:c r="T141" s="10" t="str">
        <x:v>כאן 11 - תאגיד השידור הישראלי</x:v>
      </x:c>
      <x:c r="U141" s="11" t="str">
        <x:v>https://www.youtube.com/watch?v=LSglTvpFtEk</x:v>
      </x:c>
      <x:c r="V141" s="16" t="n">
        <x:v>46308</x:v>
      </x:c>
      <x:c r="W141" s="16" t="n">
        <x:v>44073</x:v>
      </x:c>
      <x:c r="X141" s="10" t="str">
        <x:v>Иврит предполагается по заголовку и источнику</x:v>
      </x:c>
      <x:c r="Y141" s="10" t="str">
        <x:v>Дорожка HE не найдена в метаданных; вшитые титры не проверены</x:v>
      </x:c>
      <x:c r="Z141" s="10" t="str">
        <x:v>Разрешено по метаданным</x:v>
      </x:c>
      <x:c r="AA141" s="10" t="str">
        <x:v>Метаданные видео; воспроизведение и содержание не проверены</x:v>
      </x:c>
      <x:c r="AB141" s="13" t="n">
        <x:f>IF(AND(ISNUMBER(H141),ISNUMBER(W141)),H141/MAX(1,'Обзор'!$B$4-W141),"")</x:f>
        <x:v>402.4268456375839</x:v>
      </x:c>
      <x:c r="AC141" s="17" t="str">
        <x:v>Не решено</x:v>
      </x:c>
      <x:c r="AD141" s="17" t="str">
        <x:v>Не проверено</x:v>
      </x:c>
      <x:c r="AE141" s="17" t="str">
        <x:v>Не проверено</x:v>
      </x:c>
      <x:c r="AF141" s="17" t="str">
        <x:v>Не проверено</x:v>
      </x:c>
      <x:c r="AG141" s="17" t="str">
        <x:v>Не решено</x:v>
      </x:c>
      <x:c r="AH141" s="17" t="str">
        <x:v>Не проверено</x:v>
      </x:c>
      <x:c r="AI141" s="10" t="str">
        <x:f>IF(AC141="Отклонить","Отклонено",IF(AND(AC141="Взять",COUNTIFS(AD141:AH141,"Да")=5),"Готово","Нужна редактура"))</x:f>
        <x:v>Нужна редактура</x:v>
      </x:c>
      <x:c r="AJ141" s="17" t="str"/>
      <x:c r="AK141" s="9" t="str">
        <x:v>https://www.youtube.com/playlist?list=PLLttfoK87AdV6QN2VMLAB78a9Y70An0w9</x:v>
      </x:c>
      <x:c r="AL141" s="9" t="n">
        <x:v>9</x:v>
      </x:c>
      <x:c r="AM141" s="9" t="n">
        <x:v>9</x:v>
      </x:c>
      <x:c r="AN141" s="9" t="n">
        <x:v>0</x:v>
      </x:c>
    </x:row>
    <x:row r="142" ht="60" customHeight="1">
      <x:c r="A142" s="9" t="str">
        <x:v>yx7XWi5PIlI</x:v>
      </x:c>
      <x:c r="B142" s="10" t="str">
        <x:v>מנאייכ 👮 | נגמר - פרק 10 (פרק הסיום!)</x:v>
      </x:c>
      <x:c r="C142" s="10" t="str">
        <x:v>Общество и институты</x:v>
      </x:c>
      <x:c r="D142" s="9" t="str">
        <x:v>Сериал</x:v>
      </x:c>
      <x:c r="E142" s="10" t="str">
        <x:v>Сериалы; детектив; продвинутые</x:v>
      </x:c>
      <x:c r="F142" s="10" t="str">
        <x:v>B2–C1 (гипотеза)</x:v>
      </x:c>
      <x:c r="G142" s="12" t="n">
        <x:v>41.8</x:v>
      </x:c>
      <x:c r="H142" s="14" t="n">
        <x:v>899945</x:v>
      </x:c>
      <x:c r="I142" s="15" t="str">
        <x:v>Точный счётчик метаданных видео</x:v>
      </x:c>
      <x:c r="J142" s="14" t="n">
        <x:v>899000</x:v>
      </x:c>
      <x:c r="K142" s="14" t="n">
        <x:v>972000</x:v>
      </x:c>
      <x:c r="L142" s="12" t="n">
        <x:f>IF(COUNT(J142:K142)=2,IF(K142=0,"",J142/K142),"")</x:f>
        <x:v>0.9248971193415638</x:v>
      </x:c>
      <x:c r="M142" s="10" t="str">
        <x:v>Эпизод 10 в знакомой сюжетной ветке.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42" s="10" t="str">
        <x:v>Составить карту персонажей и пересказать версию событий с оговорками.</x:v>
      </x:c>
      <x:c r="O142" s="10" t="str">
        <x:v>Насилие, преступления; сложный сленг</x:v>
      </x:c>
      <x:c r="P142" s="10" t="str">
        <x:v>Полная серия — кандидат</x:v>
      </x:c>
      <x:c r="Q142" s="9" t="str">
        <x:v>Нет</x:v>
      </x:c>
      <x:c r="R142" s="9" t="str">
        <x:v>C008</x:v>
      </x:c>
      <x:c r="S142" s="9" t="str">
        <x:v>C008</x:v>
      </x:c>
      <x:c r="T142" s="10" t="str">
        <x:v>כאן 11 - תאגיד השידור הישראלי</x:v>
      </x:c>
      <x:c r="U142" s="11" t="str">
        <x:v>https://www.youtube.com/watch?v=yx7XWi5PIlI</x:v>
      </x:c>
      <x:c r="V142" s="16" t="n">
        <x:v>46308</x:v>
      </x:c>
      <x:c r="W142" s="16" t="n">
        <x:v>44074</x:v>
      </x:c>
      <x:c r="X142" s="10" t="str">
        <x:v>Иврит предполагается по заголовку и источнику</x:v>
      </x:c>
      <x:c r="Y142" s="10" t="str">
        <x:v>Дорожка HE не найдена в метаданных; вшитые титры не проверены</x:v>
      </x:c>
      <x:c r="Z142" s="10" t="str">
        <x:v>Разрешено по метаданным</x:v>
      </x:c>
      <x:c r="AA142" s="10" t="str">
        <x:v>Метаданные видео; воспроизведение и содержание не проверены</x:v>
      </x:c>
      <x:c r="AB142" s="13" t="n">
        <x:f>IF(AND(ISNUMBER(H142),ISNUMBER(W142)),H142/MAX(1,'Обзор'!$B$4-W142),"")</x:f>
        <x:v>402.8401969561325</x:v>
      </x:c>
      <x:c r="AC142" s="17" t="str">
        <x:v>Не решено</x:v>
      </x:c>
      <x:c r="AD142" s="17" t="str">
        <x:v>Не проверено</x:v>
      </x:c>
      <x:c r="AE142" s="17" t="str">
        <x:v>Не проверено</x:v>
      </x:c>
      <x:c r="AF142" s="17" t="str">
        <x:v>Не проверено</x:v>
      </x:c>
      <x:c r="AG142" s="17" t="str">
        <x:v>Не решено</x:v>
      </x:c>
      <x:c r="AH142" s="17" t="str">
        <x:v>Не проверено</x:v>
      </x:c>
      <x:c r="AI142" s="10" t="str">
        <x:f>IF(AC142="Отклонить","Отклонено",IF(AND(AC142="Взять",COUNTIFS(AD142:AH142,"Да")=5),"Готово","Нужна редактура"))</x:f>
        <x:v>Нужна редактура</x:v>
      </x:c>
      <x:c r="AJ142" s="17" t="str"/>
      <x:c r="AK142" s="9" t="str">
        <x:v>https://www.youtube.com/playlist?list=PLLttfoK87AdV6QN2VMLAB78a9Y70An0w9</x:v>
      </x:c>
      <x:c r="AL142" s="9" t="n">
        <x:v>10</x:v>
      </x:c>
      <x:c r="AM142" s="9" t="n">
        <x:v>10</x:v>
      </x:c>
      <x:c r="AN142" s="9" t="n">
        <x:v>0</x:v>
      </x:c>
    </x:row>
    <x:row r="143" ht="60" customHeight="1">
      <x:c r="A143" s="9" t="str">
        <x:v>dQ4l_Cd67QE</x:v>
      </x:c>
      <x:c r="B143" s="10" t="str">
        <x:v>כל מה שצריך לדעת על מנאייכ</x:v>
      </x:c>
      <x:c r="C143" s="10" t="str">
        <x:v>Общество и институты</x:v>
      </x:c>
      <x:c r="D143" s="9" t="str">
        <x:v>Сериал</x:v>
      </x:c>
      <x:c r="E143" s="10" t="str">
        <x:v>Сериалы; детектив; продвинутые</x:v>
      </x:c>
      <x:c r="F143" s="10" t="str">
        <x:v>B2–C1 (гипотеза)</x:v>
      </x:c>
      <x:c r="G143" s="12" t="n">
        <x:v>1.6</x:v>
      </x:c>
      <x:c r="H143" s="14" t="n">
        <x:v>192000</x:v>
      </x:c>
      <x:c r="I143" s="15" t="str">
        <x:v>Округлённый счётчик в списке YouTube</x:v>
      </x:c>
      <x:c r="J143" s="14" t="n">
        <x:v>192000</x:v>
      </x:c>
      <x:c r="K143" s="14" t="n">
        <x:v>972000</x:v>
      </x:c>
      <x:c r="L143" s="12" t="n">
        <x:f>IF(COUNT(J143:K143)=2,IF(K143=0,"",J143/K143),"")</x:f>
        <x:v>0.19753086419753085</x:v>
      </x:c>
      <x:c r="M143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Детективный сюжет привлекает любителей жанрового просмотра. Даёт лексику полиции, расследований и институтов, отсутствующую в бытовых уроках.</x:v>
      </x:c>
      <x:c r="N143" s="10" t="str">
        <x:v>Составить карту персонажей и пересказать версию событий с оговорками.</x:v>
      </x:c>
      <x:c r="O143" s="10" t="str">
        <x:v>Насилие, преступления; сложный сленг</x:v>
      </x:c>
      <x:c r="P143" s="10" t="str">
        <x:v>Фрагмент сериала</x:v>
      </x:c>
      <x:c r="Q143" s="9" t="str">
        <x:v>Нет</x:v>
      </x:c>
      <x:c r="R143" s="9" t="str">
        <x:v>C008</x:v>
      </x:c>
      <x:c r="S143" s="9" t="str">
        <x:v>C008</x:v>
      </x:c>
      <x:c r="T143" s="10" t="str">
        <x:v>כאן 11 - תאגיד השידור הישראלי</x:v>
      </x:c>
      <x:c r="U143" s="11" t="str">
        <x:v>https://www.youtube.com/watch?v=dQ4l_Cd67QE</x:v>
      </x:c>
      <x:c r="V143" s="16" t="n">
        <x:v>46308</x:v>
      </x:c>
      <x:c r="W143" s="16"/>
      <x:c r="X143" s="10" t="str">
        <x:v>Иврит предполагается по заголовку и источнику</x:v>
      </x:c>
      <x:c r="Y143" s="10" t="str">
        <x:v>Не проверено</x:v>
      </x:c>
      <x:c r="Z143" s="10" t="str">
        <x:v>Не проверено</x:v>
      </x:c>
      <x:c r="AA143" s="10" t="str">
        <x:v>Метаданные списка; видео не просмотрено</x:v>
      </x:c>
      <x:c r="AB143" s="13" t="str">
        <x:f>IF(AND(ISNUMBER(H143),ISNUMBER(W143)),H143/MAX(1,'Обзор'!$B$4-W143),"")</x:f>
      </x:c>
      <x:c r="AC143" s="17" t="str">
        <x:v>Не решено</x:v>
      </x:c>
      <x:c r="AD143" s="17" t="str">
        <x:v>Не проверено</x:v>
      </x:c>
      <x:c r="AE143" s="17" t="str">
        <x:v>Не проверено</x:v>
      </x:c>
      <x:c r="AF143" s="17" t="str">
        <x:v>Не проверено</x:v>
      </x:c>
      <x:c r="AG143" s="17" t="str">
        <x:v>Не решено</x:v>
      </x:c>
      <x:c r="AH143" s="17" t="str">
        <x:v>Не проверено</x:v>
      </x:c>
      <x:c r="AI143" s="10" t="str">
        <x:f>IF(AC143="Отклонить","Отклонено",IF(AND(AC143="Взять",COUNTIFS(AD143:AH143,"Да")=5),"Готово","Нужна редактура"))</x:f>
        <x:v>Нужна редактура</x:v>
      </x:c>
      <x:c r="AJ143" s="17" t="str"/>
      <x:c r="AK143" s="9" t="str">
        <x:v>https://www.youtube.com/playlist?list=PLLttfoK87AdV6QN2VMLAB78a9Y70An0w9</x:v>
      </x:c>
      <x:c r="AL143" s="9" t="n">
        <x:v>11</x:v>
      </x:c>
      <x:c r="AM143" s="9"/>
      <x:c r="AN143" s="9"/>
    </x:row>
    <x:row r="144" ht="60" customHeight="1">
      <x:c r="A144" s="9" t="str">
        <x:v>dbDxpIl1jJU</x:v>
      </x:c>
      <x:c r="B144" s="10" t="str">
        <x:v>אחד על אחד 📚 - סדרה חדשה! | פרק 1 - אמא חזרה</x:v>
      </x:c>
      <x:c r="C144" s="10" t="str">
        <x:v>Культура и отношения</x:v>
      </x:c>
      <x:c r="D144" s="9" t="str">
        <x:v>Сериал</x:v>
      </x:c>
      <x:c r="E144" s="10" t="str">
        <x:v>Сериалы; личные истории; взрослые</x:v>
      </x:c>
      <x:c r="F144" s="10" t="str">
        <x:v>B1–B2 (гипотеза)</x:v>
      </x:c>
      <x:c r="G144" s="12" t="n">
        <x:v>29.9</x:v>
      </x:c>
      <x:c r="H144" s="14" t="n">
        <x:v>210019</x:v>
      </x:c>
      <x:c r="I144" s="15" t="str">
        <x:v>Точный счётчик метаданных видео</x:v>
      </x:c>
      <x:c r="J144" s="14" t="n">
        <x:v>210000</x:v>
      </x:c>
      <x:c r="K144" s="14" t="n">
        <x:v>61500</x:v>
      </x:c>
      <x:c r="L144" s="12" t="n">
        <x:f>IF(COUNT(J144:K144)=2,IF(K144=0,"",J144/K144),"")</x:f>
        <x:v>3.4146341463414633</x:v>
      </x:c>
      <x:c r="M144" s="10" t="str">
        <x:v>Эпизод 1 в знакомой сюжетной ветке. Просмотры в списке выше медианы выборки этого цикла в 3.41 раза. Более камерный сюжет даёт альтернативу шумным комедиям и детективам. Подходит для обсуждения эмпатии и общения.</x:v>
      </x:c>
      <x:c r="N144" s="10" t="str">
        <x:v>Пересказать мотивы героя; выписать фразы поддержки.</x:v>
      </x:c>
      <x:c r="O144" s="10" t="str">
        <x:v>Проверить содержание</x:v>
      </x:c>
      <x:c r="P144" s="10" t="str">
        <x:v>Полная серия — кандидат</x:v>
      </x:c>
      <x:c r="Q144" s="9" t="str">
        <x:v>Нет</x:v>
      </x:c>
      <x:c r="R144" s="9" t="str">
        <x:v>C009</x:v>
      </x:c>
      <x:c r="S144" s="9" t="str">
        <x:v>C009</x:v>
      </x:c>
      <x:c r="T144" s="10" t="str">
        <x:v>כאן 11 - תאגיד השידור הישראלי</x:v>
      </x:c>
      <x:c r="U144" s="11" t="str">
        <x:v>https://www.youtube.com/watch?v=dbDxpIl1jJU</x:v>
      </x:c>
      <x:c r="V144" s="16" t="n">
        <x:v>46308</x:v>
      </x:c>
      <x:c r="W144" s="16" t="n">
        <x:v>44186</x:v>
      </x:c>
      <x:c r="X144" s="10" t="str">
        <x:v>Иврит предполагается по заголовку и источнику</x:v>
      </x:c>
      <x:c r="Y144" s="10" t="str">
        <x:v>Дорожка HE не найдена в метаданных; вшитые титры не проверены</x:v>
      </x:c>
      <x:c r="Z144" s="10" t="str">
        <x:v>Разрешено по метаданным</x:v>
      </x:c>
      <x:c r="AA144" s="10" t="str">
        <x:v>Метаданные видео; воспроизведение и содержание не проверены</x:v>
      </x:c>
      <x:c r="AB144" s="13" t="n">
        <x:f>IF(AND(ISNUMBER(H144),ISNUMBER(W144)),H144/MAX(1,'Обзор'!$B$4-W144),"")</x:f>
        <x:v>98.97219604147031</x:v>
      </x:c>
      <x:c r="AC144" s="17" t="str">
        <x:v>Не решено</x:v>
      </x:c>
      <x:c r="AD144" s="17" t="str">
        <x:v>Не проверено</x:v>
      </x:c>
      <x:c r="AE144" s="17" t="str">
        <x:v>Не проверено</x:v>
      </x:c>
      <x:c r="AF144" s="17" t="str">
        <x:v>Не проверено</x:v>
      </x:c>
      <x:c r="AG144" s="17" t="str">
        <x:v>Не решено</x:v>
      </x:c>
      <x:c r="AH144" s="17" t="str">
        <x:v>Не проверено</x:v>
      </x:c>
      <x:c r="AI144" s="10" t="str">
        <x:f>IF(AC144="Отклонить","Отклонено",IF(AND(AC144="Взять",COUNTIFS(AD144:AH144,"Да")=5),"Готово","Нужна редактура"))</x:f>
        <x:v>Нужна редактура</x:v>
      </x:c>
      <x:c r="AJ144" s="17" t="str"/>
      <x:c r="AK144" s="9" t="str">
        <x:v>https://www.youtube.com/playlist?list=PLLttfoK87AdVg-SfJGctxipYGZEBarDOL</x:v>
      </x:c>
      <x:c r="AL144" s="9" t="n">
        <x:v>1</x:v>
      </x:c>
      <x:c r="AM144" s="9" t="n">
        <x:v>1</x:v>
      </x:c>
      <x:c r="AN144" s="9" t="n">
        <x:v>0</x:v>
      </x:c>
    </x:row>
    <x:row r="145" ht="60" customHeight="1">
      <x:c r="A145" s="9" t="str">
        <x:v>nAhnvyjpLks</x:v>
      </x:c>
      <x:c r="B145" s="10" t="str">
        <x:v>אחד על אחד 📚 - סדרה חדשה! | פרק 2 - הפוך קטן</x:v>
      </x:c>
      <x:c r="C145" s="10" t="str">
        <x:v>Культура и отношения</x:v>
      </x:c>
      <x:c r="D145" s="9" t="str">
        <x:v>Сериал</x:v>
      </x:c>
      <x:c r="E145" s="10" t="str">
        <x:v>Сериалы; личные истории; взрослые</x:v>
      </x:c>
      <x:c r="F145" s="10" t="str">
        <x:v>B1–B2 (гипотеза)</x:v>
      </x:c>
      <x:c r="G145" s="12" t="n">
        <x:v>32.4</x:v>
      </x:c>
      <x:c r="H145" s="14" t="n">
        <x:v>100234</x:v>
      </x:c>
      <x:c r="I145" s="15" t="str">
        <x:v>Точный счётчик метаданных видео</x:v>
      </x:c>
      <x:c r="J145" s="14" t="n">
        <x:v>100000</x:v>
      </x:c>
      <x:c r="K145" s="14" t="n">
        <x:v>61500</x:v>
      </x:c>
      <x:c r="L145" s="12" t="n">
        <x:f>IF(COUNT(J145:K145)=2,IF(K145=0,"",J145/K145),"")</x:f>
        <x:v>1.6260162601626016</x:v>
      </x:c>
      <x:c r="M145" s="10" t="str">
        <x:v>Эпизод 2 в знакомой сюжетной ветке. Просмотры в списке выше медианы выборки этого цикла в 1.63 раза. Более камерный сюжет даёт альтернативу шумным комедиям и детективам. Подходит для обсуждения эмпатии и общения.</x:v>
      </x:c>
      <x:c r="N145" s="10" t="str">
        <x:v>Пересказать мотивы героя; выписать фразы поддержки.</x:v>
      </x:c>
      <x:c r="O145" s="10" t="str">
        <x:v>Проверить содержание</x:v>
      </x:c>
      <x:c r="P145" s="10" t="str">
        <x:v>Полная серия — кандидат</x:v>
      </x:c>
      <x:c r="Q145" s="9" t="str">
        <x:v>Нет</x:v>
      </x:c>
      <x:c r="R145" s="9" t="str">
        <x:v>C009</x:v>
      </x:c>
      <x:c r="S145" s="9" t="str">
        <x:v>C009</x:v>
      </x:c>
      <x:c r="T145" s="10" t="str">
        <x:v>כאן 11 - תאגיד השידור הישראלי</x:v>
      </x:c>
      <x:c r="U145" s="11" t="str">
        <x:v>https://www.youtube.com/watch?v=nAhnvyjpLks</x:v>
      </x:c>
      <x:c r="V145" s="16" t="n">
        <x:v>46308</x:v>
      </x:c>
      <x:c r="W145" s="16" t="n">
        <x:v>44186</x:v>
      </x:c>
      <x:c r="X145" s="10" t="str">
        <x:v>Иврит предполагается по заголовку и источнику</x:v>
      </x:c>
      <x:c r="Y145" s="10" t="str">
        <x:v>Дорожка HE не найдена в метаданных; вшитые титры не проверены</x:v>
      </x:c>
      <x:c r="Z145" s="10" t="str">
        <x:v>Разрешено по метаданным</x:v>
      </x:c>
      <x:c r="AA145" s="10" t="str">
        <x:v>Метаданные видео; воспроизведение и содержание не проверены</x:v>
      </x:c>
      <x:c r="AB145" s="13" t="n">
        <x:f>IF(AND(ISNUMBER(H145),ISNUMBER(W145)),H145/MAX(1,'Обзор'!$B$4-W145),"")</x:f>
        <x:v>47.235626767200756</x:v>
      </x:c>
      <x:c r="AC145" s="17" t="str">
        <x:v>Не решено</x:v>
      </x:c>
      <x:c r="AD145" s="17" t="str">
        <x:v>Не проверено</x:v>
      </x:c>
      <x:c r="AE145" s="17" t="str">
        <x:v>Не проверено</x:v>
      </x:c>
      <x:c r="AF145" s="17" t="str">
        <x:v>Не проверено</x:v>
      </x:c>
      <x:c r="AG145" s="17" t="str">
        <x:v>Не решено</x:v>
      </x:c>
      <x:c r="AH145" s="17" t="str">
        <x:v>Не проверено</x:v>
      </x:c>
      <x:c r="AI145" s="10" t="str">
        <x:f>IF(AC145="Отклонить","Отклонено",IF(AND(AC145="Взять",COUNTIFS(AD145:AH145,"Да")=5),"Готово","Нужна редактура"))</x:f>
        <x:v>Нужна редактура</x:v>
      </x:c>
      <x:c r="AJ145" s="17" t="str"/>
      <x:c r="AK145" s="9" t="str">
        <x:v>https://www.youtube.com/playlist?list=PLLttfoK87AdVg-SfJGctxipYGZEBarDOL</x:v>
      </x:c>
      <x:c r="AL145" s="9" t="n">
        <x:v>2</x:v>
      </x:c>
      <x:c r="AM145" s="9" t="n">
        <x:v>2</x:v>
      </x:c>
      <x:c r="AN145" s="9" t="n">
        <x:v>0</x:v>
      </x:c>
    </x:row>
    <x:row r="146" ht="60" customHeight="1">
      <x:c r="A146" s="9" t="str">
        <x:v>UjxmVdQwCGA</x:v>
      </x:c>
      <x:c r="B146" s="10" t="str">
        <x:v>אחד על אחד 📚 - סדרה חדשה! | פרק 3 - בהצלחה מוטי</x:v>
      </x:c>
      <x:c r="C146" s="10" t="str">
        <x:v>Культура и отношения</x:v>
      </x:c>
      <x:c r="D146" s="9" t="str">
        <x:v>Сериал</x:v>
      </x:c>
      <x:c r="E146" s="10" t="str">
        <x:v>Сериалы; личные истории; взрослые</x:v>
      </x:c>
      <x:c r="F146" s="10" t="str">
        <x:v>B1–B2 (гипотеза)</x:v>
      </x:c>
      <x:c r="G146" s="12" t="n">
        <x:v>31.6</x:v>
      </x:c>
      <x:c r="H146" s="14" t="n">
        <x:v>82669</x:v>
      </x:c>
      <x:c r="I146" s="15" t="str">
        <x:v>Точный счётчик метаданных видео</x:v>
      </x:c>
      <x:c r="J146" s="14" t="n">
        <x:v>82000</x:v>
      </x:c>
      <x:c r="K146" s="14" t="n">
        <x:v>61500</x:v>
      </x:c>
      <x:c r="L146" s="12" t="n">
        <x:f>IF(COUNT(J146:K146)=2,IF(K146=0,"",J146/K146),"")</x:f>
        <x:v>1.3333333333333333</x:v>
      </x:c>
      <x:c r="M146" s="10" t="str">
        <x:v>Эпизод 3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N146" s="10" t="str">
        <x:v>Пересказать мотивы героя; выписать фразы поддержки.</x:v>
      </x:c>
      <x:c r="O146" s="10" t="str">
        <x:v>Проверить содержание</x:v>
      </x:c>
      <x:c r="P146" s="10" t="str">
        <x:v>Полная серия — кандидат</x:v>
      </x:c>
      <x:c r="Q146" s="9" t="str">
        <x:v>Нет</x:v>
      </x:c>
      <x:c r="R146" s="9" t="str">
        <x:v>C009</x:v>
      </x:c>
      <x:c r="S146" s="9" t="str">
        <x:v>C009</x:v>
      </x:c>
      <x:c r="T146" s="10" t="str">
        <x:v>כאן 11 - תאגיד השידור הישראלי</x:v>
      </x:c>
      <x:c r="U146" s="11" t="str">
        <x:v>https://www.youtube.com/watch?v=UjxmVdQwCGA</x:v>
      </x:c>
      <x:c r="V146" s="16" t="n">
        <x:v>46308</x:v>
      </x:c>
      <x:c r="W146" s="16" t="n">
        <x:v>44186</x:v>
      </x:c>
      <x:c r="X146" s="10" t="str">
        <x:v>Иврит предполагается по заголовку и источнику</x:v>
      </x:c>
      <x:c r="Y146" s="10" t="str">
        <x:v>Дорожка HE не найдена в метаданных; вшитые титры не проверены</x:v>
      </x:c>
      <x:c r="Z146" s="10" t="str">
        <x:v>Разрешено по метаданным</x:v>
      </x:c>
      <x:c r="AA146" s="10" t="str">
        <x:v>Метаданные видео; воспроизведение и содержание не проверены</x:v>
      </x:c>
      <x:c r="AB146" s="13" t="n">
        <x:f>IF(AND(ISNUMBER(H146),ISNUMBER(W146)),H146/MAX(1,'Обзор'!$B$4-W146),"")</x:f>
        <x:v>38.95805843543827</x:v>
      </x:c>
      <x:c r="AC146" s="17" t="str">
        <x:v>Не решено</x:v>
      </x:c>
      <x:c r="AD146" s="17" t="str">
        <x:v>Не проверено</x:v>
      </x:c>
      <x:c r="AE146" s="17" t="str">
        <x:v>Не проверено</x:v>
      </x:c>
      <x:c r="AF146" s="17" t="str">
        <x:v>Не проверено</x:v>
      </x:c>
      <x:c r="AG146" s="17" t="str">
        <x:v>Не решено</x:v>
      </x:c>
      <x:c r="AH146" s="17" t="str">
        <x:v>Не проверено</x:v>
      </x:c>
      <x:c r="AI146" s="10" t="str">
        <x:f>IF(AC146="Отклонить","Отклонено",IF(AND(AC146="Взять",COUNTIFS(AD146:AH146,"Да")=5),"Готово","Нужна редактура"))</x:f>
        <x:v>Нужна редактура</x:v>
      </x:c>
      <x:c r="AJ146" s="17" t="str"/>
      <x:c r="AK146" s="9" t="str">
        <x:v>https://www.youtube.com/playlist?list=PLLttfoK87AdVg-SfJGctxipYGZEBarDOL</x:v>
      </x:c>
      <x:c r="AL146" s="9" t="n">
        <x:v>3</x:v>
      </x:c>
      <x:c r="AM146" s="9" t="n">
        <x:v>3</x:v>
      </x:c>
      <x:c r="AN146" s="9" t="n">
        <x:v>0</x:v>
      </x:c>
    </x:row>
    <x:row r="147" ht="60" customHeight="1">
      <x:c r="A147" s="9" t="str">
        <x:v>e2_nGiqCASQ</x:v>
      </x:c>
      <x:c r="B147" s="10" t="str">
        <x:v>אחד על אחד 📚 - סדרה חדשה! | פרק 4 - סלט בורגול</x:v>
      </x:c>
      <x:c r="C147" s="10" t="str">
        <x:v>Культура и отношения</x:v>
      </x:c>
      <x:c r="D147" s="9" t="str">
        <x:v>Сериал</x:v>
      </x:c>
      <x:c r="E147" s="10" t="str">
        <x:v>Сериалы; личные истории; взрослые</x:v>
      </x:c>
      <x:c r="F147" s="10" t="str">
        <x:v>B1–B2 (гипотеза)</x:v>
      </x:c>
      <x:c r="G147" s="12" t="n">
        <x:v>29.8</x:v>
      </x:c>
      <x:c r="H147" s="14" t="n">
        <x:v>67633</x:v>
      </x:c>
      <x:c r="I147" s="15" t="str">
        <x:v>Точный счётчик метаданных видео</x:v>
      </x:c>
      <x:c r="J147" s="14" t="n">
        <x:v>67000</x:v>
      </x:c>
      <x:c r="K147" s="14" t="n">
        <x:v>61500</x:v>
      </x:c>
      <x:c r="L147" s="12" t="n">
        <x:f>IF(COUNT(J147:K147)=2,IF(K147=0,"",J147/K147),"")</x:f>
        <x:v>1.089430894308943</x:v>
      </x:c>
      <x:c r="M147" s="10" t="str">
        <x:v>Эпизод 4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N147" s="10" t="str">
        <x:v>Пересказать мотивы героя; выписать фразы поддержки.</x:v>
      </x:c>
      <x:c r="O147" s="10" t="str">
        <x:v>Проверить содержание</x:v>
      </x:c>
      <x:c r="P147" s="10" t="str">
        <x:v>Полная серия — кандидат</x:v>
      </x:c>
      <x:c r="Q147" s="9" t="str">
        <x:v>Нет</x:v>
      </x:c>
      <x:c r="R147" s="9" t="str">
        <x:v>C009</x:v>
      </x:c>
      <x:c r="S147" s="9" t="str">
        <x:v>C009</x:v>
      </x:c>
      <x:c r="T147" s="10" t="str">
        <x:v>כאן 11 - תאגיד השידור הישראלי</x:v>
      </x:c>
      <x:c r="U147" s="11" t="str">
        <x:v>https://www.youtube.com/watch?v=e2_nGiqCASQ</x:v>
      </x:c>
      <x:c r="V147" s="16" t="n">
        <x:v>46308</x:v>
      </x:c>
      <x:c r="W147" s="16" t="n">
        <x:v>44193</x:v>
      </x:c>
      <x:c r="X147" s="10" t="str">
        <x:v>Иврит предполагается по заголовку и источнику</x:v>
      </x:c>
      <x:c r="Y147" s="10" t="str">
        <x:v>Дорожка HE не найдена в метаданных; вшитые титры не проверены</x:v>
      </x:c>
      <x:c r="Z147" s="10" t="str">
        <x:v>Разрешено по метаданным</x:v>
      </x:c>
      <x:c r="AA147" s="10" t="str">
        <x:v>Метаданные видео; воспроизведение и содержание не проверены</x:v>
      </x:c>
      <x:c r="AB147" s="13" t="n">
        <x:f>IF(AND(ISNUMBER(H147),ISNUMBER(W147)),H147/MAX(1,'Обзор'!$B$4-W147),"")</x:f>
        <x:v>31.977777777777778</x:v>
      </x:c>
      <x:c r="AC147" s="17" t="str">
        <x:v>Не решено</x:v>
      </x:c>
      <x:c r="AD147" s="17" t="str">
        <x:v>Не проверено</x:v>
      </x:c>
      <x:c r="AE147" s="17" t="str">
        <x:v>Не проверено</x:v>
      </x:c>
      <x:c r="AF147" s="17" t="str">
        <x:v>Не проверено</x:v>
      </x:c>
      <x:c r="AG147" s="17" t="str">
        <x:v>Не решено</x:v>
      </x:c>
      <x:c r="AH147" s="17" t="str">
        <x:v>Не проверено</x:v>
      </x:c>
      <x:c r="AI147" s="10" t="str">
        <x:f>IF(AC147="Отклонить","Отклонено",IF(AND(AC147="Взять",COUNTIFS(AD147:AH147,"Да")=5),"Готово","Нужна редактура"))</x:f>
        <x:v>Нужна редактура</x:v>
      </x:c>
      <x:c r="AJ147" s="17" t="str"/>
      <x:c r="AK147" s="9" t="str">
        <x:v>https://www.youtube.com/playlist?list=PLLttfoK87AdVg-SfJGctxipYGZEBarDOL</x:v>
      </x:c>
      <x:c r="AL147" s="9" t="n">
        <x:v>4</x:v>
      </x:c>
      <x:c r="AM147" s="9" t="n">
        <x:v>4</x:v>
      </x:c>
      <x:c r="AN147" s="9" t="n">
        <x:v>0</x:v>
      </x:c>
    </x:row>
    <x:row r="148" ht="60" customHeight="1">
      <x:c r="A148" s="9" t="str">
        <x:v>HuKVs2mC-tI</x:v>
      </x:c>
      <x:c r="B148" s="10" t="str">
        <x:v>אחד על אחד 📚 - סדרה חדשה! | פרק 5 - מלכים א', מלכים ב'</x:v>
      </x:c>
      <x:c r="C148" s="10" t="str">
        <x:v>Культура и отношения</x:v>
      </x:c>
      <x:c r="D148" s="9" t="str">
        <x:v>Сериал</x:v>
      </x:c>
      <x:c r="E148" s="10" t="str">
        <x:v>Сериалы; личные истории; взрослые</x:v>
      </x:c>
      <x:c r="F148" s="10" t="str">
        <x:v>B1–B2 (гипотеза)</x:v>
      </x:c>
      <x:c r="G148" s="12" t="n">
        <x:v>32.4</x:v>
      </x:c>
      <x:c r="H148" s="14" t="n">
        <x:v>65634</x:v>
      </x:c>
      <x:c r="I148" s="15" t="str">
        <x:v>Точный счётчик метаданных видео</x:v>
      </x:c>
      <x:c r="J148" s="14" t="n">
        <x:v>65000</x:v>
      </x:c>
      <x:c r="K148" s="14" t="n">
        <x:v>61500</x:v>
      </x:c>
      <x:c r="L148" s="12" t="n">
        <x:f>IF(COUNT(J148:K148)=2,IF(K148=0,"",J148/K148),"")</x:f>
        <x:v>1.056910569105691</x:v>
      </x:c>
      <x:c r="M148" s="10" t="str">
        <x:v>Эпизод 5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N148" s="10" t="str">
        <x:v>Пересказать мотивы героя; выписать фразы поддержки.</x:v>
      </x:c>
      <x:c r="O148" s="10" t="str">
        <x:v>Проверить содержание</x:v>
      </x:c>
      <x:c r="P148" s="10" t="str">
        <x:v>Полная серия — кандидат</x:v>
      </x:c>
      <x:c r="Q148" s="9" t="str">
        <x:v>Нет</x:v>
      </x:c>
      <x:c r="R148" s="9" t="str">
        <x:v>C009</x:v>
      </x:c>
      <x:c r="S148" s="9" t="str">
        <x:v>C009</x:v>
      </x:c>
      <x:c r="T148" s="10" t="str">
        <x:v>כאן 11 - תאגיד השידור הישראלי</x:v>
      </x:c>
      <x:c r="U148" s="11" t="str">
        <x:v>https://www.youtube.com/watch?v=HuKVs2mC-tI</x:v>
      </x:c>
      <x:c r="V148" s="16" t="n">
        <x:v>46308</x:v>
      </x:c>
      <x:c r="W148" s="16" t="n">
        <x:v>44200</x:v>
      </x:c>
      <x:c r="X148" s="10" t="str">
        <x:v>Иврит предполагается по заголовку и источнику</x:v>
      </x:c>
      <x:c r="Y148" s="10" t="str">
        <x:v>Дорожка HE не найдена в метаданных; вшитые титры не проверены</x:v>
      </x:c>
      <x:c r="Z148" s="10" t="str">
        <x:v>Разрешено по метаданным</x:v>
      </x:c>
      <x:c r="AA148" s="10" t="str">
        <x:v>Метаданные видео; воспроизведение и содержание не проверены</x:v>
      </x:c>
      <x:c r="AB148" s="13" t="n">
        <x:f>IF(AND(ISNUMBER(H148),ISNUMBER(W148)),H148/MAX(1,'Обзор'!$B$4-W148),"")</x:f>
        <x:v>31.135673624288426</x:v>
      </x:c>
      <x:c r="AC148" s="17" t="str">
        <x:v>Не решено</x:v>
      </x:c>
      <x:c r="AD148" s="17" t="str">
        <x:v>Не проверено</x:v>
      </x:c>
      <x:c r="AE148" s="17" t="str">
        <x:v>Не проверено</x:v>
      </x:c>
      <x:c r="AF148" s="17" t="str">
        <x:v>Не проверено</x:v>
      </x:c>
      <x:c r="AG148" s="17" t="str">
        <x:v>Не решено</x:v>
      </x:c>
      <x:c r="AH148" s="17" t="str">
        <x:v>Не проверено</x:v>
      </x:c>
      <x:c r="AI148" s="10" t="str">
        <x:f>IF(AC148="Отклонить","Отклонено",IF(AND(AC148="Взять",COUNTIFS(AD148:AH148,"Да")=5),"Готово","Нужна редактура"))</x:f>
        <x:v>Нужна редактура</x:v>
      </x:c>
      <x:c r="AJ148" s="17" t="str"/>
      <x:c r="AK148" s="9" t="str">
        <x:v>https://www.youtube.com/playlist?list=PLLttfoK87AdVg-SfJGctxipYGZEBarDOL</x:v>
      </x:c>
      <x:c r="AL148" s="9" t="n">
        <x:v>5</x:v>
      </x:c>
      <x:c r="AM148" s="9" t="n">
        <x:v>5</x:v>
      </x:c>
      <x:c r="AN148" s="9" t="n">
        <x:v>0</x:v>
      </x:c>
    </x:row>
    <x:row r="149" ht="60" customHeight="1">
      <x:c r="A149" s="9" t="str">
        <x:v>sowCLwt_oYw</x:v>
      </x:c>
      <x:c r="B149" s="10" t="str">
        <x:v>אחד על אחד 📚 - סדרה חדשה! | פרק 6 - זה 20 מיליון</x:v>
      </x:c>
      <x:c r="C149" s="10" t="str">
        <x:v>Культура и отношения</x:v>
      </x:c>
      <x:c r="D149" s="9" t="str">
        <x:v>Сериал</x:v>
      </x:c>
      <x:c r="E149" s="10" t="str">
        <x:v>Сериалы; личные истории; взрослые</x:v>
      </x:c>
      <x:c r="F149" s="10" t="str">
        <x:v>B1–B2 (гипотеза)</x:v>
      </x:c>
      <x:c r="G149" s="12" t="n">
        <x:v>32.8</x:v>
      </x:c>
      <x:c r="H149" s="14" t="n">
        <x:v>58209</x:v>
      </x:c>
      <x:c r="I149" s="15" t="str">
        <x:v>Точный счётчик метаданных видео</x:v>
      </x:c>
      <x:c r="J149" s="14" t="n">
        <x:v>58000</x:v>
      </x:c>
      <x:c r="K149" s="14" t="n">
        <x:v>61500</x:v>
      </x:c>
      <x:c r="L149" s="12" t="n">
        <x:f>IF(COUNT(J149:K149)=2,IF(K149=0,"",J149/K149),"")</x:f>
        <x:v>0.943089430894309</x:v>
      </x:c>
      <x:c r="M149" s="10" t="str">
        <x:v>Эпизод 6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N149" s="10" t="str">
        <x:v>Пересказать мотивы героя; выписать фразы поддержки.</x:v>
      </x:c>
      <x:c r="O149" s="10" t="str">
        <x:v>Проверить содержание</x:v>
      </x:c>
      <x:c r="P149" s="10" t="str">
        <x:v>Полная серия — кандидат</x:v>
      </x:c>
      <x:c r="Q149" s="9" t="str">
        <x:v>Нет</x:v>
      </x:c>
      <x:c r="R149" s="9" t="str">
        <x:v>C009</x:v>
      </x:c>
      <x:c r="S149" s="9" t="str">
        <x:v>C009</x:v>
      </x:c>
      <x:c r="T149" s="10" t="str">
        <x:v>כאן 11 - תאגיד השידור הישראלי</x:v>
      </x:c>
      <x:c r="U149" s="11" t="str">
        <x:v>https://www.youtube.com/watch?v=sowCLwt_oYw</x:v>
      </x:c>
      <x:c r="V149" s="16" t="n">
        <x:v>46308</x:v>
      </x:c>
      <x:c r="W149" s="16" t="n">
        <x:v>44200</x:v>
      </x:c>
      <x:c r="X149" s="10" t="str">
        <x:v>Иврит предполагается по заголовку и источнику</x:v>
      </x:c>
      <x:c r="Y149" s="10" t="str">
        <x:v>Дорожка HE не найдена в метаданных; вшитые титры не проверены</x:v>
      </x:c>
      <x:c r="Z149" s="10" t="str">
        <x:v>Разрешено по метаданным</x:v>
      </x:c>
      <x:c r="AA149" s="10" t="str">
        <x:v>Метаданные видео; воспроизведение и содержание не проверены</x:v>
      </x:c>
      <x:c r="AB149" s="13" t="n">
        <x:f>IF(AND(ISNUMBER(H149),ISNUMBER(W149)),H149/MAX(1,'Обзор'!$B$4-W149),"")</x:f>
        <x:v>27.61337760910816</x:v>
      </x:c>
      <x:c r="AC149" s="17" t="str">
        <x:v>Не решено</x:v>
      </x:c>
      <x:c r="AD149" s="17" t="str">
        <x:v>Не проверено</x:v>
      </x:c>
      <x:c r="AE149" s="17" t="str">
        <x:v>Не проверено</x:v>
      </x:c>
      <x:c r="AF149" s="17" t="str">
        <x:v>Не проверено</x:v>
      </x:c>
      <x:c r="AG149" s="17" t="str">
        <x:v>Не решено</x:v>
      </x:c>
      <x:c r="AH149" s="17" t="str">
        <x:v>Не проверено</x:v>
      </x:c>
      <x:c r="AI149" s="10" t="str">
        <x:f>IF(AC149="Отклонить","Отклонено",IF(AND(AC149="Взять",COUNTIFS(AD149:AH149,"Да")=5),"Готово","Нужна редактура"))</x:f>
        <x:v>Нужна редактура</x:v>
      </x:c>
      <x:c r="AJ149" s="17" t="str"/>
      <x:c r="AK149" s="9" t="str">
        <x:v>https://www.youtube.com/playlist?list=PLLttfoK87AdVg-SfJGctxipYGZEBarDOL</x:v>
      </x:c>
      <x:c r="AL149" s="9" t="n">
        <x:v>6</x:v>
      </x:c>
      <x:c r="AM149" s="9" t="n">
        <x:v>6</x:v>
      </x:c>
      <x:c r="AN149" s="9" t="n">
        <x:v>0</x:v>
      </x:c>
    </x:row>
    <x:row r="150" ht="60" customHeight="1">
      <x:c r="A150" s="9" t="str">
        <x:v>TBQNeu_icxE</x:v>
      </x:c>
      <x:c r="B150" s="10" t="str">
        <x:v>אחד על אחד 📚 - סדרה חדשה! | פרק 7 - יותר לצחוק</x:v>
      </x:c>
      <x:c r="C150" s="10" t="str">
        <x:v>Культура и отношения</x:v>
      </x:c>
      <x:c r="D150" s="9" t="str">
        <x:v>Сериал</x:v>
      </x:c>
      <x:c r="E150" s="10" t="str">
        <x:v>Сериалы; личные истории; взрослые</x:v>
      </x:c>
      <x:c r="F150" s="10" t="str">
        <x:v>B1–B2 (гипотеза)</x:v>
      </x:c>
      <x:c r="G150" s="12" t="n">
        <x:v>30.9</x:v>
      </x:c>
      <x:c r="H150" s="14" t="n">
        <x:v>55515</x:v>
      </x:c>
      <x:c r="I150" s="15" t="str">
        <x:v>Точный счётчик метаданных видео</x:v>
      </x:c>
      <x:c r="J150" s="14" t="n">
        <x:v>55000</x:v>
      </x:c>
      <x:c r="K150" s="14" t="n">
        <x:v>61500</x:v>
      </x:c>
      <x:c r="L150" s="12" t="n">
        <x:f>IF(COUNT(J150:K150)=2,IF(K150=0,"",J150/K150),"")</x:f>
        <x:v>0.8943089430894309</x:v>
      </x:c>
      <x:c r="M150" s="10" t="str">
        <x:v>Эпизод 7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N150" s="10" t="str">
        <x:v>Пересказать мотивы героя; выписать фразы поддержки.</x:v>
      </x:c>
      <x:c r="O150" s="10" t="str">
        <x:v>Проверить содержание</x:v>
      </x:c>
      <x:c r="P150" s="10" t="str">
        <x:v>Полная серия — кандидат</x:v>
      </x:c>
      <x:c r="Q150" s="9" t="str">
        <x:v>Нет</x:v>
      </x:c>
      <x:c r="R150" s="9" t="str">
        <x:v>C009</x:v>
      </x:c>
      <x:c r="S150" s="9" t="str">
        <x:v>C009</x:v>
      </x:c>
      <x:c r="T150" s="10" t="str">
        <x:v>כאן 11 - תאגיד השידור הישראלי</x:v>
      </x:c>
      <x:c r="U150" s="11" t="str">
        <x:v>https://www.youtube.com/watch?v=TBQNeu_icxE</x:v>
      </x:c>
      <x:c r="V150" s="16" t="n">
        <x:v>46308</x:v>
      </x:c>
      <x:c r="W150" s="16" t="n">
        <x:v>44207</x:v>
      </x:c>
      <x:c r="X150" s="10" t="str">
        <x:v>Иврит предполагается по заголовку и источнику</x:v>
      </x:c>
      <x:c r="Y150" s="10" t="str">
        <x:v>Дорожка HE не найдена в метаданных; вшитые титры не проверены</x:v>
      </x:c>
      <x:c r="Z150" s="10" t="str">
        <x:v>Разрешено по метаданным</x:v>
      </x:c>
      <x:c r="AA150" s="10" t="str">
        <x:v>Метаданные видео; воспроизведение и содержание не проверены</x:v>
      </x:c>
      <x:c r="AB150" s="13" t="n">
        <x:f>IF(AND(ISNUMBER(H150),ISNUMBER(W150)),H150/MAX(1,'Обзор'!$B$4-W150),"")</x:f>
        <x:v>26.42313184198001</x:v>
      </x:c>
      <x:c r="AC150" s="17" t="str">
        <x:v>Не решено</x:v>
      </x:c>
      <x:c r="AD150" s="17" t="str">
        <x:v>Не проверено</x:v>
      </x:c>
      <x:c r="AE150" s="17" t="str">
        <x:v>Не проверено</x:v>
      </x:c>
      <x:c r="AF150" s="17" t="str">
        <x:v>Не проверено</x:v>
      </x:c>
      <x:c r="AG150" s="17" t="str">
        <x:v>Не решено</x:v>
      </x:c>
      <x:c r="AH150" s="17" t="str">
        <x:v>Не проверено</x:v>
      </x:c>
      <x:c r="AI150" s="10" t="str">
        <x:f>IF(AC150="Отклонить","Отклонено",IF(AND(AC150="Взять",COUNTIFS(AD150:AH150,"Да")=5),"Готово","Нужна редактура"))</x:f>
        <x:v>Нужна редактура</x:v>
      </x:c>
      <x:c r="AJ150" s="17" t="str"/>
      <x:c r="AK150" s="9" t="str">
        <x:v>https://www.youtube.com/playlist?list=PLLttfoK87AdVg-SfJGctxipYGZEBarDOL</x:v>
      </x:c>
      <x:c r="AL150" s="9" t="n">
        <x:v>7</x:v>
      </x:c>
      <x:c r="AM150" s="9" t="n">
        <x:v>7</x:v>
      </x:c>
      <x:c r="AN150" s="9" t="n">
        <x:v>0</x:v>
      </x:c>
    </x:row>
    <x:row r="151" ht="60" customHeight="1">
      <x:c r="A151" s="9" t="str">
        <x:v>xXFd-mh-7WM</x:v>
      </x:c>
      <x:c r="B151" s="10" t="str">
        <x:v>אחד על אחד 📚 - סדרה חדשה! | פרק 8 - מין ומזלות</x:v>
      </x:c>
      <x:c r="C151" s="10" t="str">
        <x:v>Культура и отношения</x:v>
      </x:c>
      <x:c r="D151" s="9" t="str">
        <x:v>Сериал</x:v>
      </x:c>
      <x:c r="E151" s="10" t="str">
        <x:v>Сериалы; личные истории; взрослые</x:v>
      </x:c>
      <x:c r="F151" s="10" t="str">
        <x:v>B1–B2 (гипотеза)</x:v>
      </x:c>
      <x:c r="G151" s="12" t="n">
        <x:v>31.8</x:v>
      </x:c>
      <x:c r="H151" s="14" t="n">
        <x:v>58999</x:v>
      </x:c>
      <x:c r="I151" s="15" t="str">
        <x:v>Точный счётчик метаданных видео</x:v>
      </x:c>
      <x:c r="J151" s="14" t="n">
        <x:v>58000</x:v>
      </x:c>
      <x:c r="K151" s="14" t="n">
        <x:v>61500</x:v>
      </x:c>
      <x:c r="L151" s="12" t="n">
        <x:f>IF(COUNT(J151:K151)=2,IF(K151=0,"",J151/K151),"")</x:f>
        <x:v>0.943089430894309</x:v>
      </x:c>
      <x:c r="M151" s="10" t="str">
        <x:v>Эпизод 8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N151" s="10" t="str">
        <x:v>Пересказать мотивы героя; выписать фразы поддержки.</x:v>
      </x:c>
      <x:c r="O151" s="10" t="str">
        <x:v>Проверить содержание</x:v>
      </x:c>
      <x:c r="P151" s="10" t="str">
        <x:v>Полная серия — кандидат</x:v>
      </x:c>
      <x:c r="Q151" s="9" t="str">
        <x:v>Нет</x:v>
      </x:c>
      <x:c r="R151" s="9" t="str">
        <x:v>C009</x:v>
      </x:c>
      <x:c r="S151" s="9" t="str">
        <x:v>C009</x:v>
      </x:c>
      <x:c r="T151" s="10" t="str">
        <x:v>כאן 11 - תאגיד השידור הישראלי</x:v>
      </x:c>
      <x:c r="U151" s="11" t="str">
        <x:v>https://www.youtube.com/watch?v=xXFd-mh-7WM</x:v>
      </x:c>
      <x:c r="V151" s="16" t="n">
        <x:v>46308</x:v>
      </x:c>
      <x:c r="W151" s="16" t="n">
        <x:v>44207</x:v>
      </x:c>
      <x:c r="X151" s="10" t="str">
        <x:v>Иврит предполагается по заголовку и источнику</x:v>
      </x:c>
      <x:c r="Y151" s="10" t="str">
        <x:v>Дорожка HE не найдена в метаданных; вшитые титры не проверены</x:v>
      </x:c>
      <x:c r="Z151" s="10" t="str">
        <x:v>Разрешено по метаданным</x:v>
      </x:c>
      <x:c r="AA151" s="10" t="str">
        <x:v>Метаданные видео; воспроизведение и содержание не проверены</x:v>
      </x:c>
      <x:c r="AB151" s="13" t="n">
        <x:f>IF(AND(ISNUMBER(H151),ISNUMBER(W151)),H151/MAX(1,'Обзор'!$B$4-W151),"")</x:f>
        <x:v>28.08138981437411</x:v>
      </x:c>
      <x:c r="AC151" s="17" t="str">
        <x:v>Не решено</x:v>
      </x:c>
      <x:c r="AD151" s="17" t="str">
        <x:v>Не проверено</x:v>
      </x:c>
      <x:c r="AE151" s="17" t="str">
        <x:v>Не проверено</x:v>
      </x:c>
      <x:c r="AF151" s="17" t="str">
        <x:v>Не проверено</x:v>
      </x:c>
      <x:c r="AG151" s="17" t="str">
        <x:v>Не решено</x:v>
      </x:c>
      <x:c r="AH151" s="17" t="str">
        <x:v>Не проверено</x:v>
      </x:c>
      <x:c r="AI151" s="10" t="str">
        <x:f>IF(AC151="Отклонить","Отклонено",IF(AND(AC151="Взять",COUNTIFS(AD151:AH151,"Да")=5),"Готово","Нужна редактура"))</x:f>
        <x:v>Нужна редактура</x:v>
      </x:c>
      <x:c r="AJ151" s="17" t="str"/>
      <x:c r="AK151" s="9" t="str">
        <x:v>https://www.youtube.com/playlist?list=PLLttfoK87AdVg-SfJGctxipYGZEBarDOL</x:v>
      </x:c>
      <x:c r="AL151" s="9" t="n">
        <x:v>8</x:v>
      </x:c>
      <x:c r="AM151" s="9" t="n">
        <x:v>8</x:v>
      </x:c>
      <x:c r="AN151" s="9" t="n">
        <x:v>0</x:v>
      </x:c>
    </x:row>
    <x:row r="152" ht="60" customHeight="1">
      <x:c r="A152" s="9" t="str">
        <x:v>7a0MmM1wVb8</x:v>
      </x:c>
      <x:c r="B152" s="10" t="str">
        <x:v>אחד על אחד 📚 - סדרה חדשה! | פרק 9 - נפלנו בבאר שבע</x:v>
      </x:c>
      <x:c r="C152" s="10" t="str">
        <x:v>Культура и отношения</x:v>
      </x:c>
      <x:c r="D152" s="9" t="str">
        <x:v>Сериал</x:v>
      </x:c>
      <x:c r="E152" s="10" t="str">
        <x:v>Сериалы; личные истории; взрослые</x:v>
      </x:c>
      <x:c r="F152" s="10" t="str">
        <x:v>B1–B2 (гипотеза)</x:v>
      </x:c>
      <x:c r="G152" s="12" t="n">
        <x:v>29.3</x:v>
      </x:c>
      <x:c r="H152" s="14" t="n">
        <x:v>39263</x:v>
      </x:c>
      <x:c r="I152" s="15" t="str">
        <x:v>Точный счётчик метаданных видео</x:v>
      </x:c>
      <x:c r="J152" s="14" t="n">
        <x:v>39000</x:v>
      </x:c>
      <x:c r="K152" s="14" t="n">
        <x:v>61500</x:v>
      </x:c>
      <x:c r="L152" s="12" t="n">
        <x:f>IF(COUNT(J152:K152)=2,IF(K152=0,"",J152/K152),"")</x:f>
        <x:v>0.6341463414634146</x:v>
      </x:c>
      <x:c r="M152" s="10" t="str">
        <x:v>Эпизод 9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N152" s="10" t="str">
        <x:v>Пересказать мотивы героя; выписать фразы поддержки.</x:v>
      </x:c>
      <x:c r="O152" s="10" t="str">
        <x:v>Проверить содержание</x:v>
      </x:c>
      <x:c r="P152" s="10" t="str">
        <x:v>Полная серия — кандидат</x:v>
      </x:c>
      <x:c r="Q152" s="9" t="str">
        <x:v>Нет</x:v>
      </x:c>
      <x:c r="R152" s="9" t="str">
        <x:v>C009</x:v>
      </x:c>
      <x:c r="S152" s="9" t="str">
        <x:v>C009</x:v>
      </x:c>
      <x:c r="T152" s="10" t="str">
        <x:v>כאן 11 - תאגיד השידור הישראלי</x:v>
      </x:c>
      <x:c r="U152" s="11" t="str">
        <x:v>https://www.youtube.com/watch?v=7a0MmM1wVb8</x:v>
      </x:c>
      <x:c r="V152" s="16" t="n">
        <x:v>46308</x:v>
      </x:c>
      <x:c r="W152" s="16" t="n">
        <x:v>44214</x:v>
      </x:c>
      <x:c r="X152" s="10" t="str">
        <x:v>Иврит предполагается по заголовку и источнику</x:v>
      </x:c>
      <x:c r="Y152" s="10" t="str">
        <x:v>Дорожка HE не найдена в метаданных; вшитые титры не проверены</x:v>
      </x:c>
      <x:c r="Z152" s="10" t="str">
        <x:v>Разрешено по метаданным</x:v>
      </x:c>
      <x:c r="AA152" s="10" t="str">
        <x:v>Метаданные видео; воспроизведение и содержание не проверены</x:v>
      </x:c>
      <x:c r="AB152" s="13" t="n">
        <x:f>IF(AND(ISNUMBER(H152),ISNUMBER(W152)),H152/MAX(1,'Обзор'!$B$4-W152),"")</x:f>
        <x:v>18.75023877745941</x:v>
      </x:c>
      <x:c r="AC152" s="17" t="str">
        <x:v>Не решено</x:v>
      </x:c>
      <x:c r="AD152" s="17" t="str">
        <x:v>Не проверено</x:v>
      </x:c>
      <x:c r="AE152" s="17" t="str">
        <x:v>Не проверено</x:v>
      </x:c>
      <x:c r="AF152" s="17" t="str">
        <x:v>Не проверено</x:v>
      </x:c>
      <x:c r="AG152" s="17" t="str">
        <x:v>Не решено</x:v>
      </x:c>
      <x:c r="AH152" s="17" t="str">
        <x:v>Не проверено</x:v>
      </x:c>
      <x:c r="AI152" s="10" t="str">
        <x:f>IF(AC152="Отклонить","Отклонено",IF(AND(AC152="Взять",COUNTIFS(AD152:AH152,"Да")=5),"Готово","Нужна редактура"))</x:f>
        <x:v>Нужна редактура</x:v>
      </x:c>
      <x:c r="AJ152" s="17" t="str"/>
      <x:c r="AK152" s="9" t="str">
        <x:v>https://www.youtube.com/playlist?list=PLLttfoK87AdVg-SfJGctxipYGZEBarDOL</x:v>
      </x:c>
      <x:c r="AL152" s="9" t="n">
        <x:v>9</x:v>
      </x:c>
      <x:c r="AM152" s="9" t="n">
        <x:v>9</x:v>
      </x:c>
      <x:c r="AN152" s="9" t="n">
        <x:v>0</x:v>
      </x:c>
    </x:row>
    <x:row r="153" ht="60" customHeight="1">
      <x:c r="A153" s="9" t="str">
        <x:v>wLK2pYdNRdE</x:v>
      </x:c>
      <x:c r="B153" s="10" t="str">
        <x:v>אחד על אחד 📚 - סדרה חדשה! | פרק 10 (ואחרון) - אהבות אסורות</x:v>
      </x:c>
      <x:c r="C153" s="10" t="str">
        <x:v>Культура и отношения</x:v>
      </x:c>
      <x:c r="D153" s="9" t="str">
        <x:v>Сериал</x:v>
      </x:c>
      <x:c r="E153" s="10" t="str">
        <x:v>Сериалы; личные истории; взрослые</x:v>
      </x:c>
      <x:c r="F153" s="10" t="str">
        <x:v>B1–B2 (гипотеза)</x:v>
      </x:c>
      <x:c r="G153" s="12" t="n">
        <x:v>37.7</x:v>
      </x:c>
      <x:c r="H153" s="14" t="n">
        <x:v>48191</x:v>
      </x:c>
      <x:c r="I153" s="15" t="str">
        <x:v>Точный счётчик метаданных видео</x:v>
      </x:c>
      <x:c r="J153" s="14" t="n">
        <x:v>48000</x:v>
      </x:c>
      <x:c r="K153" s="14" t="n">
        <x:v>61500</x:v>
      </x:c>
      <x:c r="L153" s="12" t="n">
        <x:f>IF(COUNT(J153:K153)=2,IF(K153=0,"",J153/K153),"")</x:f>
        <x:v>0.7804878048780488</x:v>
      </x:c>
      <x:c r="M153" s="10" t="str">
        <x:v>Эпизод 10 в знакомой сюжетной ветке. Более камерный сюжет даёт альтернативу шумным комедиям и детективам. Подходит для обсуждения эмпатии и общения.</x:v>
      </x:c>
      <x:c r="N153" s="10" t="str">
        <x:v>Пересказать мотивы героя; выписать фразы поддержки.</x:v>
      </x:c>
      <x:c r="O153" s="10" t="str">
        <x:v>Проверить содержание</x:v>
      </x:c>
      <x:c r="P153" s="10" t="str">
        <x:v>Полная серия — кандидат</x:v>
      </x:c>
      <x:c r="Q153" s="9" t="str">
        <x:v>Нет</x:v>
      </x:c>
      <x:c r="R153" s="9" t="str">
        <x:v>C009</x:v>
      </x:c>
      <x:c r="S153" s="9" t="str">
        <x:v>C009</x:v>
      </x:c>
      <x:c r="T153" s="10" t="str">
        <x:v>כאן 11 - תאגיד השידור הישראלי</x:v>
      </x:c>
      <x:c r="U153" s="11" t="str">
        <x:v>https://www.youtube.com/watch?v=wLK2pYdNRdE</x:v>
      </x:c>
      <x:c r="V153" s="16" t="n">
        <x:v>46308</x:v>
      </x:c>
      <x:c r="W153" s="16" t="n">
        <x:v>44214</x:v>
      </x:c>
      <x:c r="X153" s="10" t="str">
        <x:v>Иврит предполагается по заголовку и источнику</x:v>
      </x:c>
      <x:c r="Y153" s="10" t="str">
        <x:v>Дорожка HE не найдена в метаданных; вшитые титры не проверены</x:v>
      </x:c>
      <x:c r="Z153" s="10" t="str">
        <x:v>Разрешено по метаданным</x:v>
      </x:c>
      <x:c r="AA153" s="10" t="str">
        <x:v>Метаданные видео; воспроизведение и содержание не проверены</x:v>
      </x:c>
      <x:c r="AB153" s="13" t="n">
        <x:f>IF(AND(ISNUMBER(H153),ISNUMBER(W153)),H153/MAX(1,'Обзор'!$B$4-W153),"")</x:f>
        <x:v>23.013849092645653</x:v>
      </x:c>
      <x:c r="AC153" s="17" t="str">
        <x:v>Не решено</x:v>
      </x:c>
      <x:c r="AD153" s="17" t="str">
        <x:v>Не проверено</x:v>
      </x:c>
      <x:c r="AE153" s="17" t="str">
        <x:v>Не проверено</x:v>
      </x:c>
      <x:c r="AF153" s="17" t="str">
        <x:v>Не проверено</x:v>
      </x:c>
      <x:c r="AG153" s="17" t="str">
        <x:v>Не решено</x:v>
      </x:c>
      <x:c r="AH153" s="17" t="str">
        <x:v>Не проверено</x:v>
      </x:c>
      <x:c r="AI153" s="10" t="str">
        <x:f>IF(AC153="Отклонить","Отклонено",IF(AND(AC153="Взять",COUNTIFS(AD153:AH153,"Да")=5),"Готово","Нужна редактура"))</x:f>
        <x:v>Нужна редактура</x:v>
      </x:c>
      <x:c r="AJ153" s="17" t="str"/>
      <x:c r="AK153" s="9" t="str">
        <x:v>https://www.youtube.com/playlist?list=PLLttfoK87AdVg-SfJGctxipYGZEBarDOL</x:v>
      </x:c>
      <x:c r="AL153" s="9" t="n">
        <x:v>10</x:v>
      </x:c>
      <x:c r="AM153" s="9" t="n">
        <x:v>10</x:v>
      </x:c>
      <x:c r="AN153" s="9" t="n">
        <x:v>0</x:v>
      </x:c>
    </x:row>
    <x:row r="154" ht="60" customHeight="1">
      <x:c r="A154" s="9" t="str">
        <x:v>kz4V_wAUK0U</x:v>
      </x:c>
      <x:c r="B154" s="10" t="str">
        <x:v>כל מה שצריך לדעת על הסדרה אחד על אחד</x:v>
      </x:c>
      <x:c r="C154" s="10" t="str">
        <x:v>Культура и отношения</x:v>
      </x:c>
      <x:c r="D154" s="9" t="str">
        <x:v>Сериал</x:v>
      </x:c>
      <x:c r="E154" s="10" t="str">
        <x:v>Сериалы; личные истории; взрослые</x:v>
      </x:c>
      <x:c r="F154" s="10" t="str">
        <x:v>B1–B2 (гипотеза)</x:v>
      </x:c>
      <x:c r="G154" s="12" t="n">
        <x:v>2.2</x:v>
      </x:c>
      <x:c r="H154" s="14" t="n">
        <x:v>52000</x:v>
      </x:c>
      <x:c r="I154" s="15" t="str">
        <x:v>Округлённый счётчик в списке YouTube</x:v>
      </x:c>
      <x:c r="J154" s="14" t="n">
        <x:v>52000</x:v>
      </x:c>
      <x:c r="K154" s="14" t="n">
        <x:v>61500</x:v>
      </x:c>
      <x:c r="L154" s="12" t="n">
        <x:f>IF(COUNT(J154:K154)=2,IF(K154=0,"",J154/K154),"")</x:f>
        <x:v>0.8455284552845529</x:v>
      </x:c>
      <x:c r="M154" s="10" t="str">
        <x:v>Сценка из сериала; полезна для короткого разбора, не заменяет полную серию. Более камерный сюжет даёт альтернативу шумным комедиям и детективам. Подходит для обсуждения эмпатии и общения.</x:v>
      </x:c>
      <x:c r="N154" s="10" t="str">
        <x:v>Пересказать мотивы героя; выписать фразы поддержки.</x:v>
      </x:c>
      <x:c r="O154" s="10" t="str">
        <x:v>Проверить содержание</x:v>
      </x:c>
      <x:c r="P154" s="10" t="str">
        <x:v>Фрагмент сериала</x:v>
      </x:c>
      <x:c r="Q154" s="9" t="str">
        <x:v>Нет</x:v>
      </x:c>
      <x:c r="R154" s="9" t="str">
        <x:v>C009</x:v>
      </x:c>
      <x:c r="S154" s="9" t="str">
        <x:v>C009</x:v>
      </x:c>
      <x:c r="T154" s="10" t="str">
        <x:v>כאן 11 - תאגיד השידור הישראלי</x:v>
      </x:c>
      <x:c r="U154" s="11" t="str">
        <x:v>https://www.youtube.com/watch?v=kz4V_wAUK0U</x:v>
      </x:c>
      <x:c r="V154" s="16" t="n">
        <x:v>46308</x:v>
      </x:c>
      <x:c r="W154" s="16"/>
      <x:c r="X154" s="10" t="str">
        <x:v>Иврит предполагается по заголовку и источнику</x:v>
      </x:c>
      <x:c r="Y154" s="10" t="str">
        <x:v>Не проверено</x:v>
      </x:c>
      <x:c r="Z154" s="10" t="str">
        <x:v>Не проверено</x:v>
      </x:c>
      <x:c r="AA154" s="10" t="str">
        <x:v>Метаданные списка; видео не просмотрено</x:v>
      </x:c>
      <x:c r="AB154" s="13" t="str">
        <x:f>IF(AND(ISNUMBER(H154),ISNUMBER(W154)),H154/MAX(1,'Обзор'!$B$4-W154),"")</x:f>
      </x:c>
      <x:c r="AC154" s="17" t="str">
        <x:v>Не решено</x:v>
      </x:c>
      <x:c r="AD154" s="17" t="str">
        <x:v>Не проверено</x:v>
      </x:c>
      <x:c r="AE154" s="17" t="str">
        <x:v>Не проверено</x:v>
      </x:c>
      <x:c r="AF154" s="17" t="str">
        <x:v>Не проверено</x:v>
      </x:c>
      <x:c r="AG154" s="17" t="str">
        <x:v>Не решено</x:v>
      </x:c>
      <x:c r="AH154" s="17" t="str">
        <x:v>Не проверено</x:v>
      </x:c>
      <x:c r="AI154" s="10" t="str">
        <x:f>IF(AC154="Отклонить","Отклонено",IF(AND(AC154="Взять",COUNTIFS(AD154:AH154,"Да")=5),"Готово","Нужна редактура"))</x:f>
        <x:v>Нужна редактура</x:v>
      </x:c>
      <x:c r="AJ154" s="17" t="str"/>
      <x:c r="AK154" s="9" t="str">
        <x:v>https://www.youtube.com/playlist?list=PLLttfoK87AdVg-SfJGctxipYGZEBarDOL</x:v>
      </x:c>
      <x:c r="AL154" s="9" t="n">
        <x:v>11</x:v>
      </x:c>
      <x:c r="AM154" s="9"/>
      <x:c r="AN154" s="9"/>
    </x:row>
    <x:row r="155" ht="60" customHeight="1">
      <x:c r="A155" s="9" t="str">
        <x:v>Ur-Q0NSmC18</x:v>
      </x:c>
      <x:c r="B155" s="10" t="str">
        <x:v>שעת אפס 👨‍🏫 | פרק 1 - השיעור</x:v>
      </x:c>
      <x:c r="C155" s="10" t="str">
        <x:v>Образование и общество</x:v>
      </x:c>
      <x:c r="D155" s="9" t="str">
        <x:v>Сериал</x:v>
      </x:c>
      <x:c r="E155" s="10" t="str">
        <x:v>Сериалы; родители; учителя</x:v>
      </x:c>
      <x:c r="F155" s="10" t="str">
        <x:v>B2–C1 (гипотеза)</x:v>
      </x:c>
      <x:c r="G155" s="12" t="n">
        <x:v>34.7</x:v>
      </x:c>
      <x:c r="H155" s="14" t="n">
        <x:v>765386</x:v>
      </x:c>
      <x:c r="I155" s="15" t="str">
        <x:v>Точный счётчик метаданных видео</x:v>
      </x:c>
      <x:c r="J155" s="14" t="n">
        <x:v>765000</x:v>
      </x:c>
      <x:c r="K155" s="14" t="n">
        <x:v>455500</x:v>
      </x:c>
      <x:c r="L155" s="12" t="n">
        <x:f>IF(COUNT(J155:K155)=2,IF(K155=0,"",J155/K155),"")</x:f>
        <x:v>1.6794731064763995</x:v>
      </x:c>
      <x:c r="M155" s="10" t="str">
        <x:v>Эпизод 1 в знакомой сюжетной ветке. Просмотры в списке выше медианы выборки этого цикла в 1.68 раза. Школьный конфликт связывает драму с реальной общественной дискуссией. Полезен родителям и людям, интересующимся системой образования.</x:v>
      </x:c>
      <x:c r="N155" s="10" t="str">
        <x:v>Различить аргумент, оценку и обвинение в споре.</x:v>
      </x:c>
      <x:c r="O155" s="10" t="str">
        <x:v>Политический конфликт; требует контекста</x:v>
      </x:c>
      <x:c r="P155" s="10" t="str">
        <x:v>Полная серия — кандидат</x:v>
      </x:c>
      <x:c r="Q155" s="9" t="str">
        <x:v>Нет</x:v>
      </x:c>
      <x:c r="R155" s="9" t="str">
        <x:v>C010</x:v>
      </x:c>
      <x:c r="S155" s="9" t="str">
        <x:v>C010</x:v>
      </x:c>
      <x:c r="T155" s="10" t="str">
        <x:v>כאן 11 - תאגיד השידור הישראלי</x:v>
      </x:c>
      <x:c r="U155" s="11" t="str">
        <x:v>https://www.youtube.com/watch?v=Ur-Q0NSmC18</x:v>
      </x:c>
      <x:c r="V155" s="16" t="n">
        <x:v>46308</x:v>
      </x:c>
      <x:c r="W155" s="16" t="n">
        <x:v>44571</x:v>
      </x:c>
      <x:c r="X155" s="10" t="str">
        <x:v>Иврит предполагается по заголовку и источнику</x:v>
      </x:c>
      <x:c r="Y155" s="10" t="str">
        <x:v>Дорожка HE не найдена в метаданных; вшитые титры не проверены</x:v>
      </x:c>
      <x:c r="Z155" s="10" t="str">
        <x:v>Разрешено по метаданным</x:v>
      </x:c>
      <x:c r="AA155" s="10" t="str">
        <x:v>Метаданные видео; воспроизведение и содержание не проверены</x:v>
      </x:c>
      <x:c r="AB155" s="13" t="n">
        <x:f>IF(AND(ISNUMBER(H155),ISNUMBER(W155)),H155/MAX(1,'Обзор'!$B$4-W155),"")</x:f>
        <x:v>440.63672999424296</x:v>
      </x:c>
      <x:c r="AC155" s="17" t="str">
        <x:v>Не решено</x:v>
      </x:c>
      <x:c r="AD155" s="17" t="str">
        <x:v>Не проверено</x:v>
      </x:c>
      <x:c r="AE155" s="17" t="str">
        <x:v>Не проверено</x:v>
      </x:c>
      <x:c r="AF155" s="17" t="str">
        <x:v>Не проверено</x:v>
      </x:c>
      <x:c r="AG155" s="17" t="str">
        <x:v>Не решено</x:v>
      </x:c>
      <x:c r="AH155" s="17" t="str">
        <x:v>Не проверено</x:v>
      </x:c>
      <x:c r="AI155" s="10" t="str">
        <x:f>IF(AC155="Отклонить","Отклонено",IF(AND(AC155="Взять",COUNTIFS(AD155:AH155,"Да")=5),"Готово","Нужна редактура"))</x:f>
        <x:v>Нужна редактура</x:v>
      </x:c>
      <x:c r="AJ155" s="17" t="str"/>
      <x:c r="AK155" s="9" t="str">
        <x:v>https://www.youtube.com/playlist?list=PLLttfoK87AdXhoxwvB_YmO3GzrfDx9PRr</x:v>
      </x:c>
      <x:c r="AL155" s="9" t="n">
        <x:v>6</x:v>
      </x:c>
      <x:c r="AM155" s="9" t="n">
        <x:v>1</x:v>
      </x:c>
      <x:c r="AN155" s="9" t="n">
        <x:v>0</x:v>
      </x:c>
    </x:row>
    <x:row r="156" ht="60" customHeight="1">
      <x:c r="A156" s="9" t="str">
        <x:v>Zy2KO9f55gU</x:v>
      </x:c>
      <x:c r="B156" s="10" t="str">
        <x:v>שעת אפס 👨‍🏫 | פרק 2 - הפוסט</x:v>
      </x:c>
      <x:c r="C156" s="10" t="str">
        <x:v>Образование и общество</x:v>
      </x:c>
      <x:c r="D156" s="9" t="str">
        <x:v>Сериал</x:v>
      </x:c>
      <x:c r="E156" s="10" t="str">
        <x:v>Сериалы; родители; учителя</x:v>
      </x:c>
      <x:c r="F156" s="10" t="str">
        <x:v>B2–C1 (гипотеза)</x:v>
      </x:c>
      <x:c r="G156" s="12" t="n">
        <x:v>40.9</x:v>
      </x:c>
      <x:c r="H156" s="14" t="n">
        <x:v>527136</x:v>
      </x:c>
      <x:c r="I156" s="15" t="str">
        <x:v>Точный счётчик метаданных видео</x:v>
      </x:c>
      <x:c r="J156" s="14" t="n">
        <x:v>527000</x:v>
      </x:c>
      <x:c r="K156" s="14" t="n">
        <x:v>455500</x:v>
      </x:c>
      <x:c r="L156" s="12" t="n">
        <x:f>IF(COUNT(J156:K156)=2,IF(K156=0,"",J156/K156),"")</x:f>
        <x:v>1.1569703622392975</x:v>
      </x:c>
      <x:c r="M156" s="10" t="str">
        <x:v>Эпизод 2 в знакомой сюжетной ветке. Школьный конфликт связывает драму с реальной общественной дискуссией. Полезен родителям и людям, интересующимся системой образования.</x:v>
      </x:c>
      <x:c r="N156" s="10" t="str">
        <x:v>Различить аргумент, оценку и обвинение в споре.</x:v>
      </x:c>
      <x:c r="O156" s="10" t="str">
        <x:v>Политический конфликт; требует контекста</x:v>
      </x:c>
      <x:c r="P156" s="10" t="str">
        <x:v>Полная серия — кандидат</x:v>
      </x:c>
      <x:c r="Q156" s="9" t="str">
        <x:v>Нет</x:v>
      </x:c>
      <x:c r="R156" s="9" t="str">
        <x:v>C010</x:v>
      </x:c>
      <x:c r="S156" s="9" t="str">
        <x:v>C010</x:v>
      </x:c>
      <x:c r="T156" s="10" t="str">
        <x:v>כאן 11 - תאגיד השידור הישראלי</x:v>
      </x:c>
      <x:c r="U156" s="11" t="str">
        <x:v>https://www.youtube.com/watch?v=Zy2KO9f55gU</x:v>
      </x:c>
      <x:c r="V156" s="16" t="n">
        <x:v>46308</x:v>
      </x:c>
      <x:c r="W156" s="16" t="n">
        <x:v>44578</x:v>
      </x:c>
      <x:c r="X156" s="10" t="str">
        <x:v>Иврит предполагается по заголовку и источнику</x:v>
      </x:c>
      <x:c r="Y156" s="10" t="str">
        <x:v>Дорожка HE не найдена в метаданных; вшитые титры не проверены</x:v>
      </x:c>
      <x:c r="Z156" s="10" t="str">
        <x:v>Разрешено по метаданным</x:v>
      </x:c>
      <x:c r="AA156" s="10" t="str">
        <x:v>Метаданные видео; воспроизведение и содержание не проверены</x:v>
      </x:c>
      <x:c r="AB156" s="13" t="n">
        <x:f>IF(AND(ISNUMBER(H156),ISNUMBER(W156)),H156/MAX(1,'Обзор'!$B$4-W156),"")</x:f>
        <x:v>304.7028901734104</x:v>
      </x:c>
      <x:c r="AC156" s="17" t="str">
        <x:v>Не решено</x:v>
      </x:c>
      <x:c r="AD156" s="17" t="str">
        <x:v>Не проверено</x:v>
      </x:c>
      <x:c r="AE156" s="17" t="str">
        <x:v>Не проверено</x:v>
      </x:c>
      <x:c r="AF156" s="17" t="str">
        <x:v>Не проверено</x:v>
      </x:c>
      <x:c r="AG156" s="17" t="str">
        <x:v>Не решено</x:v>
      </x:c>
      <x:c r="AH156" s="17" t="str">
        <x:v>Не проверено</x:v>
      </x:c>
      <x:c r="AI156" s="10" t="str">
        <x:f>IF(AC156="Отклонить","Отклонено",IF(AND(AC156="Взять",COUNTIFS(AD156:AH156,"Да")=5),"Готово","Нужна редактура"))</x:f>
        <x:v>Нужна редактура</x:v>
      </x:c>
      <x:c r="AJ156" s="17" t="str"/>
      <x:c r="AK156" s="9" t="str">
        <x:v>https://www.youtube.com/playlist?list=PLLttfoK87AdXhoxwvB_YmO3GzrfDx9PRr</x:v>
      </x:c>
      <x:c r="AL156" s="9" t="n">
        <x:v>5</x:v>
      </x:c>
      <x:c r="AM156" s="9" t="n">
        <x:v>2</x:v>
      </x:c>
      <x:c r="AN156" s="9" t="n">
        <x:v>0</x:v>
      </x:c>
    </x:row>
    <x:row r="157" ht="60" customHeight="1">
      <x:c r="A157" s="9" t="str">
        <x:v>uEKWauIQ-WQ</x:v>
      </x:c>
      <x:c r="B157" s="10" t="str">
        <x:v>שעת אפס 👨‍🏫 | פרק 3 - הבחירה</x:v>
      </x:c>
      <x:c r="C157" s="10" t="str">
        <x:v>Образование и общество</x:v>
      </x:c>
      <x:c r="D157" s="9" t="str">
        <x:v>Сериал</x:v>
      </x:c>
      <x:c r="E157" s="10" t="str">
        <x:v>Сериалы; родители; учителя</x:v>
      </x:c>
      <x:c r="F157" s="10" t="str">
        <x:v>B2–C1 (гипотеза)</x:v>
      </x:c>
      <x:c r="G157" s="12" t="n">
        <x:v>39.9</x:v>
      </x:c>
      <x:c r="H157" s="14" t="n">
        <x:v>463535</x:v>
      </x:c>
      <x:c r="I157" s="15" t="str">
        <x:v>Точный счётчик метаданных видео</x:v>
      </x:c>
      <x:c r="J157" s="14" t="n">
        <x:v>463000</x:v>
      </x:c>
      <x:c r="K157" s="14" t="n">
        <x:v>455500</x:v>
      </x:c>
      <x:c r="L157" s="12" t="n">
        <x:f>IF(COUNT(J157:K157)=2,IF(K157=0,"",J157/K157),"")</x:f>
        <x:v>1.0164654226125138</x:v>
      </x:c>
      <x:c r="M157" s="10" t="str">
        <x:v>Эпизод 3 в знакомой сюжетной ветке. Школьный конфликт связывает драму с реальной общественной дискуссией. Полезен родителям и людям, интересующимся системой образования.</x:v>
      </x:c>
      <x:c r="N157" s="10" t="str">
        <x:v>Различить аргумент, оценку и обвинение в споре.</x:v>
      </x:c>
      <x:c r="O157" s="10" t="str">
        <x:v>Политический конфликт; требует контекста</x:v>
      </x:c>
      <x:c r="P157" s="10" t="str">
        <x:v>Полная серия — кандидат</x:v>
      </x:c>
      <x:c r="Q157" s="9" t="str">
        <x:v>Нет</x:v>
      </x:c>
      <x:c r="R157" s="9" t="str">
        <x:v>C010</x:v>
      </x:c>
      <x:c r="S157" s="9" t="str">
        <x:v>C010</x:v>
      </x:c>
      <x:c r="T157" s="10" t="str">
        <x:v>כאן 11 - תאגיד השידור הישראלי</x:v>
      </x:c>
      <x:c r="U157" s="11" t="str">
        <x:v>https://www.youtube.com/watch?v=uEKWauIQ-WQ</x:v>
      </x:c>
      <x:c r="V157" s="16" t="n">
        <x:v>46308</x:v>
      </x:c>
      <x:c r="W157" s="16" t="n">
        <x:v>44585</x:v>
      </x:c>
      <x:c r="X157" s="10" t="str">
        <x:v>Иврит предполагается по заголовку и источнику</x:v>
      </x:c>
      <x:c r="Y157" s="10" t="str">
        <x:v>Дорожка HE не найдена в метаданных; вшитые титры не проверены</x:v>
      </x:c>
      <x:c r="Z157" s="10" t="str">
        <x:v>Разрешено по метаданным</x:v>
      </x:c>
      <x:c r="AA157" s="10" t="str">
        <x:v>Метаданные видео; воспроизведение и содержание не проверены</x:v>
      </x:c>
      <x:c r="AB157" s="13" t="n">
        <x:f>IF(AND(ISNUMBER(H157),ISNUMBER(W157)),H157/MAX(1,'Обзор'!$B$4-W157),"")</x:f>
        <x:v>269.0278583865351</x:v>
      </x:c>
      <x:c r="AC157" s="17" t="str">
        <x:v>Не решено</x:v>
      </x:c>
      <x:c r="AD157" s="17" t="str">
        <x:v>Не проверено</x:v>
      </x:c>
      <x:c r="AE157" s="17" t="str">
        <x:v>Не проверено</x:v>
      </x:c>
      <x:c r="AF157" s="17" t="str">
        <x:v>Не проверено</x:v>
      </x:c>
      <x:c r="AG157" s="17" t="str">
        <x:v>Не решено</x:v>
      </x:c>
      <x:c r="AH157" s="17" t="str">
        <x:v>Не проверено</x:v>
      </x:c>
      <x:c r="AI157" s="10" t="str">
        <x:f>IF(AC157="Отклонить","Отклонено",IF(AND(AC157="Взять",COUNTIFS(AD157:AH157,"Да")=5),"Готово","Нужна редактура"))</x:f>
        <x:v>Нужна редактура</x:v>
      </x:c>
      <x:c r="AJ157" s="17" t="str"/>
      <x:c r="AK157" s="9" t="str">
        <x:v>https://www.youtube.com/playlist?list=PLLttfoK87AdXhoxwvB_YmO3GzrfDx9PRr</x:v>
      </x:c>
      <x:c r="AL157" s="9" t="n">
        <x:v>4</x:v>
      </x:c>
      <x:c r="AM157" s="9" t="n">
        <x:v>3</x:v>
      </x:c>
      <x:c r="AN157" s="9" t="n">
        <x:v>0</x:v>
      </x:c>
    </x:row>
    <x:row r="158" ht="60" customHeight="1">
      <x:c r="A158" s="9" t="str">
        <x:v>nQWjYSxIJJo</x:v>
      </x:c>
      <x:c r="B158" s="10" t="str">
        <x:v>שעת אפס 👨‍🏫 | פרק 4 - הטלוויזיה</x:v>
      </x:c>
      <x:c r="C158" s="10" t="str">
        <x:v>Образование и общество</x:v>
      </x:c>
      <x:c r="D158" s="9" t="str">
        <x:v>Сериал</x:v>
      </x:c>
      <x:c r="E158" s="10" t="str">
        <x:v>Сериалы; родители; учителя</x:v>
      </x:c>
      <x:c r="F158" s="10" t="str">
        <x:v>B2–C1 (гипотеза)</x:v>
      </x:c>
      <x:c r="G158" s="12" t="n">
        <x:v>40.5</x:v>
      </x:c>
      <x:c r="H158" s="14" t="n">
        <x:v>448859</x:v>
      </x:c>
      <x:c r="I158" s="15" t="str">
        <x:v>Точный счётчик метаданных видео</x:v>
      </x:c>
      <x:c r="J158" s="14" t="n">
        <x:v>448000</x:v>
      </x:c>
      <x:c r="K158" s="14" t="n">
        <x:v>455500</x:v>
      </x:c>
      <x:c r="L158" s="12" t="n">
        <x:f>IF(COUNT(J158:K158)=2,IF(K158=0,"",J158/K158),"")</x:f>
        <x:v>0.9835345773874863</x:v>
      </x:c>
      <x:c r="M158" s="10" t="str">
        <x:v>Эпизод 4 в знакомой сюжетной ветке. Школьный конфликт связывает драму с реальной общественной дискуссией. Полезен родителям и людям, интересующимся системой образования.</x:v>
      </x:c>
      <x:c r="N158" s="10" t="str">
        <x:v>Различить аргумент, оценку и обвинение в споре.</x:v>
      </x:c>
      <x:c r="O158" s="10" t="str">
        <x:v>Политический конфликт; требует контекста</x:v>
      </x:c>
      <x:c r="P158" s="10" t="str">
        <x:v>Полная серия — кандидат</x:v>
      </x:c>
      <x:c r="Q158" s="9" t="str">
        <x:v>Нет</x:v>
      </x:c>
      <x:c r="R158" s="9" t="str">
        <x:v>C010</x:v>
      </x:c>
      <x:c r="S158" s="9" t="str">
        <x:v>C010</x:v>
      </x:c>
      <x:c r="T158" s="10" t="str">
        <x:v>כאן 11 - תאגיד השידור הישראלי</x:v>
      </x:c>
      <x:c r="U158" s="11" t="str">
        <x:v>https://www.youtube.com/watch?v=nQWjYSxIJJo</x:v>
      </x:c>
      <x:c r="V158" s="16" t="n">
        <x:v>46308</x:v>
      </x:c>
      <x:c r="W158" s="16" t="n">
        <x:v>44592</x:v>
      </x:c>
      <x:c r="X158" s="10" t="str">
        <x:v>Иврит предполагается по заголовку и источнику</x:v>
      </x:c>
      <x:c r="Y158" s="10" t="str">
        <x:v>Дорожка HE не найдена в метаданных; вшитые титры не проверены</x:v>
      </x:c>
      <x:c r="Z158" s="10" t="str">
        <x:v>Разрешено по метаданным</x:v>
      </x:c>
      <x:c r="AA158" s="10" t="str">
        <x:v>Метаданные видео; воспроизведение и содержание не проверены</x:v>
      </x:c>
      <x:c r="AB158" s="13" t="n">
        <x:f>IF(AND(ISNUMBER(H158),ISNUMBER(W158)),H158/MAX(1,'Обзор'!$B$4-W158),"")</x:f>
        <x:v>261.5728438228438</x:v>
      </x:c>
      <x:c r="AC158" s="17" t="str">
        <x:v>Не решено</x:v>
      </x:c>
      <x:c r="AD158" s="17" t="str">
        <x:v>Не проверено</x:v>
      </x:c>
      <x:c r="AE158" s="17" t="str">
        <x:v>Не проверено</x:v>
      </x:c>
      <x:c r="AF158" s="17" t="str">
        <x:v>Не проверено</x:v>
      </x:c>
      <x:c r="AG158" s="17" t="str">
        <x:v>Не решено</x:v>
      </x:c>
      <x:c r="AH158" s="17" t="str">
        <x:v>Не проверено</x:v>
      </x:c>
      <x:c r="AI158" s="10" t="str">
        <x:f>IF(AC158="Отклонить","Отклонено",IF(AND(AC158="Взять",COUNTIFS(AD158:AH158,"Да")=5),"Готово","Нужна редактура"))</x:f>
        <x:v>Нужна редактура</x:v>
      </x:c>
      <x:c r="AJ158" s="17" t="str"/>
      <x:c r="AK158" s="9" t="str">
        <x:v>https://www.youtube.com/playlist?list=PLLttfoK87AdXhoxwvB_YmO3GzrfDx9PRr</x:v>
      </x:c>
      <x:c r="AL158" s="9" t="n">
        <x:v>3</x:v>
      </x:c>
      <x:c r="AM158" s="9" t="n">
        <x:v>4</x:v>
      </x:c>
      <x:c r="AN158" s="9" t="n">
        <x:v>0</x:v>
      </x:c>
    </x:row>
    <x:row r="159" ht="60" customHeight="1">
      <x:c r="A159" s="9" t="str">
        <x:v>27SET3s8Kyw</x:v>
      </x:c>
      <x:c r="B159" s="10" t="str">
        <x:v>שעת אפס 👨‍🏫 | פרק 5 - ההפגנה</x:v>
      </x:c>
      <x:c r="C159" s="10" t="str">
        <x:v>Образование и общество</x:v>
      </x:c>
      <x:c r="D159" s="9" t="str">
        <x:v>Сериал</x:v>
      </x:c>
      <x:c r="E159" s="10" t="str">
        <x:v>Сериалы; родители; учителя</x:v>
      </x:c>
      <x:c r="F159" s="10" t="str">
        <x:v>B2–C1 (гипотеза)</x:v>
      </x:c>
      <x:c r="G159" s="12" t="n">
        <x:v>40</x:v>
      </x:c>
      <x:c r="H159" s="14" t="n">
        <x:v>418288</x:v>
      </x:c>
      <x:c r="I159" s="15" t="str">
        <x:v>Точный счётчик метаданных видео</x:v>
      </x:c>
      <x:c r="J159" s="14" t="n">
        <x:v>418000</x:v>
      </x:c>
      <x:c r="K159" s="14" t="n">
        <x:v>455500</x:v>
      </x:c>
      <x:c r="L159" s="12" t="n">
        <x:f>IF(COUNT(J159:K159)=2,IF(K159=0,"",J159/K159),"")</x:f>
        <x:v>0.9176728869374314</x:v>
      </x:c>
      <x:c r="M159" s="10" t="str">
        <x:v>Эпизод 5 в знакомой сюжетной ветке. Школьный конфликт связывает драму с реальной общественной дискуссией. Полезен родителям и людям, интересующимся системой образования.</x:v>
      </x:c>
      <x:c r="N159" s="10" t="str">
        <x:v>Различить аргумент, оценку и обвинение в споре.</x:v>
      </x:c>
      <x:c r="O159" s="10" t="str">
        <x:v>Политический конфликт; требует контекста</x:v>
      </x:c>
      <x:c r="P159" s="10" t="str">
        <x:v>Полная серия — кандидат</x:v>
      </x:c>
      <x:c r="Q159" s="9" t="str">
        <x:v>Нет</x:v>
      </x:c>
      <x:c r="R159" s="9" t="str">
        <x:v>C010</x:v>
      </x:c>
      <x:c r="S159" s="9" t="str">
        <x:v>C010</x:v>
      </x:c>
      <x:c r="T159" s="10" t="str">
        <x:v>כאן 11 - תאגיד השידור הישראלי</x:v>
      </x:c>
      <x:c r="U159" s="11" t="str">
        <x:v>https://www.youtube.com/watch?v=27SET3s8Kyw</x:v>
      </x:c>
      <x:c r="V159" s="16" t="n">
        <x:v>46308</x:v>
      </x:c>
      <x:c r="W159" s="16" t="n">
        <x:v>44599</x:v>
      </x:c>
      <x:c r="X159" s="10" t="str">
        <x:v>Иврит предполагается по заголовку и источнику</x:v>
      </x:c>
      <x:c r="Y159" s="10" t="str">
        <x:v>Дорожка HE не найдена в метаданных; вшитые титры не проверены</x:v>
      </x:c>
      <x:c r="Z159" s="10" t="str">
        <x:v>Разрешено по метаданным</x:v>
      </x:c>
      <x:c r="AA159" s="10" t="str">
        <x:v>Метаданные видео; воспроизведение и содержание не проверены</x:v>
      </x:c>
      <x:c r="AB159" s="13" t="n">
        <x:f>IF(AND(ISNUMBER(H159),ISNUMBER(W159)),H159/MAX(1,'Обзор'!$B$4-W159),"")</x:f>
        <x:v>244.75599765944997</x:v>
      </x:c>
      <x:c r="AC159" s="17" t="str">
        <x:v>Не решено</x:v>
      </x:c>
      <x:c r="AD159" s="17" t="str">
        <x:v>Не проверено</x:v>
      </x:c>
      <x:c r="AE159" s="17" t="str">
        <x:v>Не проверено</x:v>
      </x:c>
      <x:c r="AF159" s="17" t="str">
        <x:v>Не проверено</x:v>
      </x:c>
      <x:c r="AG159" s="17" t="str">
        <x:v>Не решено</x:v>
      </x:c>
      <x:c r="AH159" s="17" t="str">
        <x:v>Не проверено</x:v>
      </x:c>
      <x:c r="AI159" s="10" t="str">
        <x:f>IF(AC159="Отклонить","Отклонено",IF(AND(AC159="Взять",COUNTIFS(AD159:AH159,"Да")=5),"Готово","Нужна редактура"))</x:f>
        <x:v>Нужна редактура</x:v>
      </x:c>
      <x:c r="AJ159" s="17" t="str"/>
      <x:c r="AK159" s="9" t="str">
        <x:v>https://www.youtube.com/playlist?list=PLLttfoK87AdXhoxwvB_YmO3GzrfDx9PRr</x:v>
      </x:c>
      <x:c r="AL159" s="9" t="n">
        <x:v>2</x:v>
      </x:c>
      <x:c r="AM159" s="9" t="n">
        <x:v>5</x:v>
      </x:c>
      <x:c r="AN159" s="9" t="n">
        <x:v>0</x:v>
      </x:c>
    </x:row>
    <x:row r="160" ht="60" customHeight="1">
      <x:c r="A160" s="9" t="str">
        <x:v>uritTI8XzPU</x:v>
      </x:c>
      <x:c r="B160" s="10" t="str">
        <x:v>שעת אפס 👨‍🏫 | פרק 6 (ואחרון) - השימוע</x:v>
      </x:c>
      <x:c r="C160" s="10" t="str">
        <x:v>Образование и общество</x:v>
      </x:c>
      <x:c r="D160" s="9" t="str">
        <x:v>Сериал</x:v>
      </x:c>
      <x:c r="E160" s="10" t="str">
        <x:v>Сериалы; родители; учителя</x:v>
      </x:c>
      <x:c r="F160" s="10" t="str">
        <x:v>B2–C1 (гипотеза)</x:v>
      </x:c>
      <x:c r="G160" s="12" t="n">
        <x:v>42.1</x:v>
      </x:c>
      <x:c r="H160" s="14" t="n">
        <x:v>375062</x:v>
      </x:c>
      <x:c r="I160" s="15" t="str">
        <x:v>Точный счётчик метаданных видео</x:v>
      </x:c>
      <x:c r="J160" s="14" t="n">
        <x:v>375000</x:v>
      </x:c>
      <x:c r="K160" s="14" t="n">
        <x:v>455500</x:v>
      </x:c>
      <x:c r="L160" s="12" t="n">
        <x:f>IF(COUNT(J160:K160)=2,IF(K160=0,"",J160/K160),"")</x:f>
        <x:v>0.823271130625686</x:v>
      </x:c>
      <x:c r="M160" s="10" t="str">
        <x:v>Эпизод 6 в знакомой сюжетной ветке. Школьный конфликт связывает драму с реальной общественной дискуссией. Полезен родителям и людям, интересующимся системой образования.</x:v>
      </x:c>
      <x:c r="N160" s="10" t="str">
        <x:v>Различить аргумент, оценку и обвинение в споре.</x:v>
      </x:c>
      <x:c r="O160" s="10" t="str">
        <x:v>Политический конфликт; требует контекста</x:v>
      </x:c>
      <x:c r="P160" s="10" t="str">
        <x:v>Полная серия — кандидат</x:v>
      </x:c>
      <x:c r="Q160" s="9" t="str">
        <x:v>Нет</x:v>
      </x:c>
      <x:c r="R160" s="9" t="str">
        <x:v>C010</x:v>
      </x:c>
      <x:c r="S160" s="9" t="str">
        <x:v>C010</x:v>
      </x:c>
      <x:c r="T160" s="10" t="str">
        <x:v>כאן 11 - תאגיד השידור הישראלי</x:v>
      </x:c>
      <x:c r="U160" s="11" t="str">
        <x:v>https://www.youtube.com/watch?v=uritTI8XzPU</x:v>
      </x:c>
      <x:c r="V160" s="16" t="n">
        <x:v>46308</x:v>
      </x:c>
      <x:c r="W160" s="16" t="n">
        <x:v>44606</x:v>
      </x:c>
      <x:c r="X160" s="10" t="str">
        <x:v>Иврит предполагается по заголовку и источнику</x:v>
      </x:c>
      <x:c r="Y160" s="10" t="str">
        <x:v>Дорожка HE не найдена в метаданных; вшитые титры не проверены</x:v>
      </x:c>
      <x:c r="Z160" s="10" t="str">
        <x:v>Разрешено по метаданным</x:v>
      </x:c>
      <x:c r="AA160" s="10" t="str">
        <x:v>Метаданные видео; воспроизведение и содержание не проверены</x:v>
      </x:c>
      <x:c r="AB160" s="13" t="n">
        <x:f>IF(AND(ISNUMBER(H160),ISNUMBER(W160)),H160/MAX(1,'Обзор'!$B$4-W160),"")</x:f>
        <x:v>220.36545240893068</x:v>
      </x:c>
      <x:c r="AC160" s="17" t="str">
        <x:v>Не решено</x:v>
      </x:c>
      <x:c r="AD160" s="17" t="str">
        <x:v>Не проверено</x:v>
      </x:c>
      <x:c r="AE160" s="17" t="str">
        <x:v>Не проверено</x:v>
      </x:c>
      <x:c r="AF160" s="17" t="str">
        <x:v>Не проверено</x:v>
      </x:c>
      <x:c r="AG160" s="17" t="str">
        <x:v>Не решено</x:v>
      </x:c>
      <x:c r="AH160" s="17" t="str">
        <x:v>Не проверено</x:v>
      </x:c>
      <x:c r="AI160" s="10" t="str">
        <x:f>IF(AC160="Отклонить","Отклонено",IF(AND(AC160="Взять",COUNTIFS(AD160:AH160,"Да")=5),"Готово","Нужна редактура"))</x:f>
        <x:v>Нужна редактура</x:v>
      </x:c>
      <x:c r="AJ160" s="17" t="str"/>
      <x:c r="AK160" s="9" t="str">
        <x:v>https://www.youtube.com/playlist?list=PLLttfoK87AdXhoxwvB_YmO3GzrfDx9PRr</x:v>
      </x:c>
      <x:c r="AL160" s="9" t="n">
        <x:v>1</x:v>
      </x:c>
      <x:c r="AM160" s="9" t="n">
        <x:v>6</x:v>
      </x:c>
      <x:c r="AN160" s="9" t="n">
        <x:v>0</x:v>
      </x:c>
    </x:row>
    <x:row r="161" ht="60" customHeight="1">
      <x:c r="A161" s="9" t="str">
        <x:v>QtOJdzh4mgI</x:v>
      </x:c>
      <x:c r="B161" s="10" t="str">
        <x:v>כל מה שצריך לדעת על #שעת_אפס | עכשיו בכאן 11 וביוטיוב</x:v>
      </x:c>
      <x:c r="C161" s="10" t="str">
        <x:v>Образование и общество</x:v>
      </x:c>
      <x:c r="D161" s="9" t="str">
        <x:v>Сериал</x:v>
      </x:c>
      <x:c r="E161" s="10" t="str">
        <x:v>Сериалы; родители; учителя</x:v>
      </x:c>
      <x:c r="F161" s="10" t="str">
        <x:v>B2–C1 (гипотеза)</x:v>
      </x:c>
      <x:c r="G161" s="12" t="n">
        <x:v>1.6</x:v>
      </x:c>
      <x:c r="H161" s="14" t="n">
        <x:v>39000</x:v>
      </x:c>
      <x:c r="I161" s="15" t="str">
        <x:v>Округлённый счётчик в списке YouTube</x:v>
      </x:c>
      <x:c r="J161" s="14" t="n">
        <x:v>39000</x:v>
      </x:c>
      <x:c r="K161" s="14" t="n">
        <x:v>455500</x:v>
      </x:c>
      <x:c r="L161" s="12" t="n">
        <x:f>IF(COUNT(J161:K161)=2,IF(K161=0,"",J161/K161),"")</x:f>
        <x:v>0.08562019758507135</x:v>
      </x:c>
      <x:c r="M161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Школьный конфликт связывает драму с реальной общественной дискуссией. Полезен родителям и людям, интересующимся системой образования.</x:v>
      </x:c>
      <x:c r="N161" s="10" t="str">
        <x:v>Различить аргумент, оценку и обвинение в споре.</x:v>
      </x:c>
      <x:c r="O161" s="10" t="str">
        <x:v>Политический конфликт; требует контекста</x:v>
      </x:c>
      <x:c r="P161" s="10" t="str">
        <x:v>Фрагмент сериала</x:v>
      </x:c>
      <x:c r="Q161" s="9" t="str">
        <x:v>Нет</x:v>
      </x:c>
      <x:c r="R161" s="9" t="str">
        <x:v>C010</x:v>
      </x:c>
      <x:c r="S161" s="9" t="str">
        <x:v>C010</x:v>
      </x:c>
      <x:c r="T161" s="10" t="str">
        <x:v>כאן 11 - תאגיד השידור הישראלי</x:v>
      </x:c>
      <x:c r="U161" s="11" t="str">
        <x:v>https://www.youtube.com/watch?v=QtOJdzh4mgI</x:v>
      </x:c>
      <x:c r="V161" s="16" t="n">
        <x:v>46308</x:v>
      </x:c>
      <x:c r="W161" s="16"/>
      <x:c r="X161" s="10" t="str">
        <x:v>Иврит предполагается по заголовку и источнику</x:v>
      </x:c>
      <x:c r="Y161" s="10" t="str">
        <x:v>Не проверено</x:v>
      </x:c>
      <x:c r="Z161" s="10" t="str">
        <x:v>Не проверено</x:v>
      </x:c>
      <x:c r="AA161" s="10" t="str">
        <x:v>Метаданные списка; видео не просмотрено</x:v>
      </x:c>
      <x:c r="AB161" s="13" t="str">
        <x:f>IF(AND(ISNUMBER(H161),ISNUMBER(W161)),H161/MAX(1,'Обзор'!$B$4-W161),"")</x:f>
      </x:c>
      <x:c r="AC161" s="17" t="str">
        <x:v>Не решено</x:v>
      </x:c>
      <x:c r="AD161" s="17" t="str">
        <x:v>Не проверено</x:v>
      </x:c>
      <x:c r="AE161" s="17" t="str">
        <x:v>Не проверено</x:v>
      </x:c>
      <x:c r="AF161" s="17" t="str">
        <x:v>Не проверено</x:v>
      </x:c>
      <x:c r="AG161" s="17" t="str">
        <x:v>Не решено</x:v>
      </x:c>
      <x:c r="AH161" s="17" t="str">
        <x:v>Не проверено</x:v>
      </x:c>
      <x:c r="AI161" s="10" t="str">
        <x:f>IF(AC161="Отклонить","Отклонено",IF(AND(AC161="Взять",COUNTIFS(AD161:AH161,"Да")=5),"Готово","Нужна редактура"))</x:f>
        <x:v>Нужна редактура</x:v>
      </x:c>
      <x:c r="AJ161" s="17" t="str"/>
      <x:c r="AK161" s="9" t="str">
        <x:v>https://www.youtube.com/playlist?list=PLLttfoK87AdXhoxwvB_YmO3GzrfDx9PRr</x:v>
      </x:c>
      <x:c r="AL161" s="9" t="n">
        <x:v>7</x:v>
      </x:c>
      <x:c r="AM161" s="9"/>
      <x:c r="AN161" s="9"/>
    </x:row>
    <x:row r="162" ht="60" customHeight="1">
      <x:c r="A162" s="9" t="str">
        <x:v>6XXGdnmufFE</x:v>
      </x:c>
      <x:c r="B162" s="10" t="str">
        <x:v>משפחה בהסעה 🚙 | פרק 1 - בואו נדבר על סקס</x:v>
      </x:c>
      <x:c r="C162" s="10" t="str">
        <x:v>Семья и поколения</x:v>
      </x:c>
      <x:c r="D162" s="9" t="str">
        <x:v>Общество</x:v>
      </x:c>
      <x:c r="E162" s="10" t="str">
        <x:v>Родители; разговорный иврит; лёгкий просмотр</x:v>
      </x:c>
      <x:c r="F162" s="10" t="str">
        <x:v>B1–B2 (гипотеза)</x:v>
      </x:c>
      <x:c r="G162" s="12" t="n">
        <x:v>25.1</x:v>
      </x:c>
      <x:c r="H162" s="14" t="n">
        <x:v>967677</x:v>
      </x:c>
      <x:c r="I162" s="15" t="str">
        <x:v>Точный счётчик метаданных видео</x:v>
      </x:c>
      <x:c r="J162" s="14" t="n">
        <x:v>967000</x:v>
      </x:c>
      <x:c r="K162" s="14" t="n">
        <x:v>456000</x:v>
      </x:c>
      <x:c r="L162" s="12" t="n">
        <x:f>IF(COUNT(J162:K162)=2,IF(K162=0,"",J162/K162),"")</x:f>
        <x:v>2.120614035087719</x:v>
      </x:c>
      <x:c r="M162" s="10" t="str">
        <x:v>Тема: משפחה בהסעה 🚙 | פרק 1 - בואו נדבר על סקס. Просмотры в списке выше медианы выборки этого цикла в 2.12 раза. Разговоры семьи в машине дают естественную смену тем и короткие реплики. Расширяют предложение для родителей и семейного просмотра.</x:v>
      </x:c>
      <x:c r="N162" s="10" t="str">
        <x:v>Восстановить пропущенные слова в коротком диалоге; записать ответ ребёнку.</x:v>
      </x:c>
      <x:c r="O162" s="10" t="str">
        <x:v>Проверить возрастную уместность</x:v>
      </x:c>
      <x:c r="P162" s="10" t="str">
        <x:v>Самостоятельное видео</x:v>
      </x:c>
      <x:c r="Q162" s="9" t="str">
        <x:v>Нет</x:v>
      </x:c>
      <x:c r="R162" s="9" t="str">
        <x:v>C011</x:v>
      </x:c>
      <x:c r="S162" s="9" t="str">
        <x:v>C011</x:v>
      </x:c>
      <x:c r="T162" s="10" t="str">
        <x:v>כאן 11 - תאגיד השידור הישראלי</x:v>
      </x:c>
      <x:c r="U162" s="11" t="str">
        <x:v>https://www.youtube.com/watch?v=6XXGdnmufFE</x:v>
      </x:c>
      <x:c r="V162" s="16" t="n">
        <x:v>46308</x:v>
      </x:c>
      <x:c r="W162" s="16" t="n">
        <x:v>44343</x:v>
      </x:c>
      <x:c r="X162" s="10" t="str">
        <x:v>iw</x:v>
      </x:c>
      <x:c r="Y162" s="10" t="str">
        <x:v>Автоматическая дорожка HE по метаданным</x:v>
      </x:c>
      <x:c r="Z162" s="10" t="str">
        <x:v>Разрешено по метаданным</x:v>
      </x:c>
      <x:c r="AA162" s="10" t="str">
        <x:v>Метаданные видео; воспроизведение и содержание не проверены</x:v>
      </x:c>
      <x:c r="AB162" s="13" t="n">
        <x:f>IF(AND(ISNUMBER(H162),ISNUMBER(W162)),H162/MAX(1,'Обзор'!$B$4-W162),"")</x:f>
        <x:v>492.4564885496183</x:v>
      </x:c>
      <x:c r="AC162" s="17" t="str">
        <x:v>Не решено</x:v>
      </x:c>
      <x:c r="AD162" s="17" t="str">
        <x:v>Не проверено</x:v>
      </x:c>
      <x:c r="AE162" s="17" t="str">
        <x:v>Не проверено</x:v>
      </x:c>
      <x:c r="AF162" s="17" t="str">
        <x:v>Не проверено</x:v>
      </x:c>
      <x:c r="AG162" s="17" t="str">
        <x:v>Не решено</x:v>
      </x:c>
      <x:c r="AH162" s="17" t="str">
        <x:v>Не проверено</x:v>
      </x:c>
      <x:c r="AI162" s="10" t="str">
        <x:f>IF(AC162="Отклонить","Отклонено",IF(AND(AC162="Взять",COUNTIFS(AD162:AH162,"Да")=5),"Готово","Нужна редактура"))</x:f>
        <x:v>Нужна редактура</x:v>
      </x:c>
      <x:c r="AJ162" s="17" t="str"/>
      <x:c r="AK162" s="9" t="str">
        <x:v>https://www.youtube.com/playlist?list=PLLttfoK87AdUeKRP6UyZEnTiATN1gsKh9</x:v>
      </x:c>
      <x:c r="AL162" s="9" t="n">
        <x:v>10</x:v>
      </x:c>
      <x:c r="AM162" s="9" t="n">
        <x:v>1</x:v>
      </x:c>
      <x:c r="AN162" s="9" t="n">
        <x:v>0</x:v>
      </x:c>
    </x:row>
    <x:row r="163" ht="60" customHeight="1">
      <x:c r="A163" s="9" t="str">
        <x:v>zIKwV5iVVio</x:v>
      </x:c>
      <x:c r="B163" s="10" t="str">
        <x:v>משפחה בהסעה 🚙 | פרק 2 - הרשת החברתית</x:v>
      </x:c>
      <x:c r="C163" s="10" t="str">
        <x:v>Семья и поколения</x:v>
      </x:c>
      <x:c r="D163" s="9" t="str">
        <x:v>Общество</x:v>
      </x:c>
      <x:c r="E163" s="10" t="str">
        <x:v>Родители; разговорный иврит; лёгкий просмотр</x:v>
      </x:c>
      <x:c r="F163" s="10" t="str">
        <x:v>B1–B2 (гипотеза)</x:v>
      </x:c>
      <x:c r="G163" s="12" t="n">
        <x:v>27.5</x:v>
      </x:c>
      <x:c r="H163" s="14" t="n">
        <x:v>910307</x:v>
      </x:c>
      <x:c r="I163" s="15" t="str">
        <x:v>Точный счётчик метаданных видео</x:v>
      </x:c>
      <x:c r="J163" s="14" t="n">
        <x:v>910000</x:v>
      </x:c>
      <x:c r="K163" s="14" t="n">
        <x:v>456000</x:v>
      </x:c>
      <x:c r="L163" s="12" t="n">
        <x:f>IF(COUNT(J163:K163)=2,IF(K163=0,"",J163/K163),"")</x:f>
        <x:v>1.9956140350877194</x:v>
      </x:c>
      <x:c r="M163" s="10" t="str">
        <x:v>Тема: משפחה בהסעה 🚙 | פרק 2 - הרשת החברתית. Просмотры в списке выше медианы выборки этого цикла в 2.0 раза. Разговоры семьи в машине дают естественную смену тем и короткие реплики. Расширяют предложение для родителей и семейного просмотра.</x:v>
      </x:c>
      <x:c r="N163" s="10" t="str">
        <x:v>Восстановить пропущенные слова в коротком диалоге; записать ответ ребёнку.</x:v>
      </x:c>
      <x:c r="O163" s="10" t="str">
        <x:v>Проверить возрастную уместность</x:v>
      </x:c>
      <x:c r="P163" s="10" t="str">
        <x:v>Самостоятельное видео</x:v>
      </x:c>
      <x:c r="Q163" s="9" t="str">
        <x:v>Нет</x:v>
      </x:c>
      <x:c r="R163" s="9" t="str">
        <x:v>C011</x:v>
      </x:c>
      <x:c r="S163" s="9" t="str">
        <x:v>C011</x:v>
      </x:c>
      <x:c r="T163" s="10" t="str">
        <x:v>כאן 11 - תאגיד השידור הישראלי</x:v>
      </x:c>
      <x:c r="U163" s="11" t="str">
        <x:v>https://www.youtube.com/watch?v=zIKwV5iVVio</x:v>
      </x:c>
      <x:c r="V163" s="16" t="n">
        <x:v>46308</x:v>
      </x:c>
      <x:c r="W163" s="16" t="n">
        <x:v>44350</x:v>
      </x:c>
      <x:c r="X163" s="10" t="str">
        <x:v>Иврит предполагается по заголовку и источнику</x:v>
      </x:c>
      <x:c r="Y163" s="10" t="str">
        <x:v>Дорожка HE не найдена в метаданных; вшитые титры не проверены</x:v>
      </x:c>
      <x:c r="Z163" s="10" t="str">
        <x:v>Разрешено по метаданным</x:v>
      </x:c>
      <x:c r="AA163" s="10" t="str">
        <x:v>Метаданные видео; воспроизведение и содержание не проверены</x:v>
      </x:c>
      <x:c r="AB163" s="13" t="n">
        <x:f>IF(AND(ISNUMBER(H163),ISNUMBER(W163)),H163/MAX(1,'Обзор'!$B$4-W163),"")</x:f>
        <x:v>464.9167517875383</x:v>
      </x:c>
      <x:c r="AC163" s="17" t="str">
        <x:v>Не решено</x:v>
      </x:c>
      <x:c r="AD163" s="17" t="str">
        <x:v>Не проверено</x:v>
      </x:c>
      <x:c r="AE163" s="17" t="str">
        <x:v>Не проверено</x:v>
      </x:c>
      <x:c r="AF163" s="17" t="str">
        <x:v>Не проверено</x:v>
      </x:c>
      <x:c r="AG163" s="17" t="str">
        <x:v>Не решено</x:v>
      </x:c>
      <x:c r="AH163" s="17" t="str">
        <x:v>Не проверено</x:v>
      </x:c>
      <x:c r="AI163" s="10" t="str">
        <x:f>IF(AC163="Отклонить","Отклонено",IF(AND(AC163="Взять",COUNTIFS(AD163:AH163,"Да")=5),"Готово","Нужна редактура"))</x:f>
        <x:v>Нужна редактура</x:v>
      </x:c>
      <x:c r="AJ163" s="17" t="str"/>
      <x:c r="AK163" s="9" t="str">
        <x:v>https://www.youtube.com/playlist?list=PLLttfoK87AdUeKRP6UyZEnTiATN1gsKh9</x:v>
      </x:c>
      <x:c r="AL163" s="9" t="n">
        <x:v>9</x:v>
      </x:c>
      <x:c r="AM163" s="9" t="n">
        <x:v>2</x:v>
      </x:c>
      <x:c r="AN163" s="9" t="n">
        <x:v>0</x:v>
      </x:c>
    </x:row>
    <x:row r="164" ht="60" customHeight="1">
      <x:c r="A164" s="9" t="str">
        <x:v>0yp5EI9PvGQ</x:v>
      </x:c>
      <x:c r="B164" s="10" t="str">
        <x:v>משפחה בהסעה 🚙 | פרק 3 - שקר החן והבל היופי</x:v>
      </x:c>
      <x:c r="C164" s="10" t="str">
        <x:v>Семья и поколения</x:v>
      </x:c>
      <x:c r="D164" s="9" t="str">
        <x:v>Общество</x:v>
      </x:c>
      <x:c r="E164" s="10" t="str">
        <x:v>Родители; разговорный иврит; лёгкий просмотр</x:v>
      </x:c>
      <x:c r="F164" s="10" t="str">
        <x:v>B1–B2 (гипотеза)</x:v>
      </x:c>
      <x:c r="G164" s="12" t="n">
        <x:v>27.5</x:v>
      </x:c>
      <x:c r="H164" s="14" t="n">
        <x:v>498723</x:v>
      </x:c>
      <x:c r="I164" s="15" t="str">
        <x:v>Точный счётчик метаданных видео</x:v>
      </x:c>
      <x:c r="J164" s="14" t="n">
        <x:v>498000</x:v>
      </x:c>
      <x:c r="K164" s="14" t="n">
        <x:v>456000</x:v>
      </x:c>
      <x:c r="L164" s="12" t="n">
        <x:f>IF(COUNT(J164:K164)=2,IF(K164=0,"",J164/K164),"")</x:f>
        <x:v>1.0921052631578947</x:v>
      </x:c>
      <x:c r="M164" s="10" t="str">
        <x:v>Тема: משפחה בהסעה 🚙 | פרק 3 - שקר החן והבל היופי. Разговоры семьи в машине дают естественную смену тем и короткие реплики. Расширяют предложение для родителей и семейного просмотра.</x:v>
      </x:c>
      <x:c r="N164" s="10" t="str">
        <x:v>Восстановить пропущенные слова в коротком диалоге; записать ответ ребёнку.</x:v>
      </x:c>
      <x:c r="O164" s="10" t="str">
        <x:v>Проверить возрастную уместность</x:v>
      </x:c>
      <x:c r="P164" s="10" t="str">
        <x:v>Самостоятельное видео</x:v>
      </x:c>
      <x:c r="Q164" s="9" t="str">
        <x:v>Нет</x:v>
      </x:c>
      <x:c r="R164" s="9" t="str">
        <x:v>C011</x:v>
      </x:c>
      <x:c r="S164" s="9" t="str">
        <x:v>C011</x:v>
      </x:c>
      <x:c r="T164" s="10" t="str">
        <x:v>כאן 11 - תאגיד השידור הישראלי</x:v>
      </x:c>
      <x:c r="U164" s="11" t="str">
        <x:v>https://www.youtube.com/watch?v=0yp5EI9PvGQ</x:v>
      </x:c>
      <x:c r="V164" s="16" t="n">
        <x:v>46308</x:v>
      </x:c>
      <x:c r="W164" s="16" t="n">
        <x:v>44571</x:v>
      </x:c>
      <x:c r="X164" s="10" t="str">
        <x:v>Иврит предполагается по заголовку и источнику</x:v>
      </x:c>
      <x:c r="Y164" s="10" t="str">
        <x:v>Дорожка HE не найдена в метаданных; вшитые титры не проверены</x:v>
      </x:c>
      <x:c r="Z164" s="10" t="str">
        <x:v>Разрешено по метаданным</x:v>
      </x:c>
      <x:c r="AA164" s="10" t="str">
        <x:v>Метаданные видео; воспроизведение и содержание не проверены</x:v>
      </x:c>
      <x:c r="AB164" s="13" t="n">
        <x:f>IF(AND(ISNUMBER(H164),ISNUMBER(W164)),H164/MAX(1,'Обзор'!$B$4-W164),"")</x:f>
        <x:v>287.1174438687392</x:v>
      </x:c>
      <x:c r="AC164" s="17" t="str">
        <x:v>Не решено</x:v>
      </x:c>
      <x:c r="AD164" s="17" t="str">
        <x:v>Не проверено</x:v>
      </x:c>
      <x:c r="AE164" s="17" t="str">
        <x:v>Не проверено</x:v>
      </x:c>
      <x:c r="AF164" s="17" t="str">
        <x:v>Не проверено</x:v>
      </x:c>
      <x:c r="AG164" s="17" t="str">
        <x:v>Не решено</x:v>
      </x:c>
      <x:c r="AH164" s="17" t="str">
        <x:v>Не проверено</x:v>
      </x:c>
      <x:c r="AI164" s="10" t="str">
        <x:f>IF(AC164="Отклонить","Отклонено",IF(AND(AC164="Взять",COUNTIFS(AD164:AH164,"Да")=5),"Готово","Нужна редактура"))</x:f>
        <x:v>Нужна редактура</x:v>
      </x:c>
      <x:c r="AJ164" s="17" t="str"/>
      <x:c r="AK164" s="9" t="str">
        <x:v>https://www.youtube.com/playlist?list=PLLttfoK87AdUeKRP6UyZEnTiATN1gsKh9</x:v>
      </x:c>
      <x:c r="AL164" s="9" t="n">
        <x:v>8</x:v>
      </x:c>
      <x:c r="AM164" s="9" t="n">
        <x:v>3</x:v>
      </x:c>
      <x:c r="AN164" s="9" t="n">
        <x:v>0</x:v>
      </x:c>
    </x:row>
    <x:row r="165" ht="60" customHeight="1">
      <x:c r="A165" s="9" t="str">
        <x:v>Dj5Y9IPR0XM</x:v>
      </x:c>
      <x:c r="B165" s="10" t="str">
        <x:v>משפחה בהסעה 🚙 | פרק 4 - שוברים דיסטנס</x:v>
      </x:c>
      <x:c r="C165" s="10" t="str">
        <x:v>Семья и поколения</x:v>
      </x:c>
      <x:c r="D165" s="9" t="str">
        <x:v>Общество</x:v>
      </x:c>
      <x:c r="E165" s="10" t="str">
        <x:v>Родители; разговорный иврит; лёгкий просмотр</x:v>
      </x:c>
      <x:c r="F165" s="10" t="str">
        <x:v>B1–B2 (гипотеза)</x:v>
      </x:c>
      <x:c r="G165" s="12" t="n">
        <x:v>28.1</x:v>
      </x:c>
      <x:c r="H165" s="14" t="n">
        <x:v>495243</x:v>
      </x:c>
      <x:c r="I165" s="15" t="str">
        <x:v>Точный счётчик метаданных видео</x:v>
      </x:c>
      <x:c r="J165" s="14" t="n">
        <x:v>495000</x:v>
      </x:c>
      <x:c r="K165" s="14" t="n">
        <x:v>456000</x:v>
      </x:c>
      <x:c r="L165" s="12" t="n">
        <x:f>IF(COUNT(J165:K165)=2,IF(K165=0,"",J165/K165),"")</x:f>
        <x:v>1.0855263157894737</x:v>
      </x:c>
      <x:c r="M165" s="10" t="str">
        <x:v>Тема: משפחה בהסעה 🚙 | פרק 4 - שוברים דיסטנס. Разговоры семьи в машине дают естественную смену тем и короткие реплики. Расширяют предложение для родителей и семейного просмотра.</x:v>
      </x:c>
      <x:c r="N165" s="10" t="str">
        <x:v>Восстановить пропущенные слова в коротком диалоге; записать ответ ребёнку.</x:v>
      </x:c>
      <x:c r="O165" s="10" t="str">
        <x:v>Проверить возрастную уместность</x:v>
      </x:c>
      <x:c r="P165" s="10" t="str">
        <x:v>Самостоятельное видео</x:v>
      </x:c>
      <x:c r="Q165" s="9" t="str">
        <x:v>Нет</x:v>
      </x:c>
      <x:c r="R165" s="9" t="str">
        <x:v>C011</x:v>
      </x:c>
      <x:c r="S165" s="9" t="str">
        <x:v>C011</x:v>
      </x:c>
      <x:c r="T165" s="10" t="str">
        <x:v>כאן 11 - תאגיד השידור הישראלי</x:v>
      </x:c>
      <x:c r="U165" s="11" t="str">
        <x:v>https://www.youtube.com/watch?v=Dj5Y9IPR0XM</x:v>
      </x:c>
      <x:c r="V165" s="16" t="n">
        <x:v>46308</x:v>
      </x:c>
      <x:c r="W165" s="16" t="n">
        <x:v>44578</x:v>
      </x:c>
      <x:c r="X165" s="10" t="str">
        <x:v>Иврит предполагается по заголовку и источнику</x:v>
      </x:c>
      <x:c r="Y165" s="10" t="str">
        <x:v>Дорожка HE не найдена в метаданных; вшитые титры не проверены</x:v>
      </x:c>
      <x:c r="Z165" s="10" t="str">
        <x:v>Разрешено по метаданным</x:v>
      </x:c>
      <x:c r="AA165" s="10" t="str">
        <x:v>Метаданные видео; воспроизведение и содержание не проверены</x:v>
      </x:c>
      <x:c r="AB165" s="13" t="n">
        <x:f>IF(AND(ISNUMBER(H165),ISNUMBER(W165)),H165/MAX(1,'Обзор'!$B$4-W165),"")</x:f>
        <x:v>286.26763005780344</x:v>
      </x:c>
      <x:c r="AC165" s="17" t="str">
        <x:v>Не решено</x:v>
      </x:c>
      <x:c r="AD165" s="17" t="str">
        <x:v>Не проверено</x:v>
      </x:c>
      <x:c r="AE165" s="17" t="str">
        <x:v>Не проверено</x:v>
      </x:c>
      <x:c r="AF165" s="17" t="str">
        <x:v>Не проверено</x:v>
      </x:c>
      <x:c r="AG165" s="17" t="str">
        <x:v>Не решено</x:v>
      </x:c>
      <x:c r="AH165" s="17" t="str">
        <x:v>Не проверено</x:v>
      </x:c>
      <x:c r="AI165" s="10" t="str">
        <x:f>IF(AC165="Отклонить","Отклонено",IF(AND(AC165="Взять",COUNTIFS(AD165:AH165,"Да")=5),"Готово","Нужна редактура"))</x:f>
        <x:v>Нужна редактура</x:v>
      </x:c>
      <x:c r="AJ165" s="17" t="str"/>
      <x:c r="AK165" s="9" t="str">
        <x:v>https://www.youtube.com/playlist?list=PLLttfoK87AdUeKRP6UyZEnTiATN1gsKh9</x:v>
      </x:c>
      <x:c r="AL165" s="9" t="n">
        <x:v>7</x:v>
      </x:c>
      <x:c r="AM165" s="9" t="n">
        <x:v>4</x:v>
      </x:c>
      <x:c r="AN165" s="9" t="n">
        <x:v>0</x:v>
      </x:c>
    </x:row>
    <x:row r="166" ht="60" customHeight="1">
      <x:c r="A166" s="9" t="str">
        <x:v>6_ucnMFfGEc</x:v>
      </x:c>
      <x:c r="B166" s="10" t="str">
        <x:v>משפחה בהסעה 🚙 | פרק 5 - ביקורת גבולות</x:v>
      </x:c>
      <x:c r="C166" s="10" t="str">
        <x:v>Семья и поколения</x:v>
      </x:c>
      <x:c r="D166" s="9" t="str">
        <x:v>Общество</x:v>
      </x:c>
      <x:c r="E166" s="10" t="str">
        <x:v>Родители; разговорный иврит; лёгкий просмотр</x:v>
      </x:c>
      <x:c r="F166" s="10" t="str">
        <x:v>B1–B2 (гипотеза)</x:v>
      </x:c>
      <x:c r="G166" s="12" t="n">
        <x:v>32.3</x:v>
      </x:c>
      <x:c r="H166" s="14" t="n">
        <x:v>490490</x:v>
      </x:c>
      <x:c r="I166" s="15" t="str">
        <x:v>Точный счётчик метаданных видео</x:v>
      </x:c>
      <x:c r="J166" s="14" t="n">
        <x:v>490000</x:v>
      </x:c>
      <x:c r="K166" s="14" t="n">
        <x:v>456000</x:v>
      </x:c>
      <x:c r="L166" s="12" t="n">
        <x:f>IF(COUNT(J166:K166)=2,IF(K166=0,"",J166/K166),"")</x:f>
        <x:v>1.0745614035087718</x:v>
      </x:c>
      <x:c r="M166" s="10" t="str">
        <x:v>Тема: משפחה בהסעה 🚙 | פרק 5 - ביקורת גבולות. Разговоры семьи в машине дают естественную смену тем и короткие реплики. Расширяют предложение для родителей и семейного просмотра.</x:v>
      </x:c>
      <x:c r="N166" s="10" t="str">
        <x:v>Восстановить пропущенные слова в коротком диалоге; записать ответ ребёнку.</x:v>
      </x:c>
      <x:c r="O166" s="10" t="str">
        <x:v>Проверить возрастную уместность</x:v>
      </x:c>
      <x:c r="P166" s="10" t="str">
        <x:v>Самостоятельное видео</x:v>
      </x:c>
      <x:c r="Q166" s="9" t="str">
        <x:v>Нет</x:v>
      </x:c>
      <x:c r="R166" s="9" t="str">
        <x:v>C011</x:v>
      </x:c>
      <x:c r="S166" s="9" t="str">
        <x:v>C011</x:v>
      </x:c>
      <x:c r="T166" s="10" t="str">
        <x:v>כאן 11 - תאגיד השידור הישראלי</x:v>
      </x:c>
      <x:c r="U166" s="11" t="str">
        <x:v>https://www.youtube.com/watch?v=6_ucnMFfGEc</x:v>
      </x:c>
      <x:c r="V166" s="16" t="n">
        <x:v>46308</x:v>
      </x:c>
      <x:c r="W166" s="16" t="n">
        <x:v>44585</x:v>
      </x:c>
      <x:c r="X166" s="10" t="str">
        <x:v>Иврит предполагается по заголовку и источнику</x:v>
      </x:c>
      <x:c r="Y166" s="10" t="str">
        <x:v>Дорожка HE не найдена в метаданных; вшитые титры не проверены</x:v>
      </x:c>
      <x:c r="Z166" s="10" t="str">
        <x:v>Разрешено по метаданным</x:v>
      </x:c>
      <x:c r="AA166" s="10" t="str">
        <x:v>Метаданные видео; воспроизведение и содержание не проверены</x:v>
      </x:c>
      <x:c r="AB166" s="13" t="n">
        <x:f>IF(AND(ISNUMBER(H166),ISNUMBER(W166)),H166/MAX(1,'Обзор'!$B$4-W166),"")</x:f>
        <x:v>284.6720835751596</x:v>
      </x:c>
      <x:c r="AC166" s="17" t="str">
        <x:v>Не решено</x:v>
      </x:c>
      <x:c r="AD166" s="17" t="str">
        <x:v>Не проверено</x:v>
      </x:c>
      <x:c r="AE166" s="17" t="str">
        <x:v>Не проверено</x:v>
      </x:c>
      <x:c r="AF166" s="17" t="str">
        <x:v>Не проверено</x:v>
      </x:c>
      <x:c r="AG166" s="17" t="str">
        <x:v>Не решено</x:v>
      </x:c>
      <x:c r="AH166" s="17" t="str">
        <x:v>Не проверено</x:v>
      </x:c>
      <x:c r="AI166" s="10" t="str">
        <x:f>IF(AC166="Отклонить","Отклонено",IF(AND(AC166="Взять",COUNTIFS(AD166:AH166,"Да")=5),"Готово","Нужна редактура"))</x:f>
        <x:v>Нужна редактура</x:v>
      </x:c>
      <x:c r="AJ166" s="17" t="str"/>
      <x:c r="AK166" s="9" t="str">
        <x:v>https://www.youtube.com/playlist?list=PLLttfoK87AdUeKRP6UyZEnTiATN1gsKh9</x:v>
      </x:c>
      <x:c r="AL166" s="9" t="n">
        <x:v>6</x:v>
      </x:c>
      <x:c r="AM166" s="9" t="n">
        <x:v>5</x:v>
      </x:c>
      <x:c r="AN166" s="9" t="n">
        <x:v>0</x:v>
      </x:c>
    </x:row>
    <x:row r="167" ht="60" customHeight="1">
      <x:c r="A167" s="9" t="str">
        <x:v>rJAyDa7P1CM</x:v>
      </x:c>
      <x:c r="B167" s="10" t="str">
        <x:v>משפחה בהסעה 🚙 | פרק 6 - עוזבים את הקן</x:v>
      </x:c>
      <x:c r="C167" s="10" t="str">
        <x:v>Семья и поколения</x:v>
      </x:c>
      <x:c r="D167" s="9" t="str">
        <x:v>Общество</x:v>
      </x:c>
      <x:c r="E167" s="10" t="str">
        <x:v>Родители; разговорный иврит; лёгкий просмотр</x:v>
      </x:c>
      <x:c r="F167" s="10" t="str">
        <x:v>B1–B2 (гипотеза)</x:v>
      </x:c>
      <x:c r="G167" s="12" t="n">
        <x:v>32.8</x:v>
      </x:c>
      <x:c r="H167" s="14" t="n">
        <x:v>422063</x:v>
      </x:c>
      <x:c r="I167" s="15" t="str">
        <x:v>Точный счётчик метаданных видео</x:v>
      </x:c>
      <x:c r="J167" s="14" t="n">
        <x:v>422000</x:v>
      </x:c>
      <x:c r="K167" s="14" t="n">
        <x:v>456000</x:v>
      </x:c>
      <x:c r="L167" s="12" t="n">
        <x:f>IF(COUNT(J167:K167)=2,IF(K167=0,"",J167/K167),"")</x:f>
        <x:v>0.9254385964912281</x:v>
      </x:c>
      <x:c r="M167" s="10" t="str">
        <x:v>Тема: משפחה בהסעה 🚙 | פרק 6 - עוזבים את הקן. Разговоры семьи в машине дают естественную смену тем и короткие реплики. Расширяют предложение для родителей и семейного просмотра.</x:v>
      </x:c>
      <x:c r="N167" s="10" t="str">
        <x:v>Восстановить пропущенные слова в коротком диалоге; записать ответ ребёнку.</x:v>
      </x:c>
      <x:c r="O167" s="10" t="str">
        <x:v>Проверить возрастную уместность</x:v>
      </x:c>
      <x:c r="P167" s="10" t="str">
        <x:v>Самостоятельное видео</x:v>
      </x:c>
      <x:c r="Q167" s="9" t="str">
        <x:v>Нет</x:v>
      </x:c>
      <x:c r="R167" s="9" t="str">
        <x:v>C011</x:v>
      </x:c>
      <x:c r="S167" s="9" t="str">
        <x:v>C011</x:v>
      </x:c>
      <x:c r="T167" s="10" t="str">
        <x:v>כאן 11 - תאגיד השידור הישראלי</x:v>
      </x:c>
      <x:c r="U167" s="11" t="str">
        <x:v>https://www.youtube.com/watch?v=rJAyDa7P1CM</x:v>
      </x:c>
      <x:c r="V167" s="16" t="n">
        <x:v>46308</x:v>
      </x:c>
      <x:c r="W167" s="16" t="n">
        <x:v>44592</x:v>
      </x:c>
      <x:c r="X167" s="10" t="str">
        <x:v>Иврит предполагается по заголовку и источнику</x:v>
      </x:c>
      <x:c r="Y167" s="10" t="str">
        <x:v>Дорожка HE не найдена в метаданных; вшитые титры не проверены</x:v>
      </x:c>
      <x:c r="Z167" s="10" t="str">
        <x:v>Разрешено по метаданным</x:v>
      </x:c>
      <x:c r="AA167" s="10" t="str">
        <x:v>Метаданные видео; воспроизведение и содержание не проверены</x:v>
      </x:c>
      <x:c r="AB167" s="13" t="n">
        <x:f>IF(AND(ISNUMBER(H167),ISNUMBER(W167)),H167/MAX(1,'Обзор'!$B$4-W167),"")</x:f>
        <x:v>245.9574592074592</x:v>
      </x:c>
      <x:c r="AC167" s="17" t="str">
        <x:v>Не решено</x:v>
      </x:c>
      <x:c r="AD167" s="17" t="str">
        <x:v>Не проверено</x:v>
      </x:c>
      <x:c r="AE167" s="17" t="str">
        <x:v>Не проверено</x:v>
      </x:c>
      <x:c r="AF167" s="17" t="str">
        <x:v>Не проверено</x:v>
      </x:c>
      <x:c r="AG167" s="17" t="str">
        <x:v>Не решено</x:v>
      </x:c>
      <x:c r="AH167" s="17" t="str">
        <x:v>Не проверено</x:v>
      </x:c>
      <x:c r="AI167" s="10" t="str">
        <x:f>IF(AC167="Отклонить","Отклонено",IF(AND(AC167="Взять",COUNTIFS(AD167:AH167,"Да")=5),"Готово","Нужна редактура"))</x:f>
        <x:v>Нужна редактура</x:v>
      </x:c>
      <x:c r="AJ167" s="17" t="str"/>
      <x:c r="AK167" s="9" t="str">
        <x:v>https://www.youtube.com/playlist?list=PLLttfoK87AdUeKRP6UyZEnTiATN1gsKh9</x:v>
      </x:c>
      <x:c r="AL167" s="9" t="n">
        <x:v>5</x:v>
      </x:c>
      <x:c r="AM167" s="9" t="n">
        <x:v>6</x:v>
      </x:c>
      <x:c r="AN167" s="9" t="n">
        <x:v>0</x:v>
      </x:c>
    </x:row>
    <x:row r="168" ht="60" customHeight="1">
      <x:c r="A168" s="9" t="str">
        <x:v>LspCDFYnDgM</x:v>
      </x:c>
      <x:c r="B168" s="10" t="str">
        <x:v>משפחה בהסעה 🚙 | פרק 7 - בחינת בגרות</x:v>
      </x:c>
      <x:c r="C168" s="10" t="str">
        <x:v>Семья и поколения</x:v>
      </x:c>
      <x:c r="D168" s="9" t="str">
        <x:v>Общество</x:v>
      </x:c>
      <x:c r="E168" s="10" t="str">
        <x:v>Родители; разговорный иврит; лёгкий просмотр</x:v>
      </x:c>
      <x:c r="F168" s="10" t="str">
        <x:v>B1–B2 (гипотеза)</x:v>
      </x:c>
      <x:c r="G168" s="12" t="n">
        <x:v>30</x:v>
      </x:c>
      <x:c r="H168" s="14" t="n">
        <x:v>332000</x:v>
      </x:c>
      <x:c r="I168" s="15" t="str">
        <x:v>Округлённый счётчик в списке YouTube</x:v>
      </x:c>
      <x:c r="J168" s="14" t="n">
        <x:v>332000</x:v>
      </x:c>
      <x:c r="K168" s="14" t="n">
        <x:v>456000</x:v>
      </x:c>
      <x:c r="L168" s="12" t="n">
        <x:f>IF(COUNT(J168:K168)=2,IF(K168=0,"",J168/K168),"")</x:f>
        <x:v>0.7280701754385965</x:v>
      </x:c>
      <x:c r="M168" s="10" t="str">
        <x:v>Тема: משפחה בהסעה 🚙 | פרק 7 - בחינת בגרות. Разговоры семьи в машине дают естественную смену тем и короткие реплики. Расширяют предложение для родителей и семейного просмотра.</x:v>
      </x:c>
      <x:c r="N168" s="10" t="str">
        <x:v>Восстановить пропущенные слова в коротком диалоге; записать ответ ребёнку.</x:v>
      </x:c>
      <x:c r="O168" s="10" t="str">
        <x:v>Проверить возрастную уместность</x:v>
      </x:c>
      <x:c r="P168" s="10" t="str">
        <x:v>Самостоятельное видео</x:v>
      </x:c>
      <x:c r="Q168" s="9" t="str">
        <x:v>Нет</x:v>
      </x:c>
      <x:c r="R168" s="9" t="str">
        <x:v>C011</x:v>
      </x:c>
      <x:c r="S168" s="9" t="str">
        <x:v>C011</x:v>
      </x:c>
      <x:c r="T168" s="10" t="str">
        <x:v>כאן 11 - תאגיד השידור הישראלי</x:v>
      </x:c>
      <x:c r="U168" s="11" t="str">
        <x:v>https://www.youtube.com/watch?v=LspCDFYnDgM</x:v>
      </x:c>
      <x:c r="V168" s="16" t="n">
        <x:v>46308</x:v>
      </x:c>
      <x:c r="W168" s="16"/>
      <x:c r="X168" s="10" t="str">
        <x:v>Иврит предполагается по заголовку и источнику</x:v>
      </x:c>
      <x:c r="Y168" s="10" t="str">
        <x:v>Не проверено</x:v>
      </x:c>
      <x:c r="Z168" s="10" t="str">
        <x:v>Не проверено</x:v>
      </x:c>
      <x:c r="AA168" s="10" t="str">
        <x:v>Метаданные списка; видео не просмотрено</x:v>
      </x:c>
      <x:c r="AB168" s="13" t="str">
        <x:f>IF(AND(ISNUMBER(H168),ISNUMBER(W168)),H168/MAX(1,'Обзор'!$B$4-W168),"")</x:f>
      </x:c>
      <x:c r="AC168" s="17" t="str">
        <x:v>Не решено</x:v>
      </x:c>
      <x:c r="AD168" s="17" t="str">
        <x:v>Не проверено</x:v>
      </x:c>
      <x:c r="AE168" s="17" t="str">
        <x:v>Не проверено</x:v>
      </x:c>
      <x:c r="AF168" s="17" t="str">
        <x:v>Не проверено</x:v>
      </x:c>
      <x:c r="AG168" s="17" t="str">
        <x:v>Не решено</x:v>
      </x:c>
      <x:c r="AH168" s="17" t="str">
        <x:v>Не проверено</x:v>
      </x:c>
      <x:c r="AI168" s="10" t="str">
        <x:f>IF(AC168="Отклонить","Отклонено",IF(AND(AC168="Взять",COUNTIFS(AD168:AH168,"Да")=5),"Готово","Нужна редактура"))</x:f>
        <x:v>Нужна редактура</x:v>
      </x:c>
      <x:c r="AJ168" s="17" t="str"/>
      <x:c r="AK168" s="9" t="str">
        <x:v>https://www.youtube.com/playlist?list=PLLttfoK87AdUeKRP6UyZEnTiATN1gsKh9</x:v>
      </x:c>
      <x:c r="AL168" s="9" t="n">
        <x:v>4</x:v>
      </x:c>
      <x:c r="AM168" s="9" t="n">
        <x:v>7</x:v>
      </x:c>
      <x:c r="AN168" s="9"/>
    </x:row>
    <x:row r="169" ht="60" customHeight="1">
      <x:c r="A169" s="9" t="str">
        <x:v>bwrYzR69wC8</x:v>
      </x:c>
      <x:c r="B169" s="10" t="str">
        <x:v>משפחה בהסעה 🚙 | פרק 8 - סיפורי אהבה וגירושים</x:v>
      </x:c>
      <x:c r="C169" s="10" t="str">
        <x:v>Семья и поколения</x:v>
      </x:c>
      <x:c r="D169" s="9" t="str">
        <x:v>Общество</x:v>
      </x:c>
      <x:c r="E169" s="10" t="str">
        <x:v>Родители; разговорный иврит; лёгкий просмотр</x:v>
      </x:c>
      <x:c r="F169" s="10" t="str">
        <x:v>B1–B2 (гипотеза)</x:v>
      </x:c>
      <x:c r="G169" s="12" t="n">
        <x:v>28.1</x:v>
      </x:c>
      <x:c r="H169" s="14" t="n">
        <x:v>405184</x:v>
      </x:c>
      <x:c r="I169" s="15" t="str">
        <x:v>Точный счётчик метаданных видео</x:v>
      </x:c>
      <x:c r="J169" s="14" t="n">
        <x:v>405000</x:v>
      </x:c>
      <x:c r="K169" s="14" t="n">
        <x:v>456000</x:v>
      </x:c>
      <x:c r="L169" s="12" t="n">
        <x:f>IF(COUNT(J169:K169)=2,IF(K169=0,"",J169/K169),"")</x:f>
        <x:v>0.8881578947368421</x:v>
      </x:c>
      <x:c r="M169" s="10" t="str">
        <x:v>Тема: משפחה בהסעה 🚙 | פרק 8 - סיפורי אהבה וגירושים. Разговоры семьи в машине дают естественную смену тем и короткие реплики. Расширяют предложение для родителей и семейного просмотра.</x:v>
      </x:c>
      <x:c r="N169" s="10" t="str">
        <x:v>Восстановить пропущенные слова в коротком диалоге; записать ответ ребёнку.</x:v>
      </x:c>
      <x:c r="O169" s="10" t="str">
        <x:v>Проверить возрастную уместность</x:v>
      </x:c>
      <x:c r="P169" s="10" t="str">
        <x:v>Самостоятельное видео</x:v>
      </x:c>
      <x:c r="Q169" s="9" t="str">
        <x:v>Нет</x:v>
      </x:c>
      <x:c r="R169" s="9" t="str">
        <x:v>C011</x:v>
      </x:c>
      <x:c r="S169" s="9" t="str">
        <x:v>C011</x:v>
      </x:c>
      <x:c r="T169" s="10" t="str">
        <x:v>כאן 11 - תאגיד השידור הישראלי</x:v>
      </x:c>
      <x:c r="U169" s="11" t="str">
        <x:v>https://www.youtube.com/watch?v=bwrYzR69wC8</x:v>
      </x:c>
      <x:c r="V169" s="16" t="n">
        <x:v>46308</x:v>
      </x:c>
      <x:c r="W169" s="16" t="n">
        <x:v>44606</x:v>
      </x:c>
      <x:c r="X169" s="10" t="str">
        <x:v>Иврит предполагается по заголовку и источнику</x:v>
      </x:c>
      <x:c r="Y169" s="10" t="str">
        <x:v>Дорожка HE не найдена в метаданных; вшитые титры не проверены</x:v>
      </x:c>
      <x:c r="Z169" s="10" t="str">
        <x:v>Разрешено по метаданным</x:v>
      </x:c>
      <x:c r="AA169" s="10" t="str">
        <x:v>Метаданные видео; воспроизведение и содержание не проверены</x:v>
      </x:c>
      <x:c r="AB169" s="13" t="n">
        <x:f>IF(AND(ISNUMBER(H169),ISNUMBER(W169)),H169/MAX(1,'Обзор'!$B$4-W169),"")</x:f>
        <x:v>238.06345475910695</x:v>
      </x:c>
      <x:c r="AC169" s="17" t="str">
        <x:v>Не решено</x:v>
      </x:c>
      <x:c r="AD169" s="17" t="str">
        <x:v>Не проверено</x:v>
      </x:c>
      <x:c r="AE169" s="17" t="str">
        <x:v>Не проверено</x:v>
      </x:c>
      <x:c r="AF169" s="17" t="str">
        <x:v>Не проверено</x:v>
      </x:c>
      <x:c r="AG169" s="17" t="str">
        <x:v>Не решено</x:v>
      </x:c>
      <x:c r="AH169" s="17" t="str">
        <x:v>Не проверено</x:v>
      </x:c>
      <x:c r="AI169" s="10" t="str">
        <x:f>IF(AC169="Отклонить","Отклонено",IF(AND(AC169="Взять",COUNTIFS(AD169:AH169,"Да")=5),"Готово","Нужна редактура"))</x:f>
        <x:v>Нужна редактура</x:v>
      </x:c>
      <x:c r="AJ169" s="17" t="str"/>
      <x:c r="AK169" s="9" t="str">
        <x:v>https://www.youtube.com/playlist?list=PLLttfoK87AdUeKRP6UyZEnTiATN1gsKh9</x:v>
      </x:c>
      <x:c r="AL169" s="9" t="n">
        <x:v>3</x:v>
      </x:c>
      <x:c r="AM169" s="9" t="n">
        <x:v>8</x:v>
      </x:c>
      <x:c r="AN169" s="9" t="n">
        <x:v>0</x:v>
      </x:c>
    </x:row>
    <x:row r="170" ht="60" customHeight="1">
      <x:c r="A170" s="9" t="str">
        <x:v>ufTLxPc7oNc</x:v>
      </x:c>
      <x:c r="B170" s="10" t="str">
        <x:v>משפחה בהסעה 🚙 | פרק 9 - נגד הזרם</x:v>
      </x:c>
      <x:c r="C170" s="10" t="str">
        <x:v>Семья и поколения</x:v>
      </x:c>
      <x:c r="D170" s="9" t="str">
        <x:v>Общество</x:v>
      </x:c>
      <x:c r="E170" s="10" t="str">
        <x:v>Родители; разговорный иврит; лёгкий просмотр</x:v>
      </x:c>
      <x:c r="F170" s="10" t="str">
        <x:v>B1–B2 (гипотеза)</x:v>
      </x:c>
      <x:c r="G170" s="12" t="n">
        <x:v>31.5</x:v>
      </x:c>
      <x:c r="H170" s="14" t="n">
        <x:v>343000</x:v>
      </x:c>
      <x:c r="I170" s="15" t="str">
        <x:v>Округлённый счётчик в списке YouTube</x:v>
      </x:c>
      <x:c r="J170" s="14" t="n">
        <x:v>343000</x:v>
      </x:c>
      <x:c r="K170" s="14" t="n">
        <x:v>456000</x:v>
      </x:c>
      <x:c r="L170" s="12" t="n">
        <x:f>IF(COUNT(J170:K170)=2,IF(K170=0,"",J170/K170),"")</x:f>
        <x:v>0.7521929824561403</x:v>
      </x:c>
      <x:c r="M170" s="10" t="str">
        <x:v>Тема: משפחה בהסעה 🚙 | פרק 9 - נגד הזרם. Разговоры семьи в машине дают естественную смену тем и короткие реплики. Расширяют предложение для родителей и семейного просмотра.</x:v>
      </x:c>
      <x:c r="N170" s="10" t="str">
        <x:v>Восстановить пропущенные слова в коротком диалоге; записать ответ ребёнку.</x:v>
      </x:c>
      <x:c r="O170" s="10" t="str">
        <x:v>Проверить возрастную уместность</x:v>
      </x:c>
      <x:c r="P170" s="10" t="str">
        <x:v>Самостоятельное видео</x:v>
      </x:c>
      <x:c r="Q170" s="9" t="str">
        <x:v>Нет</x:v>
      </x:c>
      <x:c r="R170" s="9" t="str">
        <x:v>C011</x:v>
      </x:c>
      <x:c r="S170" s="9" t="str">
        <x:v>C011</x:v>
      </x:c>
      <x:c r="T170" s="10" t="str">
        <x:v>כאן 11 - תאגיד השידור הישראלי</x:v>
      </x:c>
      <x:c r="U170" s="11" t="str">
        <x:v>https://www.youtube.com/watch?v=ufTLxPc7oNc</x:v>
      </x:c>
      <x:c r="V170" s="16" t="n">
        <x:v>46308</x:v>
      </x:c>
      <x:c r="W170" s="16"/>
      <x:c r="X170" s="10" t="str">
        <x:v>Иврит предполагается по заголовку и источнику</x:v>
      </x:c>
      <x:c r="Y170" s="10" t="str">
        <x:v>Не проверено</x:v>
      </x:c>
      <x:c r="Z170" s="10" t="str">
        <x:v>Не проверено</x:v>
      </x:c>
      <x:c r="AA170" s="10" t="str">
        <x:v>Метаданные списка; видео не просмотрено</x:v>
      </x:c>
      <x:c r="AB170" s="13" t="str">
        <x:f>IF(AND(ISNUMBER(H170),ISNUMBER(W170)),H170/MAX(1,'Обзор'!$B$4-W170),"")</x:f>
      </x:c>
      <x:c r="AC170" s="17" t="str">
        <x:v>Не решено</x:v>
      </x:c>
      <x:c r="AD170" s="17" t="str">
        <x:v>Не проверено</x:v>
      </x:c>
      <x:c r="AE170" s="17" t="str">
        <x:v>Не проверено</x:v>
      </x:c>
      <x:c r="AF170" s="17" t="str">
        <x:v>Не проверено</x:v>
      </x:c>
      <x:c r="AG170" s="17" t="str">
        <x:v>Не решено</x:v>
      </x:c>
      <x:c r="AH170" s="17" t="str">
        <x:v>Не проверено</x:v>
      </x:c>
      <x:c r="AI170" s="10" t="str">
        <x:f>IF(AC170="Отклонить","Отклонено",IF(AND(AC170="Взять",COUNTIFS(AD170:AH170,"Да")=5),"Готово","Нужна редактура"))</x:f>
        <x:v>Нужна редактура</x:v>
      </x:c>
      <x:c r="AJ170" s="17" t="str"/>
      <x:c r="AK170" s="9" t="str">
        <x:v>https://www.youtube.com/playlist?list=PLLttfoK87AdUeKRP6UyZEnTiATN1gsKh9</x:v>
      </x:c>
      <x:c r="AL170" s="9" t="n">
        <x:v>2</x:v>
      </x:c>
      <x:c r="AM170" s="9" t="n">
        <x:v>9</x:v>
      </x:c>
      <x:c r="AN170" s="9"/>
    </x:row>
    <x:row r="171" ht="60" customHeight="1">
      <x:c r="A171" s="9" t="str">
        <x:v>cEVV87C0f00</x:v>
      </x:c>
      <x:c r="B171" s="10" t="str">
        <x:v>משפחה בהסעה 🚙 | פרק 10 (ואחרון לעונה) - על בנים ועל בנות</x:v>
      </x:c>
      <x:c r="C171" s="10" t="str">
        <x:v>Семья и поколения</x:v>
      </x:c>
      <x:c r="D171" s="9" t="str">
        <x:v>Общество</x:v>
      </x:c>
      <x:c r="E171" s="10" t="str">
        <x:v>Родители; разговорный иврит; лёгкий просмотр</x:v>
      </x:c>
      <x:c r="F171" s="10" t="str">
        <x:v>B1–B2 (гипотеза)</x:v>
      </x:c>
      <x:c r="G171" s="12" t="n">
        <x:v>30.9</x:v>
      </x:c>
      <x:c r="H171" s="14" t="n">
        <x:v>386506</x:v>
      </x:c>
      <x:c r="I171" s="15" t="str">
        <x:v>Точный счётчик метаданных видео</x:v>
      </x:c>
      <x:c r="J171" s="14" t="n">
        <x:v>386000</x:v>
      </x:c>
      <x:c r="K171" s="14" t="n">
        <x:v>456000</x:v>
      </x:c>
      <x:c r="L171" s="12" t="n">
        <x:f>IF(COUNT(J171:K171)=2,IF(K171=0,"",J171/K171),"")</x:f>
        <x:v>0.8464912280701754</x:v>
      </x:c>
      <x:c r="M171" s="10" t="str">
        <x:v>Тема: משפחה בהסעה 🚙 | פרק 10 (ואחרון לעונה) - על בנים ועל בנות. Разговоры семьи в машине дают естественную смену тем и короткие реплики. Расширяют предложение для родителей и семейного просмотра.</x:v>
      </x:c>
      <x:c r="N171" s="10" t="str">
        <x:v>Восстановить пропущенные слова в коротком диалоге; записать ответ ребёнку.</x:v>
      </x:c>
      <x:c r="O171" s="10" t="str">
        <x:v>Проверить возрастную уместность</x:v>
      </x:c>
      <x:c r="P171" s="10" t="str">
        <x:v>Самостоятельное видео</x:v>
      </x:c>
      <x:c r="Q171" s="9" t="str">
        <x:v>Нет</x:v>
      </x:c>
      <x:c r="R171" s="9" t="str">
        <x:v>C011</x:v>
      </x:c>
      <x:c r="S171" s="9" t="str">
        <x:v>C011</x:v>
      </x:c>
      <x:c r="T171" s="10" t="str">
        <x:v>כאן 11 - תאגיד השידור הישראלי</x:v>
      </x:c>
      <x:c r="U171" s="11" t="str">
        <x:v>https://www.youtube.com/watch?v=cEVV87C0f00</x:v>
      </x:c>
      <x:c r="V171" s="16" t="n">
        <x:v>46308</x:v>
      </x:c>
      <x:c r="W171" s="16" t="n">
        <x:v>44620</x:v>
      </x:c>
      <x:c r="X171" s="10" t="str">
        <x:v>Иврит предполагается по заголовку и источнику</x:v>
      </x:c>
      <x:c r="Y171" s="10" t="str">
        <x:v>Дорожка HE не найдена в метаданных; вшитые титры не проверены</x:v>
      </x:c>
      <x:c r="Z171" s="10" t="str">
        <x:v>Разрешено по метаданным</x:v>
      </x:c>
      <x:c r="AA171" s="10" t="str">
        <x:v>Метаданные видео; воспроизведение и содержание не проверены</x:v>
      </x:c>
      <x:c r="AB171" s="13" t="n">
        <x:f>IF(AND(ISNUMBER(H171),ISNUMBER(W171)),H171/MAX(1,'Обзор'!$B$4-W171),"")</x:f>
        <x:v>228.9727488151659</x:v>
      </x:c>
      <x:c r="AC171" s="17" t="str">
        <x:v>Не решено</x:v>
      </x:c>
      <x:c r="AD171" s="17" t="str">
        <x:v>Не проверено</x:v>
      </x:c>
      <x:c r="AE171" s="17" t="str">
        <x:v>Не проверено</x:v>
      </x:c>
      <x:c r="AF171" s="17" t="str">
        <x:v>Не проверено</x:v>
      </x:c>
      <x:c r="AG171" s="17" t="str">
        <x:v>Не решено</x:v>
      </x:c>
      <x:c r="AH171" s="17" t="str">
        <x:v>Не проверено</x:v>
      </x:c>
      <x:c r="AI171" s="10" t="str">
        <x:f>IF(AC171="Отклонить","Отклонено",IF(AND(AC171="Взять",COUNTIFS(AD171:AH171,"Да")=5),"Готово","Нужна редактура"))</x:f>
        <x:v>Нужна редактура</x:v>
      </x:c>
      <x:c r="AJ171" s="17" t="str"/>
      <x:c r="AK171" s="9" t="str">
        <x:v>https://www.youtube.com/playlist?list=PLLttfoK87AdUeKRP6UyZEnTiATN1gsKh9</x:v>
      </x:c>
      <x:c r="AL171" s="9" t="n">
        <x:v>1</x:v>
      </x:c>
      <x:c r="AM171" s="9" t="n">
        <x:v>10</x:v>
      </x:c>
      <x:c r="AN171" s="9" t="n">
        <x:v>0</x:v>
      </x:c>
    </x:row>
    <x:row r="172" ht="60" customHeight="1">
      <x:c r="A172" s="9" t="str">
        <x:v>m0A3J3dW2Yk</x:v>
      </x:c>
      <x:c r="B172" s="10" t="str">
        <x:v>פגישה עם רוני קובן עונה 11 | נפתלי בנט</x:v>
      </x:c>
      <x:c r="C172" s="10" t="str">
        <x:v>Люди Израиля</x:v>
      </x:c>
      <x:c r="D172" s="9" t="str">
        <x:v>Интервью</x:v>
      </x:c>
      <x:c r="E172" s="10" t="str">
        <x:v>Интервью; культура; общество; продвинутые</x:v>
      </x:c>
      <x:c r="F172" s="10" t="str">
        <x:v>B2–C1 (гипотеза)</x:v>
      </x:c>
      <x:c r="G172" s="12" t="n">
        <x:v>39.5</x:v>
      </x:c>
      <x:c r="H172" s="14" t="n">
        <x:v>99898</x:v>
      </x:c>
      <x:c r="I172" s="15" t="str">
        <x:v>Точный счётчик метаданных видео</x:v>
      </x:c>
      <x:c r="J172" s="14" t="n">
        <x:v>99000</x:v>
      </x:c>
      <x:c r="K172" s="14"/>
      <x:c r="L172" s="12" t="str">
        <x:f>IF(COUNT(J172:K172)=2,IF(K172=0,"",J172/K172),"")</x:f>
      </x:c>
      <x:c r="M172" s="10" t="str">
        <x:v>Тема / гость: נפתלי בנט.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72" s="10" t="str">
        <x:v>Выбрать 5–8 минут: вопрос, уточнение, развёрнутый ответ. Сформулировать следующий вопрос.</x:v>
      </x:c>
      <x:c r="O172" s="10" t="str">
        <x:v>Взгляды гостя не равны установленным фактам; проверить чувствительные темы</x:v>
      </x:c>
      <x:c r="P172" s="10" t="str">
        <x:v>Длинное интервью</x:v>
      </x:c>
      <x:c r="Q172" s="9" t="str">
        <x:v>Нет</x:v>
      </x:c>
      <x:c r="R172" s="9" t="str">
        <x:v>C012</x:v>
      </x:c>
      <x:c r="S172" s="9" t="str">
        <x:v>C012</x:v>
      </x:c>
      <x:c r="T172" s="10" t="str">
        <x:v>כאן 11 - תאגיד השידור הישראלי</x:v>
      </x:c>
      <x:c r="U172" s="11" t="str">
        <x:v>https://www.youtube.com/watch?v=m0A3J3dW2Yk</x:v>
      </x:c>
      <x:c r="V172" s="16" t="n">
        <x:v>46308</x:v>
      </x:c>
      <x:c r="W172" s="16" t="n">
        <x:v>46305</x:v>
      </x:c>
      <x:c r="X172" s="10" t="str">
        <x:v>Иврит предполагается по заголовку и источнику</x:v>
      </x:c>
      <x:c r="Y172" s="10" t="str">
        <x:v>Автоматическая дорожка HE по метаданным</x:v>
      </x:c>
      <x:c r="Z172" s="10" t="str">
        <x:v>Разрешено по метаданным</x:v>
      </x:c>
      <x:c r="AA172" s="10" t="str">
        <x:v>Метаданные видео; воспроизведение и содержание не проверены</x:v>
      </x:c>
      <x:c r="AB172" s="13" t="n">
        <x:f>IF(AND(ISNUMBER(H172),ISNUMBER(W172)),H172/MAX(1,'Обзор'!$B$4-W172),"")</x:f>
        <x:v>33299.333333333336</x:v>
      </x:c>
      <x:c r="AC172" s="17" t="str">
        <x:v>Не решено</x:v>
      </x:c>
      <x:c r="AD172" s="17" t="str">
        <x:v>Не проверено</x:v>
      </x:c>
      <x:c r="AE172" s="17" t="str">
        <x:v>Не проверено</x:v>
      </x:c>
      <x:c r="AF172" s="17" t="str">
        <x:v>Не проверено</x:v>
      </x:c>
      <x:c r="AG172" s="17" t="str">
        <x:v>Не решено</x:v>
      </x:c>
      <x:c r="AH172" s="17" t="str">
        <x:v>Не проверено</x:v>
      </x:c>
      <x:c r="AI172" s="10" t="str">
        <x:f>IF(AC172="Отклонить","Отклонено",IF(AND(AC172="Взять",COUNTIFS(AD172:AH172,"Да")=5),"Готово","Нужна редактура"))</x:f>
        <x:v>Нужна редактура</x:v>
      </x:c>
      <x:c r="AJ172" s="17" t="str"/>
      <x:c r="AK172" s="9" t="str">
        <x:v>https://www.youtube.com/playlist?list=PLKCfjAOs83lE</x:v>
      </x:c>
      <x:c r="AL172" s="9" t="n">
        <x:v>1</x:v>
      </x:c>
      <x:c r="AM172" s="9"/>
      <x:c r="AN172" s="9" t="n">
        <x:v>0</x:v>
      </x:c>
    </x:row>
    <x:row r="173" ht="60" customHeight="1">
      <x:c r="A173" s="9" t="str">
        <x:v>tz0VSiH3qh8</x:v>
      </x:c>
      <x:c r="B173" s="10" t="str">
        <x:v>פגישה עם רוני קובן עונה 11 | בני גנץ</x:v>
      </x:c>
      <x:c r="C173" s="10" t="str">
        <x:v>Люди Израиля</x:v>
      </x:c>
      <x:c r="D173" s="9" t="str">
        <x:v>Интервью</x:v>
      </x:c>
      <x:c r="E173" s="10" t="str">
        <x:v>Интервью; культура; общество; продвинутые</x:v>
      </x:c>
      <x:c r="F173" s="10" t="str">
        <x:v>B2–C1 (гипотеза)</x:v>
      </x:c>
      <x:c r="G173" s="12" t="n">
        <x:v>38.8</x:v>
      </x:c>
      <x:c r="H173" s="14" t="n">
        <x:v>75709</x:v>
      </x:c>
      <x:c r="I173" s="15" t="str">
        <x:v>Точный счётчик метаданных видео</x:v>
      </x:c>
      <x:c r="J173" s="14" t="n">
        <x:v>75000</x:v>
      </x:c>
      <x:c r="K173" s="14"/>
      <x:c r="L173" s="12" t="str">
        <x:f>IF(COUNT(J173:K173)=2,IF(K173=0,"",J173/K173),"")</x:f>
      </x:c>
      <x:c r="M173" s="10" t="str">
        <x:v>Тема / гость: בני גנץ.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73" s="10" t="str">
        <x:v>Выбрать 5–8 минут: вопрос, уточнение, развёрнутый ответ. Сформулировать следующий вопрос.</x:v>
      </x:c>
      <x:c r="O173" s="10" t="str">
        <x:v>Взгляды гостя не равны установленным фактам; проверить чувствительные темы</x:v>
      </x:c>
      <x:c r="P173" s="10" t="str">
        <x:v>Длинное интервью</x:v>
      </x:c>
      <x:c r="Q173" s="9" t="str">
        <x:v>Нет</x:v>
      </x:c>
      <x:c r="R173" s="9" t="str">
        <x:v>C012</x:v>
      </x:c>
      <x:c r="S173" s="9" t="str">
        <x:v>C012</x:v>
      </x:c>
      <x:c r="T173" s="10" t="str">
        <x:v>כאן 11 - תאגיד השידור הישראלי</x:v>
      </x:c>
      <x:c r="U173" s="11" t="str">
        <x:v>https://www.youtube.com/watch?v=tz0VSiH3qh8</x:v>
      </x:c>
      <x:c r="V173" s="16" t="n">
        <x:v>46308</x:v>
      </x:c>
      <x:c r="W173" s="16" t="n">
        <x:v>46298</x:v>
      </x:c>
      <x:c r="X173" s="10" t="str">
        <x:v>Иврит предполагается по заголовку и источнику</x:v>
      </x:c>
      <x:c r="Y173" s="10" t="str">
        <x:v>Автоматическая дорожка HE по метаданным</x:v>
      </x:c>
      <x:c r="Z173" s="10" t="str">
        <x:v>Разрешено по метаданным</x:v>
      </x:c>
      <x:c r="AA173" s="10" t="str">
        <x:v>Метаданные видео; воспроизведение и содержание не проверены</x:v>
      </x:c>
      <x:c r="AB173" s="13" t="n">
        <x:f>IF(AND(ISNUMBER(H173),ISNUMBER(W173)),H173/MAX(1,'Обзор'!$B$4-W173),"")</x:f>
        <x:v>7570.9</x:v>
      </x:c>
      <x:c r="AC173" s="17" t="str">
        <x:v>Не решено</x:v>
      </x:c>
      <x:c r="AD173" s="17" t="str">
        <x:v>Не проверено</x:v>
      </x:c>
      <x:c r="AE173" s="17" t="str">
        <x:v>Не проверено</x:v>
      </x:c>
      <x:c r="AF173" s="17" t="str">
        <x:v>Не проверено</x:v>
      </x:c>
      <x:c r="AG173" s="17" t="str">
        <x:v>Не решено</x:v>
      </x:c>
      <x:c r="AH173" s="17" t="str">
        <x:v>Не проверено</x:v>
      </x:c>
      <x:c r="AI173" s="10" t="str">
        <x:f>IF(AC173="Отклонить","Отклонено",IF(AND(AC173="Взять",COUNTIFS(AD173:AH173,"Да")=5),"Готово","Нужна редактура"))</x:f>
        <x:v>Нужна редактура</x:v>
      </x:c>
      <x:c r="AJ173" s="17" t="str"/>
      <x:c r="AK173" s="9" t="str">
        <x:v>https://www.youtube.com/playlist?list=PLKCfjAOs83lE</x:v>
      </x:c>
      <x:c r="AL173" s="9" t="n">
        <x:v>2</x:v>
      </x:c>
      <x:c r="AM173" s="9"/>
      <x:c r="AN173" s="9" t="n">
        <x:v>0</x:v>
      </x:c>
    </x:row>
    <x:row r="174" ht="60" customHeight="1">
      <x:c r="A174" s="9" t="str">
        <x:v>w7Bb_C8GWzI</x:v>
      </x:c>
      <x:c r="B174" s="10" t="str">
        <x:v>עונה חדשה 🔥 פגישה עם רוני קובן עונה 11 | אסף רפפורט</x:v>
      </x:c>
      <x:c r="C174" s="10" t="str">
        <x:v>Люди Израиля</x:v>
      </x:c>
      <x:c r="D174" s="9" t="str">
        <x:v>Интервью</x:v>
      </x:c>
      <x:c r="E174" s="10" t="str">
        <x:v>Интервью; культура; общество; продвинутые</x:v>
      </x:c>
      <x:c r="F174" s="10" t="str">
        <x:v>B2–C1 (гипотеза)</x:v>
      </x:c>
      <x:c r="G174" s="12" t="n">
        <x:v>42.7</x:v>
      </x:c>
      <x:c r="H174" s="14" t="n">
        <x:v>174727</x:v>
      </x:c>
      <x:c r="I174" s="15" t="str">
        <x:v>Точный счётчик метаданных видео</x:v>
      </x:c>
      <x:c r="J174" s="14" t="n">
        <x:v>174000</x:v>
      </x:c>
      <x:c r="K174" s="14"/>
      <x:c r="L174" s="12" t="str">
        <x:f>IF(COUNT(J174:K174)=2,IF(K174=0,"",J174/K174),"")</x:f>
      </x:c>
      <x:c r="M174" s="10" t="str">
        <x:v>Тема / гость: אסף רפפורט.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74" s="10" t="str">
        <x:v>Выбрать 5–8 минут: вопрос, уточнение, развёрнутый ответ. Сформулировать следующий вопрос.</x:v>
      </x:c>
      <x:c r="O174" s="10" t="str">
        <x:v>Взгляды гостя не равны установленным фактам; проверить чувствительные темы</x:v>
      </x:c>
      <x:c r="P174" s="10" t="str">
        <x:v>Длинное интервью</x:v>
      </x:c>
      <x:c r="Q174" s="9" t="str">
        <x:v>Нет</x:v>
      </x:c>
      <x:c r="R174" s="9" t="str">
        <x:v>C012</x:v>
      </x:c>
      <x:c r="S174" s="9" t="str">
        <x:v>C012</x:v>
      </x:c>
      <x:c r="T174" s="10" t="str">
        <x:v>כאן 11 - תאגיד השידור הישראלי</x:v>
      </x:c>
      <x:c r="U174" s="11" t="str">
        <x:v>https://www.youtube.com/watch?v=w7Bb_C8GWzI</x:v>
      </x:c>
      <x:c r="V174" s="16" t="n">
        <x:v>46308</x:v>
      </x:c>
      <x:c r="W174" s="16" t="n">
        <x:v>46291</x:v>
      </x:c>
      <x:c r="X174" s="10" t="str">
        <x:v>Иврит предполагается по заголовку и источнику</x:v>
      </x:c>
      <x:c r="Y174" s="10" t="str">
        <x:v>Автоматическая дорожка HE по метаданным</x:v>
      </x:c>
      <x:c r="Z174" s="10" t="str">
        <x:v>Разрешено по метаданным</x:v>
      </x:c>
      <x:c r="AA174" s="10" t="str">
        <x:v>Метаданные видео; воспроизведение и содержание не проверены</x:v>
      </x:c>
      <x:c r="AB174" s="13" t="n">
        <x:f>IF(AND(ISNUMBER(H174),ISNUMBER(W174)),H174/MAX(1,'Обзор'!$B$4-W174),"")</x:f>
        <x:v>10278.058823529413</x:v>
      </x:c>
      <x:c r="AC174" s="17" t="str">
        <x:v>Не решено</x:v>
      </x:c>
      <x:c r="AD174" s="17" t="str">
        <x:v>Не проверено</x:v>
      </x:c>
      <x:c r="AE174" s="17" t="str">
        <x:v>Не проверено</x:v>
      </x:c>
      <x:c r="AF174" s="17" t="str">
        <x:v>Не проверено</x:v>
      </x:c>
      <x:c r="AG174" s="17" t="str">
        <x:v>Не решено</x:v>
      </x:c>
      <x:c r="AH174" s="17" t="str">
        <x:v>Не проверено</x:v>
      </x:c>
      <x:c r="AI174" s="10" t="str">
        <x:f>IF(AC174="Отклонить","Отклонено",IF(AND(AC174="Взять",COUNTIFS(AD174:AH174,"Да")=5),"Готово","Нужна редактура"))</x:f>
        <x:v>Нужна редактура</x:v>
      </x:c>
      <x:c r="AJ174" s="17" t="str"/>
      <x:c r="AK174" s="9" t="str">
        <x:v>https://www.youtube.com/playlist?list=PLKCfjAOs83lE</x:v>
      </x:c>
      <x:c r="AL174" s="9" t="n">
        <x:v>3</x:v>
      </x:c>
      <x:c r="AM174" s="9"/>
      <x:c r="AN174" s="9" t="n">
        <x:v>0</x:v>
      </x:c>
    </x:row>
    <x:row r="175" ht="60" customHeight="1">
      <x:c r="A175" s="9" t="str">
        <x:v>wSrwBrWHxH8</x:v>
      </x:c>
      <x:c r="B175" s="10" t="str">
        <x:v>פגישה עם רוני קובן עונה 10 | חגי לוי - פרק אחרון לעונה</x:v>
      </x:c>
      <x:c r="C175" s="10" t="str">
        <x:v>Люди Израиля</x:v>
      </x:c>
      <x:c r="D175" s="9" t="str">
        <x:v>Интервью</x:v>
      </x:c>
      <x:c r="E175" s="10" t="str">
        <x:v>Интервью; культура; общество; продвинутые</x:v>
      </x:c>
      <x:c r="F175" s="10" t="str">
        <x:v>B2–C1 (гипотеза)</x:v>
      </x:c>
      <x:c r="G175" s="12" t="n">
        <x:v>33.9</x:v>
      </x:c>
      <x:c r="H175" s="14" t="n">
        <x:v>28000</x:v>
      </x:c>
      <x:c r="I175" s="15" t="str">
        <x:v>Округлённый счётчик в списке YouTube</x:v>
      </x:c>
      <x:c r="J175" s="14" t="n">
        <x:v>28000</x:v>
      </x:c>
      <x:c r="K175" s="14" t="n">
        <x:v>55000</x:v>
      </x:c>
      <x:c r="L175" s="12" t="n">
        <x:f>IF(COUNT(J175:K175)=2,IF(K175=0,"",J175/K175),"")</x:f>
        <x:v>0.509090909090909</x:v>
      </x:c>
      <x:c r="M175" s="10" t="str">
        <x:v>Тема / гость: חגי לוי - פרק אחרון לעונה.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75" s="10" t="str">
        <x:v>Выбрать 5–8 минут: вопрос, уточнение, развёрнутый ответ. Сформулировать следующий вопрос.</x:v>
      </x:c>
      <x:c r="O175" s="10" t="str">
        <x:v>Взгляды гостя не равны установленным фактам; проверить чувствительные темы</x:v>
      </x:c>
      <x:c r="P175" s="10" t="str">
        <x:v>Длинное интервью</x:v>
      </x:c>
      <x:c r="Q175" s="9" t="str">
        <x:v>Нет</x:v>
      </x:c>
      <x:c r="R175" s="9" t="str">
        <x:v>C013</x:v>
      </x:c>
      <x:c r="S175" s="9" t="str">
        <x:v>C013</x:v>
      </x:c>
      <x:c r="T175" s="10" t="str">
        <x:v>כאן 11 - תאגיד השידור הישראלי</x:v>
      </x:c>
      <x:c r="U175" s="11" t="str">
        <x:v>https://www.youtube.com/watch?v=wSrwBrWHxH8</x:v>
      </x:c>
      <x:c r="V175" s="16" t="n">
        <x:v>46308</x:v>
      </x:c>
      <x:c r="W175" s="16"/>
      <x:c r="X175" s="10" t="str">
        <x:v>Иврит предполагается по заголовку и источнику</x:v>
      </x:c>
      <x:c r="Y175" s="10" t="str">
        <x:v>Не проверено</x:v>
      </x:c>
      <x:c r="Z175" s="10" t="str">
        <x:v>Не проверено</x:v>
      </x:c>
      <x:c r="AA175" s="10" t="str">
        <x:v>Метаданные списка; видео не просмотрено</x:v>
      </x:c>
      <x:c r="AB175" s="13" t="str">
        <x:f>IF(AND(ISNUMBER(H175),ISNUMBER(W175)),H175/MAX(1,'Обзор'!$B$4-W175),"")</x:f>
      </x:c>
      <x:c r="AC175" s="17" t="str">
        <x:v>Не решено</x:v>
      </x:c>
      <x:c r="AD175" s="17" t="str">
        <x:v>Не проверено</x:v>
      </x:c>
      <x:c r="AE175" s="17" t="str">
        <x:v>Не проверено</x:v>
      </x:c>
      <x:c r="AF175" s="17" t="str">
        <x:v>Не проверено</x:v>
      </x:c>
      <x:c r="AG175" s="17" t="str">
        <x:v>Не решено</x:v>
      </x:c>
      <x:c r="AH175" s="17" t="str">
        <x:v>Не проверено</x:v>
      </x:c>
      <x:c r="AI175" s="10" t="str">
        <x:f>IF(AC175="Отклонить","Отклонено",IF(AND(AC175="Взять",COUNTIFS(AD175:AH175,"Да")=5),"Готово","Нужна редактура"))</x:f>
        <x:v>Нужна редактура</x:v>
      </x:c>
      <x:c r="AJ175" s="17" t="str"/>
      <x:c r="AK175" s="9" t="str">
        <x:v>https://www.youtube.com/playlist?list=PLLttfoK87AdXTvb41p_eqn5pEUm_qSwgH</x:v>
      </x:c>
      <x:c r="AL175" s="9" t="n">
        <x:v>1</x:v>
      </x:c>
      <x:c r="AM175" s="9"/>
      <x:c r="AN175" s="9"/>
    </x:row>
    <x:row r="176" ht="60" customHeight="1">
      <x:c r="A176" s="9" t="str">
        <x:v>HJ_67BZMZkg</x:v>
      </x:c>
      <x:c r="B176" s="10" t="str">
        <x:v>פגישה עם רוני קובן עונה 10 | יורם ארבל</x:v>
      </x:c>
      <x:c r="C176" s="10" t="str">
        <x:v>Люди Израиля</x:v>
      </x:c>
      <x:c r="D176" s="9" t="str">
        <x:v>Интервью</x:v>
      </x:c>
      <x:c r="E176" s="10" t="str">
        <x:v>Интервью; культура; общество; продвинутые</x:v>
      </x:c>
      <x:c r="F176" s="10" t="str">
        <x:v>B2–C1 (гипотеза)</x:v>
      </x:c>
      <x:c r="G176" s="12" t="n">
        <x:v>35.4</x:v>
      </x:c>
      <x:c r="H176" s="14" t="n">
        <x:v>26000</x:v>
      </x:c>
      <x:c r="I176" s="15" t="str">
        <x:v>Округлённый счётчик в списке YouTube</x:v>
      </x:c>
      <x:c r="J176" s="14" t="n">
        <x:v>26000</x:v>
      </x:c>
      <x:c r="K176" s="14" t="n">
        <x:v>55000</x:v>
      </x:c>
      <x:c r="L176" s="12" t="n">
        <x:f>IF(COUNT(J176:K176)=2,IF(K176=0,"",J176/K176),"")</x:f>
        <x:v>0.4727272727272727</x:v>
      </x:c>
      <x:c r="M176" s="10" t="str">
        <x:v>Тема / гость: יורם ארבל. Просмотры ниже медианы цикла; выбирать за нишевую ценность, а не за массовый охват.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76" s="10" t="str">
        <x:v>Выбрать 5–8 минут: вопрос, уточнение, развёрнутый ответ. Сформулировать следующий вопрос.</x:v>
      </x:c>
      <x:c r="O176" s="10" t="str">
        <x:v>Взгляды гостя не равны установленным фактам; проверить чувствительные темы</x:v>
      </x:c>
      <x:c r="P176" s="10" t="str">
        <x:v>Длинное интервью</x:v>
      </x:c>
      <x:c r="Q176" s="9" t="str">
        <x:v>Нет</x:v>
      </x:c>
      <x:c r="R176" s="9" t="str">
        <x:v>C013</x:v>
      </x:c>
      <x:c r="S176" s="9" t="str">
        <x:v>C013</x:v>
      </x:c>
      <x:c r="T176" s="10" t="str">
        <x:v>כאן 11 - תאגיד השידור הישראלי</x:v>
      </x:c>
      <x:c r="U176" s="11" t="str">
        <x:v>https://www.youtube.com/watch?v=HJ_67BZMZkg</x:v>
      </x:c>
      <x:c r="V176" s="16" t="n">
        <x:v>46308</x:v>
      </x:c>
      <x:c r="W176" s="16"/>
      <x:c r="X176" s="10" t="str">
        <x:v>Иврит предполагается по заголовку и источнику</x:v>
      </x:c>
      <x:c r="Y176" s="10" t="str">
        <x:v>Не проверено</x:v>
      </x:c>
      <x:c r="Z176" s="10" t="str">
        <x:v>Не проверено</x:v>
      </x:c>
      <x:c r="AA176" s="10" t="str">
        <x:v>Метаданные списка; видео не просмотрено</x:v>
      </x:c>
      <x:c r="AB176" s="13" t="str">
        <x:f>IF(AND(ISNUMBER(H176),ISNUMBER(W176)),H176/MAX(1,'Обзор'!$B$4-W176),"")</x:f>
      </x:c>
      <x:c r="AC176" s="17" t="str">
        <x:v>Не решено</x:v>
      </x:c>
      <x:c r="AD176" s="17" t="str">
        <x:v>Не проверено</x:v>
      </x:c>
      <x:c r="AE176" s="17" t="str">
        <x:v>Не проверено</x:v>
      </x:c>
      <x:c r="AF176" s="17" t="str">
        <x:v>Не проверено</x:v>
      </x:c>
      <x:c r="AG176" s="17" t="str">
        <x:v>Не решено</x:v>
      </x:c>
      <x:c r="AH176" s="17" t="str">
        <x:v>Не проверено</x:v>
      </x:c>
      <x:c r="AI176" s="10" t="str">
        <x:f>IF(AC176="Отклонить","Отклонено",IF(AND(AC176="Взять",COUNTIFS(AD176:AH176,"Да")=5),"Готово","Нужна редактура"))</x:f>
        <x:v>Нужна редактура</x:v>
      </x:c>
      <x:c r="AJ176" s="17" t="str"/>
      <x:c r="AK176" s="9" t="str">
        <x:v>https://www.youtube.com/playlist?list=PLLttfoK87AdXTvb41p_eqn5pEUm_qSwgH</x:v>
      </x:c>
      <x:c r="AL176" s="9" t="n">
        <x:v>2</x:v>
      </x:c>
      <x:c r="AM176" s="9"/>
      <x:c r="AN176" s="9"/>
    </x:row>
    <x:row r="177" ht="60" customHeight="1">
      <x:c r="A177" s="9" t="str">
        <x:v>fongqQh9Wv0</x:v>
      </x:c>
      <x:c r="B177" s="10" t="str">
        <x:v>פגישה עם רוני קובן עונה 10 | משה רדמן אבוטבול</x:v>
      </x:c>
      <x:c r="C177" s="10" t="str">
        <x:v>Люди Израиля</x:v>
      </x:c>
      <x:c r="D177" s="9" t="str">
        <x:v>Интервью</x:v>
      </x:c>
      <x:c r="E177" s="10" t="str">
        <x:v>Интервью; культура; общество; продвинутые</x:v>
      </x:c>
      <x:c r="F177" s="10" t="str">
        <x:v>B2–C1 (гипотеза)</x:v>
      </x:c>
      <x:c r="G177" s="12" t="n">
        <x:v>33.7</x:v>
      </x:c>
      <x:c r="H177" s="14" t="n">
        <x:v>40000</x:v>
      </x:c>
      <x:c r="I177" s="15" t="str">
        <x:v>Округлённый счётчик в списке YouTube</x:v>
      </x:c>
      <x:c r="J177" s="14" t="n">
        <x:v>40000</x:v>
      </x:c>
      <x:c r="K177" s="14" t="n">
        <x:v>55000</x:v>
      </x:c>
      <x:c r="L177" s="12" t="n">
        <x:f>IF(COUNT(J177:K177)=2,IF(K177=0,"",J177/K177),"")</x:f>
        <x:v>0.7272727272727273</x:v>
      </x:c>
      <x:c r="M177" s="10" t="str">
        <x:v>Тема / гость: משה רדמן אבוטבול.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77" s="10" t="str">
        <x:v>Выбрать 5–8 минут: вопрос, уточнение, развёрнутый ответ. Сформулировать следующий вопрос.</x:v>
      </x:c>
      <x:c r="O177" s="10" t="str">
        <x:v>Взгляды гостя не равны установленным фактам; проверить чувствительные темы</x:v>
      </x:c>
      <x:c r="P177" s="10" t="str">
        <x:v>Длинное интервью</x:v>
      </x:c>
      <x:c r="Q177" s="9" t="str">
        <x:v>Нет</x:v>
      </x:c>
      <x:c r="R177" s="9" t="str">
        <x:v>C013</x:v>
      </x:c>
      <x:c r="S177" s="9" t="str">
        <x:v>C013</x:v>
      </x:c>
      <x:c r="T177" s="10" t="str">
        <x:v>כאן 11 - תאגיד השידור הישראלי</x:v>
      </x:c>
      <x:c r="U177" s="11" t="str">
        <x:v>https://www.youtube.com/watch?v=fongqQh9Wv0</x:v>
      </x:c>
      <x:c r="V177" s="16" t="n">
        <x:v>46308</x:v>
      </x:c>
      <x:c r="W177" s="16"/>
      <x:c r="X177" s="10" t="str">
        <x:v>Иврит предполагается по заголовку и источнику</x:v>
      </x:c>
      <x:c r="Y177" s="10" t="str">
        <x:v>Не проверено</x:v>
      </x:c>
      <x:c r="Z177" s="10" t="str">
        <x:v>Не проверено</x:v>
      </x:c>
      <x:c r="AA177" s="10" t="str">
        <x:v>Метаданные списка; видео не просмотрено</x:v>
      </x:c>
      <x:c r="AB177" s="13" t="str">
        <x:f>IF(AND(ISNUMBER(H177),ISNUMBER(W177)),H177/MAX(1,'Обзор'!$B$4-W177),"")</x:f>
      </x:c>
      <x:c r="AC177" s="17" t="str">
        <x:v>Не решено</x:v>
      </x:c>
      <x:c r="AD177" s="17" t="str">
        <x:v>Не проверено</x:v>
      </x:c>
      <x:c r="AE177" s="17" t="str">
        <x:v>Не проверено</x:v>
      </x:c>
      <x:c r="AF177" s="17" t="str">
        <x:v>Не проверено</x:v>
      </x:c>
      <x:c r="AG177" s="17" t="str">
        <x:v>Не решено</x:v>
      </x:c>
      <x:c r="AH177" s="17" t="str">
        <x:v>Не проверено</x:v>
      </x:c>
      <x:c r="AI177" s="10" t="str">
        <x:f>IF(AC177="Отклонить","Отклонено",IF(AND(AC177="Взять",COUNTIFS(AD177:AH177,"Да")=5),"Готово","Нужна редактура"))</x:f>
        <x:v>Нужна редактура</x:v>
      </x:c>
      <x:c r="AJ177" s="17" t="str"/>
      <x:c r="AK177" s="9" t="str">
        <x:v>https://www.youtube.com/playlist?list=PLLttfoK87AdXTvb41p_eqn5pEUm_qSwgH</x:v>
      </x:c>
      <x:c r="AL177" s="9" t="n">
        <x:v>3</x:v>
      </x:c>
      <x:c r="AM177" s="9"/>
      <x:c r="AN177" s="9"/>
    </x:row>
    <x:row r="178" ht="60" customHeight="1">
      <x:c r="A178" s="9" t="str">
        <x:v>aakNjzN7r24</x:v>
      </x:c>
      <x:c r="B178" s="10" t="str">
        <x:v>פגישה עם רוני קובן עונה 10 | צחי הלוי</x:v>
      </x:c>
      <x:c r="C178" s="10" t="str">
        <x:v>Люди Израиля</x:v>
      </x:c>
      <x:c r="D178" s="9" t="str">
        <x:v>Интервью</x:v>
      </x:c>
      <x:c r="E178" s="10" t="str">
        <x:v>Интервью; культура; общество; продвинутые</x:v>
      </x:c>
      <x:c r="F178" s="10" t="str">
        <x:v>B2–C1 (гипотеза)</x:v>
      </x:c>
      <x:c r="G178" s="12" t="n">
        <x:v>36.4</x:v>
      </x:c>
      <x:c r="H178" s="14" t="n">
        <x:v>42000</x:v>
      </x:c>
      <x:c r="I178" s="15" t="str">
        <x:v>Округлённый счётчик в списке YouTube</x:v>
      </x:c>
      <x:c r="J178" s="14" t="n">
        <x:v>42000</x:v>
      </x:c>
      <x:c r="K178" s="14" t="n">
        <x:v>55000</x:v>
      </x:c>
      <x:c r="L178" s="12" t="n">
        <x:f>IF(COUNT(J178:K178)=2,IF(K178=0,"",J178/K178),"")</x:f>
        <x:v>0.7636363636363637</x:v>
      </x:c>
      <x:c r="M178" s="10" t="str">
        <x:v>Тема / гость: צחי הלוי.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78" s="10" t="str">
        <x:v>Выбрать 5–8 минут: вопрос, уточнение, развёрнутый ответ. Сформулировать следующий вопрос.</x:v>
      </x:c>
      <x:c r="O178" s="10" t="str">
        <x:v>Взгляды гостя не равны установленным фактам; проверить чувствительные темы</x:v>
      </x:c>
      <x:c r="P178" s="10" t="str">
        <x:v>Длинное интервью</x:v>
      </x:c>
      <x:c r="Q178" s="9" t="str">
        <x:v>Нет</x:v>
      </x:c>
      <x:c r="R178" s="9" t="str">
        <x:v>C013</x:v>
      </x:c>
      <x:c r="S178" s="9" t="str">
        <x:v>C013</x:v>
      </x:c>
      <x:c r="T178" s="10" t="str">
        <x:v>כאן 11 - תאגיד השידור הישראלי</x:v>
      </x:c>
      <x:c r="U178" s="11" t="str">
        <x:v>https://www.youtube.com/watch?v=aakNjzN7r24</x:v>
      </x:c>
      <x:c r="V178" s="16" t="n">
        <x:v>46308</x:v>
      </x:c>
      <x:c r="W178" s="16"/>
      <x:c r="X178" s="10" t="str">
        <x:v>Иврит предполагается по заголовку и источнику</x:v>
      </x:c>
      <x:c r="Y178" s="10" t="str">
        <x:v>Не проверено</x:v>
      </x:c>
      <x:c r="Z178" s="10" t="str">
        <x:v>Не проверено</x:v>
      </x:c>
      <x:c r="AA178" s="10" t="str">
        <x:v>Метаданные списка; видео не просмотрено</x:v>
      </x:c>
      <x:c r="AB178" s="13" t="str">
        <x:f>IF(AND(ISNUMBER(H178),ISNUMBER(W178)),H178/MAX(1,'Обзор'!$B$4-W178),"")</x:f>
      </x:c>
      <x:c r="AC178" s="17" t="str">
        <x:v>Не решено</x:v>
      </x:c>
      <x:c r="AD178" s="17" t="str">
        <x:v>Не проверено</x:v>
      </x:c>
      <x:c r="AE178" s="17" t="str">
        <x:v>Не проверено</x:v>
      </x:c>
      <x:c r="AF178" s="17" t="str">
        <x:v>Не проверено</x:v>
      </x:c>
      <x:c r="AG178" s="17" t="str">
        <x:v>Не решено</x:v>
      </x:c>
      <x:c r="AH178" s="17" t="str">
        <x:v>Не проверено</x:v>
      </x:c>
      <x:c r="AI178" s="10" t="str">
        <x:f>IF(AC178="Отклонить","Отклонено",IF(AND(AC178="Взять",COUNTIFS(AD178:AH178,"Да")=5),"Готово","Нужна редактура"))</x:f>
        <x:v>Нужна редактура</x:v>
      </x:c>
      <x:c r="AJ178" s="17" t="str"/>
      <x:c r="AK178" s="9" t="str">
        <x:v>https://www.youtube.com/playlist?list=PLLttfoK87AdXTvb41p_eqn5pEUm_qSwgH</x:v>
      </x:c>
      <x:c r="AL178" s="9" t="n">
        <x:v>4</x:v>
      </x:c>
      <x:c r="AM178" s="9"/>
      <x:c r="AN178" s="9"/>
    </x:row>
    <x:row r="179" ht="60" customHeight="1">
      <x:c r="A179" s="9" t="str">
        <x:v>12JUoYl10-c</x:v>
      </x:c>
      <x:c r="B179" s="10" t="str">
        <x:v>פגישה עם רוני קובן עונה 10 | יובל רפאל</x:v>
      </x:c>
      <x:c r="C179" s="10" t="str">
        <x:v>Люди Израиля</x:v>
      </x:c>
      <x:c r="D179" s="9" t="str">
        <x:v>Интервью</x:v>
      </x:c>
      <x:c r="E179" s="10" t="str">
        <x:v>Интервью; культура; общество; продвинутые</x:v>
      </x:c>
      <x:c r="F179" s="10" t="str">
        <x:v>B2–C1 (гипотеза)</x:v>
      </x:c>
      <x:c r="G179" s="12" t="n">
        <x:v>38.5</x:v>
      </x:c>
      <x:c r="H179" s="14" t="n">
        <x:v>59100</x:v>
      </x:c>
      <x:c r="I179" s="15" t="str">
        <x:v>Точный счётчик метаданных видео</x:v>
      </x:c>
      <x:c r="J179" s="14" t="n">
        <x:v>59000</x:v>
      </x:c>
      <x:c r="K179" s="14" t="n">
        <x:v>55000</x:v>
      </x:c>
      <x:c r="L179" s="12" t="n">
        <x:f>IF(COUNT(J179:K179)=2,IF(K179=0,"",J179/K179),"")</x:f>
        <x:v>1.0727272727272728</x:v>
      </x:c>
      <x:c r="M179" s="10" t="str">
        <x:v>Тема / гость: יובל רפאל.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79" s="10" t="str">
        <x:v>Выбрать 5–8 минут: вопрос, уточнение, развёрнутый ответ. Сформулировать следующий вопрос.</x:v>
      </x:c>
      <x:c r="O179" s="10" t="str">
        <x:v>Взгляды гостя не равны установленным фактам; проверить чувствительные темы</x:v>
      </x:c>
      <x:c r="P179" s="10" t="str">
        <x:v>Длинное интервью</x:v>
      </x:c>
      <x:c r="Q179" s="9" t="str">
        <x:v>Нет</x:v>
      </x:c>
      <x:c r="R179" s="9" t="str">
        <x:v>C013</x:v>
      </x:c>
      <x:c r="S179" s="9" t="str">
        <x:v>C013</x:v>
      </x:c>
      <x:c r="T179" s="10" t="str">
        <x:v>כאן 11 - תאגיד השידור הישראלי</x:v>
      </x:c>
      <x:c r="U179" s="11" t="str">
        <x:v>https://www.youtube.com/watch?v=12JUoYl10-c</x:v>
      </x:c>
      <x:c r="V179" s="16" t="n">
        <x:v>46308</x:v>
      </x:c>
      <x:c r="W179" s="16" t="n">
        <x:v>46151</x:v>
      </x:c>
      <x:c r="X179" s="10" t="str">
        <x:v>iw</x:v>
      </x:c>
      <x:c r="Y179" s="10" t="str">
        <x:v>Автоматическая дорожка HE по метаданным</x:v>
      </x:c>
      <x:c r="Z179" s="10" t="str">
        <x:v>Разрешено по метаданным</x:v>
      </x:c>
      <x:c r="AA179" s="10" t="str">
        <x:v>Метаданные видео; воспроизведение и содержание не проверены</x:v>
      </x:c>
      <x:c r="AB179" s="13" t="n">
        <x:f>IF(AND(ISNUMBER(H179),ISNUMBER(W179)),H179/MAX(1,'Обзор'!$B$4-W179),"")</x:f>
        <x:v>376.4331210191083</x:v>
      </x:c>
      <x:c r="AC179" s="17" t="str">
        <x:v>Не решено</x:v>
      </x:c>
      <x:c r="AD179" s="17" t="str">
        <x:v>Не проверено</x:v>
      </x:c>
      <x:c r="AE179" s="17" t="str">
        <x:v>Не проверено</x:v>
      </x:c>
      <x:c r="AF179" s="17" t="str">
        <x:v>Не проверено</x:v>
      </x:c>
      <x:c r="AG179" s="17" t="str">
        <x:v>Не решено</x:v>
      </x:c>
      <x:c r="AH179" s="17" t="str">
        <x:v>Не проверено</x:v>
      </x:c>
      <x:c r="AI179" s="10" t="str">
        <x:f>IF(AC179="Отклонить","Отклонено",IF(AND(AC179="Взять",COUNTIFS(AD179:AH179,"Да")=5),"Готово","Нужна редактура"))</x:f>
        <x:v>Нужна редактура</x:v>
      </x:c>
      <x:c r="AJ179" s="17" t="str"/>
      <x:c r="AK179" s="9" t="str">
        <x:v>https://www.youtube.com/playlist?list=PLLttfoK87AdXTvb41p_eqn5pEUm_qSwgH</x:v>
      </x:c>
      <x:c r="AL179" s="9" t="n">
        <x:v>5</x:v>
      </x:c>
      <x:c r="AM179" s="9"/>
      <x:c r="AN179" s="9" t="n">
        <x:v>0</x:v>
      </x:c>
    </x:row>
    <x:row r="180" ht="60" customHeight="1">
      <x:c r="A180" s="9" t="str">
        <x:v>vTgVKpgXzQc</x:v>
      </x:c>
      <x:c r="B180" s="10" t="str">
        <x:v>פגישה עם רוני קובן עונה 10 | נועם בתן</x:v>
      </x:c>
      <x:c r="C180" s="10" t="str">
        <x:v>Люди Израиля</x:v>
      </x:c>
      <x:c r="D180" s="9" t="str">
        <x:v>Интервью</x:v>
      </x:c>
      <x:c r="E180" s="10" t="str">
        <x:v>Интервью; культура; общество; продвинутые</x:v>
      </x:c>
      <x:c r="F180" s="10" t="str">
        <x:v>B2–C1 (гипотеза)</x:v>
      </x:c>
      <x:c r="G180" s="12" t="n">
        <x:v>28.7</x:v>
      </x:c>
      <x:c r="H180" s="14" t="n">
        <x:v>75733</x:v>
      </x:c>
      <x:c r="I180" s="15" t="str">
        <x:v>Точный счётчик метаданных видео</x:v>
      </x:c>
      <x:c r="J180" s="14" t="n">
        <x:v>75000</x:v>
      </x:c>
      <x:c r="K180" s="14" t="n">
        <x:v>55000</x:v>
      </x:c>
      <x:c r="L180" s="12" t="n">
        <x:f>IF(COUNT(J180:K180)=2,IF(K180=0,"",J180/K180),"")</x:f>
        <x:v>1.3636363636363635</x:v>
      </x:c>
      <x:c r="M180" s="10" t="str">
        <x:v>Тема / гость: נועם בתן.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80" s="10" t="str">
        <x:v>Выбрать 5–8 минут: вопрос, уточнение, развёрнутый ответ. Сформулировать следующий вопрос.</x:v>
      </x:c>
      <x:c r="O180" s="10" t="str">
        <x:v>Взгляды гостя не равны установленным фактам; проверить чувствительные темы</x:v>
      </x:c>
      <x:c r="P180" s="10" t="str">
        <x:v>Длинное интервью</x:v>
      </x:c>
      <x:c r="Q180" s="9" t="str">
        <x:v>Нет</x:v>
      </x:c>
      <x:c r="R180" s="9" t="str">
        <x:v>C013</x:v>
      </x:c>
      <x:c r="S180" s="9" t="str">
        <x:v>C013</x:v>
      </x:c>
      <x:c r="T180" s="10" t="str">
        <x:v>כאן 11 - תאגיד השידור הישראלי</x:v>
      </x:c>
      <x:c r="U180" s="11" t="str">
        <x:v>https://www.youtube.com/watch?v=vTgVKpgXzQc</x:v>
      </x:c>
      <x:c r="V180" s="16" t="n">
        <x:v>46308</x:v>
      </x:c>
      <x:c r="W180" s="16" t="n">
        <x:v>46144</x:v>
      </x:c>
      <x:c r="X180" s="10" t="str">
        <x:v>Иврит предполагается по заголовку и источнику</x:v>
      </x:c>
      <x:c r="Y180" s="10" t="str">
        <x:v>Автоматическая дорожка HE по метаданным</x:v>
      </x:c>
      <x:c r="Z180" s="10" t="str">
        <x:v>Разрешено по метаданным</x:v>
      </x:c>
      <x:c r="AA180" s="10" t="str">
        <x:v>Метаданные видео; воспроизведение и содержание не проверены</x:v>
      </x:c>
      <x:c r="AB180" s="13" t="n">
        <x:f>IF(AND(ISNUMBER(H180),ISNUMBER(W180)),H180/MAX(1,'Обзор'!$B$4-W180),"")</x:f>
        <x:v>461.7865853658537</x:v>
      </x:c>
      <x:c r="AC180" s="17" t="str">
        <x:v>Не решено</x:v>
      </x:c>
      <x:c r="AD180" s="17" t="str">
        <x:v>Не проверено</x:v>
      </x:c>
      <x:c r="AE180" s="17" t="str">
        <x:v>Не проверено</x:v>
      </x:c>
      <x:c r="AF180" s="17" t="str">
        <x:v>Не проверено</x:v>
      </x:c>
      <x:c r="AG180" s="17" t="str">
        <x:v>Не решено</x:v>
      </x:c>
      <x:c r="AH180" s="17" t="str">
        <x:v>Не проверено</x:v>
      </x:c>
      <x:c r="AI180" s="10" t="str">
        <x:f>IF(AC180="Отклонить","Отклонено",IF(AND(AC180="Взять",COUNTIFS(AD180:AH180,"Да")=5),"Готово","Нужна редактура"))</x:f>
        <x:v>Нужна редактура</x:v>
      </x:c>
      <x:c r="AJ180" s="17" t="str"/>
      <x:c r="AK180" s="9" t="str">
        <x:v>https://www.youtube.com/playlist?list=PLLttfoK87AdXTvb41p_eqn5pEUm_qSwgH</x:v>
      </x:c>
      <x:c r="AL180" s="9" t="n">
        <x:v>6</x:v>
      </x:c>
      <x:c r="AM180" s="9"/>
      <x:c r="AN180" s="9" t="n">
        <x:v>0</x:v>
      </x:c>
    </x:row>
    <x:row r="181" ht="60" customHeight="1">
      <x:c r="A181" s="9" t="str">
        <x:v>yygRMgxTzIM</x:v>
      </x:c>
      <x:c r="B181" s="10" t="str">
        <x:v>פגישה עם רוני קובן עונה 10 | רועי בר נתן</x:v>
      </x:c>
      <x:c r="C181" s="10" t="str">
        <x:v>Люди Израиля</x:v>
      </x:c>
      <x:c r="D181" s="9" t="str">
        <x:v>Интервью</x:v>
      </x:c>
      <x:c r="E181" s="10" t="str">
        <x:v>Интервью; культура; общество; продвинутые</x:v>
      </x:c>
      <x:c r="F181" s="10" t="str">
        <x:v>B2–C1 (гипотеза)</x:v>
      </x:c>
      <x:c r="G181" s="12" t="n">
        <x:v>36.4</x:v>
      </x:c>
      <x:c r="H181" s="14" t="n">
        <x:v>42000</x:v>
      </x:c>
      <x:c r="I181" s="15" t="str">
        <x:v>Округлённый счётчик в списке YouTube</x:v>
      </x:c>
      <x:c r="J181" s="14" t="n">
        <x:v>42000</x:v>
      </x:c>
      <x:c r="K181" s="14" t="n">
        <x:v>55000</x:v>
      </x:c>
      <x:c r="L181" s="12" t="n">
        <x:f>IF(COUNT(J181:K181)=2,IF(K181=0,"",J181/K181),"")</x:f>
        <x:v>0.7636363636363637</x:v>
      </x:c>
      <x:c r="M181" s="10" t="str">
        <x:v>Тема / гость: רועי בר נתן.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81" s="10" t="str">
        <x:v>Выбрать 5–8 минут: вопрос, уточнение, развёрнутый ответ. Сформулировать следующий вопрос.</x:v>
      </x:c>
      <x:c r="O181" s="10" t="str">
        <x:v>Взгляды гостя не равны установленным фактам; проверить чувствительные темы</x:v>
      </x:c>
      <x:c r="P181" s="10" t="str">
        <x:v>Длинное интервью</x:v>
      </x:c>
      <x:c r="Q181" s="9" t="str">
        <x:v>Нет</x:v>
      </x:c>
      <x:c r="R181" s="9" t="str">
        <x:v>C013</x:v>
      </x:c>
      <x:c r="S181" s="9" t="str">
        <x:v>C013</x:v>
      </x:c>
      <x:c r="T181" s="10" t="str">
        <x:v>כאן 11 - תאגיד השידור הישראלי</x:v>
      </x:c>
      <x:c r="U181" s="11" t="str">
        <x:v>https://www.youtube.com/watch?v=yygRMgxTzIM</x:v>
      </x:c>
      <x:c r="V181" s="16" t="n">
        <x:v>46308</x:v>
      </x:c>
      <x:c r="W181" s="16"/>
      <x:c r="X181" s="10" t="str">
        <x:v>Иврит предполагается по заголовку и источнику</x:v>
      </x:c>
      <x:c r="Y181" s="10" t="str">
        <x:v>Не проверено</x:v>
      </x:c>
      <x:c r="Z181" s="10" t="str">
        <x:v>Не проверено</x:v>
      </x:c>
      <x:c r="AA181" s="10" t="str">
        <x:v>Метаданные списка; видео не просмотрено</x:v>
      </x:c>
      <x:c r="AB181" s="13" t="str">
        <x:f>IF(AND(ISNUMBER(H181),ISNUMBER(W181)),H181/MAX(1,'Обзор'!$B$4-W181),"")</x:f>
      </x:c>
      <x:c r="AC181" s="17" t="str">
        <x:v>Не решено</x:v>
      </x:c>
      <x:c r="AD181" s="17" t="str">
        <x:v>Не проверено</x:v>
      </x:c>
      <x:c r="AE181" s="17" t="str">
        <x:v>Не проверено</x:v>
      </x:c>
      <x:c r="AF181" s="17" t="str">
        <x:v>Не проверено</x:v>
      </x:c>
      <x:c r="AG181" s="17" t="str">
        <x:v>Не решено</x:v>
      </x:c>
      <x:c r="AH181" s="17" t="str">
        <x:v>Не проверено</x:v>
      </x:c>
      <x:c r="AI181" s="10" t="str">
        <x:f>IF(AC181="Отклонить","Отклонено",IF(AND(AC181="Взять",COUNTIFS(AD181:AH181,"Да")=5),"Готово","Нужна редактура"))</x:f>
        <x:v>Нужна редактура</x:v>
      </x:c>
      <x:c r="AJ181" s="17" t="str"/>
      <x:c r="AK181" s="9" t="str">
        <x:v>https://www.youtube.com/playlist?list=PLLttfoK87AdXTvb41p_eqn5pEUm_qSwgH</x:v>
      </x:c>
      <x:c r="AL181" s="9" t="n">
        <x:v>7</x:v>
      </x:c>
      <x:c r="AM181" s="9"/>
      <x:c r="AN181" s="9"/>
    </x:row>
    <x:row r="182" ht="60" customHeight="1">
      <x:c r="A182" s="9" t="str">
        <x:v>eLKIuifDClw</x:v>
      </x:c>
      <x:c r="B182" s="10" t="str">
        <x:v>פגישה עם רוני קובן עונה 10 | הילה קורח</x:v>
      </x:c>
      <x:c r="C182" s="10" t="str">
        <x:v>Люди Израиля</x:v>
      </x:c>
      <x:c r="D182" s="9" t="str">
        <x:v>Интервью</x:v>
      </x:c>
      <x:c r="E182" s="10" t="str">
        <x:v>Интервью; культура; общество; продвинутые</x:v>
      </x:c>
      <x:c r="F182" s="10" t="str">
        <x:v>B2–C1 (гипотеза)</x:v>
      </x:c>
      <x:c r="G182" s="12" t="n">
        <x:v>32.6</x:v>
      </x:c>
      <x:c r="H182" s="14" t="n">
        <x:v>53000</x:v>
      </x:c>
      <x:c r="I182" s="15" t="str">
        <x:v>Округлённый счётчик в списке YouTube</x:v>
      </x:c>
      <x:c r="J182" s="14" t="n">
        <x:v>53000</x:v>
      </x:c>
      <x:c r="K182" s="14" t="n">
        <x:v>55000</x:v>
      </x:c>
      <x:c r="L182" s="12" t="n">
        <x:f>IF(COUNT(J182:K182)=2,IF(K182=0,"",J182/K182),"")</x:f>
        <x:v>0.9636363636363636</x:v>
      </x:c>
      <x:c r="M182" s="10" t="str">
        <x:v>Тема / гость: הילה קורח.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82" s="10" t="str">
        <x:v>Выбрать 5–8 минут: вопрос, уточнение, развёрнутый ответ. Сформулировать следующий вопрос.</x:v>
      </x:c>
      <x:c r="O182" s="10" t="str">
        <x:v>Взгляды гостя не равны установленным фактам; проверить чувствительные темы</x:v>
      </x:c>
      <x:c r="P182" s="10" t="str">
        <x:v>Длинное интервью</x:v>
      </x:c>
      <x:c r="Q182" s="9" t="str">
        <x:v>Нет</x:v>
      </x:c>
      <x:c r="R182" s="9" t="str">
        <x:v>C013</x:v>
      </x:c>
      <x:c r="S182" s="9" t="str">
        <x:v>C013</x:v>
      </x:c>
      <x:c r="T182" s="10" t="str">
        <x:v>כאן 11 - תאגיד השידור הישראלי</x:v>
      </x:c>
      <x:c r="U182" s="11" t="str">
        <x:v>https://www.youtube.com/watch?v=eLKIuifDClw</x:v>
      </x:c>
      <x:c r="V182" s="16" t="n">
        <x:v>46308</x:v>
      </x:c>
      <x:c r="W182" s="16"/>
      <x:c r="X182" s="10" t="str">
        <x:v>Иврит предполагается по заголовку и источнику</x:v>
      </x:c>
      <x:c r="Y182" s="10" t="str">
        <x:v>Не проверено</x:v>
      </x:c>
      <x:c r="Z182" s="10" t="str">
        <x:v>Не проверено</x:v>
      </x:c>
      <x:c r="AA182" s="10" t="str">
        <x:v>Метаданные списка; видео не просмотрено</x:v>
      </x:c>
      <x:c r="AB182" s="13" t="str">
        <x:f>IF(AND(ISNUMBER(H182),ISNUMBER(W182)),H182/MAX(1,'Обзор'!$B$4-W182),"")</x:f>
      </x:c>
      <x:c r="AC182" s="17" t="str">
        <x:v>Не решено</x:v>
      </x:c>
      <x:c r="AD182" s="17" t="str">
        <x:v>Не проверено</x:v>
      </x:c>
      <x:c r="AE182" s="17" t="str">
        <x:v>Не проверено</x:v>
      </x:c>
      <x:c r="AF182" s="17" t="str">
        <x:v>Не проверено</x:v>
      </x:c>
      <x:c r="AG182" s="17" t="str">
        <x:v>Не решено</x:v>
      </x:c>
      <x:c r="AH182" s="17" t="str">
        <x:v>Не проверено</x:v>
      </x:c>
      <x:c r="AI182" s="10" t="str">
        <x:f>IF(AC182="Отклонить","Отклонено",IF(AND(AC182="Взять",COUNTIFS(AD182:AH182,"Да")=5),"Готово","Нужна редактура"))</x:f>
        <x:v>Нужна редактура</x:v>
      </x:c>
      <x:c r="AJ182" s="17" t="str"/>
      <x:c r="AK182" s="9" t="str">
        <x:v>https://www.youtube.com/playlist?list=PLLttfoK87AdXTvb41p_eqn5pEUm_qSwgH</x:v>
      </x:c>
      <x:c r="AL182" s="9" t="n">
        <x:v>8</x:v>
      </x:c>
      <x:c r="AM182" s="9"/>
      <x:c r="AN182" s="9"/>
    </x:row>
    <x:row r="183" ht="60" customHeight="1">
      <x:c r="A183" s="9" t="str">
        <x:v>cUrLzefPxu0</x:v>
      </x:c>
      <x:c r="B183" s="10" t="str">
        <x:v>פגישה עם רוני קובן עונה 10 | לוסי אהריש</x:v>
      </x:c>
      <x:c r="C183" s="10" t="str">
        <x:v>Люди Израиля</x:v>
      </x:c>
      <x:c r="D183" s="9" t="str">
        <x:v>Интервью</x:v>
      </x:c>
      <x:c r="E183" s="10" t="str">
        <x:v>Интервью; культура; общество; продвинутые</x:v>
      </x:c>
      <x:c r="F183" s="10" t="str">
        <x:v>B2–C1 (гипотеза)</x:v>
      </x:c>
      <x:c r="G183" s="12" t="n">
        <x:v>41.3</x:v>
      </x:c>
      <x:c r="H183" s="14" t="n">
        <x:v>63843</x:v>
      </x:c>
      <x:c r="I183" s="15" t="str">
        <x:v>Точный счётчик метаданных видео</x:v>
      </x:c>
      <x:c r="J183" s="14" t="n">
        <x:v>63000</x:v>
      </x:c>
      <x:c r="K183" s="14" t="n">
        <x:v>55000</x:v>
      </x:c>
      <x:c r="L183" s="12" t="n">
        <x:f>IF(COUNT(J183:K183)=2,IF(K183=0,"",J183/K183),"")</x:f>
        <x:v>1.1454545454545455</x:v>
      </x:c>
      <x:c r="M183" s="10" t="str">
        <x:v>Тема / гость: לוסי אהריש.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83" s="10" t="str">
        <x:v>Выбрать 5–8 минут: вопрос, уточнение, развёрнутый ответ. Сформулировать следующий вопрос.</x:v>
      </x:c>
      <x:c r="O183" s="10" t="str">
        <x:v>Взгляды гостя не равны установленным фактам; проверить чувствительные темы</x:v>
      </x:c>
      <x:c r="P183" s="10" t="str">
        <x:v>Длинное интервью</x:v>
      </x:c>
      <x:c r="Q183" s="9" t="str">
        <x:v>Нет</x:v>
      </x:c>
      <x:c r="R183" s="9" t="str">
        <x:v>C013</x:v>
      </x:c>
      <x:c r="S183" s="9" t="str">
        <x:v>C013</x:v>
      </x:c>
      <x:c r="T183" s="10" t="str">
        <x:v>כאן 11 - תאגיד השידור הישראלי</x:v>
      </x:c>
      <x:c r="U183" s="11" t="str">
        <x:v>https://www.youtube.com/watch?v=cUrLzefPxu0</x:v>
      </x:c>
      <x:c r="V183" s="16" t="n">
        <x:v>46308</x:v>
      </x:c>
      <x:c r="W183" s="16" t="n">
        <x:v>46116</x:v>
      </x:c>
      <x:c r="X183" s="10" t="str">
        <x:v>Иврит предполагается по заголовку и источнику</x:v>
      </x:c>
      <x:c r="Y183" s="10" t="str">
        <x:v>Автоматическая дорожка HE по метаданным</x:v>
      </x:c>
      <x:c r="Z183" s="10" t="str">
        <x:v>Разрешено по метаданным</x:v>
      </x:c>
      <x:c r="AA183" s="10" t="str">
        <x:v>Метаданные видео; воспроизведение и содержание не проверены</x:v>
      </x:c>
      <x:c r="AB183" s="13" t="n">
        <x:f>IF(AND(ISNUMBER(H183),ISNUMBER(W183)),H183/MAX(1,'Обзор'!$B$4-W183),"")</x:f>
        <x:v>332.515625</x:v>
      </x:c>
      <x:c r="AC183" s="17" t="str">
        <x:v>Не решено</x:v>
      </x:c>
      <x:c r="AD183" s="17" t="str">
        <x:v>Не проверено</x:v>
      </x:c>
      <x:c r="AE183" s="17" t="str">
        <x:v>Не проверено</x:v>
      </x:c>
      <x:c r="AF183" s="17" t="str">
        <x:v>Не проверено</x:v>
      </x:c>
      <x:c r="AG183" s="17" t="str">
        <x:v>Не решено</x:v>
      </x:c>
      <x:c r="AH183" s="17" t="str">
        <x:v>Не проверено</x:v>
      </x:c>
      <x:c r="AI183" s="10" t="str">
        <x:f>IF(AC183="Отклонить","Отклонено",IF(AND(AC183="Взять",COUNTIFS(AD183:AH183,"Да")=5),"Готово","Нужна редактура"))</x:f>
        <x:v>Нужна редактура</x:v>
      </x:c>
      <x:c r="AJ183" s="17" t="str"/>
      <x:c r="AK183" s="9" t="str">
        <x:v>https://www.youtube.com/playlist?list=PLLttfoK87AdXTvb41p_eqn5pEUm_qSwgH</x:v>
      </x:c>
      <x:c r="AL183" s="9" t="n">
        <x:v>9</x:v>
      </x:c>
      <x:c r="AM183" s="9"/>
      <x:c r="AN183" s="9" t="n">
        <x:v>0</x:v>
      </x:c>
    </x:row>
    <x:row r="184" ht="60" customHeight="1">
      <x:c r="A184" s="9" t="str">
        <x:v>MnWpGbgfYgM</x:v>
      </x:c>
      <x:c r="B184" s="10" t="str">
        <x:v>פגישה עם רוני קובן עונה 10 | דן חלוץ</x:v>
      </x:c>
      <x:c r="C184" s="10" t="str">
        <x:v>Люди Израиля</x:v>
      </x:c>
      <x:c r="D184" s="9" t="str">
        <x:v>Интервью</x:v>
      </x:c>
      <x:c r="E184" s="10" t="str">
        <x:v>Интервью; культура; общество; продвинутые</x:v>
      </x:c>
      <x:c r="F184" s="10" t="str">
        <x:v>B2–C1 (гипотеза)</x:v>
      </x:c>
      <x:c r="G184" s="12" t="n">
        <x:v>44.1</x:v>
      </x:c>
      <x:c r="H184" s="14" t="n">
        <x:v>32000</x:v>
      </x:c>
      <x:c r="I184" s="15" t="str">
        <x:v>Округлённый счётчик в списке YouTube</x:v>
      </x:c>
      <x:c r="J184" s="14" t="n">
        <x:v>32000</x:v>
      </x:c>
      <x:c r="K184" s="14" t="n">
        <x:v>55000</x:v>
      </x:c>
      <x:c r="L184" s="12" t="n">
        <x:f>IF(COUNT(J184:K184)=2,IF(K184=0,"",J184/K184),"")</x:f>
        <x:v>0.5818181818181818</x:v>
      </x:c>
      <x:c r="M184" s="10" t="str">
        <x:v>Тема / гость: דן חלוץ.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84" s="10" t="str">
        <x:v>Выбрать 5–8 минут: вопрос, уточнение, развёрнутый ответ. Сформулировать следующий вопрос.</x:v>
      </x:c>
      <x:c r="O184" s="10" t="str">
        <x:v>Взгляды гостя не равны установленным фактам; проверить чувствительные темы</x:v>
      </x:c>
      <x:c r="P184" s="10" t="str">
        <x:v>Длинное интервью</x:v>
      </x:c>
      <x:c r="Q184" s="9" t="str">
        <x:v>Нет</x:v>
      </x:c>
      <x:c r="R184" s="9" t="str">
        <x:v>C013</x:v>
      </x:c>
      <x:c r="S184" s="9" t="str">
        <x:v>C013</x:v>
      </x:c>
      <x:c r="T184" s="10" t="str">
        <x:v>כאן 11 - תאגיד השידור הישראלי</x:v>
      </x:c>
      <x:c r="U184" s="11" t="str">
        <x:v>https://www.youtube.com/watch?v=MnWpGbgfYgM</x:v>
      </x:c>
      <x:c r="V184" s="16" t="n">
        <x:v>46308</x:v>
      </x:c>
      <x:c r="W184" s="16"/>
      <x:c r="X184" s="10" t="str">
        <x:v>Иврит предполагается по заголовку и источнику</x:v>
      </x:c>
      <x:c r="Y184" s="10" t="str">
        <x:v>Не проверено</x:v>
      </x:c>
      <x:c r="Z184" s="10" t="str">
        <x:v>Не проверено</x:v>
      </x:c>
      <x:c r="AA184" s="10" t="str">
        <x:v>Метаданные списка; видео не просмотрено</x:v>
      </x:c>
      <x:c r="AB184" s="13" t="str">
        <x:f>IF(AND(ISNUMBER(H184),ISNUMBER(W184)),H184/MAX(1,'Обзор'!$B$4-W184),"")</x:f>
      </x:c>
      <x:c r="AC184" s="17" t="str">
        <x:v>Не решено</x:v>
      </x:c>
      <x:c r="AD184" s="17" t="str">
        <x:v>Не проверено</x:v>
      </x:c>
      <x:c r="AE184" s="17" t="str">
        <x:v>Не проверено</x:v>
      </x:c>
      <x:c r="AF184" s="17" t="str">
        <x:v>Не проверено</x:v>
      </x:c>
      <x:c r="AG184" s="17" t="str">
        <x:v>Не решено</x:v>
      </x:c>
      <x:c r="AH184" s="17" t="str">
        <x:v>Не проверено</x:v>
      </x:c>
      <x:c r="AI184" s="10" t="str">
        <x:f>IF(AC184="Отклонить","Отклонено",IF(AND(AC184="Взять",COUNTIFS(AD184:AH184,"Да")=5),"Готово","Нужна редактура"))</x:f>
        <x:v>Нужна редактура</x:v>
      </x:c>
      <x:c r="AJ184" s="17" t="str"/>
      <x:c r="AK184" s="9" t="str">
        <x:v>https://www.youtube.com/playlist?list=PLLttfoK87AdXTvb41p_eqn5pEUm_qSwgH</x:v>
      </x:c>
      <x:c r="AL184" s="9" t="n">
        <x:v>10</x:v>
      </x:c>
      <x:c r="AM184" s="9"/>
      <x:c r="AN184" s="9"/>
    </x:row>
    <x:row r="185" ht="60" customHeight="1">
      <x:c r="A185" s="9" t="str">
        <x:v>Bo_4zrOj8SQ</x:v>
      </x:c>
      <x:c r="B185" s="10" t="str">
        <x:v>פגישה עם רוני קובן עונה 10 | רותי ברודו</x:v>
      </x:c>
      <x:c r="C185" s="10" t="str">
        <x:v>Люди Израиля</x:v>
      </x:c>
      <x:c r="D185" s="9" t="str">
        <x:v>Интервью</x:v>
      </x:c>
      <x:c r="E185" s="10" t="str">
        <x:v>Интервью; культура; общество; продвинутые</x:v>
      </x:c>
      <x:c r="F185" s="10" t="str">
        <x:v>B2–C1 (гипотеза)</x:v>
      </x:c>
      <x:c r="G185" s="12" t="n">
        <x:v>36.4</x:v>
      </x:c>
      <x:c r="H185" s="14" t="n">
        <x:v>56706</x:v>
      </x:c>
      <x:c r="I185" s="15" t="str">
        <x:v>Точный счётчик метаданных видео</x:v>
      </x:c>
      <x:c r="J185" s="14" t="n">
        <x:v>56000</x:v>
      </x:c>
      <x:c r="K185" s="14" t="n">
        <x:v>55000</x:v>
      </x:c>
      <x:c r="L185" s="12" t="n">
        <x:f>IF(COUNT(J185:K185)=2,IF(K185=0,"",J185/K185),"")</x:f>
        <x:v>1.018181818181818</x:v>
      </x:c>
      <x:c r="M185" s="10" t="str">
        <x:v>Тема / гость: רותי ברודו.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85" s="10" t="str">
        <x:v>Выбрать 5–8 минут: вопрос, уточнение, развёрнутый ответ. Сформулировать следующий вопрос.</x:v>
      </x:c>
      <x:c r="O185" s="10" t="str">
        <x:v>Взгляды гостя не равны установленным фактам; проверить чувствительные темы</x:v>
      </x:c>
      <x:c r="P185" s="10" t="str">
        <x:v>Длинное интервью</x:v>
      </x:c>
      <x:c r="Q185" s="9" t="str">
        <x:v>Нет</x:v>
      </x:c>
      <x:c r="R185" s="9" t="str">
        <x:v>C013</x:v>
      </x:c>
      <x:c r="S185" s="9" t="str">
        <x:v>C013</x:v>
      </x:c>
      <x:c r="T185" s="10" t="str">
        <x:v>כאן 11 - תאגיד השידור הישראלי</x:v>
      </x:c>
      <x:c r="U185" s="11" t="str">
        <x:v>https://www.youtube.com/watch?v=Bo_4zrOj8SQ</x:v>
      </x:c>
      <x:c r="V185" s="16" t="n">
        <x:v>46308</x:v>
      </x:c>
      <x:c r="W185" s="16" t="n">
        <x:v>46102</x:v>
      </x:c>
      <x:c r="X185" s="10" t="str">
        <x:v>Иврит предполагается по заголовку и источнику</x:v>
      </x:c>
      <x:c r="Y185" s="10" t="str">
        <x:v>Автоматическая дорожка HE по метаданным</x:v>
      </x:c>
      <x:c r="Z185" s="10" t="str">
        <x:v>Разрешено по метаданным</x:v>
      </x:c>
      <x:c r="AA185" s="10" t="str">
        <x:v>Метаданные видео; воспроизведение и содержание не проверены</x:v>
      </x:c>
      <x:c r="AB185" s="13" t="n">
        <x:f>IF(AND(ISNUMBER(H185),ISNUMBER(W185)),H185/MAX(1,'Обзор'!$B$4-W185),"")</x:f>
        <x:v>275.2718446601942</x:v>
      </x:c>
      <x:c r="AC185" s="17" t="str">
        <x:v>Не решено</x:v>
      </x:c>
      <x:c r="AD185" s="17" t="str">
        <x:v>Не проверено</x:v>
      </x:c>
      <x:c r="AE185" s="17" t="str">
        <x:v>Не проверено</x:v>
      </x:c>
      <x:c r="AF185" s="17" t="str">
        <x:v>Не проверено</x:v>
      </x:c>
      <x:c r="AG185" s="17" t="str">
        <x:v>Не решено</x:v>
      </x:c>
      <x:c r="AH185" s="17" t="str">
        <x:v>Не проверено</x:v>
      </x:c>
      <x:c r="AI185" s="10" t="str">
        <x:f>IF(AC185="Отклонить","Отклонено",IF(AND(AC185="Взять",COUNTIFS(AD185:AH185,"Да")=5),"Готово","Нужна редактура"))</x:f>
        <x:v>Нужна редактура</x:v>
      </x:c>
      <x:c r="AJ185" s="17" t="str"/>
      <x:c r="AK185" s="9" t="str">
        <x:v>https://www.youtube.com/playlist?list=PLLttfoK87AdXTvb41p_eqn5pEUm_qSwgH</x:v>
      </x:c>
      <x:c r="AL185" s="9" t="n">
        <x:v>11</x:v>
      </x:c>
      <x:c r="AM185" s="9"/>
      <x:c r="AN185" s="9" t="n">
        <x:v>0</x:v>
      </x:c>
    </x:row>
    <x:row r="186" ht="60" customHeight="1">
      <x:c r="A186" s="9" t="str">
        <x:v>83yQYnue6AE</x:v>
      </x:c>
      <x:c r="B186" s="10" t="str">
        <x:v>פגישה עם רוני קובן עונה 10 | אורן נהרי</x:v>
      </x:c>
      <x:c r="C186" s="10" t="str">
        <x:v>Люди Израиля</x:v>
      </x:c>
      <x:c r="D186" s="9" t="str">
        <x:v>Интервью</x:v>
      </x:c>
      <x:c r="E186" s="10" t="str">
        <x:v>Интервью; культура; общество; продвинутые</x:v>
      </x:c>
      <x:c r="F186" s="10" t="str">
        <x:v>B2–C1 (гипотеза)</x:v>
      </x:c>
      <x:c r="G186" s="12" t="n">
        <x:v>40.6</x:v>
      </x:c>
      <x:c r="H186" s="14" t="n">
        <x:v>43000</x:v>
      </x:c>
      <x:c r="I186" s="15" t="str">
        <x:v>Округлённый счётчик в списке YouTube</x:v>
      </x:c>
      <x:c r="J186" s="14" t="n">
        <x:v>43000</x:v>
      </x:c>
      <x:c r="K186" s="14" t="n">
        <x:v>55000</x:v>
      </x:c>
      <x:c r="L186" s="12" t="n">
        <x:f>IF(COUNT(J186:K186)=2,IF(K186=0,"",J186/K186),"")</x:f>
        <x:v>0.7818181818181819</x:v>
      </x:c>
      <x:c r="M186" s="10" t="str">
        <x:v>Тема / гость: אורן נהרי.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86" s="10" t="str">
        <x:v>Выбрать 5–8 минут: вопрос, уточнение, развёрнутый ответ. Сформулировать следующий вопрос.</x:v>
      </x:c>
      <x:c r="O186" s="10" t="str">
        <x:v>Взгляды гостя не равны установленным фактам; проверить чувствительные темы</x:v>
      </x:c>
      <x:c r="P186" s="10" t="str">
        <x:v>Длинное интервью</x:v>
      </x:c>
      <x:c r="Q186" s="9" t="str">
        <x:v>Нет</x:v>
      </x:c>
      <x:c r="R186" s="9" t="str">
        <x:v>C013</x:v>
      </x:c>
      <x:c r="S186" s="9" t="str">
        <x:v>C013</x:v>
      </x:c>
      <x:c r="T186" s="10" t="str">
        <x:v>כאן 11 - תאגיד השידור הישראלי</x:v>
      </x:c>
      <x:c r="U186" s="11" t="str">
        <x:v>https://www.youtube.com/watch?v=83yQYnue6AE</x:v>
      </x:c>
      <x:c r="V186" s="16" t="n">
        <x:v>46308</x:v>
      </x:c>
      <x:c r="W186" s="16"/>
      <x:c r="X186" s="10" t="str">
        <x:v>Иврит предполагается по заголовку и источнику</x:v>
      </x:c>
      <x:c r="Y186" s="10" t="str">
        <x:v>Не проверено</x:v>
      </x:c>
      <x:c r="Z186" s="10" t="str">
        <x:v>Не проверено</x:v>
      </x:c>
      <x:c r="AA186" s="10" t="str">
        <x:v>Метаданные списка; видео не просмотрено</x:v>
      </x:c>
      <x:c r="AB186" s="13" t="str">
        <x:f>IF(AND(ISNUMBER(H186),ISNUMBER(W186)),H186/MAX(1,'Обзор'!$B$4-W186),"")</x:f>
      </x:c>
      <x:c r="AC186" s="17" t="str">
        <x:v>Не решено</x:v>
      </x:c>
      <x:c r="AD186" s="17" t="str">
        <x:v>Не проверено</x:v>
      </x:c>
      <x:c r="AE186" s="17" t="str">
        <x:v>Не проверено</x:v>
      </x:c>
      <x:c r="AF186" s="17" t="str">
        <x:v>Не проверено</x:v>
      </x:c>
      <x:c r="AG186" s="17" t="str">
        <x:v>Не решено</x:v>
      </x:c>
      <x:c r="AH186" s="17" t="str">
        <x:v>Не проверено</x:v>
      </x:c>
      <x:c r="AI186" s="10" t="str">
        <x:f>IF(AC186="Отклонить","Отклонено",IF(AND(AC186="Взять",COUNTIFS(AD186:AH186,"Да")=5),"Готово","Нужна редактура"))</x:f>
        <x:v>Нужна редактура</x:v>
      </x:c>
      <x:c r="AJ186" s="17" t="str"/>
      <x:c r="AK186" s="9" t="str">
        <x:v>https://www.youtube.com/playlist?list=PLLttfoK87AdXTvb41p_eqn5pEUm_qSwgH</x:v>
      </x:c>
      <x:c r="AL186" s="9" t="n">
        <x:v>12</x:v>
      </x:c>
      <x:c r="AM186" s="9"/>
      <x:c r="AN186" s="9"/>
    </x:row>
    <x:row r="187" ht="60" customHeight="1">
      <x:c r="A187" s="9" t="str">
        <x:v>deXKs6_5An0</x:v>
      </x:c>
      <x:c r="B187" s="10" t="str">
        <x:v>פגישה עם רוני קובן עונה 10 | אביחי אדרעי</x:v>
      </x:c>
      <x:c r="C187" s="10" t="str">
        <x:v>Люди Израиля</x:v>
      </x:c>
      <x:c r="D187" s="9" t="str">
        <x:v>Интервью</x:v>
      </x:c>
      <x:c r="E187" s="10" t="str">
        <x:v>Интервью; культура; общество; продвинутые</x:v>
      </x:c>
      <x:c r="F187" s="10" t="str">
        <x:v>B2–C1 (гипотеза)</x:v>
      </x:c>
      <x:c r="G187" s="12" t="n">
        <x:v>37.5</x:v>
      </x:c>
      <x:c r="H187" s="14" t="n">
        <x:v>80717</x:v>
      </x:c>
      <x:c r="I187" s="15" t="str">
        <x:v>Точный счётчик метаданных видео</x:v>
      </x:c>
      <x:c r="J187" s="14" t="n">
        <x:v>80000</x:v>
      </x:c>
      <x:c r="K187" s="14" t="n">
        <x:v>55000</x:v>
      </x:c>
      <x:c r="L187" s="12" t="n">
        <x:f>IF(COUNT(J187:K187)=2,IF(K187=0,"",J187/K187),"")</x:f>
        <x:v>1.4545454545454546</x:v>
      </x:c>
      <x:c r="M187" s="10" t="str">
        <x:v>Тема / гость: אביחי אדרעי.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87" s="10" t="str">
        <x:v>Выбрать 5–8 минут: вопрос, уточнение, развёрнутый ответ. Сформулировать следующий вопрос.</x:v>
      </x:c>
      <x:c r="O187" s="10" t="str">
        <x:v>Взгляды гостя не равны установленным фактам; проверить чувствительные темы</x:v>
      </x:c>
      <x:c r="P187" s="10" t="str">
        <x:v>Длинное интервью</x:v>
      </x:c>
      <x:c r="Q187" s="9" t="str">
        <x:v>Нет</x:v>
      </x:c>
      <x:c r="R187" s="9" t="str">
        <x:v>C013</x:v>
      </x:c>
      <x:c r="S187" s="9" t="str">
        <x:v>C013</x:v>
      </x:c>
      <x:c r="T187" s="10" t="str">
        <x:v>כאן 11 - תאגיד השידור הישראלי</x:v>
      </x:c>
      <x:c r="U187" s="11" t="str">
        <x:v>https://www.youtube.com/watch?v=deXKs6_5An0</x:v>
      </x:c>
      <x:c r="V187" s="16" t="n">
        <x:v>46308</x:v>
      </x:c>
      <x:c r="W187" s="16" t="n">
        <x:v>46088</x:v>
      </x:c>
      <x:c r="X187" s="10" t="str">
        <x:v>Иврит предполагается по заголовку и источнику</x:v>
      </x:c>
      <x:c r="Y187" s="10" t="str">
        <x:v>Автоматическая дорожка HE по метаданным</x:v>
      </x:c>
      <x:c r="Z187" s="10" t="str">
        <x:v>Разрешено по метаданным</x:v>
      </x:c>
      <x:c r="AA187" s="10" t="str">
        <x:v>Метаданные видео; воспроизведение и содержание не проверены</x:v>
      </x:c>
      <x:c r="AB187" s="13" t="n">
        <x:f>IF(AND(ISNUMBER(H187),ISNUMBER(W187)),H187/MAX(1,'Обзор'!$B$4-W187),"")</x:f>
        <x:v>366.8954545454545</x:v>
      </x:c>
      <x:c r="AC187" s="17" t="str">
        <x:v>Не решено</x:v>
      </x:c>
      <x:c r="AD187" s="17" t="str">
        <x:v>Не проверено</x:v>
      </x:c>
      <x:c r="AE187" s="17" t="str">
        <x:v>Не проверено</x:v>
      </x:c>
      <x:c r="AF187" s="17" t="str">
        <x:v>Не проверено</x:v>
      </x:c>
      <x:c r="AG187" s="17" t="str">
        <x:v>Не решено</x:v>
      </x:c>
      <x:c r="AH187" s="17" t="str">
        <x:v>Не проверено</x:v>
      </x:c>
      <x:c r="AI187" s="10" t="str">
        <x:f>IF(AC187="Отклонить","Отклонено",IF(AND(AC187="Взять",COUNTIFS(AD187:AH187,"Да")=5),"Готово","Нужна редактура"))</x:f>
        <x:v>Нужна редактура</x:v>
      </x:c>
      <x:c r="AJ187" s="17" t="str"/>
      <x:c r="AK187" s="9" t="str">
        <x:v>https://www.youtube.com/playlist?list=PLLttfoK87AdXTvb41p_eqn5pEUm_qSwgH</x:v>
      </x:c>
      <x:c r="AL187" s="9" t="n">
        <x:v>13</x:v>
      </x:c>
      <x:c r="AM187" s="9"/>
      <x:c r="AN187" s="9" t="n">
        <x:v>0</x:v>
      </x:c>
    </x:row>
    <x:row r="188" ht="60" customHeight="1">
      <x:c r="A188" s="9" t="str">
        <x:v>PrWNvDge3eM</x:v>
      </x:c>
      <x:c r="B188" s="10" t="str">
        <x:v>פגישה עם רוני קובן עונה 10 | הדס שטייף</x:v>
      </x:c>
      <x:c r="C188" s="10" t="str">
        <x:v>Люди Израиля</x:v>
      </x:c>
      <x:c r="D188" s="9" t="str">
        <x:v>Интервью</x:v>
      </x:c>
      <x:c r="E188" s="10" t="str">
        <x:v>Интервью; культура; общество; продвинутые</x:v>
      </x:c>
      <x:c r="F188" s="10" t="str">
        <x:v>B2–C1 (гипотеза)</x:v>
      </x:c>
      <x:c r="G188" s="12" t="n">
        <x:v>36</x:v>
      </x:c>
      <x:c r="H188" s="14" t="n">
        <x:v>34000</x:v>
      </x:c>
      <x:c r="I188" s="15" t="str">
        <x:v>Округлённый счётчик в списке YouTube</x:v>
      </x:c>
      <x:c r="J188" s="14" t="n">
        <x:v>34000</x:v>
      </x:c>
      <x:c r="K188" s="14" t="n">
        <x:v>55000</x:v>
      </x:c>
      <x:c r="L188" s="12" t="n">
        <x:f>IF(COUNT(J188:K188)=2,IF(K188=0,"",J188/K188),"")</x:f>
        <x:v>0.6181818181818182</x:v>
      </x:c>
      <x:c r="M188" s="10" t="str">
        <x:v>Тема / гость: הדס שטייף.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88" s="10" t="str">
        <x:v>Выбрать 5–8 минут: вопрос, уточнение, развёрнутый ответ. Сформулировать следующий вопрос.</x:v>
      </x:c>
      <x:c r="O188" s="10" t="str">
        <x:v>Взгляды гостя не равны установленным фактам; проверить чувствительные темы</x:v>
      </x:c>
      <x:c r="P188" s="10" t="str">
        <x:v>Длинное интервью</x:v>
      </x:c>
      <x:c r="Q188" s="9" t="str">
        <x:v>Нет</x:v>
      </x:c>
      <x:c r="R188" s="9" t="str">
        <x:v>C013</x:v>
      </x:c>
      <x:c r="S188" s="9" t="str">
        <x:v>C013</x:v>
      </x:c>
      <x:c r="T188" s="10" t="str">
        <x:v>כאן 11 - תאגיד השידור הישראלי</x:v>
      </x:c>
      <x:c r="U188" s="11" t="str">
        <x:v>https://www.youtube.com/watch?v=PrWNvDge3eM</x:v>
      </x:c>
      <x:c r="V188" s="16" t="n">
        <x:v>46308</x:v>
      </x:c>
      <x:c r="W188" s="16"/>
      <x:c r="X188" s="10" t="str">
        <x:v>Иврит предполагается по заголовку и источнику</x:v>
      </x:c>
      <x:c r="Y188" s="10" t="str">
        <x:v>Не проверено</x:v>
      </x:c>
      <x:c r="Z188" s="10" t="str">
        <x:v>Не проверено</x:v>
      </x:c>
      <x:c r="AA188" s="10" t="str">
        <x:v>Метаданные списка; видео не просмотрено</x:v>
      </x:c>
      <x:c r="AB188" s="13" t="str">
        <x:f>IF(AND(ISNUMBER(H188),ISNUMBER(W188)),H188/MAX(1,'Обзор'!$B$4-W188),"")</x:f>
      </x:c>
      <x:c r="AC188" s="17" t="str">
        <x:v>Не решено</x:v>
      </x:c>
      <x:c r="AD188" s="17" t="str">
        <x:v>Не проверено</x:v>
      </x:c>
      <x:c r="AE188" s="17" t="str">
        <x:v>Не проверено</x:v>
      </x:c>
      <x:c r="AF188" s="17" t="str">
        <x:v>Не проверено</x:v>
      </x:c>
      <x:c r="AG188" s="17" t="str">
        <x:v>Не решено</x:v>
      </x:c>
      <x:c r="AH188" s="17" t="str">
        <x:v>Не проверено</x:v>
      </x:c>
      <x:c r="AI188" s="10" t="str">
        <x:f>IF(AC188="Отклонить","Отклонено",IF(AND(AC188="Взять",COUNTIFS(AD188:AH188,"Да")=5),"Готово","Нужна редактура"))</x:f>
        <x:v>Нужна редактура</x:v>
      </x:c>
      <x:c r="AJ188" s="17" t="str"/>
      <x:c r="AK188" s="9" t="str">
        <x:v>https://www.youtube.com/playlist?list=PLLttfoK87AdXTvb41p_eqn5pEUm_qSwgH</x:v>
      </x:c>
      <x:c r="AL188" s="9" t="n">
        <x:v>14</x:v>
      </x:c>
      <x:c r="AM188" s="9"/>
      <x:c r="AN188" s="9"/>
    </x:row>
    <x:row r="189" ht="60" customHeight="1">
      <x:c r="A189" s="9" t="str">
        <x:v>NJpZz32FnM8</x:v>
      </x:c>
      <x:c r="B189" s="10" t="str">
        <x:v>פגישה עם רוני קובן עונה 10 | אביחי שטרן</x:v>
      </x:c>
      <x:c r="C189" s="10" t="str">
        <x:v>Люди Израиля</x:v>
      </x:c>
      <x:c r="D189" s="9" t="str">
        <x:v>Интервью</x:v>
      </x:c>
      <x:c r="E189" s="10" t="str">
        <x:v>Интервью; культура; общество; продвинутые</x:v>
      </x:c>
      <x:c r="F189" s="10" t="str">
        <x:v>B2–C1 (гипотеза)</x:v>
      </x:c>
      <x:c r="G189" s="12" t="n">
        <x:v>35.2</x:v>
      </x:c>
      <x:c r="H189" s="14" t="n">
        <x:v>26000</x:v>
      </x:c>
      <x:c r="I189" s="15" t="str">
        <x:v>Округлённый счётчик в списке YouTube</x:v>
      </x:c>
      <x:c r="J189" s="14" t="n">
        <x:v>26000</x:v>
      </x:c>
      <x:c r="K189" s="14" t="n">
        <x:v>55000</x:v>
      </x:c>
      <x:c r="L189" s="12" t="n">
        <x:f>IF(COUNT(J189:K189)=2,IF(K189=0,"",J189/K189),"")</x:f>
        <x:v>0.4727272727272727</x:v>
      </x:c>
      <x:c r="M189" s="10" t="str">
        <x:v>Тема / гость: אביחי שטרן. Просмотры ниже медианы цикла; выбирать за нишевую ценность, а не за массовый охват.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89" s="10" t="str">
        <x:v>Выбрать 5–8 минут: вопрос, уточнение, развёрнутый ответ. Сформулировать следующий вопрос.</x:v>
      </x:c>
      <x:c r="O189" s="10" t="str">
        <x:v>Взгляды гостя не равны установленным фактам; проверить чувствительные темы</x:v>
      </x:c>
      <x:c r="P189" s="10" t="str">
        <x:v>Длинное интервью</x:v>
      </x:c>
      <x:c r="Q189" s="9" t="str">
        <x:v>Нет</x:v>
      </x:c>
      <x:c r="R189" s="9" t="str">
        <x:v>C013</x:v>
      </x:c>
      <x:c r="S189" s="9" t="str">
        <x:v>C013</x:v>
      </x:c>
      <x:c r="T189" s="10" t="str">
        <x:v>כאן 11 - תאגיד השידור הישראלי</x:v>
      </x:c>
      <x:c r="U189" s="11" t="str">
        <x:v>https://www.youtube.com/watch?v=NJpZz32FnM8</x:v>
      </x:c>
      <x:c r="V189" s="16" t="n">
        <x:v>46308</x:v>
      </x:c>
      <x:c r="W189" s="16"/>
      <x:c r="X189" s="10" t="str">
        <x:v>Иврит предполагается по заголовку и источнику</x:v>
      </x:c>
      <x:c r="Y189" s="10" t="str">
        <x:v>Не проверено</x:v>
      </x:c>
      <x:c r="Z189" s="10" t="str">
        <x:v>Не проверено</x:v>
      </x:c>
      <x:c r="AA189" s="10" t="str">
        <x:v>Метаданные списка; видео не просмотрено</x:v>
      </x:c>
      <x:c r="AB189" s="13" t="str">
        <x:f>IF(AND(ISNUMBER(H189),ISNUMBER(W189)),H189/MAX(1,'Обзор'!$B$4-W189),"")</x:f>
      </x:c>
      <x:c r="AC189" s="17" t="str">
        <x:v>Не решено</x:v>
      </x:c>
      <x:c r="AD189" s="17" t="str">
        <x:v>Не проверено</x:v>
      </x:c>
      <x:c r="AE189" s="17" t="str">
        <x:v>Не проверено</x:v>
      </x:c>
      <x:c r="AF189" s="17" t="str">
        <x:v>Не проверено</x:v>
      </x:c>
      <x:c r="AG189" s="17" t="str">
        <x:v>Не решено</x:v>
      </x:c>
      <x:c r="AH189" s="17" t="str">
        <x:v>Не проверено</x:v>
      </x:c>
      <x:c r="AI189" s="10" t="str">
        <x:f>IF(AC189="Отклонить","Отклонено",IF(AND(AC189="Взять",COUNTIFS(AD189:AH189,"Да")=5),"Готово","Нужна редактура"))</x:f>
        <x:v>Нужна редактура</x:v>
      </x:c>
      <x:c r="AJ189" s="17" t="str"/>
      <x:c r="AK189" s="9" t="str">
        <x:v>https://www.youtube.com/playlist?list=PLLttfoK87AdXTvb41p_eqn5pEUm_qSwgH</x:v>
      </x:c>
      <x:c r="AL189" s="9" t="n">
        <x:v>15</x:v>
      </x:c>
      <x:c r="AM189" s="9"/>
      <x:c r="AN189" s="9"/>
    </x:row>
    <x:row r="190" ht="60" customHeight="1">
      <x:c r="A190" s="9" t="str">
        <x:v>k30246NW6yo</x:v>
      </x:c>
      <x:c r="B190" s="10" t="str">
        <x:v>איך זה שכוכב | ראיון אחרון ומיוחד של רוני קובן עם מתי כספי</x:v>
      </x:c>
      <x:c r="C190" s="10" t="str">
        <x:v>Люди Израиля</x:v>
      </x:c>
      <x:c r="D190" s="9" t="str">
        <x:v>Интервью</x:v>
      </x:c>
      <x:c r="E190" s="10" t="str">
        <x:v>Интервью; культура; общество; продвинутые</x:v>
      </x:c>
      <x:c r="F190" s="10" t="str">
        <x:v>B2–C1 (гипотеза)</x:v>
      </x:c>
      <x:c r="G190" s="12" t="n">
        <x:v>53.6</x:v>
      </x:c>
      <x:c r="H190" s="14" t="n">
        <x:v>89244</x:v>
      </x:c>
      <x:c r="I190" s="15" t="str">
        <x:v>Точный счётчик метаданных видео</x:v>
      </x:c>
      <x:c r="J190" s="14" t="n">
        <x:v>89000</x:v>
      </x:c>
      <x:c r="K190" s="14" t="n">
        <x:v>55000</x:v>
      </x:c>
      <x:c r="L190" s="12" t="n">
        <x:f>IF(COUNT(J190:K190)=2,IF(K190=0,"",J190/K190),"")</x:f>
        <x:v>1.6181818181818182</x:v>
      </x:c>
      <x:c r="M190" s="10" t="str">
        <x:v>Тема / гость: ראיון אחרון ומיוחד של רוני קובן עם מתי כספי. Просмотры в списке выше медианы выборки этого цикла в 1.62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90" s="10" t="str">
        <x:v>Выбрать 5–8 минут: вопрос, уточнение, развёрнутый ответ. Сформулировать следующий вопрос.</x:v>
      </x:c>
      <x:c r="O190" s="10" t="str">
        <x:v>Взгляды гостя не равны установленным фактам; проверить чувствительные темы</x:v>
      </x:c>
      <x:c r="P190" s="10" t="str">
        <x:v>Длинное интервью</x:v>
      </x:c>
      <x:c r="Q190" s="9" t="str">
        <x:v>Нет</x:v>
      </x:c>
      <x:c r="R190" s="9" t="str">
        <x:v>C013</x:v>
      </x:c>
      <x:c r="S190" s="9" t="str">
        <x:v>C013</x:v>
      </x:c>
      <x:c r="T190" s="10" t="str">
        <x:v>כאן 11 - תאגיד השידור הישראלי</x:v>
      </x:c>
      <x:c r="U190" s="11" t="str">
        <x:v>https://www.youtube.com/watch?v=k30246NW6yo</x:v>
      </x:c>
      <x:c r="V190" s="16" t="n">
        <x:v>46308</x:v>
      </x:c>
      <x:c r="W190" s="16" t="n">
        <x:v>46061</x:v>
      </x:c>
      <x:c r="X190" s="10" t="str">
        <x:v>Иврит предполагается по заголовку и источнику</x:v>
      </x:c>
      <x:c r="Y190" s="10" t="str">
        <x:v>Автоматическая дорожка HE по метаданным</x:v>
      </x:c>
      <x:c r="Z190" s="10" t="str">
        <x:v>Разрешено по метаданным</x:v>
      </x:c>
      <x:c r="AA190" s="10" t="str">
        <x:v>Метаданные видео; воспроизведение и содержание не проверены</x:v>
      </x:c>
      <x:c r="AB190" s="13" t="n">
        <x:f>IF(AND(ISNUMBER(H190),ISNUMBER(W190)),H190/MAX(1,'Обзор'!$B$4-W190),"")</x:f>
        <x:v>361.31174089068827</x:v>
      </x:c>
      <x:c r="AC190" s="17" t="str">
        <x:v>Не решено</x:v>
      </x:c>
      <x:c r="AD190" s="17" t="str">
        <x:v>Не проверено</x:v>
      </x:c>
      <x:c r="AE190" s="17" t="str">
        <x:v>Не проверено</x:v>
      </x:c>
      <x:c r="AF190" s="17" t="str">
        <x:v>Не проверено</x:v>
      </x:c>
      <x:c r="AG190" s="17" t="str">
        <x:v>Не решено</x:v>
      </x:c>
      <x:c r="AH190" s="17" t="str">
        <x:v>Не проверено</x:v>
      </x:c>
      <x:c r="AI190" s="10" t="str">
        <x:f>IF(AC190="Отклонить","Отклонено",IF(AND(AC190="Взять",COUNTIFS(AD190:AH190,"Да")=5),"Готово","Нужна редактура"))</x:f>
        <x:v>Нужна редактура</x:v>
      </x:c>
      <x:c r="AJ190" s="17" t="str"/>
      <x:c r="AK190" s="9" t="str">
        <x:v>https://www.youtube.com/playlist?list=PLLttfoK87AdXTvb41p_eqn5pEUm_qSwgH</x:v>
      </x:c>
      <x:c r="AL190" s="9" t="n">
        <x:v>16</x:v>
      </x:c>
      <x:c r="AM190" s="9"/>
      <x:c r="AN190" s="9" t="n">
        <x:v>0</x:v>
      </x:c>
    </x:row>
    <x:row r="191" ht="60" customHeight="1">
      <x:c r="A191" s="9" t="str">
        <x:v>qnpjOMhkkTY</x:v>
      </x:c>
      <x:c r="B191" s="10" t="str">
        <x:v>פגישה עם רוני קובן עונה 10 | גדי איזנקוט</x:v>
      </x:c>
      <x:c r="C191" s="10" t="str">
        <x:v>Люди Израиля</x:v>
      </x:c>
      <x:c r="D191" s="9" t="str">
        <x:v>Интервью</x:v>
      </x:c>
      <x:c r="E191" s="10" t="str">
        <x:v>Интервью; культура; общество; продвинутые</x:v>
      </x:c>
      <x:c r="F191" s="10" t="str">
        <x:v>B2–C1 (гипотеза)</x:v>
      </x:c>
      <x:c r="G191" s="12" t="n">
        <x:v>47.5</x:v>
      </x:c>
      <x:c r="H191" s="14" t="n">
        <x:v>92916</x:v>
      </x:c>
      <x:c r="I191" s="15" t="str">
        <x:v>Точный счётчик метаданных видео</x:v>
      </x:c>
      <x:c r="J191" s="14" t="n">
        <x:v>92000</x:v>
      </x:c>
      <x:c r="K191" s="14" t="n">
        <x:v>55000</x:v>
      </x:c>
      <x:c r="L191" s="12" t="n">
        <x:f>IF(COUNT(J191:K191)=2,IF(K191=0,"",J191/K191),"")</x:f>
        <x:v>1.6727272727272726</x:v>
      </x:c>
      <x:c r="M191" s="10" t="str">
        <x:v>Тема / гость: גדי איזנקוט. Просмотры в списке выше медианы выборки этого цикла в 1.67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91" s="10" t="str">
        <x:v>Выбрать 5–8 минут: вопрос, уточнение, развёрнутый ответ. Сформулировать следующий вопрос.</x:v>
      </x:c>
      <x:c r="O191" s="10" t="str">
        <x:v>Взгляды гостя не равны установленным фактам; проверить чувствительные темы</x:v>
      </x:c>
      <x:c r="P191" s="10" t="str">
        <x:v>Длинное интервью</x:v>
      </x:c>
      <x:c r="Q191" s="9" t="str">
        <x:v>Нет</x:v>
      </x:c>
      <x:c r="R191" s="9" t="str">
        <x:v>C013</x:v>
      </x:c>
      <x:c r="S191" s="9" t="str">
        <x:v>C013</x:v>
      </x:c>
      <x:c r="T191" s="10" t="str">
        <x:v>כאן 11 - תאגיד השידור הישראלי</x:v>
      </x:c>
      <x:c r="U191" s="11" t="str">
        <x:v>https://www.youtube.com/watch?v=qnpjOMhkkTY</x:v>
      </x:c>
      <x:c r="V191" s="16" t="n">
        <x:v>46308</x:v>
      </x:c>
      <x:c r="W191" s="16" t="n">
        <x:v>46060</x:v>
      </x:c>
      <x:c r="X191" s="10" t="str">
        <x:v>Иврит предполагается по заголовку и источнику</x:v>
      </x:c>
      <x:c r="Y191" s="10" t="str">
        <x:v>Автоматическая дорожка HE по метаданным</x:v>
      </x:c>
      <x:c r="Z191" s="10" t="str">
        <x:v>Разрешено по метаданным</x:v>
      </x:c>
      <x:c r="AA191" s="10" t="str">
        <x:v>Метаданные видео; воспроизведение и содержание не проверены</x:v>
      </x:c>
      <x:c r="AB191" s="13" t="n">
        <x:f>IF(AND(ISNUMBER(H191),ISNUMBER(W191)),H191/MAX(1,'Обзор'!$B$4-W191),"")</x:f>
        <x:v>374.66129032258067</x:v>
      </x:c>
      <x:c r="AC191" s="17" t="str">
        <x:v>Не решено</x:v>
      </x:c>
      <x:c r="AD191" s="17" t="str">
        <x:v>Не проверено</x:v>
      </x:c>
      <x:c r="AE191" s="17" t="str">
        <x:v>Не проверено</x:v>
      </x:c>
      <x:c r="AF191" s="17" t="str">
        <x:v>Не проверено</x:v>
      </x:c>
      <x:c r="AG191" s="17" t="str">
        <x:v>Не решено</x:v>
      </x:c>
      <x:c r="AH191" s="17" t="str">
        <x:v>Не проверено</x:v>
      </x:c>
      <x:c r="AI191" s="10" t="str">
        <x:f>IF(AC191="Отклонить","Отклонено",IF(AND(AC191="Взять",COUNTIFS(AD191:AH191,"Да")=5),"Готово","Нужна редактура"))</x:f>
        <x:v>Нужна редактура</x:v>
      </x:c>
      <x:c r="AJ191" s="17" t="str"/>
      <x:c r="AK191" s="9" t="str">
        <x:v>https://www.youtube.com/playlist?list=PLLttfoK87AdXTvb41p_eqn5pEUm_qSwgH</x:v>
      </x:c>
      <x:c r="AL191" s="9" t="n">
        <x:v>17</x:v>
      </x:c>
      <x:c r="AM191" s="9"/>
      <x:c r="AN191" s="9" t="n">
        <x:v>0</x:v>
      </x:c>
    </x:row>
    <x:row r="192" ht="60" customHeight="1">
      <x:c r="A192" s="9" t="str">
        <x:v>a5RwrJevcYo</x:v>
      </x:c>
      <x:c r="B192" s="10" t="str">
        <x:v>פגישה עם רוני קובן עונה 10 | יולי אדלשטיין</x:v>
      </x:c>
      <x:c r="C192" s="10" t="str">
        <x:v>Люди Израиля</x:v>
      </x:c>
      <x:c r="D192" s="9" t="str">
        <x:v>Интервью</x:v>
      </x:c>
      <x:c r="E192" s="10" t="str">
        <x:v>Интервью; культура; общество; продвинутые</x:v>
      </x:c>
      <x:c r="F192" s="10" t="str">
        <x:v>B2–C1 (гипотеза)</x:v>
      </x:c>
      <x:c r="G192" s="12" t="n">
        <x:v>39.2</x:v>
      </x:c>
      <x:c r="H192" s="14" t="n">
        <x:v>36000</x:v>
      </x:c>
      <x:c r="I192" s="15" t="str">
        <x:v>Округлённый счётчик в списке YouTube</x:v>
      </x:c>
      <x:c r="J192" s="14" t="n">
        <x:v>36000</x:v>
      </x:c>
      <x:c r="K192" s="14" t="n">
        <x:v>55000</x:v>
      </x:c>
      <x:c r="L192" s="12" t="n">
        <x:f>IF(COUNT(J192:K192)=2,IF(K192=0,"",J192/K192),"")</x:f>
        <x:v>0.6545454545454545</x:v>
      </x:c>
      <x:c r="M192" s="10" t="str">
        <x:v>Тема / гость: יולי אדלשטיין.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92" s="10" t="str">
        <x:v>Выбрать 5–8 минут: вопрос, уточнение, развёрнутый ответ. Сформулировать следующий вопрос.</x:v>
      </x:c>
      <x:c r="O192" s="10" t="str">
        <x:v>Взгляды гостя не равны установленным фактам; проверить чувствительные темы</x:v>
      </x:c>
      <x:c r="P192" s="10" t="str">
        <x:v>Длинное интервью</x:v>
      </x:c>
      <x:c r="Q192" s="9" t="str">
        <x:v>Нет</x:v>
      </x:c>
      <x:c r="R192" s="9" t="str">
        <x:v>C013</x:v>
      </x:c>
      <x:c r="S192" s="9" t="str">
        <x:v>C013</x:v>
      </x:c>
      <x:c r="T192" s="10" t="str">
        <x:v>כאן 11 - תאגיד השידור הישראלי</x:v>
      </x:c>
      <x:c r="U192" s="11" t="str">
        <x:v>https://www.youtube.com/watch?v=a5RwrJevcYo</x:v>
      </x:c>
      <x:c r="V192" s="16" t="n">
        <x:v>46308</x:v>
      </x:c>
      <x:c r="W192" s="16"/>
      <x:c r="X192" s="10" t="str">
        <x:v>Иврит предполагается по заголовку и источнику</x:v>
      </x:c>
      <x:c r="Y192" s="10" t="str">
        <x:v>Не проверено</x:v>
      </x:c>
      <x:c r="Z192" s="10" t="str">
        <x:v>Не проверено</x:v>
      </x:c>
      <x:c r="AA192" s="10" t="str">
        <x:v>Метаданные списка; видео не просмотрено</x:v>
      </x:c>
      <x:c r="AB192" s="13" t="str">
        <x:f>IF(AND(ISNUMBER(H192),ISNUMBER(W192)),H192/MAX(1,'Обзор'!$B$4-W192),"")</x:f>
      </x:c>
      <x:c r="AC192" s="17" t="str">
        <x:v>Не решено</x:v>
      </x:c>
      <x:c r="AD192" s="17" t="str">
        <x:v>Не проверено</x:v>
      </x:c>
      <x:c r="AE192" s="17" t="str">
        <x:v>Не проверено</x:v>
      </x:c>
      <x:c r="AF192" s="17" t="str">
        <x:v>Не проверено</x:v>
      </x:c>
      <x:c r="AG192" s="17" t="str">
        <x:v>Не решено</x:v>
      </x:c>
      <x:c r="AH192" s="17" t="str">
        <x:v>Не проверено</x:v>
      </x:c>
      <x:c r="AI192" s="10" t="str">
        <x:f>IF(AC192="Отклонить","Отклонено",IF(AND(AC192="Взять",COUNTIFS(AD192:AH192,"Да")=5),"Готово","Нужна редактура"))</x:f>
        <x:v>Нужна редактура</x:v>
      </x:c>
      <x:c r="AJ192" s="17" t="str"/>
      <x:c r="AK192" s="9" t="str">
        <x:v>https://www.youtube.com/playlist?list=PLLttfoK87AdXTvb41p_eqn5pEUm_qSwgH</x:v>
      </x:c>
      <x:c r="AL192" s="9" t="n">
        <x:v>18</x:v>
      </x:c>
      <x:c r="AM192" s="9"/>
      <x:c r="AN192" s="9"/>
    </x:row>
    <x:row r="193" ht="60" customHeight="1">
      <x:c r="A193" s="9" t="str">
        <x:v>1S04wzO8RDk</x:v>
      </x:c>
      <x:c r="B193" s="10" t="str">
        <x:v>פגישה עם רוני קובן עונה 10 | עדי שהם</x:v>
      </x:c>
      <x:c r="C193" s="10" t="str">
        <x:v>Люди Израиля</x:v>
      </x:c>
      <x:c r="D193" s="9" t="str">
        <x:v>Интервью</x:v>
      </x:c>
      <x:c r="E193" s="10" t="str">
        <x:v>Интервью; культура; общество; продвинутые</x:v>
      </x:c>
      <x:c r="F193" s="10" t="str">
        <x:v>B2–C1 (гипотеза)</x:v>
      </x:c>
      <x:c r="G193" s="12" t="n">
        <x:v>36.2</x:v>
      </x:c>
      <x:c r="H193" s="14" t="n">
        <x:v>27000</x:v>
      </x:c>
      <x:c r="I193" s="15" t="str">
        <x:v>Округлённый счётчик в списке YouTube</x:v>
      </x:c>
      <x:c r="J193" s="14" t="n">
        <x:v>27000</x:v>
      </x:c>
      <x:c r="K193" s="14" t="n">
        <x:v>55000</x:v>
      </x:c>
      <x:c r="L193" s="12" t="n">
        <x:f>IF(COUNT(J193:K193)=2,IF(K193=0,"",J193/K193),"")</x:f>
        <x:v>0.4909090909090909</x:v>
      </x:c>
      <x:c r="M193" s="10" t="str">
        <x:v>Тема / гость: עדי שהם. Просмотры ниже медианы цикла; выбирать за нишевую ценность, а не за массовый охват.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93" s="10" t="str">
        <x:v>Выбрать 5–8 минут: вопрос, уточнение, развёрнутый ответ. Сформулировать следующий вопрос.</x:v>
      </x:c>
      <x:c r="O193" s="10" t="str">
        <x:v>Взгляды гостя не равны установленным фактам; проверить чувствительные темы</x:v>
      </x:c>
      <x:c r="P193" s="10" t="str">
        <x:v>Длинное интервью</x:v>
      </x:c>
      <x:c r="Q193" s="9" t="str">
        <x:v>Нет</x:v>
      </x:c>
      <x:c r="R193" s="9" t="str">
        <x:v>C013</x:v>
      </x:c>
      <x:c r="S193" s="9" t="str">
        <x:v>C013</x:v>
      </x:c>
      <x:c r="T193" s="10" t="str">
        <x:v>כאן 11 - תאגיד השידור הישראלי</x:v>
      </x:c>
      <x:c r="U193" s="11" t="str">
        <x:v>https://www.youtube.com/watch?v=1S04wzO8RDk</x:v>
      </x:c>
      <x:c r="V193" s="16" t="n">
        <x:v>46308</x:v>
      </x:c>
      <x:c r="W193" s="16"/>
      <x:c r="X193" s="10" t="str">
        <x:v>Иврит предполагается по заголовку и источнику</x:v>
      </x:c>
      <x:c r="Y193" s="10" t="str">
        <x:v>Не проверено</x:v>
      </x:c>
      <x:c r="Z193" s="10" t="str">
        <x:v>Не проверено</x:v>
      </x:c>
      <x:c r="AA193" s="10" t="str">
        <x:v>Метаданные списка; видео не просмотрено</x:v>
      </x:c>
      <x:c r="AB193" s="13" t="str">
        <x:f>IF(AND(ISNUMBER(H193),ISNUMBER(W193)),H193/MAX(1,'Обзор'!$B$4-W193),"")</x:f>
      </x:c>
      <x:c r="AC193" s="17" t="str">
        <x:v>Не решено</x:v>
      </x:c>
      <x:c r="AD193" s="17" t="str">
        <x:v>Не проверено</x:v>
      </x:c>
      <x:c r="AE193" s="17" t="str">
        <x:v>Не проверено</x:v>
      </x:c>
      <x:c r="AF193" s="17" t="str">
        <x:v>Не проверено</x:v>
      </x:c>
      <x:c r="AG193" s="17" t="str">
        <x:v>Не решено</x:v>
      </x:c>
      <x:c r="AH193" s="17" t="str">
        <x:v>Не проверено</x:v>
      </x:c>
      <x:c r="AI193" s="10" t="str">
        <x:f>IF(AC193="Отклонить","Отклонено",IF(AND(AC193="Взять",COUNTIFS(AD193:AH193,"Да")=5),"Готово","Нужна редактура"))</x:f>
        <x:v>Нужна редактура</x:v>
      </x:c>
      <x:c r="AJ193" s="17" t="str"/>
      <x:c r="AK193" s="9" t="str">
        <x:v>https://www.youtube.com/playlist?list=PLLttfoK87AdXTvb41p_eqn5pEUm_qSwgH</x:v>
      </x:c>
      <x:c r="AL193" s="9" t="n">
        <x:v>19</x:v>
      </x:c>
      <x:c r="AM193" s="9"/>
      <x:c r="AN193" s="9"/>
    </x:row>
    <x:row r="194" ht="60" customHeight="1">
      <x:c r="A194" s="9" t="str">
        <x:v>lxqLKAJm8T4</x:v>
      </x:c>
      <x:c r="B194" s="10" t="str">
        <x:v>פגישה עם רוני קובן עונה 10 | בן כספית</x:v>
      </x:c>
      <x:c r="C194" s="10" t="str">
        <x:v>Люди Израиля</x:v>
      </x:c>
      <x:c r="D194" s="9" t="str">
        <x:v>Интервью</x:v>
      </x:c>
      <x:c r="E194" s="10" t="str">
        <x:v>Интервью; культура; общество; продвинутые</x:v>
      </x:c>
      <x:c r="F194" s="10" t="str">
        <x:v>B2–C1 (гипотеза)</x:v>
      </x:c>
      <x:c r="G194" s="12" t="n">
        <x:v>39</x:v>
      </x:c>
      <x:c r="H194" s="14" t="n">
        <x:v>60214</x:v>
      </x:c>
      <x:c r="I194" s="15" t="str">
        <x:v>Точный счётчик метаданных видео</x:v>
      </x:c>
      <x:c r="J194" s="14" t="n">
        <x:v>60000</x:v>
      </x:c>
      <x:c r="K194" s="14" t="n">
        <x:v>55000</x:v>
      </x:c>
      <x:c r="L194" s="12" t="n">
        <x:f>IF(COUNT(J194:K194)=2,IF(K194=0,"",J194/K194),"")</x:f>
        <x:v>1.0909090909090908</x:v>
      </x:c>
      <x:c r="M194" s="10" t="str">
        <x:v>Тема / гость: בן כספית.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94" s="10" t="str">
        <x:v>Выбрать 5–8 минут: вопрос, уточнение, развёрнутый ответ. Сформулировать следующий вопрос.</x:v>
      </x:c>
      <x:c r="O194" s="10" t="str">
        <x:v>Взгляды гостя не равны установленным фактам; проверить чувствительные темы</x:v>
      </x:c>
      <x:c r="P194" s="10" t="str">
        <x:v>Длинное интервью</x:v>
      </x:c>
      <x:c r="Q194" s="9" t="str">
        <x:v>Нет</x:v>
      </x:c>
      <x:c r="R194" s="9" t="str">
        <x:v>C013</x:v>
      </x:c>
      <x:c r="S194" s="9" t="str">
        <x:v>C013</x:v>
      </x:c>
      <x:c r="T194" s="10" t="str">
        <x:v>כאן 11 - תאגיד השידור הישראלי</x:v>
      </x:c>
      <x:c r="U194" s="11" t="str">
        <x:v>https://www.youtube.com/watch?v=lxqLKAJm8T4</x:v>
      </x:c>
      <x:c r="V194" s="16" t="n">
        <x:v>46308</x:v>
      </x:c>
      <x:c r="W194" s="16" t="n">
        <x:v>46039</x:v>
      </x:c>
      <x:c r="X194" s="10" t="str">
        <x:v>Иврит предполагается по заголовку и источнику</x:v>
      </x:c>
      <x:c r="Y194" s="10" t="str">
        <x:v>Автоматическая дорожка HE по метаданным</x:v>
      </x:c>
      <x:c r="Z194" s="10" t="str">
        <x:v>Разрешено по метаданным</x:v>
      </x:c>
      <x:c r="AA194" s="10" t="str">
        <x:v>Метаданные видео; воспроизведение и содержание не проверены</x:v>
      </x:c>
      <x:c r="AB194" s="13" t="n">
        <x:f>IF(AND(ISNUMBER(H194),ISNUMBER(W194)),H194/MAX(1,'Обзор'!$B$4-W194),"")</x:f>
        <x:v>223.84386617100373</x:v>
      </x:c>
      <x:c r="AC194" s="17" t="str">
        <x:v>Не решено</x:v>
      </x:c>
      <x:c r="AD194" s="17" t="str">
        <x:v>Не проверено</x:v>
      </x:c>
      <x:c r="AE194" s="17" t="str">
        <x:v>Не проверено</x:v>
      </x:c>
      <x:c r="AF194" s="17" t="str">
        <x:v>Не проверено</x:v>
      </x:c>
      <x:c r="AG194" s="17" t="str">
        <x:v>Не решено</x:v>
      </x:c>
      <x:c r="AH194" s="17" t="str">
        <x:v>Не проверено</x:v>
      </x:c>
      <x:c r="AI194" s="10" t="str">
        <x:f>IF(AC194="Отклонить","Отклонено",IF(AND(AC194="Взять",COUNTIFS(AD194:AH194,"Да")=5),"Готово","Нужна редактура"))</x:f>
        <x:v>Нужна редактура</x:v>
      </x:c>
      <x:c r="AJ194" s="17" t="str"/>
      <x:c r="AK194" s="9" t="str">
        <x:v>https://www.youtube.com/playlist?list=PLLttfoK87AdXTvb41p_eqn5pEUm_qSwgH</x:v>
      </x:c>
      <x:c r="AL194" s="9" t="n">
        <x:v>20</x:v>
      </x:c>
      <x:c r="AM194" s="9"/>
      <x:c r="AN194" s="9" t="n">
        <x:v>0</x:v>
      </x:c>
    </x:row>
    <x:row r="195" ht="60" customHeight="1">
      <x:c r="A195" s="9" t="str">
        <x:v>TM0mrVHH98s</x:v>
      </x:c>
      <x:c r="B195" s="10" t="str">
        <x:v>פגישה עם רוני קובן עונה 10 | ערן סויסה</x:v>
      </x:c>
      <x:c r="C195" s="10" t="str">
        <x:v>Люди Израиля</x:v>
      </x:c>
      <x:c r="D195" s="9" t="str">
        <x:v>Интервью</x:v>
      </x:c>
      <x:c r="E195" s="10" t="str">
        <x:v>Интервью; культура; общество; продвинутые</x:v>
      </x:c>
      <x:c r="F195" s="10" t="str">
        <x:v>B2–C1 (гипотеза)</x:v>
      </x:c>
      <x:c r="G195" s="12" t="n">
        <x:v>39.2</x:v>
      </x:c>
      <x:c r="H195" s="14" t="n">
        <x:v>70399</x:v>
      </x:c>
      <x:c r="I195" s="15" t="str">
        <x:v>Точный счётчик метаданных видео</x:v>
      </x:c>
      <x:c r="J195" s="14" t="n">
        <x:v>70000</x:v>
      </x:c>
      <x:c r="K195" s="14" t="n">
        <x:v>55000</x:v>
      </x:c>
      <x:c r="L195" s="12" t="n">
        <x:f>IF(COUNT(J195:K195)=2,IF(K195=0,"",J195/K195),"")</x:f>
        <x:v>1.2727272727272727</x:v>
      </x:c>
      <x:c r="M195" s="10" t="str">
        <x:v>Тема / гость: ערן סויסה.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95" s="10" t="str">
        <x:v>Выбрать 5–8 минут: вопрос, уточнение, развёрнутый ответ. Сформулировать следующий вопрос.</x:v>
      </x:c>
      <x:c r="O195" s="10" t="str">
        <x:v>Взгляды гостя не равны установленным фактам; проверить чувствительные темы</x:v>
      </x:c>
      <x:c r="P195" s="10" t="str">
        <x:v>Длинное интервью</x:v>
      </x:c>
      <x:c r="Q195" s="9" t="str">
        <x:v>Нет</x:v>
      </x:c>
      <x:c r="R195" s="9" t="str">
        <x:v>C013</x:v>
      </x:c>
      <x:c r="S195" s="9" t="str">
        <x:v>C013</x:v>
      </x:c>
      <x:c r="T195" s="10" t="str">
        <x:v>כאן 11 - תאגיד השידור הישראלי</x:v>
      </x:c>
      <x:c r="U195" s="11" t="str">
        <x:v>https://www.youtube.com/watch?v=TM0mrVHH98s</x:v>
      </x:c>
      <x:c r="V195" s="16" t="n">
        <x:v>46308</x:v>
      </x:c>
      <x:c r="W195" s="16" t="n">
        <x:v>46032</x:v>
      </x:c>
      <x:c r="X195" s="10" t="str">
        <x:v>Иврит предполагается по заголовку и источнику</x:v>
      </x:c>
      <x:c r="Y195" s="10" t="str">
        <x:v>Автоматическая дорожка HE по метаданным</x:v>
      </x:c>
      <x:c r="Z195" s="10" t="str">
        <x:v>Разрешено по метаданным</x:v>
      </x:c>
      <x:c r="AA195" s="10" t="str">
        <x:v>Метаданные видео; воспроизведение и содержание не проверены</x:v>
      </x:c>
      <x:c r="AB195" s="13" t="n">
        <x:f>IF(AND(ISNUMBER(H195),ISNUMBER(W195)),H195/MAX(1,'Обзор'!$B$4-W195),"")</x:f>
        <x:v>255.06884057971016</x:v>
      </x:c>
      <x:c r="AC195" s="17" t="str">
        <x:v>Не решено</x:v>
      </x:c>
      <x:c r="AD195" s="17" t="str">
        <x:v>Не проверено</x:v>
      </x:c>
      <x:c r="AE195" s="17" t="str">
        <x:v>Не проверено</x:v>
      </x:c>
      <x:c r="AF195" s="17" t="str">
        <x:v>Не проверено</x:v>
      </x:c>
      <x:c r="AG195" s="17" t="str">
        <x:v>Не решено</x:v>
      </x:c>
      <x:c r="AH195" s="17" t="str">
        <x:v>Не проверено</x:v>
      </x:c>
      <x:c r="AI195" s="10" t="str">
        <x:f>IF(AC195="Отклонить","Отклонено",IF(AND(AC195="Взять",COUNTIFS(AD195:AH195,"Да")=5),"Готово","Нужна редактура"))</x:f>
        <x:v>Нужна редактура</x:v>
      </x:c>
      <x:c r="AJ195" s="17" t="str"/>
      <x:c r="AK195" s="9" t="str">
        <x:v>https://www.youtube.com/playlist?list=PLLttfoK87AdXTvb41p_eqn5pEUm_qSwgH</x:v>
      </x:c>
      <x:c r="AL195" s="9" t="n">
        <x:v>21</x:v>
      </x:c>
      <x:c r="AM195" s="9"/>
      <x:c r="AN195" s="9" t="n">
        <x:v>0</x:v>
      </x:c>
    </x:row>
    <x:row r="196" ht="60" customHeight="1">
      <x:c r="A196" s="9" t="str">
        <x:v>P8t38aVgV4M</x:v>
      </x:c>
      <x:c r="B196" s="10" t="str">
        <x:v>פגישה עם רוני קובן עונה 10 | גיא מרוז</x:v>
      </x:c>
      <x:c r="C196" s="10" t="str">
        <x:v>Люди Израиля</x:v>
      </x:c>
      <x:c r="D196" s="9" t="str">
        <x:v>Интервью</x:v>
      </x:c>
      <x:c r="E196" s="10" t="str">
        <x:v>Интервью; культура; общество; продвинутые</x:v>
      </x:c>
      <x:c r="F196" s="10" t="str">
        <x:v>B2–C1 (гипотеза)</x:v>
      </x:c>
      <x:c r="G196" s="12" t="n">
        <x:v>36.2</x:v>
      </x:c>
      <x:c r="H196" s="14" t="n">
        <x:v>55998</x:v>
      </x:c>
      <x:c r="I196" s="15" t="str">
        <x:v>Точный счётчик метаданных видео</x:v>
      </x:c>
      <x:c r="J196" s="14" t="n">
        <x:v>55000</x:v>
      </x:c>
      <x:c r="K196" s="14" t="n">
        <x:v>55000</x:v>
      </x:c>
      <x:c r="L196" s="12" t="n">
        <x:f>IF(COUNT(J196:K196)=2,IF(K196=0,"",J196/K196),"")</x:f>
        <x:v>1</x:v>
      </x:c>
      <x:c r="M196" s="10" t="str">
        <x:v>Тема / гость: גיא מרוז.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96" s="10" t="str">
        <x:v>Выбрать 5–8 минут: вопрос, уточнение, развёрнутый ответ. Сформулировать следующий вопрос.</x:v>
      </x:c>
      <x:c r="O196" s="10" t="str">
        <x:v>Взгляды гостя не равны установленным фактам; проверить чувствительные темы</x:v>
      </x:c>
      <x:c r="P196" s="10" t="str">
        <x:v>Длинное интервью</x:v>
      </x:c>
      <x:c r="Q196" s="9" t="str">
        <x:v>Нет</x:v>
      </x:c>
      <x:c r="R196" s="9" t="str">
        <x:v>C013</x:v>
      </x:c>
      <x:c r="S196" s="9" t="str">
        <x:v>C013</x:v>
      </x:c>
      <x:c r="T196" s="10" t="str">
        <x:v>כאן 11 - תאגיד השידור הישראלי</x:v>
      </x:c>
      <x:c r="U196" s="11" t="str">
        <x:v>https://www.youtube.com/watch?v=P8t38aVgV4M</x:v>
      </x:c>
      <x:c r="V196" s="16" t="n">
        <x:v>46308</x:v>
      </x:c>
      <x:c r="W196" s="16" t="n">
        <x:v>46025</x:v>
      </x:c>
      <x:c r="X196" s="10" t="str">
        <x:v>iw</x:v>
      </x:c>
      <x:c r="Y196" s="10" t="str">
        <x:v>Автоматическая дорожка HE по метаданным</x:v>
      </x:c>
      <x:c r="Z196" s="10" t="str">
        <x:v>Разрешено по метаданным</x:v>
      </x:c>
      <x:c r="AA196" s="10" t="str">
        <x:v>Метаданные видео; воспроизведение и содержание не проверены</x:v>
      </x:c>
      <x:c r="AB196" s="13" t="n">
        <x:f>IF(AND(ISNUMBER(H196),ISNUMBER(W196)),H196/MAX(1,'Обзор'!$B$4-W196),"")</x:f>
        <x:v>197.87279151943463</x:v>
      </x:c>
      <x:c r="AC196" s="17" t="str">
        <x:v>Не решено</x:v>
      </x:c>
      <x:c r="AD196" s="17" t="str">
        <x:v>Не проверено</x:v>
      </x:c>
      <x:c r="AE196" s="17" t="str">
        <x:v>Не проверено</x:v>
      </x:c>
      <x:c r="AF196" s="17" t="str">
        <x:v>Не проверено</x:v>
      </x:c>
      <x:c r="AG196" s="17" t="str">
        <x:v>Не решено</x:v>
      </x:c>
      <x:c r="AH196" s="17" t="str">
        <x:v>Не проверено</x:v>
      </x:c>
      <x:c r="AI196" s="10" t="str">
        <x:f>IF(AC196="Отклонить","Отклонено",IF(AND(AC196="Взять",COUNTIFS(AD196:AH196,"Да")=5),"Готово","Нужна редактура"))</x:f>
        <x:v>Нужна редактура</x:v>
      </x:c>
      <x:c r="AJ196" s="17" t="str"/>
      <x:c r="AK196" s="9" t="str">
        <x:v>https://www.youtube.com/playlist?list=PLLttfoK87AdXTvb41p_eqn5pEUm_qSwgH</x:v>
      </x:c>
      <x:c r="AL196" s="9" t="n">
        <x:v>22</x:v>
      </x:c>
      <x:c r="AM196" s="9"/>
      <x:c r="AN196" s="9" t="n">
        <x:v>0</x:v>
      </x:c>
    </x:row>
    <x:row r="197" ht="60" customHeight="1">
      <x:c r="A197" s="9" t="str">
        <x:v>uMZhfJEm8PQ</x:v>
      </x:c>
      <x:c r="B197" s="10" t="str">
        <x:v>פגישה עם רוני קובן עונה 10 | ליאור סושרד</x:v>
      </x:c>
      <x:c r="C197" s="10" t="str">
        <x:v>Люди Израиля</x:v>
      </x:c>
      <x:c r="D197" s="9" t="str">
        <x:v>Интервью</x:v>
      </x:c>
      <x:c r="E197" s="10" t="str">
        <x:v>Интервью; культура; общество; продвинутые</x:v>
      </x:c>
      <x:c r="F197" s="10" t="str">
        <x:v>B2–C1 (гипотеза)</x:v>
      </x:c>
      <x:c r="G197" s="12" t="n">
        <x:v>32.9</x:v>
      </x:c>
      <x:c r="H197" s="14" t="n">
        <x:v>67118</x:v>
      </x:c>
      <x:c r="I197" s="15" t="str">
        <x:v>Точный счётчик метаданных видео</x:v>
      </x:c>
      <x:c r="J197" s="14" t="n">
        <x:v>67000</x:v>
      </x:c>
      <x:c r="K197" s="14" t="n">
        <x:v>55000</x:v>
      </x:c>
      <x:c r="L197" s="12" t="n">
        <x:f>IF(COUNT(J197:K197)=2,IF(K197=0,"",J197/K197),"")</x:f>
        <x:v>1.2181818181818183</x:v>
      </x:c>
      <x:c r="M197" s="10" t="str">
        <x:v>Тема / гость: ליאור סושרד.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97" s="10" t="str">
        <x:v>Выбрать 5–8 минут: вопрос, уточнение, развёрнутый ответ. Сформулировать следующий вопрос.</x:v>
      </x:c>
      <x:c r="O197" s="10" t="str">
        <x:v>Взгляды гостя не равны установленным фактам; проверить чувствительные темы</x:v>
      </x:c>
      <x:c r="P197" s="10" t="str">
        <x:v>Длинное интервью</x:v>
      </x:c>
      <x:c r="Q197" s="9" t="str">
        <x:v>Нет</x:v>
      </x:c>
      <x:c r="R197" s="9" t="str">
        <x:v>C013</x:v>
      </x:c>
      <x:c r="S197" s="9" t="str">
        <x:v>C013</x:v>
      </x:c>
      <x:c r="T197" s="10" t="str">
        <x:v>כאן 11 - תאגיד השידור הישראלי</x:v>
      </x:c>
      <x:c r="U197" s="11" t="str">
        <x:v>https://www.youtube.com/watch?v=uMZhfJEm8PQ</x:v>
      </x:c>
      <x:c r="V197" s="16" t="n">
        <x:v>46308</x:v>
      </x:c>
      <x:c r="W197" s="16" t="n">
        <x:v>46018</x:v>
      </x:c>
      <x:c r="X197" s="10" t="str">
        <x:v>Иврит предполагается по заголовку и источнику</x:v>
      </x:c>
      <x:c r="Y197" s="10" t="str">
        <x:v>Автоматическая дорожка HE по метаданным</x:v>
      </x:c>
      <x:c r="Z197" s="10" t="str">
        <x:v>Разрешено по метаданным</x:v>
      </x:c>
      <x:c r="AA197" s="10" t="str">
        <x:v>Метаданные видео; воспроизведение и содержание не проверены</x:v>
      </x:c>
      <x:c r="AB197" s="13" t="n">
        <x:f>IF(AND(ISNUMBER(H197),ISNUMBER(W197)),H197/MAX(1,'Обзор'!$B$4-W197),"")</x:f>
        <x:v>231.44137931034481</x:v>
      </x:c>
      <x:c r="AC197" s="17" t="str">
        <x:v>Не решено</x:v>
      </x:c>
      <x:c r="AD197" s="17" t="str">
        <x:v>Не проверено</x:v>
      </x:c>
      <x:c r="AE197" s="17" t="str">
        <x:v>Не проверено</x:v>
      </x:c>
      <x:c r="AF197" s="17" t="str">
        <x:v>Не проверено</x:v>
      </x:c>
      <x:c r="AG197" s="17" t="str">
        <x:v>Не решено</x:v>
      </x:c>
      <x:c r="AH197" s="17" t="str">
        <x:v>Не проверено</x:v>
      </x:c>
      <x:c r="AI197" s="10" t="str">
        <x:f>IF(AC197="Отклонить","Отклонено",IF(AND(AC197="Взять",COUNTIFS(AD197:AH197,"Да")=5),"Готово","Нужна редактура"))</x:f>
        <x:v>Нужна редактура</x:v>
      </x:c>
      <x:c r="AJ197" s="17" t="str"/>
      <x:c r="AK197" s="9" t="str">
        <x:v>https://www.youtube.com/playlist?list=PLLttfoK87AdXTvb41p_eqn5pEUm_qSwgH</x:v>
      </x:c>
      <x:c r="AL197" s="9" t="n">
        <x:v>23</x:v>
      </x:c>
      <x:c r="AM197" s="9"/>
      <x:c r="AN197" s="9" t="n">
        <x:v>0</x:v>
      </x:c>
    </x:row>
    <x:row r="198" ht="60" customHeight="1">
      <x:c r="A198" s="9" t="str">
        <x:v>3MlHAKL7qV0</x:v>
      </x:c>
      <x:c r="B198" s="10" t="str">
        <x:v>פגישה עם רוני קובן עונה 10 | ברק סרי</x:v>
      </x:c>
      <x:c r="C198" s="10" t="str">
        <x:v>Люди Израиля</x:v>
      </x:c>
      <x:c r="D198" s="9" t="str">
        <x:v>Интервью</x:v>
      </x:c>
      <x:c r="E198" s="10" t="str">
        <x:v>Интервью; культура; общество; продвинутые</x:v>
      </x:c>
      <x:c r="F198" s="10" t="str">
        <x:v>B2–C1 (гипотеза)</x:v>
      </x:c>
      <x:c r="G198" s="12" t="n">
        <x:v>34.3</x:v>
      </x:c>
      <x:c r="H198" s="14" t="n">
        <x:v>38000</x:v>
      </x:c>
      <x:c r="I198" s="15" t="str">
        <x:v>Округлённый счётчик в списке YouTube</x:v>
      </x:c>
      <x:c r="J198" s="14" t="n">
        <x:v>38000</x:v>
      </x:c>
      <x:c r="K198" s="14" t="n">
        <x:v>55000</x:v>
      </x:c>
      <x:c r="L198" s="12" t="n">
        <x:f>IF(COUNT(J198:K198)=2,IF(K198=0,"",J198/K198),"")</x:f>
        <x:v>0.6909090909090909</x:v>
      </x:c>
      <x:c r="M198" s="10" t="str">
        <x:v>Тема / гость: ברק סרי.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98" s="10" t="str">
        <x:v>Выбрать 5–8 минут: вопрос, уточнение, развёрнутый ответ. Сформулировать следующий вопрос.</x:v>
      </x:c>
      <x:c r="O198" s="10" t="str">
        <x:v>Взгляды гостя не равны установленным фактам; проверить чувствительные темы</x:v>
      </x:c>
      <x:c r="P198" s="10" t="str">
        <x:v>Длинное интервью</x:v>
      </x:c>
      <x:c r="Q198" s="9" t="str">
        <x:v>Нет</x:v>
      </x:c>
      <x:c r="R198" s="9" t="str">
        <x:v>C013</x:v>
      </x:c>
      <x:c r="S198" s="9" t="str">
        <x:v>C013</x:v>
      </x:c>
      <x:c r="T198" s="10" t="str">
        <x:v>כאן 11 - תאגיד השידור הישראלי</x:v>
      </x:c>
      <x:c r="U198" s="11" t="str">
        <x:v>https://www.youtube.com/watch?v=3MlHAKL7qV0</x:v>
      </x:c>
      <x:c r="V198" s="16" t="n">
        <x:v>46308</x:v>
      </x:c>
      <x:c r="W198" s="16"/>
      <x:c r="X198" s="10" t="str">
        <x:v>Иврит предполагается по заголовку и источнику</x:v>
      </x:c>
      <x:c r="Y198" s="10" t="str">
        <x:v>Не проверено</x:v>
      </x:c>
      <x:c r="Z198" s="10" t="str">
        <x:v>Не проверено</x:v>
      </x:c>
      <x:c r="AA198" s="10" t="str">
        <x:v>Метаданные списка; видео не просмотрено</x:v>
      </x:c>
      <x:c r="AB198" s="13" t="str">
        <x:f>IF(AND(ISNUMBER(H198),ISNUMBER(W198)),H198/MAX(1,'Обзор'!$B$4-W198),"")</x:f>
      </x:c>
      <x:c r="AC198" s="17" t="str">
        <x:v>Не решено</x:v>
      </x:c>
      <x:c r="AD198" s="17" t="str">
        <x:v>Не проверено</x:v>
      </x:c>
      <x:c r="AE198" s="17" t="str">
        <x:v>Не проверено</x:v>
      </x:c>
      <x:c r="AF198" s="17" t="str">
        <x:v>Не проверено</x:v>
      </x:c>
      <x:c r="AG198" s="17" t="str">
        <x:v>Не решено</x:v>
      </x:c>
      <x:c r="AH198" s="17" t="str">
        <x:v>Не проверено</x:v>
      </x:c>
      <x:c r="AI198" s="10" t="str">
        <x:f>IF(AC198="Отклонить","Отклонено",IF(AND(AC198="Взять",COUNTIFS(AD198:AH198,"Да")=5),"Готово","Нужна редактура"))</x:f>
        <x:v>Нужна редактура</x:v>
      </x:c>
      <x:c r="AJ198" s="17" t="str"/>
      <x:c r="AK198" s="9" t="str">
        <x:v>https://www.youtube.com/playlist?list=PLLttfoK87AdXTvb41p_eqn5pEUm_qSwgH</x:v>
      </x:c>
      <x:c r="AL198" s="9" t="n">
        <x:v>24</x:v>
      </x:c>
      <x:c r="AM198" s="9"/>
      <x:c r="AN198" s="9"/>
    </x:row>
    <x:row r="199" ht="60" customHeight="1">
      <x:c r="A199" s="9" t="str">
        <x:v>oj72q5Aci_g</x:v>
      </x:c>
      <x:c r="B199" s="10" t="str">
        <x:v>פגישה עם רוני קובן עונה 10 | יעקב ברדוגו</x:v>
      </x:c>
      <x:c r="C199" s="10" t="str">
        <x:v>Люди Израиля</x:v>
      </x:c>
      <x:c r="D199" s="9" t="str">
        <x:v>Интервью</x:v>
      </x:c>
      <x:c r="E199" s="10" t="str">
        <x:v>Интервью; культура; общество; продвинутые</x:v>
      </x:c>
      <x:c r="F199" s="10" t="str">
        <x:v>B2–C1 (гипотеза)</x:v>
      </x:c>
      <x:c r="G199" s="12" t="n">
        <x:v>45.2</x:v>
      </x:c>
      <x:c r="H199" s="14" t="n">
        <x:v>110207</x:v>
      </x:c>
      <x:c r="I199" s="15" t="str">
        <x:v>Точный счётчик метаданных видео</x:v>
      </x:c>
      <x:c r="J199" s="14" t="n">
        <x:v>110000</x:v>
      </x:c>
      <x:c r="K199" s="14" t="n">
        <x:v>55000</x:v>
      </x:c>
      <x:c r="L199" s="12" t="n">
        <x:f>IF(COUNT(J199:K199)=2,IF(K199=0,"",J199/K199),"")</x:f>
        <x:v>2</x:v>
      </x:c>
      <x:c r="M199" s="10" t="str">
        <x:v>Тема / гость: יעקב ברדוגו. Просмотры в списке выше медианы выборки этого цикла в 2.0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199" s="10" t="str">
        <x:v>Выбрать 5–8 минут: вопрос, уточнение, развёрнутый ответ. Сформулировать следующий вопрос.</x:v>
      </x:c>
      <x:c r="O199" s="10" t="str">
        <x:v>Взгляды гостя не равны установленным фактам; проверить чувствительные темы</x:v>
      </x:c>
      <x:c r="P199" s="10" t="str">
        <x:v>Длинное интервью</x:v>
      </x:c>
      <x:c r="Q199" s="9" t="str">
        <x:v>Нет</x:v>
      </x:c>
      <x:c r="R199" s="9" t="str">
        <x:v>C013</x:v>
      </x:c>
      <x:c r="S199" s="9" t="str">
        <x:v>C013</x:v>
      </x:c>
      <x:c r="T199" s="10" t="str">
        <x:v>כאן 11 - תאגיד השידור הישראלי</x:v>
      </x:c>
      <x:c r="U199" s="11" t="str">
        <x:v>https://www.youtube.com/watch?v=oj72q5Aci_g</x:v>
      </x:c>
      <x:c r="V199" s="16" t="n">
        <x:v>46308</x:v>
      </x:c>
      <x:c r="W199" s="16" t="n">
        <x:v>46004</x:v>
      </x:c>
      <x:c r="X199" s="10" t="str">
        <x:v>Иврит предполагается по заголовку и источнику</x:v>
      </x:c>
      <x:c r="Y199" s="10" t="str">
        <x:v>Автоматическая дорожка HE по метаданным</x:v>
      </x:c>
      <x:c r="Z199" s="10" t="str">
        <x:v>Разрешено по метаданным</x:v>
      </x:c>
      <x:c r="AA199" s="10" t="str">
        <x:v>Метаданные видео; воспроизведение и содержание не проверены</x:v>
      </x:c>
      <x:c r="AB199" s="13" t="n">
        <x:f>IF(AND(ISNUMBER(H199),ISNUMBER(W199)),H199/MAX(1,'Обзор'!$B$4-W199),"")</x:f>
        <x:v>362.5230263157895</x:v>
      </x:c>
      <x:c r="AC199" s="17" t="str">
        <x:v>Не решено</x:v>
      </x:c>
      <x:c r="AD199" s="17" t="str">
        <x:v>Не проверено</x:v>
      </x:c>
      <x:c r="AE199" s="17" t="str">
        <x:v>Не проверено</x:v>
      </x:c>
      <x:c r="AF199" s="17" t="str">
        <x:v>Не проверено</x:v>
      </x:c>
      <x:c r="AG199" s="17" t="str">
        <x:v>Не решено</x:v>
      </x:c>
      <x:c r="AH199" s="17" t="str">
        <x:v>Не проверено</x:v>
      </x:c>
      <x:c r="AI199" s="10" t="str">
        <x:f>IF(AC199="Отклонить","Отклонено",IF(AND(AC199="Взять",COUNTIFS(AD199:AH199,"Да")=5),"Готово","Нужна редактура"))</x:f>
        <x:v>Нужна редактура</x:v>
      </x:c>
      <x:c r="AJ199" s="17" t="str"/>
      <x:c r="AK199" s="9" t="str">
        <x:v>https://www.youtube.com/playlist?list=PLLttfoK87AdXTvb41p_eqn5pEUm_qSwgH</x:v>
      </x:c>
      <x:c r="AL199" s="9" t="n">
        <x:v>25</x:v>
      </x:c>
      <x:c r="AM199" s="9"/>
      <x:c r="AN199" s="9" t="n">
        <x:v>0</x:v>
      </x:c>
    </x:row>
    <x:row r="200" ht="60" customHeight="1">
      <x:c r="A200" s="9" t="str">
        <x:v>Kd4GMjffP9k</x:v>
      </x:c>
      <x:c r="B200" s="10" t="str">
        <x:v>פגישה עם רוני קובן עונה 10 | נועה קולר</x:v>
      </x:c>
      <x:c r="C200" s="10" t="str">
        <x:v>Люди Израиля</x:v>
      </x:c>
      <x:c r="D200" s="9" t="str">
        <x:v>Интервью</x:v>
      </x:c>
      <x:c r="E200" s="10" t="str">
        <x:v>Интервью; культура; общество; продвинутые</x:v>
      </x:c>
      <x:c r="F200" s="10" t="str">
        <x:v>B2–C1 (гипотеза)</x:v>
      </x:c>
      <x:c r="G200" s="12" t="n">
        <x:v>34.4</x:v>
      </x:c>
      <x:c r="H200" s="14" t="n">
        <x:v>111262</x:v>
      </x:c>
      <x:c r="I200" s="15" t="str">
        <x:v>Точный счётчик метаданных видео</x:v>
      </x:c>
      <x:c r="J200" s="14" t="n">
        <x:v>111000</x:v>
      </x:c>
      <x:c r="K200" s="14" t="n">
        <x:v>55000</x:v>
      </x:c>
      <x:c r="L200" s="12" t="n">
        <x:f>IF(COUNT(J200:K200)=2,IF(K200=0,"",J200/K200),"")</x:f>
        <x:v>2.018181818181818</x:v>
      </x:c>
      <x:c r="M200" s="10" t="str">
        <x:v>Тема / гость: נועה קולר. Просмотры в списке выше медианы выборки этого цикла в 2.02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00" s="10" t="str">
        <x:v>Выбрать 5–8 минут: вопрос, уточнение, развёрнутый ответ. Сформулировать следующий вопрос.</x:v>
      </x:c>
      <x:c r="O200" s="10" t="str">
        <x:v>Взгляды гостя не равны установленным фактам; проверить чувствительные темы</x:v>
      </x:c>
      <x:c r="P200" s="10" t="str">
        <x:v>Длинное интервью</x:v>
      </x:c>
      <x:c r="Q200" s="9" t="str">
        <x:v>Нет</x:v>
      </x:c>
      <x:c r="R200" s="9" t="str">
        <x:v>C013</x:v>
      </x:c>
      <x:c r="S200" s="9" t="str">
        <x:v>C013</x:v>
      </x:c>
      <x:c r="T200" s="10" t="str">
        <x:v>כאן 11 - תאגיד השידור הישראלי</x:v>
      </x:c>
      <x:c r="U200" s="11" t="str">
        <x:v>https://www.youtube.com/watch?v=Kd4GMjffP9k</x:v>
      </x:c>
      <x:c r="V200" s="16" t="n">
        <x:v>46308</x:v>
      </x:c>
      <x:c r="W200" s="16" t="n">
        <x:v>45997</x:v>
      </x:c>
      <x:c r="X200" s="10" t="str">
        <x:v>Иврит предполагается по заголовку и источнику</x:v>
      </x:c>
      <x:c r="Y200" s="10" t="str">
        <x:v>Автоматическая дорожка HE по метаданным</x:v>
      </x:c>
      <x:c r="Z200" s="10" t="str">
        <x:v>Разрешено по метаданным</x:v>
      </x:c>
      <x:c r="AA200" s="10" t="str">
        <x:v>Метаданные видео; воспроизведение и содержание не проверены</x:v>
      </x:c>
      <x:c r="AB200" s="13" t="n">
        <x:f>IF(AND(ISNUMBER(H200),ISNUMBER(W200)),H200/MAX(1,'Обзор'!$B$4-W200),"")</x:f>
        <x:v>357.7556270096463</x:v>
      </x:c>
      <x:c r="AC200" s="17" t="str">
        <x:v>Не решено</x:v>
      </x:c>
      <x:c r="AD200" s="17" t="str">
        <x:v>Не проверено</x:v>
      </x:c>
      <x:c r="AE200" s="17" t="str">
        <x:v>Не проверено</x:v>
      </x:c>
      <x:c r="AF200" s="17" t="str">
        <x:v>Не проверено</x:v>
      </x:c>
      <x:c r="AG200" s="17" t="str">
        <x:v>Не решено</x:v>
      </x:c>
      <x:c r="AH200" s="17" t="str">
        <x:v>Не проверено</x:v>
      </x:c>
      <x:c r="AI200" s="10" t="str">
        <x:f>IF(AC200="Отклонить","Отклонено",IF(AND(AC200="Взять",COUNTIFS(AD200:AH200,"Да")=5),"Готово","Нужна редактура"))</x:f>
        <x:v>Нужна редактура</x:v>
      </x:c>
      <x:c r="AJ200" s="17" t="str"/>
      <x:c r="AK200" s="9" t="str">
        <x:v>https://www.youtube.com/playlist?list=PLLttfoK87AdXTvb41p_eqn5pEUm_qSwgH</x:v>
      </x:c>
      <x:c r="AL200" s="9" t="n">
        <x:v>26</x:v>
      </x:c>
      <x:c r="AM200" s="9"/>
      <x:c r="AN200" s="9" t="n">
        <x:v>0</x:v>
      </x:c>
    </x:row>
    <x:row r="201" ht="60" customHeight="1">
      <x:c r="A201" s="9" t="str">
        <x:v>1AsDJQJv4fw</x:v>
      </x:c>
      <x:c r="B201" s="10" t="str">
        <x:v>פגישה עם רוני קובן עונה 10 | ערן זהבי</x:v>
      </x:c>
      <x:c r="C201" s="10" t="str">
        <x:v>Люди Израиля</x:v>
      </x:c>
      <x:c r="D201" s="9" t="str">
        <x:v>Интервью</x:v>
      </x:c>
      <x:c r="E201" s="10" t="str">
        <x:v>Интервью; культура; общество; продвинутые</x:v>
      </x:c>
      <x:c r="F201" s="10" t="str">
        <x:v>B2–C1 (гипотеза)</x:v>
      </x:c>
      <x:c r="G201" s="12" t="n">
        <x:v>35</x:v>
      </x:c>
      <x:c r="H201" s="14" t="n">
        <x:v>106500</x:v>
      </x:c>
      <x:c r="I201" s="15" t="str">
        <x:v>Точный счётчик метаданных видео</x:v>
      </x:c>
      <x:c r="J201" s="14" t="n">
        <x:v>106000</x:v>
      </x:c>
      <x:c r="K201" s="14" t="n">
        <x:v>55000</x:v>
      </x:c>
      <x:c r="L201" s="12" t="n">
        <x:f>IF(COUNT(J201:K201)=2,IF(K201=0,"",J201/K201),"")</x:f>
        <x:v>1.9272727272727272</x:v>
      </x:c>
      <x:c r="M201" s="10" t="str">
        <x:v>Тема / гость: ערן זהבי. Просмотры в списке выше медианы выборки этого цикла в 1.93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01" s="10" t="str">
        <x:v>Выбрать 5–8 минут: вопрос, уточнение, развёрнутый ответ. Сформулировать следующий вопрос.</x:v>
      </x:c>
      <x:c r="O201" s="10" t="str">
        <x:v>Взгляды гостя не равны установленным фактам; проверить чувствительные темы</x:v>
      </x:c>
      <x:c r="P201" s="10" t="str">
        <x:v>Длинное интервью</x:v>
      </x:c>
      <x:c r="Q201" s="9" t="str">
        <x:v>Нет</x:v>
      </x:c>
      <x:c r="R201" s="9" t="str">
        <x:v>C013</x:v>
      </x:c>
      <x:c r="S201" s="9" t="str">
        <x:v>C013</x:v>
      </x:c>
      <x:c r="T201" s="10" t="str">
        <x:v>כאן 11 - תאגיד השידור הישראלי</x:v>
      </x:c>
      <x:c r="U201" s="11" t="str">
        <x:v>https://www.youtube.com/watch?v=1AsDJQJv4fw</x:v>
      </x:c>
      <x:c r="V201" s="16" t="n">
        <x:v>46308</x:v>
      </x:c>
      <x:c r="W201" s="16" t="n">
        <x:v>45990</x:v>
      </x:c>
      <x:c r="X201" s="10" t="str">
        <x:v>iw</x:v>
      </x:c>
      <x:c r="Y201" s="10" t="str">
        <x:v>Автоматическая дорожка HE по метаданным</x:v>
      </x:c>
      <x:c r="Z201" s="10" t="str">
        <x:v>Разрешено по метаданным</x:v>
      </x:c>
      <x:c r="AA201" s="10" t="str">
        <x:v>Метаданные видео; воспроизведение и содержание не проверены</x:v>
      </x:c>
      <x:c r="AB201" s="13" t="n">
        <x:f>IF(AND(ISNUMBER(H201),ISNUMBER(W201)),H201/MAX(1,'Обзор'!$B$4-W201),"")</x:f>
        <x:v>334.9056603773585</x:v>
      </x:c>
      <x:c r="AC201" s="17" t="str">
        <x:v>Не решено</x:v>
      </x:c>
      <x:c r="AD201" s="17" t="str">
        <x:v>Не проверено</x:v>
      </x:c>
      <x:c r="AE201" s="17" t="str">
        <x:v>Не проверено</x:v>
      </x:c>
      <x:c r="AF201" s="17" t="str">
        <x:v>Не проверено</x:v>
      </x:c>
      <x:c r="AG201" s="17" t="str">
        <x:v>Не решено</x:v>
      </x:c>
      <x:c r="AH201" s="17" t="str">
        <x:v>Не проверено</x:v>
      </x:c>
      <x:c r="AI201" s="10" t="str">
        <x:f>IF(AC201="Отклонить","Отклонено",IF(AND(AC201="Взять",COUNTIFS(AD201:AH201,"Да")=5),"Готово","Нужна редактура"))</x:f>
        <x:v>Нужна редактура</x:v>
      </x:c>
      <x:c r="AJ201" s="17" t="str"/>
      <x:c r="AK201" s="9" t="str">
        <x:v>https://www.youtube.com/playlist?list=PLLttfoK87AdXTvb41p_eqn5pEUm_qSwgH</x:v>
      </x:c>
      <x:c r="AL201" s="9" t="n">
        <x:v>27</x:v>
      </x:c>
      <x:c r="AM201" s="9"/>
      <x:c r="AN201" s="9" t="n">
        <x:v>0</x:v>
      </x:c>
    </x:row>
    <x:row r="202" ht="60" customHeight="1">
      <x:c r="A202" s="9" t="str">
        <x:v>1sDm7j_jItk</x:v>
      </x:c>
      <x:c r="B202" s="10" t="str">
        <x:v>פגישה עם רוני קובן עונה 9 | שולי רנד</x:v>
      </x:c>
      <x:c r="C202" s="10" t="str">
        <x:v>Люди Израиля</x:v>
      </x:c>
      <x:c r="D202" s="9" t="str">
        <x:v>Интервью</x:v>
      </x:c>
      <x:c r="E202" s="10" t="str">
        <x:v>Интервью; культура; общество; продвинутые</x:v>
      </x:c>
      <x:c r="F202" s="10" t="str">
        <x:v>B2–C1 (гипотеза)</x:v>
      </x:c>
      <x:c r="G202" s="12" t="n">
        <x:v>36.2</x:v>
      </x:c>
      <x:c r="H202" s="14" t="n">
        <x:v>63000</x:v>
      </x:c>
      <x:c r="I202" s="15" t="str">
        <x:v>Округлённый счётчик в списке YouTube</x:v>
      </x:c>
      <x:c r="J202" s="14" t="n">
        <x:v>63000</x:v>
      </x:c>
      <x:c r="K202" s="14" t="n">
        <x:v>68000</x:v>
      </x:c>
      <x:c r="L202" s="12" t="n">
        <x:f>IF(COUNT(J202:K202)=2,IF(K202=0,"",J202/K202),"")</x:f>
        <x:v>0.9264705882352942</x:v>
      </x:c>
      <x:c r="M202" s="10" t="str">
        <x:v>Тема / гость: שולי רנד.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02" s="10" t="str">
        <x:v>Выбрать 5–8 минут: вопрос, уточнение, развёрнутый ответ. Сформулировать следующий вопрос.</x:v>
      </x:c>
      <x:c r="O202" s="10" t="str">
        <x:v>Взгляды гостя не равны установленным фактам; проверить чувствительные темы</x:v>
      </x:c>
      <x:c r="P202" s="10" t="str">
        <x:v>Длинное интервью</x:v>
      </x:c>
      <x:c r="Q202" s="9" t="str">
        <x:v>Нет</x:v>
      </x:c>
      <x:c r="R202" s="9" t="str">
        <x:v>C014</x:v>
      </x:c>
      <x:c r="S202" s="9" t="str">
        <x:v>C014</x:v>
      </x:c>
      <x:c r="T202" s="10" t="str">
        <x:v>כאן 11 - תאגיד השידור הישראלי</x:v>
      </x:c>
      <x:c r="U202" s="11" t="str">
        <x:v>https://www.youtube.com/watch?v=1sDm7j_jItk</x:v>
      </x:c>
      <x:c r="V202" s="16" t="n">
        <x:v>46308</x:v>
      </x:c>
      <x:c r="W202" s="16"/>
      <x:c r="X202" s="10" t="str">
        <x:v>Иврит предполагается по заголовку и источнику</x:v>
      </x:c>
      <x:c r="Y202" s="10" t="str">
        <x:v>Не проверено</x:v>
      </x:c>
      <x:c r="Z202" s="10" t="str">
        <x:v>Не проверено</x:v>
      </x:c>
      <x:c r="AA202" s="10" t="str">
        <x:v>Метаданные списка; видео не просмотрено</x:v>
      </x:c>
      <x:c r="AB202" s="13" t="str">
        <x:f>IF(AND(ISNUMBER(H202),ISNUMBER(W202)),H202/MAX(1,'Обзор'!$B$4-W202),"")</x:f>
      </x:c>
      <x:c r="AC202" s="17" t="str">
        <x:v>Не решено</x:v>
      </x:c>
      <x:c r="AD202" s="17" t="str">
        <x:v>Не проверено</x:v>
      </x:c>
      <x:c r="AE202" s="17" t="str">
        <x:v>Не проверено</x:v>
      </x:c>
      <x:c r="AF202" s="17" t="str">
        <x:v>Не проверено</x:v>
      </x:c>
      <x:c r="AG202" s="17" t="str">
        <x:v>Не решено</x:v>
      </x:c>
      <x:c r="AH202" s="17" t="str">
        <x:v>Не проверено</x:v>
      </x:c>
      <x:c r="AI202" s="10" t="str">
        <x:f>IF(AC202="Отклонить","Отклонено",IF(AND(AC202="Взять",COUNTIFS(AD202:AH202,"Да")=5),"Готово","Нужна редактура"))</x:f>
        <x:v>Нужна редактура</x:v>
      </x:c>
      <x:c r="AJ202" s="17" t="str"/>
      <x:c r="AK202" s="9" t="str">
        <x:v>https://www.youtube.com/playlist?list=PLLttfoK87AdUPG7GyXfqeuHp7u27KjHCH</x:v>
      </x:c>
      <x:c r="AL202" s="9" t="n">
        <x:v>1</x:v>
      </x:c>
      <x:c r="AM202" s="9"/>
      <x:c r="AN202" s="9"/>
    </x:row>
    <x:row r="203" ht="60" customHeight="1">
      <x:c r="A203" s="9" t="str">
        <x:v>e8ihcbv4ZLE</x:v>
      </x:c>
      <x:c r="B203" s="10" t="str">
        <x:v>פגישה עם רוני קובן עונה 9 | מאיה קוסובר</x:v>
      </x:c>
      <x:c r="C203" s="10" t="str">
        <x:v>Люди Израиля</x:v>
      </x:c>
      <x:c r="D203" s="9" t="str">
        <x:v>Интервью</x:v>
      </x:c>
      <x:c r="E203" s="10" t="str">
        <x:v>Интервью; культура; общество; продвинутые</x:v>
      </x:c>
      <x:c r="F203" s="10" t="str">
        <x:v>B2–C1 (гипотеза)</x:v>
      </x:c>
      <x:c r="G203" s="12" t="n">
        <x:v>30</x:v>
      </x:c>
      <x:c r="H203" s="14" t="n">
        <x:v>18000</x:v>
      </x:c>
      <x:c r="I203" s="15" t="str">
        <x:v>Округлённый счётчик в списке YouTube</x:v>
      </x:c>
      <x:c r="J203" s="14" t="n">
        <x:v>18000</x:v>
      </x:c>
      <x:c r="K203" s="14" t="n">
        <x:v>68000</x:v>
      </x:c>
      <x:c r="L203" s="12" t="n">
        <x:f>IF(COUNT(J203:K203)=2,IF(K203=0,"",J203/K203),"")</x:f>
        <x:v>0.2647058823529412</x:v>
      </x:c>
      <x:c r="M203" s="10" t="str">
        <x:v>Тема / гость: מאיה קוסובר. Просмотры ниже медианы цикла; выбирать за нишевую ценность, а не за массовый охват.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03" s="10" t="str">
        <x:v>Выбрать 5–8 минут: вопрос, уточнение, развёрнутый ответ. Сформулировать следующий вопрос.</x:v>
      </x:c>
      <x:c r="O203" s="10" t="str">
        <x:v>Взгляды гостя не равны установленным фактам; проверить чувствительные темы</x:v>
      </x:c>
      <x:c r="P203" s="10" t="str">
        <x:v>Длинное интервью</x:v>
      </x:c>
      <x:c r="Q203" s="9" t="str">
        <x:v>Нет</x:v>
      </x:c>
      <x:c r="R203" s="9" t="str">
        <x:v>C014</x:v>
      </x:c>
      <x:c r="S203" s="9" t="str">
        <x:v>C014</x:v>
      </x:c>
      <x:c r="T203" s="10" t="str">
        <x:v>כאן 11 - תאגיד השידור הישראלי</x:v>
      </x:c>
      <x:c r="U203" s="11" t="str">
        <x:v>https://www.youtube.com/watch?v=e8ihcbv4ZLE</x:v>
      </x:c>
      <x:c r="V203" s="16" t="n">
        <x:v>46308</x:v>
      </x:c>
      <x:c r="W203" s="16"/>
      <x:c r="X203" s="10" t="str">
        <x:v>Иврит предполагается по заголовку и источнику</x:v>
      </x:c>
      <x:c r="Y203" s="10" t="str">
        <x:v>Не проверено</x:v>
      </x:c>
      <x:c r="Z203" s="10" t="str">
        <x:v>Не проверено</x:v>
      </x:c>
      <x:c r="AA203" s="10" t="str">
        <x:v>Метаданные списка; видео не просмотрено</x:v>
      </x:c>
      <x:c r="AB203" s="13" t="str">
        <x:f>IF(AND(ISNUMBER(H203),ISNUMBER(W203)),H203/MAX(1,'Обзор'!$B$4-W203),"")</x:f>
      </x:c>
      <x:c r="AC203" s="17" t="str">
        <x:v>Не решено</x:v>
      </x:c>
      <x:c r="AD203" s="17" t="str">
        <x:v>Не проверено</x:v>
      </x:c>
      <x:c r="AE203" s="17" t="str">
        <x:v>Не проверено</x:v>
      </x:c>
      <x:c r="AF203" s="17" t="str">
        <x:v>Не проверено</x:v>
      </x:c>
      <x:c r="AG203" s="17" t="str">
        <x:v>Не решено</x:v>
      </x:c>
      <x:c r="AH203" s="17" t="str">
        <x:v>Не проверено</x:v>
      </x:c>
      <x:c r="AI203" s="10" t="str">
        <x:f>IF(AC203="Отклонить","Отклонено",IF(AND(AC203="Взять",COUNTIFS(AD203:AH203,"Да")=5),"Готово","Нужна редактура"))</x:f>
        <x:v>Нужна редактура</x:v>
      </x:c>
      <x:c r="AJ203" s="17" t="str"/>
      <x:c r="AK203" s="9" t="str">
        <x:v>https://www.youtube.com/playlist?list=PLLttfoK87AdUPG7GyXfqeuHp7u27KjHCH</x:v>
      </x:c>
      <x:c r="AL203" s="9" t="n">
        <x:v>2</x:v>
      </x:c>
      <x:c r="AM203" s="9"/>
      <x:c r="AN203" s="9"/>
    </x:row>
    <x:row r="204" ht="60" customHeight="1">
      <x:c r="A204" s="9" t="str">
        <x:v>sB2jCMxfY-s</x:v>
      </x:c>
      <x:c r="B204" s="10" t="str">
        <x:v>פגישה עם רוני קובן עונה 9 | מיקי זוהר</x:v>
      </x:c>
      <x:c r="C204" s="10" t="str">
        <x:v>Люди Израиля</x:v>
      </x:c>
      <x:c r="D204" s="9" t="str">
        <x:v>Интервью</x:v>
      </x:c>
      <x:c r="E204" s="10" t="str">
        <x:v>Интервью; культура; общество; продвинутые</x:v>
      </x:c>
      <x:c r="F204" s="10" t="str">
        <x:v>B2–C1 (гипотеза)</x:v>
      </x:c>
      <x:c r="G204" s="12" t="n">
        <x:v>37.2</x:v>
      </x:c>
      <x:c r="H204" s="14" t="n">
        <x:v>36000</x:v>
      </x:c>
      <x:c r="I204" s="15" t="str">
        <x:v>Округлённый счётчик в списке YouTube</x:v>
      </x:c>
      <x:c r="J204" s="14" t="n">
        <x:v>36000</x:v>
      </x:c>
      <x:c r="K204" s="14" t="n">
        <x:v>68000</x:v>
      </x:c>
      <x:c r="L204" s="12" t="n">
        <x:f>IF(COUNT(J204:K204)=2,IF(K204=0,"",J204/K204),"")</x:f>
        <x:v>0.5294117647058824</x:v>
      </x:c>
      <x:c r="M204" s="10" t="str">
        <x:v>Тема / гость: מיקי זוהר.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04" s="10" t="str">
        <x:v>Выбрать 5–8 минут: вопрос, уточнение, развёрнутый ответ. Сформулировать следующий вопрос.</x:v>
      </x:c>
      <x:c r="O204" s="10" t="str">
        <x:v>Взгляды гостя не равны установленным фактам; проверить чувствительные темы</x:v>
      </x:c>
      <x:c r="P204" s="10" t="str">
        <x:v>Длинное интервью</x:v>
      </x:c>
      <x:c r="Q204" s="9" t="str">
        <x:v>Нет</x:v>
      </x:c>
      <x:c r="R204" s="9" t="str">
        <x:v>C014</x:v>
      </x:c>
      <x:c r="S204" s="9" t="str">
        <x:v>C014</x:v>
      </x:c>
      <x:c r="T204" s="10" t="str">
        <x:v>כאן 11 - תאגיד השידור הישראלי</x:v>
      </x:c>
      <x:c r="U204" s="11" t="str">
        <x:v>https://www.youtube.com/watch?v=sB2jCMxfY-s</x:v>
      </x:c>
      <x:c r="V204" s="16" t="n">
        <x:v>46308</x:v>
      </x:c>
      <x:c r="W204" s="16"/>
      <x:c r="X204" s="10" t="str">
        <x:v>Иврит предполагается по заголовку и источнику</x:v>
      </x:c>
      <x:c r="Y204" s="10" t="str">
        <x:v>Не проверено</x:v>
      </x:c>
      <x:c r="Z204" s="10" t="str">
        <x:v>Не проверено</x:v>
      </x:c>
      <x:c r="AA204" s="10" t="str">
        <x:v>Метаданные списка; видео не просмотрено</x:v>
      </x:c>
      <x:c r="AB204" s="13" t="str">
        <x:f>IF(AND(ISNUMBER(H204),ISNUMBER(W204)),H204/MAX(1,'Обзор'!$B$4-W204),"")</x:f>
      </x:c>
      <x:c r="AC204" s="17" t="str">
        <x:v>Не решено</x:v>
      </x:c>
      <x:c r="AD204" s="17" t="str">
        <x:v>Не проверено</x:v>
      </x:c>
      <x:c r="AE204" s="17" t="str">
        <x:v>Не проверено</x:v>
      </x:c>
      <x:c r="AF204" s="17" t="str">
        <x:v>Не проверено</x:v>
      </x:c>
      <x:c r="AG204" s="17" t="str">
        <x:v>Не решено</x:v>
      </x:c>
      <x:c r="AH204" s="17" t="str">
        <x:v>Не проверено</x:v>
      </x:c>
      <x:c r="AI204" s="10" t="str">
        <x:f>IF(AC204="Отклонить","Отклонено",IF(AND(AC204="Взять",COUNTIFS(AD204:AH204,"Да")=5),"Готово","Нужна редактура"))</x:f>
        <x:v>Нужна редактура</x:v>
      </x:c>
      <x:c r="AJ204" s="17" t="str"/>
      <x:c r="AK204" s="9" t="str">
        <x:v>https://www.youtube.com/playlist?list=PLLttfoK87AdUPG7GyXfqeuHp7u27KjHCH</x:v>
      </x:c>
      <x:c r="AL204" s="9" t="n">
        <x:v>3</x:v>
      </x:c>
      <x:c r="AM204" s="9"/>
      <x:c r="AN204" s="9"/>
    </x:row>
    <x:row r="205" ht="60" customHeight="1">
      <x:c r="A205" s="9" t="str">
        <x:v>M5Zd6FexFo4</x:v>
      </x:c>
      <x:c r="B205" s="10" t="str">
        <x:v>פגישה עם רוני קובן עונה 9 | חגי סגל</x:v>
      </x:c>
      <x:c r="C205" s="10" t="str">
        <x:v>Люди Израиля</x:v>
      </x:c>
      <x:c r="D205" s="9" t="str">
        <x:v>Интервью</x:v>
      </x:c>
      <x:c r="E205" s="10" t="str">
        <x:v>Интервью; культура; общество; продвинутые</x:v>
      </x:c>
      <x:c r="F205" s="10" t="str">
        <x:v>B2–C1 (гипотеза)</x:v>
      </x:c>
      <x:c r="G205" s="12" t="n">
        <x:v>37.2</x:v>
      </x:c>
      <x:c r="H205" s="14" t="n">
        <x:v>52000</x:v>
      </x:c>
      <x:c r="I205" s="15" t="str">
        <x:v>Округлённый счётчик в списке YouTube</x:v>
      </x:c>
      <x:c r="J205" s="14" t="n">
        <x:v>52000</x:v>
      </x:c>
      <x:c r="K205" s="14" t="n">
        <x:v>68000</x:v>
      </x:c>
      <x:c r="L205" s="12" t="n">
        <x:f>IF(COUNT(J205:K205)=2,IF(K205=0,"",J205/K205),"")</x:f>
        <x:v>0.7647058823529411</x:v>
      </x:c>
      <x:c r="M205" s="10" t="str">
        <x:v>Тема / гость: חגי סגל.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05" s="10" t="str">
        <x:v>Выбрать 5–8 минут: вопрос, уточнение, развёрнутый ответ. Сформулировать следующий вопрос.</x:v>
      </x:c>
      <x:c r="O205" s="10" t="str">
        <x:v>Взгляды гостя не равны установленным фактам; проверить чувствительные темы</x:v>
      </x:c>
      <x:c r="P205" s="10" t="str">
        <x:v>Длинное интервью</x:v>
      </x:c>
      <x:c r="Q205" s="9" t="str">
        <x:v>Нет</x:v>
      </x:c>
      <x:c r="R205" s="9" t="str">
        <x:v>C014</x:v>
      </x:c>
      <x:c r="S205" s="9" t="str">
        <x:v>C014</x:v>
      </x:c>
      <x:c r="T205" s="10" t="str">
        <x:v>כאן 11 - תאגיד השידור הישראלי</x:v>
      </x:c>
      <x:c r="U205" s="11" t="str">
        <x:v>https://www.youtube.com/watch?v=M5Zd6FexFo4</x:v>
      </x:c>
      <x:c r="V205" s="16" t="n">
        <x:v>46308</x:v>
      </x:c>
      <x:c r="W205" s="16"/>
      <x:c r="X205" s="10" t="str">
        <x:v>Иврит предполагается по заголовку и источнику</x:v>
      </x:c>
      <x:c r="Y205" s="10" t="str">
        <x:v>Не проверено</x:v>
      </x:c>
      <x:c r="Z205" s="10" t="str">
        <x:v>Не проверено</x:v>
      </x:c>
      <x:c r="AA205" s="10" t="str">
        <x:v>Метаданные списка; видео не просмотрено</x:v>
      </x:c>
      <x:c r="AB205" s="13" t="str">
        <x:f>IF(AND(ISNUMBER(H205),ISNUMBER(W205)),H205/MAX(1,'Обзор'!$B$4-W205),"")</x:f>
      </x:c>
      <x:c r="AC205" s="17" t="str">
        <x:v>Не решено</x:v>
      </x:c>
      <x:c r="AD205" s="17" t="str">
        <x:v>Не проверено</x:v>
      </x:c>
      <x:c r="AE205" s="17" t="str">
        <x:v>Не проверено</x:v>
      </x:c>
      <x:c r="AF205" s="17" t="str">
        <x:v>Не проверено</x:v>
      </x:c>
      <x:c r="AG205" s="17" t="str">
        <x:v>Не решено</x:v>
      </x:c>
      <x:c r="AH205" s="17" t="str">
        <x:v>Не проверено</x:v>
      </x:c>
      <x:c r="AI205" s="10" t="str">
        <x:f>IF(AC205="Отклонить","Отклонено",IF(AND(AC205="Взять",COUNTIFS(AD205:AH205,"Да")=5),"Готово","Нужна редактура"))</x:f>
        <x:v>Нужна редактура</x:v>
      </x:c>
      <x:c r="AJ205" s="17" t="str"/>
      <x:c r="AK205" s="9" t="str">
        <x:v>https://www.youtube.com/playlist?list=PLLttfoK87AdUPG7GyXfqeuHp7u27KjHCH</x:v>
      </x:c>
      <x:c r="AL205" s="9" t="n">
        <x:v>4</x:v>
      </x:c>
      <x:c r="AM205" s="9"/>
      <x:c r="AN205" s="9"/>
    </x:row>
    <x:row r="206" ht="60" customHeight="1">
      <x:c r="A206" s="9" t="str">
        <x:v>8Zl3mg4S0P4</x:v>
      </x:c>
      <x:c r="B206" s="10" t="str">
        <x:v>פגישה עם רוני קובן עונה 9 | נעמה לזימי</x:v>
      </x:c>
      <x:c r="C206" s="10" t="str">
        <x:v>Люди Израиля</x:v>
      </x:c>
      <x:c r="D206" s="9" t="str">
        <x:v>Интервью</x:v>
      </x:c>
      <x:c r="E206" s="10" t="str">
        <x:v>Интервью; культура; общество; продвинутые</x:v>
      </x:c>
      <x:c r="F206" s="10" t="str">
        <x:v>B2–C1 (гипотеза)</x:v>
      </x:c>
      <x:c r="G206" s="12" t="n">
        <x:v>33.9</x:v>
      </x:c>
      <x:c r="H206" s="14" t="n">
        <x:v>35000</x:v>
      </x:c>
      <x:c r="I206" s="15" t="str">
        <x:v>Округлённый счётчик в списке YouTube</x:v>
      </x:c>
      <x:c r="J206" s="14" t="n">
        <x:v>35000</x:v>
      </x:c>
      <x:c r="K206" s="14" t="n">
        <x:v>68000</x:v>
      </x:c>
      <x:c r="L206" s="12" t="n">
        <x:f>IF(COUNT(J206:K206)=2,IF(K206=0,"",J206/K206),"")</x:f>
        <x:v>0.5147058823529411</x:v>
      </x:c>
      <x:c r="M206" s="10" t="str">
        <x:v>Тема / гость: נעמה לזימי.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06" s="10" t="str">
        <x:v>Выбрать 5–8 минут: вопрос, уточнение, развёрнутый ответ. Сформулировать следующий вопрос.</x:v>
      </x:c>
      <x:c r="O206" s="10" t="str">
        <x:v>Взгляды гостя не равны установленным фактам; проверить чувствительные темы</x:v>
      </x:c>
      <x:c r="P206" s="10" t="str">
        <x:v>Длинное интервью</x:v>
      </x:c>
      <x:c r="Q206" s="9" t="str">
        <x:v>Нет</x:v>
      </x:c>
      <x:c r="R206" s="9" t="str">
        <x:v>C014</x:v>
      </x:c>
      <x:c r="S206" s="9" t="str">
        <x:v>C014</x:v>
      </x:c>
      <x:c r="T206" s="10" t="str">
        <x:v>כאן 11 - תאגיד השידור הישראלי</x:v>
      </x:c>
      <x:c r="U206" s="11" t="str">
        <x:v>https://www.youtube.com/watch?v=8Zl3mg4S0P4</x:v>
      </x:c>
      <x:c r="V206" s="16" t="n">
        <x:v>46308</x:v>
      </x:c>
      <x:c r="W206" s="16"/>
      <x:c r="X206" s="10" t="str">
        <x:v>Иврит предполагается по заголовку и источнику</x:v>
      </x:c>
      <x:c r="Y206" s="10" t="str">
        <x:v>Не проверено</x:v>
      </x:c>
      <x:c r="Z206" s="10" t="str">
        <x:v>Не проверено</x:v>
      </x:c>
      <x:c r="AA206" s="10" t="str">
        <x:v>Метаданные списка; видео не просмотрено</x:v>
      </x:c>
      <x:c r="AB206" s="13" t="str">
        <x:f>IF(AND(ISNUMBER(H206),ISNUMBER(W206)),H206/MAX(1,'Обзор'!$B$4-W206),"")</x:f>
      </x:c>
      <x:c r="AC206" s="17" t="str">
        <x:v>Не решено</x:v>
      </x:c>
      <x:c r="AD206" s="17" t="str">
        <x:v>Не проверено</x:v>
      </x:c>
      <x:c r="AE206" s="17" t="str">
        <x:v>Не проверено</x:v>
      </x:c>
      <x:c r="AF206" s="17" t="str">
        <x:v>Не проверено</x:v>
      </x:c>
      <x:c r="AG206" s="17" t="str">
        <x:v>Не решено</x:v>
      </x:c>
      <x:c r="AH206" s="17" t="str">
        <x:v>Не проверено</x:v>
      </x:c>
      <x:c r="AI206" s="10" t="str">
        <x:f>IF(AC206="Отклонить","Отклонено",IF(AND(AC206="Взять",COUNTIFS(AD206:AH206,"Да")=5),"Готово","Нужна редактура"))</x:f>
        <x:v>Нужна редактура</x:v>
      </x:c>
      <x:c r="AJ206" s="17" t="str"/>
      <x:c r="AK206" s="9" t="str">
        <x:v>https://www.youtube.com/playlist?list=PLLttfoK87AdUPG7GyXfqeuHp7u27KjHCH</x:v>
      </x:c>
      <x:c r="AL206" s="9" t="n">
        <x:v>5</x:v>
      </x:c>
      <x:c r="AM206" s="9"/>
      <x:c r="AN206" s="9"/>
    </x:row>
    <x:row r="207" ht="60" customHeight="1">
      <x:c r="A207" s="9" t="str">
        <x:v>8tELuBnt5ls</x:v>
      </x:c>
      <x:c r="B207" s="10" t="str">
        <x:v>פגישה עם רוני קובן עונה 9 | יגאל גואטה</x:v>
      </x:c>
      <x:c r="C207" s="10" t="str">
        <x:v>Люди Израиля</x:v>
      </x:c>
      <x:c r="D207" s="9" t="str">
        <x:v>Интервью</x:v>
      </x:c>
      <x:c r="E207" s="10" t="str">
        <x:v>Интервью; культура; общество; продвинутые</x:v>
      </x:c>
      <x:c r="F207" s="10" t="str">
        <x:v>B2–C1 (гипотеза)</x:v>
      </x:c>
      <x:c r="G207" s="12" t="n">
        <x:v>37.6</x:v>
      </x:c>
      <x:c r="H207" s="14" t="n">
        <x:v>67000</x:v>
      </x:c>
      <x:c r="I207" s="15" t="str">
        <x:v>Округлённый счётчик в списке YouTube</x:v>
      </x:c>
      <x:c r="J207" s="14" t="n">
        <x:v>67000</x:v>
      </x:c>
      <x:c r="K207" s="14" t="n">
        <x:v>68000</x:v>
      </x:c>
      <x:c r="L207" s="12" t="n">
        <x:f>IF(COUNT(J207:K207)=2,IF(K207=0,"",J207/K207),"")</x:f>
        <x:v>0.9852941176470589</x:v>
      </x:c>
      <x:c r="M207" s="10" t="str">
        <x:v>Тема / гость: יגאל גואטה.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07" s="10" t="str">
        <x:v>Выбрать 5–8 минут: вопрос, уточнение, развёрнутый ответ. Сформулировать следующий вопрос.</x:v>
      </x:c>
      <x:c r="O207" s="10" t="str">
        <x:v>Взгляды гостя не равны установленным фактам; проверить чувствительные темы</x:v>
      </x:c>
      <x:c r="P207" s="10" t="str">
        <x:v>Длинное интервью</x:v>
      </x:c>
      <x:c r="Q207" s="9" t="str">
        <x:v>Нет</x:v>
      </x:c>
      <x:c r="R207" s="9" t="str">
        <x:v>C014</x:v>
      </x:c>
      <x:c r="S207" s="9" t="str">
        <x:v>C014</x:v>
      </x:c>
      <x:c r="T207" s="10" t="str">
        <x:v>כאן 11 - תאגיד השידור הישראלי</x:v>
      </x:c>
      <x:c r="U207" s="11" t="str">
        <x:v>https://www.youtube.com/watch?v=8tELuBnt5ls</x:v>
      </x:c>
      <x:c r="V207" s="16" t="n">
        <x:v>46308</x:v>
      </x:c>
      <x:c r="W207" s="16"/>
      <x:c r="X207" s="10" t="str">
        <x:v>Иврит предполагается по заголовку и источнику</x:v>
      </x:c>
      <x:c r="Y207" s="10" t="str">
        <x:v>Не проверено</x:v>
      </x:c>
      <x:c r="Z207" s="10" t="str">
        <x:v>Не проверено</x:v>
      </x:c>
      <x:c r="AA207" s="10" t="str">
        <x:v>Метаданные списка; видео не просмотрено</x:v>
      </x:c>
      <x:c r="AB207" s="13" t="str">
        <x:f>IF(AND(ISNUMBER(H207),ISNUMBER(W207)),H207/MAX(1,'Обзор'!$B$4-W207),"")</x:f>
      </x:c>
      <x:c r="AC207" s="17" t="str">
        <x:v>Не решено</x:v>
      </x:c>
      <x:c r="AD207" s="17" t="str">
        <x:v>Не проверено</x:v>
      </x:c>
      <x:c r="AE207" s="17" t="str">
        <x:v>Не проверено</x:v>
      </x:c>
      <x:c r="AF207" s="17" t="str">
        <x:v>Не проверено</x:v>
      </x:c>
      <x:c r="AG207" s="17" t="str">
        <x:v>Не решено</x:v>
      </x:c>
      <x:c r="AH207" s="17" t="str">
        <x:v>Не проверено</x:v>
      </x:c>
      <x:c r="AI207" s="10" t="str">
        <x:f>IF(AC207="Отклонить","Отклонено",IF(AND(AC207="Взять",COUNTIFS(AD207:AH207,"Да")=5),"Готово","Нужна редактура"))</x:f>
        <x:v>Нужна редактура</x:v>
      </x:c>
      <x:c r="AJ207" s="17" t="str"/>
      <x:c r="AK207" s="9" t="str">
        <x:v>https://www.youtube.com/playlist?list=PLLttfoK87AdUPG7GyXfqeuHp7u27KjHCH</x:v>
      </x:c>
      <x:c r="AL207" s="9" t="n">
        <x:v>6</x:v>
      </x:c>
      <x:c r="AM207" s="9"/>
      <x:c r="AN207" s="9"/>
    </x:row>
    <x:row r="208" ht="60" customHeight="1">
      <x:c r="A208" s="9" t="str">
        <x:v>aT_X3SKpyho</x:v>
      </x:c>
      <x:c r="B208" s="10" t="str">
        <x:v>פגישה עם רוני קובן עונה 9 | רני רהב</x:v>
      </x:c>
      <x:c r="C208" s="10" t="str">
        <x:v>Люди Израиля</x:v>
      </x:c>
      <x:c r="D208" s="9" t="str">
        <x:v>Интервью</x:v>
      </x:c>
      <x:c r="E208" s="10" t="str">
        <x:v>Интервью; культура; общество; продвинутые</x:v>
      </x:c>
      <x:c r="F208" s="10" t="str">
        <x:v>B2–C1 (гипотеза)</x:v>
      </x:c>
      <x:c r="G208" s="12" t="n">
        <x:v>43.1</x:v>
      </x:c>
      <x:c r="H208" s="14" t="n">
        <x:v>69502</x:v>
      </x:c>
      <x:c r="I208" s="15" t="str">
        <x:v>Точный счётчик метаданных видео</x:v>
      </x:c>
      <x:c r="J208" s="14" t="n">
        <x:v>69000</x:v>
      </x:c>
      <x:c r="K208" s="14" t="n">
        <x:v>68000</x:v>
      </x:c>
      <x:c r="L208" s="12" t="n">
        <x:f>IF(COUNT(J208:K208)=2,IF(K208=0,"",J208/K208),"")</x:f>
        <x:v>1.0147058823529411</x:v>
      </x:c>
      <x:c r="M208" s="10" t="str">
        <x:v>Тема / гость: רני רהב.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08" s="10" t="str">
        <x:v>Выбрать 5–8 минут: вопрос, уточнение, развёрнутый ответ. Сформулировать следующий вопрос.</x:v>
      </x:c>
      <x:c r="O208" s="10" t="str">
        <x:v>Взгляды гостя не равны установленным фактам; проверить чувствительные темы</x:v>
      </x:c>
      <x:c r="P208" s="10" t="str">
        <x:v>Длинное интервью</x:v>
      </x:c>
      <x:c r="Q208" s="9" t="str">
        <x:v>Нет</x:v>
      </x:c>
      <x:c r="R208" s="9" t="str">
        <x:v>C014</x:v>
      </x:c>
      <x:c r="S208" s="9" t="str">
        <x:v>C014</x:v>
      </x:c>
      <x:c r="T208" s="10" t="str">
        <x:v>כאן 11 - תאגיד השידור הישראלי</x:v>
      </x:c>
      <x:c r="U208" s="11" t="str">
        <x:v>https://www.youtube.com/watch?v=aT_X3SKpyho</x:v>
      </x:c>
      <x:c r="V208" s="16" t="n">
        <x:v>46308</x:v>
      </x:c>
      <x:c r="W208" s="16" t="n">
        <x:v>45864</x:v>
      </x:c>
      <x:c r="X208" s="10" t="str">
        <x:v>iw</x:v>
      </x:c>
      <x:c r="Y208" s="10" t="str">
        <x:v>Автоматическая дорожка HE по метаданным</x:v>
      </x:c>
      <x:c r="Z208" s="10" t="str">
        <x:v>Разрешено по метаданным</x:v>
      </x:c>
      <x:c r="AA208" s="10" t="str">
        <x:v>Метаданные видео; воспроизведение и содержание не проверены</x:v>
      </x:c>
      <x:c r="AB208" s="13" t="n">
        <x:f>IF(AND(ISNUMBER(H208),ISNUMBER(W208)),H208/MAX(1,'Обзор'!$B$4-W208),"")</x:f>
        <x:v>156.53603603603602</x:v>
      </x:c>
      <x:c r="AC208" s="17" t="str">
        <x:v>Не решено</x:v>
      </x:c>
      <x:c r="AD208" s="17" t="str">
        <x:v>Не проверено</x:v>
      </x:c>
      <x:c r="AE208" s="17" t="str">
        <x:v>Не проверено</x:v>
      </x:c>
      <x:c r="AF208" s="17" t="str">
        <x:v>Не проверено</x:v>
      </x:c>
      <x:c r="AG208" s="17" t="str">
        <x:v>Не решено</x:v>
      </x:c>
      <x:c r="AH208" s="17" t="str">
        <x:v>Не проверено</x:v>
      </x:c>
      <x:c r="AI208" s="10" t="str">
        <x:f>IF(AC208="Отклонить","Отклонено",IF(AND(AC208="Взять",COUNTIFS(AD208:AH208,"Да")=5),"Готово","Нужна редактура"))</x:f>
        <x:v>Нужна редактура</x:v>
      </x:c>
      <x:c r="AJ208" s="17" t="str"/>
      <x:c r="AK208" s="9" t="str">
        <x:v>https://www.youtube.com/playlist?list=PLLttfoK87AdUPG7GyXfqeuHp7u27KjHCH</x:v>
      </x:c>
      <x:c r="AL208" s="9" t="n">
        <x:v>7</x:v>
      </x:c>
      <x:c r="AM208" s="9"/>
      <x:c r="AN208" s="9" t="n">
        <x:v>0</x:v>
      </x:c>
    </x:row>
    <x:row r="209" ht="60" customHeight="1">
      <x:c r="A209" s="9" t="str">
        <x:v>Ecv-Oa-ZK3g</x:v>
      </x:c>
      <x:c r="B209" s="10" t="str">
        <x:v>פגישה עם רוני קובן עונה 9 | דדי שמחי</x:v>
      </x:c>
      <x:c r="C209" s="10" t="str">
        <x:v>Люди Израиля</x:v>
      </x:c>
      <x:c r="D209" s="9" t="str">
        <x:v>Интервью</x:v>
      </x:c>
      <x:c r="E209" s="10" t="str">
        <x:v>Интервью; культура; общество; продвинутые</x:v>
      </x:c>
      <x:c r="F209" s="10" t="str">
        <x:v>B2–C1 (гипотеза)</x:v>
      </x:c>
      <x:c r="G209" s="12" t="n">
        <x:v>35.9</x:v>
      </x:c>
      <x:c r="H209" s="14" t="n">
        <x:v>60000</x:v>
      </x:c>
      <x:c r="I209" s="15" t="str">
        <x:v>Округлённый счётчик в списке YouTube</x:v>
      </x:c>
      <x:c r="J209" s="14" t="n">
        <x:v>60000</x:v>
      </x:c>
      <x:c r="K209" s="14" t="n">
        <x:v>68000</x:v>
      </x:c>
      <x:c r="L209" s="12" t="n">
        <x:f>IF(COUNT(J209:K209)=2,IF(K209=0,"",J209/K209),"")</x:f>
        <x:v>0.8823529411764706</x:v>
      </x:c>
      <x:c r="M209" s="10" t="str">
        <x:v>Тема / гость: דדי שמחי.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09" s="10" t="str">
        <x:v>Выбрать 5–8 минут: вопрос, уточнение, развёрнутый ответ. Сформулировать следующий вопрос.</x:v>
      </x:c>
      <x:c r="O209" s="10" t="str">
        <x:v>Взгляды гостя не равны установленным фактам; проверить чувствительные темы</x:v>
      </x:c>
      <x:c r="P209" s="10" t="str">
        <x:v>Длинное интервью</x:v>
      </x:c>
      <x:c r="Q209" s="9" t="str">
        <x:v>Нет</x:v>
      </x:c>
      <x:c r="R209" s="9" t="str">
        <x:v>C014</x:v>
      </x:c>
      <x:c r="S209" s="9" t="str">
        <x:v>C014</x:v>
      </x:c>
      <x:c r="T209" s="10" t="str">
        <x:v>כאן 11 - תאגיד השידור הישראלי</x:v>
      </x:c>
      <x:c r="U209" s="11" t="str">
        <x:v>https://www.youtube.com/watch?v=Ecv-Oa-ZK3g</x:v>
      </x:c>
      <x:c r="V209" s="16" t="n">
        <x:v>46308</x:v>
      </x:c>
      <x:c r="W209" s="16"/>
      <x:c r="X209" s="10" t="str">
        <x:v>Иврит предполагается по заголовку и источнику</x:v>
      </x:c>
      <x:c r="Y209" s="10" t="str">
        <x:v>Не проверено</x:v>
      </x:c>
      <x:c r="Z209" s="10" t="str">
        <x:v>Не проверено</x:v>
      </x:c>
      <x:c r="AA209" s="10" t="str">
        <x:v>Метаданные списка; видео не просмотрено</x:v>
      </x:c>
      <x:c r="AB209" s="13" t="str">
        <x:f>IF(AND(ISNUMBER(H209),ISNUMBER(W209)),H209/MAX(1,'Обзор'!$B$4-W209),"")</x:f>
      </x:c>
      <x:c r="AC209" s="17" t="str">
        <x:v>Не решено</x:v>
      </x:c>
      <x:c r="AD209" s="17" t="str">
        <x:v>Не проверено</x:v>
      </x:c>
      <x:c r="AE209" s="17" t="str">
        <x:v>Не проверено</x:v>
      </x:c>
      <x:c r="AF209" s="17" t="str">
        <x:v>Не проверено</x:v>
      </x:c>
      <x:c r="AG209" s="17" t="str">
        <x:v>Не решено</x:v>
      </x:c>
      <x:c r="AH209" s="17" t="str">
        <x:v>Не проверено</x:v>
      </x:c>
      <x:c r="AI209" s="10" t="str">
        <x:f>IF(AC209="Отклонить","Отклонено",IF(AND(AC209="Взять",COUNTIFS(AD209:AH209,"Да")=5),"Готово","Нужна редактура"))</x:f>
        <x:v>Нужна редактура</x:v>
      </x:c>
      <x:c r="AJ209" s="17" t="str"/>
      <x:c r="AK209" s="9" t="str">
        <x:v>https://www.youtube.com/playlist?list=PLLttfoK87AdUPG7GyXfqeuHp7u27KjHCH</x:v>
      </x:c>
      <x:c r="AL209" s="9" t="n">
        <x:v>8</x:v>
      </x:c>
      <x:c r="AM209" s="9"/>
      <x:c r="AN209" s="9"/>
    </x:row>
    <x:row r="210" ht="60" customHeight="1">
      <x:c r="A210" s="9" t="str">
        <x:v>Uo9R3x7vUnM</x:v>
      </x:c>
      <x:c r="B210" s="10" t="str">
        <x:v>פגישה עם רוני קובן עונה 9 | אייל ברקוביץ'</x:v>
      </x:c>
      <x:c r="C210" s="10" t="str">
        <x:v>Люди Израиля</x:v>
      </x:c>
      <x:c r="D210" s="9" t="str">
        <x:v>Интервью</x:v>
      </x:c>
      <x:c r="E210" s="10" t="str">
        <x:v>Интервью; культура; общество; продвинутые</x:v>
      </x:c>
      <x:c r="F210" s="10" t="str">
        <x:v>B2–C1 (гипотеза)</x:v>
      </x:c>
      <x:c r="G210" s="12" t="n">
        <x:v>41.2</x:v>
      </x:c>
      <x:c r="H210" s="14" t="n">
        <x:v>218886</x:v>
      </x:c>
      <x:c r="I210" s="15" t="str">
        <x:v>Точный счётчик метаданных видео</x:v>
      </x:c>
      <x:c r="J210" s="14" t="n">
        <x:v>218000</x:v>
      </x:c>
      <x:c r="K210" s="14" t="n">
        <x:v>68000</x:v>
      </x:c>
      <x:c r="L210" s="12" t="n">
        <x:f>IF(COUNT(J210:K210)=2,IF(K210=0,"",J210/K210),"")</x:f>
        <x:v>3.2058823529411766</x:v>
      </x:c>
      <x:c r="M210" s="10" t="str">
        <x:v>Тема / гость: אייל ברקוביץ'. Просмотры в списке выше медианы выборки этого цикла в 3.21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10" s="10" t="str">
        <x:v>Выбрать 5–8 минут: вопрос, уточнение, развёрнутый ответ. Сформулировать следующий вопрос.</x:v>
      </x:c>
      <x:c r="O210" s="10" t="str">
        <x:v>Взгляды гостя не равны установленным фактам; проверить чувствительные темы</x:v>
      </x:c>
      <x:c r="P210" s="10" t="str">
        <x:v>Длинное интервью</x:v>
      </x:c>
      <x:c r="Q210" s="9" t="str">
        <x:v>Нет</x:v>
      </x:c>
      <x:c r="R210" s="9" t="str">
        <x:v>C014</x:v>
      </x:c>
      <x:c r="S210" s="9" t="str">
        <x:v>C014</x:v>
      </x:c>
      <x:c r="T210" s="10" t="str">
        <x:v>כאן 11 - תאגיד השידור הישראלי</x:v>
      </x:c>
      <x:c r="U210" s="11" t="str">
        <x:v>https://www.youtube.com/watch?v=Uo9R3x7vUnM</x:v>
      </x:c>
      <x:c r="V210" s="16" t="n">
        <x:v>46308</x:v>
      </x:c>
      <x:c r="W210" s="16" t="n">
        <x:v>45808</x:v>
      </x:c>
      <x:c r="X210" s="10" t="str">
        <x:v>Иврит предполагается по заголовку и источнику</x:v>
      </x:c>
      <x:c r="Y210" s="10" t="str">
        <x:v>Автоматическая дорожка HE по метаданным</x:v>
      </x:c>
      <x:c r="Z210" s="10" t="str">
        <x:v>Разрешено по метаданным</x:v>
      </x:c>
      <x:c r="AA210" s="10" t="str">
        <x:v>Метаданные видео; воспроизведение и содержание не проверены</x:v>
      </x:c>
      <x:c r="AB210" s="13" t="n">
        <x:f>IF(AND(ISNUMBER(H210),ISNUMBER(W210)),H210/MAX(1,'Обзор'!$B$4-W210),"")</x:f>
        <x:v>437.772</x:v>
      </x:c>
      <x:c r="AC210" s="17" t="str">
        <x:v>Не решено</x:v>
      </x:c>
      <x:c r="AD210" s="17" t="str">
        <x:v>Не проверено</x:v>
      </x:c>
      <x:c r="AE210" s="17" t="str">
        <x:v>Не проверено</x:v>
      </x:c>
      <x:c r="AF210" s="17" t="str">
        <x:v>Не проверено</x:v>
      </x:c>
      <x:c r="AG210" s="17" t="str">
        <x:v>Не решено</x:v>
      </x:c>
      <x:c r="AH210" s="17" t="str">
        <x:v>Не проверено</x:v>
      </x:c>
      <x:c r="AI210" s="10" t="str">
        <x:f>IF(AC210="Отклонить","Отклонено",IF(AND(AC210="Взять",COUNTIFS(AD210:AH210,"Да")=5),"Готово","Нужна редактура"))</x:f>
        <x:v>Нужна редактура</x:v>
      </x:c>
      <x:c r="AJ210" s="17" t="str"/>
      <x:c r="AK210" s="9" t="str">
        <x:v>https://www.youtube.com/playlist?list=PLLttfoK87AdUPG7GyXfqeuHp7u27KjHCH</x:v>
      </x:c>
      <x:c r="AL210" s="9" t="n">
        <x:v>9</x:v>
      </x:c>
      <x:c r="AM210" s="9"/>
      <x:c r="AN210" s="9" t="n">
        <x:v>0</x:v>
      </x:c>
    </x:row>
    <x:row r="211" ht="60" customHeight="1">
      <x:c r="A211" s="9" t="str">
        <x:v>_y1OKcBGvRk</x:v>
      </x:c>
      <x:c r="B211" s="10" t="str">
        <x:v>פגישה עם רוני קובן עונה 9 | פנינה רוזנבלום</x:v>
      </x:c>
      <x:c r="C211" s="10" t="str">
        <x:v>Люди Израиля</x:v>
      </x:c>
      <x:c r="D211" s="9" t="str">
        <x:v>Интервью</x:v>
      </x:c>
      <x:c r="E211" s="10" t="str">
        <x:v>Интервью; культура; общество; продвинутые</x:v>
      </x:c>
      <x:c r="F211" s="10" t="str">
        <x:v>B2–C1 (гипотеза)</x:v>
      </x:c>
      <x:c r="G211" s="12" t="n">
        <x:v>29.6</x:v>
      </x:c>
      <x:c r="H211" s="14" t="n">
        <x:v>43000</x:v>
      </x:c>
      <x:c r="I211" s="15" t="str">
        <x:v>Округлённый счётчик в списке YouTube</x:v>
      </x:c>
      <x:c r="J211" s="14" t="n">
        <x:v>43000</x:v>
      </x:c>
      <x:c r="K211" s="14" t="n">
        <x:v>68000</x:v>
      </x:c>
      <x:c r="L211" s="12" t="n">
        <x:f>IF(COUNT(J211:K211)=2,IF(K211=0,"",J211/K211),"")</x:f>
        <x:v>0.6323529411764706</x:v>
      </x:c>
      <x:c r="M211" s="10" t="str">
        <x:v>Тема / гость: פנינה רוזנבלום.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11" s="10" t="str">
        <x:v>Выбрать 5–8 минут: вопрос, уточнение, развёрнутый ответ. Сформулировать следующий вопрос.</x:v>
      </x:c>
      <x:c r="O211" s="10" t="str">
        <x:v>Взгляды гостя не равны установленным фактам; проверить чувствительные темы</x:v>
      </x:c>
      <x:c r="P211" s="10" t="str">
        <x:v>Длинное интервью</x:v>
      </x:c>
      <x:c r="Q211" s="9" t="str">
        <x:v>Нет</x:v>
      </x:c>
      <x:c r="R211" s="9" t="str">
        <x:v>C014</x:v>
      </x:c>
      <x:c r="S211" s="9" t="str">
        <x:v>C014</x:v>
      </x:c>
      <x:c r="T211" s="10" t="str">
        <x:v>כאן 11 - תאגיד השידור הישראלי</x:v>
      </x:c>
      <x:c r="U211" s="11" t="str">
        <x:v>https://www.youtube.com/watch?v=_y1OKcBGvRk</x:v>
      </x:c>
      <x:c r="V211" s="16" t="n">
        <x:v>46308</x:v>
      </x:c>
      <x:c r="W211" s="16"/>
      <x:c r="X211" s="10" t="str">
        <x:v>Иврит предполагается по заголовку и источнику</x:v>
      </x:c>
      <x:c r="Y211" s="10" t="str">
        <x:v>Не проверено</x:v>
      </x:c>
      <x:c r="Z211" s="10" t="str">
        <x:v>Не проверено</x:v>
      </x:c>
      <x:c r="AA211" s="10" t="str">
        <x:v>Метаданные списка; видео не просмотрено</x:v>
      </x:c>
      <x:c r="AB211" s="13" t="str">
        <x:f>IF(AND(ISNUMBER(H211),ISNUMBER(W211)),H211/MAX(1,'Обзор'!$B$4-W211),"")</x:f>
      </x:c>
      <x:c r="AC211" s="17" t="str">
        <x:v>Не решено</x:v>
      </x:c>
      <x:c r="AD211" s="17" t="str">
        <x:v>Не проверено</x:v>
      </x:c>
      <x:c r="AE211" s="17" t="str">
        <x:v>Не проверено</x:v>
      </x:c>
      <x:c r="AF211" s="17" t="str">
        <x:v>Не проверено</x:v>
      </x:c>
      <x:c r="AG211" s="17" t="str">
        <x:v>Не решено</x:v>
      </x:c>
      <x:c r="AH211" s="17" t="str">
        <x:v>Не проверено</x:v>
      </x:c>
      <x:c r="AI211" s="10" t="str">
        <x:f>IF(AC211="Отклонить","Отклонено",IF(AND(AC211="Взять",COUNTIFS(AD211:AH211,"Да")=5),"Готово","Нужна редактура"))</x:f>
        <x:v>Нужна редактура</x:v>
      </x:c>
      <x:c r="AJ211" s="17" t="str"/>
      <x:c r="AK211" s="9" t="str">
        <x:v>https://www.youtube.com/playlist?list=PLLttfoK87AdUPG7GyXfqeuHp7u27KjHCH</x:v>
      </x:c>
      <x:c r="AL211" s="9" t="n">
        <x:v>10</x:v>
      </x:c>
      <x:c r="AM211" s="9"/>
      <x:c r="AN211" s="9"/>
    </x:row>
    <x:row r="212" ht="60" customHeight="1">
      <x:c r="A212" s="9" t="str">
        <x:v>f9BSrvQgk1U</x:v>
      </x:c>
      <x:c r="B212" s="10" t="str">
        <x:v>פגישה עם רוני קובן עונה 9 | רזי ברקאי</x:v>
      </x:c>
      <x:c r="C212" s="10" t="str">
        <x:v>Люди Израиля</x:v>
      </x:c>
      <x:c r="D212" s="9" t="str">
        <x:v>Интервью</x:v>
      </x:c>
      <x:c r="E212" s="10" t="str">
        <x:v>Интервью; культура; общество; продвинутые</x:v>
      </x:c>
      <x:c r="F212" s="10" t="str">
        <x:v>B2–C1 (гипотеза)</x:v>
      </x:c>
      <x:c r="G212" s="12" t="n">
        <x:v>35.9</x:v>
      </x:c>
      <x:c r="H212" s="14" t="n">
        <x:v>61000</x:v>
      </x:c>
      <x:c r="I212" s="15" t="str">
        <x:v>Округлённый счётчик в списке YouTube</x:v>
      </x:c>
      <x:c r="J212" s="14" t="n">
        <x:v>61000</x:v>
      </x:c>
      <x:c r="K212" s="14" t="n">
        <x:v>68000</x:v>
      </x:c>
      <x:c r="L212" s="12" t="n">
        <x:f>IF(COUNT(J212:K212)=2,IF(K212=0,"",J212/K212),"")</x:f>
        <x:v>0.8970588235294118</x:v>
      </x:c>
      <x:c r="M212" s="10" t="str">
        <x:v>Тема / гость: רזי ברקאי.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12" s="10" t="str">
        <x:v>Выбрать 5–8 минут: вопрос, уточнение, развёрнутый ответ. Сформулировать следующий вопрос.</x:v>
      </x:c>
      <x:c r="O212" s="10" t="str">
        <x:v>Взгляды гостя не равны установленным фактам; проверить чувствительные темы</x:v>
      </x:c>
      <x:c r="P212" s="10" t="str">
        <x:v>Длинное интервью</x:v>
      </x:c>
      <x:c r="Q212" s="9" t="str">
        <x:v>Нет</x:v>
      </x:c>
      <x:c r="R212" s="9" t="str">
        <x:v>C014</x:v>
      </x:c>
      <x:c r="S212" s="9" t="str">
        <x:v>C014</x:v>
      </x:c>
      <x:c r="T212" s="10" t="str">
        <x:v>כאן 11 - תאגיד השידור הישראלי</x:v>
      </x:c>
      <x:c r="U212" s="11" t="str">
        <x:v>https://www.youtube.com/watch?v=f9BSrvQgk1U</x:v>
      </x:c>
      <x:c r="V212" s="16" t="n">
        <x:v>46308</x:v>
      </x:c>
      <x:c r="W212" s="16"/>
      <x:c r="X212" s="10" t="str">
        <x:v>Иврит предполагается по заголовку и источнику</x:v>
      </x:c>
      <x:c r="Y212" s="10" t="str">
        <x:v>Не проверено</x:v>
      </x:c>
      <x:c r="Z212" s="10" t="str">
        <x:v>Не проверено</x:v>
      </x:c>
      <x:c r="AA212" s="10" t="str">
        <x:v>Метаданные списка; видео не просмотрено</x:v>
      </x:c>
      <x:c r="AB212" s="13" t="str">
        <x:f>IF(AND(ISNUMBER(H212),ISNUMBER(W212)),H212/MAX(1,'Обзор'!$B$4-W212),"")</x:f>
      </x:c>
      <x:c r="AC212" s="17" t="str">
        <x:v>Не решено</x:v>
      </x:c>
      <x:c r="AD212" s="17" t="str">
        <x:v>Не проверено</x:v>
      </x:c>
      <x:c r="AE212" s="17" t="str">
        <x:v>Не проверено</x:v>
      </x:c>
      <x:c r="AF212" s="17" t="str">
        <x:v>Не проверено</x:v>
      </x:c>
      <x:c r="AG212" s="17" t="str">
        <x:v>Не решено</x:v>
      </x:c>
      <x:c r="AH212" s="17" t="str">
        <x:v>Не проверено</x:v>
      </x:c>
      <x:c r="AI212" s="10" t="str">
        <x:f>IF(AC212="Отклонить","Отклонено",IF(AND(AC212="Взять",COUNTIFS(AD212:AH212,"Да")=5),"Готово","Нужна редактура"))</x:f>
        <x:v>Нужна редактура</x:v>
      </x:c>
      <x:c r="AJ212" s="17" t="str"/>
      <x:c r="AK212" s="9" t="str">
        <x:v>https://www.youtube.com/playlist?list=PLLttfoK87AdUPG7GyXfqeuHp7u27KjHCH</x:v>
      </x:c>
      <x:c r="AL212" s="9" t="n">
        <x:v>11</x:v>
      </x:c>
      <x:c r="AM212" s="9"/>
      <x:c r="AN212" s="9"/>
    </x:row>
    <x:row r="213" ht="60" customHeight="1">
      <x:c r="A213" s="9" t="str">
        <x:v>F014bRVBSvI</x:v>
      </x:c>
      <x:c r="B213" s="10" t="str">
        <x:v>פגישה עם רוני קובן עונה 9 | ליאור שליין</x:v>
      </x:c>
      <x:c r="C213" s="10" t="str">
        <x:v>Люди Израиля</x:v>
      </x:c>
      <x:c r="D213" s="9" t="str">
        <x:v>Интервью</x:v>
      </x:c>
      <x:c r="E213" s="10" t="str">
        <x:v>Интервью; культура; общество; продвинутые</x:v>
      </x:c>
      <x:c r="F213" s="10" t="str">
        <x:v>B2–C1 (гипотеза)</x:v>
      </x:c>
      <x:c r="G213" s="12" t="n">
        <x:v>36</x:v>
      </x:c>
      <x:c r="H213" s="14" t="n">
        <x:v>168048</x:v>
      </x:c>
      <x:c r="I213" s="15" t="str">
        <x:v>Точный счётчик метаданных видео</x:v>
      </x:c>
      <x:c r="J213" s="14" t="n">
        <x:v>168000</x:v>
      </x:c>
      <x:c r="K213" s="14" t="n">
        <x:v>68000</x:v>
      </x:c>
      <x:c r="L213" s="12" t="n">
        <x:f>IF(COUNT(J213:K213)=2,IF(K213=0,"",J213/K213),"")</x:f>
        <x:v>2.4705882352941178</x:v>
      </x:c>
      <x:c r="M213" s="10" t="str">
        <x:v>Тема / гость: ליאור שליין. Просмотры в списке выше медианы выборки этого цикла в 2.47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13" s="10" t="str">
        <x:v>Выбрать 5–8 минут: вопрос, уточнение, развёрнутый ответ. Сформулировать следующий вопрос.</x:v>
      </x:c>
      <x:c r="O213" s="10" t="str">
        <x:v>Взгляды гостя не равны установленным фактам; проверить чувствительные темы</x:v>
      </x:c>
      <x:c r="P213" s="10" t="str">
        <x:v>Длинное интервью</x:v>
      </x:c>
      <x:c r="Q213" s="9" t="str">
        <x:v>Нет</x:v>
      </x:c>
      <x:c r="R213" s="9" t="str">
        <x:v>C014</x:v>
      </x:c>
      <x:c r="S213" s="9" t="str">
        <x:v>C014</x:v>
      </x:c>
      <x:c r="T213" s="10" t="str">
        <x:v>כאן 11 - תאגיד השידור הישראלי</x:v>
      </x:c>
      <x:c r="U213" s="11" t="str">
        <x:v>https://www.youtube.com/watch?v=F014bRVBSvI</x:v>
      </x:c>
      <x:c r="V213" s="16" t="n">
        <x:v>46308</x:v>
      </x:c>
      <x:c r="W213" s="16" t="n">
        <x:v>45752</x:v>
      </x:c>
      <x:c r="X213" s="10" t="str">
        <x:v>iw</x:v>
      </x:c>
      <x:c r="Y213" s="10" t="str">
        <x:v>Автоматическая дорожка HE по метаданным</x:v>
      </x:c>
      <x:c r="Z213" s="10" t="str">
        <x:v>Разрешено по метаданным</x:v>
      </x:c>
      <x:c r="AA213" s="10" t="str">
        <x:v>Метаданные видео; воспроизведение и содержание не проверены</x:v>
      </x:c>
      <x:c r="AB213" s="13" t="n">
        <x:f>IF(AND(ISNUMBER(H213),ISNUMBER(W213)),H213/MAX(1,'Обзор'!$B$4-W213),"")</x:f>
        <x:v>302.24460431654677</x:v>
      </x:c>
      <x:c r="AC213" s="17" t="str">
        <x:v>Не решено</x:v>
      </x:c>
      <x:c r="AD213" s="17" t="str">
        <x:v>Не проверено</x:v>
      </x:c>
      <x:c r="AE213" s="17" t="str">
        <x:v>Не проверено</x:v>
      </x:c>
      <x:c r="AF213" s="17" t="str">
        <x:v>Не проверено</x:v>
      </x:c>
      <x:c r="AG213" s="17" t="str">
        <x:v>Не решено</x:v>
      </x:c>
      <x:c r="AH213" s="17" t="str">
        <x:v>Не проверено</x:v>
      </x:c>
      <x:c r="AI213" s="10" t="str">
        <x:f>IF(AC213="Отклонить","Отклонено",IF(AND(AC213="Взять",COUNTIFS(AD213:AH213,"Да")=5),"Готово","Нужна редактура"))</x:f>
        <x:v>Нужна редактура</x:v>
      </x:c>
      <x:c r="AJ213" s="17" t="str"/>
      <x:c r="AK213" s="9" t="str">
        <x:v>https://www.youtube.com/playlist?list=PLLttfoK87AdUPG7GyXfqeuHp7u27KjHCH</x:v>
      </x:c>
      <x:c r="AL213" s="9" t="n">
        <x:v>12</x:v>
      </x:c>
      <x:c r="AM213" s="9"/>
      <x:c r="AN213" s="9" t="n">
        <x:v>0</x:v>
      </x:c>
    </x:row>
    <x:row r="214" ht="60" customHeight="1">
      <x:c r="A214" s="9" t="str">
        <x:v>V4TZoWGTDfI</x:v>
      </x:c>
      <x:c r="B214" s="10" t="str">
        <x:v>פגישה עם רוני קובן עונה 9 | מירי רגב</x:v>
      </x:c>
      <x:c r="C214" s="10" t="str">
        <x:v>Люди Израиля</x:v>
      </x:c>
      <x:c r="D214" s="9" t="str">
        <x:v>Интервью</x:v>
      </x:c>
      <x:c r="E214" s="10" t="str">
        <x:v>Интервью; культура; общество; продвинутые</x:v>
      </x:c>
      <x:c r="F214" s="10" t="str">
        <x:v>B2–C1 (гипотеза)</x:v>
      </x:c>
      <x:c r="G214" s="12" t="n">
        <x:v>58.8</x:v>
      </x:c>
      <x:c r="H214" s="14" t="n">
        <x:v>139272</x:v>
      </x:c>
      <x:c r="I214" s="15" t="str">
        <x:v>Точный счётчик метаданных видео</x:v>
      </x:c>
      <x:c r="J214" s="14" t="n">
        <x:v>139000</x:v>
      </x:c>
      <x:c r="K214" s="14" t="n">
        <x:v>68000</x:v>
      </x:c>
      <x:c r="L214" s="12" t="n">
        <x:f>IF(COUNT(J214:K214)=2,IF(K214=0,"",J214/K214),"")</x:f>
        <x:v>2.0441176470588234</x:v>
      </x:c>
      <x:c r="M214" s="10" t="str">
        <x:v>Тема / гость: מירי רגב. Просмотры в списке выше медианы выборки этого цикла в 2.04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14" s="10" t="str">
        <x:v>Выбрать 5–8 минут: вопрос, уточнение, развёрнутый ответ. Сформулировать следующий вопрос.</x:v>
      </x:c>
      <x:c r="O214" s="10" t="str">
        <x:v>Взгляды гостя не равны установленным фактам; проверить чувствительные темы</x:v>
      </x:c>
      <x:c r="P214" s="10" t="str">
        <x:v>Длинное интервью</x:v>
      </x:c>
      <x:c r="Q214" s="9" t="str">
        <x:v>Нет</x:v>
      </x:c>
      <x:c r="R214" s="9" t="str">
        <x:v>C014</x:v>
      </x:c>
      <x:c r="S214" s="9" t="str">
        <x:v>C014</x:v>
      </x:c>
      <x:c r="T214" s="10" t="str">
        <x:v>כאן 11 - תאגיד השידור הישראלי</x:v>
      </x:c>
      <x:c r="U214" s="11" t="str">
        <x:v>https://www.youtube.com/watch?v=V4TZoWGTDfI</x:v>
      </x:c>
      <x:c r="V214" s="16" t="n">
        <x:v>46308</x:v>
      </x:c>
      <x:c r="W214" s="16" t="n">
        <x:v>45745</x:v>
      </x:c>
      <x:c r="X214" s="10" t="str">
        <x:v>Иврит предполагается по заголовку и источнику</x:v>
      </x:c>
      <x:c r="Y214" s="10" t="str">
        <x:v>Автоматическая дорожка HE по метаданным</x:v>
      </x:c>
      <x:c r="Z214" s="10" t="str">
        <x:v>Разрешено по метаданным</x:v>
      </x:c>
      <x:c r="AA214" s="10" t="str">
        <x:v>Метаданные видео; воспроизведение и содержание не проверены</x:v>
      </x:c>
      <x:c r="AB214" s="13" t="n">
        <x:f>IF(AND(ISNUMBER(H214),ISNUMBER(W214)),H214/MAX(1,'Обзор'!$B$4-W214),"")</x:f>
        <x:v>247.3747779751332</x:v>
      </x:c>
      <x:c r="AC214" s="17" t="str">
        <x:v>Не решено</x:v>
      </x:c>
      <x:c r="AD214" s="17" t="str">
        <x:v>Не проверено</x:v>
      </x:c>
      <x:c r="AE214" s="17" t="str">
        <x:v>Не проверено</x:v>
      </x:c>
      <x:c r="AF214" s="17" t="str">
        <x:v>Не проверено</x:v>
      </x:c>
      <x:c r="AG214" s="17" t="str">
        <x:v>Не решено</x:v>
      </x:c>
      <x:c r="AH214" s="17" t="str">
        <x:v>Не проверено</x:v>
      </x:c>
      <x:c r="AI214" s="10" t="str">
        <x:f>IF(AC214="Отклонить","Отклонено",IF(AND(AC214="Взять",COUNTIFS(AD214:AH214,"Да")=5),"Готово","Нужна редактура"))</x:f>
        <x:v>Нужна редактура</x:v>
      </x:c>
      <x:c r="AJ214" s="17" t="str"/>
      <x:c r="AK214" s="9" t="str">
        <x:v>https://www.youtube.com/playlist?list=PLLttfoK87AdUPG7GyXfqeuHp7u27KjHCH</x:v>
      </x:c>
      <x:c r="AL214" s="9" t="n">
        <x:v>13</x:v>
      </x:c>
      <x:c r="AM214" s="9"/>
      <x:c r="AN214" s="9" t="n">
        <x:v>0</x:v>
      </x:c>
    </x:row>
    <x:row r="215" ht="60" customHeight="1">
      <x:c r="A215" s="9" t="str">
        <x:v>FBJAZMpE6fg</x:v>
      </x:c>
      <x:c r="B215" s="10" t="str">
        <x:v>פגישה עם רוני קובן עונה 9 | תיקי דיין</x:v>
      </x:c>
      <x:c r="C215" s="10" t="str">
        <x:v>Люди Израиля</x:v>
      </x:c>
      <x:c r="D215" s="9" t="str">
        <x:v>Интервью</x:v>
      </x:c>
      <x:c r="E215" s="10" t="str">
        <x:v>Интервью; культура; общество; продвинутые</x:v>
      </x:c>
      <x:c r="F215" s="10" t="str">
        <x:v>B2–C1 (гипотеза)</x:v>
      </x:c>
      <x:c r="G215" s="12" t="n">
        <x:v>33.5</x:v>
      </x:c>
      <x:c r="H215" s="14" t="n">
        <x:v>53000</x:v>
      </x:c>
      <x:c r="I215" s="15" t="str">
        <x:v>Округлённый счётчик в списке YouTube</x:v>
      </x:c>
      <x:c r="J215" s="14" t="n">
        <x:v>53000</x:v>
      </x:c>
      <x:c r="K215" s="14" t="n">
        <x:v>68000</x:v>
      </x:c>
      <x:c r="L215" s="12" t="n">
        <x:f>IF(COUNT(J215:K215)=2,IF(K215=0,"",J215/K215),"")</x:f>
        <x:v>0.7794117647058824</x:v>
      </x:c>
      <x:c r="M215" s="10" t="str">
        <x:v>Тема / гость: תיקי דיין.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15" s="10" t="str">
        <x:v>Выбрать 5–8 минут: вопрос, уточнение, развёрнутый ответ. Сформулировать следующий вопрос.</x:v>
      </x:c>
      <x:c r="O215" s="10" t="str">
        <x:v>Взгляды гостя не равны установленным фактам; проверить чувствительные темы</x:v>
      </x:c>
      <x:c r="P215" s="10" t="str">
        <x:v>Длинное интервью</x:v>
      </x:c>
      <x:c r="Q215" s="9" t="str">
        <x:v>Нет</x:v>
      </x:c>
      <x:c r="R215" s="9" t="str">
        <x:v>C014</x:v>
      </x:c>
      <x:c r="S215" s="9" t="str">
        <x:v>C014</x:v>
      </x:c>
      <x:c r="T215" s="10" t="str">
        <x:v>כאן 11 - תאגיד השידור הישראלי</x:v>
      </x:c>
      <x:c r="U215" s="11" t="str">
        <x:v>https://www.youtube.com/watch?v=FBJAZMpE6fg</x:v>
      </x:c>
      <x:c r="V215" s="16" t="n">
        <x:v>46308</x:v>
      </x:c>
      <x:c r="W215" s="16"/>
      <x:c r="X215" s="10" t="str">
        <x:v>Иврит предполагается по заголовку и источнику</x:v>
      </x:c>
      <x:c r="Y215" s="10" t="str">
        <x:v>Не проверено</x:v>
      </x:c>
      <x:c r="Z215" s="10" t="str">
        <x:v>Не проверено</x:v>
      </x:c>
      <x:c r="AA215" s="10" t="str">
        <x:v>Метаданные списка; видео не просмотрено</x:v>
      </x:c>
      <x:c r="AB215" s="13" t="str">
        <x:f>IF(AND(ISNUMBER(H215),ISNUMBER(W215)),H215/MAX(1,'Обзор'!$B$4-W215),"")</x:f>
      </x:c>
      <x:c r="AC215" s="17" t="str">
        <x:v>Не решено</x:v>
      </x:c>
      <x:c r="AD215" s="17" t="str">
        <x:v>Не проверено</x:v>
      </x:c>
      <x:c r="AE215" s="17" t="str">
        <x:v>Не проверено</x:v>
      </x:c>
      <x:c r="AF215" s="17" t="str">
        <x:v>Не проверено</x:v>
      </x:c>
      <x:c r="AG215" s="17" t="str">
        <x:v>Не решено</x:v>
      </x:c>
      <x:c r="AH215" s="17" t="str">
        <x:v>Не проверено</x:v>
      </x:c>
      <x:c r="AI215" s="10" t="str">
        <x:f>IF(AC215="Отклонить","Отклонено",IF(AND(AC215="Взять",COUNTIFS(AD215:AH215,"Да")=5),"Готово","Нужна редактура"))</x:f>
        <x:v>Нужна редактура</x:v>
      </x:c>
      <x:c r="AJ215" s="17" t="str"/>
      <x:c r="AK215" s="9" t="str">
        <x:v>https://www.youtube.com/playlist?list=PLLttfoK87AdUPG7GyXfqeuHp7u27KjHCH</x:v>
      </x:c>
      <x:c r="AL215" s="9" t="n">
        <x:v>14</x:v>
      </x:c>
      <x:c r="AM215" s="9"/>
      <x:c r="AN215" s="9"/>
    </x:row>
    <x:row r="216" ht="60" customHeight="1">
      <x:c r="A216" s="9" t="str">
        <x:v>xcrPVQHoO3U</x:v>
      </x:c>
      <x:c r="B216" s="10" t="str">
        <x:v>פגישה עם רוני קובן עונה 9 | אהוד אולמרט</x:v>
      </x:c>
      <x:c r="C216" s="10" t="str">
        <x:v>Люди Израиля</x:v>
      </x:c>
      <x:c r="D216" s="9" t="str">
        <x:v>Интервью</x:v>
      </x:c>
      <x:c r="E216" s="10" t="str">
        <x:v>Интервью; культура; общество; продвинутые</x:v>
      </x:c>
      <x:c r="F216" s="10" t="str">
        <x:v>B2–C1 (гипотеза)</x:v>
      </x:c>
      <x:c r="G216" s="12" t="n">
        <x:v>43</x:v>
      </x:c>
      <x:c r="H216" s="14" t="n">
        <x:v>68000</x:v>
      </x:c>
      <x:c r="I216" s="15" t="str">
        <x:v>Округлённый счётчик в списке YouTube</x:v>
      </x:c>
      <x:c r="J216" s="14" t="n">
        <x:v>68000</x:v>
      </x:c>
      <x:c r="K216" s="14" t="n">
        <x:v>68000</x:v>
      </x:c>
      <x:c r="L216" s="12" t="n">
        <x:f>IF(COUNT(J216:K216)=2,IF(K216=0,"",J216/K216),"")</x:f>
        <x:v>1</x:v>
      </x:c>
      <x:c r="M216" s="10" t="str">
        <x:v>Тема / гость: אהוד אולמרט.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16" s="10" t="str">
        <x:v>Выбрать 5–8 минут: вопрос, уточнение, развёрнутый ответ. Сформулировать следующий вопрос.</x:v>
      </x:c>
      <x:c r="O216" s="10" t="str">
        <x:v>Взгляды гостя не равны установленным фактам; проверить чувствительные темы</x:v>
      </x:c>
      <x:c r="P216" s="10" t="str">
        <x:v>Длинное интервью</x:v>
      </x:c>
      <x:c r="Q216" s="9" t="str">
        <x:v>Нет</x:v>
      </x:c>
      <x:c r="R216" s="9" t="str">
        <x:v>C014</x:v>
      </x:c>
      <x:c r="S216" s="9" t="str">
        <x:v>C014</x:v>
      </x:c>
      <x:c r="T216" s="10" t="str">
        <x:v>כאן 11 - תאגיד השידור הישראלי</x:v>
      </x:c>
      <x:c r="U216" s="11" t="str">
        <x:v>https://www.youtube.com/watch?v=xcrPVQHoO3U</x:v>
      </x:c>
      <x:c r="V216" s="16" t="n">
        <x:v>46308</x:v>
      </x:c>
      <x:c r="W216" s="16"/>
      <x:c r="X216" s="10" t="str">
        <x:v>Иврит предполагается по заголовку и источнику</x:v>
      </x:c>
      <x:c r="Y216" s="10" t="str">
        <x:v>Не проверено</x:v>
      </x:c>
      <x:c r="Z216" s="10" t="str">
        <x:v>Не проверено</x:v>
      </x:c>
      <x:c r="AA216" s="10" t="str">
        <x:v>Метаданные списка; видео не просмотрено</x:v>
      </x:c>
      <x:c r="AB216" s="13" t="str">
        <x:f>IF(AND(ISNUMBER(H216),ISNUMBER(W216)),H216/MAX(1,'Обзор'!$B$4-W216),"")</x:f>
      </x:c>
      <x:c r="AC216" s="17" t="str">
        <x:v>Не решено</x:v>
      </x:c>
      <x:c r="AD216" s="17" t="str">
        <x:v>Не проверено</x:v>
      </x:c>
      <x:c r="AE216" s="17" t="str">
        <x:v>Не проверено</x:v>
      </x:c>
      <x:c r="AF216" s="17" t="str">
        <x:v>Не проверено</x:v>
      </x:c>
      <x:c r="AG216" s="17" t="str">
        <x:v>Не решено</x:v>
      </x:c>
      <x:c r="AH216" s="17" t="str">
        <x:v>Не проверено</x:v>
      </x:c>
      <x:c r="AI216" s="10" t="str">
        <x:f>IF(AC216="Отклонить","Отклонено",IF(AND(AC216="Взять",COUNTIFS(AD216:AH216,"Да")=5),"Готово","Нужна редактура"))</x:f>
        <x:v>Нужна редактура</x:v>
      </x:c>
      <x:c r="AJ216" s="17" t="str"/>
      <x:c r="AK216" s="9" t="str">
        <x:v>https://www.youtube.com/playlist?list=PLLttfoK87AdUPG7GyXfqeuHp7u27KjHCH</x:v>
      </x:c>
      <x:c r="AL216" s="9" t="n">
        <x:v>15</x:v>
      </x:c>
      <x:c r="AM216" s="9"/>
      <x:c r="AN216" s="9"/>
    </x:row>
    <x:row r="217" ht="60" customHeight="1">
      <x:c r="A217" s="9" t="str">
        <x:v>uJMpi6Vo_PU</x:v>
      </x:c>
      <x:c r="B217" s="10" t="str">
        <x:v>פגישה עם רוני קובן עונה 9 | נטע ברזילי</x:v>
      </x:c>
      <x:c r="C217" s="10" t="str">
        <x:v>Люди Израиля</x:v>
      </x:c>
      <x:c r="D217" s="9" t="str">
        <x:v>Интервью</x:v>
      </x:c>
      <x:c r="E217" s="10" t="str">
        <x:v>Интервью; культура; общество; продвинутые</x:v>
      </x:c>
      <x:c r="F217" s="10" t="str">
        <x:v>B2–C1 (гипотеза)</x:v>
      </x:c>
      <x:c r="G217" s="12" t="n">
        <x:v>30.9</x:v>
      </x:c>
      <x:c r="H217" s="14" t="n">
        <x:v>54000</x:v>
      </x:c>
      <x:c r="I217" s="15" t="str">
        <x:v>Округлённый счётчик в списке YouTube</x:v>
      </x:c>
      <x:c r="J217" s="14" t="n">
        <x:v>54000</x:v>
      </x:c>
      <x:c r="K217" s="14" t="n">
        <x:v>68000</x:v>
      </x:c>
      <x:c r="L217" s="12" t="n">
        <x:f>IF(COUNT(J217:K217)=2,IF(K217=0,"",J217/K217),"")</x:f>
        <x:v>0.7941176470588235</x:v>
      </x:c>
      <x:c r="M217" s="10" t="str">
        <x:v>Тема / гость: נטע ברזילי.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17" s="10" t="str">
        <x:v>Выбрать 5–8 минут: вопрос, уточнение, развёрнутый ответ. Сформулировать следующий вопрос.</x:v>
      </x:c>
      <x:c r="O217" s="10" t="str">
        <x:v>Взгляды гостя не равны установленным фактам; проверить чувствительные темы</x:v>
      </x:c>
      <x:c r="P217" s="10" t="str">
        <x:v>Длинное интервью</x:v>
      </x:c>
      <x:c r="Q217" s="9" t="str">
        <x:v>Нет</x:v>
      </x:c>
      <x:c r="R217" s="9" t="str">
        <x:v>C014</x:v>
      </x:c>
      <x:c r="S217" s="9" t="str">
        <x:v>C014</x:v>
      </x:c>
      <x:c r="T217" s="10" t="str">
        <x:v>כאן 11 - תאגיד השידור הישראלי</x:v>
      </x:c>
      <x:c r="U217" s="11" t="str">
        <x:v>https://www.youtube.com/watch?v=uJMpi6Vo_PU</x:v>
      </x:c>
      <x:c r="V217" s="16" t="n">
        <x:v>46308</x:v>
      </x:c>
      <x:c r="W217" s="16"/>
      <x:c r="X217" s="10" t="str">
        <x:v>Иврит предполагается по заголовку и источнику</x:v>
      </x:c>
      <x:c r="Y217" s="10" t="str">
        <x:v>Не проверено</x:v>
      </x:c>
      <x:c r="Z217" s="10" t="str">
        <x:v>Не проверено</x:v>
      </x:c>
      <x:c r="AA217" s="10" t="str">
        <x:v>Метаданные списка; видео не просмотрено</x:v>
      </x:c>
      <x:c r="AB217" s="13" t="str">
        <x:f>IF(AND(ISNUMBER(H217),ISNUMBER(W217)),H217/MAX(1,'Обзор'!$B$4-W217),"")</x:f>
      </x:c>
      <x:c r="AC217" s="17" t="str">
        <x:v>Не решено</x:v>
      </x:c>
      <x:c r="AD217" s="17" t="str">
        <x:v>Не проверено</x:v>
      </x:c>
      <x:c r="AE217" s="17" t="str">
        <x:v>Не проверено</x:v>
      </x:c>
      <x:c r="AF217" s="17" t="str">
        <x:v>Не проверено</x:v>
      </x:c>
      <x:c r="AG217" s="17" t="str">
        <x:v>Не решено</x:v>
      </x:c>
      <x:c r="AH217" s="17" t="str">
        <x:v>Не проверено</x:v>
      </x:c>
      <x:c r="AI217" s="10" t="str">
        <x:f>IF(AC217="Отклонить","Отклонено",IF(AND(AC217="Взять",COUNTIFS(AD217:AH217,"Да")=5),"Готово","Нужна редактура"))</x:f>
        <x:v>Нужна редактура</x:v>
      </x:c>
      <x:c r="AJ217" s="17" t="str"/>
      <x:c r="AK217" s="9" t="str">
        <x:v>https://www.youtube.com/playlist?list=PLLttfoK87AdUPG7GyXfqeuHp7u27KjHCH</x:v>
      </x:c>
      <x:c r="AL217" s="9" t="n">
        <x:v>16</x:v>
      </x:c>
      <x:c r="AM217" s="9"/>
      <x:c r="AN217" s="9"/>
    </x:row>
    <x:row r="218" ht="60" customHeight="1">
      <x:c r="A218" s="9" t="str">
        <x:v>Ayu98_JSeYk</x:v>
      </x:c>
      <x:c r="B218" s="10" t="str">
        <x:v>פגישה עם רוני קובן עונה 9 | שי גולדשטיין</x:v>
      </x:c>
      <x:c r="C218" s="10" t="str">
        <x:v>Люди Израиля</x:v>
      </x:c>
      <x:c r="D218" s="9" t="str">
        <x:v>Интервью</x:v>
      </x:c>
      <x:c r="E218" s="10" t="str">
        <x:v>Интервью; культура; общество; продвинутые</x:v>
      </x:c>
      <x:c r="F218" s="10" t="str">
        <x:v>B2–C1 (гипотеза)</x:v>
      </x:c>
      <x:c r="G218" s="12" t="n">
        <x:v>37.7</x:v>
      </x:c>
      <x:c r="H218" s="14" t="n">
        <x:v>72319</x:v>
      </x:c>
      <x:c r="I218" s="15" t="str">
        <x:v>Точный счётчик метаданных видео</x:v>
      </x:c>
      <x:c r="J218" s="14" t="n">
        <x:v>72000</x:v>
      </x:c>
      <x:c r="K218" s="14" t="n">
        <x:v>68000</x:v>
      </x:c>
      <x:c r="L218" s="12" t="n">
        <x:f>IF(COUNT(J218:K218)=2,IF(K218=0,"",J218/K218),"")</x:f>
        <x:v>1.0588235294117647</x:v>
      </x:c>
      <x:c r="M218" s="10" t="str">
        <x:v>Тема / гость: שי גולדשטיין.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18" s="10" t="str">
        <x:v>Выбрать 5–8 минут: вопрос, уточнение, развёрнутый ответ. Сформулировать следующий вопрос.</x:v>
      </x:c>
      <x:c r="O218" s="10" t="str">
        <x:v>Взгляды гостя не равны установленным фактам; проверить чувствительные темы</x:v>
      </x:c>
      <x:c r="P218" s="10" t="str">
        <x:v>Длинное интервью</x:v>
      </x:c>
      <x:c r="Q218" s="9" t="str">
        <x:v>Нет</x:v>
      </x:c>
      <x:c r="R218" s="9" t="str">
        <x:v>C014</x:v>
      </x:c>
      <x:c r="S218" s="9" t="str">
        <x:v>C014</x:v>
      </x:c>
      <x:c r="T218" s="10" t="str">
        <x:v>כאן 11 - תאגיד השידור הישראלי</x:v>
      </x:c>
      <x:c r="U218" s="11" t="str">
        <x:v>https://www.youtube.com/watch?v=Ayu98_JSeYk</x:v>
      </x:c>
      <x:c r="V218" s="16" t="n">
        <x:v>46308</x:v>
      </x:c>
      <x:c r="W218" s="16" t="n">
        <x:v>45717</x:v>
      </x:c>
      <x:c r="X218" s="10" t="str">
        <x:v>iw</x:v>
      </x:c>
      <x:c r="Y218" s="10" t="str">
        <x:v>Автоматическая дорожка HE по метаданным</x:v>
      </x:c>
      <x:c r="Z218" s="10" t="str">
        <x:v>Разрешено по метаданным</x:v>
      </x:c>
      <x:c r="AA218" s="10" t="str">
        <x:v>Метаданные видео; воспроизведение и содержание не проверены</x:v>
      </x:c>
      <x:c r="AB218" s="13" t="n">
        <x:f>IF(AND(ISNUMBER(H218),ISNUMBER(W218)),H218/MAX(1,'Обзор'!$B$4-W218),"")</x:f>
        <x:v>122.36717428087987</x:v>
      </x:c>
      <x:c r="AC218" s="17" t="str">
        <x:v>Не решено</x:v>
      </x:c>
      <x:c r="AD218" s="17" t="str">
        <x:v>Не проверено</x:v>
      </x:c>
      <x:c r="AE218" s="17" t="str">
        <x:v>Не проверено</x:v>
      </x:c>
      <x:c r="AF218" s="17" t="str">
        <x:v>Не проверено</x:v>
      </x:c>
      <x:c r="AG218" s="17" t="str">
        <x:v>Не решено</x:v>
      </x:c>
      <x:c r="AH218" s="17" t="str">
        <x:v>Не проверено</x:v>
      </x:c>
      <x:c r="AI218" s="10" t="str">
        <x:f>IF(AC218="Отклонить","Отклонено",IF(AND(AC218="Взять",COUNTIFS(AD218:AH218,"Да")=5),"Готово","Нужна редактура"))</x:f>
        <x:v>Нужна редактура</x:v>
      </x:c>
      <x:c r="AJ218" s="17" t="str"/>
      <x:c r="AK218" s="9" t="str">
        <x:v>https://www.youtube.com/playlist?list=PLLttfoK87AdUPG7GyXfqeuHp7u27KjHCH</x:v>
      </x:c>
      <x:c r="AL218" s="9" t="n">
        <x:v>17</x:v>
      </x:c>
      <x:c r="AM218" s="9"/>
      <x:c r="AN218" s="9" t="n">
        <x:v>0</x:v>
      </x:c>
    </x:row>
    <x:row r="219" ht="60" customHeight="1">
      <x:c r="A219" s="9" t="str">
        <x:v>IOnkAsxodPA</x:v>
      </x:c>
      <x:c r="B219" s="10" t="str">
        <x:v>פגישה עם רוני קובן עונה 9 | ישראל זיו</x:v>
      </x:c>
      <x:c r="C219" s="10" t="str">
        <x:v>Люди Израиля</x:v>
      </x:c>
      <x:c r="D219" s="9" t="str">
        <x:v>Интервью</x:v>
      </x:c>
      <x:c r="E219" s="10" t="str">
        <x:v>Интервью; культура; общество; продвинутые</x:v>
      </x:c>
      <x:c r="F219" s="10" t="str">
        <x:v>B2–C1 (гипотеза)</x:v>
      </x:c>
      <x:c r="G219" s="12" t="n">
        <x:v>40.1</x:v>
      </x:c>
      <x:c r="H219" s="14" t="n">
        <x:v>46000</x:v>
      </x:c>
      <x:c r="I219" s="15" t="str">
        <x:v>Округлённый счётчик в списке YouTube</x:v>
      </x:c>
      <x:c r="J219" s="14" t="n">
        <x:v>46000</x:v>
      </x:c>
      <x:c r="K219" s="14" t="n">
        <x:v>68000</x:v>
      </x:c>
      <x:c r="L219" s="12" t="n">
        <x:f>IF(COUNT(J219:K219)=2,IF(K219=0,"",J219/K219),"")</x:f>
        <x:v>0.6764705882352942</x:v>
      </x:c>
      <x:c r="M219" s="10" t="str">
        <x:v>Тема / гость: ישראל זיו.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19" s="10" t="str">
        <x:v>Выбрать 5–8 минут: вопрос, уточнение, развёрнутый ответ. Сформулировать следующий вопрос.</x:v>
      </x:c>
      <x:c r="O219" s="10" t="str">
        <x:v>Взгляды гостя не равны установленным фактам; проверить чувствительные темы</x:v>
      </x:c>
      <x:c r="P219" s="10" t="str">
        <x:v>Длинное интервью</x:v>
      </x:c>
      <x:c r="Q219" s="9" t="str">
        <x:v>Нет</x:v>
      </x:c>
      <x:c r="R219" s="9" t="str">
        <x:v>C014</x:v>
      </x:c>
      <x:c r="S219" s="9" t="str">
        <x:v>C014</x:v>
      </x:c>
      <x:c r="T219" s="10" t="str">
        <x:v>כאן 11 - תאגיד השידור הישראלי</x:v>
      </x:c>
      <x:c r="U219" s="11" t="str">
        <x:v>https://www.youtube.com/watch?v=IOnkAsxodPA</x:v>
      </x:c>
      <x:c r="V219" s="16" t="n">
        <x:v>46308</x:v>
      </x:c>
      <x:c r="W219" s="16"/>
      <x:c r="X219" s="10" t="str">
        <x:v>Иврит предполагается по заголовку и источнику</x:v>
      </x:c>
      <x:c r="Y219" s="10" t="str">
        <x:v>Не проверено</x:v>
      </x:c>
      <x:c r="Z219" s="10" t="str">
        <x:v>Не проверено</x:v>
      </x:c>
      <x:c r="AA219" s="10" t="str">
        <x:v>Метаданные списка; видео не просмотрено</x:v>
      </x:c>
      <x:c r="AB219" s="13" t="str">
        <x:f>IF(AND(ISNUMBER(H219),ISNUMBER(W219)),H219/MAX(1,'Обзор'!$B$4-W219),"")</x:f>
      </x:c>
      <x:c r="AC219" s="17" t="str">
        <x:v>Не решено</x:v>
      </x:c>
      <x:c r="AD219" s="17" t="str">
        <x:v>Не проверено</x:v>
      </x:c>
      <x:c r="AE219" s="17" t="str">
        <x:v>Не проверено</x:v>
      </x:c>
      <x:c r="AF219" s="17" t="str">
        <x:v>Не проверено</x:v>
      </x:c>
      <x:c r="AG219" s="17" t="str">
        <x:v>Не решено</x:v>
      </x:c>
      <x:c r="AH219" s="17" t="str">
        <x:v>Не проверено</x:v>
      </x:c>
      <x:c r="AI219" s="10" t="str">
        <x:f>IF(AC219="Отклонить","Отклонено",IF(AND(AC219="Взять",COUNTIFS(AD219:AH219,"Да")=5),"Готово","Нужна редактура"))</x:f>
        <x:v>Нужна редактура</x:v>
      </x:c>
      <x:c r="AJ219" s="17" t="str"/>
      <x:c r="AK219" s="9" t="str">
        <x:v>https://www.youtube.com/playlist?list=PLLttfoK87AdUPG7GyXfqeuHp7u27KjHCH</x:v>
      </x:c>
      <x:c r="AL219" s="9" t="n">
        <x:v>18</x:v>
      </x:c>
      <x:c r="AM219" s="9"/>
      <x:c r="AN219" s="9"/>
    </x:row>
    <x:row r="220" ht="60" customHeight="1">
      <x:c r="A220" s="9" t="str">
        <x:v>80UiN8kj6z0</x:v>
      </x:c>
      <x:c r="B220" s="10" t="str">
        <x:v>פגישה עם רוני קובן עונה 9 | יורם כהן</x:v>
      </x:c>
      <x:c r="C220" s="10" t="str">
        <x:v>Люди Израиля</x:v>
      </x:c>
      <x:c r="D220" s="9" t="str">
        <x:v>Интервью</x:v>
      </x:c>
      <x:c r="E220" s="10" t="str">
        <x:v>Интервью; культура; общество; продвинутые</x:v>
      </x:c>
      <x:c r="F220" s="10" t="str">
        <x:v>B2–C1 (гипотеза)</x:v>
      </x:c>
      <x:c r="G220" s="12" t="n">
        <x:v>43.7</x:v>
      </x:c>
      <x:c r="H220" s="14" t="n">
        <x:v>74000</x:v>
      </x:c>
      <x:c r="I220" s="15" t="str">
        <x:v>Округлённый счётчик в списке YouTube</x:v>
      </x:c>
      <x:c r="J220" s="14" t="n">
        <x:v>74000</x:v>
      </x:c>
      <x:c r="K220" s="14" t="n">
        <x:v>68000</x:v>
      </x:c>
      <x:c r="L220" s="12" t="n">
        <x:f>IF(COUNT(J220:K220)=2,IF(K220=0,"",J220/K220),"")</x:f>
        <x:v>1.088235294117647</x:v>
      </x:c>
      <x:c r="M220" s="10" t="str">
        <x:v>Тема / гость: יורם כהן.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20" s="10" t="str">
        <x:v>Выбрать 5–8 минут: вопрос, уточнение, развёрнутый ответ. Сформулировать следующий вопрос.</x:v>
      </x:c>
      <x:c r="O220" s="10" t="str">
        <x:v>Взгляды гостя не равны установленным фактам; проверить чувствительные темы</x:v>
      </x:c>
      <x:c r="P220" s="10" t="str">
        <x:v>Длинное интервью</x:v>
      </x:c>
      <x:c r="Q220" s="9" t="str">
        <x:v>Да</x:v>
      </x:c>
      <x:c r="R220" s="9" t="str">
        <x:v>C014</x:v>
      </x:c>
      <x:c r="S220" s="9" t="str">
        <x:v>C014</x:v>
      </x:c>
      <x:c r="T220" s="10" t="str">
        <x:v>כאן 11 - תאגיד השידור הישראלי</x:v>
      </x:c>
      <x:c r="U220" s="11" t="str">
        <x:v>https://www.youtube.com/watch?v=80UiN8kj6z0</x:v>
      </x:c>
      <x:c r="V220" s="16" t="n">
        <x:v>46308</x:v>
      </x:c>
      <x:c r="W220" s="16"/>
      <x:c r="X220" s="10" t="str">
        <x:v>Иврит предполагается по заголовку и источнику</x:v>
      </x:c>
      <x:c r="Y220" s="10" t="str">
        <x:v>Не проверено</x:v>
      </x:c>
      <x:c r="Z220" s="10" t="str">
        <x:v>Не проверено</x:v>
      </x:c>
      <x:c r="AA220" s="10" t="str">
        <x:v>Метаданные списка; видео не просмотрено</x:v>
      </x:c>
      <x:c r="AB220" s="13" t="str">
        <x:f>IF(AND(ISNUMBER(H220),ISNUMBER(W220)),H220/MAX(1,'Обзор'!$B$4-W220),"")</x:f>
      </x:c>
      <x:c r="AC220" s="17" t="str">
        <x:v>Не решено</x:v>
      </x:c>
      <x:c r="AD220" s="17" t="str">
        <x:v>Не проверено</x:v>
      </x:c>
      <x:c r="AE220" s="17" t="str">
        <x:v>Не проверено</x:v>
      </x:c>
      <x:c r="AF220" s="17" t="str">
        <x:v>Не проверено</x:v>
      </x:c>
      <x:c r="AG220" s="17" t="str">
        <x:v>Не решено</x:v>
      </x:c>
      <x:c r="AH220" s="17" t="str">
        <x:v>Не проверено</x:v>
      </x:c>
      <x:c r="AI220" s="10" t="str">
        <x:f>IF(AC220="Отклонить","Отклонено",IF(AND(AC220="Взять",COUNTIFS(AD220:AH220,"Да")=5),"Готово","Нужна редактура"))</x:f>
        <x:v>Нужна редактура</x:v>
      </x:c>
      <x:c r="AJ220" s="17" t="str"/>
      <x:c r="AK220" s="9" t="str">
        <x:v>https://www.youtube.com/playlist?list=PLLttfoK87AdUPG7GyXfqeuHp7u27KjHCH</x:v>
      </x:c>
      <x:c r="AL220" s="9" t="n">
        <x:v>19</x:v>
      </x:c>
      <x:c r="AM220" s="9"/>
      <x:c r="AN220" s="9"/>
    </x:row>
    <x:row r="221" ht="60" customHeight="1">
      <x:c r="A221" s="9" t="str">
        <x:v>sJd84-Cg2OI</x:v>
      </x:c>
      <x:c r="B221" s="10" t="str">
        <x:v>פגישה עם רוני קובן עונה 9 | יאיר גולן</x:v>
      </x:c>
      <x:c r="C221" s="10" t="str">
        <x:v>Люди Израиля</x:v>
      </x:c>
      <x:c r="D221" s="9" t="str">
        <x:v>Интервью</x:v>
      </x:c>
      <x:c r="E221" s="10" t="str">
        <x:v>Интервью; культура; общество; продвинутые</x:v>
      </x:c>
      <x:c r="F221" s="10" t="str">
        <x:v>B2–C1 (гипотеза)</x:v>
      </x:c>
      <x:c r="G221" s="12" t="n">
        <x:v>39.1</x:v>
      </x:c>
      <x:c r="H221" s="14" t="n">
        <x:v>149000</x:v>
      </x:c>
      <x:c r="I221" s="15" t="str">
        <x:v>Округлённый счётчик в списке YouTube</x:v>
      </x:c>
      <x:c r="J221" s="14" t="n">
        <x:v>149000</x:v>
      </x:c>
      <x:c r="K221" s="14" t="n">
        <x:v>68000</x:v>
      </x:c>
      <x:c r="L221" s="12" t="n">
        <x:f>IF(COUNT(J221:K221)=2,IF(K221=0,"",J221/K221),"")</x:f>
        <x:v>2.1911764705882355</x:v>
      </x:c>
      <x:c r="M221" s="10" t="str">
        <x:v>Тема / гость: יאיר גולן. Просмотры в списке выше медианы выборки этого цикла в 2.19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21" s="10" t="str">
        <x:v>Выбрать 5–8 минут: вопрос, уточнение, развёрнутый ответ. Сформулировать следующий вопрос.</x:v>
      </x:c>
      <x:c r="O221" s="10" t="str">
        <x:v>Взгляды гостя не равны установленным фактам; проверить чувствительные темы</x:v>
      </x:c>
      <x:c r="P221" s="10" t="str">
        <x:v>Длинное интервью</x:v>
      </x:c>
      <x:c r="Q221" s="9" t="str">
        <x:v>Да</x:v>
      </x:c>
      <x:c r="R221" s="9" t="str">
        <x:v>C014</x:v>
      </x:c>
      <x:c r="S221" s="9" t="str">
        <x:v>C014</x:v>
      </x:c>
      <x:c r="T221" s="10" t="str">
        <x:v>כאן 11 - תאגיד השידור הישראלי</x:v>
      </x:c>
      <x:c r="U221" s="11" t="str">
        <x:v>https://www.youtube.com/watch?v=sJd84-Cg2OI</x:v>
      </x:c>
      <x:c r="V221" s="16" t="n">
        <x:v>46308</x:v>
      </x:c>
      <x:c r="W221" s="16"/>
      <x:c r="X221" s="10" t="str">
        <x:v>Иврит предполагается по заголовку и источнику</x:v>
      </x:c>
      <x:c r="Y221" s="10" t="str">
        <x:v>Не проверено</x:v>
      </x:c>
      <x:c r="Z221" s="10" t="str">
        <x:v>Не проверено</x:v>
      </x:c>
      <x:c r="AA221" s="10" t="str">
        <x:v>Метаданные списка; видео не просмотрено</x:v>
      </x:c>
      <x:c r="AB221" s="13" t="str">
        <x:f>IF(AND(ISNUMBER(H221),ISNUMBER(W221)),H221/MAX(1,'Обзор'!$B$4-W221),"")</x:f>
      </x:c>
      <x:c r="AC221" s="17" t="str">
        <x:v>Не решено</x:v>
      </x:c>
      <x:c r="AD221" s="17" t="str">
        <x:v>Не проверено</x:v>
      </x:c>
      <x:c r="AE221" s="17" t="str">
        <x:v>Не проверено</x:v>
      </x:c>
      <x:c r="AF221" s="17" t="str">
        <x:v>Не проверено</x:v>
      </x:c>
      <x:c r="AG221" s="17" t="str">
        <x:v>Не решено</x:v>
      </x:c>
      <x:c r="AH221" s="17" t="str">
        <x:v>Не проверено</x:v>
      </x:c>
      <x:c r="AI221" s="10" t="str">
        <x:f>IF(AC221="Отклонить","Отклонено",IF(AND(AC221="Взять",COUNTIFS(AD221:AH221,"Да")=5),"Готово","Нужна редактура"))</x:f>
        <x:v>Нужна редактура</x:v>
      </x:c>
      <x:c r="AJ221" s="17" t="str"/>
      <x:c r="AK221" s="9" t="str">
        <x:v>https://www.youtube.com/playlist?list=PLLttfoK87AdUPG7GyXfqeuHp7u27KjHCH</x:v>
      </x:c>
      <x:c r="AL221" s="9" t="n">
        <x:v>20</x:v>
      </x:c>
      <x:c r="AM221" s="9"/>
      <x:c r="AN221" s="9"/>
    </x:row>
    <x:row r="222" ht="60" customHeight="1">
      <x:c r="A222" s="9" t="str">
        <x:v>C5EiLhfvisg</x:v>
      </x:c>
      <x:c r="B222" s="10" t="str">
        <x:v>פגישה עם רוני קובן עונה 9 | עינב צנגאוקר</x:v>
      </x:c>
      <x:c r="C222" s="10" t="str">
        <x:v>Люди Израиля</x:v>
      </x:c>
      <x:c r="D222" s="9" t="str">
        <x:v>Интервью</x:v>
      </x:c>
      <x:c r="E222" s="10" t="str">
        <x:v>Интервью; культура; общество; продвинутые</x:v>
      </x:c>
      <x:c r="F222" s="10" t="str">
        <x:v>B2–C1 (гипотеза)</x:v>
      </x:c>
      <x:c r="G222" s="12" t="n">
        <x:v>48.8</x:v>
      </x:c>
      <x:c r="H222" s="14" t="n">
        <x:v>84222</x:v>
      </x:c>
      <x:c r="I222" s="15" t="str">
        <x:v>Точный счётчик метаданных видео</x:v>
      </x:c>
      <x:c r="J222" s="14" t="n">
        <x:v>84000</x:v>
      </x:c>
      <x:c r="K222" s="14" t="n">
        <x:v>68000</x:v>
      </x:c>
      <x:c r="L222" s="12" t="n">
        <x:f>IF(COUNT(J222:K222)=2,IF(K222=0,"",J222/K222),"")</x:f>
        <x:v>1.2352941176470589</x:v>
      </x:c>
      <x:c r="M222" s="10" t="str">
        <x:v>Тема / гость: עינב צנגאוקר.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22" s="10" t="str">
        <x:v>Выбрать 5–8 минут: вопрос, уточнение, развёрнутый ответ. Сформулировать следующий вопрос.</x:v>
      </x:c>
      <x:c r="O222" s="10" t="str">
        <x:v>Взгляды гостя не равны установленным фактам; проверить чувствительные темы</x:v>
      </x:c>
      <x:c r="P222" s="10" t="str">
        <x:v>Длинное интервью</x:v>
      </x:c>
      <x:c r="Q222" s="9" t="str">
        <x:v>Нет</x:v>
      </x:c>
      <x:c r="R222" s="9" t="str">
        <x:v>C014</x:v>
      </x:c>
      <x:c r="S222" s="9" t="str">
        <x:v>C014</x:v>
      </x:c>
      <x:c r="T222" s="10" t="str">
        <x:v>כאן 11 - תאגיד השידור הישראלי</x:v>
      </x:c>
      <x:c r="U222" s="11" t="str">
        <x:v>https://www.youtube.com/watch?v=C5EiLhfvisg</x:v>
      </x:c>
      <x:c r="V222" s="16" t="n">
        <x:v>46308</x:v>
      </x:c>
      <x:c r="W222" s="16" t="n">
        <x:v>45673</x:v>
      </x:c>
      <x:c r="X222" s="10" t="str">
        <x:v>iw</x:v>
      </x:c>
      <x:c r="Y222" s="10" t="str">
        <x:v>Автоматическая дорожка HE по метаданным</x:v>
      </x:c>
      <x:c r="Z222" s="10" t="str">
        <x:v>Разрешено по метаданным</x:v>
      </x:c>
      <x:c r="AA222" s="10" t="str">
        <x:v>Метаданные видео; воспроизведение и содержание не проверены</x:v>
      </x:c>
      <x:c r="AB222" s="13" t="n">
        <x:f>IF(AND(ISNUMBER(H222),ISNUMBER(W222)),H222/MAX(1,'Обзор'!$B$4-W222),"")</x:f>
        <x:v>132.63307086614174</x:v>
      </x:c>
      <x:c r="AC222" s="17" t="str">
        <x:v>Не решено</x:v>
      </x:c>
      <x:c r="AD222" s="17" t="str">
        <x:v>Не проверено</x:v>
      </x:c>
      <x:c r="AE222" s="17" t="str">
        <x:v>Не проверено</x:v>
      </x:c>
      <x:c r="AF222" s="17" t="str">
        <x:v>Не проверено</x:v>
      </x:c>
      <x:c r="AG222" s="17" t="str">
        <x:v>Не решено</x:v>
      </x:c>
      <x:c r="AH222" s="17" t="str">
        <x:v>Не проверено</x:v>
      </x:c>
      <x:c r="AI222" s="10" t="str">
        <x:f>IF(AC222="Отклонить","Отклонено",IF(AND(AC222="Взять",COUNTIFS(AD222:AH222,"Да")=5),"Готово","Нужна редактура"))</x:f>
        <x:v>Нужна редактура</x:v>
      </x:c>
      <x:c r="AJ222" s="17" t="str"/>
      <x:c r="AK222" s="9" t="str">
        <x:v>https://www.youtube.com/playlist?list=PLLttfoK87AdUPG7GyXfqeuHp7u27KjHCH</x:v>
      </x:c>
      <x:c r="AL222" s="9" t="n">
        <x:v>21</x:v>
      </x:c>
      <x:c r="AM222" s="9"/>
      <x:c r="AN222" s="9" t="n">
        <x:v>0</x:v>
      </x:c>
    </x:row>
    <x:row r="223" ht="60" customHeight="1">
      <x:c r="A223" s="9" t="str">
        <x:v>xuaQqj6yyUs</x:v>
      </x:c>
      <x:c r="B223" s="10" t="str">
        <x:v>פגישה עם רוני קובן עונה 9 | ישי ריבו</x:v>
      </x:c>
      <x:c r="C223" s="10" t="str">
        <x:v>Люди Израиля</x:v>
      </x:c>
      <x:c r="D223" s="9" t="str">
        <x:v>Интервью</x:v>
      </x:c>
      <x:c r="E223" s="10" t="str">
        <x:v>Интервью; культура; общество; продвинутые</x:v>
      </x:c>
      <x:c r="F223" s="10" t="str">
        <x:v>B2–C1 (гипотеза)</x:v>
      </x:c>
      <x:c r="G223" s="12" t="n">
        <x:v>30</x:v>
      </x:c>
      <x:c r="H223" s="14" t="n">
        <x:v>106394</x:v>
      </x:c>
      <x:c r="I223" s="15" t="str">
        <x:v>Точный счётчик метаданных видео</x:v>
      </x:c>
      <x:c r="J223" s="14" t="n">
        <x:v>106000</x:v>
      </x:c>
      <x:c r="K223" s="14" t="n">
        <x:v>68000</x:v>
      </x:c>
      <x:c r="L223" s="12" t="n">
        <x:f>IF(COUNT(J223:K223)=2,IF(K223=0,"",J223/K223),"")</x:f>
        <x:v>1.5588235294117647</x:v>
      </x:c>
      <x:c r="M223" s="10" t="str">
        <x:v>Тема / гость: ישי ריבו. Просмотры в списке выше медианы выборки этого цикла в 1.56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23" s="10" t="str">
        <x:v>Выбрать 5–8 минут: вопрос, уточнение, развёрнутый ответ. Сформулировать следующий вопрос.</x:v>
      </x:c>
      <x:c r="O223" s="10" t="str">
        <x:v>Взгляды гостя не равны установленным фактам; проверить чувствительные темы</x:v>
      </x:c>
      <x:c r="P223" s="10" t="str">
        <x:v>Длинное интервью</x:v>
      </x:c>
      <x:c r="Q223" s="9" t="str">
        <x:v>Нет</x:v>
      </x:c>
      <x:c r="R223" s="9" t="str">
        <x:v>C014</x:v>
      </x:c>
      <x:c r="S223" s="9" t="str">
        <x:v>C014</x:v>
      </x:c>
      <x:c r="T223" s="10" t="str">
        <x:v>כאן 11 - תאגיד השידור הישראלי</x:v>
      </x:c>
      <x:c r="U223" s="11" t="str">
        <x:v>https://www.youtube.com/watch?v=xuaQqj6yyUs</x:v>
      </x:c>
      <x:c r="V223" s="16" t="n">
        <x:v>46308</x:v>
      </x:c>
      <x:c r="W223" s="16" t="n">
        <x:v>45668</x:v>
      </x:c>
      <x:c r="X223" s="10" t="str">
        <x:v>Иврит предполагается по заголовку и источнику</x:v>
      </x:c>
      <x:c r="Y223" s="10" t="str">
        <x:v>Автоматическая дорожка HE по метаданным</x:v>
      </x:c>
      <x:c r="Z223" s="10" t="str">
        <x:v>Разрешено по метаданным</x:v>
      </x:c>
      <x:c r="AA223" s="10" t="str">
        <x:v>Метаданные видео; воспроизведение и содержание не проверены</x:v>
      </x:c>
      <x:c r="AB223" s="13" t="n">
        <x:f>IF(AND(ISNUMBER(H223),ISNUMBER(W223)),H223/MAX(1,'Обзор'!$B$4-W223),"")</x:f>
        <x:v>166.240625</x:v>
      </x:c>
      <x:c r="AC223" s="17" t="str">
        <x:v>Не решено</x:v>
      </x:c>
      <x:c r="AD223" s="17" t="str">
        <x:v>Не проверено</x:v>
      </x:c>
      <x:c r="AE223" s="17" t="str">
        <x:v>Не проверено</x:v>
      </x:c>
      <x:c r="AF223" s="17" t="str">
        <x:v>Не проверено</x:v>
      </x:c>
      <x:c r="AG223" s="17" t="str">
        <x:v>Не решено</x:v>
      </x:c>
      <x:c r="AH223" s="17" t="str">
        <x:v>Не проверено</x:v>
      </x:c>
      <x:c r="AI223" s="10" t="str">
        <x:f>IF(AC223="Отклонить","Отклонено",IF(AND(AC223="Взять",COUNTIFS(AD223:AH223,"Да")=5),"Готово","Нужна редактура"))</x:f>
        <x:v>Нужна редактура</x:v>
      </x:c>
      <x:c r="AJ223" s="17" t="str"/>
      <x:c r="AK223" s="9" t="str">
        <x:v>https://www.youtube.com/playlist?list=PLLttfoK87AdUPG7GyXfqeuHp7u27KjHCH</x:v>
      </x:c>
      <x:c r="AL223" s="9" t="n">
        <x:v>22</x:v>
      </x:c>
      <x:c r="AM223" s="9"/>
      <x:c r="AN223" s="9" t="n">
        <x:v>0</x:v>
      </x:c>
    </x:row>
    <x:row r="224" ht="60" customHeight="1">
      <x:c r="A224" s="9" t="str">
        <x:v>-njmlgs4mPo</x:v>
      </x:c>
      <x:c r="B224" s="10" t="str">
        <x:v>פגישה עם רוני קובן עונה 9 | קרן נויבך</x:v>
      </x:c>
      <x:c r="C224" s="10" t="str">
        <x:v>Люди Израиля</x:v>
      </x:c>
      <x:c r="D224" s="9" t="str">
        <x:v>Интервью</x:v>
      </x:c>
      <x:c r="E224" s="10" t="str">
        <x:v>Интервью; культура; общество; продвинутые</x:v>
      </x:c>
      <x:c r="F224" s="10" t="str">
        <x:v>B2–C1 (гипотеза)</x:v>
      </x:c>
      <x:c r="G224" s="12" t="n">
        <x:v>29.7</x:v>
      </x:c>
      <x:c r="H224" s="14" t="n">
        <x:v>36000</x:v>
      </x:c>
      <x:c r="I224" s="15" t="str">
        <x:v>Округлённый счётчик в списке YouTube</x:v>
      </x:c>
      <x:c r="J224" s="14" t="n">
        <x:v>36000</x:v>
      </x:c>
      <x:c r="K224" s="14" t="n">
        <x:v>68000</x:v>
      </x:c>
      <x:c r="L224" s="12" t="n">
        <x:f>IF(COUNT(J224:K224)=2,IF(K224=0,"",J224/K224),"")</x:f>
        <x:v>0.5294117647058824</x:v>
      </x:c>
      <x:c r="M224" s="10" t="str">
        <x:v>Тема / гость: קרן נויבך.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24" s="10" t="str">
        <x:v>Выбрать 5–8 минут: вопрос, уточнение, развёрнутый ответ. Сформулировать следующий вопрос.</x:v>
      </x:c>
      <x:c r="O224" s="10" t="str">
        <x:v>Взгляды гостя не равны установленным фактам; проверить чувствительные темы</x:v>
      </x:c>
      <x:c r="P224" s="10" t="str">
        <x:v>Длинное интервью</x:v>
      </x:c>
      <x:c r="Q224" s="9" t="str">
        <x:v>Нет</x:v>
      </x:c>
      <x:c r="R224" s="9" t="str">
        <x:v>C014</x:v>
      </x:c>
      <x:c r="S224" s="9" t="str">
        <x:v>C014</x:v>
      </x:c>
      <x:c r="T224" s="10" t="str">
        <x:v>כאן 11 - תאגיד השידור הישראלי</x:v>
      </x:c>
      <x:c r="U224" s="11" t="str">
        <x:v>https://www.youtube.com/watch?v=-njmlgs4mPo</x:v>
      </x:c>
      <x:c r="V224" s="16" t="n">
        <x:v>46308</x:v>
      </x:c>
      <x:c r="W224" s="16"/>
      <x:c r="X224" s="10" t="str">
        <x:v>Иврит предполагается по заголовку и источнику</x:v>
      </x:c>
      <x:c r="Y224" s="10" t="str">
        <x:v>Не проверено</x:v>
      </x:c>
      <x:c r="Z224" s="10" t="str">
        <x:v>Не проверено</x:v>
      </x:c>
      <x:c r="AA224" s="10" t="str">
        <x:v>Метаданные списка; видео не просмотрено</x:v>
      </x:c>
      <x:c r="AB224" s="13" t="str">
        <x:f>IF(AND(ISNUMBER(H224),ISNUMBER(W224)),H224/MAX(1,'Обзор'!$B$4-W224),"")</x:f>
      </x:c>
      <x:c r="AC224" s="17" t="str">
        <x:v>Не решено</x:v>
      </x:c>
      <x:c r="AD224" s="17" t="str">
        <x:v>Не проверено</x:v>
      </x:c>
      <x:c r="AE224" s="17" t="str">
        <x:v>Не проверено</x:v>
      </x:c>
      <x:c r="AF224" s="17" t="str">
        <x:v>Не проверено</x:v>
      </x:c>
      <x:c r="AG224" s="17" t="str">
        <x:v>Не решено</x:v>
      </x:c>
      <x:c r="AH224" s="17" t="str">
        <x:v>Не проверено</x:v>
      </x:c>
      <x:c r="AI224" s="10" t="str">
        <x:f>IF(AC224="Отклонить","Отклонено",IF(AND(AC224="Взять",COUNTIFS(AD224:AH224,"Да")=5),"Готово","Нужна редактура"))</x:f>
        <x:v>Нужна редактура</x:v>
      </x:c>
      <x:c r="AJ224" s="17" t="str"/>
      <x:c r="AK224" s="9" t="str">
        <x:v>https://www.youtube.com/playlist?list=PLLttfoK87AdUPG7GyXfqeuHp7u27KjHCH</x:v>
      </x:c>
      <x:c r="AL224" s="9" t="n">
        <x:v>23</x:v>
      </x:c>
      <x:c r="AM224" s="9"/>
      <x:c r="AN224" s="9"/>
    </x:row>
    <x:row r="225" ht="60" customHeight="1">
      <x:c r="A225" s="9" t="str">
        <x:v>9Qau7Hc1p6Y</x:v>
      </x:c>
      <x:c r="B225" s="10" t="str">
        <x:v>פגישה עם רוני קובן עונה 9 | טוביה צפיר</x:v>
      </x:c>
      <x:c r="C225" s="10" t="str">
        <x:v>Люди Израиля</x:v>
      </x:c>
      <x:c r="D225" s="9" t="str">
        <x:v>Интервью</x:v>
      </x:c>
      <x:c r="E225" s="10" t="str">
        <x:v>Интервью; культура; общество; продвинутые</x:v>
      </x:c>
      <x:c r="F225" s="10" t="str">
        <x:v>B2–C1 (гипотеза)</x:v>
      </x:c>
      <x:c r="G225" s="12" t="n">
        <x:v>29.8</x:v>
      </x:c>
      <x:c r="H225" s="14" t="n">
        <x:v>41000</x:v>
      </x:c>
      <x:c r="I225" s="15" t="str">
        <x:v>Округлённый счётчик в списке YouTube</x:v>
      </x:c>
      <x:c r="J225" s="14" t="n">
        <x:v>41000</x:v>
      </x:c>
      <x:c r="K225" s="14" t="n">
        <x:v>68000</x:v>
      </x:c>
      <x:c r="L225" s="12" t="n">
        <x:f>IF(COUNT(J225:K225)=2,IF(K225=0,"",J225/K225),"")</x:f>
        <x:v>0.6029411764705882</x:v>
      </x:c>
      <x:c r="M225" s="10" t="str">
        <x:v>Тема / гость: טוביה צפיר.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25" s="10" t="str">
        <x:v>Выбрать 5–8 минут: вопрос, уточнение, развёрнутый ответ. Сформулировать следующий вопрос.</x:v>
      </x:c>
      <x:c r="O225" s="10" t="str">
        <x:v>Взгляды гостя не равны установленным фактам; проверить чувствительные темы</x:v>
      </x:c>
      <x:c r="P225" s="10" t="str">
        <x:v>Длинное интервью</x:v>
      </x:c>
      <x:c r="Q225" s="9" t="str">
        <x:v>Нет</x:v>
      </x:c>
      <x:c r="R225" s="9" t="str">
        <x:v>C014</x:v>
      </x:c>
      <x:c r="S225" s="9" t="str">
        <x:v>C014</x:v>
      </x:c>
      <x:c r="T225" s="10" t="str">
        <x:v>כאן 11 - תאגיד השידור הישראלי</x:v>
      </x:c>
      <x:c r="U225" s="11" t="str">
        <x:v>https://www.youtube.com/watch?v=9Qau7Hc1p6Y</x:v>
      </x:c>
      <x:c r="V225" s="16" t="n">
        <x:v>46308</x:v>
      </x:c>
      <x:c r="W225" s="16"/>
      <x:c r="X225" s="10" t="str">
        <x:v>Иврит предполагается по заголовку и источнику</x:v>
      </x:c>
      <x:c r="Y225" s="10" t="str">
        <x:v>Не проверено</x:v>
      </x:c>
      <x:c r="Z225" s="10" t="str">
        <x:v>Не проверено</x:v>
      </x:c>
      <x:c r="AA225" s="10" t="str">
        <x:v>Метаданные списка; видео не просмотрено</x:v>
      </x:c>
      <x:c r="AB225" s="13" t="str">
        <x:f>IF(AND(ISNUMBER(H225),ISNUMBER(W225)),H225/MAX(1,'Обзор'!$B$4-W225),"")</x:f>
      </x:c>
      <x:c r="AC225" s="17" t="str">
        <x:v>Не решено</x:v>
      </x:c>
      <x:c r="AD225" s="17" t="str">
        <x:v>Не проверено</x:v>
      </x:c>
      <x:c r="AE225" s="17" t="str">
        <x:v>Не проверено</x:v>
      </x:c>
      <x:c r="AF225" s="17" t="str">
        <x:v>Не проверено</x:v>
      </x:c>
      <x:c r="AG225" s="17" t="str">
        <x:v>Не решено</x:v>
      </x:c>
      <x:c r="AH225" s="17" t="str">
        <x:v>Не проверено</x:v>
      </x:c>
      <x:c r="AI225" s="10" t="str">
        <x:f>IF(AC225="Отклонить","Отклонено",IF(AND(AC225="Взять",COUNTIFS(AD225:AH225,"Да")=5),"Готово","Нужна редактура"))</x:f>
        <x:v>Нужна редактура</x:v>
      </x:c>
      <x:c r="AJ225" s="17" t="str"/>
      <x:c r="AK225" s="9" t="str">
        <x:v>https://www.youtube.com/playlist?list=PLLttfoK87AdUPG7GyXfqeuHp7u27KjHCH</x:v>
      </x:c>
      <x:c r="AL225" s="9" t="n">
        <x:v>24</x:v>
      </x:c>
      <x:c r="AM225" s="9"/>
      <x:c r="AN225" s="9"/>
    </x:row>
    <x:row r="226" ht="60" customHeight="1">
      <x:c r="A226" s="9" t="str">
        <x:v>uVl0z-yOZhA</x:v>
      </x:c>
      <x:c r="B226" s="10" t="str">
        <x:v>פגישה עם רוני קובן עונה 9 | שלום אסייג</x:v>
      </x:c>
      <x:c r="C226" s="10" t="str">
        <x:v>Люди Израиля</x:v>
      </x:c>
      <x:c r="D226" s="9" t="str">
        <x:v>Интервью</x:v>
      </x:c>
      <x:c r="E226" s="10" t="str">
        <x:v>Интервью; культура; общество; продвинутые</x:v>
      </x:c>
      <x:c r="F226" s="10" t="str">
        <x:v>B2–C1 (гипотеза)</x:v>
      </x:c>
      <x:c r="G226" s="12" t="n">
        <x:v>33.8</x:v>
      </x:c>
      <x:c r="H226" s="14" t="n">
        <x:v>110225</x:v>
      </x:c>
      <x:c r="I226" s="15" t="str">
        <x:v>Точный счётчик метаданных видео</x:v>
      </x:c>
      <x:c r="J226" s="14" t="n">
        <x:v>110000</x:v>
      </x:c>
      <x:c r="K226" s="14" t="n">
        <x:v>68000</x:v>
      </x:c>
      <x:c r="L226" s="12" t="n">
        <x:f>IF(COUNT(J226:K226)=2,IF(K226=0,"",J226/K226),"")</x:f>
        <x:v>1.6176470588235294</x:v>
      </x:c>
      <x:c r="M226" s="10" t="str">
        <x:v>Тема / гость: שלום אסייג. Просмотры в списке выше медианы выборки этого цикла в 1.62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26" s="10" t="str">
        <x:v>Выбрать 5–8 минут: вопрос, уточнение, развёрнутый ответ. Сформулировать следующий вопрос.</x:v>
      </x:c>
      <x:c r="O226" s="10" t="str">
        <x:v>Взгляды гостя не равны установленным фактам; проверить чувствительные темы</x:v>
      </x:c>
      <x:c r="P226" s="10" t="str">
        <x:v>Длинное интервью</x:v>
      </x:c>
      <x:c r="Q226" s="9" t="str">
        <x:v>Нет</x:v>
      </x:c>
      <x:c r="R226" s="9" t="str">
        <x:v>C014</x:v>
      </x:c>
      <x:c r="S226" s="9" t="str">
        <x:v>C014</x:v>
      </x:c>
      <x:c r="T226" s="10" t="str">
        <x:v>כאן 11 - תאגיד השידור הישראלי</x:v>
      </x:c>
      <x:c r="U226" s="11" t="str">
        <x:v>https://www.youtube.com/watch?v=uVl0z-yOZhA</x:v>
      </x:c>
      <x:c r="V226" s="16" t="n">
        <x:v>46308</x:v>
      </x:c>
      <x:c r="W226" s="16" t="n">
        <x:v>45647</x:v>
      </x:c>
      <x:c r="X226" s="10" t="str">
        <x:v>Иврит предполагается по заголовку и источнику</x:v>
      </x:c>
      <x:c r="Y226" s="10" t="str">
        <x:v>Автоматическая дорожка HE по метаданным</x:v>
      </x:c>
      <x:c r="Z226" s="10" t="str">
        <x:v>Разрешено по метаданным</x:v>
      </x:c>
      <x:c r="AA226" s="10" t="str">
        <x:v>Метаданные видео; воспроизведение и содержание не проверены</x:v>
      </x:c>
      <x:c r="AB226" s="13" t="n">
        <x:f>IF(AND(ISNUMBER(H226),ISNUMBER(W226)),H226/MAX(1,'Обзор'!$B$4-W226),"")</x:f>
        <x:v>166.75491679273827</x:v>
      </x:c>
      <x:c r="AC226" s="17" t="str">
        <x:v>Не решено</x:v>
      </x:c>
      <x:c r="AD226" s="17" t="str">
        <x:v>Не проверено</x:v>
      </x:c>
      <x:c r="AE226" s="17" t="str">
        <x:v>Не проверено</x:v>
      </x:c>
      <x:c r="AF226" s="17" t="str">
        <x:v>Не проверено</x:v>
      </x:c>
      <x:c r="AG226" s="17" t="str">
        <x:v>Не решено</x:v>
      </x:c>
      <x:c r="AH226" s="17" t="str">
        <x:v>Не проверено</x:v>
      </x:c>
      <x:c r="AI226" s="10" t="str">
        <x:f>IF(AC226="Отклонить","Отклонено",IF(AND(AC226="Взять",COUNTIFS(AD226:AH226,"Да")=5),"Готово","Нужна редактура"))</x:f>
        <x:v>Нужна редактура</x:v>
      </x:c>
      <x:c r="AJ226" s="17" t="str"/>
      <x:c r="AK226" s="9" t="str">
        <x:v>https://www.youtube.com/playlist?list=PLLttfoK87AdUPG7GyXfqeuHp7u27KjHCH</x:v>
      </x:c>
      <x:c r="AL226" s="9" t="n">
        <x:v>25</x:v>
      </x:c>
      <x:c r="AM226" s="9"/>
      <x:c r="AN226" s="9" t="n">
        <x:v>0</x:v>
      </x:c>
    </x:row>
    <x:row r="227" ht="60" customHeight="1">
      <x:c r="A227" s="9" t="str">
        <x:v>aKWUlRjulWs</x:v>
      </x:c>
      <x:c r="B227" s="10" t="str">
        <x:v>פגישה עם רוני קובן עונה 9 | מיכאל שמש</x:v>
      </x:c>
      <x:c r="C227" s="10" t="str">
        <x:v>Люди Израиля</x:v>
      </x:c>
      <x:c r="D227" s="9" t="str">
        <x:v>Интервью</x:v>
      </x:c>
      <x:c r="E227" s="10" t="str">
        <x:v>Интервью; культура; общество; продвинутые</x:v>
      </x:c>
      <x:c r="F227" s="10" t="str">
        <x:v>B2–C1 (гипотеза)</x:v>
      </x:c>
      <x:c r="G227" s="12" t="n">
        <x:v>34.4</x:v>
      </x:c>
      <x:c r="H227" s="14" t="n">
        <x:v>82000</x:v>
      </x:c>
      <x:c r="I227" s="15" t="str">
        <x:v>Округлённый счётчик в списке YouTube</x:v>
      </x:c>
      <x:c r="J227" s="14" t="n">
        <x:v>82000</x:v>
      </x:c>
      <x:c r="K227" s="14" t="n">
        <x:v>68000</x:v>
      </x:c>
      <x:c r="L227" s="12" t="n">
        <x:f>IF(COUNT(J227:K227)=2,IF(K227=0,"",J227/K227),"")</x:f>
        <x:v>1.2058823529411764</x:v>
      </x:c>
      <x:c r="M227" s="10" t="str">
        <x:v>Тема / гость: מיכאל שמש.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27" s="10" t="str">
        <x:v>Выбрать 5–8 минут: вопрос, уточнение, развёрнутый ответ. Сформулировать следующий вопрос.</x:v>
      </x:c>
      <x:c r="O227" s="10" t="str">
        <x:v>Взгляды гостя не равны установленным фактам; проверить чувствительные темы</x:v>
      </x:c>
      <x:c r="P227" s="10" t="str">
        <x:v>Длинное интервью</x:v>
      </x:c>
      <x:c r="Q227" s="9" t="str">
        <x:v>Да</x:v>
      </x:c>
      <x:c r="R227" s="9" t="str">
        <x:v>C014</x:v>
      </x:c>
      <x:c r="S227" s="9" t="str">
        <x:v>C014</x:v>
      </x:c>
      <x:c r="T227" s="10" t="str">
        <x:v>כאן 11 - תאגיד השידור הישראלי</x:v>
      </x:c>
      <x:c r="U227" s="11" t="str">
        <x:v>https://www.youtube.com/watch?v=aKWUlRjulWs</x:v>
      </x:c>
      <x:c r="V227" s="16" t="n">
        <x:v>46308</x:v>
      </x:c>
      <x:c r="W227" s="16"/>
      <x:c r="X227" s="10" t="str">
        <x:v>Иврит предполагается по заголовку и источнику</x:v>
      </x:c>
      <x:c r="Y227" s="10" t="str">
        <x:v>Не проверено</x:v>
      </x:c>
      <x:c r="Z227" s="10" t="str">
        <x:v>Не проверено</x:v>
      </x:c>
      <x:c r="AA227" s="10" t="str">
        <x:v>Метаданные списка; видео не просмотрено</x:v>
      </x:c>
      <x:c r="AB227" s="13" t="str">
        <x:f>IF(AND(ISNUMBER(H227),ISNUMBER(W227)),H227/MAX(1,'Обзор'!$B$4-W227),"")</x:f>
      </x:c>
      <x:c r="AC227" s="17" t="str">
        <x:v>Не решено</x:v>
      </x:c>
      <x:c r="AD227" s="17" t="str">
        <x:v>Не проверено</x:v>
      </x:c>
      <x:c r="AE227" s="17" t="str">
        <x:v>Не проверено</x:v>
      </x:c>
      <x:c r="AF227" s="17" t="str">
        <x:v>Не проверено</x:v>
      </x:c>
      <x:c r="AG227" s="17" t="str">
        <x:v>Не решено</x:v>
      </x:c>
      <x:c r="AH227" s="17" t="str">
        <x:v>Не проверено</x:v>
      </x:c>
      <x:c r="AI227" s="10" t="str">
        <x:f>IF(AC227="Отклонить","Отклонено",IF(AND(AC227="Взять",COUNTIFS(AD227:AH227,"Да")=5),"Готово","Нужна редактура"))</x:f>
        <x:v>Нужна редактура</x:v>
      </x:c>
      <x:c r="AJ227" s="17" t="str"/>
      <x:c r="AK227" s="9" t="str">
        <x:v>https://www.youtube.com/playlist?list=PLLttfoK87AdUPG7GyXfqeuHp7u27KjHCH</x:v>
      </x:c>
      <x:c r="AL227" s="9" t="n">
        <x:v>26</x:v>
      </x:c>
      <x:c r="AM227" s="9"/>
      <x:c r="AN227" s="9"/>
    </x:row>
    <x:row r="228" ht="60" customHeight="1">
      <x:c r="A228" s="9" t="str">
        <x:v>FSiTrRjaB7Y</x:v>
      </x:c>
      <x:c r="B228" s="10" t="str">
        <x:v>פגישה עם רוני קובן עונה 9 | עמרי אסנהיים</x:v>
      </x:c>
      <x:c r="C228" s="10" t="str">
        <x:v>Люди Израиля</x:v>
      </x:c>
      <x:c r="D228" s="9" t="str">
        <x:v>Интервью</x:v>
      </x:c>
      <x:c r="E228" s="10" t="str">
        <x:v>Интервью; культура; общество; продвинутые</x:v>
      </x:c>
      <x:c r="F228" s="10" t="str">
        <x:v>B2–C1 (гипотеза)</x:v>
      </x:c>
      <x:c r="G228" s="12" t="n">
        <x:v>33.7</x:v>
      </x:c>
      <x:c r="H228" s="14" t="n">
        <x:v>54000</x:v>
      </x:c>
      <x:c r="I228" s="15" t="str">
        <x:v>Округлённый счётчик в списке YouTube</x:v>
      </x:c>
      <x:c r="J228" s="14" t="n">
        <x:v>54000</x:v>
      </x:c>
      <x:c r="K228" s="14" t="n">
        <x:v>68000</x:v>
      </x:c>
      <x:c r="L228" s="12" t="n">
        <x:f>IF(COUNT(J228:K228)=2,IF(K228=0,"",J228/K228),"")</x:f>
        <x:v>0.7941176470588235</x:v>
      </x:c>
      <x:c r="M228" s="10" t="str">
        <x:v>Тема / гость: עמרי אסנהיים.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28" s="10" t="str">
        <x:v>Выбрать 5–8 минут: вопрос, уточнение, развёрнутый ответ. Сформулировать следующий вопрос.</x:v>
      </x:c>
      <x:c r="O228" s="10" t="str">
        <x:v>Взгляды гостя не равны установленным фактам; проверить чувствительные темы</x:v>
      </x:c>
      <x:c r="P228" s="10" t="str">
        <x:v>Длинное интервью</x:v>
      </x:c>
      <x:c r="Q228" s="9" t="str">
        <x:v>Нет</x:v>
      </x:c>
      <x:c r="R228" s="9" t="str">
        <x:v>C014</x:v>
      </x:c>
      <x:c r="S228" s="9" t="str">
        <x:v>C014</x:v>
      </x:c>
      <x:c r="T228" s="10" t="str">
        <x:v>כאן 11 - תאגיד השידור הישראלי</x:v>
      </x:c>
      <x:c r="U228" s="11" t="str">
        <x:v>https://www.youtube.com/watch?v=FSiTrRjaB7Y</x:v>
      </x:c>
      <x:c r="V228" s="16" t="n">
        <x:v>46308</x:v>
      </x:c>
      <x:c r="W228" s="16"/>
      <x:c r="X228" s="10" t="str">
        <x:v>Иврит предполагается по заголовку и источнику</x:v>
      </x:c>
      <x:c r="Y228" s="10" t="str">
        <x:v>Не проверено</x:v>
      </x:c>
      <x:c r="Z228" s="10" t="str">
        <x:v>Не проверено</x:v>
      </x:c>
      <x:c r="AA228" s="10" t="str">
        <x:v>Метаданные списка; видео не просмотрено</x:v>
      </x:c>
      <x:c r="AB228" s="13" t="str">
        <x:f>IF(AND(ISNUMBER(H228),ISNUMBER(W228)),H228/MAX(1,'Обзор'!$B$4-W228),"")</x:f>
      </x:c>
      <x:c r="AC228" s="17" t="str">
        <x:v>Не решено</x:v>
      </x:c>
      <x:c r="AD228" s="17" t="str">
        <x:v>Не проверено</x:v>
      </x:c>
      <x:c r="AE228" s="17" t="str">
        <x:v>Не проверено</x:v>
      </x:c>
      <x:c r="AF228" s="17" t="str">
        <x:v>Не проверено</x:v>
      </x:c>
      <x:c r="AG228" s="17" t="str">
        <x:v>Не решено</x:v>
      </x:c>
      <x:c r="AH228" s="17" t="str">
        <x:v>Не проверено</x:v>
      </x:c>
      <x:c r="AI228" s="10" t="str">
        <x:f>IF(AC228="Отклонить","Отклонено",IF(AND(AC228="Взять",COUNTIFS(AD228:AH228,"Да")=5),"Готово","Нужна редактура"))</x:f>
        <x:v>Нужна редактура</x:v>
      </x:c>
      <x:c r="AJ228" s="17" t="str"/>
      <x:c r="AK228" s="9" t="str">
        <x:v>https://www.youtube.com/playlist?list=PLLttfoK87AdUPG7GyXfqeuHp7u27KjHCH</x:v>
      </x:c>
      <x:c r="AL228" s="9" t="n">
        <x:v>27</x:v>
      </x:c>
      <x:c r="AM228" s="9"/>
      <x:c r="AN228" s="9"/>
    </x:row>
    <x:row r="229" ht="60" customHeight="1">
      <x:c r="A229" s="9" t="str">
        <x:v>BORPtn22hVU</x:v>
      </x:c>
      <x:c r="B229" s="10" t="str">
        <x:v>פגישה עם רוני קובן עונה 9 | יאיר לפיד</x:v>
      </x:c>
      <x:c r="C229" s="10" t="str">
        <x:v>Люди Израиля</x:v>
      </x:c>
      <x:c r="D229" s="9" t="str">
        <x:v>Интервью</x:v>
      </x:c>
      <x:c r="E229" s="10" t="str">
        <x:v>Интервью; культура; общество; продвинутые</x:v>
      </x:c>
      <x:c r="F229" s="10" t="str">
        <x:v>B2–C1 (гипотеза)</x:v>
      </x:c>
      <x:c r="G229" s="12" t="n">
        <x:v>49</x:v>
      </x:c>
      <x:c r="H229" s="14" t="n">
        <x:v>148164</x:v>
      </x:c>
      <x:c r="I229" s="15" t="str">
        <x:v>Точный счётчик метаданных видео</x:v>
      </x:c>
      <x:c r="J229" s="14" t="n">
        <x:v>148000</x:v>
      </x:c>
      <x:c r="K229" s="14" t="n">
        <x:v>68000</x:v>
      </x:c>
      <x:c r="L229" s="12" t="n">
        <x:f>IF(COUNT(J229:K229)=2,IF(K229=0,"",J229/K229),"")</x:f>
        <x:v>2.176470588235294</x:v>
      </x:c>
      <x:c r="M229" s="10" t="str">
        <x:v>Тема / гость: יאיר לפיד. Просмотры в списке выше медианы выборки этого цикла в 2.18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29" s="10" t="str">
        <x:v>Выбрать 5–8 минут: вопрос, уточнение, развёрнутый ответ. Сформулировать следующий вопрос.</x:v>
      </x:c>
      <x:c r="O229" s="10" t="str">
        <x:v>Взгляды гостя не равны установленным фактам; проверить чувствительные темы</x:v>
      </x:c>
      <x:c r="P229" s="10" t="str">
        <x:v>Длинное интервью</x:v>
      </x:c>
      <x:c r="Q229" s="9" t="str">
        <x:v>Нет</x:v>
      </x:c>
      <x:c r="R229" s="9" t="str">
        <x:v>C014</x:v>
      </x:c>
      <x:c r="S229" s="9" t="str">
        <x:v>C014</x:v>
      </x:c>
      <x:c r="T229" s="10" t="str">
        <x:v>כאן 11 - תאגיד השידור הישראלי</x:v>
      </x:c>
      <x:c r="U229" s="11" t="str">
        <x:v>https://www.youtube.com/watch?v=BORPtn22hVU</x:v>
      </x:c>
      <x:c r="V229" s="16" t="n">
        <x:v>46308</x:v>
      </x:c>
      <x:c r="W229" s="16" t="n">
        <x:v>45598</x:v>
      </x:c>
      <x:c r="X229" s="10" t="str">
        <x:v>Иврит предполагается по заголовку и источнику</x:v>
      </x:c>
      <x:c r="Y229" s="10" t="str">
        <x:v>Ручная дорожка HE по метаданным</x:v>
      </x:c>
      <x:c r="Z229" s="10" t="str">
        <x:v>Разрешено по метаданным</x:v>
      </x:c>
      <x:c r="AA229" s="10" t="str">
        <x:v>Метаданные видео; воспроизведение и содержание не проверены</x:v>
      </x:c>
      <x:c r="AB229" s="13" t="n">
        <x:f>IF(AND(ISNUMBER(H229),ISNUMBER(W229)),H229/MAX(1,'Обзор'!$B$4-W229),"")</x:f>
        <x:v>208.68169014084506</x:v>
      </x:c>
      <x:c r="AC229" s="17" t="str">
        <x:v>Не решено</x:v>
      </x:c>
      <x:c r="AD229" s="17" t="str">
        <x:v>Не проверено</x:v>
      </x:c>
      <x:c r="AE229" s="17" t="str">
        <x:v>Не проверено</x:v>
      </x:c>
      <x:c r="AF229" s="17" t="str">
        <x:v>Не проверено</x:v>
      </x:c>
      <x:c r="AG229" s="17" t="str">
        <x:v>Не решено</x:v>
      </x:c>
      <x:c r="AH229" s="17" t="str">
        <x:v>Не проверено</x:v>
      </x:c>
      <x:c r="AI229" s="10" t="str">
        <x:f>IF(AC229="Отклонить","Отклонено",IF(AND(AC229="Взять",COUNTIFS(AD229:AH229,"Да")=5),"Готово","Нужна редактура"))</x:f>
        <x:v>Нужна редактура</x:v>
      </x:c>
      <x:c r="AJ229" s="17" t="str"/>
      <x:c r="AK229" s="9" t="str">
        <x:v>https://www.youtube.com/playlist?list=PLLttfoK87AdUPG7GyXfqeuHp7u27KjHCH</x:v>
      </x:c>
      <x:c r="AL229" s="9" t="n">
        <x:v>28</x:v>
      </x:c>
      <x:c r="AM229" s="9"/>
      <x:c r="AN229" s="9" t="n">
        <x:v>0</x:v>
      </x:c>
    </x:row>
    <x:row r="230" ht="60" customHeight="1">
      <x:c r="A230" s="9" t="str">
        <x:v>_s0tFOu-b4k</x:v>
      </x:c>
      <x:c r="B230" s="10" t="str">
        <x:v>פגישה עם רוני קובן עונה 9 | אבישי בן חיים</x:v>
      </x:c>
      <x:c r="C230" s="10" t="str">
        <x:v>Люди Израиля</x:v>
      </x:c>
      <x:c r="D230" s="9" t="str">
        <x:v>Интервью</x:v>
      </x:c>
      <x:c r="E230" s="10" t="str">
        <x:v>Интервью; культура; общество; продвинутые</x:v>
      </x:c>
      <x:c r="F230" s="10" t="str">
        <x:v>B2–C1 (гипотеза)</x:v>
      </x:c>
      <x:c r="G230" s="12" t="n">
        <x:v>38</x:v>
      </x:c>
      <x:c r="H230" s="14" t="n">
        <x:v>143142</x:v>
      </x:c>
      <x:c r="I230" s="15" t="str">
        <x:v>Точный счётчик метаданных видео</x:v>
      </x:c>
      <x:c r="J230" s="14" t="n">
        <x:v>143000</x:v>
      </x:c>
      <x:c r="K230" s="14" t="n">
        <x:v>68000</x:v>
      </x:c>
      <x:c r="L230" s="12" t="n">
        <x:f>IF(COUNT(J230:K230)=2,IF(K230=0,"",J230/K230),"")</x:f>
        <x:v>2.1029411764705883</x:v>
      </x:c>
      <x:c r="M230" s="10" t="str">
        <x:v>Тема / гость: אבישי בן חיים. Просмотры в списке выше медианы выборки этого цикла в 2.1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30" s="10" t="str">
        <x:v>Выбрать 5–8 минут: вопрос, уточнение, развёрнутый ответ. Сформулировать следующий вопрос.</x:v>
      </x:c>
      <x:c r="O230" s="10" t="str">
        <x:v>Взгляды гостя не равны установленным фактам; проверить чувствительные темы</x:v>
      </x:c>
      <x:c r="P230" s="10" t="str">
        <x:v>Длинное интервью</x:v>
      </x:c>
      <x:c r="Q230" s="9" t="str">
        <x:v>Нет</x:v>
      </x:c>
      <x:c r="R230" s="9" t="str">
        <x:v>C014</x:v>
      </x:c>
      <x:c r="S230" s="9" t="str">
        <x:v>C014</x:v>
      </x:c>
      <x:c r="T230" s="10" t="str">
        <x:v>כאן 11 - תאגיד השידור הישראלי</x:v>
      </x:c>
      <x:c r="U230" s="11" t="str">
        <x:v>https://www.youtube.com/watch?v=_s0tFOu-b4k</x:v>
      </x:c>
      <x:c r="V230" s="16" t="n">
        <x:v>46308</x:v>
      </x:c>
      <x:c r="W230" s="16" t="n">
        <x:v>45626</x:v>
      </x:c>
      <x:c r="X230" s="10" t="str">
        <x:v>Иврит предполагается по заголовку и источнику</x:v>
      </x:c>
      <x:c r="Y230" s="10" t="str">
        <x:v>Автоматическая дорожка HE по метаданным</x:v>
      </x:c>
      <x:c r="Z230" s="10" t="str">
        <x:v>Разрешено по метаданным</x:v>
      </x:c>
      <x:c r="AA230" s="10" t="str">
        <x:v>Метаданные видео; воспроизведение и содержание не проверены</x:v>
      </x:c>
      <x:c r="AB230" s="13" t="n">
        <x:f>IF(AND(ISNUMBER(H230),ISNUMBER(W230)),H230/MAX(1,'Обзор'!$B$4-W230),"")</x:f>
        <x:v>209.88563049853371</x:v>
      </x:c>
      <x:c r="AC230" s="17" t="str">
        <x:v>Не решено</x:v>
      </x:c>
      <x:c r="AD230" s="17" t="str">
        <x:v>Не проверено</x:v>
      </x:c>
      <x:c r="AE230" s="17" t="str">
        <x:v>Не проверено</x:v>
      </x:c>
      <x:c r="AF230" s="17" t="str">
        <x:v>Не проверено</x:v>
      </x:c>
      <x:c r="AG230" s="17" t="str">
        <x:v>Не решено</x:v>
      </x:c>
      <x:c r="AH230" s="17" t="str">
        <x:v>Не проверено</x:v>
      </x:c>
      <x:c r="AI230" s="10" t="str">
        <x:f>IF(AC230="Отклонить","Отклонено",IF(AND(AC230="Взять",COUNTIFS(AD230:AH230,"Да")=5),"Готово","Нужна редактура"))</x:f>
        <x:v>Нужна редактура</x:v>
      </x:c>
      <x:c r="AJ230" s="17" t="str"/>
      <x:c r="AK230" s="9" t="str">
        <x:v>https://www.youtube.com/playlist?list=PLLttfoK87AdUPG7GyXfqeuHp7u27KjHCH</x:v>
      </x:c>
      <x:c r="AL230" s="9" t="n">
        <x:v>29</x:v>
      </x:c>
      <x:c r="AM230" s="9"/>
      <x:c r="AN230" s="9" t="n">
        <x:v>0</x:v>
      </x:c>
    </x:row>
    <x:row r="231" ht="60" customHeight="1">
      <x:c r="A231" s="9" t="str">
        <x:v>yRzSN4wE8V8</x:v>
      </x:c>
      <x:c r="B231" s="10" t="str">
        <x:v>פגישה עם רוני קובן עונה 9 | מגי אזרזר</x:v>
      </x:c>
      <x:c r="C231" s="10" t="str">
        <x:v>Люди Израиля</x:v>
      </x:c>
      <x:c r="D231" s="9" t="str">
        <x:v>Интервью</x:v>
      </x:c>
      <x:c r="E231" s="10" t="str">
        <x:v>Интервью; культура; общество; продвинутые</x:v>
      </x:c>
      <x:c r="F231" s="10" t="str">
        <x:v>B2–C1 (гипотеза)</x:v>
      </x:c>
      <x:c r="G231" s="12" t="n">
        <x:v>34.2</x:v>
      </x:c>
      <x:c r="H231" s="14" t="n">
        <x:v>162618</x:v>
      </x:c>
      <x:c r="I231" s="15" t="str">
        <x:v>Точный счётчик метаданных видео</x:v>
      </x:c>
      <x:c r="J231" s="14" t="n">
        <x:v>162000</x:v>
      </x:c>
      <x:c r="K231" s="14" t="n">
        <x:v>68000</x:v>
      </x:c>
      <x:c r="L231" s="12" t="n">
        <x:f>IF(COUNT(J231:K231)=2,IF(K231=0,"",J231/K231),"")</x:f>
        <x:v>2.3823529411764706</x:v>
      </x:c>
      <x:c r="M231" s="10" t="str">
        <x:v>Тема / гость: מגי אזרזר. Просмотры в списке выше медианы выборки этого цикла в 2.38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31" s="10" t="str">
        <x:v>Выбрать 5–8 минут: вопрос, уточнение, развёрнутый ответ. Сформулировать следующий вопрос.</x:v>
      </x:c>
      <x:c r="O231" s="10" t="str">
        <x:v>Взгляды гостя не равны установленным фактам; проверить чувствительные темы</x:v>
      </x:c>
      <x:c r="P231" s="10" t="str">
        <x:v>Длинное интервью</x:v>
      </x:c>
      <x:c r="Q231" s="9" t="str">
        <x:v>Нет</x:v>
      </x:c>
      <x:c r="R231" s="9" t="str">
        <x:v>C014</x:v>
      </x:c>
      <x:c r="S231" s="9" t="str">
        <x:v>C014</x:v>
      </x:c>
      <x:c r="T231" s="10" t="str">
        <x:v>כאן 11 - תאגיד השידור הישראלי</x:v>
      </x:c>
      <x:c r="U231" s="11" t="str">
        <x:v>https://www.youtube.com/watch?v=yRzSN4wE8V8</x:v>
      </x:c>
      <x:c r="V231" s="16" t="n">
        <x:v>46308</x:v>
      </x:c>
      <x:c r="W231" s="16" t="n">
        <x:v>45619</x:v>
      </x:c>
      <x:c r="X231" s="10" t="str">
        <x:v>Иврит предполагается по заголовку и источнику</x:v>
      </x:c>
      <x:c r="Y231" s="10" t="str">
        <x:v>Автоматическая дорожка HE по метаданным</x:v>
      </x:c>
      <x:c r="Z231" s="10" t="str">
        <x:v>Разрешено по метаданным</x:v>
      </x:c>
      <x:c r="AA231" s="10" t="str">
        <x:v>Метаданные видео; воспроизведение и содержание не проверены</x:v>
      </x:c>
      <x:c r="AB231" s="13" t="n">
        <x:f>IF(AND(ISNUMBER(H231),ISNUMBER(W231)),H231/MAX(1,'Обзор'!$B$4-W231),"")</x:f>
        <x:v>236.02031930333817</x:v>
      </x:c>
      <x:c r="AC231" s="17" t="str">
        <x:v>Не решено</x:v>
      </x:c>
      <x:c r="AD231" s="17" t="str">
        <x:v>Не проверено</x:v>
      </x:c>
      <x:c r="AE231" s="17" t="str">
        <x:v>Не проверено</x:v>
      </x:c>
      <x:c r="AF231" s="17" t="str">
        <x:v>Не проверено</x:v>
      </x:c>
      <x:c r="AG231" s="17" t="str">
        <x:v>Не решено</x:v>
      </x:c>
      <x:c r="AH231" s="17" t="str">
        <x:v>Не проверено</x:v>
      </x:c>
      <x:c r="AI231" s="10" t="str">
        <x:f>IF(AC231="Отклонить","Отклонено",IF(AND(AC231="Взять",COUNTIFS(AD231:AH231,"Да")=5),"Готово","Нужна редактура"))</x:f>
        <x:v>Нужна редактура</x:v>
      </x:c>
      <x:c r="AJ231" s="17" t="str"/>
      <x:c r="AK231" s="9" t="str">
        <x:v>https://www.youtube.com/playlist?list=PLLttfoK87AdUPG7GyXfqeuHp7u27KjHCH</x:v>
      </x:c>
      <x:c r="AL231" s="9" t="n">
        <x:v>30</x:v>
      </x:c>
      <x:c r="AM231" s="9"/>
      <x:c r="AN231" s="9" t="n">
        <x:v>0</x:v>
      </x:c>
    </x:row>
    <x:row r="232" ht="60" customHeight="1">
      <x:c r="A232" s="9" t="str">
        <x:v>bYkOcZDBncw</x:v>
      </x:c>
      <x:c r="B232" s="10" t="str">
        <x:v>פגישה עם רוני קובן עונה 9 | צבי יחזקאלי</x:v>
      </x:c>
      <x:c r="C232" s="10" t="str">
        <x:v>Люди Израиля</x:v>
      </x:c>
      <x:c r="D232" s="9" t="str">
        <x:v>Интервью</x:v>
      </x:c>
      <x:c r="E232" s="10" t="str">
        <x:v>Интервью; культура; общество; продвинутые</x:v>
      </x:c>
      <x:c r="F232" s="10" t="str">
        <x:v>B2–C1 (гипотеза)</x:v>
      </x:c>
      <x:c r="G232" s="12" t="n">
        <x:v>34.8</x:v>
      </x:c>
      <x:c r="H232" s="14" t="n">
        <x:v>271703</x:v>
      </x:c>
      <x:c r="I232" s="15" t="str">
        <x:v>Точный счётчик метаданных видео</x:v>
      </x:c>
      <x:c r="J232" s="14" t="n">
        <x:v>271000</x:v>
      </x:c>
      <x:c r="K232" s="14" t="n">
        <x:v>68000</x:v>
      </x:c>
      <x:c r="L232" s="12" t="n">
        <x:f>IF(COUNT(J232:K232)=2,IF(K232=0,"",J232/K232),"")</x:f>
        <x:v>3.985294117647059</x:v>
      </x:c>
      <x:c r="M232" s="10" t="str">
        <x:v>Тема / гость: צבי יחזקאלי. Просмотры в списке выше медианы выборки этого цикла в 3.99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32" s="10" t="str">
        <x:v>Выбрать 5–8 минут: вопрос, уточнение, развёрнутый ответ. Сформулировать следующий вопрос.</x:v>
      </x:c>
      <x:c r="O232" s="10" t="str">
        <x:v>Взгляды гостя не равны установленным фактам; проверить чувствительные темы</x:v>
      </x:c>
      <x:c r="P232" s="10" t="str">
        <x:v>Длинное интервью</x:v>
      </x:c>
      <x:c r="Q232" s="9" t="str">
        <x:v>Нет</x:v>
      </x:c>
      <x:c r="R232" s="9" t="str">
        <x:v>C014</x:v>
      </x:c>
      <x:c r="S232" s="9" t="str">
        <x:v>C014</x:v>
      </x:c>
      <x:c r="T232" s="10" t="str">
        <x:v>כאן 11 - תאגיד השידור הישראלי</x:v>
      </x:c>
      <x:c r="U232" s="11" t="str">
        <x:v>https://www.youtube.com/watch?v=bYkOcZDBncw</x:v>
      </x:c>
      <x:c r="V232" s="16" t="n">
        <x:v>46308</x:v>
      </x:c>
      <x:c r="W232" s="16" t="n">
        <x:v>45612</x:v>
      </x:c>
      <x:c r="X232" s="10" t="str">
        <x:v>Иврит предполагается по заголовку и источнику</x:v>
      </x:c>
      <x:c r="Y232" s="10" t="str">
        <x:v>Автоматическая дорожка HE по метаданным</x:v>
      </x:c>
      <x:c r="Z232" s="10" t="str">
        <x:v>Разрешено по метаданным</x:v>
      </x:c>
      <x:c r="AA232" s="10" t="str">
        <x:v>Метаданные видео; воспроизведение и содержание не проверены</x:v>
      </x:c>
      <x:c r="AB232" s="13" t="n">
        <x:f>IF(AND(ISNUMBER(H232),ISNUMBER(W232)),H232/MAX(1,'Обзор'!$B$4-W232),"")</x:f>
        <x:v>390.3778735632184</x:v>
      </x:c>
      <x:c r="AC232" s="17" t="str">
        <x:v>Не решено</x:v>
      </x:c>
      <x:c r="AD232" s="17" t="str">
        <x:v>Не проверено</x:v>
      </x:c>
      <x:c r="AE232" s="17" t="str">
        <x:v>Не проверено</x:v>
      </x:c>
      <x:c r="AF232" s="17" t="str">
        <x:v>Не проверено</x:v>
      </x:c>
      <x:c r="AG232" s="17" t="str">
        <x:v>Не решено</x:v>
      </x:c>
      <x:c r="AH232" s="17" t="str">
        <x:v>Не проверено</x:v>
      </x:c>
      <x:c r="AI232" s="10" t="str">
        <x:f>IF(AC232="Отклонить","Отклонено",IF(AND(AC232="Взять",COUNTIFS(AD232:AH232,"Да")=5),"Готово","Нужна редактура"))</x:f>
        <x:v>Нужна редактура</x:v>
      </x:c>
      <x:c r="AJ232" s="17" t="str"/>
      <x:c r="AK232" s="9" t="str">
        <x:v>https://www.youtube.com/playlist?list=PLLttfoK87AdUPG7GyXfqeuHp7u27KjHCH</x:v>
      </x:c>
      <x:c r="AL232" s="9" t="n">
        <x:v>31</x:v>
      </x:c>
      <x:c r="AM232" s="9"/>
      <x:c r="AN232" s="9" t="n">
        <x:v>0</x:v>
      </x:c>
    </x:row>
    <x:row r="233" ht="60" customHeight="1">
      <x:c r="A233" s="9" t="str">
        <x:v>H7GPubeo2Cg</x:v>
      </x:c>
      <x:c r="B233" s="10" t="str">
        <x:v>פגישה עם רוני קובן עונה 9 | ערן זרחוביץ'</x:v>
      </x:c>
      <x:c r="C233" s="10" t="str">
        <x:v>Люди Израиля</x:v>
      </x:c>
      <x:c r="D233" s="9" t="str">
        <x:v>Интервью</x:v>
      </x:c>
      <x:c r="E233" s="10" t="str">
        <x:v>Интервью; культура; общество; продвинутые</x:v>
      </x:c>
      <x:c r="F233" s="10" t="str">
        <x:v>B2–C1 (гипотеза)</x:v>
      </x:c>
      <x:c r="G233" s="12" t="n">
        <x:v>30.6</x:v>
      </x:c>
      <x:c r="H233" s="14" t="n">
        <x:v>88743</x:v>
      </x:c>
      <x:c r="I233" s="15" t="str">
        <x:v>Точный счётчик метаданных видео</x:v>
      </x:c>
      <x:c r="J233" s="14" t="n">
        <x:v>88000</x:v>
      </x:c>
      <x:c r="K233" s="14" t="n">
        <x:v>68000</x:v>
      </x:c>
      <x:c r="L233" s="12" t="n">
        <x:f>IF(COUNT(J233:K233)=2,IF(K233=0,"",J233/K233),"")</x:f>
        <x:v>1.2941176470588236</x:v>
      </x:c>
      <x:c r="M233" s="10" t="str">
        <x:v>Тема / гость: ערן זרחוביץ'.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33" s="10" t="str">
        <x:v>Выбрать 5–8 минут: вопрос, уточнение, развёрнутый ответ. Сформулировать следующий вопрос.</x:v>
      </x:c>
      <x:c r="O233" s="10" t="str">
        <x:v>Взгляды гостя не равны установленным фактам; проверить чувствительные темы</x:v>
      </x:c>
      <x:c r="P233" s="10" t="str">
        <x:v>Длинное интервью</x:v>
      </x:c>
      <x:c r="Q233" s="9" t="str">
        <x:v>Нет</x:v>
      </x:c>
      <x:c r="R233" s="9" t="str">
        <x:v>C014</x:v>
      </x:c>
      <x:c r="S233" s="9" t="str">
        <x:v>C014</x:v>
      </x:c>
      <x:c r="T233" s="10" t="str">
        <x:v>כאן 11 - תאגיד השידור הישראלי</x:v>
      </x:c>
      <x:c r="U233" s="11" t="str">
        <x:v>https://www.youtube.com/watch?v=H7GPubeo2Cg</x:v>
      </x:c>
      <x:c r="V233" s="16" t="n">
        <x:v>46308</x:v>
      </x:c>
      <x:c r="W233" s="16" t="n">
        <x:v>45605</x:v>
      </x:c>
      <x:c r="X233" s="10" t="str">
        <x:v>iw</x:v>
      </x:c>
      <x:c r="Y233" s="10" t="str">
        <x:v>Автоматическая дорожка HE по метаданным</x:v>
      </x:c>
      <x:c r="Z233" s="10" t="str">
        <x:v>Разрешено по метаданным</x:v>
      </x:c>
      <x:c r="AA233" s="10" t="str">
        <x:v>Метаданные видео; воспроизведение и содержание не проверены</x:v>
      </x:c>
      <x:c r="AB233" s="13" t="n">
        <x:f>IF(AND(ISNUMBER(H233),ISNUMBER(W233)),H233/MAX(1,'Обзор'!$B$4-W233),"")</x:f>
        <x:v>126.23470839260312</x:v>
      </x:c>
      <x:c r="AC233" s="17" t="str">
        <x:v>Не решено</x:v>
      </x:c>
      <x:c r="AD233" s="17" t="str">
        <x:v>Не проверено</x:v>
      </x:c>
      <x:c r="AE233" s="17" t="str">
        <x:v>Не проверено</x:v>
      </x:c>
      <x:c r="AF233" s="17" t="str">
        <x:v>Не проверено</x:v>
      </x:c>
      <x:c r="AG233" s="17" t="str">
        <x:v>Не решено</x:v>
      </x:c>
      <x:c r="AH233" s="17" t="str">
        <x:v>Не проверено</x:v>
      </x:c>
      <x:c r="AI233" s="10" t="str">
        <x:f>IF(AC233="Отклонить","Отклонено",IF(AND(AC233="Взять",COUNTIFS(AD233:AH233,"Да")=5),"Готово","Нужна редактура"))</x:f>
        <x:v>Нужна редактура</x:v>
      </x:c>
      <x:c r="AJ233" s="17" t="str"/>
      <x:c r="AK233" s="9" t="str">
        <x:v>https://www.youtube.com/playlist?list=PLLttfoK87AdUPG7GyXfqeuHp7u27KjHCH</x:v>
      </x:c>
      <x:c r="AL233" s="9" t="n">
        <x:v>32</x:v>
      </x:c>
      <x:c r="AM233" s="9"/>
      <x:c r="AN233" s="9" t="n">
        <x:v>0</x:v>
      </x:c>
    </x:row>
    <x:row r="234" ht="60" customHeight="1">
      <x:c r="A234" s="9" t="str">
        <x:v>l8HqoXEL7LM</x:v>
      </x:c>
      <x:c r="B234" s="10" t="str">
        <x:v>פגישה עם רוני קובן עונה 9 | אורן סמדג'ה</x:v>
      </x:c>
      <x:c r="C234" s="10" t="str">
        <x:v>Люди Израиля</x:v>
      </x:c>
      <x:c r="D234" s="9" t="str">
        <x:v>Интервью</x:v>
      </x:c>
      <x:c r="E234" s="10" t="str">
        <x:v>Интервью; культура; общество; продвинутые</x:v>
      </x:c>
      <x:c r="F234" s="10" t="str">
        <x:v>B2–C1 (гипотеза)</x:v>
      </x:c>
      <x:c r="G234" s="12" t="n">
        <x:v>34.8</x:v>
      </x:c>
      <x:c r="H234" s="14" t="n">
        <x:v>48000</x:v>
      </x:c>
      <x:c r="I234" s="15" t="str">
        <x:v>Округлённый счётчик в списке YouTube</x:v>
      </x:c>
      <x:c r="J234" s="14" t="n">
        <x:v>48000</x:v>
      </x:c>
      <x:c r="K234" s="14" t="n">
        <x:v>68000</x:v>
      </x:c>
      <x:c r="L234" s="12" t="n">
        <x:f>IF(COUNT(J234:K234)=2,IF(K234=0,"",J234/K234),"")</x:f>
        <x:v>0.7058823529411765</x:v>
      </x:c>
      <x:c r="M234" s="10" t="str">
        <x:v>Тема / гость: אורן סמדג'ה.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34" s="10" t="str">
        <x:v>Выбрать 5–8 минут: вопрос, уточнение, развёрнутый ответ. Сформулировать следующий вопрос.</x:v>
      </x:c>
      <x:c r="O234" s="10" t="str">
        <x:v>Взгляды гостя не равны установленным фактам; проверить чувствительные темы</x:v>
      </x:c>
      <x:c r="P234" s="10" t="str">
        <x:v>Длинное интервью</x:v>
      </x:c>
      <x:c r="Q234" s="9" t="str">
        <x:v>Нет</x:v>
      </x:c>
      <x:c r="R234" s="9" t="str">
        <x:v>C014</x:v>
      </x:c>
      <x:c r="S234" s="9" t="str">
        <x:v>C014</x:v>
      </x:c>
      <x:c r="T234" s="10" t="str">
        <x:v>כאן 11 - תאגיד השידור הישראלי</x:v>
      </x:c>
      <x:c r="U234" s="11" t="str">
        <x:v>https://www.youtube.com/watch?v=l8HqoXEL7LM</x:v>
      </x:c>
      <x:c r="V234" s="16" t="n">
        <x:v>46308</x:v>
      </x:c>
      <x:c r="W234" s="16"/>
      <x:c r="X234" s="10" t="str">
        <x:v>Иврит предполагается по заголовку и источнику</x:v>
      </x:c>
      <x:c r="Y234" s="10" t="str">
        <x:v>Не проверено</x:v>
      </x:c>
      <x:c r="Z234" s="10" t="str">
        <x:v>Не проверено</x:v>
      </x:c>
      <x:c r="AA234" s="10" t="str">
        <x:v>Метаданные списка; видео не просмотрено</x:v>
      </x:c>
      <x:c r="AB234" s="13" t="str">
        <x:f>IF(AND(ISNUMBER(H234),ISNUMBER(W234)),H234/MAX(1,'Обзор'!$B$4-W234),"")</x:f>
      </x:c>
      <x:c r="AC234" s="17" t="str">
        <x:v>Не решено</x:v>
      </x:c>
      <x:c r="AD234" s="17" t="str">
        <x:v>Не проверено</x:v>
      </x:c>
      <x:c r="AE234" s="17" t="str">
        <x:v>Не проверено</x:v>
      </x:c>
      <x:c r="AF234" s="17" t="str">
        <x:v>Не проверено</x:v>
      </x:c>
      <x:c r="AG234" s="17" t="str">
        <x:v>Не решено</x:v>
      </x:c>
      <x:c r="AH234" s="17" t="str">
        <x:v>Не проверено</x:v>
      </x:c>
      <x:c r="AI234" s="10" t="str">
        <x:f>IF(AC234="Отклонить","Отклонено",IF(AND(AC234="Взять",COUNTIFS(AD234:AH234,"Да")=5),"Готово","Нужна редактура"))</x:f>
        <x:v>Нужна редактура</x:v>
      </x:c>
      <x:c r="AJ234" s="17" t="str"/>
      <x:c r="AK234" s="9" t="str">
        <x:v>https://www.youtube.com/playlist?list=PLLttfoK87AdUPG7GyXfqeuHp7u27KjHCH</x:v>
      </x:c>
      <x:c r="AL234" s="9" t="n">
        <x:v>33</x:v>
      </x:c>
      <x:c r="AM234" s="9"/>
      <x:c r="AN234" s="9"/>
    </x:row>
    <x:row r="235" ht="60" customHeight="1">
      <x:c r="A235" s="9" t="str">
        <x:v>iukztCfHMYE</x:v>
      </x:c>
      <x:c r="B235" s="10" t="str">
        <x:v>פגישה עם רוני קובן עונה 8 | רובי ריבלין</x:v>
      </x:c>
      <x:c r="C235" s="10" t="str">
        <x:v>Люди Израиля</x:v>
      </x:c>
      <x:c r="D235" s="9" t="str">
        <x:v>Интервью</x:v>
      </x:c>
      <x:c r="E235" s="10" t="str">
        <x:v>Интервью; культура; общество; продвинутые</x:v>
      </x:c>
      <x:c r="F235" s="10" t="str">
        <x:v>B2–C1 (гипотеза)</x:v>
      </x:c>
      <x:c r="G235" s="12" t="n">
        <x:v>30.4</x:v>
      </x:c>
      <x:c r="H235" s="14" t="n">
        <x:v>58000</x:v>
      </x:c>
      <x:c r="I235" s="15" t="str">
        <x:v>Округлённый счётчик в списке YouTube</x:v>
      </x:c>
      <x:c r="J235" s="14" t="n">
        <x:v>58000</x:v>
      </x:c>
      <x:c r="K235" s="14" t="n">
        <x:v>60000</x:v>
      </x:c>
      <x:c r="L235" s="12" t="n">
        <x:f>IF(COUNT(J235:K235)=2,IF(K235=0,"",J235/K235),"")</x:f>
        <x:v>0.9666666666666667</x:v>
      </x:c>
      <x:c r="M235" s="10" t="str">
        <x:v>Тема / гость: רובי ריבלין.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35" s="10" t="str">
        <x:v>Выбрать 5–8 минут: вопрос, уточнение, развёрнутый ответ. Сформулировать следующий вопрос.</x:v>
      </x:c>
      <x:c r="O235" s="10" t="str">
        <x:v>Взгляды гостя не равны установленным фактам; проверить чувствительные темы</x:v>
      </x:c>
      <x:c r="P235" s="10" t="str">
        <x:v>Длинное интервью</x:v>
      </x:c>
      <x:c r="Q235" s="9" t="str">
        <x:v>Нет</x:v>
      </x:c>
      <x:c r="R235" s="9" t="str">
        <x:v>C015</x:v>
      </x:c>
      <x:c r="S235" s="9" t="str">
        <x:v>C015</x:v>
      </x:c>
      <x:c r="T235" s="10" t="str">
        <x:v>כאן 11 - תאגיד השידור הישראלי</x:v>
      </x:c>
      <x:c r="U235" s="11" t="str">
        <x:v>https://www.youtube.com/watch?v=iukztCfHMYE</x:v>
      </x:c>
      <x:c r="V235" s="16" t="n">
        <x:v>46308</x:v>
      </x:c>
      <x:c r="W235" s="16"/>
      <x:c r="X235" s="10" t="str">
        <x:v>Иврит предполагается по заголовку и источнику</x:v>
      </x:c>
      <x:c r="Y235" s="10" t="str">
        <x:v>Не проверено</x:v>
      </x:c>
      <x:c r="Z235" s="10" t="str">
        <x:v>Не проверено</x:v>
      </x:c>
      <x:c r="AA235" s="10" t="str">
        <x:v>Метаданные списка; видео не просмотрено</x:v>
      </x:c>
      <x:c r="AB235" s="13" t="str">
        <x:f>IF(AND(ISNUMBER(H235),ISNUMBER(W235)),H235/MAX(1,'Обзор'!$B$4-W235),"")</x:f>
      </x:c>
      <x:c r="AC235" s="17" t="str">
        <x:v>Не решено</x:v>
      </x:c>
      <x:c r="AD235" s="17" t="str">
        <x:v>Не проверено</x:v>
      </x:c>
      <x:c r="AE235" s="17" t="str">
        <x:v>Не проверено</x:v>
      </x:c>
      <x:c r="AF235" s="17" t="str">
        <x:v>Не проверено</x:v>
      </x:c>
      <x:c r="AG235" s="17" t="str">
        <x:v>Не решено</x:v>
      </x:c>
      <x:c r="AH235" s="17" t="str">
        <x:v>Не проверено</x:v>
      </x:c>
      <x:c r="AI235" s="10" t="str">
        <x:f>IF(AC235="Отклонить","Отклонено",IF(AND(AC235="Взять",COUNTIFS(AD235:AH235,"Да")=5),"Готово","Нужна редактура"))</x:f>
        <x:v>Нужна редактура</x:v>
      </x:c>
      <x:c r="AJ235" s="17" t="str"/>
      <x:c r="AK235" s="9" t="str">
        <x:v>https://www.youtube.com/playlist?list=PLLttfoK87AdVhGw3mo3mR2ZH-Zqng_bSS</x:v>
      </x:c>
      <x:c r="AL235" s="9" t="n">
        <x:v>1</x:v>
      </x:c>
      <x:c r="AM235" s="9"/>
      <x:c r="AN235" s="9"/>
    </x:row>
    <x:row r="236" ht="60" customHeight="1">
      <x:c r="A236" s="9" t="str">
        <x:v>TqcjTB7XCIU</x:v>
      </x:c>
      <x:c r="B236" s="10" t="str">
        <x:v>פגישה עם רוני קובן עונה 8 | שאול מופז</x:v>
      </x:c>
      <x:c r="C236" s="10" t="str">
        <x:v>Люди Израиля</x:v>
      </x:c>
      <x:c r="D236" s="9" t="str">
        <x:v>Интервью</x:v>
      </x:c>
      <x:c r="E236" s="10" t="str">
        <x:v>Интервью; культура; общество; продвинутые</x:v>
      </x:c>
      <x:c r="F236" s="10" t="str">
        <x:v>B2–C1 (гипотеза)</x:v>
      </x:c>
      <x:c r="G236" s="12" t="n">
        <x:v>29.8</x:v>
      </x:c>
      <x:c r="H236" s="14" t="n">
        <x:v>73984</x:v>
      </x:c>
      <x:c r="I236" s="15" t="str">
        <x:v>Точный счётчик метаданных видео</x:v>
      </x:c>
      <x:c r="J236" s="14" t="n">
        <x:v>73000</x:v>
      </x:c>
      <x:c r="K236" s="14" t="n">
        <x:v>60000</x:v>
      </x:c>
      <x:c r="L236" s="12" t="n">
        <x:f>IF(COUNT(J236:K236)=2,IF(K236=0,"",J236/K236),"")</x:f>
        <x:v>1.2166666666666666</x:v>
      </x:c>
      <x:c r="M236" s="10" t="str">
        <x:v>Тема / гость: שאול מופז.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36" s="10" t="str">
        <x:v>Выбрать 5–8 минут: вопрос, уточнение, развёрнутый ответ. Сформулировать следующий вопрос.</x:v>
      </x:c>
      <x:c r="O236" s="10" t="str">
        <x:v>Взгляды гостя не равны установленным фактам; проверить чувствительные темы</x:v>
      </x:c>
      <x:c r="P236" s="10" t="str">
        <x:v>Длинное интервью</x:v>
      </x:c>
      <x:c r="Q236" s="9" t="str">
        <x:v>Нет</x:v>
      </x:c>
      <x:c r="R236" s="9" t="str">
        <x:v>C015</x:v>
      </x:c>
      <x:c r="S236" s="9" t="str">
        <x:v>C015</x:v>
      </x:c>
      <x:c r="T236" s="10" t="str">
        <x:v>כאן 11 - תאגיד השידור הישראלי</x:v>
      </x:c>
      <x:c r="U236" s="11" t="str">
        <x:v>https://www.youtube.com/watch?v=TqcjTB7XCIU</x:v>
      </x:c>
      <x:c r="V236" s="16" t="n">
        <x:v>46308</x:v>
      </x:c>
      <x:c r="W236" s="16" t="n">
        <x:v>45307</x:v>
      </x:c>
      <x:c r="X236" s="10" t="str">
        <x:v>Иврит предполагается по заголовку и источнику</x:v>
      </x:c>
      <x:c r="Y236" s="10" t="str">
        <x:v>Автоматическая дорожка HE по метаданным</x:v>
      </x:c>
      <x:c r="Z236" s="10" t="str">
        <x:v>Разрешено по метаданным</x:v>
      </x:c>
      <x:c r="AA236" s="10" t="str">
        <x:v>Метаданные видео; воспроизведение и содержание не проверены</x:v>
      </x:c>
      <x:c r="AB236" s="13" t="n">
        <x:f>IF(AND(ISNUMBER(H236),ISNUMBER(W236)),H236/MAX(1,'Обзор'!$B$4-W236),"")</x:f>
        <x:v>73.91008991008991</x:v>
      </x:c>
      <x:c r="AC236" s="17" t="str">
        <x:v>Не решено</x:v>
      </x:c>
      <x:c r="AD236" s="17" t="str">
        <x:v>Не проверено</x:v>
      </x:c>
      <x:c r="AE236" s="17" t="str">
        <x:v>Не проверено</x:v>
      </x:c>
      <x:c r="AF236" s="17" t="str">
        <x:v>Не проверено</x:v>
      </x:c>
      <x:c r="AG236" s="17" t="str">
        <x:v>Не решено</x:v>
      </x:c>
      <x:c r="AH236" s="17" t="str">
        <x:v>Не проверено</x:v>
      </x:c>
      <x:c r="AI236" s="10" t="str">
        <x:f>IF(AC236="Отклонить","Отклонено",IF(AND(AC236="Взять",COUNTIFS(AD236:AH236,"Да")=5),"Готово","Нужна редактура"))</x:f>
        <x:v>Нужна редактура</x:v>
      </x:c>
      <x:c r="AJ236" s="17" t="str"/>
      <x:c r="AK236" s="9" t="str">
        <x:v>https://www.youtube.com/playlist?list=PLLttfoK87AdVhGw3mo3mR2ZH-Zqng_bSS</x:v>
      </x:c>
      <x:c r="AL236" s="9" t="n">
        <x:v>2</x:v>
      </x:c>
      <x:c r="AM236" s="9"/>
      <x:c r="AN236" s="9" t="n">
        <x:v>0</x:v>
      </x:c>
    </x:row>
    <x:row r="237" ht="60" customHeight="1">
      <x:c r="A237" s="9" t="str">
        <x:v>ZZG_kjMKZM8</x:v>
      </x:c>
      <x:c r="B237" s="10" t="str">
        <x:v>פגישה עם רוני קובן עונה 8 | פרופ' יורם יובל</x:v>
      </x:c>
      <x:c r="C237" s="10" t="str">
        <x:v>Люди Израиля</x:v>
      </x:c>
      <x:c r="D237" s="9" t="str">
        <x:v>Интервью</x:v>
      </x:c>
      <x:c r="E237" s="10" t="str">
        <x:v>Интервью; культура; общество; продвинутые</x:v>
      </x:c>
      <x:c r="F237" s="10" t="str">
        <x:v>B2–C1 (гипотеза)</x:v>
      </x:c>
      <x:c r="G237" s="12" t="n">
        <x:v>29.4</x:v>
      </x:c>
      <x:c r="H237" s="14" t="n">
        <x:v>97139</x:v>
      </x:c>
      <x:c r="I237" s="15" t="str">
        <x:v>Точный счётчик метаданных видео</x:v>
      </x:c>
      <x:c r="J237" s="14" t="n">
        <x:v>97000</x:v>
      </x:c>
      <x:c r="K237" s="14" t="n">
        <x:v>60000</x:v>
      </x:c>
      <x:c r="L237" s="12" t="n">
        <x:f>IF(COUNT(J237:K237)=2,IF(K237=0,"",J237/K237),"")</x:f>
        <x:v>1.6166666666666667</x:v>
      </x:c>
      <x:c r="M237" s="10" t="str">
        <x:v>Тема / гость: פרופ' יורם יובל. Просмотры в списке выше медианы выборки этого цикла в 1.62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37" s="10" t="str">
        <x:v>Выбрать 5–8 минут: вопрос, уточнение, развёрнутый ответ. Сформулировать следующий вопрос.</x:v>
      </x:c>
      <x:c r="O237" s="10" t="str">
        <x:v>Взгляды гостя не равны установленным фактам; проверить чувствительные темы</x:v>
      </x:c>
      <x:c r="P237" s="10" t="str">
        <x:v>Длинное интервью</x:v>
      </x:c>
      <x:c r="Q237" s="9" t="str">
        <x:v>Нет</x:v>
      </x:c>
      <x:c r="R237" s="9" t="str">
        <x:v>C015</x:v>
      </x:c>
      <x:c r="S237" s="9" t="str">
        <x:v>C015</x:v>
      </x:c>
      <x:c r="T237" s="10" t="str">
        <x:v>כאן 11 - תאגיד השידור הישראלי</x:v>
      </x:c>
      <x:c r="U237" s="11" t="str">
        <x:v>https://www.youtube.com/watch?v=ZZG_kjMKZM8</x:v>
      </x:c>
      <x:c r="V237" s="16" t="n">
        <x:v>46308</x:v>
      </x:c>
      <x:c r="W237" s="16" t="n">
        <x:v>45314</x:v>
      </x:c>
      <x:c r="X237" s="10" t="str">
        <x:v>Иврит предполагается по заголовку и источнику</x:v>
      </x:c>
      <x:c r="Y237" s="10" t="str">
        <x:v>Автоматическая дорожка HE по метаданным</x:v>
      </x:c>
      <x:c r="Z237" s="10" t="str">
        <x:v>Разрешено по метаданным</x:v>
      </x:c>
      <x:c r="AA237" s="10" t="str">
        <x:v>Метаданные видео; воспроизведение и содержание не проверены</x:v>
      </x:c>
      <x:c r="AB237" s="13" t="n">
        <x:f>IF(AND(ISNUMBER(H237),ISNUMBER(W237)),H237/MAX(1,'Обзор'!$B$4-W237),"")</x:f>
        <x:v>97.72535211267606</x:v>
      </x:c>
      <x:c r="AC237" s="17" t="str">
        <x:v>Не решено</x:v>
      </x:c>
      <x:c r="AD237" s="17" t="str">
        <x:v>Не проверено</x:v>
      </x:c>
      <x:c r="AE237" s="17" t="str">
        <x:v>Не проверено</x:v>
      </x:c>
      <x:c r="AF237" s="17" t="str">
        <x:v>Не проверено</x:v>
      </x:c>
      <x:c r="AG237" s="17" t="str">
        <x:v>Не решено</x:v>
      </x:c>
      <x:c r="AH237" s="17" t="str">
        <x:v>Не проверено</x:v>
      </x:c>
      <x:c r="AI237" s="10" t="str">
        <x:f>IF(AC237="Отклонить","Отклонено",IF(AND(AC237="Взять",COUNTIFS(AD237:AH237,"Да")=5),"Готово","Нужна редактура"))</x:f>
        <x:v>Нужна редактура</x:v>
      </x:c>
      <x:c r="AJ237" s="17" t="str"/>
      <x:c r="AK237" s="9" t="str">
        <x:v>https://www.youtube.com/playlist?list=PLLttfoK87AdVhGw3mo3mR2ZH-Zqng_bSS</x:v>
      </x:c>
      <x:c r="AL237" s="9" t="n">
        <x:v>3</x:v>
      </x:c>
      <x:c r="AM237" s="9"/>
      <x:c r="AN237" s="9" t="n">
        <x:v>0</x:v>
      </x:c>
    </x:row>
    <x:row r="238" ht="60" customHeight="1">
      <x:c r="A238" s="9" t="str">
        <x:v>pEmOLw25AU4</x:v>
      </x:c>
      <x:c r="B238" s="10" t="str">
        <x:v>פגישה עם רוני קובן עונה 8 | יעקב פרי</x:v>
      </x:c>
      <x:c r="C238" s="10" t="str">
        <x:v>Люди Израиля</x:v>
      </x:c>
      <x:c r="D238" s="9" t="str">
        <x:v>Интервью</x:v>
      </x:c>
      <x:c r="E238" s="10" t="str">
        <x:v>Интервью; культура; общество; продвинутые</x:v>
      </x:c>
      <x:c r="F238" s="10" t="str">
        <x:v>B2–C1 (гипотеза)</x:v>
      </x:c>
      <x:c r="G238" s="12" t="n">
        <x:v>29.8</x:v>
      </x:c>
      <x:c r="H238" s="14" t="n">
        <x:v>46000</x:v>
      </x:c>
      <x:c r="I238" s="15" t="str">
        <x:v>Округлённый счётчик в списке YouTube</x:v>
      </x:c>
      <x:c r="J238" s="14" t="n">
        <x:v>46000</x:v>
      </x:c>
      <x:c r="K238" s="14" t="n">
        <x:v>60000</x:v>
      </x:c>
      <x:c r="L238" s="12" t="n">
        <x:f>IF(COUNT(J238:K238)=2,IF(K238=0,"",J238/K238),"")</x:f>
        <x:v>0.7666666666666667</x:v>
      </x:c>
      <x:c r="M238" s="10" t="str">
        <x:v>Тема / гость: יעקב פרי.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38" s="10" t="str">
        <x:v>Выбрать 5–8 минут: вопрос, уточнение, развёрнутый ответ. Сформулировать следующий вопрос.</x:v>
      </x:c>
      <x:c r="O238" s="10" t="str">
        <x:v>Взгляды гостя не равны установленным фактам; проверить чувствительные темы</x:v>
      </x:c>
      <x:c r="P238" s="10" t="str">
        <x:v>Длинное интервью</x:v>
      </x:c>
      <x:c r="Q238" s="9" t="str">
        <x:v>Нет</x:v>
      </x:c>
      <x:c r="R238" s="9" t="str">
        <x:v>C015</x:v>
      </x:c>
      <x:c r="S238" s="9" t="str">
        <x:v>C015</x:v>
      </x:c>
      <x:c r="T238" s="10" t="str">
        <x:v>כאן 11 - תאגיד השידור הישראלי</x:v>
      </x:c>
      <x:c r="U238" s="11" t="str">
        <x:v>https://www.youtube.com/watch?v=pEmOLw25AU4</x:v>
      </x:c>
      <x:c r="V238" s="16" t="n">
        <x:v>46308</x:v>
      </x:c>
      <x:c r="W238" s="16"/>
      <x:c r="X238" s="10" t="str">
        <x:v>Иврит предполагается по заголовку и источнику</x:v>
      </x:c>
      <x:c r="Y238" s="10" t="str">
        <x:v>Не проверено</x:v>
      </x:c>
      <x:c r="Z238" s="10" t="str">
        <x:v>Не проверено</x:v>
      </x:c>
      <x:c r="AA238" s="10" t="str">
        <x:v>Метаданные списка; видео не просмотрено</x:v>
      </x:c>
      <x:c r="AB238" s="13" t="str">
        <x:f>IF(AND(ISNUMBER(H238),ISNUMBER(W238)),H238/MAX(1,'Обзор'!$B$4-W238),"")</x:f>
      </x:c>
      <x:c r="AC238" s="17" t="str">
        <x:v>Не решено</x:v>
      </x:c>
      <x:c r="AD238" s="17" t="str">
        <x:v>Не проверено</x:v>
      </x:c>
      <x:c r="AE238" s="17" t="str">
        <x:v>Не проверено</x:v>
      </x:c>
      <x:c r="AF238" s="17" t="str">
        <x:v>Не проверено</x:v>
      </x:c>
      <x:c r="AG238" s="17" t="str">
        <x:v>Не решено</x:v>
      </x:c>
      <x:c r="AH238" s="17" t="str">
        <x:v>Не проверено</x:v>
      </x:c>
      <x:c r="AI238" s="10" t="str">
        <x:f>IF(AC238="Отклонить","Отклонено",IF(AND(AC238="Взять",COUNTIFS(AD238:AH238,"Да")=5),"Готово","Нужна редактура"))</x:f>
        <x:v>Нужна редактура</x:v>
      </x:c>
      <x:c r="AJ238" s="17" t="str"/>
      <x:c r="AK238" s="9" t="str">
        <x:v>https://www.youtube.com/playlist?list=PLLttfoK87AdVhGw3mo3mR2ZH-Zqng_bSS</x:v>
      </x:c>
      <x:c r="AL238" s="9" t="n">
        <x:v>4</x:v>
      </x:c>
      <x:c r="AM238" s="9"/>
      <x:c r="AN238" s="9"/>
    </x:row>
    <x:row r="239" ht="60" customHeight="1">
      <x:c r="A239" s="9" t="str">
        <x:v>ay6V7SP9ftg</x:v>
      </x:c>
      <x:c r="B239" s="10" t="str">
        <x:v>פגישה עם רוני קובן עונה 8 | שקמה ברסלר</x:v>
      </x:c>
      <x:c r="C239" s="10" t="str">
        <x:v>Люди Израиля</x:v>
      </x:c>
      <x:c r="D239" s="9" t="str">
        <x:v>Интервью</x:v>
      </x:c>
      <x:c r="E239" s="10" t="str">
        <x:v>Интервью; культура; общество; продвинутые</x:v>
      </x:c>
      <x:c r="F239" s="10" t="str">
        <x:v>B2–C1 (гипотеза)</x:v>
      </x:c>
      <x:c r="G239" s="12" t="n">
        <x:v>28.7</x:v>
      </x:c>
      <x:c r="H239" s="14" t="n">
        <x:v>146351</x:v>
      </x:c>
      <x:c r="I239" s="15" t="str">
        <x:v>Точный счётчик метаданных видео</x:v>
      </x:c>
      <x:c r="J239" s="14" t="n">
        <x:v>146000</x:v>
      </x:c>
      <x:c r="K239" s="14" t="n">
        <x:v>60000</x:v>
      </x:c>
      <x:c r="L239" s="12" t="n">
        <x:f>IF(COUNT(J239:K239)=2,IF(K239=0,"",J239/K239),"")</x:f>
        <x:v>2.433333333333333</x:v>
      </x:c>
      <x:c r="M239" s="10" t="str">
        <x:v>Тема / гость: שקמה ברסלר. Просмотры в списке выше медианы выборки этого цикла в 2.43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39" s="10" t="str">
        <x:v>Выбрать 5–8 минут: вопрос, уточнение, развёрнутый ответ. Сформулировать следующий вопрос.</x:v>
      </x:c>
      <x:c r="O239" s="10" t="str">
        <x:v>Взгляды гостя не равны установленным фактам; проверить чувствительные темы</x:v>
      </x:c>
      <x:c r="P239" s="10" t="str">
        <x:v>Длинное интервью</x:v>
      </x:c>
      <x:c r="Q239" s="9" t="str">
        <x:v>Нет</x:v>
      </x:c>
      <x:c r="R239" s="9" t="str">
        <x:v>C015</x:v>
      </x:c>
      <x:c r="S239" s="9" t="str">
        <x:v>C015</x:v>
      </x:c>
      <x:c r="T239" s="10" t="str">
        <x:v>כאן 11 - תאגיד השידור הישראלי</x:v>
      </x:c>
      <x:c r="U239" s="11" t="str">
        <x:v>https://www.youtube.com/watch?v=ay6V7SP9ftg</x:v>
      </x:c>
      <x:c r="V239" s="16" t="n">
        <x:v>46308</x:v>
      </x:c>
      <x:c r="W239" s="16" t="n">
        <x:v>45323</x:v>
      </x:c>
      <x:c r="X239" s="10" t="str">
        <x:v>Иврит предполагается по заголовку и источнику</x:v>
      </x:c>
      <x:c r="Y239" s="10" t="str">
        <x:v>Ручная дорожка HE по метаданным</x:v>
      </x:c>
      <x:c r="Z239" s="10" t="str">
        <x:v>Разрешено по метаданным</x:v>
      </x:c>
      <x:c r="AA239" s="10" t="str">
        <x:v>Метаданные видео; воспроизведение и содержание не проверены</x:v>
      </x:c>
      <x:c r="AB239" s="13" t="n">
        <x:f>IF(AND(ISNUMBER(H239),ISNUMBER(W239)),H239/MAX(1,'Обзор'!$B$4-W239),"")</x:f>
        <x:v>148.5796954314721</x:v>
      </x:c>
      <x:c r="AC239" s="17" t="str">
        <x:v>Не решено</x:v>
      </x:c>
      <x:c r="AD239" s="17" t="str">
        <x:v>Не проверено</x:v>
      </x:c>
      <x:c r="AE239" s="17" t="str">
        <x:v>Не проверено</x:v>
      </x:c>
      <x:c r="AF239" s="17" t="str">
        <x:v>Не проверено</x:v>
      </x:c>
      <x:c r="AG239" s="17" t="str">
        <x:v>Не решено</x:v>
      </x:c>
      <x:c r="AH239" s="17" t="str">
        <x:v>Не проверено</x:v>
      </x:c>
      <x:c r="AI239" s="10" t="str">
        <x:f>IF(AC239="Отклонить","Отклонено",IF(AND(AC239="Взять",COUNTIFS(AD239:AH239,"Да")=5),"Готово","Нужна редактура"))</x:f>
        <x:v>Нужна редактура</x:v>
      </x:c>
      <x:c r="AJ239" s="17" t="str"/>
      <x:c r="AK239" s="9" t="str">
        <x:v>https://www.youtube.com/playlist?list=PLLttfoK87AdVhGw3mo3mR2ZH-Zqng_bSS</x:v>
      </x:c>
      <x:c r="AL239" s="9" t="n">
        <x:v>5</x:v>
      </x:c>
      <x:c r="AM239" s="9"/>
      <x:c r="AN239" s="9" t="n">
        <x:v>0</x:v>
      </x:c>
    </x:row>
    <x:row r="240" ht="60" customHeight="1">
      <x:c r="A240" s="9" t="str">
        <x:v>FJtF9GahZ2w</x:v>
      </x:c>
      <x:c r="B240" s="10" t="str">
        <x:v>פגישה עם רוני קובן עונה 8 | שלומי אלדר</x:v>
      </x:c>
      <x:c r="C240" s="10" t="str">
        <x:v>Люди Израиля</x:v>
      </x:c>
      <x:c r="D240" s="9" t="str">
        <x:v>Интервью</x:v>
      </x:c>
      <x:c r="E240" s="10" t="str">
        <x:v>Интервью; культура; общество; продвинутые</x:v>
      </x:c>
      <x:c r="F240" s="10" t="str">
        <x:v>B2–C1 (гипотеза)</x:v>
      </x:c>
      <x:c r="G240" s="12" t="n">
        <x:v>29.3</x:v>
      </x:c>
      <x:c r="H240" s="14" t="n">
        <x:v>38000</x:v>
      </x:c>
      <x:c r="I240" s="15" t="str">
        <x:v>Округлённый счётчик в списке YouTube</x:v>
      </x:c>
      <x:c r="J240" s="14" t="n">
        <x:v>38000</x:v>
      </x:c>
      <x:c r="K240" s="14" t="n">
        <x:v>60000</x:v>
      </x:c>
      <x:c r="L240" s="12" t="n">
        <x:f>IF(COUNT(J240:K240)=2,IF(K240=0,"",J240/K240),"")</x:f>
        <x:v>0.6333333333333333</x:v>
      </x:c>
      <x:c r="M240" s="10" t="str">
        <x:v>Тема / гость: שלומי אלדר.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40" s="10" t="str">
        <x:v>Выбрать 5–8 минут: вопрос, уточнение, развёрнутый ответ. Сформулировать следующий вопрос.</x:v>
      </x:c>
      <x:c r="O240" s="10" t="str">
        <x:v>Взгляды гостя не равны установленным фактам; проверить чувствительные темы</x:v>
      </x:c>
      <x:c r="P240" s="10" t="str">
        <x:v>Длинное интервью</x:v>
      </x:c>
      <x:c r="Q240" s="9" t="str">
        <x:v>Нет</x:v>
      </x:c>
      <x:c r="R240" s="9" t="str">
        <x:v>C015</x:v>
      </x:c>
      <x:c r="S240" s="9" t="str">
        <x:v>C015</x:v>
      </x:c>
      <x:c r="T240" s="10" t="str">
        <x:v>כאן 11 - תאגיד השידור הישראלי</x:v>
      </x:c>
      <x:c r="U240" s="11" t="str">
        <x:v>https://www.youtube.com/watch?v=FJtF9GahZ2w</x:v>
      </x:c>
      <x:c r="V240" s="16" t="n">
        <x:v>46308</x:v>
      </x:c>
      <x:c r="W240" s="16"/>
      <x:c r="X240" s="10" t="str">
        <x:v>Иврит предполагается по заголовку и источнику</x:v>
      </x:c>
      <x:c r="Y240" s="10" t="str">
        <x:v>Не проверено</x:v>
      </x:c>
      <x:c r="Z240" s="10" t="str">
        <x:v>Не проверено</x:v>
      </x:c>
      <x:c r="AA240" s="10" t="str">
        <x:v>Метаданные списка; видео не просмотрено</x:v>
      </x:c>
      <x:c r="AB240" s="13" t="str">
        <x:f>IF(AND(ISNUMBER(H240),ISNUMBER(W240)),H240/MAX(1,'Обзор'!$B$4-W240),"")</x:f>
      </x:c>
      <x:c r="AC240" s="17" t="str">
        <x:v>Не решено</x:v>
      </x:c>
      <x:c r="AD240" s="17" t="str">
        <x:v>Не проверено</x:v>
      </x:c>
      <x:c r="AE240" s="17" t="str">
        <x:v>Не проверено</x:v>
      </x:c>
      <x:c r="AF240" s="17" t="str">
        <x:v>Не проверено</x:v>
      </x:c>
      <x:c r="AG240" s="17" t="str">
        <x:v>Не решено</x:v>
      </x:c>
      <x:c r="AH240" s="17" t="str">
        <x:v>Не проверено</x:v>
      </x:c>
      <x:c r="AI240" s="10" t="str">
        <x:f>IF(AC240="Отклонить","Отклонено",IF(AND(AC240="Взять",COUNTIFS(AD240:AH240,"Да")=5),"Готово","Нужна редактура"))</x:f>
        <x:v>Нужна редактура</x:v>
      </x:c>
      <x:c r="AJ240" s="17" t="str"/>
      <x:c r="AK240" s="9" t="str">
        <x:v>https://www.youtube.com/playlist?list=PLLttfoK87AdVhGw3mo3mR2ZH-Zqng_bSS</x:v>
      </x:c>
      <x:c r="AL240" s="9" t="n">
        <x:v>6</x:v>
      </x:c>
      <x:c r="AM240" s="9"/>
      <x:c r="AN240" s="9"/>
    </x:row>
    <x:row r="241" ht="60" customHeight="1">
      <x:c r="A241" s="9" t="str">
        <x:v>fW1KK8EDJrw</x:v>
      </x:c>
      <x:c r="B241" s="10" t="str">
        <x:v>פגישה עם רוני קובן עונה 8 | עדינה בר שלום</x:v>
      </x:c>
      <x:c r="C241" s="10" t="str">
        <x:v>Люди Израиля</x:v>
      </x:c>
      <x:c r="D241" s="9" t="str">
        <x:v>Интервью</x:v>
      </x:c>
      <x:c r="E241" s="10" t="str">
        <x:v>Интервью; культура; общество; продвинутые</x:v>
      </x:c>
      <x:c r="F241" s="10" t="str">
        <x:v>B2–C1 (гипотеза)</x:v>
      </x:c>
      <x:c r="G241" s="12" t="n">
        <x:v>30.3</x:v>
      </x:c>
      <x:c r="H241" s="14" t="n">
        <x:v>54000</x:v>
      </x:c>
      <x:c r="I241" s="15" t="str">
        <x:v>Округлённый счётчик в списке YouTube</x:v>
      </x:c>
      <x:c r="J241" s="14" t="n">
        <x:v>54000</x:v>
      </x:c>
      <x:c r="K241" s="14" t="n">
        <x:v>60000</x:v>
      </x:c>
      <x:c r="L241" s="12" t="n">
        <x:f>IF(COUNT(J241:K241)=2,IF(K241=0,"",J241/K241),"")</x:f>
        <x:v>0.9</x:v>
      </x:c>
      <x:c r="M241" s="10" t="str">
        <x:v>Тема / гость: עדינה בר שלום.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41" s="10" t="str">
        <x:v>Выбрать 5–8 минут: вопрос, уточнение, развёрнутый ответ. Сформулировать следующий вопрос.</x:v>
      </x:c>
      <x:c r="O241" s="10" t="str">
        <x:v>Взгляды гостя не равны установленным фактам; проверить чувствительные темы</x:v>
      </x:c>
      <x:c r="P241" s="10" t="str">
        <x:v>Длинное интервью</x:v>
      </x:c>
      <x:c r="Q241" s="9" t="str">
        <x:v>Нет</x:v>
      </x:c>
      <x:c r="R241" s="9" t="str">
        <x:v>C015</x:v>
      </x:c>
      <x:c r="S241" s="9" t="str">
        <x:v>C015</x:v>
      </x:c>
      <x:c r="T241" s="10" t="str">
        <x:v>כאן 11 - תאגיד השידור הישראלי</x:v>
      </x:c>
      <x:c r="U241" s="11" t="str">
        <x:v>https://www.youtube.com/watch?v=fW1KK8EDJrw</x:v>
      </x:c>
      <x:c r="V241" s="16" t="n">
        <x:v>46308</x:v>
      </x:c>
      <x:c r="W241" s="16"/>
      <x:c r="X241" s="10" t="str">
        <x:v>Иврит предполагается по заголовку и источнику</x:v>
      </x:c>
      <x:c r="Y241" s="10" t="str">
        <x:v>Не проверено</x:v>
      </x:c>
      <x:c r="Z241" s="10" t="str">
        <x:v>Не проверено</x:v>
      </x:c>
      <x:c r="AA241" s="10" t="str">
        <x:v>Метаданные списка; видео не просмотрено</x:v>
      </x:c>
      <x:c r="AB241" s="13" t="str">
        <x:f>IF(AND(ISNUMBER(H241),ISNUMBER(W241)),H241/MAX(1,'Обзор'!$B$4-W241),"")</x:f>
      </x:c>
      <x:c r="AC241" s="17" t="str">
        <x:v>Не решено</x:v>
      </x:c>
      <x:c r="AD241" s="17" t="str">
        <x:v>Не проверено</x:v>
      </x:c>
      <x:c r="AE241" s="17" t="str">
        <x:v>Не проверено</x:v>
      </x:c>
      <x:c r="AF241" s="17" t="str">
        <x:v>Не проверено</x:v>
      </x:c>
      <x:c r="AG241" s="17" t="str">
        <x:v>Не решено</x:v>
      </x:c>
      <x:c r="AH241" s="17" t="str">
        <x:v>Не проверено</x:v>
      </x:c>
      <x:c r="AI241" s="10" t="str">
        <x:f>IF(AC241="Отклонить","Отклонено",IF(AND(AC241="Взять",COUNTIFS(AD241:AH241,"Да")=5),"Готово","Нужна редактура"))</x:f>
        <x:v>Нужна редактура</x:v>
      </x:c>
      <x:c r="AJ241" s="17" t="str"/>
      <x:c r="AK241" s="9" t="str">
        <x:v>https://www.youtube.com/playlist?list=PLLttfoK87AdVhGw3mo3mR2ZH-Zqng_bSS</x:v>
      </x:c>
      <x:c r="AL241" s="9" t="n">
        <x:v>7</x:v>
      </x:c>
      <x:c r="AM241" s="9"/>
      <x:c r="AN241" s="9"/>
    </x:row>
    <x:row r="242" ht="60" customHeight="1">
      <x:c r="A242" s="9" t="str">
        <x:v>Rmwtxd6_gOE</x:v>
      </x:c>
      <x:c r="B242" s="10" t="str">
        <x:v>פגישה עם רוני קובן עונה 8 | ינון מגל</x:v>
      </x:c>
      <x:c r="C242" s="10" t="str">
        <x:v>Люди Израиля</x:v>
      </x:c>
      <x:c r="D242" s="9" t="str">
        <x:v>Интервью</x:v>
      </x:c>
      <x:c r="E242" s="10" t="str">
        <x:v>Интервью; культура; общество; продвинутые</x:v>
      </x:c>
      <x:c r="F242" s="10" t="str">
        <x:v>B2–C1 (гипотеза)</x:v>
      </x:c>
      <x:c r="G242" s="12" t="n">
        <x:v>42.3</x:v>
      </x:c>
      <x:c r="H242" s="14" t="n">
        <x:v>340952</x:v>
      </x:c>
      <x:c r="I242" s="15" t="str">
        <x:v>Точный счётчик метаданных видео</x:v>
      </x:c>
      <x:c r="J242" s="14" t="n">
        <x:v>340000</x:v>
      </x:c>
      <x:c r="K242" s="14" t="n">
        <x:v>60000</x:v>
      </x:c>
      <x:c r="L242" s="12" t="n">
        <x:f>IF(COUNT(J242:K242)=2,IF(K242=0,"",J242/K242),"")</x:f>
        <x:v>5.666666666666667</x:v>
      </x:c>
      <x:c r="M242" s="10" t="str">
        <x:v>Тема / гость: ינון מגל. Просмотры в списке выше медианы выборки этого цикла в 5.67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42" s="10" t="str">
        <x:v>Выбрать 5–8 минут: вопрос, уточнение, развёрнутый ответ. Сформулировать следующий вопрос.</x:v>
      </x:c>
      <x:c r="O242" s="10" t="str">
        <x:v>Взгляды гостя не равны установленным фактам; проверить чувствительные темы</x:v>
      </x:c>
      <x:c r="P242" s="10" t="str">
        <x:v>Длинное интервью</x:v>
      </x:c>
      <x:c r="Q242" s="9" t="str">
        <x:v>Нет</x:v>
      </x:c>
      <x:c r="R242" s="9" t="str">
        <x:v>C015</x:v>
      </x:c>
      <x:c r="S242" s="9" t="str">
        <x:v>C015</x:v>
      </x:c>
      <x:c r="T242" s="10" t="str">
        <x:v>כאן 11 - תאגיד השידור הישראלי</x:v>
      </x:c>
      <x:c r="U242" s="11" t="str">
        <x:v>https://www.youtube.com/watch?v=Rmwtxd6_gOE</x:v>
      </x:c>
      <x:c r="V242" s="16" t="n">
        <x:v>46308</x:v>
      </x:c>
      <x:c r="W242" s="16" t="n">
        <x:v>45342</x:v>
      </x:c>
      <x:c r="X242" s="10" t="str">
        <x:v>Иврит предполагается по заголовку и источнику</x:v>
      </x:c>
      <x:c r="Y242" s="10" t="str">
        <x:v>Автоматическая дорожка HE по метаданным</x:v>
      </x:c>
      <x:c r="Z242" s="10" t="str">
        <x:v>Разрешено по метаданным</x:v>
      </x:c>
      <x:c r="AA242" s="10" t="str">
        <x:v>Метаданные видео; воспроизведение и содержание не проверены</x:v>
      </x:c>
      <x:c r="AB242" s="13" t="n">
        <x:f>IF(AND(ISNUMBER(H242),ISNUMBER(W242)),H242/MAX(1,'Обзор'!$B$4-W242),"")</x:f>
        <x:v>352.95238095238096</x:v>
      </x:c>
      <x:c r="AC242" s="17" t="str">
        <x:v>Не решено</x:v>
      </x:c>
      <x:c r="AD242" s="17" t="str">
        <x:v>Не проверено</x:v>
      </x:c>
      <x:c r="AE242" s="17" t="str">
        <x:v>Не проверено</x:v>
      </x:c>
      <x:c r="AF242" s="17" t="str">
        <x:v>Не проверено</x:v>
      </x:c>
      <x:c r="AG242" s="17" t="str">
        <x:v>Не решено</x:v>
      </x:c>
      <x:c r="AH242" s="17" t="str">
        <x:v>Не проверено</x:v>
      </x:c>
      <x:c r="AI242" s="10" t="str">
        <x:f>IF(AC242="Отклонить","Отклонено",IF(AND(AC242="Взять",COUNTIFS(AD242:AH242,"Да")=5),"Готово","Нужна редактура"))</x:f>
        <x:v>Нужна редактура</x:v>
      </x:c>
      <x:c r="AJ242" s="17" t="str"/>
      <x:c r="AK242" s="9" t="str">
        <x:v>https://www.youtube.com/playlist?list=PLLttfoK87AdVhGw3mo3mR2ZH-Zqng_bSS</x:v>
      </x:c>
      <x:c r="AL242" s="9" t="n">
        <x:v>8</x:v>
      </x:c>
      <x:c r="AM242" s="9"/>
      <x:c r="AN242" s="9" t="n">
        <x:v>0</x:v>
      </x:c>
    </x:row>
    <x:row r="243" ht="60" customHeight="1">
      <x:c r="A243" s="9" t="str">
        <x:v>6qRZfLv_0x4</x:v>
      </x:c>
      <x:c r="B243" s="10" t="str">
        <x:v>פגישה עם רוני קובן עונה 8 | גיל חובב</x:v>
      </x:c>
      <x:c r="C243" s="10" t="str">
        <x:v>Люди Израиля</x:v>
      </x:c>
      <x:c r="D243" s="9" t="str">
        <x:v>Интервью</x:v>
      </x:c>
      <x:c r="E243" s="10" t="str">
        <x:v>Интервью; культура; общество; продвинутые</x:v>
      </x:c>
      <x:c r="F243" s="10" t="str">
        <x:v>B2–C1 (гипотеза)</x:v>
      </x:c>
      <x:c r="G243" s="12" t="n">
        <x:v>28.8</x:v>
      </x:c>
      <x:c r="H243" s="14" t="n">
        <x:v>62835</x:v>
      </x:c>
      <x:c r="I243" s="15" t="str">
        <x:v>Точный счётчик метаданных видео</x:v>
      </x:c>
      <x:c r="J243" s="14" t="n">
        <x:v>62000</x:v>
      </x:c>
      <x:c r="K243" s="14" t="n">
        <x:v>60000</x:v>
      </x:c>
      <x:c r="L243" s="12" t="n">
        <x:f>IF(COUNT(J243:K243)=2,IF(K243=0,"",J243/K243),"")</x:f>
        <x:v>1.0333333333333334</x:v>
      </x:c>
      <x:c r="M243" s="10" t="str">
        <x:v>Тема / гость: גיל חובב.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43" s="10" t="str">
        <x:v>Выбрать 5–8 минут: вопрос, уточнение, развёрнутый ответ. Сформулировать следующий вопрос.</x:v>
      </x:c>
      <x:c r="O243" s="10" t="str">
        <x:v>Взгляды гостя не равны установленным фактам; проверить чувствительные темы</x:v>
      </x:c>
      <x:c r="P243" s="10" t="str">
        <x:v>Длинное интервью</x:v>
      </x:c>
      <x:c r="Q243" s="9" t="str">
        <x:v>Нет</x:v>
      </x:c>
      <x:c r="R243" s="9" t="str">
        <x:v>C015</x:v>
      </x:c>
      <x:c r="S243" s="9" t="str">
        <x:v>C015</x:v>
      </x:c>
      <x:c r="T243" s="10" t="str">
        <x:v>כאן 11 - תאגיד השידור הישראלי</x:v>
      </x:c>
      <x:c r="U243" s="11" t="str">
        <x:v>https://www.youtube.com/watch?v=6qRZfLv_0x4</x:v>
      </x:c>
      <x:c r="V243" s="16" t="n">
        <x:v>46308</x:v>
      </x:c>
      <x:c r="W243" s="16" t="n">
        <x:v>45348</x:v>
      </x:c>
      <x:c r="X243" s="10" t="str">
        <x:v>iw</x:v>
      </x:c>
      <x:c r="Y243" s="10" t="str">
        <x:v>Автоматическая дорожка HE по метаданным</x:v>
      </x:c>
      <x:c r="Z243" s="10" t="str">
        <x:v>Разрешено по метаданным</x:v>
      </x:c>
      <x:c r="AA243" s="10" t="str">
        <x:v>Метаданные видео; воспроизведение и содержание не проверены</x:v>
      </x:c>
      <x:c r="AB243" s="13" t="n">
        <x:f>IF(AND(ISNUMBER(H243),ISNUMBER(W243)),H243/MAX(1,'Обзор'!$B$4-W243),"")</x:f>
        <x:v>65.453125</x:v>
      </x:c>
      <x:c r="AC243" s="17" t="str">
        <x:v>Не решено</x:v>
      </x:c>
      <x:c r="AD243" s="17" t="str">
        <x:v>Не проверено</x:v>
      </x:c>
      <x:c r="AE243" s="17" t="str">
        <x:v>Не проверено</x:v>
      </x:c>
      <x:c r="AF243" s="17" t="str">
        <x:v>Не проверено</x:v>
      </x:c>
      <x:c r="AG243" s="17" t="str">
        <x:v>Не решено</x:v>
      </x:c>
      <x:c r="AH243" s="17" t="str">
        <x:v>Не проверено</x:v>
      </x:c>
      <x:c r="AI243" s="10" t="str">
        <x:f>IF(AC243="Отклонить","Отклонено",IF(AND(AC243="Взять",COUNTIFS(AD243:AH243,"Да")=5),"Готово","Нужна редактура"))</x:f>
        <x:v>Нужна редактура</x:v>
      </x:c>
      <x:c r="AJ243" s="17" t="str"/>
      <x:c r="AK243" s="9" t="str">
        <x:v>https://www.youtube.com/playlist?list=PLLttfoK87AdVhGw3mo3mR2ZH-Zqng_bSS</x:v>
      </x:c>
      <x:c r="AL243" s="9" t="n">
        <x:v>9</x:v>
      </x:c>
      <x:c r="AM243" s="9"/>
      <x:c r="AN243" s="9" t="n">
        <x:v>0</x:v>
      </x:c>
    </x:row>
    <x:row r="244" ht="60" customHeight="1">
      <x:c r="A244" s="9" t="str">
        <x:v>z0laQ_uztXA</x:v>
      </x:c>
      <x:c r="B244" s="10" t="str">
        <x:v>פגישה עם רוני קובן עונה 8 | ליאור רז</x:v>
      </x:c>
      <x:c r="C244" s="10" t="str">
        <x:v>Люди Израиля</x:v>
      </x:c>
      <x:c r="D244" s="9" t="str">
        <x:v>Интервью</x:v>
      </x:c>
      <x:c r="E244" s="10" t="str">
        <x:v>Интервью; культура; общество; продвинутые</x:v>
      </x:c>
      <x:c r="F244" s="10" t="str">
        <x:v>B2–C1 (гипотеза)</x:v>
      </x:c>
      <x:c r="G244" s="12" t="n">
        <x:v>30</x:v>
      </x:c>
      <x:c r="H244" s="14" t="n">
        <x:v>122337</x:v>
      </x:c>
      <x:c r="I244" s="15" t="str">
        <x:v>Точный счётчик метаданных видео</x:v>
      </x:c>
      <x:c r="J244" s="14" t="n">
        <x:v>122000</x:v>
      </x:c>
      <x:c r="K244" s="14" t="n">
        <x:v>60000</x:v>
      </x:c>
      <x:c r="L244" s="12" t="n">
        <x:f>IF(COUNT(J244:K244)=2,IF(K244=0,"",J244/K244),"")</x:f>
        <x:v>2.033333333333333</x:v>
      </x:c>
      <x:c r="M244" s="10" t="str">
        <x:v>Тема / гость: ליאור רז. Просмотры в списке выше медианы выборки этого цикла в 2.03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44" s="10" t="str">
        <x:v>Выбрать 5–8 минут: вопрос, уточнение, развёрнутый ответ. Сформулировать следующий вопрос.</x:v>
      </x:c>
      <x:c r="O244" s="10" t="str">
        <x:v>Взгляды гостя не равны установленным фактам; проверить чувствительные темы</x:v>
      </x:c>
      <x:c r="P244" s="10" t="str">
        <x:v>Длинное интервью</x:v>
      </x:c>
      <x:c r="Q244" s="9" t="str">
        <x:v>Нет</x:v>
      </x:c>
      <x:c r="R244" s="9" t="str">
        <x:v>C015</x:v>
      </x:c>
      <x:c r="S244" s="9" t="str">
        <x:v>C015</x:v>
      </x:c>
      <x:c r="T244" s="10" t="str">
        <x:v>כאן 11 - תאגיד השידור הישראלי</x:v>
      </x:c>
      <x:c r="U244" s="11" t="str">
        <x:v>https://www.youtube.com/watch?v=z0laQ_uztXA</x:v>
      </x:c>
      <x:c r="V244" s="16" t="n">
        <x:v>46308</x:v>
      </x:c>
      <x:c r="W244" s="16" t="n">
        <x:v>45353</x:v>
      </x:c>
      <x:c r="X244" s="10" t="str">
        <x:v>Иврит предполагается по заголовку и источнику</x:v>
      </x:c>
      <x:c r="Y244" s="10" t="str">
        <x:v>Автоматическая дорожка HE по метаданным</x:v>
      </x:c>
      <x:c r="Z244" s="10" t="str">
        <x:v>Разрешено по метаданным</x:v>
      </x:c>
      <x:c r="AA244" s="10" t="str">
        <x:v>Метаданные видео; воспроизведение и содержание не проверены</x:v>
      </x:c>
      <x:c r="AB244" s="13" t="n">
        <x:f>IF(AND(ISNUMBER(H244),ISNUMBER(W244)),H244/MAX(1,'Обзор'!$B$4-W244),"")</x:f>
        <x:v>128.10157068062827</x:v>
      </x:c>
      <x:c r="AC244" s="17" t="str">
        <x:v>Не решено</x:v>
      </x:c>
      <x:c r="AD244" s="17" t="str">
        <x:v>Не проверено</x:v>
      </x:c>
      <x:c r="AE244" s="17" t="str">
        <x:v>Не проверено</x:v>
      </x:c>
      <x:c r="AF244" s="17" t="str">
        <x:v>Не проверено</x:v>
      </x:c>
      <x:c r="AG244" s="17" t="str">
        <x:v>Не решено</x:v>
      </x:c>
      <x:c r="AH244" s="17" t="str">
        <x:v>Не проверено</x:v>
      </x:c>
      <x:c r="AI244" s="10" t="str">
        <x:f>IF(AC244="Отклонить","Отклонено",IF(AND(AC244="Взять",COUNTIFS(AD244:AH244,"Да")=5),"Готово","Нужна редактура"))</x:f>
        <x:v>Нужна редактура</x:v>
      </x:c>
      <x:c r="AJ244" s="17" t="str"/>
      <x:c r="AK244" s="9" t="str">
        <x:v>https://www.youtube.com/playlist?list=PLLttfoK87AdVhGw3mo3mR2ZH-Zqng_bSS</x:v>
      </x:c>
      <x:c r="AL244" s="9" t="n">
        <x:v>10</x:v>
      </x:c>
      <x:c r="AM244" s="9"/>
      <x:c r="AN244" s="9" t="n">
        <x:v>0</x:v>
      </x:c>
    </x:row>
    <x:row r="245" ht="60" customHeight="1">
      <x:c r="A245" s="9" t="str">
        <x:v>w8D_75ZIOPc</x:v>
      </x:c>
      <x:c r="B245" s="10" t="str">
        <x:v>פגישה עם רוני קובן עונה 8 | גאולה אבן</x:v>
      </x:c>
      <x:c r="C245" s="10" t="str">
        <x:v>Люди Израиля</x:v>
      </x:c>
      <x:c r="D245" s="9" t="str">
        <x:v>Интервью</x:v>
      </x:c>
      <x:c r="E245" s="10" t="str">
        <x:v>Интервью; культура; общество; продвинутые</x:v>
      </x:c>
      <x:c r="F245" s="10" t="str">
        <x:v>B2–C1 (гипотеза)</x:v>
      </x:c>
      <x:c r="G245" s="12" t="n">
        <x:v>31</x:v>
      </x:c>
      <x:c r="H245" s="14" t="n">
        <x:v>55000</x:v>
      </x:c>
      <x:c r="I245" s="15" t="str">
        <x:v>Округлённый счётчик в списке YouTube</x:v>
      </x:c>
      <x:c r="J245" s="14" t="n">
        <x:v>55000</x:v>
      </x:c>
      <x:c r="K245" s="14" t="n">
        <x:v>60000</x:v>
      </x:c>
      <x:c r="L245" s="12" t="n">
        <x:f>IF(COUNT(J245:K245)=2,IF(K245=0,"",J245/K245),"")</x:f>
        <x:v>0.9166666666666666</x:v>
      </x:c>
      <x:c r="M245" s="10" t="str">
        <x:v>Тема / гость: גאולה אבן.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45" s="10" t="str">
        <x:v>Выбрать 5–8 минут: вопрос, уточнение, развёрнутый ответ. Сформулировать следующий вопрос.</x:v>
      </x:c>
      <x:c r="O245" s="10" t="str">
        <x:v>Взгляды гостя не равны установленным фактам; проверить чувствительные темы</x:v>
      </x:c>
      <x:c r="P245" s="10" t="str">
        <x:v>Длинное интервью</x:v>
      </x:c>
      <x:c r="Q245" s="9" t="str">
        <x:v>Нет</x:v>
      </x:c>
      <x:c r="R245" s="9" t="str">
        <x:v>C015</x:v>
      </x:c>
      <x:c r="S245" s="9" t="str">
        <x:v>C015</x:v>
      </x:c>
      <x:c r="T245" s="10" t="str">
        <x:v>כאן 11 - תאגיד השידור הישראלי</x:v>
      </x:c>
      <x:c r="U245" s="11" t="str">
        <x:v>https://www.youtube.com/watch?v=w8D_75ZIOPc</x:v>
      </x:c>
      <x:c r="V245" s="16" t="n">
        <x:v>46308</x:v>
      </x:c>
      <x:c r="W245" s="16"/>
      <x:c r="X245" s="10" t="str">
        <x:v>Иврит предполагается по заголовку и источнику</x:v>
      </x:c>
      <x:c r="Y245" s="10" t="str">
        <x:v>Не проверено</x:v>
      </x:c>
      <x:c r="Z245" s="10" t="str">
        <x:v>Не проверено</x:v>
      </x:c>
      <x:c r="AA245" s="10" t="str">
        <x:v>Метаданные списка; видео не просмотрено</x:v>
      </x:c>
      <x:c r="AB245" s="13" t="str">
        <x:f>IF(AND(ISNUMBER(H245),ISNUMBER(W245)),H245/MAX(1,'Обзор'!$B$4-W245),"")</x:f>
      </x:c>
      <x:c r="AC245" s="17" t="str">
        <x:v>Не решено</x:v>
      </x:c>
      <x:c r="AD245" s="17" t="str">
        <x:v>Не проверено</x:v>
      </x:c>
      <x:c r="AE245" s="17" t="str">
        <x:v>Не проверено</x:v>
      </x:c>
      <x:c r="AF245" s="17" t="str">
        <x:v>Не проверено</x:v>
      </x:c>
      <x:c r="AG245" s="17" t="str">
        <x:v>Не решено</x:v>
      </x:c>
      <x:c r="AH245" s="17" t="str">
        <x:v>Не проверено</x:v>
      </x:c>
      <x:c r="AI245" s="10" t="str">
        <x:f>IF(AC245="Отклонить","Отклонено",IF(AND(AC245="Взять",COUNTIFS(AD245:AH245,"Да")=5),"Готово","Нужна редактура"))</x:f>
        <x:v>Нужна редактура</x:v>
      </x:c>
      <x:c r="AJ245" s="17" t="str"/>
      <x:c r="AK245" s="9" t="str">
        <x:v>https://www.youtube.com/playlist?list=PLLttfoK87AdVhGw3mo3mR2ZH-Zqng_bSS</x:v>
      </x:c>
      <x:c r="AL245" s="9" t="n">
        <x:v>11</x:v>
      </x:c>
      <x:c r="AM245" s="9"/>
      <x:c r="AN245" s="9"/>
    </x:row>
    <x:row r="246" ht="60" customHeight="1">
      <x:c r="A246" s="9" t="str">
        <x:v>y3dwbD72XBM</x:v>
      </x:c>
      <x:c r="B246" s="10" t="str">
        <x:v>פגישה עם רוני קובן עונה 8 | רפיק חלבי</x:v>
      </x:c>
      <x:c r="C246" s="10" t="str">
        <x:v>Люди Израиля</x:v>
      </x:c>
      <x:c r="D246" s="9" t="str">
        <x:v>Интервью</x:v>
      </x:c>
      <x:c r="E246" s="10" t="str">
        <x:v>Интервью; культура; общество; продвинутые</x:v>
      </x:c>
      <x:c r="F246" s="10" t="str">
        <x:v>B2–C1 (гипотеза)</x:v>
      </x:c>
      <x:c r="G246" s="12" t="n">
        <x:v>28.4</x:v>
      </x:c>
      <x:c r="H246" s="14" t="n">
        <x:v>27000</x:v>
      </x:c>
      <x:c r="I246" s="15" t="str">
        <x:v>Округлённый счётчик в списке YouTube</x:v>
      </x:c>
      <x:c r="J246" s="14" t="n">
        <x:v>27000</x:v>
      </x:c>
      <x:c r="K246" s="14" t="n">
        <x:v>60000</x:v>
      </x:c>
      <x:c r="L246" s="12" t="n">
        <x:f>IF(COUNT(J246:K246)=2,IF(K246=0,"",J246/K246),"")</x:f>
        <x:v>0.45</x:v>
      </x:c>
      <x:c r="M246" s="10" t="str">
        <x:v>Тема / гость: רפיק חלבי. Просмотры ниже медианы цикла; выбирать за нишевую ценность, а не за массовый охват.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46" s="10" t="str">
        <x:v>Выбрать 5–8 минут: вопрос, уточнение, развёрнутый ответ. Сформулировать следующий вопрос.</x:v>
      </x:c>
      <x:c r="O246" s="10" t="str">
        <x:v>Взгляды гостя не равны установленным фактам; проверить чувствительные темы</x:v>
      </x:c>
      <x:c r="P246" s="10" t="str">
        <x:v>Длинное интервью</x:v>
      </x:c>
      <x:c r="Q246" s="9" t="str">
        <x:v>Нет</x:v>
      </x:c>
      <x:c r="R246" s="9" t="str">
        <x:v>C015</x:v>
      </x:c>
      <x:c r="S246" s="9" t="str">
        <x:v>C015</x:v>
      </x:c>
      <x:c r="T246" s="10" t="str">
        <x:v>כאן 11 - תאגיד השידור הישראלי</x:v>
      </x:c>
      <x:c r="U246" s="11" t="str">
        <x:v>https://www.youtube.com/watch?v=y3dwbD72XBM</x:v>
      </x:c>
      <x:c r="V246" s="16" t="n">
        <x:v>46308</x:v>
      </x:c>
      <x:c r="W246" s="16"/>
      <x:c r="X246" s="10" t="str">
        <x:v>Иврит предполагается по заголовку и источнику</x:v>
      </x:c>
      <x:c r="Y246" s="10" t="str">
        <x:v>Не проверено</x:v>
      </x:c>
      <x:c r="Z246" s="10" t="str">
        <x:v>Не проверено</x:v>
      </x:c>
      <x:c r="AA246" s="10" t="str">
        <x:v>Метаданные списка; видео не просмотрено</x:v>
      </x:c>
      <x:c r="AB246" s="13" t="str">
        <x:f>IF(AND(ISNUMBER(H246),ISNUMBER(W246)),H246/MAX(1,'Обзор'!$B$4-W246),"")</x:f>
      </x:c>
      <x:c r="AC246" s="17" t="str">
        <x:v>Не решено</x:v>
      </x:c>
      <x:c r="AD246" s="17" t="str">
        <x:v>Не проверено</x:v>
      </x:c>
      <x:c r="AE246" s="17" t="str">
        <x:v>Не проверено</x:v>
      </x:c>
      <x:c r="AF246" s="17" t="str">
        <x:v>Не проверено</x:v>
      </x:c>
      <x:c r="AG246" s="17" t="str">
        <x:v>Не решено</x:v>
      </x:c>
      <x:c r="AH246" s="17" t="str">
        <x:v>Не проверено</x:v>
      </x:c>
      <x:c r="AI246" s="10" t="str">
        <x:f>IF(AC246="Отклонить","Отклонено",IF(AND(AC246="Взять",COUNTIFS(AD246:AH246,"Да")=5),"Готово","Нужна редактура"))</x:f>
        <x:v>Нужна редактура</x:v>
      </x:c>
      <x:c r="AJ246" s="17" t="str"/>
      <x:c r="AK246" s="9" t="str">
        <x:v>https://www.youtube.com/playlist?list=PLLttfoK87AdVhGw3mo3mR2ZH-Zqng_bSS</x:v>
      </x:c>
      <x:c r="AL246" s="9" t="n">
        <x:v>12</x:v>
      </x:c>
      <x:c r="AM246" s="9"/>
      <x:c r="AN246" s="9"/>
    </x:row>
    <x:row r="247" ht="60" customHeight="1">
      <x:c r="A247" s="9" t="str">
        <x:v>o0Y5csYxUNc</x:v>
      </x:c>
      <x:c r="B247" s="10" t="str">
        <x:v>פגישה עם רוני קובן עונה 8 | גלית דיסטל אטבריאן</x:v>
      </x:c>
      <x:c r="C247" s="10" t="str">
        <x:v>Люди Израиля</x:v>
      </x:c>
      <x:c r="D247" s="9" t="str">
        <x:v>Интервью</x:v>
      </x:c>
      <x:c r="E247" s="10" t="str">
        <x:v>Интервью; культура; общество; продвинутые</x:v>
      </x:c>
      <x:c r="F247" s="10" t="str">
        <x:v>B2–C1 (гипотеза)</x:v>
      </x:c>
      <x:c r="G247" s="12" t="n">
        <x:v>35</x:v>
      </x:c>
      <x:c r="H247" s="14" t="n">
        <x:v>54000</x:v>
      </x:c>
      <x:c r="I247" s="15" t="str">
        <x:v>Округлённый счётчик в списке YouTube</x:v>
      </x:c>
      <x:c r="J247" s="14" t="n">
        <x:v>54000</x:v>
      </x:c>
      <x:c r="K247" s="14" t="n">
        <x:v>60000</x:v>
      </x:c>
      <x:c r="L247" s="12" t="n">
        <x:f>IF(COUNT(J247:K247)=2,IF(K247=0,"",J247/K247),"")</x:f>
        <x:v>0.9</x:v>
      </x:c>
      <x:c r="M247" s="10" t="str">
        <x:v>Тема / гость: גלית דיסטל אטבריאן.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47" s="10" t="str">
        <x:v>Выбрать 5–8 минут: вопрос, уточнение, развёрнутый ответ. Сформулировать следующий вопрос.</x:v>
      </x:c>
      <x:c r="O247" s="10" t="str">
        <x:v>Взгляды гостя не равны установленным фактам; проверить чувствительные темы</x:v>
      </x:c>
      <x:c r="P247" s="10" t="str">
        <x:v>Длинное интервью</x:v>
      </x:c>
      <x:c r="Q247" s="9" t="str">
        <x:v>Нет</x:v>
      </x:c>
      <x:c r="R247" s="9" t="str">
        <x:v>C015</x:v>
      </x:c>
      <x:c r="S247" s="9" t="str">
        <x:v>C015</x:v>
      </x:c>
      <x:c r="T247" s="10" t="str">
        <x:v>כאן 11 - תאגיד השידור הישראלי</x:v>
      </x:c>
      <x:c r="U247" s="11" t="str">
        <x:v>https://www.youtube.com/watch?v=o0Y5csYxUNc</x:v>
      </x:c>
      <x:c r="V247" s="16" t="n">
        <x:v>46308</x:v>
      </x:c>
      <x:c r="W247" s="16"/>
      <x:c r="X247" s="10" t="str">
        <x:v>Иврит предполагается по заголовку и источнику</x:v>
      </x:c>
      <x:c r="Y247" s="10" t="str">
        <x:v>Не проверено</x:v>
      </x:c>
      <x:c r="Z247" s="10" t="str">
        <x:v>Не проверено</x:v>
      </x:c>
      <x:c r="AA247" s="10" t="str">
        <x:v>Метаданные списка; видео не просмотрено</x:v>
      </x:c>
      <x:c r="AB247" s="13" t="str">
        <x:f>IF(AND(ISNUMBER(H247),ISNUMBER(W247)),H247/MAX(1,'Обзор'!$B$4-W247),"")</x:f>
      </x:c>
      <x:c r="AC247" s="17" t="str">
        <x:v>Не решено</x:v>
      </x:c>
      <x:c r="AD247" s="17" t="str">
        <x:v>Не проверено</x:v>
      </x:c>
      <x:c r="AE247" s="17" t="str">
        <x:v>Не проверено</x:v>
      </x:c>
      <x:c r="AF247" s="17" t="str">
        <x:v>Не проверено</x:v>
      </x:c>
      <x:c r="AG247" s="17" t="str">
        <x:v>Не решено</x:v>
      </x:c>
      <x:c r="AH247" s="17" t="str">
        <x:v>Не проверено</x:v>
      </x:c>
      <x:c r="AI247" s="10" t="str">
        <x:f>IF(AC247="Отклонить","Отклонено",IF(AND(AC247="Взять",COUNTIFS(AD247:AH247,"Да")=5),"Готово","Нужна редактура"))</x:f>
        <x:v>Нужна редактура</x:v>
      </x:c>
      <x:c r="AJ247" s="17" t="str"/>
      <x:c r="AK247" s="9" t="str">
        <x:v>https://www.youtube.com/playlist?list=PLLttfoK87AdVhGw3mo3mR2ZH-Zqng_bSS</x:v>
      </x:c>
      <x:c r="AL247" s="9" t="n">
        <x:v>13</x:v>
      </x:c>
      <x:c r="AM247" s="9"/>
      <x:c r="AN247" s="9"/>
    </x:row>
    <x:row r="248" ht="60" customHeight="1">
      <x:c r="A248" s="9" t="str">
        <x:v>_eab_qGKG4k</x:v>
      </x:c>
      <x:c r="B248" s="10" t="str">
        <x:v>פגישה עם רוני קובן עונה 8 | אביגדור ליברמן</x:v>
      </x:c>
      <x:c r="C248" s="10" t="str">
        <x:v>Люди Израиля</x:v>
      </x:c>
      <x:c r="D248" s="9" t="str">
        <x:v>Интервью</x:v>
      </x:c>
      <x:c r="E248" s="10" t="str">
        <x:v>Интервью; культура; общество; продвинутые</x:v>
      </x:c>
      <x:c r="F248" s="10" t="str">
        <x:v>B2–C1 (гипотеза)</x:v>
      </x:c>
      <x:c r="G248" s="12" t="n">
        <x:v>33.1</x:v>
      </x:c>
      <x:c r="H248" s="14" t="n">
        <x:v>127720</x:v>
      </x:c>
      <x:c r="I248" s="15" t="str">
        <x:v>Точный счётчик метаданных видео</x:v>
      </x:c>
      <x:c r="J248" s="14" t="n">
        <x:v>127000</x:v>
      </x:c>
      <x:c r="K248" s="14" t="n">
        <x:v>60000</x:v>
      </x:c>
      <x:c r="L248" s="12" t="n">
        <x:f>IF(COUNT(J248:K248)=2,IF(K248=0,"",J248/K248),"")</x:f>
        <x:v>2.1166666666666667</x:v>
      </x:c>
      <x:c r="M248" s="10" t="str">
        <x:v>Тема / гость: אביגדור ליברמן. Просмотры в списке выше медианы выборки этого цикла в 2.12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48" s="10" t="str">
        <x:v>Выбрать 5–8 минут: вопрос, уточнение, развёрнутый ответ. Сформулировать следующий вопрос.</x:v>
      </x:c>
      <x:c r="O248" s="10" t="str">
        <x:v>Взгляды гостя не равны установленным фактам; проверить чувствительные темы</x:v>
      </x:c>
      <x:c r="P248" s="10" t="str">
        <x:v>Длинное интервью</x:v>
      </x:c>
      <x:c r="Q248" s="9" t="str">
        <x:v>Нет</x:v>
      </x:c>
      <x:c r="R248" s="9" t="str">
        <x:v>C015</x:v>
      </x:c>
      <x:c r="S248" s="9" t="str">
        <x:v>C015</x:v>
      </x:c>
      <x:c r="T248" s="10" t="str">
        <x:v>כאן 11 - תאגיד השידור הישראלי</x:v>
      </x:c>
      <x:c r="U248" s="11" t="str">
        <x:v>https://www.youtube.com/watch?v=_eab_qGKG4k</x:v>
      </x:c>
      <x:c r="V248" s="16" t="n">
        <x:v>46308</x:v>
      </x:c>
      <x:c r="W248" s="16" t="n">
        <x:v>45388</x:v>
      </x:c>
      <x:c r="X248" s="10" t="str">
        <x:v>Иврит предполагается по заголовку и источнику</x:v>
      </x:c>
      <x:c r="Y248" s="10" t="str">
        <x:v>Автоматическая дорожка HE по метаданным</x:v>
      </x:c>
      <x:c r="Z248" s="10" t="str">
        <x:v>Разрешено по метаданным</x:v>
      </x:c>
      <x:c r="AA248" s="10" t="str">
        <x:v>Метаданные видео; воспроизведение и содержание не проверены</x:v>
      </x:c>
      <x:c r="AB248" s="13" t="n">
        <x:f>IF(AND(ISNUMBER(H248),ISNUMBER(W248)),H248/MAX(1,'Обзор'!$B$4-W248),"")</x:f>
        <x:v>138.82608695652175</x:v>
      </x:c>
      <x:c r="AC248" s="17" t="str">
        <x:v>Не решено</x:v>
      </x:c>
      <x:c r="AD248" s="17" t="str">
        <x:v>Не проверено</x:v>
      </x:c>
      <x:c r="AE248" s="17" t="str">
        <x:v>Не проверено</x:v>
      </x:c>
      <x:c r="AF248" s="17" t="str">
        <x:v>Не проверено</x:v>
      </x:c>
      <x:c r="AG248" s="17" t="str">
        <x:v>Не решено</x:v>
      </x:c>
      <x:c r="AH248" s="17" t="str">
        <x:v>Не проверено</x:v>
      </x:c>
      <x:c r="AI248" s="10" t="str">
        <x:f>IF(AC248="Отклонить","Отклонено",IF(AND(AC248="Взять",COUNTIFS(AD248:AH248,"Да")=5),"Готово","Нужна редактура"))</x:f>
        <x:v>Нужна редактура</x:v>
      </x:c>
      <x:c r="AJ248" s="17" t="str"/>
      <x:c r="AK248" s="9" t="str">
        <x:v>https://www.youtube.com/playlist?list=PLLttfoK87AdVhGw3mo3mR2ZH-Zqng_bSS</x:v>
      </x:c>
      <x:c r="AL248" s="9" t="n">
        <x:v>14</x:v>
      </x:c>
      <x:c r="AM248" s="9"/>
      <x:c r="AN248" s="9" t="n">
        <x:v>0</x:v>
      </x:c>
    </x:row>
    <x:row r="249" ht="60" customHeight="1">
      <x:c r="A249" s="9" t="str">
        <x:v>DTPX_UjGOa8</x:v>
      </x:c>
      <x:c r="B249" s="10" t="str">
        <x:v>פגישה עם רוני קובן עונה 8 | יוסי כהן</x:v>
      </x:c>
      <x:c r="C249" s="10" t="str">
        <x:v>Люди Израиля</x:v>
      </x:c>
      <x:c r="D249" s="9" t="str">
        <x:v>Интервью</x:v>
      </x:c>
      <x:c r="E249" s="10" t="str">
        <x:v>Интервью; культура; общество; продвинутые</x:v>
      </x:c>
      <x:c r="F249" s="10" t="str">
        <x:v>B2–C1 (гипотеза)</x:v>
      </x:c>
      <x:c r="G249" s="12" t="n">
        <x:v>39.7</x:v>
      </x:c>
      <x:c r="H249" s="14" t="n">
        <x:v>344879</x:v>
      </x:c>
      <x:c r="I249" s="15" t="str">
        <x:v>Точный счётчик метаданных видео</x:v>
      </x:c>
      <x:c r="J249" s="14" t="n">
        <x:v>344000</x:v>
      </x:c>
      <x:c r="K249" s="14" t="n">
        <x:v>60000</x:v>
      </x:c>
      <x:c r="L249" s="12" t="n">
        <x:f>IF(COUNT(J249:K249)=2,IF(K249=0,"",J249/K249),"")</x:f>
        <x:v>5.733333333333333</x:v>
      </x:c>
      <x:c r="M249" s="10" t="str">
        <x:v>Тема / гость: יוסי כהן. Просмотры в списке выше медианы выборки этого цикла в 5.73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49" s="10" t="str">
        <x:v>Выбрать 5–8 минут: вопрос, уточнение, развёрнутый ответ. Сформулировать следующий вопрос.</x:v>
      </x:c>
      <x:c r="O249" s="10" t="str">
        <x:v>Взгляды гостя не равны установленным фактам; проверить чувствительные темы</x:v>
      </x:c>
      <x:c r="P249" s="10" t="str">
        <x:v>Длинное интервью</x:v>
      </x:c>
      <x:c r="Q249" s="9" t="str">
        <x:v>Нет</x:v>
      </x:c>
      <x:c r="R249" s="9" t="str">
        <x:v>C015</x:v>
      </x:c>
      <x:c r="S249" s="9" t="str">
        <x:v>C015</x:v>
      </x:c>
      <x:c r="T249" s="10" t="str">
        <x:v>כאן 11 - תאגיד השידור הישראלי</x:v>
      </x:c>
      <x:c r="U249" s="11" t="str">
        <x:v>https://www.youtube.com/watch?v=DTPX_UjGOa8</x:v>
      </x:c>
      <x:c r="V249" s="16" t="n">
        <x:v>46308</x:v>
      </x:c>
      <x:c r="W249" s="16" t="n">
        <x:v>45395</x:v>
      </x:c>
      <x:c r="X249" s="10" t="str">
        <x:v>iw</x:v>
      </x:c>
      <x:c r="Y249" s="10" t="str">
        <x:v>Автоматическая дорожка HE по метаданным</x:v>
      </x:c>
      <x:c r="Z249" s="10" t="str">
        <x:v>Разрешено по метаданным</x:v>
      </x:c>
      <x:c r="AA249" s="10" t="str">
        <x:v>Метаданные видео; воспроизведение и содержание не проверены</x:v>
      </x:c>
      <x:c r="AB249" s="13" t="n">
        <x:f>IF(AND(ISNUMBER(H249),ISNUMBER(W249)),H249/MAX(1,'Обзор'!$B$4-W249),"")</x:f>
        <x:v>377.7426067907996</x:v>
      </x:c>
      <x:c r="AC249" s="17" t="str">
        <x:v>Не решено</x:v>
      </x:c>
      <x:c r="AD249" s="17" t="str">
        <x:v>Не проверено</x:v>
      </x:c>
      <x:c r="AE249" s="17" t="str">
        <x:v>Не проверено</x:v>
      </x:c>
      <x:c r="AF249" s="17" t="str">
        <x:v>Не проверено</x:v>
      </x:c>
      <x:c r="AG249" s="17" t="str">
        <x:v>Не решено</x:v>
      </x:c>
      <x:c r="AH249" s="17" t="str">
        <x:v>Не проверено</x:v>
      </x:c>
      <x:c r="AI249" s="10" t="str">
        <x:f>IF(AC249="Отклонить","Отклонено",IF(AND(AC249="Взять",COUNTIFS(AD249:AH249,"Да")=5),"Готово","Нужна редактура"))</x:f>
        <x:v>Нужна редактура</x:v>
      </x:c>
      <x:c r="AJ249" s="17" t="str"/>
      <x:c r="AK249" s="9" t="str">
        <x:v>https://www.youtube.com/playlist?list=PLLttfoK87AdVhGw3mo3mR2ZH-Zqng_bSS</x:v>
      </x:c>
      <x:c r="AL249" s="9" t="n">
        <x:v>15</x:v>
      </x:c>
      <x:c r="AM249" s="9"/>
      <x:c r="AN249" s="9" t="n">
        <x:v>0</x:v>
      </x:c>
    </x:row>
    <x:row r="250" ht="60" customHeight="1">
      <x:c r="A250" s="9" t="str">
        <x:v>WdT20aG5TjA</x:v>
      </x:c>
      <x:c r="B250" s="10" t="str">
        <x:v>פגישה עם רוני קובן עונה 8 | סולימאן מסוודה</x:v>
      </x:c>
      <x:c r="C250" s="10" t="str">
        <x:v>Люди Израиля</x:v>
      </x:c>
      <x:c r="D250" s="9" t="str">
        <x:v>Интервью</x:v>
      </x:c>
      <x:c r="E250" s="10" t="str">
        <x:v>Интервью; культура; общество; продвинутые</x:v>
      </x:c>
      <x:c r="F250" s="10" t="str">
        <x:v>B2–C1 (гипотеза)</x:v>
      </x:c>
      <x:c r="G250" s="12" t="n">
        <x:v>34.7</x:v>
      </x:c>
      <x:c r="H250" s="14" t="n">
        <x:v>121099</x:v>
      </x:c>
      <x:c r="I250" s="15" t="str">
        <x:v>Точный счётчик метаданных видео</x:v>
      </x:c>
      <x:c r="J250" s="14" t="n">
        <x:v>121000</x:v>
      </x:c>
      <x:c r="K250" s="14" t="n">
        <x:v>60000</x:v>
      </x:c>
      <x:c r="L250" s="12" t="n">
        <x:f>IF(COUNT(J250:K250)=2,IF(K250=0,"",J250/K250),"")</x:f>
        <x:v>2.0166666666666666</x:v>
      </x:c>
      <x:c r="M250" s="10" t="str">
        <x:v>Тема / гость: סולימאן מסוודה. Просмотры в списке выше медианы выборки этого цикла в 2.02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50" s="10" t="str">
        <x:v>Выбрать 5–8 минут: вопрос, уточнение, развёрнутый ответ. Сформулировать следующий вопрос.</x:v>
      </x:c>
      <x:c r="O250" s="10" t="str">
        <x:v>Взгляды гостя не равны установленным фактам; проверить чувствительные темы</x:v>
      </x:c>
      <x:c r="P250" s="10" t="str">
        <x:v>Длинное интервью</x:v>
      </x:c>
      <x:c r="Q250" s="9" t="str">
        <x:v>Нет</x:v>
      </x:c>
      <x:c r="R250" s="9" t="str">
        <x:v>C015</x:v>
      </x:c>
      <x:c r="S250" s="9" t="str">
        <x:v>C015</x:v>
      </x:c>
      <x:c r="T250" s="10" t="str">
        <x:v>כאן 11 - תאגיד השידור הישראלי</x:v>
      </x:c>
      <x:c r="U250" s="11" t="str">
        <x:v>https://www.youtube.com/watch?v=WdT20aG5TjA</x:v>
      </x:c>
      <x:c r="V250" s="16" t="n">
        <x:v>46308</x:v>
      </x:c>
      <x:c r="W250" s="16" t="n">
        <x:v>45402</x:v>
      </x:c>
      <x:c r="X250" s="10" t="str">
        <x:v>Иврит предполагается по заголовку и источнику</x:v>
      </x:c>
      <x:c r="Y250" s="10" t="str">
        <x:v>Ручная дорожка HE по метаданным</x:v>
      </x:c>
      <x:c r="Z250" s="10" t="str">
        <x:v>Разрешено по метаданным</x:v>
      </x:c>
      <x:c r="AA250" s="10" t="str">
        <x:v>Метаданные видео; воспроизведение и содержание не проверены</x:v>
      </x:c>
      <x:c r="AB250" s="13" t="n">
        <x:f>IF(AND(ISNUMBER(H250),ISNUMBER(W250)),H250/MAX(1,'Обзор'!$B$4-W250),"")</x:f>
        <x:v>133.66335540838853</x:v>
      </x:c>
      <x:c r="AC250" s="17" t="str">
        <x:v>Не решено</x:v>
      </x:c>
      <x:c r="AD250" s="17" t="str">
        <x:v>Не проверено</x:v>
      </x:c>
      <x:c r="AE250" s="17" t="str">
        <x:v>Не проверено</x:v>
      </x:c>
      <x:c r="AF250" s="17" t="str">
        <x:v>Не проверено</x:v>
      </x:c>
      <x:c r="AG250" s="17" t="str">
        <x:v>Не решено</x:v>
      </x:c>
      <x:c r="AH250" s="17" t="str">
        <x:v>Не проверено</x:v>
      </x:c>
      <x:c r="AI250" s="10" t="str">
        <x:f>IF(AC250="Отклонить","Отклонено",IF(AND(AC250="Взять",COUNTIFS(AD250:AH250,"Да")=5),"Готово","Нужна редактура"))</x:f>
        <x:v>Нужна редактура</x:v>
      </x:c>
      <x:c r="AJ250" s="17" t="str"/>
      <x:c r="AK250" s="9" t="str">
        <x:v>https://www.youtube.com/playlist?list=PLLttfoK87AdVhGw3mo3mR2ZH-Zqng_bSS</x:v>
      </x:c>
      <x:c r="AL250" s="9" t="n">
        <x:v>16</x:v>
      </x:c>
      <x:c r="AM250" s="9"/>
      <x:c r="AN250" s="9" t="n">
        <x:v>0</x:v>
      </x:c>
    </x:row>
    <x:row r="251" ht="60" customHeight="1">
      <x:c r="A251" s="9" t="str">
        <x:v>an8eymw0SEw</x:v>
      </x:c>
      <x:c r="B251" s="10" t="str">
        <x:v>פגישה עם רוני קובן עונה 8 | דורי בן זאב</x:v>
      </x:c>
      <x:c r="C251" s="10" t="str">
        <x:v>Люди Израиля</x:v>
      </x:c>
      <x:c r="D251" s="9" t="str">
        <x:v>Интервью</x:v>
      </x:c>
      <x:c r="E251" s="10" t="str">
        <x:v>Интервью; культура; общество; продвинутые</x:v>
      </x:c>
      <x:c r="F251" s="10" t="str">
        <x:v>B2–C1 (гипотеза)</x:v>
      </x:c>
      <x:c r="G251" s="12" t="n">
        <x:v>30.3</x:v>
      </x:c>
      <x:c r="H251" s="14" t="n">
        <x:v>33000</x:v>
      </x:c>
      <x:c r="I251" s="15" t="str">
        <x:v>Округлённый счётчик в списке YouTube</x:v>
      </x:c>
      <x:c r="J251" s="14" t="n">
        <x:v>33000</x:v>
      </x:c>
      <x:c r="K251" s="14" t="n">
        <x:v>60000</x:v>
      </x:c>
      <x:c r="L251" s="12" t="n">
        <x:f>IF(COUNT(J251:K251)=2,IF(K251=0,"",J251/K251),"")</x:f>
        <x:v>0.55</x:v>
      </x:c>
      <x:c r="M251" s="10" t="str">
        <x:v>Тема / гость: דורי בן זאב.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51" s="10" t="str">
        <x:v>Выбрать 5–8 минут: вопрос, уточнение, развёрнутый ответ. Сформулировать следующий вопрос.</x:v>
      </x:c>
      <x:c r="O251" s="10" t="str">
        <x:v>Взгляды гостя не равны установленным фактам; проверить чувствительные темы</x:v>
      </x:c>
      <x:c r="P251" s="10" t="str">
        <x:v>Длинное интервью</x:v>
      </x:c>
      <x:c r="Q251" s="9" t="str">
        <x:v>Нет</x:v>
      </x:c>
      <x:c r="R251" s="9" t="str">
        <x:v>C015</x:v>
      </x:c>
      <x:c r="S251" s="9" t="str">
        <x:v>C015</x:v>
      </x:c>
      <x:c r="T251" s="10" t="str">
        <x:v>כאן 11 - תאגיד השידור הישראלי</x:v>
      </x:c>
      <x:c r="U251" s="11" t="str">
        <x:v>https://www.youtube.com/watch?v=an8eymw0SEw</x:v>
      </x:c>
      <x:c r="V251" s="16" t="n">
        <x:v>46308</x:v>
      </x:c>
      <x:c r="W251" s="16"/>
      <x:c r="X251" s="10" t="str">
        <x:v>Иврит предполагается по заголовку и источнику</x:v>
      </x:c>
      <x:c r="Y251" s="10" t="str">
        <x:v>Не проверено</x:v>
      </x:c>
      <x:c r="Z251" s="10" t="str">
        <x:v>Не проверено</x:v>
      </x:c>
      <x:c r="AA251" s="10" t="str">
        <x:v>Метаданные списка; видео не просмотрено</x:v>
      </x:c>
      <x:c r="AB251" s="13" t="str">
        <x:f>IF(AND(ISNUMBER(H251),ISNUMBER(W251)),H251/MAX(1,'Обзор'!$B$4-W251),"")</x:f>
      </x:c>
      <x:c r="AC251" s="17" t="str">
        <x:v>Не решено</x:v>
      </x:c>
      <x:c r="AD251" s="17" t="str">
        <x:v>Не проверено</x:v>
      </x:c>
      <x:c r="AE251" s="17" t="str">
        <x:v>Не проверено</x:v>
      </x:c>
      <x:c r="AF251" s="17" t="str">
        <x:v>Не проверено</x:v>
      </x:c>
      <x:c r="AG251" s="17" t="str">
        <x:v>Не решено</x:v>
      </x:c>
      <x:c r="AH251" s="17" t="str">
        <x:v>Не проверено</x:v>
      </x:c>
      <x:c r="AI251" s="10" t="str">
        <x:f>IF(AC251="Отклонить","Отклонено",IF(AND(AC251="Взять",COUNTIFS(AD251:AH251,"Да")=5),"Готово","Нужна редактура"))</x:f>
        <x:v>Нужна редактура</x:v>
      </x:c>
      <x:c r="AJ251" s="17" t="str"/>
      <x:c r="AK251" s="9" t="str">
        <x:v>https://www.youtube.com/playlist?list=PLLttfoK87AdVhGw3mo3mR2ZH-Zqng_bSS</x:v>
      </x:c>
      <x:c r="AL251" s="9" t="n">
        <x:v>17</x:v>
      </x:c>
      <x:c r="AM251" s="9"/>
      <x:c r="AN251" s="9"/>
    </x:row>
    <x:row r="252" ht="60" customHeight="1">
      <x:c r="A252" s="9" t="str">
        <x:v>8o9shjW2T3E</x:v>
      </x:c>
      <x:c r="B252" s="10" t="str">
        <x:v>פגישה עם רוני קובן עונה 8 | גלי עטרי</x:v>
      </x:c>
      <x:c r="C252" s="10" t="str">
        <x:v>Люди Израиля</x:v>
      </x:c>
      <x:c r="D252" s="9" t="str">
        <x:v>Интервью</x:v>
      </x:c>
      <x:c r="E252" s="10" t="str">
        <x:v>Интервью; культура; общество; продвинутые</x:v>
      </x:c>
      <x:c r="F252" s="10" t="str">
        <x:v>B2–C1 (гипотеза)</x:v>
      </x:c>
      <x:c r="G252" s="12" t="n">
        <x:v>29.4</x:v>
      </x:c>
      <x:c r="H252" s="14" t="n">
        <x:v>34000</x:v>
      </x:c>
      <x:c r="I252" s="15" t="str">
        <x:v>Округлённый счётчик в списке YouTube</x:v>
      </x:c>
      <x:c r="J252" s="14" t="n">
        <x:v>34000</x:v>
      </x:c>
      <x:c r="K252" s="14" t="n">
        <x:v>60000</x:v>
      </x:c>
      <x:c r="L252" s="12" t="n">
        <x:f>IF(COUNT(J252:K252)=2,IF(K252=0,"",J252/K252),"")</x:f>
        <x:v>0.5666666666666667</x:v>
      </x:c>
      <x:c r="M252" s="10" t="str">
        <x:v>Тема / гость: גלי עטרי.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52" s="10" t="str">
        <x:v>Выбрать 5–8 минут: вопрос, уточнение, развёрнутый ответ. Сформулировать следующий вопрос.</x:v>
      </x:c>
      <x:c r="O252" s="10" t="str">
        <x:v>Взгляды гостя не равны установленным фактам; проверить чувствительные темы</x:v>
      </x:c>
      <x:c r="P252" s="10" t="str">
        <x:v>Длинное интервью</x:v>
      </x:c>
      <x:c r="Q252" s="9" t="str">
        <x:v>Нет</x:v>
      </x:c>
      <x:c r="R252" s="9" t="str">
        <x:v>C015</x:v>
      </x:c>
      <x:c r="S252" s="9" t="str">
        <x:v>C015</x:v>
      </x:c>
      <x:c r="T252" s="10" t="str">
        <x:v>כאן 11 - תאגיד השידור הישראלי</x:v>
      </x:c>
      <x:c r="U252" s="11" t="str">
        <x:v>https://www.youtube.com/watch?v=8o9shjW2T3E</x:v>
      </x:c>
      <x:c r="V252" s="16" t="n">
        <x:v>46308</x:v>
      </x:c>
      <x:c r="W252" s="16"/>
      <x:c r="X252" s="10" t="str">
        <x:v>Иврит предполагается по заголовку и источнику</x:v>
      </x:c>
      <x:c r="Y252" s="10" t="str">
        <x:v>Не проверено</x:v>
      </x:c>
      <x:c r="Z252" s="10" t="str">
        <x:v>Не проверено</x:v>
      </x:c>
      <x:c r="AA252" s="10" t="str">
        <x:v>Метаданные списка; видео не просмотрено</x:v>
      </x:c>
      <x:c r="AB252" s="13" t="str">
        <x:f>IF(AND(ISNUMBER(H252),ISNUMBER(W252)),H252/MAX(1,'Обзор'!$B$4-W252),"")</x:f>
      </x:c>
      <x:c r="AC252" s="17" t="str">
        <x:v>Не решено</x:v>
      </x:c>
      <x:c r="AD252" s="17" t="str">
        <x:v>Не проверено</x:v>
      </x:c>
      <x:c r="AE252" s="17" t="str">
        <x:v>Не проверено</x:v>
      </x:c>
      <x:c r="AF252" s="17" t="str">
        <x:v>Не проверено</x:v>
      </x:c>
      <x:c r="AG252" s="17" t="str">
        <x:v>Не решено</x:v>
      </x:c>
      <x:c r="AH252" s="17" t="str">
        <x:v>Не проверено</x:v>
      </x:c>
      <x:c r="AI252" s="10" t="str">
        <x:f>IF(AC252="Отклонить","Отклонено",IF(AND(AC252="Взять",COUNTIFS(AD252:AH252,"Да")=5),"Готово","Нужна редактура"))</x:f>
        <x:v>Нужна редактура</x:v>
      </x:c>
      <x:c r="AJ252" s="17" t="str"/>
      <x:c r="AK252" s="9" t="str">
        <x:v>https://www.youtube.com/playlist?list=PLLttfoK87AdVhGw3mo3mR2ZH-Zqng_bSS</x:v>
      </x:c>
      <x:c r="AL252" s="9" t="n">
        <x:v>18</x:v>
      </x:c>
      <x:c r="AM252" s="9"/>
      <x:c r="AN252" s="9"/>
    </x:row>
    <x:row r="253" ht="60" customHeight="1">
      <x:c r="A253" s="9" t="str">
        <x:v>oINORw9psZ0</x:v>
      </x:c>
      <x:c r="B253" s="10" t="str">
        <x:v>פגישה עם רוני קובן עונה 7 | פרק 1 - רשף לוי</x:v>
      </x:c>
      <x:c r="C253" s="10" t="str">
        <x:v>Люди Израиля</x:v>
      </x:c>
      <x:c r="D253" s="9" t="str">
        <x:v>Интервью</x:v>
      </x:c>
      <x:c r="E253" s="10" t="str">
        <x:v>Интервью; культура; общество; продвинутые</x:v>
      </x:c>
      <x:c r="F253" s="10" t="str">
        <x:v>B2–C1 (гипотеза)</x:v>
      </x:c>
      <x:c r="G253" s="12" t="n">
        <x:v>30.6</x:v>
      </x:c>
      <x:c r="H253" s="14" t="n">
        <x:v>92078</x:v>
      </x:c>
      <x:c r="I253" s="15" t="str">
        <x:v>Точный счётчик метаданных видео</x:v>
      </x:c>
      <x:c r="J253" s="14" t="n">
        <x:v>92000</x:v>
      </x:c>
      <x:c r="K253" s="14" t="n">
        <x:v>48000</x:v>
      </x:c>
      <x:c r="L253" s="12" t="n">
        <x:f>IF(COUNT(J253:K253)=2,IF(K253=0,"",J253/K253),"")</x:f>
        <x:v>1.9166666666666667</x:v>
      </x:c>
      <x:c r="M253" s="10" t="str">
        <x:v>Тема / гость: פרק 1 - רשף לוי. Просмотры в списке выше медианы выборки этого цикла в 1.92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53" s="10" t="str">
        <x:v>Выбрать 5–8 минут: вопрос, уточнение, развёрнутый ответ. Сформулировать следующий вопрос.</x:v>
      </x:c>
      <x:c r="O253" s="10" t="str">
        <x:v>Взгляды гостя не равны установленным фактам; проверить чувствительные темы</x:v>
      </x:c>
      <x:c r="P253" s="10" t="str">
        <x:v>Длинное интервью</x:v>
      </x:c>
      <x:c r="Q253" s="9" t="str">
        <x:v>Нет</x:v>
      </x:c>
      <x:c r="R253" s="9" t="str">
        <x:v>C016</x:v>
      </x:c>
      <x:c r="S253" s="9" t="str">
        <x:v>C016</x:v>
      </x:c>
      <x:c r="T253" s="10" t="str">
        <x:v>כאן 11 - תאגיד השידור הישראלי</x:v>
      </x:c>
      <x:c r="U253" s="11" t="str">
        <x:v>https://www.youtube.com/watch?v=oINORw9psZ0</x:v>
      </x:c>
      <x:c r="V253" s="16" t="n">
        <x:v>46308</x:v>
      </x:c>
      <x:c r="W253" s="16" t="n">
        <x:v>44916</x:v>
      </x:c>
      <x:c r="X253" s="10" t="str">
        <x:v>Иврит предполагается по заголовку и источнику</x:v>
      </x:c>
      <x:c r="Y253" s="10" t="str">
        <x:v>Дорожка HE не найдена в метаданных; вшитые титры не проверены</x:v>
      </x:c>
      <x:c r="Z253" s="10" t="str">
        <x:v>Разрешено по метаданным</x:v>
      </x:c>
      <x:c r="AA253" s="10" t="str">
        <x:v>Метаданные видео; воспроизведение и содержание не проверены</x:v>
      </x:c>
      <x:c r="AB253" s="13" t="n">
        <x:f>IF(AND(ISNUMBER(H253),ISNUMBER(W253)),H253/MAX(1,'Обзор'!$B$4-W253),"")</x:f>
        <x:v>66.14798850574712</x:v>
      </x:c>
      <x:c r="AC253" s="17" t="str">
        <x:v>Не решено</x:v>
      </x:c>
      <x:c r="AD253" s="17" t="str">
        <x:v>Не проверено</x:v>
      </x:c>
      <x:c r="AE253" s="17" t="str">
        <x:v>Не проверено</x:v>
      </x:c>
      <x:c r="AF253" s="17" t="str">
        <x:v>Не проверено</x:v>
      </x:c>
      <x:c r="AG253" s="17" t="str">
        <x:v>Не решено</x:v>
      </x:c>
      <x:c r="AH253" s="17" t="str">
        <x:v>Не проверено</x:v>
      </x:c>
      <x:c r="AI253" s="10" t="str">
        <x:f>IF(AC253="Отклонить","Отклонено",IF(AND(AC253="Взять",COUNTIFS(AD253:AH253,"Да")=5),"Готово","Нужна редактура"))</x:f>
        <x:v>Нужна редактура</x:v>
      </x:c>
      <x:c r="AJ253" s="17" t="str"/>
      <x:c r="AK253" s="9" t="str">
        <x:v>https://www.youtube.com/playlist?list=PLLttfoK87AdX0OgAjJL85tiPgZNyxb4a-</x:v>
      </x:c>
      <x:c r="AL253" s="9" t="n">
        <x:v>1</x:v>
      </x:c>
      <x:c r="AM253" s="9" t="n">
        <x:v>1</x:v>
      </x:c>
      <x:c r="AN253" s="9" t="n">
        <x:v>0</x:v>
      </x:c>
    </x:row>
    <x:row r="254" ht="60" customHeight="1">
      <x:c r="A254" s="9" t="str">
        <x:v>wnKPH1o6s88</x:v>
      </x:c>
      <x:c r="B254" s="10" t="str">
        <x:v>פגישה עם רוני קובן עונה 7 | פרק 2 - זהבה גלאון</x:v>
      </x:c>
      <x:c r="C254" s="10" t="str">
        <x:v>Люди Израиля</x:v>
      </x:c>
      <x:c r="D254" s="9" t="str">
        <x:v>Интервью</x:v>
      </x:c>
      <x:c r="E254" s="10" t="str">
        <x:v>Интервью; культура; общество; продвинутые</x:v>
      </x:c>
      <x:c r="F254" s="10" t="str">
        <x:v>B2–C1 (гипотеза)</x:v>
      </x:c>
      <x:c r="G254" s="12" t="n">
        <x:v>30</x:v>
      </x:c>
      <x:c r="H254" s="14" t="n">
        <x:v>26000</x:v>
      </x:c>
      <x:c r="I254" s="15" t="str">
        <x:v>Округлённый счётчик в списке YouTube</x:v>
      </x:c>
      <x:c r="J254" s="14" t="n">
        <x:v>26000</x:v>
      </x:c>
      <x:c r="K254" s="14" t="n">
        <x:v>48000</x:v>
      </x:c>
      <x:c r="L254" s="12" t="n">
        <x:f>IF(COUNT(J254:K254)=2,IF(K254=0,"",J254/K254),"")</x:f>
        <x:v>0.5416666666666666</x:v>
      </x:c>
      <x:c r="M254" s="10" t="str">
        <x:v>Тема / гость: פרק 2 - זהבה גלאון.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54" s="10" t="str">
        <x:v>Выбрать 5–8 минут: вопрос, уточнение, развёрнутый ответ. Сформулировать следующий вопрос.</x:v>
      </x:c>
      <x:c r="O254" s="10" t="str">
        <x:v>Взгляды гостя не равны установленным фактам; проверить чувствительные темы</x:v>
      </x:c>
      <x:c r="P254" s="10" t="str">
        <x:v>Длинное интервью</x:v>
      </x:c>
      <x:c r="Q254" s="9" t="str">
        <x:v>Нет</x:v>
      </x:c>
      <x:c r="R254" s="9" t="str">
        <x:v>C016</x:v>
      </x:c>
      <x:c r="S254" s="9" t="str">
        <x:v>C016</x:v>
      </x:c>
      <x:c r="T254" s="10" t="str">
        <x:v>כאן 11 - תאגיד השידור הישראלי</x:v>
      </x:c>
      <x:c r="U254" s="11" t="str">
        <x:v>https://www.youtube.com/watch?v=wnKPH1o6s88</x:v>
      </x:c>
      <x:c r="V254" s="16" t="n">
        <x:v>46308</x:v>
      </x:c>
      <x:c r="W254" s="16"/>
      <x:c r="X254" s="10" t="str">
        <x:v>Иврит предполагается по заголовку и источнику</x:v>
      </x:c>
      <x:c r="Y254" s="10" t="str">
        <x:v>Не проверено</x:v>
      </x:c>
      <x:c r="Z254" s="10" t="str">
        <x:v>Не проверено</x:v>
      </x:c>
      <x:c r="AA254" s="10" t="str">
        <x:v>Метаданные списка; видео не просмотрено</x:v>
      </x:c>
      <x:c r="AB254" s="13" t="str">
        <x:f>IF(AND(ISNUMBER(H254),ISNUMBER(W254)),H254/MAX(1,'Обзор'!$B$4-W254),"")</x:f>
      </x:c>
      <x:c r="AC254" s="17" t="str">
        <x:v>Не решено</x:v>
      </x:c>
      <x:c r="AD254" s="17" t="str">
        <x:v>Не проверено</x:v>
      </x:c>
      <x:c r="AE254" s="17" t="str">
        <x:v>Не проверено</x:v>
      </x:c>
      <x:c r="AF254" s="17" t="str">
        <x:v>Не проверено</x:v>
      </x:c>
      <x:c r="AG254" s="17" t="str">
        <x:v>Не решено</x:v>
      </x:c>
      <x:c r="AH254" s="17" t="str">
        <x:v>Не проверено</x:v>
      </x:c>
      <x:c r="AI254" s="10" t="str">
        <x:f>IF(AC254="Отклонить","Отклонено",IF(AND(AC254="Взять",COUNTIFS(AD254:AH254,"Да")=5),"Готово","Нужна редактура"))</x:f>
        <x:v>Нужна редактура</x:v>
      </x:c>
      <x:c r="AJ254" s="17" t="str"/>
      <x:c r="AK254" s="9" t="str">
        <x:v>https://www.youtube.com/playlist?list=PLLttfoK87AdX0OgAjJL85tiPgZNyxb4a-</x:v>
      </x:c>
      <x:c r="AL254" s="9" t="n">
        <x:v>2</x:v>
      </x:c>
      <x:c r="AM254" s="9" t="n">
        <x:v>2</x:v>
      </x:c>
      <x:c r="AN254" s="9"/>
    </x:row>
    <x:row r="255" ht="60" customHeight="1">
      <x:c r="A255" s="9" t="str">
        <x:v>lo7dtiyDB1k</x:v>
      </x:c>
      <x:c r="B255" s="10" t="str">
        <x:v>פגישה עם רוני קובן עונה 7 | פרק 3 - משה אדרי</x:v>
      </x:c>
      <x:c r="C255" s="10" t="str">
        <x:v>Люди Израиля</x:v>
      </x:c>
      <x:c r="D255" s="9" t="str">
        <x:v>Интервью</x:v>
      </x:c>
      <x:c r="E255" s="10" t="str">
        <x:v>Интервью; культура; общество; продвинутые</x:v>
      </x:c>
      <x:c r="F255" s="10" t="str">
        <x:v>B2–C1 (гипотеза)</x:v>
      </x:c>
      <x:c r="G255" s="12" t="n">
        <x:v>29.4</x:v>
      </x:c>
      <x:c r="H255" s="14" t="n">
        <x:v>12000</x:v>
      </x:c>
      <x:c r="I255" s="15" t="str">
        <x:v>Округлённый счётчик в списке YouTube</x:v>
      </x:c>
      <x:c r="J255" s="14" t="n">
        <x:v>12000</x:v>
      </x:c>
      <x:c r="K255" s="14" t="n">
        <x:v>48000</x:v>
      </x:c>
      <x:c r="L255" s="12" t="n">
        <x:f>IF(COUNT(J255:K255)=2,IF(K255=0,"",J255/K255),"")</x:f>
        <x:v>0.25</x:v>
      </x:c>
      <x:c r="M255" s="10" t="str">
        <x:v>Тема / гость: פרק 3 - משה אדרי. Просмотры ниже медианы цикла; выбирать за нишевую ценность, а не за массовый охват.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55" s="10" t="str">
        <x:v>Выбрать 5–8 минут: вопрос, уточнение, развёрнутый ответ. Сформулировать следующий вопрос.</x:v>
      </x:c>
      <x:c r="O255" s="10" t="str">
        <x:v>Взгляды гостя не равны установленным фактам; проверить чувствительные темы</x:v>
      </x:c>
      <x:c r="P255" s="10" t="str">
        <x:v>Длинное интервью</x:v>
      </x:c>
      <x:c r="Q255" s="9" t="str">
        <x:v>Нет</x:v>
      </x:c>
      <x:c r="R255" s="9" t="str">
        <x:v>C016</x:v>
      </x:c>
      <x:c r="S255" s="9" t="str">
        <x:v>C016</x:v>
      </x:c>
      <x:c r="T255" s="10" t="str">
        <x:v>כאן 11 - תאגיד השידור הישראלי</x:v>
      </x:c>
      <x:c r="U255" s="11" t="str">
        <x:v>https://www.youtube.com/watch?v=lo7dtiyDB1k</x:v>
      </x:c>
      <x:c r="V255" s="16" t="n">
        <x:v>46308</x:v>
      </x:c>
      <x:c r="W255" s="16"/>
      <x:c r="X255" s="10" t="str">
        <x:v>Иврит предполагается по заголовку и источнику</x:v>
      </x:c>
      <x:c r="Y255" s="10" t="str">
        <x:v>Не проверено</x:v>
      </x:c>
      <x:c r="Z255" s="10" t="str">
        <x:v>Не проверено</x:v>
      </x:c>
      <x:c r="AA255" s="10" t="str">
        <x:v>Метаданные списка; видео не просмотрено</x:v>
      </x:c>
      <x:c r="AB255" s="13" t="str">
        <x:f>IF(AND(ISNUMBER(H255),ISNUMBER(W255)),H255/MAX(1,'Обзор'!$B$4-W255),"")</x:f>
      </x:c>
      <x:c r="AC255" s="17" t="str">
        <x:v>Не решено</x:v>
      </x:c>
      <x:c r="AD255" s="17" t="str">
        <x:v>Не проверено</x:v>
      </x:c>
      <x:c r="AE255" s="17" t="str">
        <x:v>Не проверено</x:v>
      </x:c>
      <x:c r="AF255" s="17" t="str">
        <x:v>Не проверено</x:v>
      </x:c>
      <x:c r="AG255" s="17" t="str">
        <x:v>Не решено</x:v>
      </x:c>
      <x:c r="AH255" s="17" t="str">
        <x:v>Не проверено</x:v>
      </x:c>
      <x:c r="AI255" s="10" t="str">
        <x:f>IF(AC255="Отклонить","Отклонено",IF(AND(AC255="Взять",COUNTIFS(AD255:AH255,"Да")=5),"Готово","Нужна редактура"))</x:f>
        <x:v>Нужна редактура</x:v>
      </x:c>
      <x:c r="AJ255" s="17" t="str"/>
      <x:c r="AK255" s="9" t="str">
        <x:v>https://www.youtube.com/playlist?list=PLLttfoK87AdX0OgAjJL85tiPgZNyxb4a-</x:v>
      </x:c>
      <x:c r="AL255" s="9" t="n">
        <x:v>3</x:v>
      </x:c>
      <x:c r="AM255" s="9" t="n">
        <x:v>3</x:v>
      </x:c>
      <x:c r="AN255" s="9"/>
    </x:row>
    <x:row r="256" ht="60" customHeight="1">
      <x:c r="A256" s="9" t="str">
        <x:v>lTKIKRqd014</x:v>
      </x:c>
      <x:c r="B256" s="10" t="str">
        <x:v>פגישה עם רוני קובן עונה 7 | פרק 4 - קורין אלאל</x:v>
      </x:c>
      <x:c r="C256" s="10" t="str">
        <x:v>Люди Израиля</x:v>
      </x:c>
      <x:c r="D256" s="9" t="str">
        <x:v>Интервью</x:v>
      </x:c>
      <x:c r="E256" s="10" t="str">
        <x:v>Интервью; культура; общество; продвинутые</x:v>
      </x:c>
      <x:c r="F256" s="10" t="str">
        <x:v>B2–C1 (гипотеза)</x:v>
      </x:c>
      <x:c r="G256" s="12" t="n">
        <x:v>30.1</x:v>
      </x:c>
      <x:c r="H256" s="14" t="n">
        <x:v>51623</x:v>
      </x:c>
      <x:c r="I256" s="15" t="str">
        <x:v>Точный счётчик метаданных видео</x:v>
      </x:c>
      <x:c r="J256" s="14" t="n">
        <x:v>51000</x:v>
      </x:c>
      <x:c r="K256" s="14" t="n">
        <x:v>48000</x:v>
      </x:c>
      <x:c r="L256" s="12" t="n">
        <x:f>IF(COUNT(J256:K256)=2,IF(K256=0,"",J256/K256),"")</x:f>
        <x:v>1.0625</x:v>
      </x:c>
      <x:c r="M256" s="10" t="str">
        <x:v>Тема / гость: פרק 4 - קורין אלאל.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56" s="10" t="str">
        <x:v>Выбрать 5–8 минут: вопрос, уточнение, развёрнутый ответ. Сформулировать следующий вопрос.</x:v>
      </x:c>
      <x:c r="O256" s="10" t="str">
        <x:v>Взгляды гостя не равны установленным фактам; проверить чувствительные темы</x:v>
      </x:c>
      <x:c r="P256" s="10" t="str">
        <x:v>Длинное интервью</x:v>
      </x:c>
      <x:c r="Q256" s="9" t="str">
        <x:v>Нет</x:v>
      </x:c>
      <x:c r="R256" s="9" t="str">
        <x:v>C016</x:v>
      </x:c>
      <x:c r="S256" s="9" t="str">
        <x:v>C016</x:v>
      </x:c>
      <x:c r="T256" s="10" t="str">
        <x:v>כאן 11 - תאגיד השידור הישראלי</x:v>
      </x:c>
      <x:c r="U256" s="11" t="str">
        <x:v>https://www.youtube.com/watch?v=lTKIKRqd014</x:v>
      </x:c>
      <x:c r="V256" s="16" t="n">
        <x:v>46308</x:v>
      </x:c>
      <x:c r="W256" s="16" t="n">
        <x:v>44936</x:v>
      </x:c>
      <x:c r="X256" s="10" t="str">
        <x:v>Иврит предполагается по заголовку и источнику</x:v>
      </x:c>
      <x:c r="Y256" s="10" t="str">
        <x:v>Дорожка HE не найдена в метаданных; вшитые титры не проверены</x:v>
      </x:c>
      <x:c r="Z256" s="10" t="str">
        <x:v>Разрешено по метаданным</x:v>
      </x:c>
      <x:c r="AA256" s="10" t="str">
        <x:v>Метаданные видео; воспроизведение и содержание не проверены</x:v>
      </x:c>
      <x:c r="AB256" s="13" t="n">
        <x:f>IF(AND(ISNUMBER(H256),ISNUMBER(W256)),H256/MAX(1,'Обзор'!$B$4-W256),"")</x:f>
        <x:v>37.62609329446064</x:v>
      </x:c>
      <x:c r="AC256" s="17" t="str">
        <x:v>Не решено</x:v>
      </x:c>
      <x:c r="AD256" s="17" t="str">
        <x:v>Не проверено</x:v>
      </x:c>
      <x:c r="AE256" s="17" t="str">
        <x:v>Не проверено</x:v>
      </x:c>
      <x:c r="AF256" s="17" t="str">
        <x:v>Не проверено</x:v>
      </x:c>
      <x:c r="AG256" s="17" t="str">
        <x:v>Не решено</x:v>
      </x:c>
      <x:c r="AH256" s="17" t="str">
        <x:v>Не проверено</x:v>
      </x:c>
      <x:c r="AI256" s="10" t="str">
        <x:f>IF(AC256="Отклонить","Отклонено",IF(AND(AC256="Взять",COUNTIFS(AD256:AH256,"Да")=5),"Готово","Нужна редактура"))</x:f>
        <x:v>Нужна редактура</x:v>
      </x:c>
      <x:c r="AJ256" s="17" t="str"/>
      <x:c r="AK256" s="9" t="str">
        <x:v>https://www.youtube.com/playlist?list=PLLttfoK87AdX0OgAjJL85tiPgZNyxb4a-</x:v>
      </x:c>
      <x:c r="AL256" s="9" t="n">
        <x:v>4</x:v>
      </x:c>
      <x:c r="AM256" s="9" t="n">
        <x:v>4</x:v>
      </x:c>
      <x:c r="AN256" s="9" t="n">
        <x:v>0</x:v>
      </x:c>
    </x:row>
    <x:row r="257" ht="60" customHeight="1">
      <x:c r="A257" s="9" t="str">
        <x:v>kqZOmtje0fM</x:v>
      </x:c>
      <x:c r="B257" s="10" t="str">
        <x:v>פגישה עם רוני קובן עונה 7 | פרק 5 - רן דנקר</x:v>
      </x:c>
      <x:c r="C257" s="10" t="str">
        <x:v>Люди Израиля</x:v>
      </x:c>
      <x:c r="D257" s="9" t="str">
        <x:v>Интервью</x:v>
      </x:c>
      <x:c r="E257" s="10" t="str">
        <x:v>Интервью; культура; общество; продвинутые</x:v>
      </x:c>
      <x:c r="F257" s="10" t="str">
        <x:v>B2–C1 (гипотеза)</x:v>
      </x:c>
      <x:c r="G257" s="12" t="n">
        <x:v>35.5</x:v>
      </x:c>
      <x:c r="H257" s="14" t="n">
        <x:v>69090</x:v>
      </x:c>
      <x:c r="I257" s="15" t="str">
        <x:v>Точный счётчик метаданных видео</x:v>
      </x:c>
      <x:c r="J257" s="14" t="n">
        <x:v>69000</x:v>
      </x:c>
      <x:c r="K257" s="14" t="n">
        <x:v>48000</x:v>
      </x:c>
      <x:c r="L257" s="12" t="n">
        <x:f>IF(COUNT(J257:K257)=2,IF(K257=0,"",J257/K257),"")</x:f>
        <x:v>1.4375</x:v>
      </x:c>
      <x:c r="M257" s="10" t="str">
        <x:v>Тема / гость: פרק 5 - רן דנקר.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57" s="10" t="str">
        <x:v>Выбрать 5–8 минут: вопрос, уточнение, развёрнутый ответ. Сформулировать следующий вопрос.</x:v>
      </x:c>
      <x:c r="O257" s="10" t="str">
        <x:v>Взгляды гостя не равны установленным фактам; проверить чувствительные темы</x:v>
      </x:c>
      <x:c r="P257" s="10" t="str">
        <x:v>Длинное интервью</x:v>
      </x:c>
      <x:c r="Q257" s="9" t="str">
        <x:v>Нет</x:v>
      </x:c>
      <x:c r="R257" s="9" t="str">
        <x:v>C016</x:v>
      </x:c>
      <x:c r="S257" s="9" t="str">
        <x:v>C016</x:v>
      </x:c>
      <x:c r="T257" s="10" t="str">
        <x:v>כאן 11 - תאגיד השידור הישראלי</x:v>
      </x:c>
      <x:c r="U257" s="11" t="str">
        <x:v>https://www.youtube.com/watch?v=kqZOmtje0fM</x:v>
      </x:c>
      <x:c r="V257" s="16" t="n">
        <x:v>46308</x:v>
      </x:c>
      <x:c r="W257" s="16" t="n">
        <x:v>44943</x:v>
      </x:c>
      <x:c r="X257" s="10" t="str">
        <x:v>Иврит предполагается по заголовку и источнику</x:v>
      </x:c>
      <x:c r="Y257" s="10" t="str">
        <x:v>Автоматическая дорожка HE по метаданным</x:v>
      </x:c>
      <x:c r="Z257" s="10" t="str">
        <x:v>Разрешено по метаданным</x:v>
      </x:c>
      <x:c r="AA257" s="10" t="str">
        <x:v>Метаданные видео; воспроизведение и содержание не проверены</x:v>
      </x:c>
      <x:c r="AB257" s="13" t="n">
        <x:f>IF(AND(ISNUMBER(H257),ISNUMBER(W257)),H257/MAX(1,'Обзор'!$B$4-W257),"")</x:f>
        <x:v>50.61538461538461</x:v>
      </x:c>
      <x:c r="AC257" s="17" t="str">
        <x:v>Не решено</x:v>
      </x:c>
      <x:c r="AD257" s="17" t="str">
        <x:v>Не проверено</x:v>
      </x:c>
      <x:c r="AE257" s="17" t="str">
        <x:v>Не проверено</x:v>
      </x:c>
      <x:c r="AF257" s="17" t="str">
        <x:v>Не проверено</x:v>
      </x:c>
      <x:c r="AG257" s="17" t="str">
        <x:v>Не решено</x:v>
      </x:c>
      <x:c r="AH257" s="17" t="str">
        <x:v>Не проверено</x:v>
      </x:c>
      <x:c r="AI257" s="10" t="str">
        <x:f>IF(AC257="Отклонить","Отклонено",IF(AND(AC257="Взять",COUNTIFS(AD257:AH257,"Да")=5),"Готово","Нужна редактура"))</x:f>
        <x:v>Нужна редактура</x:v>
      </x:c>
      <x:c r="AJ257" s="17" t="str"/>
      <x:c r="AK257" s="9" t="str">
        <x:v>https://www.youtube.com/playlist?list=PLLttfoK87AdX0OgAjJL85tiPgZNyxb4a-</x:v>
      </x:c>
      <x:c r="AL257" s="9" t="n">
        <x:v>5</x:v>
      </x:c>
      <x:c r="AM257" s="9" t="n">
        <x:v>5</x:v>
      </x:c>
      <x:c r="AN257" s="9" t="n">
        <x:v>0</x:v>
      </x:c>
    </x:row>
    <x:row r="258" ht="60" customHeight="1">
      <x:c r="A258" s="9" t="str">
        <x:v>Hh9uuhi8xxc</x:v>
      </x:c>
      <x:c r="B258" s="10" t="str">
        <x:v>פגישה עם רוני קובן עונה 7 | פרק 6 - אהרן ברק</x:v>
      </x:c>
      <x:c r="C258" s="10" t="str">
        <x:v>Люди Израиля</x:v>
      </x:c>
      <x:c r="D258" s="9" t="str">
        <x:v>Интервью</x:v>
      </x:c>
      <x:c r="E258" s="10" t="str">
        <x:v>Интервью; культура; общество; продвинутые</x:v>
      </x:c>
      <x:c r="F258" s="10" t="str">
        <x:v>B2–C1 (гипотеза)</x:v>
      </x:c>
      <x:c r="G258" s="12" t="n">
        <x:v>68.7</x:v>
      </x:c>
      <x:c r="H258" s="14" t="n">
        <x:v>297204</x:v>
      </x:c>
      <x:c r="I258" s="15" t="str">
        <x:v>Точный счётчик метаданных видео</x:v>
      </x:c>
      <x:c r="J258" s="14" t="n">
        <x:v>297000</x:v>
      </x:c>
      <x:c r="K258" s="14" t="n">
        <x:v>48000</x:v>
      </x:c>
      <x:c r="L258" s="12" t="n">
        <x:f>IF(COUNT(J258:K258)=2,IF(K258=0,"",J258/K258),"")</x:f>
        <x:v>6.1875</x:v>
      </x:c>
      <x:c r="M258" s="10" t="str">
        <x:v>Тема / гость: פרק 6 - אהרן ברק. Просмотры в списке выше медианы выборки этого цикла в 6.19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58" s="10" t="str">
        <x:v>Выбрать 5–8 минут: вопрос, уточнение, развёрнутый ответ. Сформулировать следующий вопрос.</x:v>
      </x:c>
      <x:c r="O258" s="10" t="str">
        <x:v>Взгляды гостя не равны установленным фактам; проверить чувствительные темы</x:v>
      </x:c>
      <x:c r="P258" s="10" t="str">
        <x:v>Длинное интервью</x:v>
      </x:c>
      <x:c r="Q258" s="9" t="str">
        <x:v>Нет</x:v>
      </x:c>
      <x:c r="R258" s="9" t="str">
        <x:v>C016</x:v>
      </x:c>
      <x:c r="S258" s="9" t="str">
        <x:v>C016</x:v>
      </x:c>
      <x:c r="T258" s="10" t="str">
        <x:v>כאן 11 - תאגיד השידור הישראלי</x:v>
      </x:c>
      <x:c r="U258" s="11" t="str">
        <x:v>https://www.youtube.com/watch?v=Hh9uuhi8xxc</x:v>
      </x:c>
      <x:c r="V258" s="16" t="n">
        <x:v>46308</x:v>
      </x:c>
      <x:c r="W258" s="16" t="n">
        <x:v>44970</x:v>
      </x:c>
      <x:c r="X258" s="10" t="str">
        <x:v>Иврит предполагается по заголовку и источнику</x:v>
      </x:c>
      <x:c r="Y258" s="10" t="str">
        <x:v>Дорожка HE не найдена в метаданных; вшитые титры не проверены</x:v>
      </x:c>
      <x:c r="Z258" s="10" t="str">
        <x:v>Разрешено по метаданным</x:v>
      </x:c>
      <x:c r="AA258" s="10" t="str">
        <x:v>Метаданные видео; воспроизведение и содержание не проверены</x:v>
      </x:c>
      <x:c r="AB258" s="13" t="n">
        <x:f>IF(AND(ISNUMBER(H258),ISNUMBER(W258)),H258/MAX(1,'Обзор'!$B$4-W258),"")</x:f>
        <x:v>222.1255605381166</x:v>
      </x:c>
      <x:c r="AC258" s="17" t="str">
        <x:v>Не решено</x:v>
      </x:c>
      <x:c r="AD258" s="17" t="str">
        <x:v>Не проверено</x:v>
      </x:c>
      <x:c r="AE258" s="17" t="str">
        <x:v>Не проверено</x:v>
      </x:c>
      <x:c r="AF258" s="17" t="str">
        <x:v>Не проверено</x:v>
      </x:c>
      <x:c r="AG258" s="17" t="str">
        <x:v>Не решено</x:v>
      </x:c>
      <x:c r="AH258" s="17" t="str">
        <x:v>Не проверено</x:v>
      </x:c>
      <x:c r="AI258" s="10" t="str">
        <x:f>IF(AC258="Отклонить","Отклонено",IF(AND(AC258="Взять",COUNTIFS(AD258:AH258,"Да")=5),"Готово","Нужна редактура"))</x:f>
        <x:v>Нужна редактура</x:v>
      </x:c>
      <x:c r="AJ258" s="17" t="str"/>
      <x:c r="AK258" s="9" t="str">
        <x:v>https://www.youtube.com/playlist?list=PLLttfoK87AdX0OgAjJL85tiPgZNyxb4a-</x:v>
      </x:c>
      <x:c r="AL258" s="9" t="n">
        <x:v>6</x:v>
      </x:c>
      <x:c r="AM258" s="9" t="n">
        <x:v>6</x:v>
      </x:c>
      <x:c r="AN258" s="9" t="n">
        <x:v>0</x:v>
      </x:c>
    </x:row>
    <x:row r="259" ht="60" customHeight="1">
      <x:c r="A259" s="9" t="str">
        <x:v>FKZ1sPzvFjU</x:v>
      </x:c>
      <x:c r="B259" s="10" t="str">
        <x:v>פגישה עם רוני קובן עונה 7 | פרק 7 - אדיר מילר</x:v>
      </x:c>
      <x:c r="C259" s="10" t="str">
        <x:v>Люди Израиля</x:v>
      </x:c>
      <x:c r="D259" s="9" t="str">
        <x:v>Интервью</x:v>
      </x:c>
      <x:c r="E259" s="10" t="str">
        <x:v>Интервью; культура; общество; продвинутые</x:v>
      </x:c>
      <x:c r="F259" s="10" t="str">
        <x:v>B2–C1 (гипотеза)</x:v>
      </x:c>
      <x:c r="G259" s="12" t="n">
        <x:v>30</x:v>
      </x:c>
      <x:c r="H259" s="14" t="n">
        <x:v>349135</x:v>
      </x:c>
      <x:c r="I259" s="15" t="str">
        <x:v>Точный счётчик метаданных видео</x:v>
      </x:c>
      <x:c r="J259" s="14" t="n">
        <x:v>349000</x:v>
      </x:c>
      <x:c r="K259" s="14" t="n">
        <x:v>48000</x:v>
      </x:c>
      <x:c r="L259" s="12" t="n">
        <x:f>IF(COUNT(J259:K259)=2,IF(K259=0,"",J259/K259),"")</x:f>
        <x:v>7.270833333333333</x:v>
      </x:c>
      <x:c r="M259" s="10" t="str">
        <x:v>Тема / гость: פרק 7 - אדיר מילר. Просмотры в списке выше медианы выборки этого цикла в 7.27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59" s="10" t="str">
        <x:v>Выбрать 5–8 минут: вопрос, уточнение, развёрнутый ответ. Сформулировать следующий вопрос.</x:v>
      </x:c>
      <x:c r="O259" s="10" t="str">
        <x:v>Взгляды гостя не равны установленным фактам; проверить чувствительные темы</x:v>
      </x:c>
      <x:c r="P259" s="10" t="str">
        <x:v>Длинное интервью</x:v>
      </x:c>
      <x:c r="Q259" s="9" t="str">
        <x:v>Нет</x:v>
      </x:c>
      <x:c r="R259" s="9" t="str">
        <x:v>C016</x:v>
      </x:c>
      <x:c r="S259" s="9" t="str">
        <x:v>C016</x:v>
      </x:c>
      <x:c r="T259" s="10" t="str">
        <x:v>כאן 11 - תאגיד השידור הישראלי</x:v>
      </x:c>
      <x:c r="U259" s="11" t="str">
        <x:v>https://www.youtube.com/watch?v=FKZ1sPzvFjU</x:v>
      </x:c>
      <x:c r="V259" s="16" t="n">
        <x:v>46308</x:v>
      </x:c>
      <x:c r="W259" s="16" t="n">
        <x:v>44977</x:v>
      </x:c>
      <x:c r="X259" s="10" t="str">
        <x:v>iw</x:v>
      </x:c>
      <x:c r="Y259" s="10" t="str">
        <x:v>Автоматическая дорожка HE по метаданным</x:v>
      </x:c>
      <x:c r="Z259" s="10" t="str">
        <x:v>Разрешено по метаданным</x:v>
      </x:c>
      <x:c r="AA259" s="10" t="str">
        <x:v>Метаданные видео; воспроизведение и содержание не проверены</x:v>
      </x:c>
      <x:c r="AB259" s="13" t="n">
        <x:f>IF(AND(ISNUMBER(H259),ISNUMBER(W259)),H259/MAX(1,'Обзор'!$B$4-W259),"")</x:f>
        <x:v>262.3102930127724</x:v>
      </x:c>
      <x:c r="AC259" s="17" t="str">
        <x:v>Не решено</x:v>
      </x:c>
      <x:c r="AD259" s="17" t="str">
        <x:v>Не проверено</x:v>
      </x:c>
      <x:c r="AE259" s="17" t="str">
        <x:v>Не проверено</x:v>
      </x:c>
      <x:c r="AF259" s="17" t="str">
        <x:v>Не проверено</x:v>
      </x:c>
      <x:c r="AG259" s="17" t="str">
        <x:v>Не решено</x:v>
      </x:c>
      <x:c r="AH259" s="17" t="str">
        <x:v>Не проверено</x:v>
      </x:c>
      <x:c r="AI259" s="10" t="str">
        <x:f>IF(AC259="Отклонить","Отклонено",IF(AND(AC259="Взять",COUNTIFS(AD259:AH259,"Да")=5),"Готово","Нужна редактура"))</x:f>
        <x:v>Нужна редактура</x:v>
      </x:c>
      <x:c r="AJ259" s="17" t="str"/>
      <x:c r="AK259" s="9" t="str">
        <x:v>https://www.youtube.com/playlist?list=PLLttfoK87AdX0OgAjJL85tiPgZNyxb4a-</x:v>
      </x:c>
      <x:c r="AL259" s="9" t="n">
        <x:v>7</x:v>
      </x:c>
      <x:c r="AM259" s="9" t="n">
        <x:v>7</x:v>
      </x:c>
      <x:c r="AN259" s="9" t="n">
        <x:v>0</x:v>
      </x:c>
    </x:row>
    <x:row r="260" ht="60" customHeight="1">
      <x:c r="A260" s="9" t="str">
        <x:v>Mk_uZLZTjSU</x:v>
      </x:c>
      <x:c r="B260" s="10" t="str">
        <x:v>פגישה עם רוני קובן עונה 7 | פרק 8 - מיקי חיימוביץ'</x:v>
      </x:c>
      <x:c r="C260" s="10" t="str">
        <x:v>Люди Израиля</x:v>
      </x:c>
      <x:c r="D260" s="9" t="str">
        <x:v>Интервью</x:v>
      </x:c>
      <x:c r="E260" s="10" t="str">
        <x:v>Интервью; культура; общество; продвинутые</x:v>
      </x:c>
      <x:c r="F260" s="10" t="str">
        <x:v>B2–C1 (гипотеза)</x:v>
      </x:c>
      <x:c r="G260" s="12" t="n">
        <x:v>30.4</x:v>
      </x:c>
      <x:c r="H260" s="14" t="n">
        <x:v>42000</x:v>
      </x:c>
      <x:c r="I260" s="15" t="str">
        <x:v>Округлённый счётчик в списке YouTube</x:v>
      </x:c>
      <x:c r="J260" s="14" t="n">
        <x:v>42000</x:v>
      </x:c>
      <x:c r="K260" s="14" t="n">
        <x:v>48000</x:v>
      </x:c>
      <x:c r="L260" s="12" t="n">
        <x:f>IF(COUNT(J260:K260)=2,IF(K260=0,"",J260/K260),"")</x:f>
        <x:v>0.875</x:v>
      </x:c>
      <x:c r="M260" s="10" t="str">
        <x:v>Тема / гость: פרק 8 - מיקי חיימוביץ'.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60" s="10" t="str">
        <x:v>Выбрать 5–8 минут: вопрос, уточнение, развёрнутый ответ. Сформулировать следующий вопрос.</x:v>
      </x:c>
      <x:c r="O260" s="10" t="str">
        <x:v>Взгляды гостя не равны установленным фактам; проверить чувствительные темы</x:v>
      </x:c>
      <x:c r="P260" s="10" t="str">
        <x:v>Длинное интервью</x:v>
      </x:c>
      <x:c r="Q260" s="9" t="str">
        <x:v>Нет</x:v>
      </x:c>
      <x:c r="R260" s="9" t="str">
        <x:v>C016</x:v>
      </x:c>
      <x:c r="S260" s="9" t="str">
        <x:v>C016</x:v>
      </x:c>
      <x:c r="T260" s="10" t="str">
        <x:v>כאן 11 - תאגיד השידור הישראלי</x:v>
      </x:c>
      <x:c r="U260" s="11" t="str">
        <x:v>https://www.youtube.com/watch?v=Mk_uZLZTjSU</x:v>
      </x:c>
      <x:c r="V260" s="16" t="n">
        <x:v>46308</x:v>
      </x:c>
      <x:c r="W260" s="16"/>
      <x:c r="X260" s="10" t="str">
        <x:v>Иврит предполагается по заголовку и источнику</x:v>
      </x:c>
      <x:c r="Y260" s="10" t="str">
        <x:v>Не проверено</x:v>
      </x:c>
      <x:c r="Z260" s="10" t="str">
        <x:v>Не проверено</x:v>
      </x:c>
      <x:c r="AA260" s="10" t="str">
        <x:v>Метаданные списка; видео не просмотрено</x:v>
      </x:c>
      <x:c r="AB260" s="13" t="str">
        <x:f>IF(AND(ISNUMBER(H260),ISNUMBER(W260)),H260/MAX(1,'Обзор'!$B$4-W260),"")</x:f>
      </x:c>
      <x:c r="AC260" s="17" t="str">
        <x:v>Не решено</x:v>
      </x:c>
      <x:c r="AD260" s="17" t="str">
        <x:v>Не проверено</x:v>
      </x:c>
      <x:c r="AE260" s="17" t="str">
        <x:v>Не проверено</x:v>
      </x:c>
      <x:c r="AF260" s="17" t="str">
        <x:v>Не проверено</x:v>
      </x:c>
      <x:c r="AG260" s="17" t="str">
        <x:v>Не решено</x:v>
      </x:c>
      <x:c r="AH260" s="17" t="str">
        <x:v>Не проверено</x:v>
      </x:c>
      <x:c r="AI260" s="10" t="str">
        <x:f>IF(AC260="Отклонить","Отклонено",IF(AND(AC260="Взять",COUNTIFS(AD260:AH260,"Да")=5),"Готово","Нужна редактура"))</x:f>
        <x:v>Нужна редактура</x:v>
      </x:c>
      <x:c r="AJ260" s="17" t="str"/>
      <x:c r="AK260" s="9" t="str">
        <x:v>https://www.youtube.com/playlist?list=PLLttfoK87AdX0OgAjJL85tiPgZNyxb4a-</x:v>
      </x:c>
      <x:c r="AL260" s="9" t="n">
        <x:v>8</x:v>
      </x:c>
      <x:c r="AM260" s="9" t="n">
        <x:v>8</x:v>
      </x:c>
      <x:c r="AN260" s="9"/>
    </x:row>
    <x:row r="261" ht="60" customHeight="1">
      <x:c r="A261" s="9" t="str">
        <x:v>LUia--Pcjtk</x:v>
      </x:c>
      <x:c r="B261" s="10" t="str">
        <x:v>פגישה עם רוני קובן עונה 7 | פרק 9 - יהורם גאון</x:v>
      </x:c>
      <x:c r="C261" s="10" t="str">
        <x:v>Люди Израиля</x:v>
      </x:c>
      <x:c r="D261" s="9" t="str">
        <x:v>Интервью</x:v>
      </x:c>
      <x:c r="E261" s="10" t="str">
        <x:v>Интервью; культура; общество; продвинутые</x:v>
      </x:c>
      <x:c r="F261" s="10" t="str">
        <x:v>B2–C1 (гипотеза)</x:v>
      </x:c>
      <x:c r="G261" s="12" t="n">
        <x:v>29.8</x:v>
      </x:c>
      <x:c r="H261" s="14" t="n">
        <x:v>189258</x:v>
      </x:c>
      <x:c r="I261" s="15" t="str">
        <x:v>Точный счётчик метаданных видео</x:v>
      </x:c>
      <x:c r="J261" s="14" t="n">
        <x:v>189000</x:v>
      </x:c>
      <x:c r="K261" s="14" t="n">
        <x:v>48000</x:v>
      </x:c>
      <x:c r="L261" s="12" t="n">
        <x:f>IF(COUNT(J261:K261)=2,IF(K261=0,"",J261/K261),"")</x:f>
        <x:v>3.9375</x:v>
      </x:c>
      <x:c r="M261" s="10" t="str">
        <x:v>Тема / гость: פרק 9 - יהורם גאון. Просмотры в списке выше медианы выборки этого цикла в 3.94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61" s="10" t="str">
        <x:v>Выбрать 5–8 минут: вопрос, уточнение, развёрнутый ответ. Сформулировать следующий вопрос.</x:v>
      </x:c>
      <x:c r="O261" s="10" t="str">
        <x:v>Взгляды гостя не равны установленным фактам; проверить чувствительные темы</x:v>
      </x:c>
      <x:c r="P261" s="10" t="str">
        <x:v>Длинное интервью</x:v>
      </x:c>
      <x:c r="Q261" s="9" t="str">
        <x:v>Нет</x:v>
      </x:c>
      <x:c r="R261" s="9" t="str">
        <x:v>C016</x:v>
      </x:c>
      <x:c r="S261" s="9" t="str">
        <x:v>C016</x:v>
      </x:c>
      <x:c r="T261" s="10" t="str">
        <x:v>כאן 11 - תאגיד השידור הישראלי</x:v>
      </x:c>
      <x:c r="U261" s="11" t="str">
        <x:v>https://www.youtube.com/watch?v=LUia--Pcjtk</x:v>
      </x:c>
      <x:c r="V261" s="16" t="n">
        <x:v>46308</x:v>
      </x:c>
      <x:c r="W261" s="16" t="n">
        <x:v>44998</x:v>
      </x:c>
      <x:c r="X261" s="10" t="str">
        <x:v>Иврит предполагается по заголовку и источнику</x:v>
      </x:c>
      <x:c r="Y261" s="10" t="str">
        <x:v>Дорожка HE не найдена в метаданных; вшитые титры не проверены</x:v>
      </x:c>
      <x:c r="Z261" s="10" t="str">
        <x:v>Разрешено по метаданным</x:v>
      </x:c>
      <x:c r="AA261" s="10" t="str">
        <x:v>Метаданные видео; воспроизведение и содержание не проверены</x:v>
      </x:c>
      <x:c r="AB261" s="13" t="n">
        <x:f>IF(AND(ISNUMBER(H261),ISNUMBER(W261)),H261/MAX(1,'Обзор'!$B$4-W261),"")</x:f>
        <x:v>144.47175572519083</x:v>
      </x:c>
      <x:c r="AC261" s="17" t="str">
        <x:v>Не решено</x:v>
      </x:c>
      <x:c r="AD261" s="17" t="str">
        <x:v>Не проверено</x:v>
      </x:c>
      <x:c r="AE261" s="17" t="str">
        <x:v>Не проверено</x:v>
      </x:c>
      <x:c r="AF261" s="17" t="str">
        <x:v>Не проверено</x:v>
      </x:c>
      <x:c r="AG261" s="17" t="str">
        <x:v>Не решено</x:v>
      </x:c>
      <x:c r="AH261" s="17" t="str">
        <x:v>Не проверено</x:v>
      </x:c>
      <x:c r="AI261" s="10" t="str">
        <x:f>IF(AC261="Отклонить","Отклонено",IF(AND(AC261="Взять",COUNTIFS(AD261:AH261,"Да")=5),"Готово","Нужна редактура"))</x:f>
        <x:v>Нужна редактура</x:v>
      </x:c>
      <x:c r="AJ261" s="17" t="str"/>
      <x:c r="AK261" s="9" t="str">
        <x:v>https://www.youtube.com/playlist?list=PLLttfoK87AdX0OgAjJL85tiPgZNyxb4a-</x:v>
      </x:c>
      <x:c r="AL261" s="9" t="n">
        <x:v>9</x:v>
      </x:c>
      <x:c r="AM261" s="9" t="n">
        <x:v>9</x:v>
      </x:c>
      <x:c r="AN261" s="9" t="n">
        <x:v>0</x:v>
      </x:c>
    </x:row>
    <x:row r="262" ht="60" customHeight="1">
      <x:c r="A262" s="9" t="str">
        <x:v>-cRgpSfNeZ4</x:v>
      </x:c>
      <x:c r="B262" s="10" t="str">
        <x:v>פגישה עם רוני קובן עונה 7 | פרק 10 - דן שכטמן</x:v>
      </x:c>
      <x:c r="C262" s="10" t="str">
        <x:v>Люди Израиля</x:v>
      </x:c>
      <x:c r="D262" s="9" t="str">
        <x:v>Интервью</x:v>
      </x:c>
      <x:c r="E262" s="10" t="str">
        <x:v>Интервью; культура; общество; продвинутые</x:v>
      </x:c>
      <x:c r="F262" s="10" t="str">
        <x:v>B2–C1 (гипотеза)</x:v>
      </x:c>
      <x:c r="G262" s="12" t="n">
        <x:v>29.2</x:v>
      </x:c>
      <x:c r="H262" s="14" t="n">
        <x:v>29000</x:v>
      </x:c>
      <x:c r="I262" s="15" t="str">
        <x:v>Округлённый счётчик в списке YouTube</x:v>
      </x:c>
      <x:c r="J262" s="14" t="n">
        <x:v>29000</x:v>
      </x:c>
      <x:c r="K262" s="14" t="n">
        <x:v>48000</x:v>
      </x:c>
      <x:c r="L262" s="12" t="n">
        <x:f>IF(COUNT(J262:K262)=2,IF(K262=0,"",J262/K262),"")</x:f>
        <x:v>0.6041666666666666</x:v>
      </x:c>
      <x:c r="M262" s="10" t="str">
        <x:v>Тема / гость: פרק 10 - דן שכטמן.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62" s="10" t="str">
        <x:v>Выбрать 5–8 минут: вопрос, уточнение, развёрнутый ответ. Сформулировать следующий вопрос.</x:v>
      </x:c>
      <x:c r="O262" s="10" t="str">
        <x:v>Взгляды гостя не равны установленным фактам; проверить чувствительные темы</x:v>
      </x:c>
      <x:c r="P262" s="10" t="str">
        <x:v>Длинное интервью</x:v>
      </x:c>
      <x:c r="Q262" s="9" t="str">
        <x:v>Нет</x:v>
      </x:c>
      <x:c r="R262" s="9" t="str">
        <x:v>C016</x:v>
      </x:c>
      <x:c r="S262" s="9" t="str">
        <x:v>C016</x:v>
      </x:c>
      <x:c r="T262" s="10" t="str">
        <x:v>כאן 11 - תאגיד השידור הישראלי</x:v>
      </x:c>
      <x:c r="U262" s="11" t="str">
        <x:v>https://www.youtube.com/watch?v=-cRgpSfNeZ4</x:v>
      </x:c>
      <x:c r="V262" s="16" t="n">
        <x:v>46308</x:v>
      </x:c>
      <x:c r="W262" s="16"/>
      <x:c r="X262" s="10" t="str">
        <x:v>Иврит предполагается по заголовку и источнику</x:v>
      </x:c>
      <x:c r="Y262" s="10" t="str">
        <x:v>Не проверено</x:v>
      </x:c>
      <x:c r="Z262" s="10" t="str">
        <x:v>Не проверено</x:v>
      </x:c>
      <x:c r="AA262" s="10" t="str">
        <x:v>Метаданные списка; видео не просмотрено</x:v>
      </x:c>
      <x:c r="AB262" s="13" t="str">
        <x:f>IF(AND(ISNUMBER(H262),ISNUMBER(W262)),H262/MAX(1,'Обзор'!$B$4-W262),"")</x:f>
      </x:c>
      <x:c r="AC262" s="17" t="str">
        <x:v>Не решено</x:v>
      </x:c>
      <x:c r="AD262" s="17" t="str">
        <x:v>Не проверено</x:v>
      </x:c>
      <x:c r="AE262" s="17" t="str">
        <x:v>Не проверено</x:v>
      </x:c>
      <x:c r="AF262" s="17" t="str">
        <x:v>Не проверено</x:v>
      </x:c>
      <x:c r="AG262" s="17" t="str">
        <x:v>Не решено</x:v>
      </x:c>
      <x:c r="AH262" s="17" t="str">
        <x:v>Не проверено</x:v>
      </x:c>
      <x:c r="AI262" s="10" t="str">
        <x:f>IF(AC262="Отклонить","Отклонено",IF(AND(AC262="Взять",COUNTIFS(AD262:AH262,"Да")=5),"Готово","Нужна редактура"))</x:f>
        <x:v>Нужна редактура</x:v>
      </x:c>
      <x:c r="AJ262" s="17" t="str"/>
      <x:c r="AK262" s="9" t="str">
        <x:v>https://www.youtube.com/playlist?list=PLLttfoK87AdX0OgAjJL85tiPgZNyxb4a-</x:v>
      </x:c>
      <x:c r="AL262" s="9" t="n">
        <x:v>10</x:v>
      </x:c>
      <x:c r="AM262" s="9" t="n">
        <x:v>10</x:v>
      </x:c>
      <x:c r="AN262" s="9"/>
    </x:row>
    <x:row r="263" ht="60" customHeight="1">
      <x:c r="A263" s="9" t="str">
        <x:v>RAIqmOHlAcE</x:v>
      </x:c>
      <x:c r="B263" s="10" t="str">
        <x:v>פגישה עם רוני קובן עונה 7 | פרק 11 - איימן עודה</x:v>
      </x:c>
      <x:c r="C263" s="10" t="str">
        <x:v>Люди Израиля</x:v>
      </x:c>
      <x:c r="D263" s="9" t="str">
        <x:v>Интервью</x:v>
      </x:c>
      <x:c r="E263" s="10" t="str">
        <x:v>Интервью; культура; общество; продвинутые</x:v>
      </x:c>
      <x:c r="F263" s="10" t="str">
        <x:v>B2–C1 (гипотеза)</x:v>
      </x:c>
      <x:c r="G263" s="12" t="n">
        <x:v>29.8</x:v>
      </x:c>
      <x:c r="H263" s="14" t="n">
        <x:v>41000</x:v>
      </x:c>
      <x:c r="I263" s="15" t="str">
        <x:v>Округлённый счётчик в списке YouTube</x:v>
      </x:c>
      <x:c r="J263" s="14" t="n">
        <x:v>41000</x:v>
      </x:c>
      <x:c r="K263" s="14" t="n">
        <x:v>48000</x:v>
      </x:c>
      <x:c r="L263" s="12" t="n">
        <x:f>IF(COUNT(J263:K263)=2,IF(K263=0,"",J263/K263),"")</x:f>
        <x:v>0.8541666666666666</x:v>
      </x:c>
      <x:c r="M263" s="10" t="str">
        <x:v>Тема / гость: פרק 11 - איימן עודה.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63" s="10" t="str">
        <x:v>Выбрать 5–8 минут: вопрос, уточнение, развёрнутый ответ. Сформулировать следующий вопрос.</x:v>
      </x:c>
      <x:c r="O263" s="10" t="str">
        <x:v>Взгляды гостя не равны установленным фактам; проверить чувствительные темы</x:v>
      </x:c>
      <x:c r="P263" s="10" t="str">
        <x:v>Длинное интервью</x:v>
      </x:c>
      <x:c r="Q263" s="9" t="str">
        <x:v>Нет</x:v>
      </x:c>
      <x:c r="R263" s="9" t="str">
        <x:v>C016</x:v>
      </x:c>
      <x:c r="S263" s="9" t="str">
        <x:v>C016</x:v>
      </x:c>
      <x:c r="T263" s="10" t="str">
        <x:v>כאן 11 - תאגיד השידור הישראלי</x:v>
      </x:c>
      <x:c r="U263" s="11" t="str">
        <x:v>https://www.youtube.com/watch?v=RAIqmOHlAcE</x:v>
      </x:c>
      <x:c r="V263" s="16" t="n">
        <x:v>46308</x:v>
      </x:c>
      <x:c r="W263" s="16"/>
      <x:c r="X263" s="10" t="str">
        <x:v>Иврит предполагается по заголовку и источнику</x:v>
      </x:c>
      <x:c r="Y263" s="10" t="str">
        <x:v>Не проверено</x:v>
      </x:c>
      <x:c r="Z263" s="10" t="str">
        <x:v>Не проверено</x:v>
      </x:c>
      <x:c r="AA263" s="10" t="str">
        <x:v>Метаданные списка; видео не просмотрено</x:v>
      </x:c>
      <x:c r="AB263" s="13" t="str">
        <x:f>IF(AND(ISNUMBER(H263),ISNUMBER(W263)),H263/MAX(1,'Обзор'!$B$4-W263),"")</x:f>
      </x:c>
      <x:c r="AC263" s="17" t="str">
        <x:v>Не решено</x:v>
      </x:c>
      <x:c r="AD263" s="17" t="str">
        <x:v>Не проверено</x:v>
      </x:c>
      <x:c r="AE263" s="17" t="str">
        <x:v>Не проверено</x:v>
      </x:c>
      <x:c r="AF263" s="17" t="str">
        <x:v>Не проверено</x:v>
      </x:c>
      <x:c r="AG263" s="17" t="str">
        <x:v>Не решено</x:v>
      </x:c>
      <x:c r="AH263" s="17" t="str">
        <x:v>Не проверено</x:v>
      </x:c>
      <x:c r="AI263" s="10" t="str">
        <x:f>IF(AC263="Отклонить","Отклонено",IF(AND(AC263="Взять",COUNTIFS(AD263:AH263,"Да")=5),"Готово","Нужна редактура"))</x:f>
        <x:v>Нужна редактура</x:v>
      </x:c>
      <x:c r="AJ263" s="17" t="str"/>
      <x:c r="AK263" s="9" t="str">
        <x:v>https://www.youtube.com/playlist?list=PLLttfoK87AdX0OgAjJL85tiPgZNyxb4a-</x:v>
      </x:c>
      <x:c r="AL263" s="9" t="n">
        <x:v>11</x:v>
      </x:c>
      <x:c r="AM263" s="9" t="n">
        <x:v>11</x:v>
      </x:c>
      <x:c r="AN263" s="9"/>
    </x:row>
    <x:row r="264" ht="60" customHeight="1">
      <x:c r="A264" s="9" t="str">
        <x:v>QTET0rZ-CCI</x:v>
      </x:c>
      <x:c r="B264" s="10" t="str">
        <x:v>פגישה עם רוני קובן עונה 7 | פרק 12 - ארז טל</x:v>
      </x:c>
      <x:c r="C264" s="10" t="str">
        <x:v>Люди Израиля</x:v>
      </x:c>
      <x:c r="D264" s="9" t="str">
        <x:v>Интервью</x:v>
      </x:c>
      <x:c r="E264" s="10" t="str">
        <x:v>Интервью; культура; общество; продвинутые</x:v>
      </x:c>
      <x:c r="F264" s="10" t="str">
        <x:v>B2–C1 (гипотеза)</x:v>
      </x:c>
      <x:c r="G264" s="12" t="n">
        <x:v>31.7</x:v>
      </x:c>
      <x:c r="H264" s="14" t="n">
        <x:v>114190</x:v>
      </x:c>
      <x:c r="I264" s="15" t="str">
        <x:v>Точный счётчик метаданных видео</x:v>
      </x:c>
      <x:c r="J264" s="14" t="n">
        <x:v>114000</x:v>
      </x:c>
      <x:c r="K264" s="14" t="n">
        <x:v>48000</x:v>
      </x:c>
      <x:c r="L264" s="12" t="n">
        <x:f>IF(COUNT(J264:K264)=2,IF(K264=0,"",J264/K264),"")</x:f>
        <x:v>2.375</x:v>
      </x:c>
      <x:c r="M264" s="10" t="str">
        <x:v>Тема / гость: פרק 12 - ארז טל. Просмотры в списке выше медианы выборки этого цикла в 2.38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64" s="10" t="str">
        <x:v>Выбрать 5–8 минут: вопрос, уточнение, развёрнутый ответ. Сформулировать следующий вопрос.</x:v>
      </x:c>
      <x:c r="O264" s="10" t="str">
        <x:v>Взгляды гостя не равны установленным фактам; проверить чувствительные темы</x:v>
      </x:c>
      <x:c r="P264" s="10" t="str">
        <x:v>Длинное интервью</x:v>
      </x:c>
      <x:c r="Q264" s="9" t="str">
        <x:v>Нет</x:v>
      </x:c>
      <x:c r="R264" s="9" t="str">
        <x:v>C016</x:v>
      </x:c>
      <x:c r="S264" s="9" t="str">
        <x:v>C016</x:v>
      </x:c>
      <x:c r="T264" s="10" t="str">
        <x:v>כאן 11 - תאגיד השידור הישראלי</x:v>
      </x:c>
      <x:c r="U264" s="11" t="str">
        <x:v>https://www.youtube.com/watch?v=QTET0rZ-CCI</x:v>
      </x:c>
      <x:c r="V264" s="16" t="n">
        <x:v>46308</x:v>
      </x:c>
      <x:c r="W264" s="16" t="n">
        <x:v>45020</x:v>
      </x:c>
      <x:c r="X264" s="10" t="str">
        <x:v>Иврит предполагается по заголовку и источнику</x:v>
      </x:c>
      <x:c r="Y264" s="10" t="str">
        <x:v>Дорожка HE не найдена в метаданных; вшитые титры не проверены</x:v>
      </x:c>
      <x:c r="Z264" s="10" t="str">
        <x:v>Разрешено по метаданным</x:v>
      </x:c>
      <x:c r="AA264" s="10" t="str">
        <x:v>Метаданные видео; воспроизведение и содержание не проверены</x:v>
      </x:c>
      <x:c r="AB264" s="13" t="n">
        <x:f>IF(AND(ISNUMBER(H264),ISNUMBER(W264)),H264/MAX(1,'Обзор'!$B$4-W264),"")</x:f>
        <x:v>88.65683229813665</x:v>
      </x:c>
      <x:c r="AC264" s="17" t="str">
        <x:v>Не решено</x:v>
      </x:c>
      <x:c r="AD264" s="17" t="str">
        <x:v>Не проверено</x:v>
      </x:c>
      <x:c r="AE264" s="17" t="str">
        <x:v>Не проверено</x:v>
      </x:c>
      <x:c r="AF264" s="17" t="str">
        <x:v>Не проверено</x:v>
      </x:c>
      <x:c r="AG264" s="17" t="str">
        <x:v>Не решено</x:v>
      </x:c>
      <x:c r="AH264" s="17" t="str">
        <x:v>Не проверено</x:v>
      </x:c>
      <x:c r="AI264" s="10" t="str">
        <x:f>IF(AC264="Отклонить","Отклонено",IF(AND(AC264="Взять",COUNTIFS(AD264:AH264,"Да")=5),"Готово","Нужна редактура"))</x:f>
        <x:v>Нужна редактура</x:v>
      </x:c>
      <x:c r="AJ264" s="17" t="str"/>
      <x:c r="AK264" s="9" t="str">
        <x:v>https://www.youtube.com/playlist?list=PLLttfoK87AdX0OgAjJL85tiPgZNyxb4a-</x:v>
      </x:c>
      <x:c r="AL264" s="9" t="n">
        <x:v>12</x:v>
      </x:c>
      <x:c r="AM264" s="9" t="n">
        <x:v>12</x:v>
      </x:c>
      <x:c r="AN264" s="9" t="n">
        <x:v>0</x:v>
      </x:c>
    </x:row>
    <x:row r="265" ht="60" customHeight="1">
      <x:c r="A265" s="9" t="str">
        <x:v>pdOm2ulcCZ0</x:v>
      </x:c>
      <x:c r="B265" s="10" t="str">
        <x:v>פגישה עם רוני קובן עונה 7 | אהרון ברק - ראיון מיוחד ליום השואה</x:v>
      </x:c>
      <x:c r="C265" s="10" t="str">
        <x:v>Люди Израиля</x:v>
      </x:c>
      <x:c r="D265" s="9" t="str">
        <x:v>Интервью</x:v>
      </x:c>
      <x:c r="E265" s="10" t="str">
        <x:v>Интервью; культура; общество; продвинутые</x:v>
      </x:c>
      <x:c r="F265" s="10" t="str">
        <x:v>B2–C1 (гипотеза)</x:v>
      </x:c>
      <x:c r="G265" s="12" t="n">
        <x:v>29.8</x:v>
      </x:c>
      <x:c r="H265" s="14" t="n">
        <x:v>20000</x:v>
      </x:c>
      <x:c r="I265" s="15" t="str">
        <x:v>Округлённый счётчик в списке YouTube</x:v>
      </x:c>
      <x:c r="J265" s="14" t="n">
        <x:v>20000</x:v>
      </x:c>
      <x:c r="K265" s="14" t="n">
        <x:v>48000</x:v>
      </x:c>
      <x:c r="L265" s="12" t="n">
        <x:f>IF(COUNT(J265:K265)=2,IF(K265=0,"",J265/K265),"")</x:f>
        <x:v>0.4166666666666667</x:v>
      </x:c>
      <x:c r="M265" s="10" t="str">
        <x:v>Тема / гость: אהרון ברק - ראיון מיוחד ליום השואה. Просмотры ниже медианы цикла; выбирать за нишевую ценность, а не за массовый охват.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65" s="10" t="str">
        <x:v>Выбрать 5–8 минут: вопрос, уточнение, развёрнутый ответ. Сформулировать следующий вопрос.</x:v>
      </x:c>
      <x:c r="O265" s="10" t="str">
        <x:v>В заголовке есть чувствительная тема: предварительный просмотр и добровольный выбор. Взгляды гостя не равны установленным фактам; проверить чувствительные темы</x:v>
      </x:c>
      <x:c r="P265" s="10" t="str">
        <x:v>Длинное интервью</x:v>
      </x:c>
      <x:c r="Q265" s="9" t="str">
        <x:v>Нет</x:v>
      </x:c>
      <x:c r="R265" s="9" t="str">
        <x:v>C016</x:v>
      </x:c>
      <x:c r="S265" s="9" t="str">
        <x:v>C016</x:v>
      </x:c>
      <x:c r="T265" s="10" t="str">
        <x:v>כאן 11 - תאגיד השידור הישראלי</x:v>
      </x:c>
      <x:c r="U265" s="11" t="str">
        <x:v>https://www.youtube.com/watch?v=pdOm2ulcCZ0</x:v>
      </x:c>
      <x:c r="V265" s="16" t="n">
        <x:v>46308</x:v>
      </x:c>
      <x:c r="W265" s="16"/>
      <x:c r="X265" s="10" t="str">
        <x:v>Иврит предполагается по заголовку и источнику</x:v>
      </x:c>
      <x:c r="Y265" s="10" t="str">
        <x:v>Не проверено</x:v>
      </x:c>
      <x:c r="Z265" s="10" t="str">
        <x:v>Не проверено</x:v>
      </x:c>
      <x:c r="AA265" s="10" t="str">
        <x:v>Метаданные списка; видео не просмотрено</x:v>
      </x:c>
      <x:c r="AB265" s="13" t="str">
        <x:f>IF(AND(ISNUMBER(H265),ISNUMBER(W265)),H265/MAX(1,'Обзор'!$B$4-W265),"")</x:f>
      </x:c>
      <x:c r="AC265" s="17" t="str">
        <x:v>Не решено</x:v>
      </x:c>
      <x:c r="AD265" s="17" t="str">
        <x:v>Не проверено</x:v>
      </x:c>
      <x:c r="AE265" s="17" t="str">
        <x:v>Не проверено</x:v>
      </x:c>
      <x:c r="AF265" s="17" t="str">
        <x:v>Не проверено</x:v>
      </x:c>
      <x:c r="AG265" s="17" t="str">
        <x:v>Не решено</x:v>
      </x:c>
      <x:c r="AH265" s="17" t="str">
        <x:v>Не проверено</x:v>
      </x:c>
      <x:c r="AI265" s="10" t="str">
        <x:f>IF(AC265="Отклонить","Отклонено",IF(AND(AC265="Взять",COUNTIFS(AD265:AH265,"Да")=5),"Готово","Нужна редактура"))</x:f>
        <x:v>Нужна редактура</x:v>
      </x:c>
      <x:c r="AJ265" s="17" t="str"/>
      <x:c r="AK265" s="9" t="str">
        <x:v>https://www.youtube.com/playlist?list=PLLttfoK87AdX0OgAjJL85tiPgZNyxb4a-</x:v>
      </x:c>
      <x:c r="AL265" s="9" t="n">
        <x:v>13</x:v>
      </x:c>
      <x:c r="AM265" s="9"/>
      <x:c r="AN265" s="9"/>
    </x:row>
    <x:row r="266" ht="60" customHeight="1">
      <x:c r="A266" s="9" t="str">
        <x:v>Jdq3x9Zts4k</x:v>
      </x:c>
      <x:c r="B266" s="10" t="str">
        <x:v>פגישה עם רוני קובן עונה 7 | פרק 13 - דן מרידור</x:v>
      </x:c>
      <x:c r="C266" s="10" t="str">
        <x:v>Люди Израиля</x:v>
      </x:c>
      <x:c r="D266" s="9" t="str">
        <x:v>Интервью</x:v>
      </x:c>
      <x:c r="E266" s="10" t="str">
        <x:v>Интервью; культура; общество; продвинутые</x:v>
      </x:c>
      <x:c r="F266" s="10" t="str">
        <x:v>B2–C1 (гипотеза)</x:v>
      </x:c>
      <x:c r="G266" s="12" t="n">
        <x:v>29.4</x:v>
      </x:c>
      <x:c r="H266" s="14" t="n">
        <x:v>33000</x:v>
      </x:c>
      <x:c r="I266" s="15" t="str">
        <x:v>Округлённый счётчик в списке YouTube</x:v>
      </x:c>
      <x:c r="J266" s="14" t="n">
        <x:v>33000</x:v>
      </x:c>
      <x:c r="K266" s="14" t="n">
        <x:v>48000</x:v>
      </x:c>
      <x:c r="L266" s="12" t="n">
        <x:f>IF(COUNT(J266:K266)=2,IF(K266=0,"",J266/K266),"")</x:f>
        <x:v>0.6875</x:v>
      </x:c>
      <x:c r="M266" s="10" t="str">
        <x:v>Тема / гость: פרק 13 - דן מרידור.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66" s="10" t="str">
        <x:v>Выбрать 5–8 минут: вопрос, уточнение, развёрнутый ответ. Сформулировать следующий вопрос.</x:v>
      </x:c>
      <x:c r="O266" s="10" t="str">
        <x:v>Взгляды гостя не равны установленным фактам; проверить чувствительные темы</x:v>
      </x:c>
      <x:c r="P266" s="10" t="str">
        <x:v>Длинное интервью</x:v>
      </x:c>
      <x:c r="Q266" s="9" t="str">
        <x:v>Нет</x:v>
      </x:c>
      <x:c r="R266" s="9" t="str">
        <x:v>C016</x:v>
      </x:c>
      <x:c r="S266" s="9" t="str">
        <x:v>C016</x:v>
      </x:c>
      <x:c r="T266" s="10" t="str">
        <x:v>כאן 11 - תאגיד השידור הישראלי</x:v>
      </x:c>
      <x:c r="U266" s="11" t="str">
        <x:v>https://www.youtube.com/watch?v=Jdq3x9Zts4k</x:v>
      </x:c>
      <x:c r="V266" s="16" t="n">
        <x:v>46308</x:v>
      </x:c>
      <x:c r="W266" s="16"/>
      <x:c r="X266" s="10" t="str">
        <x:v>Иврит предполагается по заголовку и источнику</x:v>
      </x:c>
      <x:c r="Y266" s="10" t="str">
        <x:v>Не проверено</x:v>
      </x:c>
      <x:c r="Z266" s="10" t="str">
        <x:v>Не проверено</x:v>
      </x:c>
      <x:c r="AA266" s="10" t="str">
        <x:v>Метаданные списка; видео не просмотрено</x:v>
      </x:c>
      <x:c r="AB266" s="13" t="str">
        <x:f>IF(AND(ISNUMBER(H266),ISNUMBER(W266)),H266/MAX(1,'Обзор'!$B$4-W266),"")</x:f>
      </x:c>
      <x:c r="AC266" s="17" t="str">
        <x:v>Не решено</x:v>
      </x:c>
      <x:c r="AD266" s="17" t="str">
        <x:v>Не проверено</x:v>
      </x:c>
      <x:c r="AE266" s="17" t="str">
        <x:v>Не проверено</x:v>
      </x:c>
      <x:c r="AF266" s="17" t="str">
        <x:v>Не проверено</x:v>
      </x:c>
      <x:c r="AG266" s="17" t="str">
        <x:v>Не решено</x:v>
      </x:c>
      <x:c r="AH266" s="17" t="str">
        <x:v>Не проверено</x:v>
      </x:c>
      <x:c r="AI266" s="10" t="str">
        <x:f>IF(AC266="Отклонить","Отклонено",IF(AND(AC266="Взять",COUNTIFS(AD266:AH266,"Да")=5),"Готово","Нужна редактура"))</x:f>
        <x:v>Нужна редактура</x:v>
      </x:c>
      <x:c r="AJ266" s="17" t="str"/>
      <x:c r="AK266" s="9" t="str">
        <x:v>https://www.youtube.com/playlist?list=PLLttfoK87AdX0OgAjJL85tiPgZNyxb4a-</x:v>
      </x:c>
      <x:c r="AL266" s="9" t="n">
        <x:v>14</x:v>
      </x:c>
      <x:c r="AM266" s="9" t="n">
        <x:v>13</x:v>
      </x:c>
      <x:c r="AN266" s="9"/>
    </x:row>
    <x:row r="267" ht="60" customHeight="1">
      <x:c r="A267" s="9" t="str">
        <x:v>dI8U5KZorT0</x:v>
      </x:c>
      <x:c r="B267" s="10" t="str">
        <x:v>פגישה עם רוני קובן עונה 7 | פרק 14 - רבקה מיכאלי</x:v>
      </x:c>
      <x:c r="C267" s="10" t="str">
        <x:v>Люди Израиля</x:v>
      </x:c>
      <x:c r="D267" s="9" t="str">
        <x:v>Интервью</x:v>
      </x:c>
      <x:c r="E267" s="10" t="str">
        <x:v>Интервью; культура; общество; продвинутые</x:v>
      </x:c>
      <x:c r="F267" s="10" t="str">
        <x:v>B2–C1 (гипотеза)</x:v>
      </x:c>
      <x:c r="G267" s="12" t="n">
        <x:v>31.8</x:v>
      </x:c>
      <x:c r="H267" s="14" t="n">
        <x:v>53901</x:v>
      </x:c>
      <x:c r="I267" s="15" t="str">
        <x:v>Точный счётчик метаданных видео</x:v>
      </x:c>
      <x:c r="J267" s="14" t="n">
        <x:v>53000</x:v>
      </x:c>
      <x:c r="K267" s="14" t="n">
        <x:v>48000</x:v>
      </x:c>
      <x:c r="L267" s="12" t="n">
        <x:f>IF(COUNT(J267:K267)=2,IF(K267=0,"",J267/K267),"")</x:f>
        <x:v>1.1041666666666667</x:v>
      </x:c>
      <x:c r="M267" s="10" t="str">
        <x:v>Тема / гость: פרק 14 - רבקה מיכאלי.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67" s="10" t="str">
        <x:v>Выбрать 5–8 минут: вопрос, уточнение, развёрнутый ответ. Сформулировать следующий вопрос.</x:v>
      </x:c>
      <x:c r="O267" s="10" t="str">
        <x:v>Взгляды гостя не равны установленным фактам; проверить чувствительные темы</x:v>
      </x:c>
      <x:c r="P267" s="10" t="str">
        <x:v>Длинное интервью</x:v>
      </x:c>
      <x:c r="Q267" s="9" t="str">
        <x:v>Нет</x:v>
      </x:c>
      <x:c r="R267" s="9" t="str">
        <x:v>C016</x:v>
      </x:c>
      <x:c r="S267" s="9" t="str">
        <x:v>C016</x:v>
      </x:c>
      <x:c r="T267" s="10" t="str">
        <x:v>כאן 11 - תאגיד השידור הישראלי</x:v>
      </x:c>
      <x:c r="U267" s="11" t="str">
        <x:v>https://www.youtube.com/watch?v=dI8U5KZorT0</x:v>
      </x:c>
      <x:c r="V267" s="16" t="n">
        <x:v>46308</x:v>
      </x:c>
      <x:c r="W267" s="16" t="n">
        <x:v>45082</x:v>
      </x:c>
      <x:c r="X267" s="10" t="str">
        <x:v>Иврит предполагается по заголовку и источнику</x:v>
      </x:c>
      <x:c r="Y267" s="10" t="str">
        <x:v>Дорожка HE не найдена в метаданных; вшитые титры не проверены</x:v>
      </x:c>
      <x:c r="Z267" s="10" t="str">
        <x:v>Разрешено по метаданным</x:v>
      </x:c>
      <x:c r="AA267" s="10" t="str">
        <x:v>Метаданные видео; воспроизведение и содержание не проверены</x:v>
      </x:c>
      <x:c r="AB267" s="13" t="n">
        <x:f>IF(AND(ISNUMBER(H267),ISNUMBER(W267)),H267/MAX(1,'Обзор'!$B$4-W267),"")</x:f>
        <x:v>43.96492659053833</x:v>
      </x:c>
      <x:c r="AC267" s="17" t="str">
        <x:v>Не решено</x:v>
      </x:c>
      <x:c r="AD267" s="17" t="str">
        <x:v>Не проверено</x:v>
      </x:c>
      <x:c r="AE267" s="17" t="str">
        <x:v>Не проверено</x:v>
      </x:c>
      <x:c r="AF267" s="17" t="str">
        <x:v>Не проверено</x:v>
      </x:c>
      <x:c r="AG267" s="17" t="str">
        <x:v>Не решено</x:v>
      </x:c>
      <x:c r="AH267" s="17" t="str">
        <x:v>Не проверено</x:v>
      </x:c>
      <x:c r="AI267" s="10" t="str">
        <x:f>IF(AC267="Отклонить","Отклонено",IF(AND(AC267="Взять",COUNTIFS(AD267:AH267,"Да")=5),"Готово","Нужна редактура"))</x:f>
        <x:v>Нужна редактура</x:v>
      </x:c>
      <x:c r="AJ267" s="17" t="str"/>
      <x:c r="AK267" s="9" t="str">
        <x:v>https://www.youtube.com/playlist?list=PLLttfoK87AdX0OgAjJL85tiPgZNyxb4a-</x:v>
      </x:c>
      <x:c r="AL267" s="9" t="n">
        <x:v>15</x:v>
      </x:c>
      <x:c r="AM267" s="9" t="n">
        <x:v>14</x:v>
      </x:c>
      <x:c r="AN267" s="9" t="n">
        <x:v>0</x:v>
      </x:c>
    </x:row>
    <x:row r="268" ht="60" customHeight="1">
      <x:c r="A268" s="9" t="str">
        <x:v>xfGoN9ZPdJU</x:v>
      </x:c>
      <x:c r="B268" s="10" t="str">
        <x:v>פגישה עם רוני קובן עונה 7 | פרק 15 - אניה בוקשטיין</x:v>
      </x:c>
      <x:c r="C268" s="10" t="str">
        <x:v>Люди Израиля</x:v>
      </x:c>
      <x:c r="D268" s="9" t="str">
        <x:v>Интервью</x:v>
      </x:c>
      <x:c r="E268" s="10" t="str">
        <x:v>Интервью; культура; общество; продвинутые</x:v>
      </x:c>
      <x:c r="F268" s="10" t="str">
        <x:v>B2–C1 (гипотеза)</x:v>
      </x:c>
      <x:c r="G268" s="12" t="n">
        <x:v>28.8</x:v>
      </x:c>
      <x:c r="H268" s="14" t="n">
        <x:v>41000</x:v>
      </x:c>
      <x:c r="I268" s="15" t="str">
        <x:v>Округлённый счётчик в списке YouTube</x:v>
      </x:c>
      <x:c r="J268" s="14" t="n">
        <x:v>41000</x:v>
      </x:c>
      <x:c r="K268" s="14" t="n">
        <x:v>48000</x:v>
      </x:c>
      <x:c r="L268" s="12" t="n">
        <x:f>IF(COUNT(J268:K268)=2,IF(K268=0,"",J268/K268),"")</x:f>
        <x:v>0.8541666666666666</x:v>
      </x:c>
      <x:c r="M268" s="10" t="str">
        <x:v>Тема / гость: פרק 15 - אניה בוקשטיין.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68" s="10" t="str">
        <x:v>Выбрать 5–8 минут: вопрос, уточнение, развёрнутый ответ. Сформулировать следующий вопрос.</x:v>
      </x:c>
      <x:c r="O268" s="10" t="str">
        <x:v>Взгляды гостя не равны установленным фактам; проверить чувствительные темы</x:v>
      </x:c>
      <x:c r="P268" s="10" t="str">
        <x:v>Длинное интервью</x:v>
      </x:c>
      <x:c r="Q268" s="9" t="str">
        <x:v>Нет</x:v>
      </x:c>
      <x:c r="R268" s="9" t="str">
        <x:v>C016</x:v>
      </x:c>
      <x:c r="S268" s="9" t="str">
        <x:v>C016</x:v>
      </x:c>
      <x:c r="T268" s="10" t="str">
        <x:v>כאן 11 - תאגיד השידור הישראלי</x:v>
      </x:c>
      <x:c r="U268" s="11" t="str">
        <x:v>https://www.youtube.com/watch?v=xfGoN9ZPdJU</x:v>
      </x:c>
      <x:c r="V268" s="16" t="n">
        <x:v>46308</x:v>
      </x:c>
      <x:c r="W268" s="16"/>
      <x:c r="X268" s="10" t="str">
        <x:v>Иврит предполагается по заголовку и источнику</x:v>
      </x:c>
      <x:c r="Y268" s="10" t="str">
        <x:v>Не проверено</x:v>
      </x:c>
      <x:c r="Z268" s="10" t="str">
        <x:v>Не проверено</x:v>
      </x:c>
      <x:c r="AA268" s="10" t="str">
        <x:v>Метаданные списка; видео не просмотрено</x:v>
      </x:c>
      <x:c r="AB268" s="13" t="str">
        <x:f>IF(AND(ISNUMBER(H268),ISNUMBER(W268)),H268/MAX(1,'Обзор'!$B$4-W268),"")</x:f>
      </x:c>
      <x:c r="AC268" s="17" t="str">
        <x:v>Не решено</x:v>
      </x:c>
      <x:c r="AD268" s="17" t="str">
        <x:v>Не проверено</x:v>
      </x:c>
      <x:c r="AE268" s="17" t="str">
        <x:v>Не проверено</x:v>
      </x:c>
      <x:c r="AF268" s="17" t="str">
        <x:v>Не проверено</x:v>
      </x:c>
      <x:c r="AG268" s="17" t="str">
        <x:v>Не решено</x:v>
      </x:c>
      <x:c r="AH268" s="17" t="str">
        <x:v>Не проверено</x:v>
      </x:c>
      <x:c r="AI268" s="10" t="str">
        <x:f>IF(AC268="Отклонить","Отклонено",IF(AND(AC268="Взять",COUNTIFS(AD268:AH268,"Да")=5),"Готово","Нужна редактура"))</x:f>
        <x:v>Нужна редактура</x:v>
      </x:c>
      <x:c r="AJ268" s="17" t="str"/>
      <x:c r="AK268" s="9" t="str">
        <x:v>https://www.youtube.com/playlist?list=PLLttfoK87AdX0OgAjJL85tiPgZNyxb4a-</x:v>
      </x:c>
      <x:c r="AL268" s="9" t="n">
        <x:v>16</x:v>
      </x:c>
      <x:c r="AM268" s="9" t="n">
        <x:v>15</x:v>
      </x:c>
      <x:c r="AN268" s="9"/>
    </x:row>
    <x:row r="269" ht="60" customHeight="1">
      <x:c r="A269" s="9" t="str">
        <x:v>SQzwwbCVkQY</x:v>
      </x:c>
      <x:c r="B269" s="10" t="str">
        <x:v>פגישה עם רוני קובן עונה 7 | פרק 16 - רות קלדרון</x:v>
      </x:c>
      <x:c r="C269" s="10" t="str">
        <x:v>Люди Израиля</x:v>
      </x:c>
      <x:c r="D269" s="9" t="str">
        <x:v>Интервью</x:v>
      </x:c>
      <x:c r="E269" s="10" t="str">
        <x:v>Интервью; культура; общество; продвинутые</x:v>
      </x:c>
      <x:c r="F269" s="10" t="str">
        <x:v>B2–C1 (гипотеза)</x:v>
      </x:c>
      <x:c r="G269" s="12" t="n">
        <x:v>30.5</x:v>
      </x:c>
      <x:c r="H269" s="14" t="n">
        <x:v>22000</x:v>
      </x:c>
      <x:c r="I269" s="15" t="str">
        <x:v>Округлённый счётчик в списке YouTube</x:v>
      </x:c>
      <x:c r="J269" s="14" t="n">
        <x:v>22000</x:v>
      </x:c>
      <x:c r="K269" s="14" t="n">
        <x:v>48000</x:v>
      </x:c>
      <x:c r="L269" s="12" t="n">
        <x:f>IF(COUNT(J269:K269)=2,IF(K269=0,"",J269/K269),"")</x:f>
        <x:v>0.4583333333333333</x:v>
      </x:c>
      <x:c r="M269" s="10" t="str">
        <x:v>Тема / гость: פרק 16 - רות קלדרון. Просмотры ниже медианы цикла; выбирать за нишевую ценность, а не за массовый охват.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69" s="10" t="str">
        <x:v>Выбрать 5–8 минут: вопрос, уточнение, развёрнутый ответ. Сформулировать следующий вопрос.</x:v>
      </x:c>
      <x:c r="O269" s="10" t="str">
        <x:v>Взгляды гостя не равны установленным фактам; проверить чувствительные темы</x:v>
      </x:c>
      <x:c r="P269" s="10" t="str">
        <x:v>Длинное интервью</x:v>
      </x:c>
      <x:c r="Q269" s="9" t="str">
        <x:v>Нет</x:v>
      </x:c>
      <x:c r="R269" s="9" t="str">
        <x:v>C016</x:v>
      </x:c>
      <x:c r="S269" s="9" t="str">
        <x:v>C016</x:v>
      </x:c>
      <x:c r="T269" s="10" t="str">
        <x:v>כאן 11 - תאגיד השידור הישראלי</x:v>
      </x:c>
      <x:c r="U269" s="11" t="str">
        <x:v>https://www.youtube.com/watch?v=SQzwwbCVkQY</x:v>
      </x:c>
      <x:c r="V269" s="16" t="n">
        <x:v>46308</x:v>
      </x:c>
      <x:c r="W269" s="16"/>
      <x:c r="X269" s="10" t="str">
        <x:v>Иврит предполагается по заголовку и источнику</x:v>
      </x:c>
      <x:c r="Y269" s="10" t="str">
        <x:v>Не проверено</x:v>
      </x:c>
      <x:c r="Z269" s="10" t="str">
        <x:v>Не проверено</x:v>
      </x:c>
      <x:c r="AA269" s="10" t="str">
        <x:v>Метаданные списка; видео не просмотрено</x:v>
      </x:c>
      <x:c r="AB269" s="13" t="str">
        <x:f>IF(AND(ISNUMBER(H269),ISNUMBER(W269)),H269/MAX(1,'Обзор'!$B$4-W269),"")</x:f>
      </x:c>
      <x:c r="AC269" s="17" t="str">
        <x:v>Не решено</x:v>
      </x:c>
      <x:c r="AD269" s="17" t="str">
        <x:v>Не проверено</x:v>
      </x:c>
      <x:c r="AE269" s="17" t="str">
        <x:v>Не проверено</x:v>
      </x:c>
      <x:c r="AF269" s="17" t="str">
        <x:v>Не проверено</x:v>
      </x:c>
      <x:c r="AG269" s="17" t="str">
        <x:v>Не решено</x:v>
      </x:c>
      <x:c r="AH269" s="17" t="str">
        <x:v>Не проверено</x:v>
      </x:c>
      <x:c r="AI269" s="10" t="str">
        <x:f>IF(AC269="Отклонить","Отклонено",IF(AND(AC269="Взять",COUNTIFS(AD269:AH269,"Да")=5),"Готово","Нужна редактура"))</x:f>
        <x:v>Нужна редактура</x:v>
      </x:c>
      <x:c r="AJ269" s="17" t="str"/>
      <x:c r="AK269" s="9" t="str">
        <x:v>https://www.youtube.com/playlist?list=PLLttfoK87AdX0OgAjJL85tiPgZNyxb4a-</x:v>
      </x:c>
      <x:c r="AL269" s="9" t="n">
        <x:v>17</x:v>
      </x:c>
      <x:c r="AM269" s="9" t="n">
        <x:v>16</x:v>
      </x:c>
      <x:c r="AN269" s="9"/>
    </x:row>
    <x:row r="270" ht="60" customHeight="1">
      <x:c r="A270" s="9" t="str">
        <x:v>gE9TN3gQMvo</x:v>
      </x:c>
      <x:c r="B270" s="10" t="str">
        <x:v>פגישה עם רוני קובן עונה 7 | פרק 17 - צדי צרפתי</x:v>
      </x:c>
      <x:c r="C270" s="10" t="str">
        <x:v>Люди Израиля</x:v>
      </x:c>
      <x:c r="D270" s="9" t="str">
        <x:v>Интервью</x:v>
      </x:c>
      <x:c r="E270" s="10" t="str">
        <x:v>Интервью; культура; общество; продвинутые</x:v>
      </x:c>
      <x:c r="F270" s="10" t="str">
        <x:v>B2–C1 (гипотеза)</x:v>
      </x:c>
      <x:c r="G270" s="12" t="n">
        <x:v>34.9</x:v>
      </x:c>
      <x:c r="H270" s="14" t="n">
        <x:v>38000</x:v>
      </x:c>
      <x:c r="I270" s="15" t="str">
        <x:v>Округлённый счётчик в списке YouTube</x:v>
      </x:c>
      <x:c r="J270" s="14" t="n">
        <x:v>38000</x:v>
      </x:c>
      <x:c r="K270" s="14" t="n">
        <x:v>48000</x:v>
      </x:c>
      <x:c r="L270" s="12" t="n">
        <x:f>IF(COUNT(J270:K270)=2,IF(K270=0,"",J270/K270),"")</x:f>
        <x:v>0.7916666666666666</x:v>
      </x:c>
      <x:c r="M270" s="10" t="str">
        <x:v>Тема / гость: פרק 17 - צדי צרפתי.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70" s="10" t="str">
        <x:v>Выбрать 5–8 минут: вопрос, уточнение, развёрнутый ответ. Сформулировать следующий вопрос.</x:v>
      </x:c>
      <x:c r="O270" s="10" t="str">
        <x:v>Взгляды гостя не равны установленным фактам; проверить чувствительные темы</x:v>
      </x:c>
      <x:c r="P270" s="10" t="str">
        <x:v>Длинное интервью</x:v>
      </x:c>
      <x:c r="Q270" s="9" t="str">
        <x:v>Нет</x:v>
      </x:c>
      <x:c r="R270" s="9" t="str">
        <x:v>C016</x:v>
      </x:c>
      <x:c r="S270" s="9" t="str">
        <x:v>C016</x:v>
      </x:c>
      <x:c r="T270" s="10" t="str">
        <x:v>כאן 11 - תאגיד השידור הישראלי</x:v>
      </x:c>
      <x:c r="U270" s="11" t="str">
        <x:v>https://www.youtube.com/watch?v=gE9TN3gQMvo</x:v>
      </x:c>
      <x:c r="V270" s="16" t="n">
        <x:v>46308</x:v>
      </x:c>
      <x:c r="W270" s="16"/>
      <x:c r="X270" s="10" t="str">
        <x:v>Иврит предполагается по заголовку и источнику</x:v>
      </x:c>
      <x:c r="Y270" s="10" t="str">
        <x:v>Не проверено</x:v>
      </x:c>
      <x:c r="Z270" s="10" t="str">
        <x:v>Не проверено</x:v>
      </x:c>
      <x:c r="AA270" s="10" t="str">
        <x:v>Метаданные списка; видео не просмотрено</x:v>
      </x:c>
      <x:c r="AB270" s="13" t="str">
        <x:f>IF(AND(ISNUMBER(H270),ISNUMBER(W270)),H270/MAX(1,'Обзор'!$B$4-W270),"")</x:f>
      </x:c>
      <x:c r="AC270" s="17" t="str">
        <x:v>Не решено</x:v>
      </x:c>
      <x:c r="AD270" s="17" t="str">
        <x:v>Не проверено</x:v>
      </x:c>
      <x:c r="AE270" s="17" t="str">
        <x:v>Не проверено</x:v>
      </x:c>
      <x:c r="AF270" s="17" t="str">
        <x:v>Не проверено</x:v>
      </x:c>
      <x:c r="AG270" s="17" t="str">
        <x:v>Не решено</x:v>
      </x:c>
      <x:c r="AH270" s="17" t="str">
        <x:v>Не проверено</x:v>
      </x:c>
      <x:c r="AI270" s="10" t="str">
        <x:f>IF(AC270="Отклонить","Отклонено",IF(AND(AC270="Взять",COUNTIFS(AD270:AH270,"Да")=5),"Готово","Нужна редактура"))</x:f>
        <x:v>Нужна редактура</x:v>
      </x:c>
      <x:c r="AJ270" s="17" t="str"/>
      <x:c r="AK270" s="9" t="str">
        <x:v>https://www.youtube.com/playlist?list=PLLttfoK87AdX0OgAjJL85tiPgZNyxb4a-</x:v>
      </x:c>
      <x:c r="AL270" s="9" t="n">
        <x:v>18</x:v>
      </x:c>
      <x:c r="AM270" s="9" t="n">
        <x:v>17</x:v>
      </x:c>
      <x:c r="AN270" s="9"/>
    </x:row>
    <x:row r="271" ht="60" customHeight="1">
      <x:c r="A271" s="9" t="str">
        <x:v>MIZ7AfO-OyY</x:v>
      </x:c>
      <x:c r="B271" s="10" t="str">
        <x:v>פגישה עם רוני קובן עונה 7 | פרק 18 - קרן מור</x:v>
      </x:c>
      <x:c r="C271" s="10" t="str">
        <x:v>Люди Израиля</x:v>
      </x:c>
      <x:c r="D271" s="9" t="str">
        <x:v>Интервью</x:v>
      </x:c>
      <x:c r="E271" s="10" t="str">
        <x:v>Интервью; культура; общество; продвинутые</x:v>
      </x:c>
      <x:c r="F271" s="10" t="str">
        <x:v>B2–C1 (гипотеза)</x:v>
      </x:c>
      <x:c r="G271" s="12" t="n">
        <x:v>30.9</x:v>
      </x:c>
      <x:c r="H271" s="14" t="n">
        <x:v>226514</x:v>
      </x:c>
      <x:c r="I271" s="15" t="str">
        <x:v>Точный счётчик метаданных видео</x:v>
      </x:c>
      <x:c r="J271" s="14" t="n">
        <x:v>226000</x:v>
      </x:c>
      <x:c r="K271" s="14" t="n">
        <x:v>48000</x:v>
      </x:c>
      <x:c r="L271" s="12" t="n">
        <x:f>IF(COUNT(J271:K271)=2,IF(K271=0,"",J271/K271),"")</x:f>
        <x:v>4.708333333333333</x:v>
      </x:c>
      <x:c r="M271" s="10" t="str">
        <x:v>Тема / гость: פרק 18 - קרן מור. Просмотры в списке выше медианы выборки этого цикла в 4.71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71" s="10" t="str">
        <x:v>Выбрать 5–8 минут: вопрос, уточнение, развёрнутый ответ. Сформулировать следующий вопрос.</x:v>
      </x:c>
      <x:c r="O271" s="10" t="str">
        <x:v>Взгляды гостя не равны установленным фактам; проверить чувствительные темы</x:v>
      </x:c>
      <x:c r="P271" s="10" t="str">
        <x:v>Длинное интервью</x:v>
      </x:c>
      <x:c r="Q271" s="9" t="str">
        <x:v>Нет</x:v>
      </x:c>
      <x:c r="R271" s="9" t="str">
        <x:v>C016</x:v>
      </x:c>
      <x:c r="S271" s="9" t="str">
        <x:v>C016</x:v>
      </x:c>
      <x:c r="T271" s="10" t="str">
        <x:v>כאן 11 - תאגיד השידור הישראלי</x:v>
      </x:c>
      <x:c r="U271" s="11" t="str">
        <x:v>https://www.youtube.com/watch?v=MIZ7AfO-OyY</x:v>
      </x:c>
      <x:c r="V271" s="16" t="n">
        <x:v>46308</x:v>
      </x:c>
      <x:c r="W271" s="16" t="n">
        <x:v>45110</x:v>
      </x:c>
      <x:c r="X271" s="10" t="str">
        <x:v>Иврит предполагается по заголовку и источнику</x:v>
      </x:c>
      <x:c r="Y271" s="10" t="str">
        <x:v>Дорожка HE не найдена в метаданных; вшитые титры не проверены</x:v>
      </x:c>
      <x:c r="Z271" s="10" t="str">
        <x:v>Разрешено по метаданным</x:v>
      </x:c>
      <x:c r="AA271" s="10" t="str">
        <x:v>Метаданные видео; воспроизведение и содержание не проверены</x:v>
      </x:c>
      <x:c r="AB271" s="13" t="n">
        <x:f>IF(AND(ISNUMBER(H271),ISNUMBER(W271)),H271/MAX(1,'Обзор'!$B$4-W271),"")</x:f>
        <x:v>189.07679465776295</x:v>
      </x:c>
      <x:c r="AC271" s="17" t="str">
        <x:v>Не решено</x:v>
      </x:c>
      <x:c r="AD271" s="17" t="str">
        <x:v>Не проверено</x:v>
      </x:c>
      <x:c r="AE271" s="17" t="str">
        <x:v>Не проверено</x:v>
      </x:c>
      <x:c r="AF271" s="17" t="str">
        <x:v>Не проверено</x:v>
      </x:c>
      <x:c r="AG271" s="17" t="str">
        <x:v>Не решено</x:v>
      </x:c>
      <x:c r="AH271" s="17" t="str">
        <x:v>Не проверено</x:v>
      </x:c>
      <x:c r="AI271" s="10" t="str">
        <x:f>IF(AC271="Отклонить","Отклонено",IF(AND(AC271="Взять",COUNTIFS(AD271:AH271,"Да")=5),"Готово","Нужна редактура"))</x:f>
        <x:v>Нужна редактура</x:v>
      </x:c>
      <x:c r="AJ271" s="17" t="str"/>
      <x:c r="AK271" s="9" t="str">
        <x:v>https://www.youtube.com/playlist?list=PLLttfoK87AdX0OgAjJL85tiPgZNyxb4a-</x:v>
      </x:c>
      <x:c r="AL271" s="9" t="n">
        <x:v>19</x:v>
      </x:c>
      <x:c r="AM271" s="9" t="n">
        <x:v>18</x:v>
      </x:c>
      <x:c r="AN271" s="9" t="n">
        <x:v>0</x:v>
      </x:c>
    </x:row>
    <x:row r="272" ht="60" customHeight="1">
      <x:c r="A272" s="9" t="str">
        <x:v>LY_hDTTMQzE</x:v>
      </x:c>
      <x:c r="B272" s="10" t="str">
        <x:v>פגישה עם רוני קובן עונה 7 | פרק 19 - אמיר אוחנה</x:v>
      </x:c>
      <x:c r="C272" s="10" t="str">
        <x:v>Люди Израиля</x:v>
      </x:c>
      <x:c r="D272" s="9" t="str">
        <x:v>Интервью</x:v>
      </x:c>
      <x:c r="E272" s="10" t="str">
        <x:v>Интервью; культура; общество; продвинутые</x:v>
      </x:c>
      <x:c r="F272" s="10" t="str">
        <x:v>B2–C1 (гипотеза)</x:v>
      </x:c>
      <x:c r="G272" s="12" t="n">
        <x:v>39.9</x:v>
      </x:c>
      <x:c r="H272" s="14" t="n">
        <x:v>86278</x:v>
      </x:c>
      <x:c r="I272" s="15" t="str">
        <x:v>Точный счётчик метаданных видео</x:v>
      </x:c>
      <x:c r="J272" s="14" t="n">
        <x:v>86000</x:v>
      </x:c>
      <x:c r="K272" s="14" t="n">
        <x:v>48000</x:v>
      </x:c>
      <x:c r="L272" s="12" t="n">
        <x:f>IF(COUNT(J272:K272)=2,IF(K272=0,"",J272/K272),"")</x:f>
        <x:v>1.7916666666666667</x:v>
      </x:c>
      <x:c r="M272" s="10" t="str">
        <x:v>Тема / гость: פרק 19 - אמיר אוחנה. Просмотры в списке выше медианы выборки этого цикла в 1.79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72" s="10" t="str">
        <x:v>Выбрать 5–8 минут: вопрос, уточнение, развёрнутый ответ. Сформулировать следующий вопрос.</x:v>
      </x:c>
      <x:c r="O272" s="10" t="str">
        <x:v>Взгляды гостя не равны установленным фактам; проверить чувствительные темы</x:v>
      </x:c>
      <x:c r="P272" s="10" t="str">
        <x:v>Длинное интервью</x:v>
      </x:c>
      <x:c r="Q272" s="9" t="str">
        <x:v>Нет</x:v>
      </x:c>
      <x:c r="R272" s="9" t="str">
        <x:v>C016</x:v>
      </x:c>
      <x:c r="S272" s="9" t="str">
        <x:v>C016</x:v>
      </x:c>
      <x:c r="T272" s="10" t="str">
        <x:v>כאן 11 - תאגיד השידור הישראלי</x:v>
      </x:c>
      <x:c r="U272" s="11" t="str">
        <x:v>https://www.youtube.com/watch?v=LY_hDTTMQzE</x:v>
      </x:c>
      <x:c r="V272" s="16" t="n">
        <x:v>46308</x:v>
      </x:c>
      <x:c r="W272" s="16" t="n">
        <x:v>45124</x:v>
      </x:c>
      <x:c r="X272" s="10" t="str">
        <x:v>Иврит предполагается по заголовку и источнику</x:v>
      </x:c>
      <x:c r="Y272" s="10" t="str">
        <x:v>Дорожка HE не найдена в метаданных; вшитые титры не проверены</x:v>
      </x:c>
      <x:c r="Z272" s="10" t="str">
        <x:v>Разрешено по метаданным</x:v>
      </x:c>
      <x:c r="AA272" s="10" t="str">
        <x:v>Метаданные видео; воспроизведение и содержание не проверены</x:v>
      </x:c>
      <x:c r="AB272" s="13" t="n">
        <x:f>IF(AND(ISNUMBER(H272),ISNUMBER(W272)),H272/MAX(1,'Обзор'!$B$4-W272),"")</x:f>
        <x:v>72.86993243243244</x:v>
      </x:c>
      <x:c r="AC272" s="17" t="str">
        <x:v>Не решено</x:v>
      </x:c>
      <x:c r="AD272" s="17" t="str">
        <x:v>Не проверено</x:v>
      </x:c>
      <x:c r="AE272" s="17" t="str">
        <x:v>Не проверено</x:v>
      </x:c>
      <x:c r="AF272" s="17" t="str">
        <x:v>Не проверено</x:v>
      </x:c>
      <x:c r="AG272" s="17" t="str">
        <x:v>Не решено</x:v>
      </x:c>
      <x:c r="AH272" s="17" t="str">
        <x:v>Не проверено</x:v>
      </x:c>
      <x:c r="AI272" s="10" t="str">
        <x:f>IF(AC272="Отклонить","Отклонено",IF(AND(AC272="Взять",COUNTIFS(AD272:AH272,"Да")=5),"Готово","Нужна редактура"))</x:f>
        <x:v>Нужна редактура</x:v>
      </x:c>
      <x:c r="AJ272" s="17" t="str"/>
      <x:c r="AK272" s="9" t="str">
        <x:v>https://www.youtube.com/playlist?list=PLLttfoK87AdX0OgAjJL85tiPgZNyxb4a-</x:v>
      </x:c>
      <x:c r="AL272" s="9" t="n">
        <x:v>20</x:v>
      </x:c>
      <x:c r="AM272" s="9" t="n">
        <x:v>19</x:v>
      </x:c>
      <x:c r="AN272" s="9" t="n">
        <x:v>0</x:v>
      </x:c>
    </x:row>
    <x:row r="273" ht="60" customHeight="1">
      <x:c r="A273" s="9" t="str">
        <x:v>nhtu0IkrgUk</x:v>
      </x:c>
      <x:c r="B273" s="10" t="str">
        <x:v>פגישה עם רוני קובן עונה 7 | פרק 20 - לאורה ריבלין</x:v>
      </x:c>
      <x:c r="C273" s="10" t="str">
        <x:v>Люди Израиля</x:v>
      </x:c>
      <x:c r="D273" s="9" t="str">
        <x:v>Интервью</x:v>
      </x:c>
      <x:c r="E273" s="10" t="str">
        <x:v>Интервью; культура; общество; продвинутые</x:v>
      </x:c>
      <x:c r="F273" s="10" t="str">
        <x:v>B2–C1 (гипотеза)</x:v>
      </x:c>
      <x:c r="G273" s="12" t="n">
        <x:v>30.2</x:v>
      </x:c>
      <x:c r="H273" s="14" t="n">
        <x:v>56251</x:v>
      </x:c>
      <x:c r="I273" s="15" t="str">
        <x:v>Точный счётчик метаданных видео</x:v>
      </x:c>
      <x:c r="J273" s="14" t="n">
        <x:v>56000</x:v>
      </x:c>
      <x:c r="K273" s="14" t="n">
        <x:v>48000</x:v>
      </x:c>
      <x:c r="L273" s="12" t="n">
        <x:f>IF(COUNT(J273:K273)=2,IF(K273=0,"",J273/K273),"")</x:f>
        <x:v>1.1666666666666667</x:v>
      </x:c>
      <x:c r="M273" s="10" t="str">
        <x:v>Тема / гость: פרק 20 - לאורה ריבלין.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73" s="10" t="str">
        <x:v>Выбрать 5–8 минут: вопрос, уточнение, развёрнутый ответ. Сформулировать следующий вопрос.</x:v>
      </x:c>
      <x:c r="O273" s="10" t="str">
        <x:v>Взгляды гостя не равны установленным фактам; проверить чувствительные темы</x:v>
      </x:c>
      <x:c r="P273" s="10" t="str">
        <x:v>Длинное интервью</x:v>
      </x:c>
      <x:c r="Q273" s="9" t="str">
        <x:v>Нет</x:v>
      </x:c>
      <x:c r="R273" s="9" t="str">
        <x:v>C016</x:v>
      </x:c>
      <x:c r="S273" s="9" t="str">
        <x:v>C016</x:v>
      </x:c>
      <x:c r="T273" s="10" t="str">
        <x:v>כאן 11 - תאגיד השידור הישראלי</x:v>
      </x:c>
      <x:c r="U273" s="11" t="str">
        <x:v>https://www.youtube.com/watch?v=nhtu0IkrgUk</x:v>
      </x:c>
      <x:c r="V273" s="16" t="n">
        <x:v>46308</x:v>
      </x:c>
      <x:c r="W273" s="16" t="n">
        <x:v>45132</x:v>
      </x:c>
      <x:c r="X273" s="10" t="str">
        <x:v>Иврит предполагается по заголовку и источнику</x:v>
      </x:c>
      <x:c r="Y273" s="10" t="str">
        <x:v>Дорожка HE не найдена в метаданных; вшитые титры не проверены</x:v>
      </x:c>
      <x:c r="Z273" s="10" t="str">
        <x:v>Разрешено по метаданным</x:v>
      </x:c>
      <x:c r="AA273" s="10" t="str">
        <x:v>Метаданные видео; воспроизведение и содержание не проверены</x:v>
      </x:c>
      <x:c r="AB273" s="13" t="n">
        <x:f>IF(AND(ISNUMBER(H273),ISNUMBER(W273)),H273/MAX(1,'Обзор'!$B$4-W273),"")</x:f>
        <x:v>47.83248299319728</x:v>
      </x:c>
      <x:c r="AC273" s="17" t="str">
        <x:v>Не решено</x:v>
      </x:c>
      <x:c r="AD273" s="17" t="str">
        <x:v>Не проверено</x:v>
      </x:c>
      <x:c r="AE273" s="17" t="str">
        <x:v>Не проверено</x:v>
      </x:c>
      <x:c r="AF273" s="17" t="str">
        <x:v>Не проверено</x:v>
      </x:c>
      <x:c r="AG273" s="17" t="str">
        <x:v>Не решено</x:v>
      </x:c>
      <x:c r="AH273" s="17" t="str">
        <x:v>Не проверено</x:v>
      </x:c>
      <x:c r="AI273" s="10" t="str">
        <x:f>IF(AC273="Отклонить","Отклонено",IF(AND(AC273="Взять",COUNTIFS(AD273:AH273,"Да")=5),"Готово","Нужна редактура"))</x:f>
        <x:v>Нужна редактура</x:v>
      </x:c>
      <x:c r="AJ273" s="17" t="str"/>
      <x:c r="AK273" s="9" t="str">
        <x:v>https://www.youtube.com/playlist?list=PLLttfoK87AdX0OgAjJL85tiPgZNyxb4a-</x:v>
      </x:c>
      <x:c r="AL273" s="9" t="n">
        <x:v>21</x:v>
      </x:c>
      <x:c r="AM273" s="9" t="n">
        <x:v>20</x:v>
      </x:c>
      <x:c r="AN273" s="9" t="n">
        <x:v>0</x:v>
      </x:c>
    </x:row>
    <x:row r="274" ht="60" customHeight="1">
      <x:c r="A274" s="9" t="str">
        <x:v>9u-jqWe2mYI</x:v>
      </x:c>
      <x:c r="B274" s="10" t="str">
        <x:v>פגישה עם רוני קובן עונה 7 | פרק 21 - סימה קדמון</x:v>
      </x:c>
      <x:c r="C274" s="10" t="str">
        <x:v>Люди Израиля</x:v>
      </x:c>
      <x:c r="D274" s="9" t="str">
        <x:v>Интервью</x:v>
      </x:c>
      <x:c r="E274" s="10" t="str">
        <x:v>Интервью; культура; общество; продвинутые</x:v>
      </x:c>
      <x:c r="F274" s="10" t="str">
        <x:v>B2–C1 (гипотеза)</x:v>
      </x:c>
      <x:c r="G274" s="12" t="n">
        <x:v>29.6</x:v>
      </x:c>
      <x:c r="H274" s="14" t="n">
        <x:v>45000</x:v>
      </x:c>
      <x:c r="I274" s="15" t="str">
        <x:v>Округлённый счётчик в списке YouTube</x:v>
      </x:c>
      <x:c r="J274" s="14" t="n">
        <x:v>45000</x:v>
      </x:c>
      <x:c r="K274" s="14" t="n">
        <x:v>48000</x:v>
      </x:c>
      <x:c r="L274" s="12" t="n">
        <x:f>IF(COUNT(J274:K274)=2,IF(K274=0,"",J274/K274),"")</x:f>
        <x:v>0.9375</x:v>
      </x:c>
      <x:c r="M274" s="10" t="str">
        <x:v>Тема / гость: פרק 21 - סימה קדמון.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74" s="10" t="str">
        <x:v>Выбрать 5–8 минут: вопрос, уточнение, развёрнутый ответ. Сформулировать следующий вопрос.</x:v>
      </x:c>
      <x:c r="O274" s="10" t="str">
        <x:v>Взгляды гостя не равны установленным фактам; проверить чувствительные темы</x:v>
      </x:c>
      <x:c r="P274" s="10" t="str">
        <x:v>Длинное интервью</x:v>
      </x:c>
      <x:c r="Q274" s="9" t="str">
        <x:v>Нет</x:v>
      </x:c>
      <x:c r="R274" s="9" t="str">
        <x:v>C016</x:v>
      </x:c>
      <x:c r="S274" s="9" t="str">
        <x:v>C016</x:v>
      </x:c>
      <x:c r="T274" s="10" t="str">
        <x:v>כאן 11 - תאגיד השידור הישראלי</x:v>
      </x:c>
      <x:c r="U274" s="11" t="str">
        <x:v>https://www.youtube.com/watch?v=9u-jqWe2mYI</x:v>
      </x:c>
      <x:c r="V274" s="16" t="n">
        <x:v>46308</x:v>
      </x:c>
      <x:c r="W274" s="16"/>
      <x:c r="X274" s="10" t="str">
        <x:v>Иврит предполагается по заголовку и источнику</x:v>
      </x:c>
      <x:c r="Y274" s="10" t="str">
        <x:v>Не проверено</x:v>
      </x:c>
      <x:c r="Z274" s="10" t="str">
        <x:v>Не проверено</x:v>
      </x:c>
      <x:c r="AA274" s="10" t="str">
        <x:v>Метаданные списка; видео не просмотрено</x:v>
      </x:c>
      <x:c r="AB274" s="13" t="str">
        <x:f>IF(AND(ISNUMBER(H274),ISNUMBER(W274)),H274/MAX(1,'Обзор'!$B$4-W274),"")</x:f>
      </x:c>
      <x:c r="AC274" s="17" t="str">
        <x:v>Не решено</x:v>
      </x:c>
      <x:c r="AD274" s="17" t="str">
        <x:v>Не проверено</x:v>
      </x:c>
      <x:c r="AE274" s="17" t="str">
        <x:v>Не проверено</x:v>
      </x:c>
      <x:c r="AF274" s="17" t="str">
        <x:v>Не проверено</x:v>
      </x:c>
      <x:c r="AG274" s="17" t="str">
        <x:v>Не решено</x:v>
      </x:c>
      <x:c r="AH274" s="17" t="str">
        <x:v>Не проверено</x:v>
      </x:c>
      <x:c r="AI274" s="10" t="str">
        <x:f>IF(AC274="Отклонить","Отклонено",IF(AND(AC274="Взять",COUNTIFS(AD274:AH274,"Да")=5),"Готово","Нужна редактура"))</x:f>
        <x:v>Нужна редактура</x:v>
      </x:c>
      <x:c r="AJ274" s="17" t="str"/>
      <x:c r="AK274" s="9" t="str">
        <x:v>https://www.youtube.com/playlist?list=PLLttfoK87AdX0OgAjJL85tiPgZNyxb4a-</x:v>
      </x:c>
      <x:c r="AL274" s="9" t="n">
        <x:v>22</x:v>
      </x:c>
      <x:c r="AM274" s="9" t="n">
        <x:v>21</x:v>
      </x:c>
      <x:c r="AN274" s="9"/>
    </x:row>
    <x:row r="275" ht="60" customHeight="1">
      <x:c r="A275" s="9" t="str">
        <x:v>7Qyxp6731BA</x:v>
      </x:c>
      <x:c r="B275" s="10" t="str">
        <x:v>פגישה עם רוני קובן עונה 6 | פרק 1 - קובי מידן</x:v>
      </x:c>
      <x:c r="C275" s="10" t="str">
        <x:v>Люди Израиля</x:v>
      </x:c>
      <x:c r="D275" s="9" t="str">
        <x:v>Интервью</x:v>
      </x:c>
      <x:c r="E275" s="10" t="str">
        <x:v>Интервью; культура; общество; продвинутые</x:v>
      </x:c>
      <x:c r="F275" s="10" t="str">
        <x:v>B2–C1 (гипотеза)</x:v>
      </x:c>
      <x:c r="G275" s="12" t="n">
        <x:v>31</x:v>
      </x:c>
      <x:c r="H275" s="14" t="n">
        <x:v>58289</x:v>
      </x:c>
      <x:c r="I275" s="15" t="str">
        <x:v>Точный счётчик метаданных видео</x:v>
      </x:c>
      <x:c r="J275" s="14" t="n">
        <x:v>58000</x:v>
      </x:c>
      <x:c r="K275" s="14" t="n">
        <x:v>44000</x:v>
      </x:c>
      <x:c r="L275" s="12" t="n">
        <x:f>IF(COUNT(J275:K275)=2,IF(K275=0,"",J275/K275),"")</x:f>
        <x:v>1.3181818181818181</x:v>
      </x:c>
      <x:c r="M275" s="10" t="str">
        <x:v>Тема / гость: פרק 1 - קובי מידן.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75" s="10" t="str">
        <x:v>Выбрать 5–8 минут: вопрос, уточнение, развёрнутый ответ. Сформулировать следующий вопрос.</x:v>
      </x:c>
      <x:c r="O275" s="10" t="str">
        <x:v>Взгляды гостя не равны установленным фактам; проверить чувствительные темы</x:v>
      </x:c>
      <x:c r="P275" s="10" t="str">
        <x:v>Длинное интервью</x:v>
      </x:c>
      <x:c r="Q275" s="9" t="str">
        <x:v>Нет</x:v>
      </x:c>
      <x:c r="R275" s="9" t="str">
        <x:v>C017</x:v>
      </x:c>
      <x:c r="S275" s="9" t="str">
        <x:v>C017</x:v>
      </x:c>
      <x:c r="T275" s="10" t="str">
        <x:v>כאן 11 - תאגיד השידור הישראלי</x:v>
      </x:c>
      <x:c r="U275" s="11" t="str">
        <x:v>https://www.youtube.com/watch?v=7Qyxp6731BA</x:v>
      </x:c>
      <x:c r="V275" s="16" t="n">
        <x:v>46308</x:v>
      </x:c>
      <x:c r="W275" s="16" t="n">
        <x:v>44724</x:v>
      </x:c>
      <x:c r="X275" s="10" t="str">
        <x:v>Иврит предполагается по заголовку и источнику</x:v>
      </x:c>
      <x:c r="Y275" s="10" t="str">
        <x:v>Дорожка HE не найдена в метаданных; вшитые титры не проверены</x:v>
      </x:c>
      <x:c r="Z275" s="10" t="str">
        <x:v>Разрешено по метаданным</x:v>
      </x:c>
      <x:c r="AA275" s="10" t="str">
        <x:v>Метаданные видео; воспроизведение и содержание не проверены</x:v>
      </x:c>
      <x:c r="AB275" s="13" t="n">
        <x:f>IF(AND(ISNUMBER(H275),ISNUMBER(W275)),H275/MAX(1,'Обзор'!$B$4-W275),"")</x:f>
        <x:v>36.798611111111114</x:v>
      </x:c>
      <x:c r="AC275" s="17" t="str">
        <x:v>Не решено</x:v>
      </x:c>
      <x:c r="AD275" s="17" t="str">
        <x:v>Не проверено</x:v>
      </x:c>
      <x:c r="AE275" s="17" t="str">
        <x:v>Не проверено</x:v>
      </x:c>
      <x:c r="AF275" s="17" t="str">
        <x:v>Не проверено</x:v>
      </x:c>
      <x:c r="AG275" s="17" t="str">
        <x:v>Не решено</x:v>
      </x:c>
      <x:c r="AH275" s="17" t="str">
        <x:v>Не проверено</x:v>
      </x:c>
      <x:c r="AI275" s="10" t="str">
        <x:f>IF(AC275="Отклонить","Отклонено",IF(AND(AC275="Взять",COUNTIFS(AD275:AH275,"Да")=5),"Готово","Нужна редактура"))</x:f>
        <x:v>Нужна редактура</x:v>
      </x:c>
      <x:c r="AJ275" s="17" t="str"/>
      <x:c r="AK275" s="9" t="str">
        <x:v>https://www.youtube.com/playlist?list=PLLttfoK87AdXOlZKvS9YyeC1nbPsKhjpu</x:v>
      </x:c>
      <x:c r="AL275" s="9" t="n">
        <x:v>9</x:v>
      </x:c>
      <x:c r="AM275" s="9" t="n">
        <x:v>1</x:v>
      </x:c>
      <x:c r="AN275" s="9" t="n">
        <x:v>0</x:v>
      </x:c>
    </x:row>
    <x:row r="276" ht="60" customHeight="1">
      <x:c r="A276" s="9" t="str">
        <x:v>82lQDDjzclA</x:v>
      </x:c>
      <x:c r="B276" s="10" t="str">
        <x:v>פגישה עם רוני קובן עונה 6 | פרק 2 - ציפי שביט</x:v>
      </x:c>
      <x:c r="C276" s="10" t="str">
        <x:v>Люди Израиля</x:v>
      </x:c>
      <x:c r="D276" s="9" t="str">
        <x:v>Интервью</x:v>
      </x:c>
      <x:c r="E276" s="10" t="str">
        <x:v>Интервью; культура; общество; продвинутые</x:v>
      </x:c>
      <x:c r="F276" s="10" t="str">
        <x:v>B2–C1 (гипотеза)</x:v>
      </x:c>
      <x:c r="G276" s="12" t="n">
        <x:v>34.6</x:v>
      </x:c>
      <x:c r="H276" s="14" t="n">
        <x:v>126499</x:v>
      </x:c>
      <x:c r="I276" s="15" t="str">
        <x:v>Точный счётчик метаданных видео</x:v>
      </x:c>
      <x:c r="J276" s="14" t="n">
        <x:v>126000</x:v>
      </x:c>
      <x:c r="K276" s="14" t="n">
        <x:v>44000</x:v>
      </x:c>
      <x:c r="L276" s="12" t="n">
        <x:f>IF(COUNT(J276:K276)=2,IF(K276=0,"",J276/K276),"")</x:f>
        <x:v>2.8636363636363638</x:v>
      </x:c>
      <x:c r="M276" s="10" t="str">
        <x:v>Тема / гость: פרק 2 - ציפי שביט. Просмотры в списке выше медианы выборки этого цикла в 2.86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76" s="10" t="str">
        <x:v>Выбрать 5–8 минут: вопрос, уточнение, развёрнутый ответ. Сформулировать следующий вопрос.</x:v>
      </x:c>
      <x:c r="O276" s="10" t="str">
        <x:v>Взгляды гостя не равны установленным фактам; проверить чувствительные темы</x:v>
      </x:c>
      <x:c r="P276" s="10" t="str">
        <x:v>Длинное интервью</x:v>
      </x:c>
      <x:c r="Q276" s="9" t="str">
        <x:v>Нет</x:v>
      </x:c>
      <x:c r="R276" s="9" t="str">
        <x:v>C017</x:v>
      </x:c>
      <x:c r="S276" s="9" t="str">
        <x:v>C017</x:v>
      </x:c>
      <x:c r="T276" s="10" t="str">
        <x:v>כאן 11 - תאגיד השידור הישראלי</x:v>
      </x:c>
      <x:c r="U276" s="11" t="str">
        <x:v>https://www.youtube.com/watch?v=82lQDDjzclA</x:v>
      </x:c>
      <x:c r="V276" s="16" t="n">
        <x:v>46308</x:v>
      </x:c>
      <x:c r="W276" s="16" t="n">
        <x:v>44731</x:v>
      </x:c>
      <x:c r="X276" s="10" t="str">
        <x:v>Иврит предполагается по заголовку и источнику</x:v>
      </x:c>
      <x:c r="Y276" s="10" t="str">
        <x:v>Дорожка HE не найдена в метаданных; вшитые титры не проверены</x:v>
      </x:c>
      <x:c r="Z276" s="10" t="str">
        <x:v>Разрешено по метаданным</x:v>
      </x:c>
      <x:c r="AA276" s="10" t="str">
        <x:v>Метаданные видео; воспроизведение и содержание не проверены</x:v>
      </x:c>
      <x:c r="AB276" s="13" t="n">
        <x:f>IF(AND(ISNUMBER(H276),ISNUMBER(W276)),H276/MAX(1,'Обзор'!$B$4-W276),"")</x:f>
        <x:v>80.2149651236525</x:v>
      </x:c>
      <x:c r="AC276" s="17" t="str">
        <x:v>Не решено</x:v>
      </x:c>
      <x:c r="AD276" s="17" t="str">
        <x:v>Не проверено</x:v>
      </x:c>
      <x:c r="AE276" s="17" t="str">
        <x:v>Не проверено</x:v>
      </x:c>
      <x:c r="AF276" s="17" t="str">
        <x:v>Не проверено</x:v>
      </x:c>
      <x:c r="AG276" s="17" t="str">
        <x:v>Не решено</x:v>
      </x:c>
      <x:c r="AH276" s="17" t="str">
        <x:v>Не проверено</x:v>
      </x:c>
      <x:c r="AI276" s="10" t="str">
        <x:f>IF(AC276="Отклонить","Отклонено",IF(AND(AC276="Взять",COUNTIFS(AD276:AH276,"Да")=5),"Готово","Нужна редактура"))</x:f>
        <x:v>Нужна редактура</x:v>
      </x:c>
      <x:c r="AJ276" s="17" t="str"/>
      <x:c r="AK276" s="9" t="str">
        <x:v>https://www.youtube.com/playlist?list=PLLttfoK87AdXOlZKvS9YyeC1nbPsKhjpu</x:v>
      </x:c>
      <x:c r="AL276" s="9" t="n">
        <x:v>8</x:v>
      </x:c>
      <x:c r="AM276" s="9" t="n">
        <x:v>2</x:v>
      </x:c>
      <x:c r="AN276" s="9" t="n">
        <x:v>0</x:v>
      </x:c>
    </x:row>
    <x:row r="277" ht="60" customHeight="1">
      <x:c r="A277" s="9" t="str">
        <x:v>oPtWv8hKew0</x:v>
      </x:c>
      <x:c r="B277" s="10" t="str">
        <x:v>פגישה עם רוני קובן עונה 6 | פרק 3 - שלמה שרף</x:v>
      </x:c>
      <x:c r="C277" s="10" t="str">
        <x:v>Люди Израиля</x:v>
      </x:c>
      <x:c r="D277" s="9" t="str">
        <x:v>Интервью</x:v>
      </x:c>
      <x:c r="E277" s="10" t="str">
        <x:v>Интервью; культура; общество; продвинутые</x:v>
      </x:c>
      <x:c r="F277" s="10" t="str">
        <x:v>B2–C1 (гипотеза)</x:v>
      </x:c>
      <x:c r="G277" s="12" t="n">
        <x:v>29.8</x:v>
      </x:c>
      <x:c r="H277" s="14" t="n">
        <x:v>23000</x:v>
      </x:c>
      <x:c r="I277" s="15" t="str">
        <x:v>Округлённый счётчик в списке YouTube</x:v>
      </x:c>
      <x:c r="J277" s="14" t="n">
        <x:v>23000</x:v>
      </x:c>
      <x:c r="K277" s="14" t="n">
        <x:v>44000</x:v>
      </x:c>
      <x:c r="L277" s="12" t="n">
        <x:f>IF(COUNT(J277:K277)=2,IF(K277=0,"",J277/K277),"")</x:f>
        <x:v>0.5227272727272727</x:v>
      </x:c>
      <x:c r="M277" s="10" t="str">
        <x:v>Тема / гость: פרק 3 - שלמה שרף.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77" s="10" t="str">
        <x:v>Выбрать 5–8 минут: вопрос, уточнение, развёрнутый ответ. Сформулировать следующий вопрос.</x:v>
      </x:c>
      <x:c r="O277" s="10" t="str">
        <x:v>Взгляды гостя не равны установленным фактам; проверить чувствительные темы</x:v>
      </x:c>
      <x:c r="P277" s="10" t="str">
        <x:v>Длинное интервью</x:v>
      </x:c>
      <x:c r="Q277" s="9" t="str">
        <x:v>Нет</x:v>
      </x:c>
      <x:c r="R277" s="9" t="str">
        <x:v>C017</x:v>
      </x:c>
      <x:c r="S277" s="9" t="str">
        <x:v>C017</x:v>
      </x:c>
      <x:c r="T277" s="10" t="str">
        <x:v>כאן 11 - תאגיד השידור הישראלי</x:v>
      </x:c>
      <x:c r="U277" s="11" t="str">
        <x:v>https://www.youtube.com/watch?v=oPtWv8hKew0</x:v>
      </x:c>
      <x:c r="V277" s="16" t="n">
        <x:v>46308</x:v>
      </x:c>
      <x:c r="W277" s="16"/>
      <x:c r="X277" s="10" t="str">
        <x:v>Иврит предполагается по заголовку и источнику</x:v>
      </x:c>
      <x:c r="Y277" s="10" t="str">
        <x:v>Не проверено</x:v>
      </x:c>
      <x:c r="Z277" s="10" t="str">
        <x:v>Не проверено</x:v>
      </x:c>
      <x:c r="AA277" s="10" t="str">
        <x:v>Метаданные списка; видео не просмотрено</x:v>
      </x:c>
      <x:c r="AB277" s="13" t="str">
        <x:f>IF(AND(ISNUMBER(H277),ISNUMBER(W277)),H277/MAX(1,'Обзор'!$B$4-W277),"")</x:f>
      </x:c>
      <x:c r="AC277" s="17" t="str">
        <x:v>Не решено</x:v>
      </x:c>
      <x:c r="AD277" s="17" t="str">
        <x:v>Не проверено</x:v>
      </x:c>
      <x:c r="AE277" s="17" t="str">
        <x:v>Не проверено</x:v>
      </x:c>
      <x:c r="AF277" s="17" t="str">
        <x:v>Не проверено</x:v>
      </x:c>
      <x:c r="AG277" s="17" t="str">
        <x:v>Не решено</x:v>
      </x:c>
      <x:c r="AH277" s="17" t="str">
        <x:v>Не проверено</x:v>
      </x:c>
      <x:c r="AI277" s="10" t="str">
        <x:f>IF(AC277="Отклонить","Отклонено",IF(AND(AC277="Взять",COUNTIFS(AD277:AH277,"Да")=5),"Готово","Нужна редактура"))</x:f>
        <x:v>Нужна редактура</x:v>
      </x:c>
      <x:c r="AJ277" s="17" t="str"/>
      <x:c r="AK277" s="9" t="str">
        <x:v>https://www.youtube.com/playlist?list=PLLttfoK87AdXOlZKvS9YyeC1nbPsKhjpu</x:v>
      </x:c>
      <x:c r="AL277" s="9" t="n">
        <x:v>7</x:v>
      </x:c>
      <x:c r="AM277" s="9" t="n">
        <x:v>3</x:v>
      </x:c>
      <x:c r="AN277" s="9"/>
    </x:row>
    <x:row r="278" ht="60" customHeight="1">
      <x:c r="A278" s="9" t="str">
        <x:v>LQ5TYkjfLXg</x:v>
      </x:c>
      <x:c r="B278" s="10" t="str">
        <x:v>פגישה עם רוני קובן עונה 6 | פרק 4 - בועז ביסמוט</x:v>
      </x:c>
      <x:c r="C278" s="10" t="str">
        <x:v>Люди Израиля</x:v>
      </x:c>
      <x:c r="D278" s="9" t="str">
        <x:v>Интервью</x:v>
      </x:c>
      <x:c r="E278" s="10" t="str">
        <x:v>Интервью; культура; общество; продвинутые</x:v>
      </x:c>
      <x:c r="F278" s="10" t="str">
        <x:v>B2–C1 (гипотеза)</x:v>
      </x:c>
      <x:c r="G278" s="12" t="n">
        <x:v>29.7</x:v>
      </x:c>
      <x:c r="H278" s="14" t="n">
        <x:v>44965</x:v>
      </x:c>
      <x:c r="I278" s="15" t="str">
        <x:v>Точный счётчик метаданных видео</x:v>
      </x:c>
      <x:c r="J278" s="14" t="n">
        <x:v>44000</x:v>
      </x:c>
      <x:c r="K278" s="14" t="n">
        <x:v>44000</x:v>
      </x:c>
      <x:c r="L278" s="12" t="n">
        <x:f>IF(COUNT(J278:K278)=2,IF(K278=0,"",J278/K278),"")</x:f>
        <x:v>1</x:v>
      </x:c>
      <x:c r="M278" s="10" t="str">
        <x:v>Тема / гость: פרק 4 - בועז ביסמוט.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78" s="10" t="str">
        <x:v>Выбрать 5–8 минут: вопрос, уточнение, развёрнутый ответ. Сформулировать следующий вопрос.</x:v>
      </x:c>
      <x:c r="O278" s="10" t="str">
        <x:v>Взгляды гостя не равны установленным фактам; проверить чувствительные темы</x:v>
      </x:c>
      <x:c r="P278" s="10" t="str">
        <x:v>Длинное интервью</x:v>
      </x:c>
      <x:c r="Q278" s="9" t="str">
        <x:v>Нет</x:v>
      </x:c>
      <x:c r="R278" s="9" t="str">
        <x:v>C017</x:v>
      </x:c>
      <x:c r="S278" s="9" t="str">
        <x:v>C017</x:v>
      </x:c>
      <x:c r="T278" s="10" t="str">
        <x:v>כאן 11 - תאגיד השידור הישראלי</x:v>
      </x:c>
      <x:c r="U278" s="11" t="str">
        <x:v>https://www.youtube.com/watch?v=LQ5TYkjfLXg</x:v>
      </x:c>
      <x:c r="V278" s="16" t="n">
        <x:v>46308</x:v>
      </x:c>
      <x:c r="W278" s="16" t="n">
        <x:v>44745</x:v>
      </x:c>
      <x:c r="X278" s="10" t="str">
        <x:v>Иврит предполагается по заголовку и источнику</x:v>
      </x:c>
      <x:c r="Y278" s="10" t="str">
        <x:v>Дорожка HE не найдена в метаданных; вшитые титры не проверены</x:v>
      </x:c>
      <x:c r="Z278" s="10" t="str">
        <x:v>Разрешено по метаданным</x:v>
      </x:c>
      <x:c r="AA278" s="10" t="str">
        <x:v>Метаданные видео; воспроизведение и содержание не проверены</x:v>
      </x:c>
      <x:c r="AB278" s="13" t="n">
        <x:f>IF(AND(ISNUMBER(H278),ISNUMBER(W278)),H278/MAX(1,'Обзор'!$B$4-W278),"")</x:f>
        <x:v>28.768394113883556</x:v>
      </x:c>
      <x:c r="AC278" s="17" t="str">
        <x:v>Не решено</x:v>
      </x:c>
      <x:c r="AD278" s="17" t="str">
        <x:v>Не проверено</x:v>
      </x:c>
      <x:c r="AE278" s="17" t="str">
        <x:v>Не проверено</x:v>
      </x:c>
      <x:c r="AF278" s="17" t="str">
        <x:v>Не проверено</x:v>
      </x:c>
      <x:c r="AG278" s="17" t="str">
        <x:v>Не решено</x:v>
      </x:c>
      <x:c r="AH278" s="17" t="str">
        <x:v>Не проверено</x:v>
      </x:c>
      <x:c r="AI278" s="10" t="str">
        <x:f>IF(AC278="Отклонить","Отклонено",IF(AND(AC278="Взять",COUNTIFS(AD278:AH278,"Да")=5),"Готово","Нужна редактура"))</x:f>
        <x:v>Нужна редактура</x:v>
      </x:c>
      <x:c r="AJ278" s="17" t="str"/>
      <x:c r="AK278" s="9" t="str">
        <x:v>https://www.youtube.com/playlist?list=PLLttfoK87AdXOlZKvS9YyeC1nbPsKhjpu</x:v>
      </x:c>
      <x:c r="AL278" s="9" t="n">
        <x:v>6</x:v>
      </x:c>
      <x:c r="AM278" s="9" t="n">
        <x:v>4</x:v>
      </x:c>
      <x:c r="AN278" s="9" t="n">
        <x:v>0</x:v>
      </x:c>
    </x:row>
    <x:row r="279" ht="60" customHeight="1">
      <x:c r="A279" s="9" t="str">
        <x:v>CN1QJCKgUNQ</x:v>
      </x:c>
      <x:c r="B279" s="10" t="str">
        <x:v>פגישה עם רוני קובן עונה 6 | פרק 5 - צופית גרנט</x:v>
      </x:c>
      <x:c r="C279" s="10" t="str">
        <x:v>Люди Израиля</x:v>
      </x:c>
      <x:c r="D279" s="9" t="str">
        <x:v>Интервью</x:v>
      </x:c>
      <x:c r="E279" s="10" t="str">
        <x:v>Интервью; культура; общество; продвинутые</x:v>
      </x:c>
      <x:c r="F279" s="10" t="str">
        <x:v>B2–C1 (гипотеза)</x:v>
      </x:c>
      <x:c r="G279" s="12" t="n">
        <x:v>31.8</x:v>
      </x:c>
      <x:c r="H279" s="14" t="n">
        <x:v>146048</x:v>
      </x:c>
      <x:c r="I279" s="15" t="str">
        <x:v>Точный счётчик метаданных видео</x:v>
      </x:c>
      <x:c r="J279" s="14" t="n">
        <x:v>146000</x:v>
      </x:c>
      <x:c r="K279" s="14" t="n">
        <x:v>44000</x:v>
      </x:c>
      <x:c r="L279" s="12" t="n">
        <x:f>IF(COUNT(J279:K279)=2,IF(K279=0,"",J279/K279),"")</x:f>
        <x:v>3.3181818181818183</x:v>
      </x:c>
      <x:c r="M279" s="10" t="str">
        <x:v>Тема / гость: פרק 5 - צופית גרנט. Просмотры в списке выше медианы выборки этого цикла в 3.32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79" s="10" t="str">
        <x:v>Выбрать 5–8 минут: вопрос, уточнение, развёрнутый ответ. Сформулировать следующий вопрос.</x:v>
      </x:c>
      <x:c r="O279" s="10" t="str">
        <x:v>Взгляды гостя не равны установленным фактам; проверить чувствительные темы</x:v>
      </x:c>
      <x:c r="P279" s="10" t="str">
        <x:v>Длинное интервью</x:v>
      </x:c>
      <x:c r="Q279" s="9" t="str">
        <x:v>Нет</x:v>
      </x:c>
      <x:c r="R279" s="9" t="str">
        <x:v>C017</x:v>
      </x:c>
      <x:c r="S279" s="9" t="str">
        <x:v>C017</x:v>
      </x:c>
      <x:c r="T279" s="10" t="str">
        <x:v>כאן 11 - תאגיד השידור הישראלי</x:v>
      </x:c>
      <x:c r="U279" s="11" t="str">
        <x:v>https://www.youtube.com/watch?v=CN1QJCKgUNQ</x:v>
      </x:c>
      <x:c r="V279" s="16" t="n">
        <x:v>46308</x:v>
      </x:c>
      <x:c r="W279" s="16" t="n">
        <x:v>44752</x:v>
      </x:c>
      <x:c r="X279" s="10" t="str">
        <x:v>Иврит предполагается по заголовку и источнику</x:v>
      </x:c>
      <x:c r="Y279" s="10" t="str">
        <x:v>Дорожка HE не найдена в метаданных; вшитые титры не проверены</x:v>
      </x:c>
      <x:c r="Z279" s="10" t="str">
        <x:v>Разрешено по метаданным</x:v>
      </x:c>
      <x:c r="AA279" s="10" t="str">
        <x:v>Метаданные видео; воспроизведение и содержание не проверены</x:v>
      </x:c>
      <x:c r="AB279" s="13" t="n">
        <x:f>IF(AND(ISNUMBER(H279),ISNUMBER(W279)),H279/MAX(1,'Обзор'!$B$4-W279),"")</x:f>
        <x:v>93.8611825192802</x:v>
      </x:c>
      <x:c r="AC279" s="17" t="str">
        <x:v>Не решено</x:v>
      </x:c>
      <x:c r="AD279" s="17" t="str">
        <x:v>Не проверено</x:v>
      </x:c>
      <x:c r="AE279" s="17" t="str">
        <x:v>Не проверено</x:v>
      </x:c>
      <x:c r="AF279" s="17" t="str">
        <x:v>Не проверено</x:v>
      </x:c>
      <x:c r="AG279" s="17" t="str">
        <x:v>Не решено</x:v>
      </x:c>
      <x:c r="AH279" s="17" t="str">
        <x:v>Не проверено</x:v>
      </x:c>
      <x:c r="AI279" s="10" t="str">
        <x:f>IF(AC279="Отклонить","Отклонено",IF(AND(AC279="Взять",COUNTIFS(AD279:AH279,"Да")=5),"Готово","Нужна редактура"))</x:f>
        <x:v>Нужна редактура</x:v>
      </x:c>
      <x:c r="AJ279" s="17" t="str"/>
      <x:c r="AK279" s="9" t="str">
        <x:v>https://www.youtube.com/playlist?list=PLLttfoK87AdXOlZKvS9YyeC1nbPsKhjpu</x:v>
      </x:c>
      <x:c r="AL279" s="9" t="n">
        <x:v>5</x:v>
      </x:c>
      <x:c r="AM279" s="9" t="n">
        <x:v>5</x:v>
      </x:c>
      <x:c r="AN279" s="9" t="n">
        <x:v>0</x:v>
      </x:c>
    </x:row>
    <x:row r="280" ht="60" customHeight="1">
      <x:c r="A280" s="9" t="str">
        <x:v>V5puAdeyBys</x:v>
      </x:c>
      <x:c r="B280" s="10" t="str">
        <x:v>פגישה עם רוני קובן עונה 6 | פרק 6 - אבי נשר</x:v>
      </x:c>
      <x:c r="C280" s="10" t="str">
        <x:v>Люди Израиля</x:v>
      </x:c>
      <x:c r="D280" s="9" t="str">
        <x:v>Интервью</x:v>
      </x:c>
      <x:c r="E280" s="10" t="str">
        <x:v>Интервью; культура; общество; продвинутые</x:v>
      </x:c>
      <x:c r="F280" s="10" t="str">
        <x:v>B2–C1 (гипотеза)</x:v>
      </x:c>
      <x:c r="G280" s="12" t="n">
        <x:v>29.7</x:v>
      </x:c>
      <x:c r="H280" s="14" t="n">
        <x:v>34000</x:v>
      </x:c>
      <x:c r="I280" s="15" t="str">
        <x:v>Округлённый счётчик в списке YouTube</x:v>
      </x:c>
      <x:c r="J280" s="14" t="n">
        <x:v>34000</x:v>
      </x:c>
      <x:c r="K280" s="14" t="n">
        <x:v>44000</x:v>
      </x:c>
      <x:c r="L280" s="12" t="n">
        <x:f>IF(COUNT(J280:K280)=2,IF(K280=0,"",J280/K280),"")</x:f>
        <x:v>0.7727272727272727</x:v>
      </x:c>
      <x:c r="M280" s="10" t="str">
        <x:v>Тема / гость: פרק 6 - אבי נשר.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80" s="10" t="str">
        <x:v>Выбрать 5–8 минут: вопрос, уточнение, развёрнутый ответ. Сформулировать следующий вопрос.</x:v>
      </x:c>
      <x:c r="O280" s="10" t="str">
        <x:v>Взгляды гостя не равны установленным фактам; проверить чувствительные темы</x:v>
      </x:c>
      <x:c r="P280" s="10" t="str">
        <x:v>Длинное интервью</x:v>
      </x:c>
      <x:c r="Q280" s="9" t="str">
        <x:v>Нет</x:v>
      </x:c>
      <x:c r="R280" s="9" t="str">
        <x:v>C017</x:v>
      </x:c>
      <x:c r="S280" s="9" t="str">
        <x:v>C017</x:v>
      </x:c>
      <x:c r="T280" s="10" t="str">
        <x:v>כאן 11 - תאגיד השידור הישראלי</x:v>
      </x:c>
      <x:c r="U280" s="11" t="str">
        <x:v>https://www.youtube.com/watch?v=V5puAdeyBys</x:v>
      </x:c>
      <x:c r="V280" s="16" t="n">
        <x:v>46308</x:v>
      </x:c>
      <x:c r="W280" s="16"/>
      <x:c r="X280" s="10" t="str">
        <x:v>Иврит предполагается по заголовку и источнику</x:v>
      </x:c>
      <x:c r="Y280" s="10" t="str">
        <x:v>Не проверено</x:v>
      </x:c>
      <x:c r="Z280" s="10" t="str">
        <x:v>Не проверено</x:v>
      </x:c>
      <x:c r="AA280" s="10" t="str">
        <x:v>Метаданные списка; видео не просмотрено</x:v>
      </x:c>
      <x:c r="AB280" s="13" t="str">
        <x:f>IF(AND(ISNUMBER(H280),ISNUMBER(W280)),H280/MAX(1,'Обзор'!$B$4-W280),"")</x:f>
      </x:c>
      <x:c r="AC280" s="17" t="str">
        <x:v>Не решено</x:v>
      </x:c>
      <x:c r="AD280" s="17" t="str">
        <x:v>Не проверено</x:v>
      </x:c>
      <x:c r="AE280" s="17" t="str">
        <x:v>Не проверено</x:v>
      </x:c>
      <x:c r="AF280" s="17" t="str">
        <x:v>Не проверено</x:v>
      </x:c>
      <x:c r="AG280" s="17" t="str">
        <x:v>Не решено</x:v>
      </x:c>
      <x:c r="AH280" s="17" t="str">
        <x:v>Не проверено</x:v>
      </x:c>
      <x:c r="AI280" s="10" t="str">
        <x:f>IF(AC280="Отклонить","Отклонено",IF(AND(AC280="Взять",COUNTIFS(AD280:AH280,"Да")=5),"Готово","Нужна редактура"))</x:f>
        <x:v>Нужна редактура</x:v>
      </x:c>
      <x:c r="AJ280" s="17" t="str"/>
      <x:c r="AK280" s="9" t="str">
        <x:v>https://www.youtube.com/playlist?list=PLLttfoK87AdXOlZKvS9YyeC1nbPsKhjpu</x:v>
      </x:c>
      <x:c r="AL280" s="9" t="n">
        <x:v>4</x:v>
      </x:c>
      <x:c r="AM280" s="9" t="n">
        <x:v>6</x:v>
      </x:c>
      <x:c r="AN280" s="9"/>
    </x:row>
    <x:row r="281" ht="60" customHeight="1">
      <x:c r="A281" s="9" t="str">
        <x:v>T2gsxr-2TSI</x:v>
      </x:c>
      <x:c r="B281" s="10" t="str">
        <x:v>פגישה עם רוני קובן עונה 6 | פרק 7 - דב וייסגלס</x:v>
      </x:c>
      <x:c r="C281" s="10" t="str">
        <x:v>Люди Израиля</x:v>
      </x:c>
      <x:c r="D281" s="9" t="str">
        <x:v>Интервью</x:v>
      </x:c>
      <x:c r="E281" s="10" t="str">
        <x:v>Интервью; культура; общество; продвинутые</x:v>
      </x:c>
      <x:c r="F281" s="10" t="str">
        <x:v>B2–C1 (гипотеза)</x:v>
      </x:c>
      <x:c r="G281" s="12" t="n">
        <x:v>28.7</x:v>
      </x:c>
      <x:c r="H281" s="14" t="n">
        <x:v>27000</x:v>
      </x:c>
      <x:c r="I281" s="15" t="str">
        <x:v>Округлённый счётчик в списке YouTube</x:v>
      </x:c>
      <x:c r="J281" s="14" t="n">
        <x:v>27000</x:v>
      </x:c>
      <x:c r="K281" s="14" t="n">
        <x:v>44000</x:v>
      </x:c>
      <x:c r="L281" s="12" t="n">
        <x:f>IF(COUNT(J281:K281)=2,IF(K281=0,"",J281/K281),"")</x:f>
        <x:v>0.6136363636363636</x:v>
      </x:c>
      <x:c r="M281" s="10" t="str">
        <x:v>Тема / гость: פרק 7 - דב וייסגלס.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81" s="10" t="str">
        <x:v>Выбрать 5–8 минут: вопрос, уточнение, развёрнутый ответ. Сформулировать следующий вопрос.</x:v>
      </x:c>
      <x:c r="O281" s="10" t="str">
        <x:v>Взгляды гостя не равны установленным фактам; проверить чувствительные темы</x:v>
      </x:c>
      <x:c r="P281" s="10" t="str">
        <x:v>Длинное интервью</x:v>
      </x:c>
      <x:c r="Q281" s="9" t="str">
        <x:v>Нет</x:v>
      </x:c>
      <x:c r="R281" s="9" t="str">
        <x:v>C017</x:v>
      </x:c>
      <x:c r="S281" s="9" t="str">
        <x:v>C017</x:v>
      </x:c>
      <x:c r="T281" s="10" t="str">
        <x:v>כאן 11 - תאגיד השידור הישראלי</x:v>
      </x:c>
      <x:c r="U281" s="11" t="str">
        <x:v>https://www.youtube.com/watch?v=T2gsxr-2TSI</x:v>
      </x:c>
      <x:c r="V281" s="16" t="n">
        <x:v>46308</x:v>
      </x:c>
      <x:c r="W281" s="16"/>
      <x:c r="X281" s="10" t="str">
        <x:v>Иврит предполагается по заголовку и источнику</x:v>
      </x:c>
      <x:c r="Y281" s="10" t="str">
        <x:v>Не проверено</x:v>
      </x:c>
      <x:c r="Z281" s="10" t="str">
        <x:v>Не проверено</x:v>
      </x:c>
      <x:c r="AA281" s="10" t="str">
        <x:v>Метаданные списка; видео не просмотрено</x:v>
      </x:c>
      <x:c r="AB281" s="13" t="str">
        <x:f>IF(AND(ISNUMBER(H281),ISNUMBER(W281)),H281/MAX(1,'Обзор'!$B$4-W281),"")</x:f>
      </x:c>
      <x:c r="AC281" s="17" t="str">
        <x:v>Не решено</x:v>
      </x:c>
      <x:c r="AD281" s="17" t="str">
        <x:v>Не проверено</x:v>
      </x:c>
      <x:c r="AE281" s="17" t="str">
        <x:v>Не проверено</x:v>
      </x:c>
      <x:c r="AF281" s="17" t="str">
        <x:v>Не проверено</x:v>
      </x:c>
      <x:c r="AG281" s="17" t="str">
        <x:v>Не решено</x:v>
      </x:c>
      <x:c r="AH281" s="17" t="str">
        <x:v>Не проверено</x:v>
      </x:c>
      <x:c r="AI281" s="10" t="str">
        <x:f>IF(AC281="Отклонить","Отклонено",IF(AND(AC281="Взять",COUNTIFS(AD281:AH281,"Да")=5),"Готово","Нужна редактура"))</x:f>
        <x:v>Нужна редактура</x:v>
      </x:c>
      <x:c r="AJ281" s="17" t="str"/>
      <x:c r="AK281" s="9" t="str">
        <x:v>https://www.youtube.com/playlist?list=PLLttfoK87AdXOlZKvS9YyeC1nbPsKhjpu</x:v>
      </x:c>
      <x:c r="AL281" s="9" t="n">
        <x:v>3</x:v>
      </x:c>
      <x:c r="AM281" s="9" t="n">
        <x:v>7</x:v>
      </x:c>
      <x:c r="AN281" s="9"/>
    </x:row>
    <x:row r="282" ht="60" customHeight="1">
      <x:c r="A282" s="9" t="str">
        <x:v>M08k1lLzNfw</x:v>
      </x:c>
      <x:c r="B282" s="10" t="str">
        <x:v>פגישה עם רוני קובן עונה 6 | פרק 8 - שרה פון שוורצה</x:v>
      </x:c>
      <x:c r="C282" s="10" t="str">
        <x:v>Люди Израиля</x:v>
      </x:c>
      <x:c r="D282" s="9" t="str">
        <x:v>Интервью</x:v>
      </x:c>
      <x:c r="E282" s="10" t="str">
        <x:v>Интервью; культура; общество; продвинутые</x:v>
      </x:c>
      <x:c r="F282" s="10" t="str">
        <x:v>B2–C1 (гипотеза)</x:v>
      </x:c>
      <x:c r="G282" s="12" t="n">
        <x:v>29.9</x:v>
      </x:c>
      <x:c r="H282" s="14" t="n">
        <x:v>42000</x:v>
      </x:c>
      <x:c r="I282" s="15" t="str">
        <x:v>Округлённый счётчик в списке YouTube</x:v>
      </x:c>
      <x:c r="J282" s="14" t="n">
        <x:v>42000</x:v>
      </x:c>
      <x:c r="K282" s="14" t="n">
        <x:v>44000</x:v>
      </x:c>
      <x:c r="L282" s="12" t="n">
        <x:f>IF(COUNT(J282:K282)=2,IF(K282=0,"",J282/K282),"")</x:f>
        <x:v>0.9545454545454546</x:v>
      </x:c>
      <x:c r="M282" s="10" t="str">
        <x:v>Тема / гость: פרק 8 - שרה פון שוורצה.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82" s="10" t="str">
        <x:v>Выбрать 5–8 минут: вопрос, уточнение, развёрнутый ответ. Сформулировать следующий вопрос.</x:v>
      </x:c>
      <x:c r="O282" s="10" t="str">
        <x:v>Взгляды гостя не равны установленным фактам; проверить чувствительные темы</x:v>
      </x:c>
      <x:c r="P282" s="10" t="str">
        <x:v>Длинное интервью</x:v>
      </x:c>
      <x:c r="Q282" s="9" t="str">
        <x:v>Нет</x:v>
      </x:c>
      <x:c r="R282" s="9" t="str">
        <x:v>C017</x:v>
      </x:c>
      <x:c r="S282" s="9" t="str">
        <x:v>C017</x:v>
      </x:c>
      <x:c r="T282" s="10" t="str">
        <x:v>כאן 11 - תאגיד השידור הישראלי</x:v>
      </x:c>
      <x:c r="U282" s="11" t="str">
        <x:v>https://www.youtube.com/watch?v=M08k1lLzNfw</x:v>
      </x:c>
      <x:c r="V282" s="16" t="n">
        <x:v>46308</x:v>
      </x:c>
      <x:c r="W282" s="16"/>
      <x:c r="X282" s="10" t="str">
        <x:v>Иврит предполагается по заголовку и источнику</x:v>
      </x:c>
      <x:c r="Y282" s="10" t="str">
        <x:v>Не проверено</x:v>
      </x:c>
      <x:c r="Z282" s="10" t="str">
        <x:v>Не проверено</x:v>
      </x:c>
      <x:c r="AA282" s="10" t="str">
        <x:v>Метаданные списка; видео не просмотрено</x:v>
      </x:c>
      <x:c r="AB282" s="13" t="str">
        <x:f>IF(AND(ISNUMBER(H282),ISNUMBER(W282)),H282/MAX(1,'Обзор'!$B$4-W282),"")</x:f>
      </x:c>
      <x:c r="AC282" s="17" t="str">
        <x:v>Не решено</x:v>
      </x:c>
      <x:c r="AD282" s="17" t="str">
        <x:v>Не проверено</x:v>
      </x:c>
      <x:c r="AE282" s="17" t="str">
        <x:v>Не проверено</x:v>
      </x:c>
      <x:c r="AF282" s="17" t="str">
        <x:v>Не проверено</x:v>
      </x:c>
      <x:c r="AG282" s="17" t="str">
        <x:v>Не решено</x:v>
      </x:c>
      <x:c r="AH282" s="17" t="str">
        <x:v>Не проверено</x:v>
      </x:c>
      <x:c r="AI282" s="10" t="str">
        <x:f>IF(AC282="Отклонить","Отклонено",IF(AND(AC282="Взять",COUNTIFS(AD282:AH282,"Да")=5),"Готово","Нужна редактура"))</x:f>
        <x:v>Нужна редактура</x:v>
      </x:c>
      <x:c r="AJ282" s="17" t="str"/>
      <x:c r="AK282" s="9" t="str">
        <x:v>https://www.youtube.com/playlist?list=PLLttfoK87AdXOlZKvS9YyeC1nbPsKhjpu</x:v>
      </x:c>
      <x:c r="AL282" s="9" t="n">
        <x:v>2</x:v>
      </x:c>
      <x:c r="AM282" s="9" t="n">
        <x:v>8</x:v>
      </x:c>
      <x:c r="AN282" s="9"/>
    </x:row>
    <x:row r="283" ht="60" customHeight="1">
      <x:c r="A283" s="9" t="str">
        <x:v>syoDFvQbWNc</x:v>
      </x:c>
      <x:c r="B283" s="10" t="str">
        <x:v>פגישה עם רוני קובן עונה 6 | פרק 9 - נינט טייב</x:v>
      </x:c>
      <x:c r="C283" s="10" t="str">
        <x:v>Люди Израиля</x:v>
      </x:c>
      <x:c r="D283" s="9" t="str">
        <x:v>Интервью</x:v>
      </x:c>
      <x:c r="E283" s="10" t="str">
        <x:v>Интервью; культура; общество; продвинутые</x:v>
      </x:c>
      <x:c r="F283" s="10" t="str">
        <x:v>B2–C1 (гипотеза)</x:v>
      </x:c>
      <x:c r="G283" s="12" t="n">
        <x:v>32.8</x:v>
      </x:c>
      <x:c r="H283" s="14" t="n">
        <x:v>366877</x:v>
      </x:c>
      <x:c r="I283" s="15" t="str">
        <x:v>Точный счётчик метаданных видео</x:v>
      </x:c>
      <x:c r="J283" s="14" t="n">
        <x:v>366000</x:v>
      </x:c>
      <x:c r="K283" s="14" t="n">
        <x:v>44000</x:v>
      </x:c>
      <x:c r="L283" s="12" t="n">
        <x:f>IF(COUNT(J283:K283)=2,IF(K283=0,"",J283/K283),"")</x:f>
        <x:v>8.318181818181818</x:v>
      </x:c>
      <x:c r="M283" s="10" t="str">
        <x:v>Тема / гость: פרק 9 - נינט טייב. Просмотры в списке выше медианы выборки этого цикла в 8.32 раза. Длинный разговор раскрывает биографию и взгляды гостя. Повторяемая структура вопросов удобна для последовательного освоения живой речи.</x:v>
      </x:c>
      <x:c r="N283" s="10" t="str">
        <x:v>Выбрать 5–8 минут: вопрос, уточнение, развёрнутый ответ. Сформулировать следующий вопрос.</x:v>
      </x:c>
      <x:c r="O283" s="10" t="str">
        <x:v>Взгляды гостя не равны установленным фактам; проверить чувствительные темы</x:v>
      </x:c>
      <x:c r="P283" s="10" t="str">
        <x:v>Длинное интервью</x:v>
      </x:c>
      <x:c r="Q283" s="9" t="str">
        <x:v>Нет</x:v>
      </x:c>
      <x:c r="R283" s="9" t="str">
        <x:v>C017</x:v>
      </x:c>
      <x:c r="S283" s="9" t="str">
        <x:v>C017</x:v>
      </x:c>
      <x:c r="T283" s="10" t="str">
        <x:v>כאן 11 - תאגיד השידור הישראלי</x:v>
      </x:c>
      <x:c r="U283" s="11" t="str">
        <x:v>https://www.youtube.com/watch?v=syoDFvQbWNc</x:v>
      </x:c>
      <x:c r="V283" s="16" t="n">
        <x:v>46308</x:v>
      </x:c>
      <x:c r="W283" s="16" t="n">
        <x:v>44781</x:v>
      </x:c>
      <x:c r="X283" s="10" t="str">
        <x:v>Иврит предполагается по заголовку и источнику</x:v>
      </x:c>
      <x:c r="Y283" s="10" t="str">
        <x:v>Дорожка HE не найдена в метаданных; вшитые титры не проверены</x:v>
      </x:c>
      <x:c r="Z283" s="10" t="str">
        <x:v>Разрешено по метаданным</x:v>
      </x:c>
      <x:c r="AA283" s="10" t="str">
        <x:v>Метаданные видео; воспроизведение и содержание не проверены</x:v>
      </x:c>
      <x:c r="AB283" s="13" t="n">
        <x:f>IF(AND(ISNUMBER(H283),ISNUMBER(W283)),H283/MAX(1,'Обзор'!$B$4-W283),"")</x:f>
        <x:v>240.25998690242307</x:v>
      </x:c>
      <x:c r="AC283" s="17" t="str">
        <x:v>Не решено</x:v>
      </x:c>
      <x:c r="AD283" s="17" t="str">
        <x:v>Не проверено</x:v>
      </x:c>
      <x:c r="AE283" s="17" t="str">
        <x:v>Не проверено</x:v>
      </x:c>
      <x:c r="AF283" s="17" t="str">
        <x:v>Не проверено</x:v>
      </x:c>
      <x:c r="AG283" s="17" t="str">
        <x:v>Не решено</x:v>
      </x:c>
      <x:c r="AH283" s="17" t="str">
        <x:v>Не проверено</x:v>
      </x:c>
      <x:c r="AI283" s="10" t="str">
        <x:f>IF(AC283="Отклонить","Отклонено",IF(AND(AC283="Взять",COUNTIFS(AD283:AH283,"Да")=5),"Готово","Нужна редактура"))</x:f>
        <x:v>Нужна редактура</x:v>
      </x:c>
      <x:c r="AJ283" s="17" t="str"/>
      <x:c r="AK283" s="9" t="str">
        <x:v>https://www.youtube.com/playlist?list=PLLttfoK87AdXOlZKvS9YyeC1nbPsKhjpu</x:v>
      </x:c>
      <x:c r="AL283" s="9" t="n">
        <x:v>1</x:v>
      </x:c>
      <x:c r="AM283" s="9" t="n">
        <x:v>9</x:v>
      </x:c>
      <x:c r="AN283" s="9" t="n">
        <x:v>0</x:v>
      </x:c>
    </x:row>
    <x:row r="284" ht="60" customHeight="1">
      <x:c r="A284" s="9" t="str">
        <x:v>QlN_cyKZhkw</x:v>
      </x:c>
      <x:c r="B284" s="10" t="str">
        <x:v>סליחה על השאלה עונה 4 | משפחות החטופים</x:v>
      </x:c>
      <x:c r="C284" s="10" t="str">
        <x:v>Разнообразие общества</x:v>
      </x:c>
      <x:c r="D284" s="9" t="str">
        <x:v>Общество</x:v>
      </x:c>
      <x:c r="E284" s="10" t="str">
        <x:v>Общество; человеческие истории; взрослые</x:v>
      </x:c>
      <x:c r="F284" s="10" t="str">
        <x:v>B1–B2 (гипотеза)</x:v>
      </x:c>
      <x:c r="G284" s="12" t="n">
        <x:v>28.6</x:v>
      </x:c>
      <x:c r="H284" s="14" t="n">
        <x:v>310838</x:v>
      </x:c>
      <x:c r="I284" s="15" t="str">
        <x:v>Точный счётчик метаданных видео</x:v>
      </x:c>
      <x:c r="J284" s="14" t="n">
        <x:v>310000</x:v>
      </x:c>
      <x:c r="K284" s="14" t="n">
        <x:v>128500</x:v>
      </x:c>
      <x:c r="L284" s="12" t="n">
        <x:f>IF(COUNT(J284:K284)=2,IF(K284=0,"",J284/K284),"")</x:f>
        <x:v>2.412451361867704</x:v>
      </x:c>
      <x:c r="M284" s="10" t="str">
        <x:v>Тема: סליחה על השאלה עונה 4 | משפחות החטופים. Просмотры в списке выше медианы выборки этого цикла в 2.41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284" s="10" t="str">
        <x:v>Сравнить два ответа; выписать вопросительные конструкции и выражения опыта.</x:v>
      </x:c>
      <x:c r="O284" s="10" t="str">
        <x:v>В заголовке есть чувствительная тема: предварительный просмотр и добровольный выбор. Некоторые выпуски затрагивают травму, секс, инвалидность; проверить выпуск</x:v>
      </x:c>
      <x:c r="P284" s="10" t="str">
        <x:v>Самостоятельное видео</x:v>
      </x:c>
      <x:c r="Q284" s="9" t="str">
        <x:v>Нет</x:v>
      </x:c>
      <x:c r="R284" s="9" t="str">
        <x:v>C018</x:v>
      </x:c>
      <x:c r="S284" s="9" t="str">
        <x:v>C018</x:v>
      </x:c>
      <x:c r="T284" s="10" t="str">
        <x:v>כאן 11 - תאגיד השידור הישראלי</x:v>
      </x:c>
      <x:c r="U284" s="11" t="str">
        <x:v>https://www.youtube.com/watch?v=QlN_cyKZhkw</x:v>
      </x:c>
      <x:c r="V284" s="16" t="n">
        <x:v>46308</x:v>
      </x:c>
      <x:c r="W284" s="16" t="n">
        <x:v>45256</x:v>
      </x:c>
      <x:c r="X284" s="10" t="str">
        <x:v>Иврит предполагается по заголовку и источнику</x:v>
      </x:c>
      <x:c r="Y284" s="10" t="str">
        <x:v>Автоматическая дорожка HE по метаданным</x:v>
      </x:c>
      <x:c r="Z284" s="10" t="str">
        <x:v>Разрешено по метаданным</x:v>
      </x:c>
      <x:c r="AA284" s="10" t="str">
        <x:v>Метаданные видео; воспроизведение и содержание не проверены</x:v>
      </x:c>
      <x:c r="AB284" s="13" t="n">
        <x:f>IF(AND(ISNUMBER(H284),ISNUMBER(W284)),H284/MAX(1,'Обзор'!$B$4-W284),"")</x:f>
        <x:v>295.47338403041823</x:v>
      </x:c>
      <x:c r="AC284" s="17" t="str">
        <x:v>Не решено</x:v>
      </x:c>
      <x:c r="AD284" s="17" t="str">
        <x:v>Не проверено</x:v>
      </x:c>
      <x:c r="AE284" s="17" t="str">
        <x:v>Не проверено</x:v>
      </x:c>
      <x:c r="AF284" s="17" t="str">
        <x:v>Не проверено</x:v>
      </x:c>
      <x:c r="AG284" s="17" t="str">
        <x:v>Не решено</x:v>
      </x:c>
      <x:c r="AH284" s="17" t="str">
        <x:v>Не проверено</x:v>
      </x:c>
      <x:c r="AI284" s="10" t="str">
        <x:f>IF(AC284="Отклонить","Отклонено",IF(AND(AC284="Взять",COUNTIFS(AD284:AH284,"Да")=5),"Готово","Нужна редактура"))</x:f>
        <x:v>Нужна редактура</x:v>
      </x:c>
      <x:c r="AJ284" s="17" t="str"/>
      <x:c r="AK284" s="9" t="str">
        <x:v>https://www.youtube.com/playlist?list=PLLttfoK87AdVRewumPF2yPqogmQ0t0i08</x:v>
      </x:c>
      <x:c r="AL284" s="9" t="n">
        <x:v>1</x:v>
      </x:c>
      <x:c r="AM284" s="9"/>
      <x:c r="AN284" s="9" t="n">
        <x:v>0</x:v>
      </x:c>
    </x:row>
    <x:row r="285" ht="60" customHeight="1">
      <x:c r="A285" s="9" t="str">
        <x:v>Jh5V-JtMJxg</x:v>
      </x:c>
      <x:c r="B285" s="10" t="str">
        <x:v>סליחה על השאלה עונה 4 | פונדקאיות</x:v>
      </x:c>
      <x:c r="C285" s="10" t="str">
        <x:v>Разнообразие общества</x:v>
      </x:c>
      <x:c r="D285" s="9" t="str">
        <x:v>Общество</x:v>
      </x:c>
      <x:c r="E285" s="10" t="str">
        <x:v>Общество; человеческие истории; взрослые</x:v>
      </x:c>
      <x:c r="F285" s="10" t="str">
        <x:v>B1–B2 (гипотеза)</x:v>
      </x:c>
      <x:c r="G285" s="12" t="n">
        <x:v>25.6</x:v>
      </x:c>
      <x:c r="H285" s="14" t="n">
        <x:v>135098</x:v>
      </x:c>
      <x:c r="I285" s="15" t="str">
        <x:v>Точный счётчик метаданных видео</x:v>
      </x:c>
      <x:c r="J285" s="14" t="n">
        <x:v>135000</x:v>
      </x:c>
      <x:c r="K285" s="14" t="n">
        <x:v>128500</x:v>
      </x:c>
      <x:c r="L285" s="12" t="n">
        <x:f>IF(COUNT(J285:K285)=2,IF(K285=0,"",J285/K285),"")</x:f>
        <x:v>1.0505836575875487</x:v>
      </x:c>
      <x:c r="M285" s="10" t="str">
        <x:v>Тема: סליחה על השאלה עונה 4 | פונדקאיות. Одинаковый вопрос разным людям позволяет сравнить ответы и акценты. Формат вводит социальные группы через их собственную речь.</x:v>
      </x:c>
      <x:c r="N285" s="10" t="str">
        <x:v>Сравнить два ответа; выписать вопросительные конструкции и выражения опыта.</x:v>
      </x:c>
      <x:c r="O285" s="10" t="str">
        <x:v>Некоторые выпуски затрагивают травму, секс, инвалидность; проверить выпуск</x:v>
      </x:c>
      <x:c r="P285" s="10" t="str">
        <x:v>Самостоятельное видео</x:v>
      </x:c>
      <x:c r="Q285" s="9" t="str">
        <x:v>Нет</x:v>
      </x:c>
      <x:c r="R285" s="9" t="str">
        <x:v>C018</x:v>
      </x:c>
      <x:c r="S285" s="9" t="str">
        <x:v>C018</x:v>
      </x:c>
      <x:c r="T285" s="10" t="str">
        <x:v>כאן 11 - תאגיד השידור הישראלי</x:v>
      </x:c>
      <x:c r="U285" s="11" t="str">
        <x:v>https://www.youtube.com/watch?v=Jh5V-JtMJxg</x:v>
      </x:c>
      <x:c r="V285" s="16" t="n">
        <x:v>46308</x:v>
      </x:c>
      <x:c r="W285" s="16" t="n">
        <x:v>45300</x:v>
      </x:c>
      <x:c r="X285" s="10" t="str">
        <x:v>Иврит предполагается по заголовку и источнику</x:v>
      </x:c>
      <x:c r="Y285" s="10" t="str">
        <x:v>Автоматическая дорожка HE по метаданным</x:v>
      </x:c>
      <x:c r="Z285" s="10" t="str">
        <x:v>Разрешено по метаданным</x:v>
      </x:c>
      <x:c r="AA285" s="10" t="str">
        <x:v>Метаданные видео; воспроизведение и содержание не проверены</x:v>
      </x:c>
      <x:c r="AB285" s="13" t="n">
        <x:f>IF(AND(ISNUMBER(H285),ISNUMBER(W285)),H285/MAX(1,'Обзор'!$B$4-W285),"")</x:f>
        <x:v>134.02579365079364</x:v>
      </x:c>
      <x:c r="AC285" s="17" t="str">
        <x:v>Не решено</x:v>
      </x:c>
      <x:c r="AD285" s="17" t="str">
        <x:v>Не проверено</x:v>
      </x:c>
      <x:c r="AE285" s="17" t="str">
        <x:v>Не проверено</x:v>
      </x:c>
      <x:c r="AF285" s="17" t="str">
        <x:v>Не проверено</x:v>
      </x:c>
      <x:c r="AG285" s="17" t="str">
        <x:v>Не решено</x:v>
      </x:c>
      <x:c r="AH285" s="17" t="str">
        <x:v>Не проверено</x:v>
      </x:c>
      <x:c r="AI285" s="10" t="str">
        <x:f>IF(AC285="Отклонить","Отклонено",IF(AND(AC285="Взять",COUNTIFS(AD285:AH285,"Да")=5),"Готово","Нужна редактура"))</x:f>
        <x:v>Нужна редактура</x:v>
      </x:c>
      <x:c r="AJ285" s="17" t="str"/>
      <x:c r="AK285" s="9" t="str">
        <x:v>https://www.youtube.com/playlist?list=PLLttfoK87AdVRewumPF2yPqogmQ0t0i08</x:v>
      </x:c>
      <x:c r="AL285" s="9" t="n">
        <x:v>2</x:v>
      </x:c>
      <x:c r="AM285" s="9"/>
      <x:c r="AN285" s="9" t="n">
        <x:v>0</x:v>
      </x:c>
    </x:row>
    <x:row r="286" ht="60" customHeight="1">
      <x:c r="A286" s="9" t="str">
        <x:v>u4Yq-QX_tm8</x:v>
      </x:c>
      <x:c r="B286" s="10" t="str">
        <x:v>סליחה על השאלה עונה 4 | OCD - הפרעה טורדנית כפייתית</x:v>
      </x:c>
      <x:c r="C286" s="10" t="str">
        <x:v>Разнообразие общества</x:v>
      </x:c>
      <x:c r="D286" s="9" t="str">
        <x:v>Общество</x:v>
      </x:c>
      <x:c r="E286" s="10" t="str">
        <x:v>Общество; человеческие истории; взрослые</x:v>
      </x:c>
      <x:c r="F286" s="10" t="str">
        <x:v>B1–B2 (гипотеза)</x:v>
      </x:c>
      <x:c r="G286" s="12" t="n">
        <x:v>24.9</x:v>
      </x:c>
      <x:c r="H286" s="14" t="n">
        <x:v>274693</x:v>
      </x:c>
      <x:c r="I286" s="15" t="str">
        <x:v>Точный счётчик метаданных видео</x:v>
      </x:c>
      <x:c r="J286" s="14" t="n">
        <x:v>274000</x:v>
      </x:c>
      <x:c r="K286" s="14" t="n">
        <x:v>128500</x:v>
      </x:c>
      <x:c r="L286" s="12" t="n">
        <x:f>IF(COUNT(J286:K286)=2,IF(K286=0,"",J286/K286),"")</x:f>
        <x:v>2.132295719844358</x:v>
      </x:c>
      <x:c r="M286" s="10" t="str">
        <x:v>Тема: סליחה על השאלה עונה 4 | OCD - הפרעה טורדנית כפייתית. Просмотры в списке выше медианы выборки этого цикла в 2.13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286" s="10" t="str">
        <x:v>Сравнить два ответа; выписать вопросительные конструкции и выражения опыта.</x:v>
      </x:c>
      <x:c r="O286" s="10" t="str">
        <x:v>Некоторые выпуски затрагивают травму, секс, инвалидность; проверить выпуск</x:v>
      </x:c>
      <x:c r="P286" s="10" t="str">
        <x:v>Самостоятельное видео</x:v>
      </x:c>
      <x:c r="Q286" s="9" t="str">
        <x:v>Нет</x:v>
      </x:c>
      <x:c r="R286" s="9" t="str">
        <x:v>C018</x:v>
      </x:c>
      <x:c r="S286" s="9" t="str">
        <x:v>C018</x:v>
      </x:c>
      <x:c r="T286" s="10" t="str">
        <x:v>כאן 11 - תאגיד השידור הישראלי</x:v>
      </x:c>
      <x:c r="U286" s="11" t="str">
        <x:v>https://www.youtube.com/watch?v=u4Yq-QX_tm8</x:v>
      </x:c>
      <x:c r="V286" s="16" t="n">
        <x:v>46308</x:v>
      </x:c>
      <x:c r="W286" s="16" t="n">
        <x:v>45307</x:v>
      </x:c>
      <x:c r="X286" s="10" t="str">
        <x:v>Иврит предполагается по заголовку и источнику</x:v>
      </x:c>
      <x:c r="Y286" s="10" t="str">
        <x:v>Автоматическая дорожка HE по метаданным</x:v>
      </x:c>
      <x:c r="Z286" s="10" t="str">
        <x:v>Разрешено по метаданным</x:v>
      </x:c>
      <x:c r="AA286" s="10" t="str">
        <x:v>Метаданные видео; воспроизведение и содержание не проверены</x:v>
      </x:c>
      <x:c r="AB286" s="13" t="n">
        <x:f>IF(AND(ISNUMBER(H286),ISNUMBER(W286)),H286/MAX(1,'Обзор'!$B$4-W286),"")</x:f>
        <x:v>274.4185814185814</x:v>
      </x:c>
      <x:c r="AC286" s="17" t="str">
        <x:v>Не решено</x:v>
      </x:c>
      <x:c r="AD286" s="17" t="str">
        <x:v>Не проверено</x:v>
      </x:c>
      <x:c r="AE286" s="17" t="str">
        <x:v>Не проверено</x:v>
      </x:c>
      <x:c r="AF286" s="17" t="str">
        <x:v>Не проверено</x:v>
      </x:c>
      <x:c r="AG286" s="17" t="str">
        <x:v>Не решено</x:v>
      </x:c>
      <x:c r="AH286" s="17" t="str">
        <x:v>Не проверено</x:v>
      </x:c>
      <x:c r="AI286" s="10" t="str">
        <x:f>IF(AC286="Отклонить","Отклонено",IF(AND(AC286="Взять",COUNTIFS(AD286:AH286,"Да")=5),"Готово","Нужна редактура"))</x:f>
        <x:v>Нужна редактура</x:v>
      </x:c>
      <x:c r="AJ286" s="17" t="str"/>
      <x:c r="AK286" s="9" t="str">
        <x:v>https://www.youtube.com/playlist?list=PLLttfoK87AdVRewumPF2yPqogmQ0t0i08</x:v>
      </x:c>
      <x:c r="AL286" s="9" t="n">
        <x:v>3</x:v>
      </x:c>
      <x:c r="AM286" s="9"/>
      <x:c r="AN286" s="9" t="n">
        <x:v>0</x:v>
      </x:c>
    </x:row>
    <x:row r="287" ht="60" customHeight="1">
      <x:c r="A287" s="9" t="str">
        <x:v>qUQKnNZTZbA</x:v>
      </x:c>
      <x:c r="B287" s="10" t="str">
        <x:v>סליחה על השאלה עונה 4 | הריגה בשוגג</x:v>
      </x:c>
      <x:c r="C287" s="10" t="str">
        <x:v>Разнообразие общества</x:v>
      </x:c>
      <x:c r="D287" s="9" t="str">
        <x:v>Общество</x:v>
      </x:c>
      <x:c r="E287" s="10" t="str">
        <x:v>Общество; человеческие истории; взрослые</x:v>
      </x:c>
      <x:c r="F287" s="10" t="str">
        <x:v>B1–B2 (гипотеза)</x:v>
      </x:c>
      <x:c r="G287" s="12" t="n">
        <x:v>28.5</x:v>
      </x:c>
      <x:c r="H287" s="14" t="n">
        <x:v>528904</x:v>
      </x:c>
      <x:c r="I287" s="15" t="str">
        <x:v>Точный счётчик метаданных видео</x:v>
      </x:c>
      <x:c r="J287" s="14" t="n">
        <x:v>528000</x:v>
      </x:c>
      <x:c r="K287" s="14" t="n">
        <x:v>128500</x:v>
      </x:c>
      <x:c r="L287" s="12" t="n">
        <x:f>IF(COUNT(J287:K287)=2,IF(K287=0,"",J287/K287),"")</x:f>
        <x:v>4.108949416342412</x:v>
      </x:c>
      <x:c r="M287" s="10" t="str">
        <x:v>Тема: סליחה על השאלה עונה 4 | הריגה בשוגג. Просмотры в списке выше медианы выборки этого цикла в 4.11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287" s="10" t="str">
        <x:v>Сравнить два ответа; выписать вопросительные конструкции и выражения опыта.</x:v>
      </x:c>
      <x:c r="O287" s="10" t="str">
        <x:v>Некоторые выпуски затрагивают травму, секс, инвалидность; проверить выпуск</x:v>
      </x:c>
      <x:c r="P287" s="10" t="str">
        <x:v>Самостоятельное видео</x:v>
      </x:c>
      <x:c r="Q287" s="9" t="str">
        <x:v>Нет</x:v>
      </x:c>
      <x:c r="R287" s="9" t="str">
        <x:v>C018</x:v>
      </x:c>
      <x:c r="S287" s="9" t="str">
        <x:v>C018</x:v>
      </x:c>
      <x:c r="T287" s="10" t="str">
        <x:v>כאן 11 - תאגיד השידור הישראלי</x:v>
      </x:c>
      <x:c r="U287" s="11" t="str">
        <x:v>https://www.youtube.com/watch?v=qUQKnNZTZbA</x:v>
      </x:c>
      <x:c r="V287" s="16" t="n">
        <x:v>46308</x:v>
      </x:c>
      <x:c r="W287" s="16" t="n">
        <x:v>45329</x:v>
      </x:c>
      <x:c r="X287" s="10" t="str">
        <x:v>Иврит предполагается по заголовку и источнику</x:v>
      </x:c>
      <x:c r="Y287" s="10" t="str">
        <x:v>Автоматическая дорожка HE по метаданным</x:v>
      </x:c>
      <x:c r="Z287" s="10" t="str">
        <x:v>Разрешено по метаданным</x:v>
      </x:c>
      <x:c r="AA287" s="10" t="str">
        <x:v>Метаданные видео; воспроизведение и содержание не проверены</x:v>
      </x:c>
      <x:c r="AB287" s="13" t="n">
        <x:f>IF(AND(ISNUMBER(H287),ISNUMBER(W287)),H287/MAX(1,'Обзор'!$B$4-W287),"")</x:f>
        <x:v>540.2492339121552</x:v>
      </x:c>
      <x:c r="AC287" s="17" t="str">
        <x:v>Не решено</x:v>
      </x:c>
      <x:c r="AD287" s="17" t="str">
        <x:v>Не проверено</x:v>
      </x:c>
      <x:c r="AE287" s="17" t="str">
        <x:v>Не проверено</x:v>
      </x:c>
      <x:c r="AF287" s="17" t="str">
        <x:v>Не проверено</x:v>
      </x:c>
      <x:c r="AG287" s="17" t="str">
        <x:v>Не решено</x:v>
      </x:c>
      <x:c r="AH287" s="17" t="str">
        <x:v>Не проверено</x:v>
      </x:c>
      <x:c r="AI287" s="10" t="str">
        <x:f>IF(AC287="Отклонить","Отклонено",IF(AND(AC287="Взять",COUNTIFS(AD287:AH287,"Да")=5),"Готово","Нужна редактура"))</x:f>
        <x:v>Нужна редактура</x:v>
      </x:c>
      <x:c r="AJ287" s="17" t="str"/>
      <x:c r="AK287" s="9" t="str">
        <x:v>https://www.youtube.com/playlist?list=PLLttfoK87AdVRewumPF2yPqogmQ0t0i08</x:v>
      </x:c>
      <x:c r="AL287" s="9" t="n">
        <x:v>4</x:v>
      </x:c>
      <x:c r="AM287" s="9"/>
      <x:c r="AN287" s="9" t="n">
        <x:v>0</x:v>
      </x:c>
    </x:row>
    <x:row r="288" ht="60" customHeight="1">
      <x:c r="A288" s="9" t="str">
        <x:v>4Xg0aBAmaEQ</x:v>
      </x:c>
      <x:c r="B288" s="10" t="str">
        <x:v>סליחה על השאלה עונה 4 | דיכאון אחרי לידה</x:v>
      </x:c>
      <x:c r="C288" s="10" t="str">
        <x:v>Разнообразие общества</x:v>
      </x:c>
      <x:c r="D288" s="9" t="str">
        <x:v>Общество</x:v>
      </x:c>
      <x:c r="E288" s="10" t="str">
        <x:v>Общество; человеческие истории; взрослые</x:v>
      </x:c>
      <x:c r="F288" s="10" t="str">
        <x:v>B1–B2 (гипотеза)</x:v>
      </x:c>
      <x:c r="G288" s="12" t="n">
        <x:v>25.5</x:v>
      </x:c>
      <x:c r="H288" s="14" t="n">
        <x:v>97000</x:v>
      </x:c>
      <x:c r="I288" s="15" t="str">
        <x:v>Округлённый счётчик в списке YouTube</x:v>
      </x:c>
      <x:c r="J288" s="14" t="n">
        <x:v>97000</x:v>
      </x:c>
      <x:c r="K288" s="14" t="n">
        <x:v>128500</x:v>
      </x:c>
      <x:c r="L288" s="12" t="n">
        <x:f>IF(COUNT(J288:K288)=2,IF(K288=0,"",J288/K288),"")</x:f>
        <x:v>0.754863813229572</x:v>
      </x:c>
      <x:c r="M288" s="10" t="str">
        <x:v>Тема: סליחה על השאלה עונה 4 | דיכאון אחרי לידה. Одинаковый вопрос разным людям позволяет сравнить ответы и акценты. Формат вводит социальные группы через их собственную речь.</x:v>
      </x:c>
      <x:c r="N288" s="10" t="str">
        <x:v>Сравнить два ответа; выписать вопросительные конструкции и выражения опыта.</x:v>
      </x:c>
      <x:c r="O288" s="10" t="str">
        <x:v>Некоторые выпуски затрагивают травму, секс, инвалидность; проверить выпуск</x:v>
      </x:c>
      <x:c r="P288" s="10" t="str">
        <x:v>Самостоятельное видео</x:v>
      </x:c>
      <x:c r="Q288" s="9" t="str">
        <x:v>Нет</x:v>
      </x:c>
      <x:c r="R288" s="9" t="str">
        <x:v>C018</x:v>
      </x:c>
      <x:c r="S288" s="9" t="str">
        <x:v>C018</x:v>
      </x:c>
      <x:c r="T288" s="10" t="str">
        <x:v>כאן 11 - תאגיד השידור הישראלי</x:v>
      </x:c>
      <x:c r="U288" s="11" t="str">
        <x:v>https://www.youtube.com/watch?v=4Xg0aBAmaEQ</x:v>
      </x:c>
      <x:c r="V288" s="16" t="n">
        <x:v>46308</x:v>
      </x:c>
      <x:c r="W288" s="16"/>
      <x:c r="X288" s="10" t="str">
        <x:v>Иврит предполагается по заголовку и источнику</x:v>
      </x:c>
      <x:c r="Y288" s="10" t="str">
        <x:v>Не проверено</x:v>
      </x:c>
      <x:c r="Z288" s="10" t="str">
        <x:v>Не проверено</x:v>
      </x:c>
      <x:c r="AA288" s="10" t="str">
        <x:v>Метаданные списка; видео не просмотрено</x:v>
      </x:c>
      <x:c r="AB288" s="13" t="str">
        <x:f>IF(AND(ISNUMBER(H288),ISNUMBER(W288)),H288/MAX(1,'Обзор'!$B$4-W288),"")</x:f>
      </x:c>
      <x:c r="AC288" s="17" t="str">
        <x:v>Не решено</x:v>
      </x:c>
      <x:c r="AD288" s="17" t="str">
        <x:v>Не проверено</x:v>
      </x:c>
      <x:c r="AE288" s="17" t="str">
        <x:v>Не проверено</x:v>
      </x:c>
      <x:c r="AF288" s="17" t="str">
        <x:v>Не проверено</x:v>
      </x:c>
      <x:c r="AG288" s="17" t="str">
        <x:v>Не решено</x:v>
      </x:c>
      <x:c r="AH288" s="17" t="str">
        <x:v>Не проверено</x:v>
      </x:c>
      <x:c r="AI288" s="10" t="str">
        <x:f>IF(AC288="Отклонить","Отклонено",IF(AND(AC288="Взять",COUNTIFS(AD288:AH288,"Да")=5),"Готово","Нужна редактура"))</x:f>
        <x:v>Нужна редактура</x:v>
      </x:c>
      <x:c r="AJ288" s="17" t="str"/>
      <x:c r="AK288" s="9" t="str">
        <x:v>https://www.youtube.com/playlist?list=PLLttfoK87AdVRewumPF2yPqogmQ0t0i08</x:v>
      </x:c>
      <x:c r="AL288" s="9" t="n">
        <x:v>5</x:v>
      </x:c>
      <x:c r="AM288" s="9"/>
      <x:c r="AN288" s="9"/>
    </x:row>
    <x:row r="289" ht="60" customHeight="1">
      <x:c r="A289" s="9" t="str">
        <x:v>k9hXpDfze_Q</x:v>
      </x:c>
      <x:c r="B289" s="10" t="str">
        <x:v>סליחה על השאלה עונה 4 | זוגות מעורבים</x:v>
      </x:c>
      <x:c r="C289" s="10" t="str">
        <x:v>Разнообразие общества</x:v>
      </x:c>
      <x:c r="D289" s="9" t="str">
        <x:v>Общество</x:v>
      </x:c>
      <x:c r="E289" s="10" t="str">
        <x:v>Общество; человеческие истории; взрослые</x:v>
      </x:c>
      <x:c r="F289" s="10" t="str">
        <x:v>B1–B2 (гипотеза)</x:v>
      </x:c>
      <x:c r="G289" s="12" t="n">
        <x:v>27.6</x:v>
      </x:c>
      <x:c r="H289" s="14" t="n">
        <x:v>122245</x:v>
      </x:c>
      <x:c r="I289" s="15" t="str">
        <x:v>Точный счётчик метаданных видео</x:v>
      </x:c>
      <x:c r="J289" s="14" t="n">
        <x:v>122000</x:v>
      </x:c>
      <x:c r="K289" s="14" t="n">
        <x:v>128500</x:v>
      </x:c>
      <x:c r="L289" s="12" t="n">
        <x:f>IF(COUNT(J289:K289)=2,IF(K289=0,"",J289/K289),"")</x:f>
        <x:v>0.9494163424124513</x:v>
      </x:c>
      <x:c r="M289" s="10" t="str">
        <x:v>Тема: סליחה על השאלה עונה 4 | זוגות מעורבים. Одинаковый вопрос разным людям позволяет сравнить ответы и акценты. Формат вводит социальные группы через их собственную речь.</x:v>
      </x:c>
      <x:c r="N289" s="10" t="str">
        <x:v>Сравнить два ответа; выписать вопросительные конструкции и выражения опыта.</x:v>
      </x:c>
      <x:c r="O289" s="10" t="str">
        <x:v>Некоторые выпуски затрагивают травму, секс, инвалидность; проверить выпуск</x:v>
      </x:c>
      <x:c r="P289" s="10" t="str">
        <x:v>Самостоятельное видео</x:v>
      </x:c>
      <x:c r="Q289" s="9" t="str">
        <x:v>Нет</x:v>
      </x:c>
      <x:c r="R289" s="9" t="str">
        <x:v>C018</x:v>
      </x:c>
      <x:c r="S289" s="9" t="str">
        <x:v>C018</x:v>
      </x:c>
      <x:c r="T289" s="10" t="str">
        <x:v>כאן 11 - תאגיד השידור הישראלי</x:v>
      </x:c>
      <x:c r="U289" s="11" t="str">
        <x:v>https://www.youtube.com/watch?v=k9hXpDfze_Q</x:v>
      </x:c>
      <x:c r="V289" s="16" t="n">
        <x:v>46308</x:v>
      </x:c>
      <x:c r="W289" s="16" t="n">
        <x:v>45530</x:v>
      </x:c>
      <x:c r="X289" s="10" t="str">
        <x:v>Иврит предполагается по заголовку и источнику</x:v>
      </x:c>
      <x:c r="Y289" s="10" t="str">
        <x:v>Автоматическая дорожка HE по метаданным</x:v>
      </x:c>
      <x:c r="Z289" s="10" t="str">
        <x:v>Разрешено по метаданным</x:v>
      </x:c>
      <x:c r="AA289" s="10" t="str">
        <x:v>Метаданные видео; воспроизведение и содержание не проверены</x:v>
      </x:c>
      <x:c r="AB289" s="13" t="n">
        <x:f>IF(AND(ISNUMBER(H289),ISNUMBER(W289)),H289/MAX(1,'Обзор'!$B$4-W289),"")</x:f>
        <x:v>157.1272493573265</x:v>
      </x:c>
      <x:c r="AC289" s="17" t="str">
        <x:v>Не решено</x:v>
      </x:c>
      <x:c r="AD289" s="17" t="str">
        <x:v>Не проверено</x:v>
      </x:c>
      <x:c r="AE289" s="17" t="str">
        <x:v>Не проверено</x:v>
      </x:c>
      <x:c r="AF289" s="17" t="str">
        <x:v>Не проверено</x:v>
      </x:c>
      <x:c r="AG289" s="17" t="str">
        <x:v>Не решено</x:v>
      </x:c>
      <x:c r="AH289" s="17" t="str">
        <x:v>Не проверено</x:v>
      </x:c>
      <x:c r="AI289" s="10" t="str">
        <x:f>IF(AC289="Отклонить","Отклонено",IF(AND(AC289="Взять",COUNTIFS(AD289:AH289,"Да")=5),"Готово","Нужна редактура"))</x:f>
        <x:v>Нужна редактура</x:v>
      </x:c>
      <x:c r="AJ289" s="17" t="str"/>
      <x:c r="AK289" s="9" t="str">
        <x:v>https://www.youtube.com/playlist?list=PLLttfoK87AdVRewumPF2yPqogmQ0t0i08</x:v>
      </x:c>
      <x:c r="AL289" s="9" t="n">
        <x:v>6</x:v>
      </x:c>
      <x:c r="AM289" s="9"/>
      <x:c r="AN289" s="9" t="n">
        <x:v>0</x:v>
      </x:c>
    </x:row>
    <x:row r="290" ht="60" customHeight="1">
      <x:c r="A290" s="9" t="str">
        <x:v>qif9Oq5HlII</x:v>
      </x:c>
      <x:c r="B290" s="10" t="str">
        <x:v>סליחה על השאלה עונה 4 | מפונים</x:v>
      </x:c>
      <x:c r="C290" s="10" t="str">
        <x:v>Разнообразие общества</x:v>
      </x:c>
      <x:c r="D290" s="9" t="str">
        <x:v>Общество</x:v>
      </x:c>
      <x:c r="E290" s="10" t="str">
        <x:v>Общество; человеческие истории; взрослые</x:v>
      </x:c>
      <x:c r="F290" s="10" t="str">
        <x:v>B1–B2 (гипотеза)</x:v>
      </x:c>
      <x:c r="G290" s="12" t="n">
        <x:v>27.8</x:v>
      </x:c>
      <x:c r="H290" s="14" t="n">
        <x:v>71000</x:v>
      </x:c>
      <x:c r="I290" s="15" t="str">
        <x:v>Округлённый счётчик в списке YouTube</x:v>
      </x:c>
      <x:c r="J290" s="14" t="n">
        <x:v>71000</x:v>
      </x:c>
      <x:c r="K290" s="14" t="n">
        <x:v>128500</x:v>
      </x:c>
      <x:c r="L290" s="12" t="n">
        <x:f>IF(COUNT(J290:K290)=2,IF(K290=0,"",J290/K290),"")</x:f>
        <x:v>0.5525291828793775</x:v>
      </x:c>
      <x:c r="M290" s="10" t="str">
        <x:v>Тема: סליחה על השאלה עונה 4 | מפונים. Одинаковый вопрос разным людям позволяет сравнить ответы и акценты. Формат вводит социальные группы через их собственную речь.</x:v>
      </x:c>
      <x:c r="N290" s="10" t="str">
        <x:v>Сравнить два ответа; выписать вопросительные конструкции и выражения опыта.</x:v>
      </x:c>
      <x:c r="O290" s="10" t="str">
        <x:v>Некоторые выпуски затрагивают травму, секс, инвалидность; проверить выпуск</x:v>
      </x:c>
      <x:c r="P290" s="10" t="str">
        <x:v>Самостоятельное видео</x:v>
      </x:c>
      <x:c r="Q290" s="9" t="str">
        <x:v>Нет</x:v>
      </x:c>
      <x:c r="R290" s="9" t="str">
        <x:v>C018</x:v>
      </x:c>
      <x:c r="S290" s="9" t="str">
        <x:v>C018</x:v>
      </x:c>
      <x:c r="T290" s="10" t="str">
        <x:v>כאן 11 - תאגיד השידור הישראלי</x:v>
      </x:c>
      <x:c r="U290" s="11" t="str">
        <x:v>https://www.youtube.com/watch?v=qif9Oq5HlII</x:v>
      </x:c>
      <x:c r="V290" s="16" t="n">
        <x:v>46308</x:v>
      </x:c>
      <x:c r="W290" s="16"/>
      <x:c r="X290" s="10" t="str">
        <x:v>Иврит предполагается по заголовку и источнику</x:v>
      </x:c>
      <x:c r="Y290" s="10" t="str">
        <x:v>Не проверено</x:v>
      </x:c>
      <x:c r="Z290" s="10" t="str">
        <x:v>Не проверено</x:v>
      </x:c>
      <x:c r="AA290" s="10" t="str">
        <x:v>Метаданные списка; видео не просмотрено</x:v>
      </x:c>
      <x:c r="AB290" s="13" t="str">
        <x:f>IF(AND(ISNUMBER(H290),ISNUMBER(W290)),H290/MAX(1,'Обзор'!$B$4-W290),"")</x:f>
      </x:c>
      <x:c r="AC290" s="17" t="str">
        <x:v>Не решено</x:v>
      </x:c>
      <x:c r="AD290" s="17" t="str">
        <x:v>Не проверено</x:v>
      </x:c>
      <x:c r="AE290" s="17" t="str">
        <x:v>Не проверено</x:v>
      </x:c>
      <x:c r="AF290" s="17" t="str">
        <x:v>Не проверено</x:v>
      </x:c>
      <x:c r="AG290" s="17" t="str">
        <x:v>Не решено</x:v>
      </x:c>
      <x:c r="AH290" s="17" t="str">
        <x:v>Не проверено</x:v>
      </x:c>
      <x:c r="AI290" s="10" t="str">
        <x:f>IF(AC290="Отклонить","Отклонено",IF(AND(AC290="Взять",COUNTIFS(AD290:AH290,"Да")=5),"Готово","Нужна редактура"))</x:f>
        <x:v>Нужна редактура</x:v>
      </x:c>
      <x:c r="AJ290" s="17" t="str"/>
      <x:c r="AK290" s="9" t="str">
        <x:v>https://www.youtube.com/playlist?list=PLLttfoK87AdVRewumPF2yPqogmQ0t0i08</x:v>
      </x:c>
      <x:c r="AL290" s="9" t="n">
        <x:v>7</x:v>
      </x:c>
      <x:c r="AM290" s="9"/>
      <x:c r="AN290" s="9"/>
    </x:row>
    <x:row r="291" ht="60" customHeight="1">
      <x:c r="A291" s="9" t="str">
        <x:v>PngchpnAS5E</x:v>
      </x:c>
      <x:c r="B291" s="10" t="str">
        <x:v>סליחה על השאלה עונה 4 | שורדי נובה</x:v>
      </x:c>
      <x:c r="C291" s="10" t="str">
        <x:v>Разнообразие общества</x:v>
      </x:c>
      <x:c r="D291" s="9" t="str">
        <x:v>Общество</x:v>
      </x:c>
      <x:c r="E291" s="10" t="str">
        <x:v>Общество; человеческие истории; взрослые</x:v>
      </x:c>
      <x:c r="F291" s="10" t="str">
        <x:v>B1–B2 (гипотеза)</x:v>
      </x:c>
      <x:c r="G291" s="12" t="n">
        <x:v>27</x:v>
      </x:c>
      <x:c r="H291" s="14" t="n">
        <x:v>456000</x:v>
      </x:c>
      <x:c r="I291" s="15" t="str">
        <x:v>Округлённый счётчик в списке YouTube</x:v>
      </x:c>
      <x:c r="J291" s="14" t="n">
        <x:v>456000</x:v>
      </x:c>
      <x:c r="K291" s="14" t="n">
        <x:v>128500</x:v>
      </x:c>
      <x:c r="L291" s="12" t="n">
        <x:f>IF(COUNT(J291:K291)=2,IF(K291=0,"",J291/K291),"")</x:f>
        <x:v>3.5486381322957197</x:v>
      </x:c>
      <x:c r="M291" s="10" t="str">
        <x:v>Тема: סליחה על השאלה עונה 4 | שורדי נובה. Просмотры в списке выше медианы выборки этого цикла в 3.55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291" s="10" t="str">
        <x:v>Сравнить два ответа; выписать вопросительные конструкции и выражения опыта.</x:v>
      </x:c>
      <x:c r="O291" s="10" t="str">
        <x:v>Некоторые выпуски затрагивают травму, секс, инвалидность; проверить выпуск</x:v>
      </x:c>
      <x:c r="P291" s="10" t="str">
        <x:v>Самостоятельное видео</x:v>
      </x:c>
      <x:c r="Q291" s="9" t="str">
        <x:v>Да</x:v>
      </x:c>
      <x:c r="R291" s="9" t="str">
        <x:v>C018</x:v>
      </x:c>
      <x:c r="S291" s="9" t="str">
        <x:v>C018</x:v>
      </x:c>
      <x:c r="T291" s="10" t="str">
        <x:v>כאן 11 - תאגיד השידור הישראלי</x:v>
      </x:c>
      <x:c r="U291" s="11" t="str">
        <x:v>https://www.youtube.com/watch?v=PngchpnAS5E</x:v>
      </x:c>
      <x:c r="V291" s="16" t="n">
        <x:v>46308</x:v>
      </x:c>
      <x:c r="W291" s="16"/>
      <x:c r="X291" s="10" t="str">
        <x:v>Иврит предполагается по заголовку и источнику</x:v>
      </x:c>
      <x:c r="Y291" s="10" t="str">
        <x:v>Не проверено</x:v>
      </x:c>
      <x:c r="Z291" s="10" t="str">
        <x:v>Не проверено</x:v>
      </x:c>
      <x:c r="AA291" s="10" t="str">
        <x:v>Метаданные списка; видео не просмотрено</x:v>
      </x:c>
      <x:c r="AB291" s="13" t="str">
        <x:f>IF(AND(ISNUMBER(H291),ISNUMBER(W291)),H291/MAX(1,'Обзор'!$B$4-W291),"")</x:f>
      </x:c>
      <x:c r="AC291" s="17" t="str">
        <x:v>Не решено</x:v>
      </x:c>
      <x:c r="AD291" s="17" t="str">
        <x:v>Не проверено</x:v>
      </x:c>
      <x:c r="AE291" s="17" t="str">
        <x:v>Не проверено</x:v>
      </x:c>
      <x:c r="AF291" s="17" t="str">
        <x:v>Не проверено</x:v>
      </x:c>
      <x:c r="AG291" s="17" t="str">
        <x:v>Не решено</x:v>
      </x:c>
      <x:c r="AH291" s="17" t="str">
        <x:v>Не проверено</x:v>
      </x:c>
      <x:c r="AI291" s="10" t="str">
        <x:f>IF(AC291="Отклонить","Отклонено",IF(AND(AC291="Взять",COUNTIFS(AD291:AH291,"Да")=5),"Готово","Нужна редактура"))</x:f>
        <x:v>Нужна редактура</x:v>
      </x:c>
      <x:c r="AJ291" s="17" t="str"/>
      <x:c r="AK291" s="9" t="str">
        <x:v>https://www.youtube.com/playlist?list=PLLttfoK87AdVRewumPF2yPqogmQ0t0i08</x:v>
      </x:c>
      <x:c r="AL291" s="9" t="n">
        <x:v>8</x:v>
      </x:c>
      <x:c r="AM291" s="9"/>
      <x:c r="AN291" s="9"/>
    </x:row>
    <x:row r="292" ht="60" customHeight="1">
      <x:c r="A292" s="9" t="str">
        <x:v>X6Wkmq2f7PY</x:v>
      </x:c>
      <x:c r="B292" s="10" t="str">
        <x:v>סליחה על השאלה עונה 4 | מילואימניקים</x:v>
      </x:c>
      <x:c r="C292" s="10" t="str">
        <x:v>Разнообразие общества</x:v>
      </x:c>
      <x:c r="D292" s="9" t="str">
        <x:v>Общество</x:v>
      </x:c>
      <x:c r="E292" s="10" t="str">
        <x:v>Общество; человеческие истории; взрослые</x:v>
      </x:c>
      <x:c r="F292" s="10" t="str">
        <x:v>B1–B2 (гипотеза)</x:v>
      </x:c>
      <x:c r="G292" s="12" t="n">
        <x:v>25.6</x:v>
      </x:c>
      <x:c r="H292" s="14" t="n">
        <x:v>114780</x:v>
      </x:c>
      <x:c r="I292" s="15" t="str">
        <x:v>Точный счётчик метаданных видео</x:v>
      </x:c>
      <x:c r="J292" s="14" t="n">
        <x:v>114000</x:v>
      </x:c>
      <x:c r="K292" s="14" t="n">
        <x:v>128500</x:v>
      </x:c>
      <x:c r="L292" s="12" t="n">
        <x:f>IF(COUNT(J292:K292)=2,IF(K292=0,"",J292/K292),"")</x:f>
        <x:v>0.8871595330739299</x:v>
      </x:c>
      <x:c r="M292" s="10" t="str">
        <x:v>Тема: סליחה על השאלה עונה 4 | מילואימניקים. Одинаковый вопрос разным людям позволяет сравнить ответы и акценты. Формат вводит социальные группы через их собственную речь.</x:v>
      </x:c>
      <x:c r="N292" s="10" t="str">
        <x:v>Сравнить два ответа; выписать вопросительные конструкции и выражения опыта.</x:v>
      </x:c>
      <x:c r="O292" s="10" t="str">
        <x:v>Некоторые выпуски затрагивают травму, секс, инвалидность; проверить выпуск</x:v>
      </x:c>
      <x:c r="P292" s="10" t="str">
        <x:v>Самостоятельное видео</x:v>
      </x:c>
      <x:c r="Q292" s="9" t="str">
        <x:v>Нет</x:v>
      </x:c>
      <x:c r="R292" s="9" t="str">
        <x:v>C018</x:v>
      </x:c>
      <x:c r="S292" s="9" t="str">
        <x:v>C018</x:v>
      </x:c>
      <x:c r="T292" s="10" t="str">
        <x:v>כאן 11 - תאגיד השידור הישראלי</x:v>
      </x:c>
      <x:c r="U292" s="11" t="str">
        <x:v>https://www.youtube.com/watch?v=X6Wkmq2f7PY</x:v>
      </x:c>
      <x:c r="V292" s="16" t="n">
        <x:v>46308</x:v>
      </x:c>
      <x:c r="W292" s="16" t="n">
        <x:v>45584</x:v>
      </x:c>
      <x:c r="X292" s="10" t="str">
        <x:v>Иврит предполагается по заголовку и источнику</x:v>
      </x:c>
      <x:c r="Y292" s="10" t="str">
        <x:v>Автоматическая дорожка HE по метаданным</x:v>
      </x:c>
      <x:c r="Z292" s="10" t="str">
        <x:v>Разрешено по метаданным</x:v>
      </x:c>
      <x:c r="AA292" s="10" t="str">
        <x:v>Метаданные видео; воспроизведение и содержание не проверены</x:v>
      </x:c>
      <x:c r="AB292" s="13" t="n">
        <x:f>IF(AND(ISNUMBER(H292),ISNUMBER(W292)),H292/MAX(1,'Обзор'!$B$4-W292),"")</x:f>
        <x:v>158.53591160220995</x:v>
      </x:c>
      <x:c r="AC292" s="17" t="str">
        <x:v>Не решено</x:v>
      </x:c>
      <x:c r="AD292" s="17" t="str">
        <x:v>Не проверено</x:v>
      </x:c>
      <x:c r="AE292" s="17" t="str">
        <x:v>Не проверено</x:v>
      </x:c>
      <x:c r="AF292" s="17" t="str">
        <x:v>Не проверено</x:v>
      </x:c>
      <x:c r="AG292" s="17" t="str">
        <x:v>Не решено</x:v>
      </x:c>
      <x:c r="AH292" s="17" t="str">
        <x:v>Не проверено</x:v>
      </x:c>
      <x:c r="AI292" s="10" t="str">
        <x:f>IF(AC292="Отклонить","Отклонено",IF(AND(AC292="Взять",COUNTIFS(AD292:AH292,"Да")=5),"Готово","Нужна редактура"))</x:f>
        <x:v>Нужна редактура</x:v>
      </x:c>
      <x:c r="AJ292" s="17" t="str"/>
      <x:c r="AK292" s="9" t="str">
        <x:v>https://www.youtube.com/playlist?list=PLLttfoK87AdVRewumPF2yPqogmQ0t0i08</x:v>
      </x:c>
      <x:c r="AL292" s="9" t="n">
        <x:v>9</x:v>
      </x:c>
      <x:c r="AM292" s="9"/>
      <x:c r="AN292" s="9" t="n">
        <x:v>0</x:v>
      </x:c>
    </x:row>
    <x:row r="293" ht="60" customHeight="1">
      <x:c r="A293" s="9" t="str">
        <x:v>_POCtC_Jx74</x:v>
      </x:c>
      <x:c r="B293" s="10" t="str">
        <x:v>סליחה על השאלה עונה 4 | רופאים מתמחים</x:v>
      </x:c>
      <x:c r="C293" s="10" t="str">
        <x:v>Разнообразие общества</x:v>
      </x:c>
      <x:c r="D293" s="9" t="str">
        <x:v>Общество</x:v>
      </x:c>
      <x:c r="E293" s="10" t="str">
        <x:v>Общество; человеческие истории; взрослые</x:v>
      </x:c>
      <x:c r="F293" s="10" t="str">
        <x:v>B1–B2 (гипотеза)</x:v>
      </x:c>
      <x:c r="G293" s="12" t="n">
        <x:v>26.3</x:v>
      </x:c>
      <x:c r="H293" s="14" t="n">
        <x:v>173265</x:v>
      </x:c>
      <x:c r="I293" s="15" t="str">
        <x:v>Точный счётчик метаданных видео</x:v>
      </x:c>
      <x:c r="J293" s="14" t="n">
        <x:v>173000</x:v>
      </x:c>
      <x:c r="K293" s="14" t="n">
        <x:v>128500</x:v>
      </x:c>
      <x:c r="L293" s="12" t="n">
        <x:f>IF(COUNT(J293:K293)=2,IF(K293=0,"",J293/K293),"")</x:f>
        <x:v>1.3463035019455254</x:v>
      </x:c>
      <x:c r="M293" s="10" t="str">
        <x:v>Тема: סליחה על השאלה עונה 4 | רופאים מתמחים. Одинаковый вопрос разным людям позволяет сравнить ответы и акценты. Формат вводит социальные группы через их собственную речь.</x:v>
      </x:c>
      <x:c r="N293" s="10" t="str">
        <x:v>Сравнить два ответа; выписать вопросительные конструкции и выражения опыта.</x:v>
      </x:c>
      <x:c r="O293" s="10" t="str">
        <x:v>Некоторые выпуски затрагивают травму, секс, инвалидность; проверить выпуск</x:v>
      </x:c>
      <x:c r="P293" s="10" t="str">
        <x:v>Самостоятельное видео</x:v>
      </x:c>
      <x:c r="Q293" s="9" t="str">
        <x:v>Нет</x:v>
      </x:c>
      <x:c r="R293" s="9" t="str">
        <x:v>C018</x:v>
      </x:c>
      <x:c r="S293" s="9" t="str">
        <x:v>C018</x:v>
      </x:c>
      <x:c r="T293" s="10" t="str">
        <x:v>כאן 11 - תאגיד השידור הישראלי</x:v>
      </x:c>
      <x:c r="U293" s="11" t="str">
        <x:v>https://www.youtube.com/watch?v=_POCtC_Jx74</x:v>
      </x:c>
      <x:c r="V293" s="16" t="n">
        <x:v>46308</x:v>
      </x:c>
      <x:c r="W293" s="16" t="n">
        <x:v>45585</x:v>
      </x:c>
      <x:c r="X293" s="10" t="str">
        <x:v>Иврит предполагается по заголовку и источнику</x:v>
      </x:c>
      <x:c r="Y293" s="10" t="str">
        <x:v>Автоматическая дорожка HE по метаданным</x:v>
      </x:c>
      <x:c r="Z293" s="10" t="str">
        <x:v>Разрешено по метаданным</x:v>
      </x:c>
      <x:c r="AA293" s="10" t="str">
        <x:v>Метаданные видео; воспроизведение и содержание не проверены</x:v>
      </x:c>
      <x:c r="AB293" s="13" t="n">
        <x:f>IF(AND(ISNUMBER(H293),ISNUMBER(W293)),H293/MAX(1,'Обзор'!$B$4-W293),"")</x:f>
        <x:v>239.64730290456433</x:v>
      </x:c>
      <x:c r="AC293" s="17" t="str">
        <x:v>Не решено</x:v>
      </x:c>
      <x:c r="AD293" s="17" t="str">
        <x:v>Не проверено</x:v>
      </x:c>
      <x:c r="AE293" s="17" t="str">
        <x:v>Не проверено</x:v>
      </x:c>
      <x:c r="AF293" s="17" t="str">
        <x:v>Не проверено</x:v>
      </x:c>
      <x:c r="AG293" s="17" t="str">
        <x:v>Не решено</x:v>
      </x:c>
      <x:c r="AH293" s="17" t="str">
        <x:v>Не проверено</x:v>
      </x:c>
      <x:c r="AI293" s="10" t="str">
        <x:f>IF(AC293="Отклонить","Отклонено",IF(AND(AC293="Взять",COUNTIFS(AD293:AH293,"Да")=5),"Готово","Нужна редактура"))</x:f>
        <x:v>Нужна редактура</x:v>
      </x:c>
      <x:c r="AJ293" s="17" t="str"/>
      <x:c r="AK293" s="9" t="str">
        <x:v>https://www.youtube.com/playlist?list=PLLttfoK87AdVRewumPF2yPqogmQ0t0i08</x:v>
      </x:c>
      <x:c r="AL293" s="9" t="n">
        <x:v>10</x:v>
      </x:c>
      <x:c r="AM293" s="9"/>
      <x:c r="AN293" s="9" t="n">
        <x:v>0</x:v>
      </x:c>
    </x:row>
    <x:row r="294" ht="60" customHeight="1">
      <x:c r="A294" s="9" t="str">
        <x:v>Eg9jZZcIvF0</x:v>
      </x:c>
      <x:c r="B294" s="10" t="str">
        <x:v>סליחה על השאלה עונה 4 | מכורים נקיים מאלכוהול</x:v>
      </x:c>
      <x:c r="C294" s="10" t="str">
        <x:v>Разнообразие общества</x:v>
      </x:c>
      <x:c r="D294" s="9" t="str">
        <x:v>Общество</x:v>
      </x:c>
      <x:c r="E294" s="10" t="str">
        <x:v>Общество; человеческие истории; взрослые</x:v>
      </x:c>
      <x:c r="F294" s="10" t="str">
        <x:v>B1–B2 (гипотеза)</x:v>
      </x:c>
      <x:c r="G294" s="12" t="n">
        <x:v>26.8</x:v>
      </x:c>
      <x:c r="H294" s="14" t="n">
        <x:v>107000</x:v>
      </x:c>
      <x:c r="I294" s="15" t="str">
        <x:v>Округлённый счётчик в списке YouTube</x:v>
      </x:c>
      <x:c r="J294" s="14" t="n">
        <x:v>107000</x:v>
      </x:c>
      <x:c r="K294" s="14" t="n">
        <x:v>128500</x:v>
      </x:c>
      <x:c r="L294" s="12" t="n">
        <x:f>IF(COUNT(J294:K294)=2,IF(K294=0,"",J294/K294),"")</x:f>
        <x:v>0.8326848249027238</x:v>
      </x:c>
      <x:c r="M294" s="10" t="str">
        <x:v>Тема: סליחה על השאלה עונה 4 | מכורים נקיים מאלכוהול. Одинаковый вопрос разным людям позволяет сравнить ответы и акценты. Формат вводит социальные группы через их собственную речь.</x:v>
      </x:c>
      <x:c r="N294" s="10" t="str">
        <x:v>Сравнить два ответа; выписать вопросительные конструкции и выражения опыта.</x:v>
      </x:c>
      <x:c r="O294" s="10" t="str">
        <x:v>Некоторые выпуски затрагивают травму, секс, инвалидность; проверить выпуск</x:v>
      </x:c>
      <x:c r="P294" s="10" t="str">
        <x:v>Самостоятельное видео</x:v>
      </x:c>
      <x:c r="Q294" s="9" t="str">
        <x:v>Нет</x:v>
      </x:c>
      <x:c r="R294" s="9" t="str">
        <x:v>C018</x:v>
      </x:c>
      <x:c r="S294" s="9" t="str">
        <x:v>C018</x:v>
      </x:c>
      <x:c r="T294" s="10" t="str">
        <x:v>כאן 11 - תאגיד השידור הישראלי</x:v>
      </x:c>
      <x:c r="U294" s="11" t="str">
        <x:v>https://www.youtube.com/watch?v=Eg9jZZcIvF0</x:v>
      </x:c>
      <x:c r="V294" s="16" t="n">
        <x:v>46308</x:v>
      </x:c>
      <x:c r="W294" s="16"/>
      <x:c r="X294" s="10" t="str">
        <x:v>Иврит предполагается по заголовку и источнику</x:v>
      </x:c>
      <x:c r="Y294" s="10" t="str">
        <x:v>Не проверено</x:v>
      </x:c>
      <x:c r="Z294" s="10" t="str">
        <x:v>Не проверено</x:v>
      </x:c>
      <x:c r="AA294" s="10" t="str">
        <x:v>Метаданные списка; видео не просмотрено</x:v>
      </x:c>
      <x:c r="AB294" s="13" t="str">
        <x:f>IF(AND(ISNUMBER(H294),ISNUMBER(W294)),H294/MAX(1,'Обзор'!$B$4-W294),"")</x:f>
      </x:c>
      <x:c r="AC294" s="17" t="str">
        <x:v>Не решено</x:v>
      </x:c>
      <x:c r="AD294" s="17" t="str">
        <x:v>Не проверено</x:v>
      </x:c>
      <x:c r="AE294" s="17" t="str">
        <x:v>Не проверено</x:v>
      </x:c>
      <x:c r="AF294" s="17" t="str">
        <x:v>Не проверено</x:v>
      </x:c>
      <x:c r="AG294" s="17" t="str">
        <x:v>Не решено</x:v>
      </x:c>
      <x:c r="AH294" s="17" t="str">
        <x:v>Не проверено</x:v>
      </x:c>
      <x:c r="AI294" s="10" t="str">
        <x:f>IF(AC294="Отклонить","Отклонено",IF(AND(AC294="Взять",COUNTIFS(AD294:AH294,"Да")=5),"Готово","Нужна редактура"))</x:f>
        <x:v>Нужна редактура</x:v>
      </x:c>
      <x:c r="AJ294" s="17" t="str"/>
      <x:c r="AK294" s="9" t="str">
        <x:v>https://www.youtube.com/playlist?list=PLLttfoK87AdVRewumPF2yPqogmQ0t0i08</x:v>
      </x:c>
      <x:c r="AL294" s="9" t="n">
        <x:v>11</x:v>
      </x:c>
      <x:c r="AM294" s="9"/>
      <x:c r="AN294" s="9"/>
    </x:row>
    <x:row r="295" ht="60" customHeight="1">
      <x:c r="A295" s="9" t="str">
        <x:v>k5YGS2WQDA8</x:v>
      </x:c>
      <x:c r="B295" s="10" t="str">
        <x:v>סליחה על השאלה עונה 4 | חטופים ששבו הביתה</x:v>
      </x:c>
      <x:c r="C295" s="10" t="str">
        <x:v>Разнообразие общества</x:v>
      </x:c>
      <x:c r="D295" s="9" t="str">
        <x:v>Общество</x:v>
      </x:c>
      <x:c r="E295" s="10" t="str">
        <x:v>Общество; человеческие истории; взрослые</x:v>
      </x:c>
      <x:c r="F295" s="10" t="str">
        <x:v>B1–B2 (гипотеза)</x:v>
      </x:c>
      <x:c r="G295" s="12" t="n">
        <x:v>26</x:v>
      </x:c>
      <x:c r="H295" s="14" t="n">
        <x:v>649534</x:v>
      </x:c>
      <x:c r="I295" s="15" t="str">
        <x:v>Точный счётчик метаданных видео</x:v>
      </x:c>
      <x:c r="J295" s="14" t="n">
        <x:v>649000</x:v>
      </x:c>
      <x:c r="K295" s="14" t="n">
        <x:v>128500</x:v>
      </x:c>
      <x:c r="L295" s="12" t="n">
        <x:f>IF(COUNT(J295:K295)=2,IF(K295=0,"",J295/K295),"")</x:f>
        <x:v>5.0505836575875485</x:v>
      </x:c>
      <x:c r="M295" s="10" t="str">
        <x:v>Тема: סליחה על השאלה עונה 4 | חטופים ששבו הביתה. Просмотры в списке выше медианы выборки этого цикла в 5.05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295" s="10" t="str">
        <x:v>Сравнить два ответа; выписать вопросительные конструкции и выражения опыта.</x:v>
      </x:c>
      <x:c r="O295" s="10" t="str">
        <x:v>В заголовке есть чувствительная тема: предварительный просмотр и добровольный выбор. Некоторые выпуски затрагивают травму, секс, инвалидность; проверить выпуск</x:v>
      </x:c>
      <x:c r="P295" s="10" t="str">
        <x:v>Самостоятельное видео</x:v>
      </x:c>
      <x:c r="Q295" s="9" t="str">
        <x:v>Нет</x:v>
      </x:c>
      <x:c r="R295" s="9" t="str">
        <x:v>C018</x:v>
      </x:c>
      <x:c r="S295" s="9" t="str">
        <x:v>C018</x:v>
      </x:c>
      <x:c r="T295" s="10" t="str">
        <x:v>כאן 11 - תאגיד השידור הישראלי</x:v>
      </x:c>
      <x:c r="U295" s="11" t="str">
        <x:v>https://www.youtube.com/watch?v=k5YGS2WQDA8</x:v>
      </x:c>
      <x:c r="V295" s="16" t="n">
        <x:v>46308</x:v>
      </x:c>
      <x:c r="W295" s="16" t="n">
        <x:v>45589</x:v>
      </x:c>
      <x:c r="X295" s="10" t="str">
        <x:v>Иврит предполагается по заголовку и источнику</x:v>
      </x:c>
      <x:c r="Y295" s="10" t="str">
        <x:v>Дорожка HE не найдена в метаданных; вшитые титры не проверены</x:v>
      </x:c>
      <x:c r="Z295" s="10" t="str">
        <x:v>Разрешено по метаданным</x:v>
      </x:c>
      <x:c r="AA295" s="10" t="str">
        <x:v>Метаданные видео; воспроизведение и содержание не проверены</x:v>
      </x:c>
      <x:c r="AB295" s="13" t="n">
        <x:f>IF(AND(ISNUMBER(H295),ISNUMBER(W295)),H295/MAX(1,'Обзор'!$B$4-W295),"")</x:f>
        <x:v>903.3852573018081</x:v>
      </x:c>
      <x:c r="AC295" s="17" t="str">
        <x:v>Не решено</x:v>
      </x:c>
      <x:c r="AD295" s="17" t="str">
        <x:v>Не проверено</x:v>
      </x:c>
      <x:c r="AE295" s="17" t="str">
        <x:v>Не проверено</x:v>
      </x:c>
      <x:c r="AF295" s="17" t="str">
        <x:v>Не проверено</x:v>
      </x:c>
      <x:c r="AG295" s="17" t="str">
        <x:v>Не решено</x:v>
      </x:c>
      <x:c r="AH295" s="17" t="str">
        <x:v>Не проверено</x:v>
      </x:c>
      <x:c r="AI295" s="10" t="str">
        <x:f>IF(AC295="Отклонить","Отклонено",IF(AND(AC295="Взять",COUNTIFS(AD295:AH295,"Да")=5),"Готово","Нужна редактура"))</x:f>
        <x:v>Нужна редактура</x:v>
      </x:c>
      <x:c r="AJ295" s="17" t="str"/>
      <x:c r="AK295" s="9" t="str">
        <x:v>https://www.youtube.com/playlist?list=PLLttfoK87AdVRewumPF2yPqogmQ0t0i08</x:v>
      </x:c>
      <x:c r="AL295" s="9" t="n">
        <x:v>12</x:v>
      </x:c>
      <x:c r="AM295" s="9"/>
      <x:c r="AN295" s="9" t="n">
        <x:v>0</x:v>
      </x:c>
    </x:row>
    <x:row r="296" ht="60" customHeight="1">
      <x:c r="A296" s="9" t="str">
        <x:v>GpdQrZ0wYvk</x:v>
      </x:c>
      <x:c r="B296" s="10" t="str">
        <x:v>סליחה על השאלה עונה 4 | פושטי רגל</x:v>
      </x:c>
      <x:c r="C296" s="10" t="str">
        <x:v>Разнообразие общества</x:v>
      </x:c>
      <x:c r="D296" s="9" t="str">
        <x:v>Общество</x:v>
      </x:c>
      <x:c r="E296" s="10" t="str">
        <x:v>Общество; человеческие истории; взрослые</x:v>
      </x:c>
      <x:c r="F296" s="10" t="str">
        <x:v>B1–B2 (гипотеза)</x:v>
      </x:c>
      <x:c r="G296" s="12" t="n">
        <x:v>25.6</x:v>
      </x:c>
      <x:c r="H296" s="14" t="n">
        <x:v>99000</x:v>
      </x:c>
      <x:c r="I296" s="15" t="str">
        <x:v>Округлённый счётчик в списке YouTube</x:v>
      </x:c>
      <x:c r="J296" s="14" t="n">
        <x:v>99000</x:v>
      </x:c>
      <x:c r="K296" s="14" t="n">
        <x:v>128500</x:v>
      </x:c>
      <x:c r="L296" s="12" t="n">
        <x:f>IF(COUNT(J296:K296)=2,IF(K296=0,"",J296/K296),"")</x:f>
        <x:v>0.7704280155642024</x:v>
      </x:c>
      <x:c r="M296" s="10" t="str">
        <x:v>Тема: סליחה על השאלה עונה 4 | פושטי רגל. Одинаковый вопрос разным людям позволяет сравнить ответы и акценты. Формат вводит социальные группы через их собственную речь.</x:v>
      </x:c>
      <x:c r="N296" s="10" t="str">
        <x:v>Сравнить два ответа; выписать вопросительные конструкции и выражения опыта.</x:v>
      </x:c>
      <x:c r="O296" s="10" t="str">
        <x:v>Некоторые выпуски затрагивают травму, секс, инвалидность; проверить выпуск</x:v>
      </x:c>
      <x:c r="P296" s="10" t="str">
        <x:v>Самостоятельное видео</x:v>
      </x:c>
      <x:c r="Q296" s="9" t="str">
        <x:v>Нет</x:v>
      </x:c>
      <x:c r="R296" s="9" t="str">
        <x:v>C018</x:v>
      </x:c>
      <x:c r="S296" s="9" t="str">
        <x:v>C018</x:v>
      </x:c>
      <x:c r="T296" s="10" t="str">
        <x:v>כאן 11 - תאגיד השידור הישראלי</x:v>
      </x:c>
      <x:c r="U296" s="11" t="str">
        <x:v>https://www.youtube.com/watch?v=GpdQrZ0wYvk</x:v>
      </x:c>
      <x:c r="V296" s="16" t="n">
        <x:v>46308</x:v>
      </x:c>
      <x:c r="W296" s="16"/>
      <x:c r="X296" s="10" t="str">
        <x:v>Иврит предполагается по заголовку и источнику</x:v>
      </x:c>
      <x:c r="Y296" s="10" t="str">
        <x:v>Не проверено</x:v>
      </x:c>
      <x:c r="Z296" s="10" t="str">
        <x:v>Не проверено</x:v>
      </x:c>
      <x:c r="AA296" s="10" t="str">
        <x:v>Метаданные списка; видео не просмотрено</x:v>
      </x:c>
      <x:c r="AB296" s="13" t="str">
        <x:f>IF(AND(ISNUMBER(H296),ISNUMBER(W296)),H296/MAX(1,'Обзор'!$B$4-W296),"")</x:f>
      </x:c>
      <x:c r="AC296" s="17" t="str">
        <x:v>Не решено</x:v>
      </x:c>
      <x:c r="AD296" s="17" t="str">
        <x:v>Не проверено</x:v>
      </x:c>
      <x:c r="AE296" s="17" t="str">
        <x:v>Не проверено</x:v>
      </x:c>
      <x:c r="AF296" s="17" t="str">
        <x:v>Не проверено</x:v>
      </x:c>
      <x:c r="AG296" s="17" t="str">
        <x:v>Не решено</x:v>
      </x:c>
      <x:c r="AH296" s="17" t="str">
        <x:v>Не проверено</x:v>
      </x:c>
      <x:c r="AI296" s="10" t="str">
        <x:f>IF(AC296="Отклонить","Отклонено",IF(AND(AC296="Взять",COUNTIFS(AD296:AH296,"Да")=5),"Готово","Нужна редактура"))</x:f>
        <x:v>Нужна редактура</x:v>
      </x:c>
      <x:c r="AJ296" s="17" t="str"/>
      <x:c r="AK296" s="9" t="str">
        <x:v>https://www.youtube.com/playlist?list=PLLttfoK87AdVRewumPF2yPqogmQ0t0i08</x:v>
      </x:c>
      <x:c r="AL296" s="9" t="n">
        <x:v>13</x:v>
      </x:c>
      <x:c r="AM296" s="9"/>
      <x:c r="AN296" s="9"/>
    </x:row>
    <x:row r="297" ht="60" customHeight="1">
      <x:c r="A297" s="9" t="str">
        <x:v>bd49W9Wf_Js</x:v>
      </x:c>
      <x:c r="B297" s="10" t="str">
        <x:v>סליחה על השאלה עונה 4 | אנשים שעזבו את הארץ</x:v>
      </x:c>
      <x:c r="C297" s="10" t="str">
        <x:v>Разнообразие общества</x:v>
      </x:c>
      <x:c r="D297" s="9" t="str">
        <x:v>Общество</x:v>
      </x:c>
      <x:c r="E297" s="10" t="str">
        <x:v>Общество; человеческие истории; взрослые</x:v>
      </x:c>
      <x:c r="F297" s="10" t="str">
        <x:v>B1–B2 (гипотеза)</x:v>
      </x:c>
      <x:c r="G297" s="12" t="n">
        <x:v>26.8</x:v>
      </x:c>
      <x:c r="H297" s="14" t="n">
        <x:v>98000</x:v>
      </x:c>
      <x:c r="I297" s="15" t="str">
        <x:v>Округлённый счётчик в списке YouTube</x:v>
      </x:c>
      <x:c r="J297" s="14" t="n">
        <x:v>98000</x:v>
      </x:c>
      <x:c r="K297" s="14" t="n">
        <x:v>128500</x:v>
      </x:c>
      <x:c r="L297" s="12" t="n">
        <x:f>IF(COUNT(J297:K297)=2,IF(K297=0,"",J297/K297),"")</x:f>
        <x:v>0.7626459143968871</x:v>
      </x:c>
      <x:c r="M297" s="10" t="str">
        <x:v>Тема: סליחה על השאלה עונה 4 | אנשים שעזבו את הארץ. Одинаковый вопрос разным людям позволяет сравнить ответы и акценты. Формат вводит социальные группы через их собственную речь.</x:v>
      </x:c>
      <x:c r="N297" s="10" t="str">
        <x:v>Сравнить два ответа; выписать вопросительные конструкции и выражения опыта.</x:v>
      </x:c>
      <x:c r="O297" s="10" t="str">
        <x:v>Некоторые выпуски затрагивают травму, секс, инвалидность; проверить выпуск</x:v>
      </x:c>
      <x:c r="P297" s="10" t="str">
        <x:v>Самостоятельное видео</x:v>
      </x:c>
      <x:c r="Q297" s="9" t="str">
        <x:v>Нет</x:v>
      </x:c>
      <x:c r="R297" s="9" t="str">
        <x:v>C018</x:v>
      </x:c>
      <x:c r="S297" s="9" t="str">
        <x:v>C018</x:v>
      </x:c>
      <x:c r="T297" s="10" t="str">
        <x:v>כאן 11 - תאגיד השידור הישראלי</x:v>
      </x:c>
      <x:c r="U297" s="11" t="str">
        <x:v>https://www.youtube.com/watch?v=bd49W9Wf_Js</x:v>
      </x:c>
      <x:c r="V297" s="16" t="n">
        <x:v>46308</x:v>
      </x:c>
      <x:c r="W297" s="16"/>
      <x:c r="X297" s="10" t="str">
        <x:v>Иврит предполагается по заголовку и источнику</x:v>
      </x:c>
      <x:c r="Y297" s="10" t="str">
        <x:v>Не проверено</x:v>
      </x:c>
      <x:c r="Z297" s="10" t="str">
        <x:v>Не проверено</x:v>
      </x:c>
      <x:c r="AA297" s="10" t="str">
        <x:v>Метаданные списка; видео не просмотрено</x:v>
      </x:c>
      <x:c r="AB297" s="13" t="str">
        <x:f>IF(AND(ISNUMBER(H297),ISNUMBER(W297)),H297/MAX(1,'Обзор'!$B$4-W297),"")</x:f>
      </x:c>
      <x:c r="AC297" s="17" t="str">
        <x:v>Не решено</x:v>
      </x:c>
      <x:c r="AD297" s="17" t="str">
        <x:v>Не проверено</x:v>
      </x:c>
      <x:c r="AE297" s="17" t="str">
        <x:v>Не проверено</x:v>
      </x:c>
      <x:c r="AF297" s="17" t="str">
        <x:v>Не проверено</x:v>
      </x:c>
      <x:c r="AG297" s="17" t="str">
        <x:v>Не решено</x:v>
      </x:c>
      <x:c r="AH297" s="17" t="str">
        <x:v>Не проверено</x:v>
      </x:c>
      <x:c r="AI297" s="10" t="str">
        <x:f>IF(AC297="Отклонить","Отклонено",IF(AND(AC297="Взять",COUNTIFS(AD297:AH297,"Да")=5),"Готово","Нужна редактура"))</x:f>
        <x:v>Нужна редактура</x:v>
      </x:c>
      <x:c r="AJ297" s="17" t="str"/>
      <x:c r="AK297" s="9" t="str">
        <x:v>https://www.youtube.com/playlist?list=PLLttfoK87AdVRewumPF2yPqogmQ0t0i08</x:v>
      </x:c>
      <x:c r="AL297" s="9" t="n">
        <x:v>14</x:v>
      </x:c>
      <x:c r="AM297" s="9"/>
      <x:c r="AN297" s="9"/>
    </x:row>
    <x:row r="298" ht="60" customHeight="1">
      <x:c r="A298" s="9" t="str">
        <x:v>1HbG3CslP8c</x:v>
      </x:c>
      <x:c r="B298" s="10" t="str">
        <x:v>סליחה על השאלה עונה 3 💙 | בדואים</x:v>
      </x:c>
      <x:c r="C298" s="10" t="str">
        <x:v>Разнообразие общества</x:v>
      </x:c>
      <x:c r="D298" s="9" t="str">
        <x:v>Общество</x:v>
      </x:c>
      <x:c r="E298" s="10" t="str">
        <x:v>Общество; человеческие истории; взрослые</x:v>
      </x:c>
      <x:c r="F298" s="10" t="str">
        <x:v>B1–B2 (гипотеза)</x:v>
      </x:c>
      <x:c r="G298" s="12" t="n">
        <x:v>25.3</x:v>
      </x:c>
      <x:c r="H298" s="14" t="n">
        <x:v>208000</x:v>
      </x:c>
      <x:c r="I298" s="15" t="str">
        <x:v>Округлённый счётчик в списке YouTube</x:v>
      </x:c>
      <x:c r="J298" s="14" t="n">
        <x:v>208000</x:v>
      </x:c>
      <x:c r="K298" s="14" t="n">
        <x:v>253500</x:v>
      </x:c>
      <x:c r="L298" s="12" t="n">
        <x:f>IF(COUNT(J298:K298)=2,IF(K298=0,"",J298/K298),"")</x:f>
        <x:v>0.8205128205128205</x:v>
      </x:c>
      <x:c r="M298" s="10" t="str">
        <x:v>Тема: סליחה על השאלה עונה 3 💙 | בדואים. Одинаковый вопрос разным людям позволяет сравнить ответы и акценты. Формат вводит социальные группы через их собственную речь.</x:v>
      </x:c>
      <x:c r="N298" s="10" t="str">
        <x:v>Сравнить два ответа; выписать вопросительные конструкции и выражения опыта.</x:v>
      </x:c>
      <x:c r="O298" s="10" t="str">
        <x:v>Некоторые выпуски затрагивают травму, секс, инвалидность; проверить выпуск</x:v>
      </x:c>
      <x:c r="P298" s="10" t="str">
        <x:v>Самостоятельное видео</x:v>
      </x:c>
      <x:c r="Q298" s="9" t="str">
        <x:v>Нет</x:v>
      </x:c>
      <x:c r="R298" s="9" t="str">
        <x:v>C019</x:v>
      </x:c>
      <x:c r="S298" s="9" t="str">
        <x:v>C019</x:v>
      </x:c>
      <x:c r="T298" s="10" t="str">
        <x:v>כאן 11 - תאגיד השידור הישראלי</x:v>
      </x:c>
      <x:c r="U298" s="11" t="str">
        <x:v>https://www.youtube.com/watch?v=1HbG3CslP8c</x:v>
      </x:c>
      <x:c r="V298" s="16" t="n">
        <x:v>46308</x:v>
      </x:c>
      <x:c r="W298" s="16"/>
      <x:c r="X298" s="10" t="str">
        <x:v>Иврит предполагается по заголовку и источнику</x:v>
      </x:c>
      <x:c r="Y298" s="10" t="str">
        <x:v>Не проверено</x:v>
      </x:c>
      <x:c r="Z298" s="10" t="str">
        <x:v>Не проверено</x:v>
      </x:c>
      <x:c r="AA298" s="10" t="str">
        <x:v>Метаданные списка; видео не просмотрено</x:v>
      </x:c>
      <x:c r="AB298" s="13" t="str">
        <x:f>IF(AND(ISNUMBER(H298),ISNUMBER(W298)),H298/MAX(1,'Обзор'!$B$4-W298),"")</x:f>
      </x:c>
      <x:c r="AC298" s="17" t="str">
        <x:v>Не решено</x:v>
      </x:c>
      <x:c r="AD298" s="17" t="str">
        <x:v>Не проверено</x:v>
      </x:c>
      <x:c r="AE298" s="17" t="str">
        <x:v>Не проверено</x:v>
      </x:c>
      <x:c r="AF298" s="17" t="str">
        <x:v>Не проверено</x:v>
      </x:c>
      <x:c r="AG298" s="17" t="str">
        <x:v>Не решено</x:v>
      </x:c>
      <x:c r="AH298" s="17" t="str">
        <x:v>Не проверено</x:v>
      </x:c>
      <x:c r="AI298" s="10" t="str">
        <x:f>IF(AC298="Отклонить","Отклонено",IF(AND(AC298="Взять",COUNTIFS(AD298:AH298,"Да")=5),"Готово","Нужна редактура"))</x:f>
        <x:v>Нужна редактура</x:v>
      </x:c>
      <x:c r="AJ298" s="17" t="str"/>
      <x:c r="AK298" s="9" t="str">
        <x:v>https://www.youtube.com/playlist?list=PLLttfoK87AdVmjuyvOtQsy1VU_X_lQwgl</x:v>
      </x:c>
      <x:c r="AL298" s="9" t="n">
        <x:v>1</x:v>
      </x:c>
      <x:c r="AM298" s="9"/>
      <x:c r="AN298" s="9"/>
    </x:row>
    <x:row r="299" ht="60" customHeight="1">
      <x:c r="A299" s="9" t="str">
        <x:v>L2IABi8A3-U</x:v>
      </x:c>
      <x:c r="B299" s="10" t="str">
        <x:v>סליחה על השאלה עונה 3 💙 | עובדים סוציאליים</x:v>
      </x:c>
      <x:c r="C299" s="10" t="str">
        <x:v>Разнообразие общества</x:v>
      </x:c>
      <x:c r="D299" s="9" t="str">
        <x:v>Общество</x:v>
      </x:c>
      <x:c r="E299" s="10" t="str">
        <x:v>Общество; человеческие истории; взрослые</x:v>
      </x:c>
      <x:c r="F299" s="10" t="str">
        <x:v>B1–B2 (гипотеза)</x:v>
      </x:c>
      <x:c r="G299" s="12" t="n">
        <x:v>24.8</x:v>
      </x:c>
      <x:c r="H299" s="14" t="n">
        <x:v>172000</x:v>
      </x:c>
      <x:c r="I299" s="15" t="str">
        <x:v>Округлённый счётчик в списке YouTube</x:v>
      </x:c>
      <x:c r="J299" s="14" t="n">
        <x:v>172000</x:v>
      </x:c>
      <x:c r="K299" s="14" t="n">
        <x:v>253500</x:v>
      </x:c>
      <x:c r="L299" s="12" t="n">
        <x:f>IF(COUNT(J299:K299)=2,IF(K299=0,"",J299/K299),"")</x:f>
        <x:v>0.6785009861932939</x:v>
      </x:c>
      <x:c r="M299" s="10" t="str">
        <x:v>Тема: סליחה על השאלה עונה 3 💙 | עובדים סוציאליים. Одинаковый вопрос разным людям позволяет сравнить ответы и акценты. Формат вводит социальные группы через их собственную речь.</x:v>
      </x:c>
      <x:c r="N299" s="10" t="str">
        <x:v>Сравнить два ответа; выписать вопросительные конструкции и выражения опыта.</x:v>
      </x:c>
      <x:c r="O299" s="10" t="str">
        <x:v>Некоторые выпуски затрагивают травму, секс, инвалидность; проверить выпуск</x:v>
      </x:c>
      <x:c r="P299" s="10" t="str">
        <x:v>Самостоятельное видео</x:v>
      </x:c>
      <x:c r="Q299" s="9" t="str">
        <x:v>Нет</x:v>
      </x:c>
      <x:c r="R299" s="9" t="str">
        <x:v>C019</x:v>
      </x:c>
      <x:c r="S299" s="9" t="str">
        <x:v>C019</x:v>
      </x:c>
      <x:c r="T299" s="10" t="str">
        <x:v>כאן 11 - תאגיד השידור הישראלי</x:v>
      </x:c>
      <x:c r="U299" s="11" t="str">
        <x:v>https://www.youtube.com/watch?v=L2IABi8A3-U</x:v>
      </x:c>
      <x:c r="V299" s="16" t="n">
        <x:v>46308</x:v>
      </x:c>
      <x:c r="W299" s="16"/>
      <x:c r="X299" s="10" t="str">
        <x:v>Иврит предполагается по заголовку и источнику</x:v>
      </x:c>
      <x:c r="Y299" s="10" t="str">
        <x:v>Не проверено</x:v>
      </x:c>
      <x:c r="Z299" s="10" t="str">
        <x:v>Не проверено</x:v>
      </x:c>
      <x:c r="AA299" s="10" t="str">
        <x:v>Метаданные списка; видео не просмотрено</x:v>
      </x:c>
      <x:c r="AB299" s="13" t="str">
        <x:f>IF(AND(ISNUMBER(H299),ISNUMBER(W299)),H299/MAX(1,'Обзор'!$B$4-W299),"")</x:f>
      </x:c>
      <x:c r="AC299" s="17" t="str">
        <x:v>Не решено</x:v>
      </x:c>
      <x:c r="AD299" s="17" t="str">
        <x:v>Не проверено</x:v>
      </x:c>
      <x:c r="AE299" s="17" t="str">
        <x:v>Не проверено</x:v>
      </x:c>
      <x:c r="AF299" s="17" t="str">
        <x:v>Не проверено</x:v>
      </x:c>
      <x:c r="AG299" s="17" t="str">
        <x:v>Не решено</x:v>
      </x:c>
      <x:c r="AH299" s="17" t="str">
        <x:v>Не проверено</x:v>
      </x:c>
      <x:c r="AI299" s="10" t="str">
        <x:f>IF(AC299="Отклонить","Отклонено",IF(AND(AC299="Взять",COUNTIFS(AD299:AH299,"Да")=5),"Готово","Нужна редактура"))</x:f>
        <x:v>Нужна редактура</x:v>
      </x:c>
      <x:c r="AJ299" s="17" t="str"/>
      <x:c r="AK299" s="9" t="str">
        <x:v>https://www.youtube.com/playlist?list=PLLttfoK87AdVmjuyvOtQsy1VU_X_lQwgl</x:v>
      </x:c>
      <x:c r="AL299" s="9" t="n">
        <x:v>2</x:v>
      </x:c>
      <x:c r="AM299" s="9"/>
      <x:c r="AN299" s="9"/>
    </x:row>
    <x:row r="300" ht="60" customHeight="1">
      <x:c r="A300" s="9" t="str">
        <x:v>OZ0H-1MJAOU</x:v>
      </x:c>
      <x:c r="B300" s="10" t="str">
        <x:v>סליחה על השאלה עונה 3 💙 | אלמנים ואלמנות</x:v>
      </x:c>
      <x:c r="C300" s="10" t="str">
        <x:v>Разнообразие общества</x:v>
      </x:c>
      <x:c r="D300" s="9" t="str">
        <x:v>Общество</x:v>
      </x:c>
      <x:c r="E300" s="10" t="str">
        <x:v>Общество; человеческие истории; взрослые</x:v>
      </x:c>
      <x:c r="F300" s="10" t="str">
        <x:v>B1–B2 (гипотеза)</x:v>
      </x:c>
      <x:c r="G300" s="12" t="n">
        <x:v>25.7</x:v>
      </x:c>
      <x:c r="H300" s="14" t="n">
        <x:v>220939</x:v>
      </x:c>
      <x:c r="I300" s="15" t="str">
        <x:v>Точный счётчик метаданных видео</x:v>
      </x:c>
      <x:c r="J300" s="14" t="n">
        <x:v>220000</x:v>
      </x:c>
      <x:c r="K300" s="14" t="n">
        <x:v>253500</x:v>
      </x:c>
      <x:c r="L300" s="12" t="n">
        <x:f>IF(COUNT(J300:K300)=2,IF(K300=0,"",J300/K300),"")</x:f>
        <x:v>0.8678500986193294</x:v>
      </x:c>
      <x:c r="M300" s="10" t="str">
        <x:v>Тема: סליחה על השאלה עונה 3 💙 | אלמנים ואלמנות. Одинаковый вопрос разным людям позволяет сравнить ответы и акценты. Формат вводит социальные группы через их собственную речь.</x:v>
      </x:c>
      <x:c r="N300" s="10" t="str">
        <x:v>Сравнить два ответа; выписать вопросительные конструкции и выражения опыта.</x:v>
      </x:c>
      <x:c r="O300" s="10" t="str">
        <x:v>Некоторые выпуски затрагивают травму, секс, инвалидность; проверить выпуск</x:v>
      </x:c>
      <x:c r="P300" s="10" t="str">
        <x:v>Самостоятельное видео</x:v>
      </x:c>
      <x:c r="Q300" s="9" t="str">
        <x:v>Нет</x:v>
      </x:c>
      <x:c r="R300" s="9" t="str">
        <x:v>C019</x:v>
      </x:c>
      <x:c r="S300" s="9" t="str">
        <x:v>C019</x:v>
      </x:c>
      <x:c r="T300" s="10" t="str">
        <x:v>כאן 11 - תאגיד השידור הישראלי</x:v>
      </x:c>
      <x:c r="U300" s="11" t="str">
        <x:v>https://www.youtube.com/watch?v=OZ0H-1MJAOU</x:v>
      </x:c>
      <x:c r="V300" s="16" t="n">
        <x:v>46308</x:v>
      </x:c>
      <x:c r="W300" s="16" t="n">
        <x:v>44641</x:v>
      </x:c>
      <x:c r="X300" s="10" t="str">
        <x:v>Иврит предполагается по заголовку и источнику</x:v>
      </x:c>
      <x:c r="Y300" s="10" t="str">
        <x:v>Дорожка HE не найдена в метаданных; вшитые титры не проверены</x:v>
      </x:c>
      <x:c r="Z300" s="10" t="str">
        <x:v>Разрешено по метаданным</x:v>
      </x:c>
      <x:c r="AA300" s="10" t="str">
        <x:v>Метаданные видео; воспроизведение и содержание не проверены</x:v>
      </x:c>
      <x:c r="AB300" s="13" t="n">
        <x:f>IF(AND(ISNUMBER(H300),ISNUMBER(W300)),H300/MAX(1,'Обзор'!$B$4-W300),"")</x:f>
        <x:v>132.53689262147572</x:v>
      </x:c>
      <x:c r="AC300" s="17" t="str">
        <x:v>Не решено</x:v>
      </x:c>
      <x:c r="AD300" s="17" t="str">
        <x:v>Не проверено</x:v>
      </x:c>
      <x:c r="AE300" s="17" t="str">
        <x:v>Не проверено</x:v>
      </x:c>
      <x:c r="AF300" s="17" t="str">
        <x:v>Не проверено</x:v>
      </x:c>
      <x:c r="AG300" s="17" t="str">
        <x:v>Не решено</x:v>
      </x:c>
      <x:c r="AH300" s="17" t="str">
        <x:v>Не проверено</x:v>
      </x:c>
      <x:c r="AI300" s="10" t="str">
        <x:f>IF(AC300="Отклонить","Отклонено",IF(AND(AC300="Взять",COUNTIFS(AD300:AH300,"Да")=5),"Готово","Нужна редактура"))</x:f>
        <x:v>Нужна редактура</x:v>
      </x:c>
      <x:c r="AJ300" s="17" t="str"/>
      <x:c r="AK300" s="9" t="str">
        <x:v>https://www.youtube.com/playlist?list=PLLttfoK87AdVmjuyvOtQsy1VU_X_lQwgl</x:v>
      </x:c>
      <x:c r="AL300" s="9" t="n">
        <x:v>3</x:v>
      </x:c>
      <x:c r="AM300" s="9"/>
      <x:c r="AN300" s="9" t="n">
        <x:v>0</x:v>
      </x:c>
    </x:row>
    <x:row r="301" ht="60" customHeight="1">
      <x:c r="A301" s="9" t="str">
        <x:v>YxNRbJhKYdE</x:v>
      </x:c>
      <x:c r="B301" s="10" t="str">
        <x:v>סליחה על השאלה עונה 3 💙 | מכורים נקיים להימורים</x:v>
      </x:c>
      <x:c r="C301" s="10" t="str">
        <x:v>Разнообразие общества</x:v>
      </x:c>
      <x:c r="D301" s="9" t="str">
        <x:v>Общество</x:v>
      </x:c>
      <x:c r="E301" s="10" t="str">
        <x:v>Общество; человеческие истории; взрослые</x:v>
      </x:c>
      <x:c r="F301" s="10" t="str">
        <x:v>B1–B2 (гипотеза)</x:v>
      </x:c>
      <x:c r="G301" s="12" t="n">
        <x:v>26</x:v>
      </x:c>
      <x:c r="H301" s="14" t="n">
        <x:v>180000</x:v>
      </x:c>
      <x:c r="I301" s="15" t="str">
        <x:v>Округлённый счётчик в списке YouTube</x:v>
      </x:c>
      <x:c r="J301" s="14" t="n">
        <x:v>180000</x:v>
      </x:c>
      <x:c r="K301" s="14" t="n">
        <x:v>253500</x:v>
      </x:c>
      <x:c r="L301" s="12" t="n">
        <x:f>IF(COUNT(J301:K301)=2,IF(K301=0,"",J301/K301),"")</x:f>
        <x:v>0.7100591715976331</x:v>
      </x:c>
      <x:c r="M301" s="10" t="str">
        <x:v>Тема: סליחה על השאלה עונה 3 💙 | מכורים נקיים להימורים. Одинаковый вопрос разным людям позволяет сравнить ответы и акценты. Формат вводит социальные группы через их собственную речь.</x:v>
      </x:c>
      <x:c r="N301" s="10" t="str">
        <x:v>Сравнить два ответа; выписать вопросительные конструкции и выражения опыта.</x:v>
      </x:c>
      <x:c r="O301" s="10" t="str">
        <x:v>Некоторые выпуски затрагивают травму, секс, инвалидность; проверить выпуск</x:v>
      </x:c>
      <x:c r="P301" s="10" t="str">
        <x:v>Самостоятельное видео</x:v>
      </x:c>
      <x:c r="Q301" s="9" t="str">
        <x:v>Нет</x:v>
      </x:c>
      <x:c r="R301" s="9" t="str">
        <x:v>C019</x:v>
      </x:c>
      <x:c r="S301" s="9" t="str">
        <x:v>C019</x:v>
      </x:c>
      <x:c r="T301" s="10" t="str">
        <x:v>כאן 11 - תאגיד השידור הישראלי</x:v>
      </x:c>
      <x:c r="U301" s="11" t="str">
        <x:v>https://www.youtube.com/watch?v=YxNRbJhKYdE</x:v>
      </x:c>
      <x:c r="V301" s="16" t="n">
        <x:v>46308</x:v>
      </x:c>
      <x:c r="W301" s="16"/>
      <x:c r="X301" s="10" t="str">
        <x:v>Иврит предполагается по заголовку и источнику</x:v>
      </x:c>
      <x:c r="Y301" s="10" t="str">
        <x:v>Не проверено</x:v>
      </x:c>
      <x:c r="Z301" s="10" t="str">
        <x:v>Не проверено</x:v>
      </x:c>
      <x:c r="AA301" s="10" t="str">
        <x:v>Метаданные списка; видео не просмотрено</x:v>
      </x:c>
      <x:c r="AB301" s="13" t="str">
        <x:f>IF(AND(ISNUMBER(H301),ISNUMBER(W301)),H301/MAX(1,'Обзор'!$B$4-W301),"")</x:f>
      </x:c>
      <x:c r="AC301" s="17" t="str">
        <x:v>Не решено</x:v>
      </x:c>
      <x:c r="AD301" s="17" t="str">
        <x:v>Не проверено</x:v>
      </x:c>
      <x:c r="AE301" s="17" t="str">
        <x:v>Не проверено</x:v>
      </x:c>
      <x:c r="AF301" s="17" t="str">
        <x:v>Не проверено</x:v>
      </x:c>
      <x:c r="AG301" s="17" t="str">
        <x:v>Не решено</x:v>
      </x:c>
      <x:c r="AH301" s="17" t="str">
        <x:v>Не проверено</x:v>
      </x:c>
      <x:c r="AI301" s="10" t="str">
        <x:f>IF(AC301="Отклонить","Отклонено",IF(AND(AC301="Взять",COUNTIFS(AD301:AH301,"Да")=5),"Готово","Нужна редактура"))</x:f>
        <x:v>Нужна редактура</x:v>
      </x:c>
      <x:c r="AJ301" s="17" t="str"/>
      <x:c r="AK301" s="9" t="str">
        <x:v>https://www.youtube.com/playlist?list=PLLttfoK87AdVmjuyvOtQsy1VU_X_lQwgl</x:v>
      </x:c>
      <x:c r="AL301" s="9" t="n">
        <x:v>4</x:v>
      </x:c>
      <x:c r="AM301" s="9"/>
      <x:c r="AN301" s="9"/>
    </x:row>
    <x:row r="302" ht="60" customHeight="1">
      <x:c r="A302" s="9" t="str">
        <x:v>hOq8yycZWL4</x:v>
      </x:c>
      <x:c r="B302" s="10" t="str">
        <x:v>סליחה על השאלה עונה 3 💙 | טיפולי פוריות</x:v>
      </x:c>
      <x:c r="C302" s="10" t="str">
        <x:v>Разнообразие общества</x:v>
      </x:c>
      <x:c r="D302" s="9" t="str">
        <x:v>Общество</x:v>
      </x:c>
      <x:c r="E302" s="10" t="str">
        <x:v>Общество; человеческие истории; взрослые</x:v>
      </x:c>
      <x:c r="F302" s="10" t="str">
        <x:v>B1–B2 (гипотеза)</x:v>
      </x:c>
      <x:c r="G302" s="12" t="n">
        <x:v>24.5</x:v>
      </x:c>
      <x:c r="H302" s="14" t="n">
        <x:v>163000</x:v>
      </x:c>
      <x:c r="I302" s="15" t="str">
        <x:v>Округлённый счётчик в списке YouTube</x:v>
      </x:c>
      <x:c r="J302" s="14" t="n">
        <x:v>163000</x:v>
      </x:c>
      <x:c r="K302" s="14" t="n">
        <x:v>253500</x:v>
      </x:c>
      <x:c r="L302" s="12" t="n">
        <x:f>IF(COUNT(J302:K302)=2,IF(K302=0,"",J302/K302),"")</x:f>
        <x:v>0.6429980276134122</x:v>
      </x:c>
      <x:c r="M302" s="10" t="str">
        <x:v>Тема: סליחה על השאלה עונה 3 💙 | טיפולי פוריות. Одинаковый вопрос разным людям позволяет сравнить ответы и акценты. Формат вводит социальные группы через их собственную речь.</x:v>
      </x:c>
      <x:c r="N302" s="10" t="str">
        <x:v>Сравнить два ответа; выписать вопросительные конструкции и выражения опыта.</x:v>
      </x:c>
      <x:c r="O302" s="10" t="str">
        <x:v>Некоторые выпуски затрагивают травму, секс, инвалидность; проверить выпуск</x:v>
      </x:c>
      <x:c r="P302" s="10" t="str">
        <x:v>Самостоятельное видео</x:v>
      </x:c>
      <x:c r="Q302" s="9" t="str">
        <x:v>Нет</x:v>
      </x:c>
      <x:c r="R302" s="9" t="str">
        <x:v>C019</x:v>
      </x:c>
      <x:c r="S302" s="9" t="str">
        <x:v>C019</x:v>
      </x:c>
      <x:c r="T302" s="10" t="str">
        <x:v>כאן 11 - תאגיד השידור הישראלי</x:v>
      </x:c>
      <x:c r="U302" s="11" t="str">
        <x:v>https://www.youtube.com/watch?v=hOq8yycZWL4</x:v>
      </x:c>
      <x:c r="V302" s="16" t="n">
        <x:v>46308</x:v>
      </x:c>
      <x:c r="W302" s="16"/>
      <x:c r="X302" s="10" t="str">
        <x:v>Иврит предполагается по заголовку и источнику</x:v>
      </x:c>
      <x:c r="Y302" s="10" t="str">
        <x:v>Не проверено</x:v>
      </x:c>
      <x:c r="Z302" s="10" t="str">
        <x:v>Не проверено</x:v>
      </x:c>
      <x:c r="AA302" s="10" t="str">
        <x:v>Метаданные списка; видео не просмотрено</x:v>
      </x:c>
      <x:c r="AB302" s="13" t="str">
        <x:f>IF(AND(ISNUMBER(H302),ISNUMBER(W302)),H302/MAX(1,'Обзор'!$B$4-W302),"")</x:f>
      </x:c>
      <x:c r="AC302" s="17" t="str">
        <x:v>Не решено</x:v>
      </x:c>
      <x:c r="AD302" s="17" t="str">
        <x:v>Не проверено</x:v>
      </x:c>
      <x:c r="AE302" s="17" t="str">
        <x:v>Не проверено</x:v>
      </x:c>
      <x:c r="AF302" s="17" t="str">
        <x:v>Не проверено</x:v>
      </x:c>
      <x:c r="AG302" s="17" t="str">
        <x:v>Не решено</x:v>
      </x:c>
      <x:c r="AH302" s="17" t="str">
        <x:v>Не проверено</x:v>
      </x:c>
      <x:c r="AI302" s="10" t="str">
        <x:f>IF(AC302="Отклонить","Отклонено",IF(AND(AC302="Взять",COUNTIFS(AD302:AH302,"Да")=5),"Готово","Нужна редактура"))</x:f>
        <x:v>Нужна редактура</x:v>
      </x:c>
      <x:c r="AJ302" s="17" t="str"/>
      <x:c r="AK302" s="9" t="str">
        <x:v>https://www.youtube.com/playlist?list=PLLttfoK87AdVmjuyvOtQsy1VU_X_lQwgl</x:v>
      </x:c>
      <x:c r="AL302" s="9" t="n">
        <x:v>5</x:v>
      </x:c>
      <x:c r="AM302" s="9"/>
      <x:c r="AN302" s="9"/>
    </x:row>
    <x:row r="303" ht="60" customHeight="1">
      <x:c r="A303" s="9" t="str">
        <x:v>azMhGZep7lo</x:v>
      </x:c>
      <x:c r="B303" s="10" t="str">
        <x:v>סליחה על השאלה עונה 3 💙 | אלימות במשפחה</x:v>
      </x:c>
      <x:c r="C303" s="10" t="str">
        <x:v>Разнообразие общества</x:v>
      </x:c>
      <x:c r="D303" s="9" t="str">
        <x:v>Общество</x:v>
      </x:c>
      <x:c r="E303" s="10" t="str">
        <x:v>Общество; человеческие истории; взрослые</x:v>
      </x:c>
      <x:c r="F303" s="10" t="str">
        <x:v>B1–B2 (гипотеза)</x:v>
      </x:c>
      <x:c r="G303" s="12" t="n">
        <x:v>26.6</x:v>
      </x:c>
      <x:c r="H303" s="14" t="n">
        <x:v>284656</x:v>
      </x:c>
      <x:c r="I303" s="15" t="str">
        <x:v>Точный счётчик метаданных видео</x:v>
      </x:c>
      <x:c r="J303" s="14" t="n">
        <x:v>284000</x:v>
      </x:c>
      <x:c r="K303" s="14" t="n">
        <x:v>253500</x:v>
      </x:c>
      <x:c r="L303" s="12" t="n">
        <x:f>IF(COUNT(J303:K303)=2,IF(K303=0,"",J303/K303),"")</x:f>
        <x:v>1.1203155818540433</x:v>
      </x:c>
      <x:c r="M303" s="10" t="str">
        <x:v>Тема: סליחה על השאלה עונה 3 💙 | אלימות במשפחה. Одинаковый вопрос разным людям позволяет сравнить ответы и акценты. Формат вводит социальные группы через их собственную речь.</x:v>
      </x:c>
      <x:c r="N303" s="10" t="str">
        <x:v>Сравнить два ответа; выписать вопросительные конструкции и выражения опыта.</x:v>
      </x:c>
      <x:c r="O303" s="10" t="str">
        <x:v>Некоторые выпуски затрагивают травму, секс, инвалидность; проверить выпуск</x:v>
      </x:c>
      <x:c r="P303" s="10" t="str">
        <x:v>Самостоятельное видео</x:v>
      </x:c>
      <x:c r="Q303" s="9" t="str">
        <x:v>Нет</x:v>
      </x:c>
      <x:c r="R303" s="9" t="str">
        <x:v>C019</x:v>
      </x:c>
      <x:c r="S303" s="9" t="str">
        <x:v>C019</x:v>
      </x:c>
      <x:c r="T303" s="10" t="str">
        <x:v>כאן 11 - תאגיד השידור הישראלי</x:v>
      </x:c>
      <x:c r="U303" s="11" t="str">
        <x:v>https://www.youtube.com/watch?v=azMhGZep7lo</x:v>
      </x:c>
      <x:c r="V303" s="16" t="n">
        <x:v>46308</x:v>
      </x:c>
      <x:c r="W303" s="16" t="n">
        <x:v>44522</x:v>
      </x:c>
      <x:c r="X303" s="10" t="str">
        <x:v>Иврит предполагается по заголовку и источнику</x:v>
      </x:c>
      <x:c r="Y303" s="10" t="str">
        <x:v>Дорожка HE не найдена в метаданных; вшитые титры не проверены</x:v>
      </x:c>
      <x:c r="Z303" s="10" t="str">
        <x:v>Разрешено по метаданным</x:v>
      </x:c>
      <x:c r="AA303" s="10" t="str">
        <x:v>Метаданные видео; воспроизведение и содержание не проверены</x:v>
      </x:c>
      <x:c r="AB303" s="13" t="n">
        <x:f>IF(AND(ISNUMBER(H303),ISNUMBER(W303)),H303/MAX(1,'Обзор'!$B$4-W303),"")</x:f>
        <x:v>159.3818589025756</x:v>
      </x:c>
      <x:c r="AC303" s="17" t="str">
        <x:v>Не решено</x:v>
      </x:c>
      <x:c r="AD303" s="17" t="str">
        <x:v>Не проверено</x:v>
      </x:c>
      <x:c r="AE303" s="17" t="str">
        <x:v>Не проверено</x:v>
      </x:c>
      <x:c r="AF303" s="17" t="str">
        <x:v>Не проверено</x:v>
      </x:c>
      <x:c r="AG303" s="17" t="str">
        <x:v>Не решено</x:v>
      </x:c>
      <x:c r="AH303" s="17" t="str">
        <x:v>Не проверено</x:v>
      </x:c>
      <x:c r="AI303" s="10" t="str">
        <x:f>IF(AC303="Отклонить","Отклонено",IF(AND(AC303="Взять",COUNTIFS(AD303:AH303,"Да")=5),"Готово","Нужна редактура"))</x:f>
        <x:v>Нужна редактура</x:v>
      </x:c>
      <x:c r="AJ303" s="17" t="str"/>
      <x:c r="AK303" s="9" t="str">
        <x:v>https://www.youtube.com/playlist?list=PLLttfoK87AdVmjuyvOtQsy1VU_X_lQwgl</x:v>
      </x:c>
      <x:c r="AL303" s="9" t="n">
        <x:v>6</x:v>
      </x:c>
      <x:c r="AM303" s="9"/>
      <x:c r="AN303" s="9" t="n">
        <x:v>0</x:v>
      </x:c>
    </x:row>
    <x:row r="304" ht="60" customHeight="1">
      <x:c r="A304" s="9" t="str">
        <x:v>D41rWcKGzQk</x:v>
      </x:c>
      <x:c r="B304" s="10" t="str">
        <x:v>סליחה על השאלה עונה 3 💙 | רווקות מאוחרת</x:v>
      </x:c>
      <x:c r="C304" s="10" t="str">
        <x:v>Разнообразие общества</x:v>
      </x:c>
      <x:c r="D304" s="9" t="str">
        <x:v>Общество</x:v>
      </x:c>
      <x:c r="E304" s="10" t="str">
        <x:v>Общество; человеческие истории; взрослые</x:v>
      </x:c>
      <x:c r="F304" s="10" t="str">
        <x:v>B1–B2 (гипотеза)</x:v>
      </x:c>
      <x:c r="G304" s="12" t="n">
        <x:v>25</x:v>
      </x:c>
      <x:c r="H304" s="14" t="n">
        <x:v>487479</x:v>
      </x:c>
      <x:c r="I304" s="15" t="str">
        <x:v>Точный счётчик метаданных видео</x:v>
      </x:c>
      <x:c r="J304" s="14" t="n">
        <x:v>487000</x:v>
      </x:c>
      <x:c r="K304" s="14" t="n">
        <x:v>253500</x:v>
      </x:c>
      <x:c r="L304" s="12" t="n">
        <x:f>IF(COUNT(J304:K304)=2,IF(K304=0,"",J304/K304),"")</x:f>
        <x:v>1.921104536489152</x:v>
      </x:c>
      <x:c r="M304" s="10" t="str">
        <x:v>Тема: סליחה על השאלה עונה 3 💙 | רווקות מאוחרת. Просмотры в списке выше медианы выборки этого цикла в 1.92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304" s="10" t="str">
        <x:v>Сравнить два ответа; выписать вопросительные конструкции и выражения опыта.</x:v>
      </x:c>
      <x:c r="O304" s="10" t="str">
        <x:v>Некоторые выпуски затрагивают травму, секс, инвалидность; проверить выпуск</x:v>
      </x:c>
      <x:c r="P304" s="10" t="str">
        <x:v>Самостоятельное видео</x:v>
      </x:c>
      <x:c r="Q304" s="9" t="str">
        <x:v>Нет</x:v>
      </x:c>
      <x:c r="R304" s="9" t="str">
        <x:v>C019</x:v>
      </x:c>
      <x:c r="S304" s="9" t="str">
        <x:v>C019</x:v>
      </x:c>
      <x:c r="T304" s="10" t="str">
        <x:v>כאן 11 - תאגיד השידור הישראלי</x:v>
      </x:c>
      <x:c r="U304" s="11" t="str">
        <x:v>https://www.youtube.com/watch?v=D41rWcKGzQk</x:v>
      </x:c>
      <x:c r="V304" s="16" t="n">
        <x:v>46308</x:v>
      </x:c>
      <x:c r="W304" s="16" t="n">
        <x:v>44438</x:v>
      </x:c>
      <x:c r="X304" s="10" t="str">
        <x:v>Иврит предполагается по заголовку и источнику</x:v>
      </x:c>
      <x:c r="Y304" s="10" t="str">
        <x:v>Дорожка HE не найдена в метаданных; вшитые титры не проверены</x:v>
      </x:c>
      <x:c r="Z304" s="10" t="str">
        <x:v>Разрешено по метаданным</x:v>
      </x:c>
      <x:c r="AA304" s="10" t="str">
        <x:v>Метаданные видео; воспроизведение и содержание не проверены</x:v>
      </x:c>
      <x:c r="AB304" s="13" t="n">
        <x:f>IF(AND(ISNUMBER(H304),ISNUMBER(W304)),H304/MAX(1,'Обзор'!$B$4-W304),"")</x:f>
        <x:v>260.68395721925134</x:v>
      </x:c>
      <x:c r="AC304" s="17" t="str">
        <x:v>Не решено</x:v>
      </x:c>
      <x:c r="AD304" s="17" t="str">
        <x:v>Не проверено</x:v>
      </x:c>
      <x:c r="AE304" s="17" t="str">
        <x:v>Не проверено</x:v>
      </x:c>
      <x:c r="AF304" s="17" t="str">
        <x:v>Не проверено</x:v>
      </x:c>
      <x:c r="AG304" s="17" t="str">
        <x:v>Не решено</x:v>
      </x:c>
      <x:c r="AH304" s="17" t="str">
        <x:v>Не проверено</x:v>
      </x:c>
      <x:c r="AI304" s="10" t="str">
        <x:f>IF(AC304="Отклонить","Отклонено",IF(AND(AC304="Взять",COUNTIFS(AD304:AH304,"Да")=5),"Готово","Нужна редактура"))</x:f>
        <x:v>Нужна редактура</x:v>
      </x:c>
      <x:c r="AJ304" s="17" t="str"/>
      <x:c r="AK304" s="9" t="str">
        <x:v>https://www.youtube.com/playlist?list=PLLttfoK87AdVmjuyvOtQsy1VU_X_lQwgl</x:v>
      </x:c>
      <x:c r="AL304" s="9" t="n">
        <x:v>7</x:v>
      </x:c>
      <x:c r="AM304" s="9"/>
      <x:c r="AN304" s="9" t="n">
        <x:v>0</x:v>
      </x:c>
    </x:row>
    <x:row r="305" ht="60" customHeight="1">
      <x:c r="A305" s="9" t="str">
        <x:v>xjYYXmtelnk</x:v>
      </x:c>
      <x:c r="B305" s="10" t="str">
        <x:v>סליחה על השאלה עונה 3 💙 | אנשים שחיו ברחוב</x:v>
      </x:c>
      <x:c r="C305" s="10" t="str">
        <x:v>Разнообразие общества</x:v>
      </x:c>
      <x:c r="D305" s="9" t="str">
        <x:v>Общество</x:v>
      </x:c>
      <x:c r="E305" s="10" t="str">
        <x:v>Общество; человеческие истории; взрослые</x:v>
      </x:c>
      <x:c r="F305" s="10" t="str">
        <x:v>B1–B2 (гипотеза)</x:v>
      </x:c>
      <x:c r="G305" s="12" t="n">
        <x:v>24.7</x:v>
      </x:c>
      <x:c r="H305" s="14" t="n">
        <x:v>480000</x:v>
      </x:c>
      <x:c r="I305" s="15" t="str">
        <x:v>Округлённый счётчик в списке YouTube</x:v>
      </x:c>
      <x:c r="J305" s="14" t="n">
        <x:v>480000</x:v>
      </x:c>
      <x:c r="K305" s="14" t="n">
        <x:v>253500</x:v>
      </x:c>
      <x:c r="L305" s="12" t="n">
        <x:f>IF(COUNT(J305:K305)=2,IF(K305=0,"",J305/K305),"")</x:f>
        <x:v>1.893491124260355</x:v>
      </x:c>
      <x:c r="M305" s="10" t="str">
        <x:v>Тема: סליחה על השאלה עונה 3 💙 | אנשים שחיו ברחוב. Просмотры в списке выше медианы выборки этого цикла в 1.89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305" s="10" t="str">
        <x:v>Сравнить два ответа; выписать вопросительные конструкции и выражения опыта.</x:v>
      </x:c>
      <x:c r="O305" s="10" t="str">
        <x:v>Некоторые выпуски затрагивают травму, секс, инвалидность; проверить выпуск</x:v>
      </x:c>
      <x:c r="P305" s="10" t="str">
        <x:v>Самостоятельное видео</x:v>
      </x:c>
      <x:c r="Q305" s="9" t="str">
        <x:v>Да</x:v>
      </x:c>
      <x:c r="R305" s="9" t="str">
        <x:v>C019</x:v>
      </x:c>
      <x:c r="S305" s="9" t="str">
        <x:v>C019</x:v>
      </x:c>
      <x:c r="T305" s="10" t="str">
        <x:v>כאן 11 - תאגיד השידור הישראלי</x:v>
      </x:c>
      <x:c r="U305" s="11" t="str">
        <x:v>https://www.youtube.com/watch?v=xjYYXmtelnk</x:v>
      </x:c>
      <x:c r="V305" s="16" t="n">
        <x:v>46308</x:v>
      </x:c>
      <x:c r="W305" s="16"/>
      <x:c r="X305" s="10" t="str">
        <x:v>Иврит предполагается по заголовку и источнику</x:v>
      </x:c>
      <x:c r="Y305" s="10" t="str">
        <x:v>Не проверено</x:v>
      </x:c>
      <x:c r="Z305" s="10" t="str">
        <x:v>Не проверено</x:v>
      </x:c>
      <x:c r="AA305" s="10" t="str">
        <x:v>Метаданные списка; видео не просмотрено</x:v>
      </x:c>
      <x:c r="AB305" s="13" t="str">
        <x:f>IF(AND(ISNUMBER(H305),ISNUMBER(W305)),H305/MAX(1,'Обзор'!$B$4-W305),"")</x:f>
      </x:c>
      <x:c r="AC305" s="17" t="str">
        <x:v>Не решено</x:v>
      </x:c>
      <x:c r="AD305" s="17" t="str">
        <x:v>Не проверено</x:v>
      </x:c>
      <x:c r="AE305" s="17" t="str">
        <x:v>Не проверено</x:v>
      </x:c>
      <x:c r="AF305" s="17" t="str">
        <x:v>Не проверено</x:v>
      </x:c>
      <x:c r="AG305" s="17" t="str">
        <x:v>Не решено</x:v>
      </x:c>
      <x:c r="AH305" s="17" t="str">
        <x:v>Не проверено</x:v>
      </x:c>
      <x:c r="AI305" s="10" t="str">
        <x:f>IF(AC305="Отклонить","Отклонено",IF(AND(AC305="Взять",COUNTIFS(AD305:AH305,"Да")=5),"Готово","Нужна редактура"))</x:f>
        <x:v>Нужна редактура</x:v>
      </x:c>
      <x:c r="AJ305" s="17" t="str"/>
      <x:c r="AK305" s="9" t="str">
        <x:v>https://www.youtube.com/playlist?list=PLLttfoK87AdVmjuyvOtQsy1VU_X_lQwgl</x:v>
      </x:c>
      <x:c r="AL305" s="9" t="n">
        <x:v>8</x:v>
      </x:c>
      <x:c r="AM305" s="9"/>
      <x:c r="AN305" s="9"/>
    </x:row>
    <x:row r="306" ht="60" customHeight="1">
      <x:c r="A306" s="9" t="str">
        <x:v>eLYgTqNFn-s</x:v>
      </x:c>
      <x:c r="B306" s="10" t="str">
        <x:v>סליחה על השאלה עונה 3 💙 | חרדים</x:v>
      </x:c>
      <x:c r="C306" s="10" t="str">
        <x:v>Разнообразие общества</x:v>
      </x:c>
      <x:c r="D306" s="9" t="str">
        <x:v>Общество</x:v>
      </x:c>
      <x:c r="E306" s="10" t="str">
        <x:v>Общество; человеческие истории; взрослые</x:v>
      </x:c>
      <x:c r="F306" s="10" t="str">
        <x:v>B1–B2 (гипотеза)</x:v>
      </x:c>
      <x:c r="G306" s="12" t="n">
        <x:v>26</x:v>
      </x:c>
      <x:c r="H306" s="14" t="n">
        <x:v>929000</x:v>
      </x:c>
      <x:c r="I306" s="15" t="str">
        <x:v>Округлённый счётчик в списке YouTube</x:v>
      </x:c>
      <x:c r="J306" s="14" t="n">
        <x:v>929000</x:v>
      </x:c>
      <x:c r="K306" s="14" t="n">
        <x:v>253500</x:v>
      </x:c>
      <x:c r="L306" s="12" t="n">
        <x:f>IF(COUNT(J306:K306)=2,IF(K306=0,"",J306/K306),"")</x:f>
        <x:v>3.6646942800788955</x:v>
      </x:c>
      <x:c r="M306" s="10" t="str">
        <x:v>Тема: סליחה על השאלה עונה 3 💙 | חרדים. Просмотры в списке выше медианы выборки этого цикла в 3.66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306" s="10" t="str">
        <x:v>Сравнить два ответа; выписать вопросительные конструкции и выражения опыта.</x:v>
      </x:c>
      <x:c r="O306" s="10" t="str">
        <x:v>Некоторые выпуски затрагивают травму, секс, инвалидность; проверить выпуск</x:v>
      </x:c>
      <x:c r="P306" s="10" t="str">
        <x:v>Самостоятельное видео</x:v>
      </x:c>
      <x:c r="Q306" s="9" t="str">
        <x:v>Да</x:v>
      </x:c>
      <x:c r="R306" s="9" t="str">
        <x:v>C019</x:v>
      </x:c>
      <x:c r="S306" s="9" t="str">
        <x:v>C019</x:v>
      </x:c>
      <x:c r="T306" s="10" t="str">
        <x:v>כאן 11 - תאגיד השידור הישראלי</x:v>
      </x:c>
      <x:c r="U306" s="11" t="str">
        <x:v>https://www.youtube.com/watch?v=eLYgTqNFn-s</x:v>
      </x:c>
      <x:c r="V306" s="16" t="n">
        <x:v>46308</x:v>
      </x:c>
      <x:c r="W306" s="16"/>
      <x:c r="X306" s="10" t="str">
        <x:v>Иврит предполагается по заголовку и источнику</x:v>
      </x:c>
      <x:c r="Y306" s="10" t="str">
        <x:v>Не проверено</x:v>
      </x:c>
      <x:c r="Z306" s="10" t="str">
        <x:v>Не проверено</x:v>
      </x:c>
      <x:c r="AA306" s="10" t="str">
        <x:v>Метаданные списка; видео не просмотрено</x:v>
      </x:c>
      <x:c r="AB306" s="13" t="str">
        <x:f>IF(AND(ISNUMBER(H306),ISNUMBER(W306)),H306/MAX(1,'Обзор'!$B$4-W306),"")</x:f>
      </x:c>
      <x:c r="AC306" s="17" t="str">
        <x:v>Не решено</x:v>
      </x:c>
      <x:c r="AD306" s="17" t="str">
        <x:v>Не проверено</x:v>
      </x:c>
      <x:c r="AE306" s="17" t="str">
        <x:v>Не проверено</x:v>
      </x:c>
      <x:c r="AF306" s="17" t="str">
        <x:v>Не проверено</x:v>
      </x:c>
      <x:c r="AG306" s="17" t="str">
        <x:v>Не решено</x:v>
      </x:c>
      <x:c r="AH306" s="17" t="str">
        <x:v>Не проверено</x:v>
      </x:c>
      <x:c r="AI306" s="10" t="str">
        <x:f>IF(AC306="Отклонить","Отклонено",IF(AND(AC306="Взять",COUNTIFS(AD306:AH306,"Да")=5),"Готово","Нужна редактура"))</x:f>
        <x:v>Нужна редактура</x:v>
      </x:c>
      <x:c r="AJ306" s="17" t="str"/>
      <x:c r="AK306" s="9" t="str">
        <x:v>https://www.youtube.com/playlist?list=PLLttfoK87AdVmjuyvOtQsy1VU_X_lQwgl</x:v>
      </x:c>
      <x:c r="AL306" s="9" t="n">
        <x:v>9</x:v>
      </x:c>
      <x:c r="AM306" s="9"/>
      <x:c r="AN306" s="9"/>
    </x:row>
    <x:row r="307" ht="60" customHeight="1">
      <x:c r="A307" s="9" t="str">
        <x:v>PfM7CF9eUMU</x:v>
      </x:c>
      <x:c r="B307" s="10" t="str">
        <x:v>סליחה על השאלה עונה 3 💙 | הורים שילדיהם התאבדו</x:v>
      </x:c>
      <x:c r="C307" s="10" t="str">
        <x:v>Разнообразие общества</x:v>
      </x:c>
      <x:c r="D307" s="9" t="str">
        <x:v>Общество</x:v>
      </x:c>
      <x:c r="E307" s="10" t="str">
        <x:v>Общество; человеческие истории; взрослые</x:v>
      </x:c>
      <x:c r="F307" s="10" t="str">
        <x:v>B1–B2 (гипотеза)</x:v>
      </x:c>
      <x:c r="G307" s="12" t="n">
        <x:v>27.4</x:v>
      </x:c>
      <x:c r="H307" s="14" t="n">
        <x:v>884179</x:v>
      </x:c>
      <x:c r="I307" s="15" t="str">
        <x:v>Точный счётчик метаданных видео</x:v>
      </x:c>
      <x:c r="J307" s="14" t="n">
        <x:v>884000</x:v>
      </x:c>
      <x:c r="K307" s="14" t="n">
        <x:v>253500</x:v>
      </x:c>
      <x:c r="L307" s="12" t="n">
        <x:f>IF(COUNT(J307:K307)=2,IF(K307=0,"",J307/K307),"")</x:f>
        <x:v>3.4871794871794872</x:v>
      </x:c>
      <x:c r="M307" s="10" t="str">
        <x:v>Тема: סליחה על השאלה עונה 3 💙 | הורים שילדיהם התאבדו. Просмотры в списке выше медианы выборки этого цикла в 3.49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307" s="10" t="str">
        <x:v>Сравнить два ответа; выписать вопросительные конструкции и выражения опыта.</x:v>
      </x:c>
      <x:c r="O307" s="10" t="str">
        <x:v>В заголовке есть чувствительная тема: предварительный просмотр и добровольный выбор. Некоторые выпуски затрагивают травму, секс, инвалидность; проверить выпуск</x:v>
      </x:c>
      <x:c r="P307" s="10" t="str">
        <x:v>Самостоятельное видео</x:v>
      </x:c>
      <x:c r="Q307" s="9" t="str">
        <x:v>Нет</x:v>
      </x:c>
      <x:c r="R307" s="9" t="str">
        <x:v>C019</x:v>
      </x:c>
      <x:c r="S307" s="9" t="str">
        <x:v>C019</x:v>
      </x:c>
      <x:c r="T307" s="10" t="str">
        <x:v>כאן 11 - תאגיד השידור הישראלי</x:v>
      </x:c>
      <x:c r="U307" s="11" t="str">
        <x:v>https://www.youtube.com/watch?v=PfM7CF9eUMU</x:v>
      </x:c>
      <x:c r="V307" s="16" t="n">
        <x:v>46308</x:v>
      </x:c>
      <x:c r="W307" s="16" t="n">
        <x:v>44417</x:v>
      </x:c>
      <x:c r="X307" s="10" t="str">
        <x:v>Иврит предполагается по заголовку и источнику</x:v>
      </x:c>
      <x:c r="Y307" s="10" t="str">
        <x:v>Дорожка HE не найдена в метаданных; вшитые титры не проверены</x:v>
      </x:c>
      <x:c r="Z307" s="10" t="str">
        <x:v>Разрешено по метаданным</x:v>
      </x:c>
      <x:c r="AA307" s="10" t="str">
        <x:v>Метаданные видео; воспроизведение и содержание не проверены</x:v>
      </x:c>
      <x:c r="AB307" s="13" t="n">
        <x:f>IF(AND(ISNUMBER(H307),ISNUMBER(W307)),H307/MAX(1,'Обзор'!$B$4-W307),"")</x:f>
        <x:v>467.57218402961394</x:v>
      </x:c>
      <x:c r="AC307" s="17" t="str">
        <x:v>Не решено</x:v>
      </x:c>
      <x:c r="AD307" s="17" t="str">
        <x:v>Не проверено</x:v>
      </x:c>
      <x:c r="AE307" s="17" t="str">
        <x:v>Не проверено</x:v>
      </x:c>
      <x:c r="AF307" s="17" t="str">
        <x:v>Не проверено</x:v>
      </x:c>
      <x:c r="AG307" s="17" t="str">
        <x:v>Не решено</x:v>
      </x:c>
      <x:c r="AH307" s="17" t="str">
        <x:v>Не проверено</x:v>
      </x:c>
      <x:c r="AI307" s="10" t="str">
        <x:f>IF(AC307="Отклонить","Отклонено",IF(AND(AC307="Взять",COUNTIFS(AD307:AH307,"Да")=5),"Готово","Нужна редактура"))</x:f>
        <x:v>Нужна редактура</x:v>
      </x:c>
      <x:c r="AJ307" s="17" t="str"/>
      <x:c r="AK307" s="9" t="str">
        <x:v>https://www.youtube.com/playlist?list=PLLttfoK87AdVmjuyvOtQsy1VU_X_lQwgl</x:v>
      </x:c>
      <x:c r="AL307" s="9" t="n">
        <x:v>10</x:v>
      </x:c>
      <x:c r="AM307" s="9"/>
      <x:c r="AN307" s="9" t="n">
        <x:v>0</x:v>
      </x:c>
    </x:row>
    <x:row r="308" ht="60" customHeight="1">
      <x:c r="A308" s="9" t="str">
        <x:v>qfIl2dcZgbk</x:v>
      </x:c>
      <x:c r="B308" s="10" t="str">
        <x:v>סליחה על השאלה עונה 3 💙 | חירשים</x:v>
      </x:c>
      <x:c r="C308" s="10" t="str">
        <x:v>Разнообразие общества</x:v>
      </x:c>
      <x:c r="D308" s="9" t="str">
        <x:v>Общество</x:v>
      </x:c>
      <x:c r="E308" s="10" t="str">
        <x:v>Общество; человеческие истории; взрослые</x:v>
      </x:c>
      <x:c r="F308" s="10" t="str">
        <x:v>B1–B2 (гипотеза)</x:v>
      </x:c>
      <x:c r="G308" s="12" t="n">
        <x:v>25.1</x:v>
      </x:c>
      <x:c r="H308" s="14" t="n">
        <x:v>223971</x:v>
      </x:c>
      <x:c r="I308" s="15" t="str">
        <x:v>Точный счётчик метаданных видео</x:v>
      </x:c>
      <x:c r="J308" s="14" t="n">
        <x:v>223000</x:v>
      </x:c>
      <x:c r="K308" s="14" t="n">
        <x:v>253500</x:v>
      </x:c>
      <x:c r="L308" s="12" t="n">
        <x:f>IF(COUNT(J308:K308)=2,IF(K308=0,"",J308/K308),"")</x:f>
        <x:v>0.8796844181459567</x:v>
      </x:c>
      <x:c r="M308" s="10" t="str">
        <x:v>Тема: סליחה על השאלה עונה 3 💙 | חירשים. Одинаковый вопрос разным людям позволяет сравнить ответы и акценты. Формат вводит социальные группы через их собственную речь.</x:v>
      </x:c>
      <x:c r="N308" s="10" t="str">
        <x:v>Сравнить два ответа; выписать вопросительные конструкции и выражения опыта.</x:v>
      </x:c>
      <x:c r="O308" s="10" t="str">
        <x:v>Некоторые выпуски затрагивают травму, секс, инвалидность; проверить выпуск</x:v>
      </x:c>
      <x:c r="P308" s="10" t="str">
        <x:v>Самостоятельное видео</x:v>
      </x:c>
      <x:c r="Q308" s="9" t="str">
        <x:v>Нет</x:v>
      </x:c>
      <x:c r="R308" s="9" t="str">
        <x:v>C019</x:v>
      </x:c>
      <x:c r="S308" s="9" t="str">
        <x:v>C019</x:v>
      </x:c>
      <x:c r="T308" s="10" t="str">
        <x:v>כאן 11 - תאגיד השידור הישראלי</x:v>
      </x:c>
      <x:c r="U308" s="11" t="str">
        <x:v>https://www.youtube.com/watch?v=qfIl2dcZgbk</x:v>
      </x:c>
      <x:c r="V308" s="16" t="n">
        <x:v>46308</x:v>
      </x:c>
      <x:c r="W308" s="16" t="n">
        <x:v>44410</x:v>
      </x:c>
      <x:c r="X308" s="10" t="str">
        <x:v>Иврит предполагается по заголовку и источнику</x:v>
      </x:c>
      <x:c r="Y308" s="10" t="str">
        <x:v>Автоматическая дорожка HE по метаданным</x:v>
      </x:c>
      <x:c r="Z308" s="10" t="str">
        <x:v>Разрешено по метаданным</x:v>
      </x:c>
      <x:c r="AA308" s="10" t="str">
        <x:v>Метаданные видео; воспроизведение и содержание не проверены</x:v>
      </x:c>
      <x:c r="AB308" s="13" t="n">
        <x:f>IF(AND(ISNUMBER(H308),ISNUMBER(W308)),H308/MAX(1,'Обзор'!$B$4-W308),"")</x:f>
        <x:v>118.00368809272919</x:v>
      </x:c>
      <x:c r="AC308" s="17" t="str">
        <x:v>Не решено</x:v>
      </x:c>
      <x:c r="AD308" s="17" t="str">
        <x:v>Не проверено</x:v>
      </x:c>
      <x:c r="AE308" s="17" t="str">
        <x:v>Не проверено</x:v>
      </x:c>
      <x:c r="AF308" s="17" t="str">
        <x:v>Не проверено</x:v>
      </x:c>
      <x:c r="AG308" s="17" t="str">
        <x:v>Не решено</x:v>
      </x:c>
      <x:c r="AH308" s="17" t="str">
        <x:v>Не проверено</x:v>
      </x:c>
      <x:c r="AI308" s="10" t="str">
        <x:f>IF(AC308="Отклонить","Отклонено",IF(AND(AC308="Взять",COUNTIFS(AD308:AH308,"Да")=5),"Готово","Нужна редактура"))</x:f>
        <x:v>Нужна редактура</x:v>
      </x:c>
      <x:c r="AJ308" s="17" t="str"/>
      <x:c r="AK308" s="9" t="str">
        <x:v>https://www.youtube.com/playlist?list=PLLttfoK87AdVmjuyvOtQsy1VU_X_lQwgl</x:v>
      </x:c>
      <x:c r="AL308" s="9" t="n">
        <x:v>11</x:v>
      </x:c>
      <x:c r="AM308" s="9"/>
      <x:c r="AN308" s="9" t="n">
        <x:v>0</x:v>
      </x:c>
    </x:row>
    <x:row r="309" ht="60" customHeight="1">
      <x:c r="A309" s="9" t="str">
        <x:v>Ad1et9Gb7OA</x:v>
      </x:c>
      <x:c r="B309" s="10" t="str">
        <x:v>סליחה על השאלה עונה 3 💙 | יוצאים בשאלה - פרק אחרון לעונה</x:v>
      </x:c>
      <x:c r="C309" s="10" t="str">
        <x:v>Разнообразие общества</x:v>
      </x:c>
      <x:c r="D309" s="9" t="str">
        <x:v>Общество</x:v>
      </x:c>
      <x:c r="E309" s="10" t="str">
        <x:v>Общество; человеческие истории; взрослые</x:v>
      </x:c>
      <x:c r="F309" s="10" t="str">
        <x:v>B1–B2 (гипотеза)</x:v>
      </x:c>
      <x:c r="G309" s="12" t="n">
        <x:v>25.8</x:v>
      </x:c>
      <x:c r="H309" s="14" t="n">
        <x:v>317416</x:v>
      </x:c>
      <x:c r="I309" s="15" t="str">
        <x:v>Точный счётчик метаданных видео</x:v>
      </x:c>
      <x:c r="J309" s="14" t="n">
        <x:v>317000</x:v>
      </x:c>
      <x:c r="K309" s="14" t="n">
        <x:v>253500</x:v>
      </x:c>
      <x:c r="L309" s="12" t="n">
        <x:f>IF(COUNT(J309:K309)=2,IF(K309=0,"",J309/K309),"")</x:f>
        <x:v>1.2504930966469427</x:v>
      </x:c>
      <x:c r="M309" s="10" t="str">
        <x:v>Тема: סליחה על השאלה עונה 3 💙 | יוצאים בשאלה - פרק אחרון לעונה. Одинаковый вопрос разным людям позволяет сравнить ответы и акценты. Формат вводит социальные группы через их собственную речь.</x:v>
      </x:c>
      <x:c r="N309" s="10" t="str">
        <x:v>Сравнить два ответа; выписать вопросительные конструкции и выражения опыта.</x:v>
      </x:c>
      <x:c r="O309" s="10" t="str">
        <x:v>Некоторые выпуски затрагивают травму, секс, инвалидность; проверить выпуск</x:v>
      </x:c>
      <x:c r="P309" s="10" t="str">
        <x:v>Самостоятельное видео</x:v>
      </x:c>
      <x:c r="Q309" s="9" t="str">
        <x:v>Нет</x:v>
      </x:c>
      <x:c r="R309" s="9" t="str">
        <x:v>C019</x:v>
      </x:c>
      <x:c r="S309" s="9" t="str">
        <x:v>C019</x:v>
      </x:c>
      <x:c r="T309" s="10" t="str">
        <x:v>כאן 11 - תאגיד השידור הישראלי</x:v>
      </x:c>
      <x:c r="U309" s="11" t="str">
        <x:v>https://www.youtube.com/watch?v=Ad1et9Gb7OA</x:v>
      </x:c>
      <x:c r="V309" s="16" t="n">
        <x:v>46308</x:v>
      </x:c>
      <x:c r="W309" s="16" t="n">
        <x:v>44677</x:v>
      </x:c>
      <x:c r="X309" s="10" t="str">
        <x:v>Иврит предполагается по заголовку и источнику</x:v>
      </x:c>
      <x:c r="Y309" s="10" t="str">
        <x:v>Дорожка HE не найдена в метаданных; вшитые титры не проверены</x:v>
      </x:c>
      <x:c r="Z309" s="10" t="str">
        <x:v>Разрешено по метаданным</x:v>
      </x:c>
      <x:c r="AA309" s="10" t="str">
        <x:v>Метаданные видео; воспроизведение и содержание не проверены</x:v>
      </x:c>
      <x:c r="AB309" s="13" t="n">
        <x:f>IF(AND(ISNUMBER(H309),ISNUMBER(W309)),H309/MAX(1,'Обзор'!$B$4-W309),"")</x:f>
        <x:v>194.6143470263642</x:v>
      </x:c>
      <x:c r="AC309" s="17" t="str">
        <x:v>Не решено</x:v>
      </x:c>
      <x:c r="AD309" s="17" t="str">
        <x:v>Не проверено</x:v>
      </x:c>
      <x:c r="AE309" s="17" t="str">
        <x:v>Не проверено</x:v>
      </x:c>
      <x:c r="AF309" s="17" t="str">
        <x:v>Не проверено</x:v>
      </x:c>
      <x:c r="AG309" s="17" t="str">
        <x:v>Не решено</x:v>
      </x:c>
      <x:c r="AH309" s="17" t="str">
        <x:v>Не проверено</x:v>
      </x:c>
      <x:c r="AI309" s="10" t="str">
        <x:f>IF(AC309="Отклонить","Отклонено",IF(AND(AC309="Взять",COUNTIFS(AD309:AH309,"Да")=5),"Готово","Нужна редактура"))</x:f>
        <x:v>Нужна редактура</x:v>
      </x:c>
      <x:c r="AJ309" s="17" t="str"/>
      <x:c r="AK309" s="9" t="str">
        <x:v>https://www.youtube.com/playlist?list=PLLttfoK87AdVmjuyvOtQsy1VU_X_lQwgl</x:v>
      </x:c>
      <x:c r="AL309" s="9" t="n">
        <x:v>12</x:v>
      </x:c>
      <x:c r="AM309" s="9"/>
      <x:c r="AN309" s="9" t="n">
        <x:v>0</x:v>
      </x:c>
    </x:row>
    <x:row r="310" ht="60" customHeight="1">
      <x:c r="A310" s="9" t="str">
        <x:v>jXelGhzKeRc</x:v>
      </x:c>
      <x:c r="B310" s="10" t="str">
        <x:v>סליחה על השאלה עונה 2 | אוטיסטים</x:v>
      </x:c>
      <x:c r="C310" s="10" t="str">
        <x:v>Разнообразие общества</x:v>
      </x:c>
      <x:c r="D310" s="9" t="str">
        <x:v>Общество</x:v>
      </x:c>
      <x:c r="E310" s="10" t="str">
        <x:v>Общество; человеческие истории; взрослые</x:v>
      </x:c>
      <x:c r="F310" s="10" t="str">
        <x:v>B1–B2 (гипотеза)</x:v>
      </x:c>
      <x:c r="G310" s="12" t="n">
        <x:v>26.3</x:v>
      </x:c>
      <x:c r="H310" s="14" t="n">
        <x:v>936634</x:v>
      </x:c>
      <x:c r="I310" s="15" t="str">
        <x:v>Точный счётчик метаданных видео</x:v>
      </x:c>
      <x:c r="J310" s="14" t="n">
        <x:v>936000</x:v>
      </x:c>
      <x:c r="K310" s="14" t="n">
        <x:v>546000</x:v>
      </x:c>
      <x:c r="L310" s="12" t="n">
        <x:f>IF(COUNT(J310:K310)=2,IF(K310=0,"",J310/K310),"")</x:f>
        <x:v>1.7142857142857142</x:v>
      </x:c>
      <x:c r="M310" s="10" t="str">
        <x:v>Тема: סליחה על השאלה עונה 2 | אוטיסטים. Просмотры в списке выше медианы выборки этого цикла в 1.71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310" s="10" t="str">
        <x:v>Сравнить два ответа; выписать вопросительные конструкции и выражения опыта.</x:v>
      </x:c>
      <x:c r="O310" s="10" t="str">
        <x:v>Некоторые выпуски затрагивают травму, секс, инвалидность; проверить выпуск</x:v>
      </x:c>
      <x:c r="P310" s="10" t="str">
        <x:v>Самостоятельное видео</x:v>
      </x:c>
      <x:c r="Q310" s="9" t="str">
        <x:v>Нет</x:v>
      </x:c>
      <x:c r="R310" s="9" t="str">
        <x:v>C020</x:v>
      </x:c>
      <x:c r="S310" s="9" t="str">
        <x:v>C020</x:v>
      </x:c>
      <x:c r="T310" s="10" t="str">
        <x:v>כאן 11 - תאגיד השידור הישראלי</x:v>
      </x:c>
      <x:c r="U310" s="11" t="str">
        <x:v>https://www.youtube.com/watch?v=jXelGhzKeRc</x:v>
      </x:c>
      <x:c r="V310" s="16" t="n">
        <x:v>46308</x:v>
      </x:c>
      <x:c r="W310" s="16" t="n">
        <x:v>43678</x:v>
      </x:c>
      <x:c r="X310" s="10" t="str">
        <x:v>Иврит предполагается по заголовку и источнику</x:v>
      </x:c>
      <x:c r="Y310" s="10" t="str">
        <x:v>Дорожка HE не найдена в метаданных; вшитые титры не проверены</x:v>
      </x:c>
      <x:c r="Z310" s="10" t="str">
        <x:v>Разрешено по метаданным</x:v>
      </x:c>
      <x:c r="AA310" s="10" t="str">
        <x:v>Метаданные видео; воспроизведение и содержание не проверены</x:v>
      </x:c>
      <x:c r="AB310" s="13" t="n">
        <x:f>IF(AND(ISNUMBER(H310),ISNUMBER(W310)),H310/MAX(1,'Обзор'!$B$4-W310),"")</x:f>
        <x:v>356.1346007604563</x:v>
      </x:c>
      <x:c r="AC310" s="17" t="str">
        <x:v>Не решено</x:v>
      </x:c>
      <x:c r="AD310" s="17" t="str">
        <x:v>Не проверено</x:v>
      </x:c>
      <x:c r="AE310" s="17" t="str">
        <x:v>Не проверено</x:v>
      </x:c>
      <x:c r="AF310" s="17" t="str">
        <x:v>Не проверено</x:v>
      </x:c>
      <x:c r="AG310" s="17" t="str">
        <x:v>Не решено</x:v>
      </x:c>
      <x:c r="AH310" s="17" t="str">
        <x:v>Не проверено</x:v>
      </x:c>
      <x:c r="AI310" s="10" t="str">
        <x:f>IF(AC310="Отклонить","Отклонено",IF(AND(AC310="Взять",COUNTIFS(AD310:AH310,"Да")=5),"Готово","Нужна редактура"))</x:f>
        <x:v>Нужна редактура</x:v>
      </x:c>
      <x:c r="AJ310" s="17" t="str"/>
      <x:c r="AK310" s="9" t="str">
        <x:v>https://www.youtube.com/playlist?list=PLLttfoK87AdUTREyo3N2LsrozO_M6Kqen</x:v>
      </x:c>
      <x:c r="AL310" s="9" t="n">
        <x:v>1</x:v>
      </x:c>
      <x:c r="AM310" s="9"/>
      <x:c r="AN310" s="9" t="n">
        <x:v>0</x:v>
      </x:c>
    </x:row>
    <x:row r="311" ht="60" customHeight="1">
      <x:c r="A311" s="9" t="str">
        <x:v>qQOQ3JXbZuM</x:v>
      </x:c>
      <x:c r="B311" s="10" t="str">
        <x:v>סליחה על השאלה עונה 2 | אחיות ואחים (צוות רפואי)</x:v>
      </x:c>
      <x:c r="C311" s="10" t="str">
        <x:v>Разнообразие общества</x:v>
      </x:c>
      <x:c r="D311" s="9" t="str">
        <x:v>Общество</x:v>
      </x:c>
      <x:c r="E311" s="10" t="str">
        <x:v>Общество; человеческие истории; взрослые</x:v>
      </x:c>
      <x:c r="F311" s="10" t="str">
        <x:v>B1–B2 (гипотеза)</x:v>
      </x:c>
      <x:c r="G311" s="12" t="n">
        <x:v>27.4</x:v>
      </x:c>
      <x:c r="H311" s="14" t="n">
        <x:v>395255</x:v>
      </x:c>
      <x:c r="I311" s="15" t="str">
        <x:v>Точный счётчик метаданных видео</x:v>
      </x:c>
      <x:c r="J311" s="14" t="n">
        <x:v>395000</x:v>
      </x:c>
      <x:c r="K311" s="14" t="n">
        <x:v>546000</x:v>
      </x:c>
      <x:c r="L311" s="12" t="n">
        <x:f>IF(COUNT(J311:K311)=2,IF(K311=0,"",J311/K311),"")</x:f>
        <x:v>0.7234432234432234</x:v>
      </x:c>
      <x:c r="M311" s="10" t="str">
        <x:v>Тема: סליחה על השאלה עונה 2 | אחיות ואחים (צוות רפואי). Одинаковый вопрос разным людям позволяет сравнить ответы и акценты. Формат вводит социальные группы через их собственную речь.</x:v>
      </x:c>
      <x:c r="N311" s="10" t="str">
        <x:v>Сравнить два ответа; выписать вопросительные конструкции и выражения опыта.</x:v>
      </x:c>
      <x:c r="O311" s="10" t="str">
        <x:v>Некоторые выпуски затрагивают травму, секс, инвалидность; проверить выпуск</x:v>
      </x:c>
      <x:c r="P311" s="10" t="str">
        <x:v>Самостоятельное видео</x:v>
      </x:c>
      <x:c r="Q311" s="9" t="str">
        <x:v>Нет</x:v>
      </x:c>
      <x:c r="R311" s="9" t="str">
        <x:v>C020</x:v>
      </x:c>
      <x:c r="S311" s="9" t="str">
        <x:v>C020</x:v>
      </x:c>
      <x:c r="T311" s="10" t="str">
        <x:v>כאן 11 - תאגיד השידור הישראלי</x:v>
      </x:c>
      <x:c r="U311" s="11" t="str">
        <x:v>https://www.youtube.com/watch?v=qQOQ3JXbZuM</x:v>
      </x:c>
      <x:c r="V311" s="16" t="n">
        <x:v>46308</x:v>
      </x:c>
      <x:c r="W311" s="16" t="n">
        <x:v>43741</x:v>
      </x:c>
      <x:c r="X311" s="10" t="str">
        <x:v>Иврит предполагается по заголовку и источнику</x:v>
      </x:c>
      <x:c r="Y311" s="10" t="str">
        <x:v>Дорожка HE не найдена в метаданных; вшитые титры не проверены</x:v>
      </x:c>
      <x:c r="Z311" s="10" t="str">
        <x:v>Разрешено по метаданным</x:v>
      </x:c>
      <x:c r="AA311" s="10" t="str">
        <x:v>Метаданные видео; воспроизведение и содержание не проверены</x:v>
      </x:c>
      <x:c r="AB311" s="13" t="n">
        <x:f>IF(AND(ISNUMBER(H311),ISNUMBER(W311)),H311/MAX(1,'Обзор'!$B$4-W311),"")</x:f>
        <x:v>153.97545773276198</x:v>
      </x:c>
      <x:c r="AC311" s="17" t="str">
        <x:v>Не решено</x:v>
      </x:c>
      <x:c r="AD311" s="17" t="str">
        <x:v>Не проверено</x:v>
      </x:c>
      <x:c r="AE311" s="17" t="str">
        <x:v>Не проверено</x:v>
      </x:c>
      <x:c r="AF311" s="17" t="str">
        <x:v>Не проверено</x:v>
      </x:c>
      <x:c r="AG311" s="17" t="str">
        <x:v>Не решено</x:v>
      </x:c>
      <x:c r="AH311" s="17" t="str">
        <x:v>Не проверено</x:v>
      </x:c>
      <x:c r="AI311" s="10" t="str">
        <x:f>IF(AC311="Отклонить","Отклонено",IF(AND(AC311="Взять",COUNTIFS(AD311:AH311,"Да")=5),"Готово","Нужна редактура"))</x:f>
        <x:v>Нужна редактура</x:v>
      </x:c>
      <x:c r="AJ311" s="17" t="str"/>
      <x:c r="AK311" s="9" t="str">
        <x:v>https://www.youtube.com/playlist?list=PLLttfoK87AdUTREyo3N2LsrozO_M6Kqen</x:v>
      </x:c>
      <x:c r="AL311" s="9" t="n">
        <x:v>2</x:v>
      </x:c>
      <x:c r="AM311" s="9"/>
      <x:c r="AN311" s="9" t="n">
        <x:v>0</x:v>
      </x:c>
    </x:row>
    <x:row r="312" ht="60" customHeight="1">
      <x:c r="A312" s="9" t="str">
        <x:v>gOXtWsmrg8A</x:v>
      </x:c>
      <x:c r="B312" s="10" t="str">
        <x:v>סליחה על השאלה עונה 2 | אנשים שמתניידים בכיסאות גלגלים</x:v>
      </x:c>
      <x:c r="C312" s="10" t="str">
        <x:v>Разнообразие общества</x:v>
      </x:c>
      <x:c r="D312" s="9" t="str">
        <x:v>Общество</x:v>
      </x:c>
      <x:c r="E312" s="10" t="str">
        <x:v>Общество; человеческие истории; взрослые</x:v>
      </x:c>
      <x:c r="F312" s="10" t="str">
        <x:v>B1–B2 (гипотеза)</x:v>
      </x:c>
      <x:c r="G312" s="12" t="n">
        <x:v>25</x:v>
      </x:c>
      <x:c r="H312" s="14" t="n">
        <x:v>191000</x:v>
      </x:c>
      <x:c r="I312" s="15" t="str">
        <x:v>Округлённый счётчик в списке YouTube</x:v>
      </x:c>
      <x:c r="J312" s="14" t="n">
        <x:v>191000</x:v>
      </x:c>
      <x:c r="K312" s="14" t="n">
        <x:v>546000</x:v>
      </x:c>
      <x:c r="L312" s="12" t="n">
        <x:f>IF(COUNT(J312:K312)=2,IF(K312=0,"",J312/K312),"")</x:f>
        <x:v>0.3498168498168498</x:v>
      </x:c>
      <x:c r="M312" s="10" t="str">
        <x:v>Тема: סליחה על השאלה עונה 2 | אנשים שמתניידים בכיסאות גלגלים. Просмотры ниже медианы цикла; выбирать за нишевую ценность, а не за массовый охват. Одинаковый вопрос разным людям позволяет сравнить ответы и акценты. Формат вводит социальные группы через их собственную речь.</x:v>
      </x:c>
      <x:c r="N312" s="10" t="str">
        <x:v>Сравнить два ответа; выписать вопросительные конструкции и выражения опыта.</x:v>
      </x:c>
      <x:c r="O312" s="10" t="str">
        <x:v>Некоторые выпуски затрагивают травму, секс, инвалидность; проверить выпуск</x:v>
      </x:c>
      <x:c r="P312" s="10" t="str">
        <x:v>Самостоятельное видео</x:v>
      </x:c>
      <x:c r="Q312" s="9" t="str">
        <x:v>Нет</x:v>
      </x:c>
      <x:c r="R312" s="9" t="str">
        <x:v>C020</x:v>
      </x:c>
      <x:c r="S312" s="9" t="str">
        <x:v>C020</x:v>
      </x:c>
      <x:c r="T312" s="10" t="str">
        <x:v>כאן 11 - תאגיד השידור הישראלי</x:v>
      </x:c>
      <x:c r="U312" s="11" t="str">
        <x:v>https://www.youtube.com/watch?v=gOXtWsmrg8A</x:v>
      </x:c>
      <x:c r="V312" s="16" t="n">
        <x:v>46308</x:v>
      </x:c>
      <x:c r="W312" s="16"/>
      <x:c r="X312" s="10" t="str">
        <x:v>Иврит предполагается по заголовку и источнику</x:v>
      </x:c>
      <x:c r="Y312" s="10" t="str">
        <x:v>Не проверено</x:v>
      </x:c>
      <x:c r="Z312" s="10" t="str">
        <x:v>Не проверено</x:v>
      </x:c>
      <x:c r="AA312" s="10" t="str">
        <x:v>Метаданные списка; видео не просмотрено</x:v>
      </x:c>
      <x:c r="AB312" s="13" t="str">
        <x:f>IF(AND(ISNUMBER(H312),ISNUMBER(W312)),H312/MAX(1,'Обзор'!$B$4-W312),"")</x:f>
      </x:c>
      <x:c r="AC312" s="17" t="str">
        <x:v>Не решено</x:v>
      </x:c>
      <x:c r="AD312" s="17" t="str">
        <x:v>Не проверено</x:v>
      </x:c>
      <x:c r="AE312" s="17" t="str">
        <x:v>Не проверено</x:v>
      </x:c>
      <x:c r="AF312" s="17" t="str">
        <x:v>Не проверено</x:v>
      </x:c>
      <x:c r="AG312" s="17" t="str">
        <x:v>Не решено</x:v>
      </x:c>
      <x:c r="AH312" s="17" t="str">
        <x:v>Не проверено</x:v>
      </x:c>
      <x:c r="AI312" s="10" t="str">
        <x:f>IF(AC312="Отклонить","Отклонено",IF(AND(AC312="Взять",COUNTIFS(AD312:AH312,"Да")=5),"Готово","Нужна редактура"))</x:f>
        <x:v>Нужна редактура</x:v>
      </x:c>
      <x:c r="AJ312" s="17" t="str"/>
      <x:c r="AK312" s="9" t="str">
        <x:v>https://www.youtube.com/playlist?list=PLLttfoK87AdUTREyo3N2LsrozO_M6Kqen</x:v>
      </x:c>
      <x:c r="AL312" s="9" t="n">
        <x:v>3</x:v>
      </x:c>
      <x:c r="AM312" s="9"/>
      <x:c r="AN312" s="9"/>
    </x:row>
    <x:row r="313" ht="60" customHeight="1">
      <x:c r="A313" s="9" t="str">
        <x:v>p4tiyxrKvl0</x:v>
      </x:c>
      <x:c r="B313" s="10" t="str">
        <x:v>סליחה על השאלה עונה 2 | אנשים שהותקפו מינית</x:v>
      </x:c>
      <x:c r="C313" s="10" t="str">
        <x:v>Разнообразие общества</x:v>
      </x:c>
      <x:c r="D313" s="9" t="str">
        <x:v>Общество</x:v>
      </x:c>
      <x:c r="E313" s="10" t="str">
        <x:v>Общество; человеческие истории; взрослые</x:v>
      </x:c>
      <x:c r="F313" s="10" t="str">
        <x:v>B1–B2 (гипотеза)</x:v>
      </x:c>
      <x:c r="G313" s="12" t="n">
        <x:v>33.1</x:v>
      </x:c>
      <x:c r="H313" s="14" t="n">
        <x:v>945205</x:v>
      </x:c>
      <x:c r="I313" s="15" t="str">
        <x:v>Точный счётчик метаданных видео</x:v>
      </x:c>
      <x:c r="J313" s="14" t="n">
        <x:v>945000</x:v>
      </x:c>
      <x:c r="K313" s="14" t="n">
        <x:v>546000</x:v>
      </x:c>
      <x:c r="L313" s="12" t="n">
        <x:f>IF(COUNT(J313:K313)=2,IF(K313=0,"",J313/K313),"")</x:f>
        <x:v>1.7307692307692308</x:v>
      </x:c>
      <x:c r="M313" s="10" t="str">
        <x:v>Тема: סליחה על השאלה עונה 2 | אנשים שהותקפו מינית. Просмотры в списке выше медианы выборки этого цикла в 1.73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313" s="10" t="str">
        <x:v>Сравнить два ответа; выписать вопросительные конструкции и выражения опыта.</x:v>
      </x:c>
      <x:c r="O313" s="10" t="str">
        <x:v>Некоторые выпуски затрагивают травму, секс, инвалидность; проверить выпуск</x:v>
      </x:c>
      <x:c r="P313" s="10" t="str">
        <x:v>Самостоятельное видео</x:v>
      </x:c>
      <x:c r="Q313" s="9" t="str">
        <x:v>Нет</x:v>
      </x:c>
      <x:c r="R313" s="9" t="str">
        <x:v>C020</x:v>
      </x:c>
      <x:c r="S313" s="9" t="str">
        <x:v>C020</x:v>
      </x:c>
      <x:c r="T313" s="10" t="str">
        <x:v>כאן 11 - תאגיד השידור הישראלי</x:v>
      </x:c>
      <x:c r="U313" s="11" t="str">
        <x:v>https://www.youtube.com/watch?v=p4tiyxrKvl0</x:v>
      </x:c>
      <x:c r="V313" s="16" t="n">
        <x:v>46308</x:v>
      </x:c>
      <x:c r="W313" s="16" t="n">
        <x:v>43685</x:v>
      </x:c>
      <x:c r="X313" s="10" t="str">
        <x:v>Иврит предполагается по заголовку и источнику</x:v>
      </x:c>
      <x:c r="Y313" s="10" t="str">
        <x:v>Дорожка HE не найдена в метаданных; вшитые титры не проверены</x:v>
      </x:c>
      <x:c r="Z313" s="10" t="str">
        <x:v>Разрешено по метаданным</x:v>
      </x:c>
      <x:c r="AA313" s="10" t="str">
        <x:v>Метаданные видео; воспроизведение и содержание не проверены</x:v>
      </x:c>
      <x:c r="AB313" s="13" t="n">
        <x:f>IF(AND(ISNUMBER(H313),ISNUMBER(W313)),H313/MAX(1,'Обзор'!$B$4-W313),"")</x:f>
        <x:v>360.3526496378193</x:v>
      </x:c>
      <x:c r="AC313" s="17" t="str">
        <x:v>Не решено</x:v>
      </x:c>
      <x:c r="AD313" s="17" t="str">
        <x:v>Не проверено</x:v>
      </x:c>
      <x:c r="AE313" s="17" t="str">
        <x:v>Не проверено</x:v>
      </x:c>
      <x:c r="AF313" s="17" t="str">
        <x:v>Не проверено</x:v>
      </x:c>
      <x:c r="AG313" s="17" t="str">
        <x:v>Не решено</x:v>
      </x:c>
      <x:c r="AH313" s="17" t="str">
        <x:v>Не проверено</x:v>
      </x:c>
      <x:c r="AI313" s="10" t="str">
        <x:f>IF(AC313="Отклонить","Отклонено",IF(AND(AC313="Взять",COUNTIFS(AD313:AH313,"Да")=5),"Готово","Нужна редактура"))</x:f>
        <x:v>Нужна редактура</x:v>
      </x:c>
      <x:c r="AJ313" s="17" t="str"/>
      <x:c r="AK313" s="9" t="str">
        <x:v>https://www.youtube.com/playlist?list=PLLttfoK87AdUTREyo3N2LsrozO_M6Kqen</x:v>
      </x:c>
      <x:c r="AL313" s="9" t="n">
        <x:v>4</x:v>
      </x:c>
      <x:c r="AM313" s="9"/>
      <x:c r="AN313" s="9" t="n">
        <x:v>0</x:v>
      </x:c>
    </x:row>
    <x:row r="314" ht="60" customHeight="1">
      <x:c r="A314" s="9" t="str">
        <x:v>n933mbZqrJ4</x:v>
      </x:c>
      <x:c r="B314" s="10" t="str">
        <x:v>סליחה על השאלה עונה 2 | דור שני ושלישי לשואה</x:v>
      </x:c>
      <x:c r="C314" s="10" t="str">
        <x:v>Разнообразие общества</x:v>
      </x:c>
      <x:c r="D314" s="9" t="str">
        <x:v>Общество</x:v>
      </x:c>
      <x:c r="E314" s="10" t="str">
        <x:v>Общество; человеческие истории; взрослые</x:v>
      </x:c>
      <x:c r="F314" s="10" t="str">
        <x:v>B1–B2 (гипотеза)</x:v>
      </x:c>
      <x:c r="G314" s="12" t="n">
        <x:v>25.2</x:v>
      </x:c>
      <x:c r="H314" s="14" t="n">
        <x:v>363596</x:v>
      </x:c>
      <x:c r="I314" s="15" t="str">
        <x:v>Точный счётчик метаданных видео</x:v>
      </x:c>
      <x:c r="J314" s="14" t="n">
        <x:v>363000</x:v>
      </x:c>
      <x:c r="K314" s="14" t="n">
        <x:v>546000</x:v>
      </x:c>
      <x:c r="L314" s="12" t="n">
        <x:f>IF(COUNT(J314:K314)=2,IF(K314=0,"",J314/K314),"")</x:f>
        <x:v>0.6648351648351648</x:v>
      </x:c>
      <x:c r="M314" s="10" t="str">
        <x:v>Тема: סליחה על השאלה עונה 2 | דור שני ושלישי לשואה. Одинаковый вопрос разным людям позволяет сравнить ответы и акценты. Формат вводит социальные группы через их собственную речь.</x:v>
      </x:c>
      <x:c r="N314" s="10" t="str">
        <x:v>Сравнить два ответа; выписать вопросительные конструкции и выражения опыта.</x:v>
      </x:c>
      <x:c r="O314" s="10" t="str">
        <x:v>В заголовке есть чувствительная тема: предварительный просмотр и добровольный выбор. Некоторые выпуски затрагивают травму, секс, инвалидность; проверить выпуск</x:v>
      </x:c>
      <x:c r="P314" s="10" t="str">
        <x:v>Самостоятельное видео</x:v>
      </x:c>
      <x:c r="Q314" s="9" t="str">
        <x:v>Нет</x:v>
      </x:c>
      <x:c r="R314" s="9" t="str">
        <x:v>C020</x:v>
      </x:c>
      <x:c r="S314" s="9" t="str">
        <x:v>C020</x:v>
      </x:c>
      <x:c r="T314" s="10" t="str">
        <x:v>כאן 11 - תאגיד השידור הישראלי</x:v>
      </x:c>
      <x:c r="U314" s="11" t="str">
        <x:v>https://www.youtube.com/watch?v=n933mbZqrJ4</x:v>
      </x:c>
      <x:c r="V314" s="16" t="n">
        <x:v>46308</x:v>
      </x:c>
      <x:c r="W314" s="16" t="n">
        <x:v>43587</x:v>
      </x:c>
      <x:c r="X314" s="10" t="str">
        <x:v>Иврит предполагается по заголовку и источнику</x:v>
      </x:c>
      <x:c r="Y314" s="10" t="str">
        <x:v>Дорожка HE не найдена в метаданных; вшитые титры не проверены</x:v>
      </x:c>
      <x:c r="Z314" s="10" t="str">
        <x:v>Разрешено по метаданным</x:v>
      </x:c>
      <x:c r="AA314" s="10" t="str">
        <x:v>Метаданные видео; воспроизведение и содержание не проверены</x:v>
      </x:c>
      <x:c r="AB314" s="13" t="n">
        <x:f>IF(AND(ISNUMBER(H314),ISNUMBER(W314)),H314/MAX(1,'Обзор'!$B$4-W314),"")</x:f>
        <x:v>133.62587284086732</x:v>
      </x:c>
      <x:c r="AC314" s="17" t="str">
        <x:v>Не решено</x:v>
      </x:c>
      <x:c r="AD314" s="17" t="str">
        <x:v>Не проверено</x:v>
      </x:c>
      <x:c r="AE314" s="17" t="str">
        <x:v>Не проверено</x:v>
      </x:c>
      <x:c r="AF314" s="17" t="str">
        <x:v>Не проверено</x:v>
      </x:c>
      <x:c r="AG314" s="17" t="str">
        <x:v>Не решено</x:v>
      </x:c>
      <x:c r="AH314" s="17" t="str">
        <x:v>Не проверено</x:v>
      </x:c>
      <x:c r="AI314" s="10" t="str">
        <x:f>IF(AC314="Отклонить","Отклонено",IF(AND(AC314="Взять",COUNTIFS(AD314:AH314,"Да")=5),"Готово","Нужна редактура"))</x:f>
        <x:v>Нужна редактура</x:v>
      </x:c>
      <x:c r="AJ314" s="17" t="str"/>
      <x:c r="AK314" s="9" t="str">
        <x:v>https://www.youtube.com/playlist?list=PLLttfoK87AdUTREyo3N2LsrozO_M6Kqen</x:v>
      </x:c>
      <x:c r="AL314" s="9" t="n">
        <x:v>5</x:v>
      </x:c>
      <x:c r="AM314" s="9"/>
      <x:c r="AN314" s="9" t="n">
        <x:v>0</x:v>
      </x:c>
    </x:row>
    <x:row r="315" ht="60" customHeight="1">
      <x:c r="A315" s="9" t="str">
        <x:v>VJby_6NhSUM</x:v>
      </x:c>
      <x:c r="B315" s="10" t="str">
        <x:v>סליחה על השאלה עונה 2 | הורים לילדים מיוחדים</x:v>
      </x:c>
      <x:c r="C315" s="10" t="str">
        <x:v>Разнообразие общества</x:v>
      </x:c>
      <x:c r="D315" s="9" t="str">
        <x:v>Общество</x:v>
      </x:c>
      <x:c r="E315" s="10" t="str">
        <x:v>Общество; человеческие истории; взрослые</x:v>
      </x:c>
      <x:c r="F315" s="10" t="str">
        <x:v>B1–B2 (гипотеза)</x:v>
      </x:c>
      <x:c r="G315" s="12" t="n">
        <x:v>25.5</x:v>
      </x:c>
      <x:c r="H315" s="14" t="n">
        <x:v>417981</x:v>
      </x:c>
      <x:c r="I315" s="15" t="str">
        <x:v>Точный счётчик метаданных видео</x:v>
      </x:c>
      <x:c r="J315" s="14" t="n">
        <x:v>417000</x:v>
      </x:c>
      <x:c r="K315" s="14" t="n">
        <x:v>546000</x:v>
      </x:c>
      <x:c r="L315" s="12" t="n">
        <x:f>IF(COUNT(J315:K315)=2,IF(K315=0,"",J315/K315),"")</x:f>
        <x:v>0.7637362637362637</x:v>
      </x:c>
      <x:c r="M315" s="10" t="str">
        <x:v>Тема: סליחה על השאלה עונה 2 | הורים לילדים מיוחדים. Одинаковый вопрос разным людям позволяет сравнить ответы и акценты. Формат вводит социальные группы через их собственную речь.</x:v>
      </x:c>
      <x:c r="N315" s="10" t="str">
        <x:v>Сравнить два ответа; выписать вопросительные конструкции и выражения опыта.</x:v>
      </x:c>
      <x:c r="O315" s="10" t="str">
        <x:v>Некоторые выпуски затрагивают травму, секс, инвалидность; проверить выпуск</x:v>
      </x:c>
      <x:c r="P315" s="10" t="str">
        <x:v>Самостоятельное видео</x:v>
      </x:c>
      <x:c r="Q315" s="9" t="str">
        <x:v>Нет</x:v>
      </x:c>
      <x:c r="R315" s="9" t="str">
        <x:v>C020</x:v>
      </x:c>
      <x:c r="S315" s="9" t="str">
        <x:v>C020</x:v>
      </x:c>
      <x:c r="T315" s="10" t="str">
        <x:v>כאן 11 - תאגיד השידור הישראלי</x:v>
      </x:c>
      <x:c r="U315" s="11" t="str">
        <x:v>https://www.youtube.com/watch?v=VJby_6NhSUM</x:v>
      </x:c>
      <x:c r="V315" s="16" t="n">
        <x:v>46308</x:v>
      </x:c>
      <x:c r="W315" s="16" t="n">
        <x:v>43762</x:v>
      </x:c>
      <x:c r="X315" s="10" t="str">
        <x:v>Иврит предполагается по заголовку и источнику</x:v>
      </x:c>
      <x:c r="Y315" s="10" t="str">
        <x:v>Автоматическая дорожка HE по метаданным</x:v>
      </x:c>
      <x:c r="Z315" s="10" t="str">
        <x:v>Разрешено по метаданным</x:v>
      </x:c>
      <x:c r="AA315" s="10" t="str">
        <x:v>Метаданные видео; воспроизведение и содержание не проверены</x:v>
      </x:c>
      <x:c r="AB315" s="13" t="n">
        <x:f>IF(AND(ISNUMBER(H315),ISNUMBER(W315)),H315/MAX(1,'Обзор'!$B$4-W315),"")</x:f>
        <x:v>164.17164179104478</x:v>
      </x:c>
      <x:c r="AC315" s="17" t="str">
        <x:v>Не решено</x:v>
      </x:c>
      <x:c r="AD315" s="17" t="str">
        <x:v>Не проверено</x:v>
      </x:c>
      <x:c r="AE315" s="17" t="str">
        <x:v>Не проверено</x:v>
      </x:c>
      <x:c r="AF315" s="17" t="str">
        <x:v>Не проверено</x:v>
      </x:c>
      <x:c r="AG315" s="17" t="str">
        <x:v>Не решено</x:v>
      </x:c>
      <x:c r="AH315" s="17" t="str">
        <x:v>Не проверено</x:v>
      </x:c>
      <x:c r="AI315" s="10" t="str">
        <x:f>IF(AC315="Отклонить","Отклонено",IF(AND(AC315="Взять",COUNTIFS(AD315:AH315,"Да")=5),"Готово","Нужна редактура"))</x:f>
        <x:v>Нужна редактура</x:v>
      </x:c>
      <x:c r="AJ315" s="17" t="str"/>
      <x:c r="AK315" s="9" t="str">
        <x:v>https://www.youtube.com/playlist?list=PLLttfoK87AdUTREyo3N2LsrozO_M6Kqen</x:v>
      </x:c>
      <x:c r="AL315" s="9" t="n">
        <x:v>6</x:v>
      </x:c>
      <x:c r="AM315" s="9"/>
      <x:c r="AN315" s="9" t="n">
        <x:v>0</x:v>
      </x:c>
    </x:row>
    <x:row r="316" ht="60" customHeight="1">
      <x:c r="A316" s="9" t="str">
        <x:v>2d8bGbg3Gq8</x:v>
      </x:c>
      <x:c r="B316" s="10" t="str">
        <x:v>סליחה על השאלה עונה 2 | הפרעות אכילה</x:v>
      </x:c>
      <x:c r="C316" s="10" t="str">
        <x:v>Разнообразие общества</x:v>
      </x:c>
      <x:c r="D316" s="9" t="str">
        <x:v>Общество</x:v>
      </x:c>
      <x:c r="E316" s="10" t="str">
        <x:v>Общество; человеческие истории; взрослые</x:v>
      </x:c>
      <x:c r="F316" s="10" t="str">
        <x:v>B1–B2 (гипотеза)</x:v>
      </x:c>
      <x:c r="G316" s="12" t="n">
        <x:v>25.6</x:v>
      </x:c>
      <x:c r="H316" s="14" t="n">
        <x:v>654859</x:v>
      </x:c>
      <x:c r="I316" s="15" t="str">
        <x:v>Точный счётчик метаданных видео</x:v>
      </x:c>
      <x:c r="J316" s="14" t="n">
        <x:v>654000</x:v>
      </x:c>
      <x:c r="K316" s="14" t="n">
        <x:v>546000</x:v>
      </x:c>
      <x:c r="L316" s="12" t="n">
        <x:f>IF(COUNT(J316:K316)=2,IF(K316=0,"",J316/K316),"")</x:f>
        <x:v>1.1978021978021978</x:v>
      </x:c>
      <x:c r="M316" s="10" t="str">
        <x:v>Тема: סליחה על השאלה עונה 2 | הפרעות אכילה. Одинаковый вопрос разным людям позволяет сравнить ответы и акценты. Формат вводит социальные группы через их собственную речь.</x:v>
      </x:c>
      <x:c r="N316" s="10" t="str">
        <x:v>Сравнить два ответа; выписать вопросительные конструкции и выражения опыта.</x:v>
      </x:c>
      <x:c r="O316" s="10" t="str">
        <x:v>Некоторые выпуски затрагивают травму, секс, инвалидность; проверить выпуск</x:v>
      </x:c>
      <x:c r="P316" s="10" t="str">
        <x:v>Самостоятельное видео</x:v>
      </x:c>
      <x:c r="Q316" s="9" t="str">
        <x:v>Нет</x:v>
      </x:c>
      <x:c r="R316" s="9" t="str">
        <x:v>C020</x:v>
      </x:c>
      <x:c r="S316" s="9" t="str">
        <x:v>C020</x:v>
      </x:c>
      <x:c r="T316" s="10" t="str">
        <x:v>כאן 11 - תאגיד השידור הישראלי</x:v>
      </x:c>
      <x:c r="U316" s="11" t="str">
        <x:v>https://www.youtube.com/watch?v=2d8bGbg3Gq8</x:v>
      </x:c>
      <x:c r="V316" s="16" t="n">
        <x:v>46308</x:v>
      </x:c>
      <x:c r="W316" s="16" t="n">
        <x:v>43706</x:v>
      </x:c>
      <x:c r="X316" s="10" t="str">
        <x:v>Иврит предполагается по заголовку и источнику</x:v>
      </x:c>
      <x:c r="Y316" s="10" t="str">
        <x:v>Дорожка HE не найдена в метаданных; вшитые титры не проверены</x:v>
      </x:c>
      <x:c r="Z316" s="10" t="str">
        <x:v>Разрешено по метаданным</x:v>
      </x:c>
      <x:c r="AA316" s="10" t="str">
        <x:v>Метаданные видео; воспроизведение и содержание не проверены</x:v>
      </x:c>
      <x:c r="AB316" s="13" t="n">
        <x:f>IF(AND(ISNUMBER(H316),ISNUMBER(W316)),H316/MAX(1,'Обзор'!$B$4-W316),"")</x:f>
        <x:v>251.67524980784012</x:v>
      </x:c>
      <x:c r="AC316" s="17" t="str">
        <x:v>Не решено</x:v>
      </x:c>
      <x:c r="AD316" s="17" t="str">
        <x:v>Не проверено</x:v>
      </x:c>
      <x:c r="AE316" s="17" t="str">
        <x:v>Не проверено</x:v>
      </x:c>
      <x:c r="AF316" s="17" t="str">
        <x:v>Не проверено</x:v>
      </x:c>
      <x:c r="AG316" s="17" t="str">
        <x:v>Не решено</x:v>
      </x:c>
      <x:c r="AH316" s="17" t="str">
        <x:v>Не проверено</x:v>
      </x:c>
      <x:c r="AI316" s="10" t="str">
        <x:f>IF(AC316="Отклонить","Отклонено",IF(AND(AC316="Взять",COUNTIFS(AD316:AH316,"Да")=5),"Готово","Нужна редактура"))</x:f>
        <x:v>Нужна редактура</x:v>
      </x:c>
      <x:c r="AJ316" s="17" t="str"/>
      <x:c r="AK316" s="9" t="str">
        <x:v>https://www.youtube.com/playlist?list=PLLttfoK87AdUTREyo3N2LsrozO_M6Kqen</x:v>
      </x:c>
      <x:c r="AL316" s="9" t="n">
        <x:v>7</x:v>
      </x:c>
      <x:c r="AM316" s="9"/>
      <x:c r="AN316" s="9" t="n">
        <x:v>0</x:v>
      </x:c>
    </x:row>
    <x:row r="317" ht="60" customHeight="1">
      <x:c r="A317" s="9" t="str">
        <x:v>9oOh4lNTuqM</x:v>
      </x:c>
      <x:c r="B317" s="10" t="str">
        <x:v>סליחה על השאלה עונה 2 | יוצאי אתיופיה</x:v>
      </x:c>
      <x:c r="C317" s="10" t="str">
        <x:v>Разнообразие общества</x:v>
      </x:c>
      <x:c r="D317" s="9" t="str">
        <x:v>Общество</x:v>
      </x:c>
      <x:c r="E317" s="10" t="str">
        <x:v>Общество; человеческие истории; взрослые</x:v>
      </x:c>
      <x:c r="F317" s="10" t="str">
        <x:v>B1–B2 (гипотеза)</x:v>
      </x:c>
      <x:c r="G317" s="12" t="n">
        <x:v>26.2</x:v>
      </x:c>
      <x:c r="H317" s="14" t="n">
        <x:v>546563</x:v>
      </x:c>
      <x:c r="I317" s="15" t="str">
        <x:v>Точный счётчик метаданных видео</x:v>
      </x:c>
      <x:c r="J317" s="14" t="n">
        <x:v>546000</x:v>
      </x:c>
      <x:c r="K317" s="14" t="n">
        <x:v>546000</x:v>
      </x:c>
      <x:c r="L317" s="12" t="n">
        <x:f>IF(COUNT(J317:K317)=2,IF(K317=0,"",J317/K317),"")</x:f>
        <x:v>1</x:v>
      </x:c>
      <x:c r="M317" s="10" t="str">
        <x:v>Тема: סליחה על השאלה עונה 2 | יוצאי אתיופיה. Одинаковый вопрос разным людям позволяет сравнить ответы и акценты. Формат вводит социальные группы через их собственную речь.</x:v>
      </x:c>
      <x:c r="N317" s="10" t="str">
        <x:v>Сравнить два ответа; выписать вопросительные конструкции и выражения опыта.</x:v>
      </x:c>
      <x:c r="O317" s="10" t="str">
        <x:v>Некоторые выпуски затрагивают травму, секс, инвалидность; проверить выпуск</x:v>
      </x:c>
      <x:c r="P317" s="10" t="str">
        <x:v>Самостоятельное видео</x:v>
      </x:c>
      <x:c r="Q317" s="9" t="str">
        <x:v>Нет</x:v>
      </x:c>
      <x:c r="R317" s="9" t="str">
        <x:v>C020</x:v>
      </x:c>
      <x:c r="S317" s="9" t="str">
        <x:v>C020</x:v>
      </x:c>
      <x:c r="T317" s="10" t="str">
        <x:v>כאן 11 - תאגיד השידור הישראלי</x:v>
      </x:c>
      <x:c r="U317" s="11" t="str">
        <x:v>https://www.youtube.com/watch?v=9oOh4lNTuqM</x:v>
      </x:c>
      <x:c r="V317" s="16" t="n">
        <x:v>46308</x:v>
      </x:c>
      <x:c r="W317" s="16" t="n">
        <x:v>43692</x:v>
      </x:c>
      <x:c r="X317" s="10" t="str">
        <x:v>Иврит предполагается по заголовку и источнику</x:v>
      </x:c>
      <x:c r="Y317" s="10" t="str">
        <x:v>Дорожка HE не найдена в метаданных; вшитые титры не проверены</x:v>
      </x:c>
      <x:c r="Z317" s="10" t="str">
        <x:v>Разрешено по метаданным</x:v>
      </x:c>
      <x:c r="AA317" s="10" t="str">
        <x:v>Метаданные видео; воспроизведение и содержание не проверены</x:v>
      </x:c>
      <x:c r="AB317" s="13" t="n">
        <x:f>IF(AND(ISNUMBER(H317),ISNUMBER(W317)),H317/MAX(1,'Обзор'!$B$4-W317),"")</x:f>
        <x:v>208.93081039755353</x:v>
      </x:c>
      <x:c r="AC317" s="17" t="str">
        <x:v>Не решено</x:v>
      </x:c>
      <x:c r="AD317" s="17" t="str">
        <x:v>Не проверено</x:v>
      </x:c>
      <x:c r="AE317" s="17" t="str">
        <x:v>Не проверено</x:v>
      </x:c>
      <x:c r="AF317" s="17" t="str">
        <x:v>Не проверено</x:v>
      </x:c>
      <x:c r="AG317" s="17" t="str">
        <x:v>Не решено</x:v>
      </x:c>
      <x:c r="AH317" s="17" t="str">
        <x:v>Не проверено</x:v>
      </x:c>
      <x:c r="AI317" s="10" t="str">
        <x:f>IF(AC317="Отклонить","Отклонено",IF(AND(AC317="Взять",COUNTIFS(AD317:AH317,"Да")=5),"Готово","Нужна редактура"))</x:f>
        <x:v>Нужна редактура</x:v>
      </x:c>
      <x:c r="AJ317" s="17" t="str"/>
      <x:c r="AK317" s="9" t="str">
        <x:v>https://www.youtube.com/playlist?list=PLLttfoK87AdUTREyo3N2LsrozO_M6Kqen</x:v>
      </x:c>
      <x:c r="AL317" s="9" t="n">
        <x:v>8</x:v>
      </x:c>
      <x:c r="AM317" s="9"/>
      <x:c r="AN317" s="9" t="n">
        <x:v>0</x:v>
      </x:c>
    </x:row>
    <x:row r="318" ht="60" customHeight="1">
      <x:c r="A318" s="9" t="str">
        <x:v>yteYdaFNLy0</x:v>
      </x:c>
      <x:c r="B318" s="10" t="str">
        <x:v>סליחה על השאלה עונה 2 | יוצאי כתות</x:v>
      </x:c>
      <x:c r="C318" s="10" t="str">
        <x:v>Разнообразие общества</x:v>
      </x:c>
      <x:c r="D318" s="9" t="str">
        <x:v>Общество</x:v>
      </x:c>
      <x:c r="E318" s="10" t="str">
        <x:v>Общество; человеческие истории; взрослые</x:v>
      </x:c>
      <x:c r="F318" s="10" t="str">
        <x:v>B1–B2 (гипотеза)</x:v>
      </x:c>
      <x:c r="G318" s="12" t="n">
        <x:v>26.3</x:v>
      </x:c>
      <x:c r="H318" s="14" t="n">
        <x:v>810647</x:v>
      </x:c>
      <x:c r="I318" s="15" t="str">
        <x:v>Точный счётчик метаданных видео</x:v>
      </x:c>
      <x:c r="J318" s="14" t="n">
        <x:v>810000</x:v>
      </x:c>
      <x:c r="K318" s="14" t="n">
        <x:v>546000</x:v>
      </x:c>
      <x:c r="L318" s="12" t="n">
        <x:f>IF(COUNT(J318:K318)=2,IF(K318=0,"",J318/K318),"")</x:f>
        <x:v>1.4835164835164836</x:v>
      </x:c>
      <x:c r="M318" s="10" t="str">
        <x:v>Тема: סליחה על השאלה עונה 2 | יוצאי כתות. Одинаковый вопрос разным людям позволяет сравнить ответы и акценты. Формат вводит социальные группы через их собственную речь.</x:v>
      </x:c>
      <x:c r="N318" s="10" t="str">
        <x:v>Сравнить два ответа; выписать вопросительные конструкции и выражения опыта.</x:v>
      </x:c>
      <x:c r="O318" s="10" t="str">
        <x:v>Некоторые выпуски затрагивают травму, секс, инвалидность; проверить выпуск</x:v>
      </x:c>
      <x:c r="P318" s="10" t="str">
        <x:v>Самостоятельное видео</x:v>
      </x:c>
      <x:c r="Q318" s="9" t="str">
        <x:v>Нет</x:v>
      </x:c>
      <x:c r="R318" s="9" t="str">
        <x:v>C020</x:v>
      </x:c>
      <x:c r="S318" s="9" t="str">
        <x:v>C020</x:v>
      </x:c>
      <x:c r="T318" s="10" t="str">
        <x:v>כאן 11 - תאגיד השידור הישראלי</x:v>
      </x:c>
      <x:c r="U318" s="11" t="str">
        <x:v>https://www.youtube.com/watch?v=yteYdaFNLy0</x:v>
      </x:c>
      <x:c r="V318" s="16" t="n">
        <x:v>46308</x:v>
      </x:c>
      <x:c r="W318" s="16" t="n">
        <x:v>43804</x:v>
      </x:c>
      <x:c r="X318" s="10" t="str">
        <x:v>Иврит предполагается по заголовку и источнику</x:v>
      </x:c>
      <x:c r="Y318" s="10" t="str">
        <x:v>Дорожка HE не найдена в метаданных; вшитые титры не проверены</x:v>
      </x:c>
      <x:c r="Z318" s="10" t="str">
        <x:v>Разрешено по метаданным</x:v>
      </x:c>
      <x:c r="AA318" s="10" t="str">
        <x:v>Метаданные видео; воспроизведение и содержание не проверены</x:v>
      </x:c>
      <x:c r="AB318" s="13" t="n">
        <x:f>IF(AND(ISNUMBER(H318),ISNUMBER(W318)),H318/MAX(1,'Обзор'!$B$4-W318),"")</x:f>
        <x:v>323.74081469648564</x:v>
      </x:c>
      <x:c r="AC318" s="17" t="str">
        <x:v>Не решено</x:v>
      </x:c>
      <x:c r="AD318" s="17" t="str">
        <x:v>Не проверено</x:v>
      </x:c>
      <x:c r="AE318" s="17" t="str">
        <x:v>Не проверено</x:v>
      </x:c>
      <x:c r="AF318" s="17" t="str">
        <x:v>Не проверено</x:v>
      </x:c>
      <x:c r="AG318" s="17" t="str">
        <x:v>Не решено</x:v>
      </x:c>
      <x:c r="AH318" s="17" t="str">
        <x:v>Не проверено</x:v>
      </x:c>
      <x:c r="AI318" s="10" t="str">
        <x:f>IF(AC318="Отклонить","Отклонено",IF(AND(AC318="Взять",COUNTIFS(AD318:AH318,"Да")=5),"Готово","Нужна редактура"))</x:f>
        <x:v>Нужна редактура</x:v>
      </x:c>
      <x:c r="AJ318" s="17" t="str"/>
      <x:c r="AK318" s="9" t="str">
        <x:v>https://www.youtube.com/playlist?list=PLLttfoK87AdUTREyo3N2LsrozO_M6Kqen</x:v>
      </x:c>
      <x:c r="AL318" s="9" t="n">
        <x:v>9</x:v>
      </x:c>
      <x:c r="AM318" s="9"/>
      <x:c r="AN318" s="9" t="n">
        <x:v>0</x:v>
      </x:c>
    </x:row>
    <x:row r="319" ht="60" customHeight="1">
      <x:c r="A319" s="9" t="str">
        <x:v>2sCRr6rjinY</x:v>
      </x:c>
      <x:c r="B319" s="10" t="str">
        <x:v>סליחה על השאלה עונה 2 | ילדים להורים גרושים</x:v>
      </x:c>
      <x:c r="C319" s="10" t="str">
        <x:v>Разнообразие общества</x:v>
      </x:c>
      <x:c r="D319" s="9" t="str">
        <x:v>Общество</x:v>
      </x:c>
      <x:c r="E319" s="10" t="str">
        <x:v>Общество; человеческие истории; взрослые</x:v>
      </x:c>
      <x:c r="F319" s="10" t="str">
        <x:v>B1–B2 (гипотеза)</x:v>
      </x:c>
      <x:c r="G319" s="12" t="n">
        <x:v>25.7</x:v>
      </x:c>
      <x:c r="H319" s="14" t="n">
        <x:v>478179</x:v>
      </x:c>
      <x:c r="I319" s="15" t="str">
        <x:v>Точный счётчик метаданных видео</x:v>
      </x:c>
      <x:c r="J319" s="14" t="n">
        <x:v>478000</x:v>
      </x:c>
      <x:c r="K319" s="14" t="n">
        <x:v>546000</x:v>
      </x:c>
      <x:c r="L319" s="12" t="n">
        <x:f>IF(COUNT(J319:K319)=2,IF(K319=0,"",J319/K319),"")</x:f>
        <x:v>0.8754578754578755</x:v>
      </x:c>
      <x:c r="M319" s="10" t="str">
        <x:v>Тема: סליחה על השאלה עונה 2 | ילדים להורים גרושים. Одинаковый вопрос разным людям позволяет сравнить ответы и акценты. Формат вводит социальные группы через их собственную речь.</x:v>
      </x:c>
      <x:c r="N319" s="10" t="str">
        <x:v>Сравнить два ответа; выписать вопросительные конструкции и выражения опыта.</x:v>
      </x:c>
      <x:c r="O319" s="10" t="str">
        <x:v>Некоторые выпуски затрагивают травму, секс, инвалидность; проверить выпуск</x:v>
      </x:c>
      <x:c r="P319" s="10" t="str">
        <x:v>Самостоятельное видео</x:v>
      </x:c>
      <x:c r="Q319" s="9" t="str">
        <x:v>Нет</x:v>
      </x:c>
      <x:c r="R319" s="9" t="str">
        <x:v>C020</x:v>
      </x:c>
      <x:c r="S319" s="9" t="str">
        <x:v>C020</x:v>
      </x:c>
      <x:c r="T319" s="10" t="str">
        <x:v>כאן 11 - תאגיד השידור הישראלי</x:v>
      </x:c>
      <x:c r="U319" s="11" t="str">
        <x:v>https://www.youtube.com/watch?v=2sCRr6rjinY</x:v>
      </x:c>
      <x:c r="V319" s="16" t="n">
        <x:v>46308</x:v>
      </x:c>
      <x:c r="W319" s="16" t="n">
        <x:v>43713</x:v>
      </x:c>
      <x:c r="X319" s="10" t="str">
        <x:v>Иврит предполагается по заголовку и источнику</x:v>
      </x:c>
      <x:c r="Y319" s="10" t="str">
        <x:v>Дорожка HE не найдена в метаданных; вшитые титры не проверены</x:v>
      </x:c>
      <x:c r="Z319" s="10" t="str">
        <x:v>Разрешено по метаданным</x:v>
      </x:c>
      <x:c r="AA319" s="10" t="str">
        <x:v>Метаданные видео; воспроизведение и содержание не проверены</x:v>
      </x:c>
      <x:c r="AB319" s="13" t="n">
        <x:f>IF(AND(ISNUMBER(H319),ISNUMBER(W319)),H319/MAX(1,'Обзор'!$B$4-W319),"")</x:f>
        <x:v>184.26936416184972</x:v>
      </x:c>
      <x:c r="AC319" s="17" t="str">
        <x:v>Не решено</x:v>
      </x:c>
      <x:c r="AD319" s="17" t="str">
        <x:v>Не проверено</x:v>
      </x:c>
      <x:c r="AE319" s="17" t="str">
        <x:v>Не проверено</x:v>
      </x:c>
      <x:c r="AF319" s="17" t="str">
        <x:v>Не проверено</x:v>
      </x:c>
      <x:c r="AG319" s="17" t="str">
        <x:v>Не решено</x:v>
      </x:c>
      <x:c r="AH319" s="17" t="str">
        <x:v>Не проверено</x:v>
      </x:c>
      <x:c r="AI319" s="10" t="str">
        <x:f>IF(AC319="Отклонить","Отклонено",IF(AND(AC319="Взять",COUNTIFS(AD319:AH319,"Да")=5),"Готово","Нужна редактура"))</x:f>
        <x:v>Нужна редактура</x:v>
      </x:c>
      <x:c r="AJ319" s="17" t="str"/>
      <x:c r="AK319" s="9" t="str">
        <x:v>https://www.youtube.com/playlist?list=PLLttfoK87AdUTREyo3N2LsrozO_M6Kqen</x:v>
      </x:c>
      <x:c r="AL319" s="9" t="n">
        <x:v>10</x:v>
      </x:c>
      <x:c r="AM319" s="9"/>
      <x:c r="AN319" s="9" t="n">
        <x:v>0</x:v>
      </x:c>
    </x:row>
    <x:row r="320" ht="60" customHeight="1">
      <x:c r="A320" s="9" t="str">
        <x:v>jhii5tv1OjM</x:v>
      </x:c>
      <x:c r="B320" s="10" t="str">
        <x:v>סליחה על השאלה עונה 2 | לידות שקטות</x:v>
      </x:c>
      <x:c r="C320" s="10" t="str">
        <x:v>Разнообразие общества</x:v>
      </x:c>
      <x:c r="D320" s="9" t="str">
        <x:v>Общество</x:v>
      </x:c>
      <x:c r="E320" s="10" t="str">
        <x:v>Общество; человеческие истории; взрослые</x:v>
      </x:c>
      <x:c r="F320" s="10" t="str">
        <x:v>B1–B2 (гипотеза)</x:v>
      </x:c>
      <x:c r="G320" s="12" t="n">
        <x:v>25.9</x:v>
      </x:c>
      <x:c r="H320" s="14" t="n">
        <x:v>293000</x:v>
      </x:c>
      <x:c r="I320" s="15" t="str">
        <x:v>Округлённый счётчик в списке YouTube</x:v>
      </x:c>
      <x:c r="J320" s="14" t="n">
        <x:v>293000</x:v>
      </x:c>
      <x:c r="K320" s="14" t="n">
        <x:v>546000</x:v>
      </x:c>
      <x:c r="L320" s="12" t="n">
        <x:f>IF(COUNT(J320:K320)=2,IF(K320=0,"",J320/K320),"")</x:f>
        <x:v>0.5366300366300366</x:v>
      </x:c>
      <x:c r="M320" s="10" t="str">
        <x:v>Тема: סליחה על השאלה עונה 2 | לידות שקטות. Одинаковый вопрос разным людям позволяет сравнить ответы и акценты. Формат вводит социальные группы через их собственную речь.</x:v>
      </x:c>
      <x:c r="N320" s="10" t="str">
        <x:v>Сравнить два ответа; выписать вопросительные конструкции и выражения опыта.</x:v>
      </x:c>
      <x:c r="O320" s="10" t="str">
        <x:v>Некоторые выпуски затрагивают травму, секс, инвалидность; проверить выпуск</x:v>
      </x:c>
      <x:c r="P320" s="10" t="str">
        <x:v>Самостоятельное видео</x:v>
      </x:c>
      <x:c r="Q320" s="9" t="str">
        <x:v>Нет</x:v>
      </x:c>
      <x:c r="R320" s="9" t="str">
        <x:v>C020</x:v>
      </x:c>
      <x:c r="S320" s="9" t="str">
        <x:v>C020</x:v>
      </x:c>
      <x:c r="T320" s="10" t="str">
        <x:v>כאן 11 - תאגיד השידור הישראלי</x:v>
      </x:c>
      <x:c r="U320" s="11" t="str">
        <x:v>https://www.youtube.com/watch?v=jhii5tv1OjM</x:v>
      </x:c>
      <x:c r="V320" s="16" t="n">
        <x:v>46308</x:v>
      </x:c>
      <x:c r="W320" s="16"/>
      <x:c r="X320" s="10" t="str">
        <x:v>Иврит предполагается по заголовку и источнику</x:v>
      </x:c>
      <x:c r="Y320" s="10" t="str">
        <x:v>Не проверено</x:v>
      </x:c>
      <x:c r="Z320" s="10" t="str">
        <x:v>Не проверено</x:v>
      </x:c>
      <x:c r="AA320" s="10" t="str">
        <x:v>Метаданные списка; видео не просмотрено</x:v>
      </x:c>
      <x:c r="AB320" s="13" t="str">
        <x:f>IF(AND(ISNUMBER(H320),ISNUMBER(W320)),H320/MAX(1,'Обзор'!$B$4-W320),"")</x:f>
      </x:c>
      <x:c r="AC320" s="17" t="str">
        <x:v>Не решено</x:v>
      </x:c>
      <x:c r="AD320" s="17" t="str">
        <x:v>Не проверено</x:v>
      </x:c>
      <x:c r="AE320" s="17" t="str">
        <x:v>Не проверено</x:v>
      </x:c>
      <x:c r="AF320" s="17" t="str">
        <x:v>Не проверено</x:v>
      </x:c>
      <x:c r="AG320" s="17" t="str">
        <x:v>Не решено</x:v>
      </x:c>
      <x:c r="AH320" s="17" t="str">
        <x:v>Не проверено</x:v>
      </x:c>
      <x:c r="AI320" s="10" t="str">
        <x:f>IF(AC320="Отклонить","Отклонено",IF(AND(AC320="Взять",COUNTIFS(AD320:AH320,"Да")=5),"Готово","Нужна редактура"))</x:f>
        <x:v>Нужна редактура</x:v>
      </x:c>
      <x:c r="AJ320" s="17" t="str"/>
      <x:c r="AK320" s="9" t="str">
        <x:v>https://www.youtube.com/playlist?list=PLLttfoK87AdUTREyo3N2LsrozO_M6Kqen</x:v>
      </x:c>
      <x:c r="AL320" s="9" t="n">
        <x:v>11</x:v>
      </x:c>
      <x:c r="AM320" s="9"/>
      <x:c r="AN320" s="9"/>
    </x:row>
    <x:row r="321" ht="60" customHeight="1">
      <x:c r="A321" s="9" t="str">
        <x:v>8ULPUVtLI98</x:v>
      </x:c>
      <x:c r="B321" s="10" t="str">
        <x:v>סליחה על השאלה עונה 2 | מאומצים</x:v>
      </x:c>
      <x:c r="C321" s="10" t="str">
        <x:v>Разнообразие общества</x:v>
      </x:c>
      <x:c r="D321" s="9" t="str">
        <x:v>Общество</x:v>
      </x:c>
      <x:c r="E321" s="10" t="str">
        <x:v>Общество; человеческие истории; взрослые</x:v>
      </x:c>
      <x:c r="F321" s="10" t="str">
        <x:v>B1–B2 (гипотеза)</x:v>
      </x:c>
      <x:c r="G321" s="12" t="n">
        <x:v>25.8</x:v>
      </x:c>
      <x:c r="H321" s="14" t="n">
        <x:v>658132</x:v>
      </x:c>
      <x:c r="I321" s="15" t="str">
        <x:v>Точный счётчик метаданных видео</x:v>
      </x:c>
      <x:c r="J321" s="14" t="n">
        <x:v>658000</x:v>
      </x:c>
      <x:c r="K321" s="14" t="n">
        <x:v>546000</x:v>
      </x:c>
      <x:c r="L321" s="12" t="n">
        <x:f>IF(COUNT(J321:K321)=2,IF(K321=0,"",J321/K321),"")</x:f>
        <x:v>1.205128205128205</x:v>
      </x:c>
      <x:c r="M321" s="10" t="str">
        <x:v>Тема: סליחה על השאלה עונה 2 | מאומצים. Одинаковый вопрос разным людям позволяет сравнить ответы и акценты. Формат вводит социальные группы через их собственную речь.</x:v>
      </x:c>
      <x:c r="N321" s="10" t="str">
        <x:v>Сравнить два ответа; выписать вопросительные конструкции и выражения опыта.</x:v>
      </x:c>
      <x:c r="O321" s="10" t="str">
        <x:v>Некоторые выпуски затрагивают травму, секс, инвалидность; проверить выпуск</x:v>
      </x:c>
      <x:c r="P321" s="10" t="str">
        <x:v>Самостоятельное видео</x:v>
      </x:c>
      <x:c r="Q321" s="9" t="str">
        <x:v>Нет</x:v>
      </x:c>
      <x:c r="R321" s="9" t="str">
        <x:v>C020</x:v>
      </x:c>
      <x:c r="S321" s="9" t="str">
        <x:v>C020</x:v>
      </x:c>
      <x:c r="T321" s="10" t="str">
        <x:v>כאן 11 - תאגיד השידור הישראלי</x:v>
      </x:c>
      <x:c r="U321" s="11" t="str">
        <x:v>https://www.youtube.com/watch?v=8ULPUVtLI98</x:v>
      </x:c>
      <x:c r="V321" s="16" t="n">
        <x:v>46308</x:v>
      </x:c>
      <x:c r="W321" s="16" t="n">
        <x:v>43755</x:v>
      </x:c>
      <x:c r="X321" s="10" t="str">
        <x:v>Иврит предполагается по заголовку и источнику</x:v>
      </x:c>
      <x:c r="Y321" s="10" t="str">
        <x:v>Дорожка HE не найдена в метаданных; вшитые титры не проверены</x:v>
      </x:c>
      <x:c r="Z321" s="10" t="str">
        <x:v>Разрешено по метаданным</x:v>
      </x:c>
      <x:c r="AA321" s="10" t="str">
        <x:v>Метаданные видео; воспроизведение и содержание не проверены</x:v>
      </x:c>
      <x:c r="AB321" s="13" t="n">
        <x:f>IF(AND(ISNUMBER(H321),ISNUMBER(W321)),H321/MAX(1,'Обзор'!$B$4-W321),"")</x:f>
        <x:v>257.7877007442225</x:v>
      </x:c>
      <x:c r="AC321" s="17" t="str">
        <x:v>Не решено</x:v>
      </x:c>
      <x:c r="AD321" s="17" t="str">
        <x:v>Не проверено</x:v>
      </x:c>
      <x:c r="AE321" s="17" t="str">
        <x:v>Не проверено</x:v>
      </x:c>
      <x:c r="AF321" s="17" t="str">
        <x:v>Не проверено</x:v>
      </x:c>
      <x:c r="AG321" s="17" t="str">
        <x:v>Не решено</x:v>
      </x:c>
      <x:c r="AH321" s="17" t="str">
        <x:v>Не проверено</x:v>
      </x:c>
      <x:c r="AI321" s="10" t="str">
        <x:f>IF(AC321="Отклонить","Отклонено",IF(AND(AC321="Взять",COUNTIFS(AD321:AH321,"Да")=5),"Готово","Нужна редактура"))</x:f>
        <x:v>Нужна редактура</x:v>
      </x:c>
      <x:c r="AJ321" s="17" t="str"/>
      <x:c r="AK321" s="9" t="str">
        <x:v>https://www.youtube.com/playlist?list=PLLttfoK87AdUTREyo3N2LsrozO_M6Kqen</x:v>
      </x:c>
      <x:c r="AL321" s="9" t="n">
        <x:v>12</x:v>
      </x:c>
      <x:c r="AM321" s="9"/>
      <x:c r="AN321" s="9" t="n">
        <x:v>0</x:v>
      </x:c>
    </x:row>
    <x:row r="322" ht="60" customHeight="1">
      <x:c r="A322" s="9" t="str">
        <x:v>kqlr_o-H_LM</x:v>
      </x:c>
      <x:c r="B322" s="10" t="str">
        <x:v>סליחה על השאלה עונה 2 | מתחת לקו העוני</x:v>
      </x:c>
      <x:c r="C322" s="10" t="str">
        <x:v>Разнообразие общества</x:v>
      </x:c>
      <x:c r="D322" s="9" t="str">
        <x:v>Общество</x:v>
      </x:c>
      <x:c r="E322" s="10" t="str">
        <x:v>Общество; человеческие истории; взрослые</x:v>
      </x:c>
      <x:c r="F322" s="10" t="str">
        <x:v>B1–B2 (гипотеза)</x:v>
      </x:c>
      <x:c r="G322" s="12" t="n">
        <x:v>25</x:v>
      </x:c>
      <x:c r="H322" s="14" t="n">
        <x:v>505925</x:v>
      </x:c>
      <x:c r="I322" s="15" t="str">
        <x:v>Точный счётчик метаданных видео</x:v>
      </x:c>
      <x:c r="J322" s="14" t="n">
        <x:v>505000</x:v>
      </x:c>
      <x:c r="K322" s="14" t="n">
        <x:v>546000</x:v>
      </x:c>
      <x:c r="L322" s="12" t="n">
        <x:f>IF(COUNT(J322:K322)=2,IF(K322=0,"",J322/K322),"")</x:f>
        <x:v>0.924908424908425</x:v>
      </x:c>
      <x:c r="M322" s="10" t="str">
        <x:v>Тема: סליחה על השאלה עונה 2 | מתחת לקו העוני. Одинаковый вопрос разным людям позволяет сравнить ответы и акценты. Формат вводит социальные группы через их собственную речь.</x:v>
      </x:c>
      <x:c r="N322" s="10" t="str">
        <x:v>Сравнить два ответа; выписать вопросительные конструкции и выражения опыта.</x:v>
      </x:c>
      <x:c r="O322" s="10" t="str">
        <x:v>Некоторые выпуски затрагивают травму, секс, инвалидность; проверить выпуск</x:v>
      </x:c>
      <x:c r="P322" s="10" t="str">
        <x:v>Самостоятельное видео</x:v>
      </x:c>
      <x:c r="Q322" s="9" t="str">
        <x:v>Нет</x:v>
      </x:c>
      <x:c r="R322" s="9" t="str">
        <x:v>C020</x:v>
      </x:c>
      <x:c r="S322" s="9" t="str">
        <x:v>C020</x:v>
      </x:c>
      <x:c r="T322" s="10" t="str">
        <x:v>כאן 11 - תאגיד השידור הישראלי</x:v>
      </x:c>
      <x:c r="U322" s="11" t="str">
        <x:v>https://www.youtube.com/watch?v=kqlr_o-H_LM</x:v>
      </x:c>
      <x:c r="V322" s="16" t="n">
        <x:v>46308</x:v>
      </x:c>
      <x:c r="W322" s="16" t="n">
        <x:v>43797</x:v>
      </x:c>
      <x:c r="X322" s="10" t="str">
        <x:v>Иврит предполагается по заголовку и источнику</x:v>
      </x:c>
      <x:c r="Y322" s="10" t="str">
        <x:v>Дорожка HE не найдена в метаданных; вшитые титры не проверены</x:v>
      </x:c>
      <x:c r="Z322" s="10" t="str">
        <x:v>Разрешено по метаданным</x:v>
      </x:c>
      <x:c r="AA322" s="10" t="str">
        <x:v>Метаданные видео; воспроизведение и содержание не проверены</x:v>
      </x:c>
      <x:c r="AB322" s="13" t="n">
        <x:f>IF(AND(ISNUMBER(H322),ISNUMBER(W322)),H322/MAX(1,'Обзор'!$B$4-W322),"")</x:f>
        <x:v>201.48347272003187</x:v>
      </x:c>
      <x:c r="AC322" s="17" t="str">
        <x:v>Не решено</x:v>
      </x:c>
      <x:c r="AD322" s="17" t="str">
        <x:v>Не проверено</x:v>
      </x:c>
      <x:c r="AE322" s="17" t="str">
        <x:v>Не проверено</x:v>
      </x:c>
      <x:c r="AF322" s="17" t="str">
        <x:v>Не проверено</x:v>
      </x:c>
      <x:c r="AG322" s="17" t="str">
        <x:v>Не решено</x:v>
      </x:c>
      <x:c r="AH322" s="17" t="str">
        <x:v>Не проверено</x:v>
      </x:c>
      <x:c r="AI322" s="10" t="str">
        <x:f>IF(AC322="Отклонить","Отклонено",IF(AND(AC322="Взять",COUNTIFS(AD322:AH322,"Да")=5),"Готово","Нужна редактура"))</x:f>
        <x:v>Нужна редактура</x:v>
      </x:c>
      <x:c r="AJ322" s="17" t="str"/>
      <x:c r="AK322" s="9" t="str">
        <x:v>https://www.youtube.com/playlist?list=PLLttfoK87AdUTREyo3N2LsrozO_M6Kqen</x:v>
      </x:c>
      <x:c r="AL322" s="9" t="n">
        <x:v>13</x:v>
      </x:c>
      <x:c r="AM322" s="9"/>
      <x:c r="AN322" s="9" t="n">
        <x:v>0</x:v>
      </x:c>
    </x:row>
    <x:row r="323" ht="60" customHeight="1">
      <x:c r="A323" s="9" t="str">
        <x:v>Ex4cI62TuF4</x:v>
      </x:c>
      <x:c r="B323" s="10" t="str">
        <x:v>סליחה על השאלה עונה 2 | פוסט טראומה צבאית</x:v>
      </x:c>
      <x:c r="C323" s="10" t="str">
        <x:v>Разнообразие общества</x:v>
      </x:c>
      <x:c r="D323" s="9" t="str">
        <x:v>Общество</x:v>
      </x:c>
      <x:c r="E323" s="10" t="str">
        <x:v>Общество; человеческие истории; взрослые</x:v>
      </x:c>
      <x:c r="F323" s="10" t="str">
        <x:v>B1–B2 (гипотеза)</x:v>
      </x:c>
      <x:c r="G323" s="12" t="n">
        <x:v>25.8</x:v>
      </x:c>
      <x:c r="H323" s="14" t="n">
        <x:v>794338</x:v>
      </x:c>
      <x:c r="I323" s="15" t="str">
        <x:v>Точный счётчик метаданных видео</x:v>
      </x:c>
      <x:c r="J323" s="14" t="n">
        <x:v>794000</x:v>
      </x:c>
      <x:c r="K323" s="14" t="n">
        <x:v>546000</x:v>
      </x:c>
      <x:c r="L323" s="12" t="n">
        <x:f>IF(COUNT(J323:K323)=2,IF(K323=0,"",J323/K323),"")</x:f>
        <x:v>1.4542124542124542</x:v>
      </x:c>
      <x:c r="M323" s="10" t="str">
        <x:v>Тема: סליחה על השאלה עונה 2 | פוסט טראומה צבאית. Одинаковый вопрос разным людям позволяет сравнить ответы и акценты. Формат вводит социальные группы через их собственную речь.</x:v>
      </x:c>
      <x:c r="N323" s="10" t="str">
        <x:v>Сравнить два ответа; выписать вопросительные конструкции и выражения опыта.</x:v>
      </x:c>
      <x:c r="O323" s="10" t="str">
        <x:v>Некоторые выпуски затрагивают травму, секс, инвалидность; проверить выпуск</x:v>
      </x:c>
      <x:c r="P323" s="10" t="str">
        <x:v>Самостоятельное видео</x:v>
      </x:c>
      <x:c r="Q323" s="9" t="str">
        <x:v>Нет</x:v>
      </x:c>
      <x:c r="R323" s="9" t="str">
        <x:v>C020</x:v>
      </x:c>
      <x:c r="S323" s="9" t="str">
        <x:v>C020</x:v>
      </x:c>
      <x:c r="T323" s="10" t="str">
        <x:v>כאן 11 - תאגיד השידור הישראלי</x:v>
      </x:c>
      <x:c r="U323" s="11" t="str">
        <x:v>https://www.youtube.com/watch?v=Ex4cI62TuF4</x:v>
      </x:c>
      <x:c r="V323" s="16" t="n">
        <x:v>46308</x:v>
      </x:c>
      <x:c r="W323" s="16" t="n">
        <x:v>43727</x:v>
      </x:c>
      <x:c r="X323" s="10" t="str">
        <x:v>Иврит предполагается по заголовку и источнику</x:v>
      </x:c>
      <x:c r="Y323" s="10" t="str">
        <x:v>Дорожка HE не найдена в метаданных; вшитые титры не проверены</x:v>
      </x:c>
      <x:c r="Z323" s="10" t="str">
        <x:v>Разрешено по метаданным</x:v>
      </x:c>
      <x:c r="AA323" s="10" t="str">
        <x:v>Метаданные видео; воспроизведение и содержание не проверены</x:v>
      </x:c>
      <x:c r="AB323" s="13" t="n">
        <x:f>IF(AND(ISNUMBER(H323),ISNUMBER(W323)),H323/MAX(1,'Обзор'!$B$4-W323),"")</x:f>
        <x:v>307.76365749709413</x:v>
      </x:c>
      <x:c r="AC323" s="17" t="str">
        <x:v>Не решено</x:v>
      </x:c>
      <x:c r="AD323" s="17" t="str">
        <x:v>Не проверено</x:v>
      </x:c>
      <x:c r="AE323" s="17" t="str">
        <x:v>Не проверено</x:v>
      </x:c>
      <x:c r="AF323" s="17" t="str">
        <x:v>Не проверено</x:v>
      </x:c>
      <x:c r="AG323" s="17" t="str">
        <x:v>Не решено</x:v>
      </x:c>
      <x:c r="AH323" s="17" t="str">
        <x:v>Не проверено</x:v>
      </x:c>
      <x:c r="AI323" s="10" t="str">
        <x:f>IF(AC323="Отклонить","Отклонено",IF(AND(AC323="Взять",COUNTIFS(AD323:AH323,"Да")=5),"Готово","Нужна редактура"))</x:f>
        <x:v>Нужна редактура</x:v>
      </x:c>
      <x:c r="AJ323" s="17" t="str"/>
      <x:c r="AK323" s="9" t="str">
        <x:v>https://www.youtube.com/playlist?list=PLLttfoK87AdUTREyo3N2LsrozO_M6Kqen</x:v>
      </x:c>
      <x:c r="AL323" s="9" t="n">
        <x:v>14</x:v>
      </x:c>
      <x:c r="AM323" s="9"/>
      <x:c r="AN323" s="9" t="n">
        <x:v>0</x:v>
      </x:c>
    </x:row>
    <x:row r="324" ht="60" customHeight="1">
      <x:c r="A324" s="9" t="str">
        <x:v>DQA8CtrTHEo</x:v>
      </x:c>
      <x:c r="B324" s="10" t="str">
        <x:v>סליחה על השאלה עונה 2 | תאומים זהים</x:v>
      </x:c>
      <x:c r="C324" s="10" t="str">
        <x:v>Разнообразие общества</x:v>
      </x:c>
      <x:c r="D324" s="9" t="str">
        <x:v>Общество</x:v>
      </x:c>
      <x:c r="E324" s="10" t="str">
        <x:v>Общество; человеческие истории; взрослые</x:v>
      </x:c>
      <x:c r="F324" s="10" t="str">
        <x:v>B1–B2 (гипотеза)</x:v>
      </x:c>
      <x:c r="G324" s="12" t="n">
        <x:v>26.2</x:v>
      </x:c>
      <x:c r="H324" s="14" t="n">
        <x:v>710409</x:v>
      </x:c>
      <x:c r="I324" s="15" t="str">
        <x:v>Точный счётчик метаданных видео</x:v>
      </x:c>
      <x:c r="J324" s="14" t="n">
        <x:v>710000</x:v>
      </x:c>
      <x:c r="K324" s="14" t="n">
        <x:v>546000</x:v>
      </x:c>
      <x:c r="L324" s="12" t="n">
        <x:f>IF(COUNT(J324:K324)=2,IF(K324=0,"",J324/K324),"")</x:f>
        <x:v>1.3003663003663004</x:v>
      </x:c>
      <x:c r="M324" s="10" t="str">
        <x:v>Тема: סליחה על השאלה עונה 2 | תאומים זהים. Одинаковый вопрос разным людям позволяет сравнить ответы и акценты. Формат вводит социальные группы через их собственную речь.</x:v>
      </x:c>
      <x:c r="N324" s="10" t="str">
        <x:v>Сравнить два ответа; выписать вопросительные конструкции и выражения опыта.</x:v>
      </x:c>
      <x:c r="O324" s="10" t="str">
        <x:v>Некоторые выпуски затрагивают травму, секс, инвалидность; проверить выпуск</x:v>
      </x:c>
      <x:c r="P324" s="10" t="str">
        <x:v>Самостоятельное видео</x:v>
      </x:c>
      <x:c r="Q324" s="9" t="str">
        <x:v>Нет</x:v>
      </x:c>
      <x:c r="R324" s="9" t="str">
        <x:v>C020</x:v>
      </x:c>
      <x:c r="S324" s="9" t="str">
        <x:v>C020</x:v>
      </x:c>
      <x:c r="T324" s="10" t="str">
        <x:v>כאן 11 - תאגיד השידור הישראלי</x:v>
      </x:c>
      <x:c r="U324" s="11" t="str">
        <x:v>https://www.youtube.com/watch?v=DQA8CtrTHEo</x:v>
      </x:c>
      <x:c r="V324" s="16" t="n">
        <x:v>46308</x:v>
      </x:c>
      <x:c r="W324" s="16" t="n">
        <x:v>43699</x:v>
      </x:c>
      <x:c r="X324" s="10" t="str">
        <x:v>Иврит предполагается по заголовку и источнику</x:v>
      </x:c>
      <x:c r="Y324" s="10" t="str">
        <x:v>Дорожка HE не найдена в метаданных; вшитые титры не проверены</x:v>
      </x:c>
      <x:c r="Z324" s="10" t="str">
        <x:v>Разрешено по метаданным</x:v>
      </x:c>
      <x:c r="AA324" s="10" t="str">
        <x:v>Метаданные видео; воспроизведение и содержание не проверены</x:v>
      </x:c>
      <x:c r="AB324" s="13" t="n">
        <x:f>IF(AND(ISNUMBER(H324),ISNUMBER(W324)),H324/MAX(1,'Обзор'!$B$4-W324),"")</x:f>
        <x:v>272.2916826370257</x:v>
      </x:c>
      <x:c r="AC324" s="17" t="str">
        <x:v>Не решено</x:v>
      </x:c>
      <x:c r="AD324" s="17" t="str">
        <x:v>Не проверено</x:v>
      </x:c>
      <x:c r="AE324" s="17" t="str">
        <x:v>Не проверено</x:v>
      </x:c>
      <x:c r="AF324" s="17" t="str">
        <x:v>Не проверено</x:v>
      </x:c>
      <x:c r="AG324" s="17" t="str">
        <x:v>Не решено</x:v>
      </x:c>
      <x:c r="AH324" s="17" t="str">
        <x:v>Не проверено</x:v>
      </x:c>
      <x:c r="AI324" s="10" t="str">
        <x:f>IF(AC324="Отклонить","Отклонено",IF(AND(AC324="Взять",COUNTIFS(AD324:AH324,"Да")=5),"Готово","Нужна редактура"))</x:f>
        <x:v>Нужна редактура</x:v>
      </x:c>
      <x:c r="AJ324" s="17" t="str"/>
      <x:c r="AK324" s="9" t="str">
        <x:v>https://www.youtube.com/playlist?list=PLLttfoK87AdUTREyo3N2LsrozO_M6Kqen</x:v>
      </x:c>
      <x:c r="AL324" s="9" t="n">
        <x:v>15</x:v>
      </x:c>
      <x:c r="AM324" s="9"/>
      <x:c r="AN324" s="9" t="n">
        <x:v>0</x:v>
      </x:c>
    </x:row>
    <x:row r="325" ht="60" customHeight="1">
      <x:c r="A325" s="9" t="str">
        <x:v>7wrVvCbg3vg</x:v>
      </x:c>
      <x:c r="B325" s="10" t="str">
        <x:v>סליחה על השאלה | אסירים משוחררים - פרק אחרון לעונה!</x:v>
      </x:c>
      <x:c r="C325" s="10" t="str">
        <x:v>Разнообразие общества</x:v>
      </x:c>
      <x:c r="D325" s="9" t="str">
        <x:v>Общество</x:v>
      </x:c>
      <x:c r="E325" s="10" t="str">
        <x:v>Общество; человеческие истории; взрослые</x:v>
      </x:c>
      <x:c r="F325" s="10" t="str">
        <x:v>B1–B2 (гипотеза)</x:v>
      </x:c>
      <x:c r="G325" s="12" t="n">
        <x:v>23</x:v>
      </x:c>
      <x:c r="H325" s="14" t="n">
        <x:v>1077994</x:v>
      </x:c>
      <x:c r="I325" s="15" t="str">
        <x:v>Точный счётчик метаданных видео</x:v>
      </x:c>
      <x:c r="J325" s="14" t="n">
        <x:v>1000000</x:v>
      </x:c>
      <x:c r="K325" s="14" t="n">
        <x:v>850000</x:v>
      </x:c>
      <x:c r="L325" s="12" t="n">
        <x:f>IF(COUNT(J325:K325)=2,IF(K325=0,"",J325/K325),"")</x:f>
        <x:v>1.1764705882352942</x:v>
      </x:c>
      <x:c r="M325" s="10" t="str">
        <x:v>Тема: סליחה על השאלה | אסירים משוחררים - פרק אחרון לעונה!. Одинаковый вопрос разным людям позволяет сравнить ответы и акценты. Формат вводит социальные группы через их собственную речь.</x:v>
      </x:c>
      <x:c r="N325" s="10" t="str">
        <x:v>Сравнить два ответа; выписать вопросительные конструкции и выражения опыта.</x:v>
      </x:c>
      <x:c r="O325" s="10" t="str">
        <x:v>Некоторые выпуски затрагивают травму, секс, инвалидность; проверить выпуск</x:v>
      </x:c>
      <x:c r="P325" s="10" t="str">
        <x:v>Самостоятельное видео</x:v>
      </x:c>
      <x:c r="Q325" s="9" t="str">
        <x:v>Нет</x:v>
      </x:c>
      <x:c r="R325" s="9" t="str">
        <x:v>C021</x:v>
      </x:c>
      <x:c r="S325" s="9" t="str">
        <x:v>C021</x:v>
      </x:c>
      <x:c r="T325" s="10" t="str">
        <x:v>כאן 11 - תאגיד השידור הישראלי</x:v>
      </x:c>
      <x:c r="U325" s="11" t="str">
        <x:v>https://www.youtube.com/watch?v=7wrVvCbg3vg</x:v>
      </x:c>
      <x:c r="V325" s="16" t="n">
        <x:v>46308</x:v>
      </x:c>
      <x:c r="W325" s="16" t="n">
        <x:v>43411</x:v>
      </x:c>
      <x:c r="X325" s="10" t="str">
        <x:v>Иврит предполагается по заголовку и источнику</x:v>
      </x:c>
      <x:c r="Y325" s="10" t="str">
        <x:v>Дорожка HE не найдена в метаданных; вшитые титры не проверены</x:v>
      </x:c>
      <x:c r="Z325" s="10" t="str">
        <x:v>Разрешено по метаданным</x:v>
      </x:c>
      <x:c r="AA325" s="10" t="str">
        <x:v>Метаданные видео; воспроизведение и содержание не проверены</x:v>
      </x:c>
      <x:c r="AB325" s="13" t="n">
        <x:f>IF(AND(ISNUMBER(H325),ISNUMBER(W325)),H325/MAX(1,'Обзор'!$B$4-W325),"")</x:f>
        <x:v>372.1070072488782</x:v>
      </x:c>
      <x:c r="AC325" s="17" t="str">
        <x:v>Не решено</x:v>
      </x:c>
      <x:c r="AD325" s="17" t="str">
        <x:v>Не проверено</x:v>
      </x:c>
      <x:c r="AE325" s="17" t="str">
        <x:v>Не проверено</x:v>
      </x:c>
      <x:c r="AF325" s="17" t="str">
        <x:v>Не проверено</x:v>
      </x:c>
      <x:c r="AG325" s="17" t="str">
        <x:v>Не решено</x:v>
      </x:c>
      <x:c r="AH325" s="17" t="str">
        <x:v>Не проверено</x:v>
      </x:c>
      <x:c r="AI325" s="10" t="str">
        <x:f>IF(AC325="Отклонить","Отклонено",IF(AND(AC325="Взять",COUNTIFS(AD325:AH325,"Да")=5),"Готово","Нужна редактура"))</x:f>
        <x:v>Нужна редактура</x:v>
      </x:c>
      <x:c r="AJ325" s="17" t="str"/>
      <x:c r="AK325" s="9" t="str">
        <x:v>https://www.youtube.com/playlist?list=PLLttfoK87AdXGer0EngTGxdG7arnOSmbj</x:v>
      </x:c>
      <x:c r="AL325" s="9" t="n">
        <x:v>1</x:v>
      </x:c>
      <x:c r="AM325" s="9"/>
      <x:c r="AN325" s="9" t="n">
        <x:v>0</x:v>
      </x:c>
    </x:row>
    <x:row r="326" ht="60" customHeight="1">
      <x:c r="A326" s="9" t="str">
        <x:v>7CcyeaBPdMk</x:v>
      </x:c>
      <x:c r="B326" s="10" t="str">
        <x:v>סליחה על השאלה | בני נוער</x:v>
      </x:c>
      <x:c r="C326" s="10" t="str">
        <x:v>Разнообразие общества</x:v>
      </x:c>
      <x:c r="D326" s="9" t="str">
        <x:v>Общество</x:v>
      </x:c>
      <x:c r="E326" s="10" t="str">
        <x:v>Общество; человеческие истории; взрослые</x:v>
      </x:c>
      <x:c r="F326" s="10" t="str">
        <x:v>B1–B2 (гипотеза)</x:v>
      </x:c>
      <x:c r="G326" s="12" t="n">
        <x:v>25.6</x:v>
      </x:c>
      <x:c r="H326" s="14" t="n">
        <x:v>1989492</x:v>
      </x:c>
      <x:c r="I326" s="15" t="str">
        <x:v>Точный счётчик метаданных видео</x:v>
      </x:c>
      <x:c r="J326" s="14" t="n">
        <x:v>1900000</x:v>
      </x:c>
      <x:c r="K326" s="14" t="n">
        <x:v>850000</x:v>
      </x:c>
      <x:c r="L326" s="12" t="n">
        <x:f>IF(COUNT(J326:K326)=2,IF(K326=0,"",J326/K326),"")</x:f>
        <x:v>2.235294117647059</x:v>
      </x:c>
      <x:c r="M326" s="10" t="str">
        <x:v>Тема: סליחה על השאלה | בני נוער. Просмотры в списке выше медианы выборки этого цикла в 2.24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326" s="10" t="str">
        <x:v>Сравнить два ответа; выписать вопросительные конструкции и выражения опыта.</x:v>
      </x:c>
      <x:c r="O326" s="10" t="str">
        <x:v>Некоторые выпуски затрагивают травму, секс, инвалидность; проверить выпуск</x:v>
      </x:c>
      <x:c r="P326" s="10" t="str">
        <x:v>Самостоятельное видео</x:v>
      </x:c>
      <x:c r="Q326" s="9" t="str">
        <x:v>Нет</x:v>
      </x:c>
      <x:c r="R326" s="9" t="str">
        <x:v>C021</x:v>
      </x:c>
      <x:c r="S326" s="9" t="str">
        <x:v>C021</x:v>
      </x:c>
      <x:c r="T326" s="10" t="str">
        <x:v>כאן 11 - תאגיד השידור הישראלי</x:v>
      </x:c>
      <x:c r="U326" s="11" t="str">
        <x:v>https://www.youtube.com/watch?v=7CcyeaBPdMk</x:v>
      </x:c>
      <x:c r="V326" s="16" t="n">
        <x:v>46308</x:v>
      </x:c>
      <x:c r="W326" s="16" t="n">
        <x:v>43382</x:v>
      </x:c>
      <x:c r="X326" s="10" t="str">
        <x:v>Иврит предполагается по заголовку и источнику</x:v>
      </x:c>
      <x:c r="Y326" s="10" t="str">
        <x:v>Дорожка HE не найдена в метаданных; вшитые титры не проверены</x:v>
      </x:c>
      <x:c r="Z326" s="10" t="str">
        <x:v>Разрешено по метаданным</x:v>
      </x:c>
      <x:c r="AA326" s="10" t="str">
        <x:v>Метаданные видео; воспроизведение и содержание не проверены</x:v>
      </x:c>
      <x:c r="AB326" s="13" t="n">
        <x:f>IF(AND(ISNUMBER(H326),ISNUMBER(W326)),H326/MAX(1,'Обзор'!$B$4-W326),"")</x:f>
        <x:v>679.9357484620642</x:v>
      </x:c>
      <x:c r="AC326" s="17" t="str">
        <x:v>Не решено</x:v>
      </x:c>
      <x:c r="AD326" s="17" t="str">
        <x:v>Не проверено</x:v>
      </x:c>
      <x:c r="AE326" s="17" t="str">
        <x:v>Не проверено</x:v>
      </x:c>
      <x:c r="AF326" s="17" t="str">
        <x:v>Не проверено</x:v>
      </x:c>
      <x:c r="AG326" s="17" t="str">
        <x:v>Не решено</x:v>
      </x:c>
      <x:c r="AH326" s="17" t="str">
        <x:v>Не проверено</x:v>
      </x:c>
      <x:c r="AI326" s="10" t="str">
        <x:f>IF(AC326="Отклонить","Отклонено",IF(AND(AC326="Взять",COUNTIFS(AD326:AH326,"Да")=5),"Готово","Нужна редактура"))</x:f>
        <x:v>Нужна редактура</x:v>
      </x:c>
      <x:c r="AJ326" s="17" t="str"/>
      <x:c r="AK326" s="9" t="str">
        <x:v>https://www.youtube.com/playlist?list=PLLttfoK87AdXGer0EngTGxdG7arnOSmbj</x:v>
      </x:c>
      <x:c r="AL326" s="9" t="n">
        <x:v>2</x:v>
      </x:c>
      <x:c r="AM326" s="9"/>
      <x:c r="AN326" s="9" t="n">
        <x:v>0</x:v>
      </x:c>
    </x:row>
    <x:row r="327" ht="60" customHeight="1">
      <x:c r="A327" s="9" t="str">
        <x:v>YRHrtu9548A</x:v>
      </x:c>
      <x:c r="B327" s="10" t="str">
        <x:v>סליחה על השאלה | טרנסג'נדרים</x:v>
      </x:c>
      <x:c r="C327" s="10" t="str">
        <x:v>Разнообразие общества</x:v>
      </x:c>
      <x:c r="D327" s="9" t="str">
        <x:v>Общество</x:v>
      </x:c>
      <x:c r="E327" s="10" t="str">
        <x:v>Общество; человеческие истории; взрослые</x:v>
      </x:c>
      <x:c r="F327" s="10" t="str">
        <x:v>B1–B2 (гипотеза)</x:v>
      </x:c>
      <x:c r="G327" s="12" t="n">
        <x:v>26.1</x:v>
      </x:c>
      <x:c r="H327" s="14" t="n">
        <x:v>1588882</x:v>
      </x:c>
      <x:c r="I327" s="15" t="str">
        <x:v>Точный счётчик метаданных видео</x:v>
      </x:c>
      <x:c r="J327" s="14" t="n">
        <x:v>1500000</x:v>
      </x:c>
      <x:c r="K327" s="14" t="n">
        <x:v>850000</x:v>
      </x:c>
      <x:c r="L327" s="12" t="n">
        <x:f>IF(COUNT(J327:K327)=2,IF(K327=0,"",J327/K327),"")</x:f>
        <x:v>1.7647058823529411</x:v>
      </x:c>
      <x:c r="M327" s="10" t="str">
        <x:v>Тема: סליחה על השאלה | טרנסג'נדרים. Просмотры в списке выше медианы выборки этого цикла в 1.76 раза. Одинаковый вопрос разным людям позволяет сравнить ответы и акценты. Формат вводит социальные группы через их собственную речь.</x:v>
      </x:c>
      <x:c r="N327" s="10" t="str">
        <x:v>Сравнить два ответа; выписать вопросительные конструкции и выражения опыта.</x:v>
      </x:c>
      <x:c r="O327" s="10" t="str">
        <x:v>Некоторые выпуски затрагивают травму, секс, инвалидность; проверить выпуск</x:v>
      </x:c>
      <x:c r="P327" s="10" t="str">
        <x:v>Самостоятельное видео</x:v>
      </x:c>
      <x:c r="Q327" s="9" t="str">
        <x:v>Нет</x:v>
      </x:c>
      <x:c r="R327" s="9" t="str">
        <x:v>C021</x:v>
      </x:c>
      <x:c r="S327" s="9" t="str">
        <x:v>C021</x:v>
      </x:c>
      <x:c r="T327" s="10" t="str">
        <x:v>כאן 11 - תאגיד השידור הישראלי</x:v>
      </x:c>
      <x:c r="U327" s="11" t="str">
        <x:v>https://www.youtube.com/watch?v=YRHrtu9548A</x:v>
      </x:c>
      <x:c r="V327" s="16" t="n">
        <x:v>46308</x:v>
      </x:c>
      <x:c r="W327" s="16" t="n">
        <x:v>43298</x:v>
      </x:c>
      <x:c r="X327" s="10" t="str">
        <x:v>Иврит предполагается по заголовку и источнику</x:v>
      </x:c>
      <x:c r="Y327" s="10" t="str">
        <x:v>Дорожка HE не найдена в метаданных; вшитые титры не проверены</x:v>
      </x:c>
      <x:c r="Z327" s="10" t="str">
        <x:v>Разрешено по метаданным</x:v>
      </x:c>
      <x:c r="AA327" s="10" t="str">
        <x:v>Метаданные видео; воспроизведение и содержание не проверены</x:v>
      </x:c>
      <x:c r="AB327" s="13" t="n">
        <x:f>IF(AND(ISNUMBER(H327),ISNUMBER(W327)),H327/MAX(1,'Обзор'!$B$4-W327),"")</x:f>
        <x:v>527.8677740863787</x:v>
      </x:c>
      <x:c r="AC327" s="17" t="str">
        <x:v>Не решено</x:v>
      </x:c>
      <x:c r="AD327" s="17" t="str">
        <x:v>Не проверено</x:v>
      </x:c>
      <x:c r="AE327" s="17" t="str">
        <x:v>Не проверено</x:v>
      </x:c>
      <x:c r="AF327" s="17" t="str">
        <x:v>Не проверено</x:v>
      </x:c>
      <x:c r="AG327" s="17" t="str">
        <x:v>Не решено</x:v>
      </x:c>
      <x:c r="AH327" s="17" t="str">
        <x:v>Не проверено</x:v>
      </x:c>
      <x:c r="AI327" s="10" t="str">
        <x:f>IF(AC327="Отклонить","Отклонено",IF(AND(AC327="Взять",COUNTIFS(AD327:AH327,"Да")=5),"Готово","Нужна редактура"))</x:f>
        <x:v>Нужна редактура</x:v>
      </x:c>
      <x:c r="AJ327" s="17" t="str"/>
      <x:c r="AK327" s="9" t="str">
        <x:v>https://www.youtube.com/playlist?list=PLLttfoK87AdXGer0EngTGxdG7arnOSmbj</x:v>
      </x:c>
      <x:c r="AL327" s="9" t="n">
        <x:v>3</x:v>
      </x:c>
      <x:c r="AM327" s="9"/>
      <x:c r="AN327" s="9" t="n">
        <x:v>0</x:v>
      </x:c>
    </x:row>
    <x:row r="328" ht="60" customHeight="1">
      <x:c r="A328" s="9" t="str">
        <x:v>e-jbaYcGaEM</x:v>
      </x:c>
      <x:c r="B328" s="10" t="str">
        <x:v>סליחה על השאלה | זקנים</x:v>
      </x:c>
      <x:c r="C328" s="10" t="str">
        <x:v>Разнообразие общества</x:v>
      </x:c>
      <x:c r="D328" s="9" t="str">
        <x:v>Общество</x:v>
      </x:c>
      <x:c r="E328" s="10" t="str">
        <x:v>Общество; человеческие истории; взрослые</x:v>
      </x:c>
      <x:c r="F328" s="10" t="str">
        <x:v>B1–B2 (гипотеза)</x:v>
      </x:c>
      <x:c r="G328" s="12" t="n">
        <x:v>25.3</x:v>
      </x:c>
      <x:c r="H328" s="14" t="n">
        <x:v>809153</x:v>
      </x:c>
      <x:c r="I328" s="15" t="str">
        <x:v>Точный счётчик метаданных видео</x:v>
      </x:c>
      <x:c r="J328" s="14" t="n">
        <x:v>809000</x:v>
      </x:c>
      <x:c r="K328" s="14" t="n">
        <x:v>850000</x:v>
      </x:c>
      <x:c r="L328" s="12" t="n">
        <x:f>IF(COUNT(J328:K328)=2,IF(K328=0,"",J328/K328),"")</x:f>
        <x:v>0.951764705882353</x:v>
      </x:c>
      <x:c r="M328" s="10" t="str">
        <x:v>Тема: סליחה על השאלה | זקנים. Одинаковый вопрос разным людям позволяет сравнить ответы и акценты. Формат вводит социальные группы через их собственную речь.</x:v>
      </x:c>
      <x:c r="N328" s="10" t="str">
        <x:v>Сравнить два ответа; выписать вопросительные конструкции и выражения опыта.</x:v>
      </x:c>
      <x:c r="O328" s="10" t="str">
        <x:v>Некоторые выпуски затрагивают травму, секс, инвалидность; проверить выпуск</x:v>
      </x:c>
      <x:c r="P328" s="10" t="str">
        <x:v>Самостоятельное видео</x:v>
      </x:c>
      <x:c r="Q328" s="9" t="str">
        <x:v>Нет</x:v>
      </x:c>
      <x:c r="R328" s="9" t="str">
        <x:v>C021</x:v>
      </x:c>
      <x:c r="S328" s="9" t="str">
        <x:v>C021</x:v>
      </x:c>
      <x:c r="T328" s="10" t="str">
        <x:v>כאן 11 - תאגיד השידור הישראלי</x:v>
      </x:c>
      <x:c r="U328" s="11" t="str">
        <x:v>https://www.youtube.com/watch?v=e-jbaYcGaEM</x:v>
      </x:c>
      <x:c r="V328" s="16" t="n">
        <x:v>46308</x:v>
      </x:c>
      <x:c r="W328" s="16" t="n">
        <x:v>43331</x:v>
      </x:c>
      <x:c r="X328" s="10" t="str">
        <x:v>Иврит предполагается по заголовку и источнику</x:v>
      </x:c>
      <x:c r="Y328" s="10" t="str">
        <x:v>Дорожка HE не найдена в метаданных; вшитые титры не проверены</x:v>
      </x:c>
      <x:c r="Z328" s="10" t="str">
        <x:v>Разрешено по метаданным</x:v>
      </x:c>
      <x:c r="AA328" s="10" t="str">
        <x:v>Метаданные видео; воспроизведение и содержание не проверены</x:v>
      </x:c>
      <x:c r="AB328" s="13" t="n">
        <x:f>IF(AND(ISNUMBER(H328),ISNUMBER(W328)),H328/MAX(1,'Обзор'!$B$4-W328),"")</x:f>
        <x:v>271.80147799798453</x:v>
      </x:c>
      <x:c r="AC328" s="17" t="str">
        <x:v>Не решено</x:v>
      </x:c>
      <x:c r="AD328" s="17" t="str">
        <x:v>Не проверено</x:v>
      </x:c>
      <x:c r="AE328" s="17" t="str">
        <x:v>Не проверено</x:v>
      </x:c>
      <x:c r="AF328" s="17" t="str">
        <x:v>Не проверено</x:v>
      </x:c>
      <x:c r="AG328" s="17" t="str">
        <x:v>Не решено</x:v>
      </x:c>
      <x:c r="AH328" s="17" t="str">
        <x:v>Не проверено</x:v>
      </x:c>
      <x:c r="AI328" s="10" t="str">
        <x:f>IF(AC328="Отклонить","Отклонено",IF(AND(AC328="Взять",COUNTIFS(AD328:AH328,"Да")=5),"Готово","Нужна редактура"))</x:f>
        <x:v>Нужна редактура</x:v>
      </x:c>
      <x:c r="AJ328" s="17" t="str"/>
      <x:c r="AK328" s="9" t="str">
        <x:v>https://www.youtube.com/playlist?list=PLLttfoK87AdXGer0EngTGxdG7arnOSmbj</x:v>
      </x:c>
      <x:c r="AL328" s="9" t="n">
        <x:v>4</x:v>
      </x:c>
      <x:c r="AM328" s="9"/>
      <x:c r="AN328" s="9" t="n">
        <x:v>0</x:v>
      </x:c>
    </x:row>
    <x:row r="329" ht="60" customHeight="1">
      <x:c r="A329" s="9" t="str">
        <x:v>UFDcYcad4Jo</x:v>
      </x:c>
      <x:c r="B329" s="10" t="str">
        <x:v>סליחה על השאלה | חולים במחלה סופנית</x:v>
      </x:c>
      <x:c r="C329" s="10" t="str">
        <x:v>Разнообразие общества</x:v>
      </x:c>
      <x:c r="D329" s="9" t="str">
        <x:v>Общество</x:v>
      </x:c>
      <x:c r="E329" s="10" t="str">
        <x:v>Общество; человеческие истории; взрослые</x:v>
      </x:c>
      <x:c r="F329" s="10" t="str">
        <x:v>B1–B2 (гипотеза)</x:v>
      </x:c>
      <x:c r="G329" s="12" t="n">
        <x:v>26.2</x:v>
      </x:c>
      <x:c r="H329" s="14" t="n">
        <x:v>978409</x:v>
      </x:c>
      <x:c r="I329" s="15" t="str">
        <x:v>Точный счётчик метаданных видео</x:v>
      </x:c>
      <x:c r="J329" s="14" t="n">
        <x:v>978000</x:v>
      </x:c>
      <x:c r="K329" s="14" t="n">
        <x:v>850000</x:v>
      </x:c>
      <x:c r="L329" s="12" t="n">
        <x:f>IF(COUNT(J329:K329)=2,IF(K329=0,"",J329/K329),"")</x:f>
        <x:v>1.1505882352941177</x:v>
      </x:c>
      <x:c r="M329" s="10" t="str">
        <x:v>Тема: סליחה על השאלה | חולים במחלה סופנית. Одинаковый вопрос разным людям позволяет сравнить ответы и акценты. Формат вводит социальные группы через их собственную речь.</x:v>
      </x:c>
      <x:c r="N329" s="10" t="str">
        <x:v>Сравнить два ответа; выписать вопросительные конструкции и выражения опыта.</x:v>
      </x:c>
      <x:c r="O329" s="10" t="str">
        <x:v>Некоторые выпуски затрагивают травму, секс, инвалидность; проверить выпуск</x:v>
      </x:c>
      <x:c r="P329" s="10" t="str">
        <x:v>Самостоятельное видео</x:v>
      </x:c>
      <x:c r="Q329" s="9" t="str">
        <x:v>Нет</x:v>
      </x:c>
      <x:c r="R329" s="9" t="str">
        <x:v>C021</x:v>
      </x:c>
      <x:c r="S329" s="9" t="str">
        <x:v>C021</x:v>
      </x:c>
      <x:c r="T329" s="10" t="str">
        <x:v>כאן 11 - תאגיד השידור הישראלי</x:v>
      </x:c>
      <x:c r="U329" s="11" t="str">
        <x:v>https://www.youtube.com/watch?v=UFDcYcad4Jo</x:v>
      </x:c>
      <x:c r="V329" s="16" t="n">
        <x:v>46308</x:v>
      </x:c>
      <x:c r="W329" s="16" t="n">
        <x:v>43303</x:v>
      </x:c>
      <x:c r="X329" s="10" t="str">
        <x:v>Иврит предполагается по заголовку и источнику</x:v>
      </x:c>
      <x:c r="Y329" s="10" t="str">
        <x:v>Дорожка HE не найдена в метаданных; вшитые титры не проверены</x:v>
      </x:c>
      <x:c r="Z329" s="10" t="str">
        <x:v>Разрешено по метаданным</x:v>
      </x:c>
      <x:c r="AA329" s="10" t="str">
        <x:v>Метаданные видео; воспроизведение и содержание не проверены</x:v>
      </x:c>
      <x:c r="AB329" s="13" t="n">
        <x:f>IF(AND(ISNUMBER(H329),ISNUMBER(W329)),H329/MAX(1,'Обзор'!$B$4-W329),"")</x:f>
        <x:v>325.5936772046589</x:v>
      </x:c>
      <x:c r="AC329" s="17" t="str">
        <x:v>Не решено</x:v>
      </x:c>
      <x:c r="AD329" s="17" t="str">
        <x:v>Не проверено</x:v>
      </x:c>
      <x:c r="AE329" s="17" t="str">
        <x:v>Не проверено</x:v>
      </x:c>
      <x:c r="AF329" s="17" t="str">
        <x:v>Не проверено</x:v>
      </x:c>
      <x:c r="AG329" s="17" t="str">
        <x:v>Не решено</x:v>
      </x:c>
      <x:c r="AH329" s="17" t="str">
        <x:v>Не проверено</x:v>
      </x:c>
      <x:c r="AI329" s="10" t="str">
        <x:f>IF(AC329="Отклонить","Отклонено",IF(AND(AC329="Взять",COUNTIFS(AD329:AH329,"Да")=5),"Готово","Нужна редактура"))</x:f>
        <x:v>Нужна редактура</x:v>
      </x:c>
      <x:c r="AJ329" s="17" t="str"/>
      <x:c r="AK329" s="9" t="str">
        <x:v>https://www.youtube.com/playlist?list=PLLttfoK87AdXGer0EngTGxdG7arnOSmbj</x:v>
      </x:c>
      <x:c r="AL329" s="9" t="n">
        <x:v>5</x:v>
      </x:c>
      <x:c r="AM329" s="9"/>
      <x:c r="AN329" s="9" t="n">
        <x:v>0</x:v>
      </x:c>
    </x:row>
    <x:row r="330" ht="60" customHeight="1">
      <x:c r="A330" s="9" t="str">
        <x:v>9JHDCngGnMM</x:v>
      </x:c>
      <x:c r="B330" s="10" t="str">
        <x:v>סליחה על השאלה | ילדים ממשפחות גאות</x:v>
      </x:c>
      <x:c r="C330" s="10" t="str">
        <x:v>Разнообразие общества</x:v>
      </x:c>
      <x:c r="D330" s="9" t="str">
        <x:v>Общество</x:v>
      </x:c>
      <x:c r="E330" s="10" t="str">
        <x:v>Общество; человеческие истории; взрослые</x:v>
      </x:c>
      <x:c r="F330" s="10" t="str">
        <x:v>B1–B2 (гипотеза)</x:v>
      </x:c>
      <x:c r="G330" s="12" t="n">
        <x:v>25.2</x:v>
      </x:c>
      <x:c r="H330" s="14" t="n">
        <x:v>977721</x:v>
      </x:c>
      <x:c r="I330" s="15" t="str">
        <x:v>Точный счётчик метаданных видео</x:v>
      </x:c>
      <x:c r="J330" s="14" t="n">
        <x:v>977000</x:v>
      </x:c>
      <x:c r="K330" s="14" t="n">
        <x:v>850000</x:v>
      </x:c>
      <x:c r="L330" s="12" t="n">
        <x:f>IF(COUNT(J330:K330)=2,IF(K330=0,"",J330/K330),"")</x:f>
        <x:v>1.1494117647058824</x:v>
      </x:c>
      <x:c r="M330" s="10" t="str">
        <x:v>Тема: סליחה על השאלה | ילדים ממשפחות גאות. Одинаковый вопрос разным людям позволяет сравнить ответы и акценты. Формат вводит социальные группы через их собственную речь.</x:v>
      </x:c>
      <x:c r="N330" s="10" t="str">
        <x:v>Сравнить два ответа; выписать вопросительные конструкции и выражения опыта.</x:v>
      </x:c>
      <x:c r="O330" s="10" t="str">
        <x:v>Некоторые выпуски затрагивают травму, секс, инвалидность; проверить выпуск</x:v>
      </x:c>
      <x:c r="P330" s="10" t="str">
        <x:v>Самостоятельное видео</x:v>
      </x:c>
      <x:c r="Q330" s="9" t="str">
        <x:v>Нет</x:v>
      </x:c>
      <x:c r="R330" s="9" t="str">
        <x:v>C021</x:v>
      </x:c>
      <x:c r="S330" s="9" t="str">
        <x:v>C021</x:v>
      </x:c>
      <x:c r="T330" s="10" t="str">
        <x:v>כאן 11 - תאגיד השידור הישראלי</x:v>
      </x:c>
      <x:c r="U330" s="11" t="str">
        <x:v>https://www.youtube.com/watch?v=9JHDCngGnMM</x:v>
      </x:c>
      <x:c r="V330" s="16" t="n">
        <x:v>46308</x:v>
      </x:c>
      <x:c r="W330" s="16" t="n">
        <x:v>43301</x:v>
      </x:c>
      <x:c r="X330" s="10" t="str">
        <x:v>Иврит предполагается по заголовку и источнику</x:v>
      </x:c>
      <x:c r="Y330" s="10" t="str">
        <x:v>Дорожка HE не найдена в метаданных; вшитые титры не проверены</x:v>
      </x:c>
      <x:c r="Z330" s="10" t="str">
        <x:v>Разрешено по метаданным</x:v>
      </x:c>
      <x:c r="AA330" s="10" t="str">
        <x:v>Метаданные видео; воспроизведение и содержание не проверены</x:v>
      </x:c>
      <x:c r="AB330" s="13" t="n">
        <x:f>IF(AND(ISNUMBER(H330),ISNUMBER(W330)),H330/MAX(1,'Обзор'!$B$4-W330),"")</x:f>
        <x:v>325.14832058530095</x:v>
      </x:c>
      <x:c r="AC330" s="17" t="str">
        <x:v>Не решено</x:v>
      </x:c>
      <x:c r="AD330" s="17" t="str">
        <x:v>Не проверено</x:v>
      </x:c>
      <x:c r="AE330" s="17" t="str">
        <x:v>Не проверено</x:v>
      </x:c>
      <x:c r="AF330" s="17" t="str">
        <x:v>Не проверено</x:v>
      </x:c>
      <x:c r="AG330" s="17" t="str">
        <x:v>Не решено</x:v>
      </x:c>
      <x:c r="AH330" s="17" t="str">
        <x:v>Не проверено</x:v>
      </x:c>
      <x:c r="AI330" s="10" t="str">
        <x:f>IF(AC330="Отклонить","Отклонено",IF(AND(AC330="Взять",COUNTIFS(AD330:AH330,"Да")=5),"Готово","Нужна редактура"))</x:f>
        <x:v>Нужна редактура</x:v>
      </x:c>
      <x:c r="AJ330" s="17" t="str"/>
      <x:c r="AK330" s="9" t="str">
        <x:v>https://www.youtube.com/playlist?list=PLLttfoK87AdXGer0EngTGxdG7arnOSmbj</x:v>
      </x:c>
      <x:c r="AL330" s="9" t="n">
        <x:v>6</x:v>
      </x:c>
      <x:c r="AM330" s="9"/>
      <x:c r="AN330" s="9" t="n">
        <x:v>0</x:v>
      </x:c>
    </x:row>
    <x:row r="331" ht="60" customHeight="1">
      <x:c r="A331" s="9" t="str">
        <x:v>B0OWhS8qrUw</x:v>
      </x:c>
      <x:c r="B331" s="10" t="str">
        <x:v>סליחה על השאלה | מכורים נקיים מסמים</x:v>
      </x:c>
      <x:c r="C331" s="10" t="str">
        <x:v>Разнообразие общества</x:v>
      </x:c>
      <x:c r="D331" s="9" t="str">
        <x:v>Общество</x:v>
      </x:c>
      <x:c r="E331" s="10" t="str">
        <x:v>Общество; человеческие истории; взрослые</x:v>
      </x:c>
      <x:c r="F331" s="10" t="str">
        <x:v>B1–B2 (гипотеза)</x:v>
      </x:c>
      <x:c r="G331" s="12" t="n">
        <x:v>24.8</x:v>
      </x:c>
      <x:c r="H331" s="14" t="n">
        <x:v>814722</x:v>
      </x:c>
      <x:c r="I331" s="15" t="str">
        <x:v>Точный счётчик метаданных видео</x:v>
      </x:c>
      <x:c r="J331" s="14" t="n">
        <x:v>814000</x:v>
      </x:c>
      <x:c r="K331" s="14" t="n">
        <x:v>850000</x:v>
      </x:c>
      <x:c r="L331" s="12" t="n">
        <x:f>IF(COUNT(J331:K331)=2,IF(K331=0,"",J331/K331),"")</x:f>
        <x:v>0.9576470588235294</x:v>
      </x:c>
      <x:c r="M331" s="10" t="str">
        <x:v>Тема: סליחה על השאלה | מכורים נקיים מסמים. Одинаковый вопрос разным людям позволяет сравнить ответы и акценты. Формат вводит социальные группы через их собственную речь.</x:v>
      </x:c>
      <x:c r="N331" s="10" t="str">
        <x:v>Сравнить два ответа; выписать вопросительные конструкции и выражения опыта.</x:v>
      </x:c>
      <x:c r="O331" s="10" t="str">
        <x:v>Некоторые выпуски затрагивают травму, секс, инвалидность; проверить выпуск</x:v>
      </x:c>
      <x:c r="P331" s="10" t="str">
        <x:v>Самостоятельное видео</x:v>
      </x:c>
      <x:c r="Q331" s="9" t="str">
        <x:v>Нет</x:v>
      </x:c>
      <x:c r="R331" s="9" t="str">
        <x:v>C021</x:v>
      </x:c>
      <x:c r="S331" s="9" t="str">
        <x:v>C021</x:v>
      </x:c>
      <x:c r="T331" s="10" t="str">
        <x:v>כאן 11 - תאגיד השידור הישראלי</x:v>
      </x:c>
      <x:c r="U331" s="11" t="str">
        <x:v>https://www.youtube.com/watch?v=B0OWhS8qrUw</x:v>
      </x:c>
      <x:c r="V331" s="16" t="n">
        <x:v>46308</x:v>
      </x:c>
      <x:c r="W331" s="16" t="n">
        <x:v>43317</x:v>
      </x:c>
      <x:c r="X331" s="10" t="str">
        <x:v>Иврит предполагается по заголовку и источнику</x:v>
      </x:c>
      <x:c r="Y331" s="10" t="str">
        <x:v>Дорожка HE не найдена в метаданных; вшитые титры не проверены</x:v>
      </x:c>
      <x:c r="Z331" s="10" t="str">
        <x:v>Разрешено по метаданным</x:v>
      </x:c>
      <x:c r="AA331" s="10" t="str">
        <x:v>Метаданные видео; воспроизведение и содержание не проверены</x:v>
      </x:c>
      <x:c r="AB331" s="13" t="n">
        <x:f>IF(AND(ISNUMBER(H331),ISNUMBER(W331)),H331/MAX(1,'Обзор'!$B$4-W331),"")</x:f>
        <x:v>272.39117352056167</x:v>
      </x:c>
      <x:c r="AC331" s="17" t="str">
        <x:v>Не решено</x:v>
      </x:c>
      <x:c r="AD331" s="17" t="str">
        <x:v>Не проверено</x:v>
      </x:c>
      <x:c r="AE331" s="17" t="str">
        <x:v>Не проверено</x:v>
      </x:c>
      <x:c r="AF331" s="17" t="str">
        <x:v>Не проверено</x:v>
      </x:c>
      <x:c r="AG331" s="17" t="str">
        <x:v>Не решено</x:v>
      </x:c>
      <x:c r="AH331" s="17" t="str">
        <x:v>Не проверено</x:v>
      </x:c>
      <x:c r="AI331" s="10" t="str">
        <x:f>IF(AC331="Отклонить","Отклонено",IF(AND(AC331="Взять",COUNTIFS(AD331:AH331,"Да")=5),"Готово","Нужна редактура"))</x:f>
        <x:v>Нужна редактура</x:v>
      </x:c>
      <x:c r="AJ331" s="17" t="str"/>
      <x:c r="AK331" s="9" t="str">
        <x:v>https://www.youtube.com/playlist?list=PLLttfoK87AdXGer0EngTGxdG7arnOSmbj</x:v>
      </x:c>
      <x:c r="AL331" s="9" t="n">
        <x:v>7</x:v>
      </x:c>
      <x:c r="AM331" s="9"/>
      <x:c r="AN331" s="9" t="n">
        <x:v>0</x:v>
      </x:c>
    </x:row>
    <x:row r="332" ht="60" customHeight="1">
      <x:c r="A332" s="9" t="str">
        <x:v>8Eg3-g0KCKo</x:v>
      </x:c>
      <x:c r="B332" s="10" t="str">
        <x:v>סליחה על השאלה | מתמודדים עם מחלות נפש</x:v>
      </x:c>
      <x:c r="C332" s="10" t="str">
        <x:v>Разнообразие общества</x:v>
      </x:c>
      <x:c r="D332" s="9" t="str">
        <x:v>Общество</x:v>
      </x:c>
      <x:c r="E332" s="10" t="str">
        <x:v>Общество; человеческие истории; взрослые</x:v>
      </x:c>
      <x:c r="F332" s="10" t="str">
        <x:v>B1–B2 (гипотеза)</x:v>
      </x:c>
      <x:c r="G332" s="12" t="n">
        <x:v>25.3</x:v>
      </x:c>
      <x:c r="H332" s="14" t="n">
        <x:v>984339</x:v>
      </x:c>
      <x:c r="I332" s="15" t="str">
        <x:v>Точный счётчик метаданных видео</x:v>
      </x:c>
      <x:c r="J332" s="14" t="n">
        <x:v>984000</x:v>
      </x:c>
      <x:c r="K332" s="14" t="n">
        <x:v>850000</x:v>
      </x:c>
      <x:c r="L332" s="12" t="n">
        <x:f>IF(COUNT(J332:K332)=2,IF(K332=0,"",J332/K332),"")</x:f>
        <x:v>1.1576470588235295</x:v>
      </x:c>
      <x:c r="M332" s="10" t="str">
        <x:v>Тема: סליחה על השאלה | מתמודדים עם מחלות נפש. Одинаковый вопрос разным людям позволяет сравнить ответы и акценты. Формат вводит социальные группы через их собственную речь.</x:v>
      </x:c>
      <x:c r="N332" s="10" t="str">
        <x:v>Сравнить два ответа; выписать вопросительные конструкции и выражения опыта.</x:v>
      </x:c>
      <x:c r="O332" s="10" t="str">
        <x:v>Некоторые выпуски затрагивают травму, секс, инвалидность; проверить выпуск</x:v>
      </x:c>
      <x:c r="P332" s="10" t="str">
        <x:v>Самостоятельное видео</x:v>
      </x:c>
      <x:c r="Q332" s="9" t="str">
        <x:v>Нет</x:v>
      </x:c>
      <x:c r="R332" s="9" t="str">
        <x:v>C021</x:v>
      </x:c>
      <x:c r="S332" s="9" t="str">
        <x:v>C021</x:v>
      </x:c>
      <x:c r="T332" s="10" t="str">
        <x:v>כאן 11 - תאגיד השידור הישראלי</x:v>
      </x:c>
      <x:c r="U332" s="11" t="str">
        <x:v>https://www.youtube.com/watch?v=8Eg3-g0KCKo</x:v>
      </x:c>
      <x:c r="V332" s="16" t="n">
        <x:v>46308</x:v>
      </x:c>
      <x:c r="W332" s="16" t="n">
        <x:v>43356</x:v>
      </x:c>
      <x:c r="X332" s="10" t="str">
        <x:v>Иврит предполагается по заголовку и источнику</x:v>
      </x:c>
      <x:c r="Y332" s="10" t="str">
        <x:v>Дорожка HE не найдена в метаданных; вшитые титры не проверены</x:v>
      </x:c>
      <x:c r="Z332" s="10" t="str">
        <x:v>Разрешено по метаданным</x:v>
      </x:c>
      <x:c r="AA332" s="10" t="str">
        <x:v>Метаданные видео; воспроизведение и содержание не проверены</x:v>
      </x:c>
      <x:c r="AB332" s="13" t="n">
        <x:f>IF(AND(ISNUMBER(H332),ISNUMBER(W332)),H332/MAX(1,'Обзор'!$B$4-W332),"")</x:f>
        <x:v>333.4481707317073</x:v>
      </x:c>
      <x:c r="AC332" s="17" t="str">
        <x:v>Не решено</x:v>
      </x:c>
      <x:c r="AD332" s="17" t="str">
        <x:v>Не проверено</x:v>
      </x:c>
      <x:c r="AE332" s="17" t="str">
        <x:v>Не проверено</x:v>
      </x:c>
      <x:c r="AF332" s="17" t="str">
        <x:v>Не проверено</x:v>
      </x:c>
      <x:c r="AG332" s="17" t="str">
        <x:v>Не решено</x:v>
      </x:c>
      <x:c r="AH332" s="17" t="str">
        <x:v>Не проверено</x:v>
      </x:c>
      <x:c r="AI332" s="10" t="str">
        <x:f>IF(AC332="Отклонить","Отклонено",IF(AND(AC332="Взять",COUNTIFS(AD332:AH332,"Да")=5),"Готово","Нужна редактура"))</x:f>
        <x:v>Нужна редактура</x:v>
      </x:c>
      <x:c r="AJ332" s="17" t="str"/>
      <x:c r="AK332" s="9" t="str">
        <x:v>https://www.youtube.com/playlist?list=PLLttfoK87AdXGer0EngTGxdG7arnOSmbj</x:v>
      </x:c>
      <x:c r="AL332" s="9" t="n">
        <x:v>8</x:v>
      </x:c>
      <x:c r="AM332" s="9"/>
      <x:c r="AN332" s="9" t="n">
        <x:v>0</x:v>
      </x:c>
    </x:row>
    <x:row r="333" ht="60" customHeight="1">
      <x:c r="A333" s="9" t="str">
        <x:v>WyYW-KsVx5U</x:v>
      </x:c>
      <x:c r="B333" s="10" t="str">
        <x:v>סליחה על השאלה | נמוכי קומה</x:v>
      </x:c>
      <x:c r="C333" s="10" t="str">
        <x:v>Разнообразие общества</x:v>
      </x:c>
      <x:c r="D333" s="9" t="str">
        <x:v>Общество</x:v>
      </x:c>
      <x:c r="E333" s="10" t="str">
        <x:v>Общество; человеческие истории; взрослые</x:v>
      </x:c>
      <x:c r="F333" s="10" t="str">
        <x:v>B1–B2 (гипотеза)</x:v>
      </x:c>
      <x:c r="G333" s="12" t="n">
        <x:v>27.3</x:v>
      </x:c>
      <x:c r="H333" s="14" t="n">
        <x:v>886818</x:v>
      </x:c>
      <x:c r="I333" s="15" t="str">
        <x:v>Точный счётчик метаданных видео</x:v>
      </x:c>
      <x:c r="J333" s="14" t="n">
        <x:v>886000</x:v>
      </x:c>
      <x:c r="K333" s="14" t="n">
        <x:v>850000</x:v>
      </x:c>
      <x:c r="L333" s="12" t="n">
        <x:f>IF(COUNT(J333:K333)=2,IF(K333=0,"",J333/K333),"")</x:f>
        <x:v>1.0423529411764705</x:v>
      </x:c>
      <x:c r="M333" s="10" t="str">
        <x:v>Тема: סליחה על השאלה | נמוכי קומה. Одинаковый вопрос разным людям позволяет сравнить ответы и акценты. Формат вводит социальные группы через их собственную речь.</x:v>
      </x:c>
      <x:c r="N333" s="10" t="str">
        <x:v>Сравнить два ответа; выписать вопросительные конструкции и выражения опыта.</x:v>
      </x:c>
      <x:c r="O333" s="10" t="str">
        <x:v>Некоторые выпуски затрагивают травму, секс, инвалидность; проверить выпуск</x:v>
      </x:c>
      <x:c r="P333" s="10" t="str">
        <x:v>Самостоятельное видео</x:v>
      </x:c>
      <x:c r="Q333" s="9" t="str">
        <x:v>Нет</x:v>
      </x:c>
      <x:c r="R333" s="9" t="str">
        <x:v>C021</x:v>
      </x:c>
      <x:c r="S333" s="9" t="str">
        <x:v>C021</x:v>
      </x:c>
      <x:c r="T333" s="10" t="str">
        <x:v>כאן 11 - תאגיד השידור הישראלי</x:v>
      </x:c>
      <x:c r="U333" s="11" t="str">
        <x:v>https://www.youtube.com/watch?v=WyYW-KsVx5U</x:v>
      </x:c>
      <x:c r="V333" s="16" t="n">
        <x:v>46308</x:v>
      </x:c>
      <x:c r="W333" s="16" t="n">
        <x:v>43345</x:v>
      </x:c>
      <x:c r="X333" s="10" t="str">
        <x:v>Иврит предполагается по заголовку и источнику</x:v>
      </x:c>
      <x:c r="Y333" s="10" t="str">
        <x:v>Дорожка HE не найдена в метаданных; вшитые титры не проверены</x:v>
      </x:c>
      <x:c r="Z333" s="10" t="str">
        <x:v>Разрешено по метаданным</x:v>
      </x:c>
      <x:c r="AA333" s="10" t="str">
        <x:v>Метаданные видео; воспроизведение и содержание не проверены</x:v>
      </x:c>
      <x:c r="AB333" s="13" t="n">
        <x:f>IF(AND(ISNUMBER(H333),ISNUMBER(W333)),H333/MAX(1,'Обзор'!$B$4-W333),"")</x:f>
        <x:v>299.2973337833277</x:v>
      </x:c>
      <x:c r="AC333" s="17" t="str">
        <x:v>Не решено</x:v>
      </x:c>
      <x:c r="AD333" s="17" t="str">
        <x:v>Не проверено</x:v>
      </x:c>
      <x:c r="AE333" s="17" t="str">
        <x:v>Не проверено</x:v>
      </x:c>
      <x:c r="AF333" s="17" t="str">
        <x:v>Не проверено</x:v>
      </x:c>
      <x:c r="AG333" s="17" t="str">
        <x:v>Не решено</x:v>
      </x:c>
      <x:c r="AH333" s="17" t="str">
        <x:v>Не проверено</x:v>
      </x:c>
      <x:c r="AI333" s="10" t="str">
        <x:f>IF(AC333="Отклонить","Отклонено",IF(AND(AC333="Взять",COUNTIFS(AD333:AH333,"Да")=5),"Готово","Нужна редактура"))</x:f>
        <x:v>Нужна редактура</x:v>
      </x:c>
      <x:c r="AJ333" s="17" t="str"/>
      <x:c r="AK333" s="9" t="str">
        <x:v>https://www.youtube.com/playlist?list=PLLttfoK87AdXGer0EngTGxdG7arnOSmbj</x:v>
      </x:c>
      <x:c r="AL333" s="9" t="n">
        <x:v>9</x:v>
      </x:c>
      <x:c r="AM333" s="9"/>
      <x:c r="AN333" s="9" t="n">
        <x:v>0</x:v>
      </x:c>
    </x:row>
    <x:row r="334" ht="60" customHeight="1">
      <x:c r="A334" s="9" t="str">
        <x:v>gXMX96tv4f8</x:v>
      </x:c>
      <x:c r="B334" s="10" t="str">
        <x:v>סליחה על השאלה | אנשים עם עיוורון</x:v>
      </x:c>
      <x:c r="C334" s="10" t="str">
        <x:v>Разнообразие общества</x:v>
      </x:c>
      <x:c r="D334" s="9" t="str">
        <x:v>Общество</x:v>
      </x:c>
      <x:c r="E334" s="10" t="str">
        <x:v>Общество; человеческие истории; взрослые</x:v>
      </x:c>
      <x:c r="F334" s="10" t="str">
        <x:v>B1–B2 (гипотеза)</x:v>
      </x:c>
      <x:c r="G334" s="12" t="n">
        <x:v>25.9</x:v>
      </x:c>
      <x:c r="H334" s="14" t="n">
        <x:v>546000</x:v>
      </x:c>
      <x:c r="I334" s="15" t="str">
        <x:v>Округлённый счётчик в списке YouTube</x:v>
      </x:c>
      <x:c r="J334" s="14" t="n">
        <x:v>546000</x:v>
      </x:c>
      <x:c r="K334" s="14" t="n">
        <x:v>850000</x:v>
      </x:c>
      <x:c r="L334" s="12" t="n">
        <x:f>IF(COUNT(J334:K334)=2,IF(K334=0,"",J334/K334),"")</x:f>
        <x:v>0.6423529411764706</x:v>
      </x:c>
      <x:c r="M334" s="10" t="str">
        <x:v>Тема: סליחה על השאלה | אנשים עם עיוורון. Одинаковый вопрос разным людям позволяет сравнить ответы и акценты. Формат вводит социальные группы через их собственную речь.</x:v>
      </x:c>
      <x:c r="N334" s="10" t="str">
        <x:v>Сравнить два ответа; выписать вопросительные конструкции и выражения опыта.</x:v>
      </x:c>
      <x:c r="O334" s="10" t="str">
        <x:v>Некоторые выпуски затрагивают травму, секс, инвалидность; проверить выпуск</x:v>
      </x:c>
      <x:c r="P334" s="10" t="str">
        <x:v>Самостоятельное видео</x:v>
      </x:c>
      <x:c r="Q334" s="9" t="str">
        <x:v>Нет</x:v>
      </x:c>
      <x:c r="R334" s="9" t="str">
        <x:v>C021</x:v>
      </x:c>
      <x:c r="S334" s="9" t="str">
        <x:v>C021</x:v>
      </x:c>
      <x:c r="T334" s="10" t="str">
        <x:v>כאן 11 - תאגיד השידור הישראלי</x:v>
      </x:c>
      <x:c r="U334" s="11" t="str">
        <x:v>https://www.youtube.com/watch?v=gXMX96tv4f8</x:v>
      </x:c>
      <x:c r="V334" s="16" t="n">
        <x:v>46308</x:v>
      </x:c>
      <x:c r="W334" s="16"/>
      <x:c r="X334" s="10" t="str">
        <x:v>Иврит предполагается по заголовку и источнику</x:v>
      </x:c>
      <x:c r="Y334" s="10" t="str">
        <x:v>Не проверено</x:v>
      </x:c>
      <x:c r="Z334" s="10" t="str">
        <x:v>Не проверено</x:v>
      </x:c>
      <x:c r="AA334" s="10" t="str">
        <x:v>Метаданные списка; видео не просмотрено</x:v>
      </x:c>
      <x:c r="AB334" s="13" t="str">
        <x:f>IF(AND(ISNUMBER(H334),ISNUMBER(W334)),H334/MAX(1,'Обзор'!$B$4-W334),"")</x:f>
      </x:c>
      <x:c r="AC334" s="17" t="str">
        <x:v>Не решено</x:v>
      </x:c>
      <x:c r="AD334" s="17" t="str">
        <x:v>Не проверено</x:v>
      </x:c>
      <x:c r="AE334" s="17" t="str">
        <x:v>Не проверено</x:v>
      </x:c>
      <x:c r="AF334" s="17" t="str">
        <x:v>Не проверено</x:v>
      </x:c>
      <x:c r="AG334" s="17" t="str">
        <x:v>Не решено</x:v>
      </x:c>
      <x:c r="AH334" s="17" t="str">
        <x:v>Не проверено</x:v>
      </x:c>
      <x:c r="AI334" s="10" t="str">
        <x:f>IF(AC334="Отклонить","Отклонено",IF(AND(AC334="Взять",COUNTIFS(AD334:AH334,"Да")=5),"Готово","Нужна редактура"))</x:f>
        <x:v>Нужна редактура</x:v>
      </x:c>
      <x:c r="AJ334" s="17" t="str"/>
      <x:c r="AK334" s="9" t="str">
        <x:v>https://www.youtube.com/playlist?list=PLLttfoK87AdXGer0EngTGxdG7arnOSmbj</x:v>
      </x:c>
      <x:c r="AL334" s="9" t="n">
        <x:v>10</x:v>
      </x:c>
      <x:c r="AM334" s="9"/>
      <x:c r="AN334" s="9"/>
    </x:row>
    <x:row r="335" ht="60" customHeight="1">
      <x:c r="A335" s="9" t="str">
        <x:v>w0CbUMLkpdA</x:v>
      </x:c>
      <x:c r="B335" s="10" t="str">
        <x:v>סליחה על השאלה | עולים מבריה"מ לשעבר</x:v>
      </x:c>
      <x:c r="C335" s="10" t="str">
        <x:v>Разнообразие общества</x:v>
      </x:c>
      <x:c r="D335" s="9" t="str">
        <x:v>Общество</x:v>
      </x:c>
      <x:c r="E335" s="10" t="str">
        <x:v>Общество; человеческие истории; взрослые</x:v>
      </x:c>
      <x:c r="F335" s="10" t="str">
        <x:v>B1–B2 (гипотеза)</x:v>
      </x:c>
      <x:c r="G335" s="12" t="n">
        <x:v>25.2</x:v>
      </x:c>
      <x:c r="H335" s="14" t="n">
        <x:v>615000</x:v>
      </x:c>
      <x:c r="I335" s="15" t="str">
        <x:v>Округлённый счётчик в списке YouTube</x:v>
      </x:c>
      <x:c r="J335" s="14" t="n">
        <x:v>615000</x:v>
      </x:c>
      <x:c r="K335" s="14" t="n">
        <x:v>850000</x:v>
      </x:c>
      <x:c r="L335" s="12" t="n">
        <x:f>IF(COUNT(J335:K335)=2,IF(K335=0,"",J335/K335),"")</x:f>
        <x:v>0.7235294117647059</x:v>
      </x:c>
      <x:c r="M335" s="10" t="str">
        <x:v>Тема: סליחה על השאלה | עולים מבריה"מ לשעבר. Одинаковый вопрос разным людям позволяет сравнить ответы и акценты. Формат вводит социальные группы через их собственную речь.</x:v>
      </x:c>
      <x:c r="N335" s="10" t="str">
        <x:v>Сравнить два ответа; выписать вопросительные конструкции и выражения опыта.</x:v>
      </x:c>
      <x:c r="O335" s="10" t="str">
        <x:v>Некоторые выпуски затрагивают травму, секс, инвалидность; проверить выпуск</x:v>
      </x:c>
      <x:c r="P335" s="10" t="str">
        <x:v>Самостоятельное видео</x:v>
      </x:c>
      <x:c r="Q335" s="9" t="str">
        <x:v>Нет</x:v>
      </x:c>
      <x:c r="R335" s="9" t="str">
        <x:v>C021</x:v>
      </x:c>
      <x:c r="S335" s="9" t="str">
        <x:v>C021</x:v>
      </x:c>
      <x:c r="T335" s="10" t="str">
        <x:v>כאן 11 - תאגיד השידור הישראלי</x:v>
      </x:c>
      <x:c r="U335" s="11" t="str">
        <x:v>https://www.youtube.com/watch?v=w0CbUMLkpdA</x:v>
      </x:c>
      <x:c r="V335" s="16" t="n">
        <x:v>46308</x:v>
      </x:c>
      <x:c r="W335" s="16"/>
      <x:c r="X335" s="10" t="str">
        <x:v>Иврит предполагается по заголовку и источнику</x:v>
      </x:c>
      <x:c r="Y335" s="10" t="str">
        <x:v>Не проверено</x:v>
      </x:c>
      <x:c r="Z335" s="10" t="str">
        <x:v>Не проверено</x:v>
      </x:c>
      <x:c r="AA335" s="10" t="str">
        <x:v>Метаданные списка; видео не просмотрено</x:v>
      </x:c>
      <x:c r="AB335" s="13" t="str">
        <x:f>IF(AND(ISNUMBER(H335),ISNUMBER(W335)),H335/MAX(1,'Обзор'!$B$4-W335),"")</x:f>
      </x:c>
      <x:c r="AC335" s="17" t="str">
        <x:v>Не решено</x:v>
      </x:c>
      <x:c r="AD335" s="17" t="str">
        <x:v>Не проверено</x:v>
      </x:c>
      <x:c r="AE335" s="17" t="str">
        <x:v>Не проверено</x:v>
      </x:c>
      <x:c r="AF335" s="17" t="str">
        <x:v>Не проверено</x:v>
      </x:c>
      <x:c r="AG335" s="17" t="str">
        <x:v>Не решено</x:v>
      </x:c>
      <x:c r="AH335" s="17" t="str">
        <x:v>Не проверено</x:v>
      </x:c>
      <x:c r="AI335" s="10" t="str">
        <x:f>IF(AC335="Отклонить","Отклонено",IF(AND(AC335="Взять",COUNTIFS(AD335:AH335,"Да")=5),"Готово","Нужна редактура"))</x:f>
        <x:v>Нужна редактура</x:v>
      </x:c>
      <x:c r="AJ335" s="17" t="str"/>
      <x:c r="AK335" s="9" t="str">
        <x:v>https://www.youtube.com/playlist?list=PLLttfoK87AdXGer0EngTGxdG7arnOSmbj</x:v>
      </x:c>
      <x:c r="AL335" s="9" t="n">
        <x:v>11</x:v>
      </x:c>
      <x:c r="AM335" s="9"/>
      <x:c r="AN335" s="9"/>
    </x:row>
    <x:row r="336" ht="60" customHeight="1">
      <x:c r="A336" s="9" t="str">
        <x:v>khPmkDuHGbA</x:v>
      </x:c>
      <x:c r="B336" s="10" t="str">
        <x:v>סליחה על השאלה | ערבים</x:v>
      </x:c>
      <x:c r="C336" s="10" t="str">
        <x:v>Разнообразие общества</x:v>
      </x:c>
      <x:c r="D336" s="9" t="str">
        <x:v>Общество</x:v>
      </x:c>
      <x:c r="E336" s="10" t="str">
        <x:v>Общество; человеческие истории; взрослые</x:v>
      </x:c>
      <x:c r="F336" s="10" t="str">
        <x:v>B1–B2 (гипотеза)</x:v>
      </x:c>
      <x:c r="G336" s="12" t="n">
        <x:v>25.6</x:v>
      </x:c>
      <x:c r="H336" s="14" t="n">
        <x:v>803451</x:v>
      </x:c>
      <x:c r="I336" s="15" t="str">
        <x:v>Точный счётчик метаданных видео</x:v>
      </x:c>
      <x:c r="J336" s="14" t="n">
        <x:v>803000</x:v>
      </x:c>
      <x:c r="K336" s="14" t="n">
        <x:v>850000</x:v>
      </x:c>
      <x:c r="L336" s="12" t="n">
        <x:f>IF(COUNT(J336:K336)=2,IF(K336=0,"",J336/K336),"")</x:f>
        <x:v>0.9447058823529412</x:v>
      </x:c>
      <x:c r="M336" s="10" t="str">
        <x:v>Тема: סליחה על השאלה | ערבים. Одинаковый вопрос разным людям позволяет сравнить ответы и акценты. Формат вводит социальные группы через их собственную речь.</x:v>
      </x:c>
      <x:c r="N336" s="10" t="str">
        <x:v>Сравнить два ответа; выписать вопросительные конструкции и выражения опыта.</x:v>
      </x:c>
      <x:c r="O336" s="10" t="str">
        <x:v>Некоторые выпуски затрагивают травму, секс, инвалидность; проверить выпуск</x:v>
      </x:c>
      <x:c r="P336" s="10" t="str">
        <x:v>Самостоятельное видео</x:v>
      </x:c>
      <x:c r="Q336" s="9" t="str">
        <x:v>Нет</x:v>
      </x:c>
      <x:c r="R336" s="9" t="str">
        <x:v>C021</x:v>
      </x:c>
      <x:c r="S336" s="9" t="str">
        <x:v>C021</x:v>
      </x:c>
      <x:c r="T336" s="10" t="str">
        <x:v>כאן 11 - תאגיד השידור הישראלי</x:v>
      </x:c>
      <x:c r="U336" s="11" t="str">
        <x:v>https://www.youtube.com/watch?v=khPmkDuHGbA</x:v>
      </x:c>
      <x:c r="V336" s="16" t="n">
        <x:v>46308</x:v>
      </x:c>
      <x:c r="W336" s="16" t="n">
        <x:v>43375</x:v>
      </x:c>
      <x:c r="X336" s="10" t="str">
        <x:v>Иврит предполагается по заголовку и источнику</x:v>
      </x:c>
      <x:c r="Y336" s="10" t="str">
        <x:v>Дорожка HE не найдена в метаданных; вшитые титры не проверены</x:v>
      </x:c>
      <x:c r="Z336" s="10" t="str">
        <x:v>Разрешено по метаданным</x:v>
      </x:c>
      <x:c r="AA336" s="10" t="str">
        <x:v>Метаданные видео; воспроизведение и содержание не проверены</x:v>
      </x:c>
      <x:c r="AB336" s="13" t="n">
        <x:f>IF(AND(ISNUMBER(H336),ISNUMBER(W336)),H336/MAX(1,'Обзор'!$B$4-W336),"")</x:f>
        <x:v>273.9348789635186</x:v>
      </x:c>
      <x:c r="AC336" s="17" t="str">
        <x:v>Не решено</x:v>
      </x:c>
      <x:c r="AD336" s="17" t="str">
        <x:v>Не проверено</x:v>
      </x:c>
      <x:c r="AE336" s="17" t="str">
        <x:v>Не проверено</x:v>
      </x:c>
      <x:c r="AF336" s="17" t="str">
        <x:v>Не проверено</x:v>
      </x:c>
      <x:c r="AG336" s="17" t="str">
        <x:v>Не решено</x:v>
      </x:c>
      <x:c r="AH336" s="17" t="str">
        <x:v>Не проверено</x:v>
      </x:c>
      <x:c r="AI336" s="10" t="str">
        <x:f>IF(AC336="Отклонить","Отклонено",IF(AND(AC336="Взять",COUNTIFS(AD336:AH336,"Да")=5),"Готово","Нужна редактура"))</x:f>
        <x:v>Нужна редактура</x:v>
      </x:c>
      <x:c r="AJ336" s="17" t="str"/>
      <x:c r="AK336" s="9" t="str">
        <x:v>https://www.youtube.com/playlist?list=PLLttfoK87AdXGer0EngTGxdG7arnOSmbj</x:v>
      </x:c>
      <x:c r="AL336" s="9" t="n">
        <x:v>12</x:v>
      </x:c>
      <x:c r="AM336" s="9"/>
      <x:c r="AN336" s="9" t="n">
        <x:v>0</x:v>
      </x:c>
    </x:row>
    <x:row r="337" ht="60" customHeight="1">
      <x:c r="A337" s="9" t="str">
        <x:v>4hengLwPRow</x:v>
      </x:c>
      <x:c r="B337" s="10" t="str">
        <x:v>סליחה על השאלה | פוליאמורים (ריבוי אהבות)</x:v>
      </x:c>
      <x:c r="C337" s="10" t="str">
        <x:v>Разнообразие общества</x:v>
      </x:c>
      <x:c r="D337" s="9" t="str">
        <x:v>Общество</x:v>
      </x:c>
      <x:c r="E337" s="10" t="str">
        <x:v>Общество; человеческие истории; взрослые</x:v>
      </x:c>
      <x:c r="F337" s="10" t="str">
        <x:v>B1–B2 (гипотеза)</x:v>
      </x:c>
      <x:c r="G337" s="12" t="n">
        <x:v>26.2</x:v>
      </x:c>
      <x:c r="H337" s="14" t="n">
        <x:v>669000</x:v>
      </x:c>
      <x:c r="I337" s="15" t="str">
        <x:v>Округлённый счётчик в списке YouTube</x:v>
      </x:c>
      <x:c r="J337" s="14" t="n">
        <x:v>669000</x:v>
      </x:c>
      <x:c r="K337" s="14" t="n">
        <x:v>850000</x:v>
      </x:c>
      <x:c r="L337" s="12" t="n">
        <x:f>IF(COUNT(J337:K337)=2,IF(K337=0,"",J337/K337),"")</x:f>
        <x:v>0.7870588235294118</x:v>
      </x:c>
      <x:c r="M337" s="10" t="str">
        <x:v>Тема: סליחה על השאלה | פוליאמורים (ריבוי אהבות). Одинаковый вопрос разным людям позволяет сравнить ответы и акценты. Формат вводит социальные группы через их собственную речь.</x:v>
      </x:c>
      <x:c r="N337" s="10" t="str">
        <x:v>Сравнить два ответа; выписать вопросительные конструкции и выражения опыта.</x:v>
      </x:c>
      <x:c r="O337" s="10" t="str">
        <x:v>Некоторые выпуски затрагивают травму, секс, инвалидность; проверить выпуск</x:v>
      </x:c>
      <x:c r="P337" s="10" t="str">
        <x:v>Самостоятельное видео</x:v>
      </x:c>
      <x:c r="Q337" s="9" t="str">
        <x:v>Нет</x:v>
      </x:c>
      <x:c r="R337" s="9" t="str">
        <x:v>C021</x:v>
      </x:c>
      <x:c r="S337" s="9" t="str">
        <x:v>C021</x:v>
      </x:c>
      <x:c r="T337" s="10" t="str">
        <x:v>כאן 11 - תאגיד השידור הישראלי</x:v>
      </x:c>
      <x:c r="U337" s="11" t="str">
        <x:v>https://www.youtube.com/watch?v=4hengLwPRow</x:v>
      </x:c>
      <x:c r="V337" s="16" t="n">
        <x:v>46308</x:v>
      </x:c>
      <x:c r="W337" s="16"/>
      <x:c r="X337" s="10" t="str">
        <x:v>Иврит предполагается по заголовку и источнику</x:v>
      </x:c>
      <x:c r="Y337" s="10" t="str">
        <x:v>Не проверено</x:v>
      </x:c>
      <x:c r="Z337" s="10" t="str">
        <x:v>Не проверено</x:v>
      </x:c>
      <x:c r="AA337" s="10" t="str">
        <x:v>Метаданные списка; видео не просмотрено</x:v>
      </x:c>
      <x:c r="AB337" s="13" t="str">
        <x:f>IF(AND(ISNUMBER(H337),ISNUMBER(W337)),H337/MAX(1,'Обзор'!$B$4-W337),"")</x:f>
      </x:c>
      <x:c r="AC337" s="17" t="str">
        <x:v>Не решено</x:v>
      </x:c>
      <x:c r="AD337" s="17" t="str">
        <x:v>Не проверено</x:v>
      </x:c>
      <x:c r="AE337" s="17" t="str">
        <x:v>Не проверено</x:v>
      </x:c>
      <x:c r="AF337" s="17" t="str">
        <x:v>Не проверено</x:v>
      </x:c>
      <x:c r="AG337" s="17" t="str">
        <x:v>Не решено</x:v>
      </x:c>
      <x:c r="AH337" s="17" t="str">
        <x:v>Не проверено</x:v>
      </x:c>
      <x:c r="AI337" s="10" t="str">
        <x:f>IF(AC337="Отклонить","Отклонено",IF(AND(AC337="Взять",COUNTIFS(AD337:AH337,"Да")=5),"Готово","Нужна редактура"))</x:f>
        <x:v>Нужна редактура</x:v>
      </x:c>
      <x:c r="AJ337" s="17" t="str"/>
      <x:c r="AK337" s="9" t="str">
        <x:v>https://www.youtube.com/playlist?list=PLLttfoK87AdXGer0EngTGxdG7arnOSmbj</x:v>
      </x:c>
      <x:c r="AL337" s="9" t="n">
        <x:v>13</x:v>
      </x:c>
      <x:c r="AM337" s="9"/>
      <x:c r="AN337" s="9"/>
    </x:row>
    <x:row r="338" ht="60" customHeight="1">
      <x:c r="A338" s="9" t="str">
        <x:v>d6EXh-Hs3ts</x:v>
      </x:c>
      <x:c r="B338" s="10" t="str">
        <x:v>סליחה על השאלה | פליטים</x:v>
      </x:c>
      <x:c r="C338" s="10" t="str">
        <x:v>Разнообразие общества</x:v>
      </x:c>
      <x:c r="D338" s="9" t="str">
        <x:v>Общество</x:v>
      </x:c>
      <x:c r="E338" s="10" t="str">
        <x:v>Общество; человеческие истории; взрослые</x:v>
      </x:c>
      <x:c r="F338" s="10" t="str">
        <x:v>B1–B2 (гипотеза)</x:v>
      </x:c>
      <x:c r="G338" s="12" t="n">
        <x:v>25.4</x:v>
      </x:c>
      <x:c r="H338" s="14" t="n">
        <x:v>456000</x:v>
      </x:c>
      <x:c r="I338" s="15" t="str">
        <x:v>Округлённый счётчик в списке YouTube</x:v>
      </x:c>
      <x:c r="J338" s="14" t="n">
        <x:v>456000</x:v>
      </x:c>
      <x:c r="K338" s="14" t="n">
        <x:v>850000</x:v>
      </x:c>
      <x:c r="L338" s="12" t="n">
        <x:f>IF(COUNT(J338:K338)=2,IF(K338=0,"",J338/K338),"")</x:f>
        <x:v>0.5364705882352941</x:v>
      </x:c>
      <x:c r="M338" s="10" t="str">
        <x:v>Тема: סליחה על השאלה | פליטים. Одинаковый вопрос разным людям позволяет сравнить ответы и акценты. Формат вводит социальные группы через их собственную речь.</x:v>
      </x:c>
      <x:c r="N338" s="10" t="str">
        <x:v>Сравнить два ответа; выписать вопросительные конструкции и выражения опыта.</x:v>
      </x:c>
      <x:c r="O338" s="10" t="str">
        <x:v>Некоторые выпуски затрагивают травму, секс, инвалидность; проверить выпуск</x:v>
      </x:c>
      <x:c r="P338" s="10" t="str">
        <x:v>Самостоятельное видео</x:v>
      </x:c>
      <x:c r="Q338" s="9" t="str">
        <x:v>Нет</x:v>
      </x:c>
      <x:c r="R338" s="9" t="str">
        <x:v>C021</x:v>
      </x:c>
      <x:c r="S338" s="9" t="str">
        <x:v>C021</x:v>
      </x:c>
      <x:c r="T338" s="10" t="str">
        <x:v>כאן 11 - תאגיד השידור הישראלי</x:v>
      </x:c>
      <x:c r="U338" s="11" t="str">
        <x:v>https://www.youtube.com/watch?v=d6EXh-Hs3ts</x:v>
      </x:c>
      <x:c r="V338" s="16" t="n">
        <x:v>46308</x:v>
      </x:c>
      <x:c r="W338" s="16"/>
      <x:c r="X338" s="10" t="str">
        <x:v>Иврит предполагается по заголовку и источнику</x:v>
      </x:c>
      <x:c r="Y338" s="10" t="str">
        <x:v>Не проверено</x:v>
      </x:c>
      <x:c r="Z338" s="10" t="str">
        <x:v>Не проверено</x:v>
      </x:c>
      <x:c r="AA338" s="10" t="str">
        <x:v>Метаданные списка; видео не просмотрено</x:v>
      </x:c>
      <x:c r="AB338" s="13" t="str">
        <x:f>IF(AND(ISNUMBER(H338),ISNUMBER(W338)),H338/MAX(1,'Обзор'!$B$4-W338),"")</x:f>
      </x:c>
      <x:c r="AC338" s="17" t="str">
        <x:v>Не решено</x:v>
      </x:c>
      <x:c r="AD338" s="17" t="str">
        <x:v>Не проверено</x:v>
      </x:c>
      <x:c r="AE338" s="17" t="str">
        <x:v>Не проверено</x:v>
      </x:c>
      <x:c r="AF338" s="17" t="str">
        <x:v>Не проверено</x:v>
      </x:c>
      <x:c r="AG338" s="17" t="str">
        <x:v>Не решено</x:v>
      </x:c>
      <x:c r="AH338" s="17" t="str">
        <x:v>Не проверено</x:v>
      </x:c>
      <x:c r="AI338" s="10" t="str">
        <x:f>IF(AC338="Отклонить","Отклонено",IF(AND(AC338="Взять",COUNTIFS(AD338:AH338,"Да")=5),"Готово","Нужна редактура"))</x:f>
        <x:v>Нужна редактура</x:v>
      </x:c>
      <x:c r="AJ338" s="17" t="str"/>
      <x:c r="AK338" s="9" t="str">
        <x:v>https://www.youtube.com/playlist?list=PLLttfoK87AdXGer0EngTGxdG7arnOSmbj</x:v>
      </x:c>
      <x:c r="AL338" s="9" t="n">
        <x:v>14</x:v>
      </x:c>
      <x:c r="AM338" s="9"/>
      <x:c r="AN338" s="9"/>
    </x:row>
    <x:row r="339" ht="60" customHeight="1">
      <x:c r="A339" s="9" t="str">
        <x:v>V0b84TS9l9I</x:v>
      </x:c>
      <x:c r="B339" s="10" t="str">
        <x:v>סליחה על השאלה | שמנים</x:v>
      </x:c>
      <x:c r="C339" s="10" t="str">
        <x:v>Разнообразие общества</x:v>
      </x:c>
      <x:c r="D339" s="9" t="str">
        <x:v>Общество</x:v>
      </x:c>
      <x:c r="E339" s="10" t="str">
        <x:v>Общество; человеческие истории; взрослые</x:v>
      </x:c>
      <x:c r="F339" s="10" t="str">
        <x:v>B1–B2 (гипотеза)</x:v>
      </x:c>
      <x:c r="G339" s="12" t="n">
        <x:v>25.2</x:v>
      </x:c>
      <x:c r="H339" s="14" t="n">
        <x:v>985519</x:v>
      </x:c>
      <x:c r="I339" s="15" t="str">
        <x:v>Точный счётчик метаданных видео</x:v>
      </x:c>
      <x:c r="J339" s="14" t="n">
        <x:v>985000</x:v>
      </x:c>
      <x:c r="K339" s="14" t="n">
        <x:v>850000</x:v>
      </x:c>
      <x:c r="L339" s="12" t="n">
        <x:f>IF(COUNT(J339:K339)=2,IF(K339=0,"",J339/K339),"")</x:f>
        <x:v>1.1588235294117648</x:v>
      </x:c>
      <x:c r="M339" s="10" t="str">
        <x:v>Тема: סליחה על השאלה | שמנים. Одинаковый вопрос разным людям позволяет сравнить ответы и акценты. Формат вводит социальные группы через их собственную речь.</x:v>
      </x:c>
      <x:c r="N339" s="10" t="str">
        <x:v>Сравнить два ответа; выписать вопросительные конструкции и выражения опыта.</x:v>
      </x:c>
      <x:c r="O339" s="10" t="str">
        <x:v>Некоторые выпуски затрагивают травму, секс, инвалидность; проверить выпуск</x:v>
      </x:c>
      <x:c r="P339" s="10" t="str">
        <x:v>Самостоятельное видео</x:v>
      </x:c>
      <x:c r="Q339" s="9" t="str">
        <x:v>Нет</x:v>
      </x:c>
      <x:c r="R339" s="9" t="str">
        <x:v>C021</x:v>
      </x:c>
      <x:c r="S339" s="9" t="str">
        <x:v>C021</x:v>
      </x:c>
      <x:c r="T339" s="10" t="str">
        <x:v>כאן 11 - תאגיד השידור הישראלי</x:v>
      </x:c>
      <x:c r="U339" s="11" t="str">
        <x:v>https://www.youtube.com/watch?v=V0b84TS9l9I</x:v>
      </x:c>
      <x:c r="V339" s="16" t="n">
        <x:v>46308</x:v>
      </x:c>
      <x:c r="W339" s="16" t="n">
        <x:v>43310</x:v>
      </x:c>
      <x:c r="X339" s="10" t="str">
        <x:v>Иврит предполагается по заголовку и источнику</x:v>
      </x:c>
      <x:c r="Y339" s="10" t="str">
        <x:v>Дорожка HE не найдена в метаданных; вшитые титры не проверены</x:v>
      </x:c>
      <x:c r="Z339" s="10" t="str">
        <x:v>Разрешено по метаданным</x:v>
      </x:c>
      <x:c r="AA339" s="10" t="str">
        <x:v>Метаданные видео; воспроизведение и содержание не проверены</x:v>
      </x:c>
      <x:c r="AB339" s="13" t="n">
        <x:f>IF(AND(ISNUMBER(H339),ISNUMBER(W339)),H339/MAX(1,'Обзор'!$B$4-W339),"")</x:f>
        <x:v>328.7254836557705</x:v>
      </x:c>
      <x:c r="AC339" s="17" t="str">
        <x:v>Не решено</x:v>
      </x:c>
      <x:c r="AD339" s="17" t="str">
        <x:v>Не проверено</x:v>
      </x:c>
      <x:c r="AE339" s="17" t="str">
        <x:v>Не проверено</x:v>
      </x:c>
      <x:c r="AF339" s="17" t="str">
        <x:v>Не проверено</x:v>
      </x:c>
      <x:c r="AG339" s="17" t="str">
        <x:v>Не решено</x:v>
      </x:c>
      <x:c r="AH339" s="17" t="str">
        <x:v>Не проверено</x:v>
      </x:c>
      <x:c r="AI339" s="10" t="str">
        <x:f>IF(AC339="Отклонить","Отклонено",IF(AND(AC339="Взять",COUNTIFS(AD339:AH339,"Да")=5),"Готово","Нужна редактура"))</x:f>
        <x:v>Нужна редактура</x:v>
      </x:c>
      <x:c r="AJ339" s="17" t="str"/>
      <x:c r="AK339" s="9" t="str">
        <x:v>https://www.youtube.com/playlist?list=PLLttfoK87AdXGer0EngTGxdG7arnOSmbj</x:v>
      </x:c>
      <x:c r="AL339" s="9" t="n">
        <x:v>15</x:v>
      </x:c>
      <x:c r="AM339" s="9"/>
      <x:c r="AN339" s="9" t="n">
        <x:v>0</x:v>
      </x:c>
    </x:row>
    <x:row r="340" ht="60" customHeight="1">
      <x:c r="A340" s="9" t="str">
        <x:v>PZP10vQkXJE</x:v>
      </x:c>
      <x:c r="B340" s="10" t="str">
        <x:v>רצינו להגיד: סליחה על השאלה ותודה על המחמאות</x:v>
      </x:c>
      <x:c r="C340" s="10" t="str">
        <x:v>Разнообразие общества</x:v>
      </x:c>
      <x:c r="D340" s="9" t="str">
        <x:v>Общество</x:v>
      </x:c>
      <x:c r="E340" s="10" t="str">
        <x:v>Общество; человеческие истории; взрослые</x:v>
      </x:c>
      <x:c r="F340" s="10" t="str">
        <x:v>B1–B2 (гипотеза)</x:v>
      </x:c>
      <x:c r="G340" s="12" t="n">
        <x:v>0.9</x:v>
      </x:c>
      <x:c r="H340" s="14" t="n">
        <x:v>73000</x:v>
      </x:c>
      <x:c r="I340" s="15" t="str">
        <x:v>Округлённый счётчик в списке YouTube</x:v>
      </x:c>
      <x:c r="J340" s="14" t="n">
        <x:v>73000</x:v>
      </x:c>
      <x:c r="K340" s="14" t="n">
        <x:v>850000</x:v>
      </x:c>
      <x:c r="L340" s="12" t="n">
        <x:f>IF(COUNT(J340:K340)=2,IF(K340=0,"",J340/K340),"")</x:f>
        <x:v>0.08588235294117647</x:v>
      </x:c>
      <x:c r="M340" s="10" t="str">
        <x:v>Завершённый короткий просмотр около 1 мин. Просмотры ниже медианы цикла; выбирать за нишевую ценность, а не за массовый охват. Одинаковый вопрос разным людям позволяет сравнить ответы и акценты. Формат вводит социальные группы через их собственную речь.</x:v>
      </x:c>
      <x:c r="N340" s="10" t="str">
        <x:v>Сравнить два ответа; выписать вопросительные конструкции и выражения опыта.</x:v>
      </x:c>
      <x:c r="O340" s="10" t="str">
        <x:v>Некоторые выпуски затрагивают травму, секс, инвалидность; проверить выпуск</x:v>
      </x:c>
      <x:c r="P340" s="10" t="str">
        <x:v>Самостоятельное видео</x:v>
      </x:c>
      <x:c r="Q340" s="9" t="str">
        <x:v>Нет</x:v>
      </x:c>
      <x:c r="R340" s="9" t="str">
        <x:v>C021</x:v>
      </x:c>
      <x:c r="S340" s="9" t="str">
        <x:v>C021</x:v>
      </x:c>
      <x:c r="T340" s="10" t="str">
        <x:v>כאן 11 - תאגיד השידור הישראלי</x:v>
      </x:c>
      <x:c r="U340" s="11" t="str">
        <x:v>https://www.youtube.com/watch?v=PZP10vQkXJE</x:v>
      </x:c>
      <x:c r="V340" s="16" t="n">
        <x:v>46308</x:v>
      </x:c>
      <x:c r="W340" s="16"/>
      <x:c r="X340" s="10" t="str">
        <x:v>Иврит предполагается по заголовку и источнику</x:v>
      </x:c>
      <x:c r="Y340" s="10" t="str">
        <x:v>Не проверено</x:v>
      </x:c>
      <x:c r="Z340" s="10" t="str">
        <x:v>Не проверено</x:v>
      </x:c>
      <x:c r="AA340" s="10" t="str">
        <x:v>Метаданные списка; видео не просмотрено</x:v>
      </x:c>
      <x:c r="AB340" s="13" t="str">
        <x:f>IF(AND(ISNUMBER(H340),ISNUMBER(W340)),H340/MAX(1,'Обзор'!$B$4-W340),"")</x:f>
      </x:c>
      <x:c r="AC340" s="17" t="str">
        <x:v>Не решено</x:v>
      </x:c>
      <x:c r="AD340" s="17" t="str">
        <x:v>Не проверено</x:v>
      </x:c>
      <x:c r="AE340" s="17" t="str">
        <x:v>Не проверено</x:v>
      </x:c>
      <x:c r="AF340" s="17" t="str">
        <x:v>Не проверено</x:v>
      </x:c>
      <x:c r="AG340" s="17" t="str">
        <x:v>Не решено</x:v>
      </x:c>
      <x:c r="AH340" s="17" t="str">
        <x:v>Не проверено</x:v>
      </x:c>
      <x:c r="AI340" s="10" t="str">
        <x:f>IF(AC340="Отклонить","Отклонено",IF(AND(AC340="Взять",COUNTIFS(AD340:AH340,"Да")=5),"Готово","Нужна редактура"))</x:f>
        <x:v>Нужна редактура</x:v>
      </x:c>
      <x:c r="AJ340" s="17" t="str"/>
      <x:c r="AK340" s="9" t="str">
        <x:v>https://www.youtube.com/playlist?list=PLLttfoK87AdXGer0EngTGxdG7arnOSmbj</x:v>
      </x:c>
      <x:c r="AL340" s="9" t="n">
        <x:v>16</x:v>
      </x:c>
      <x:c r="AM340" s="9"/>
      <x:c r="AN340" s="9"/>
    </x:row>
    <x:row r="341" ht="60" customHeight="1">
      <x:c r="A341" s="9" t="str">
        <x:v>rZBWtaihfqE</x:v>
      </x:c>
      <x:c r="B341" s="10" t="str">
        <x:v>בואו לאכול איתי עונה 9 | דרום - חלק א' (פרק 1)</x:v>
      </x:c>
      <x:c r="C341" s="10" t="str">
        <x:v>Еда и повседневность</x:v>
      </x:c>
      <x:c r="D341" s="9" t="str">
        <x:v>Быт</x:v>
      </x:c>
      <x:c r="E341" s="10" t="str">
        <x:v>Кулинария; отношения; лёгкий просмотр</x:v>
      </x:c>
      <x:c r="F341" s="10" t="str">
        <x:v>B1–B2 (гипотеза)</x:v>
      </x:c>
      <x:c r="G341" s="12" t="n">
        <x:v>30</x:v>
      </x:c>
      <x:c r="H341" s="14" t="n">
        <x:v>392789</x:v>
      </x:c>
      <x:c r="I341" s="15" t="str">
        <x:v>Точный счётчик метаданных видео</x:v>
      </x:c>
      <x:c r="J341" s="14" t="n">
        <x:v>392000</x:v>
      </x:c>
      <x:c r="K341" s="14" t="n">
        <x:v>182000</x:v>
      </x:c>
      <x:c r="L341" s="12" t="n">
        <x:f>IF(COUNT(J341:K341)=2,IF(K341=0,"",J341/K341),"")</x:f>
        <x:v>2.1538461538461537</x:v>
      </x:c>
      <x:c r="M341" s="10" t="str">
        <x:v>Тема: בואו לאכול איתי עונה 9 | דרום - חלק א' (פרק 1). Просмотры в списке выше медианы выборки этого цикла в 2.15 раза. Еда снижает порог входа для широкой аудитории. В одном выпуске встречаются приглашения, оценки, знакомство и бытовые споры.</x:v>
      </x:c>
      <x:c r="N341" s="10" t="str">
        <x:v>Составить приглашение на ужин и аргументированно оценить блюдо.</x:v>
      </x:c>
      <x:c r="O341" s="10" t="str">
        <x:v>Быстрая речь и стереотипы; порядок дней недели в серии</x:v>
      </x:c>
      <x:c r="P341" s="10" t="str">
        <x:v>Самостоятельное видео</x:v>
      </x:c>
      <x:c r="Q341" s="9" t="str">
        <x:v>Нет</x:v>
      </x:c>
      <x:c r="R341" s="9" t="str">
        <x:v>C022</x:v>
      </x:c>
      <x:c r="S341" s="9" t="str">
        <x:v>C022</x:v>
      </x:c>
      <x:c r="T341" s="10" t="str">
        <x:v>כאן 11 - תאגיד השידור הישראלי</x:v>
      </x:c>
      <x:c r="U341" s="11" t="str">
        <x:v>https://www.youtube.com/watch?v=rZBWtaihfqE</x:v>
      </x:c>
      <x:c r="V341" s="16" t="n">
        <x:v>46308</x:v>
      </x:c>
      <x:c r="W341" s="16" t="n">
        <x:v>45949</x:v>
      </x:c>
      <x:c r="X341" s="10" t="str">
        <x:v>Иврит предполагается по заголовку и источнику</x:v>
      </x:c>
      <x:c r="Y341" s="10" t="str">
        <x:v>Автоматическая дорожка HE по метаданным</x:v>
      </x:c>
      <x:c r="Z341" s="10" t="str">
        <x:v>Разрешено по метаданным</x:v>
      </x:c>
      <x:c r="AA341" s="10" t="str">
        <x:v>Метаданные видео; воспроизведение и содержание не проверены</x:v>
      </x:c>
      <x:c r="AB341" s="13" t="n">
        <x:f>IF(AND(ISNUMBER(H341),ISNUMBER(W341)),H341/MAX(1,'Обзор'!$B$4-W341),"")</x:f>
        <x:v>1094.1197771587745</x:v>
      </x:c>
      <x:c r="AC341" s="17" t="str">
        <x:v>Не решено</x:v>
      </x:c>
      <x:c r="AD341" s="17" t="str">
        <x:v>Не проверено</x:v>
      </x:c>
      <x:c r="AE341" s="17" t="str">
        <x:v>Не проверено</x:v>
      </x:c>
      <x:c r="AF341" s="17" t="str">
        <x:v>Не проверено</x:v>
      </x:c>
      <x:c r="AG341" s="17" t="str">
        <x:v>Не решено</x:v>
      </x:c>
      <x:c r="AH341" s="17" t="str">
        <x:v>Не проверено</x:v>
      </x:c>
      <x:c r="AI341" s="10" t="str">
        <x:f>IF(AC341="Отклонить","Отклонено",IF(AND(AC341="Взять",COUNTIFS(AD341:AH341,"Да")=5),"Готово","Нужна редактура"))</x:f>
        <x:v>Нужна редактура</x:v>
      </x:c>
      <x:c r="AJ341" s="17" t="str"/>
      <x:c r="AK341" s="9" t="str">
        <x:v>https://www.youtube.com/playlist?list=PLLttfoK87AdWRhROPAbHnw5EXvKWiHV8d</x:v>
      </x:c>
      <x:c r="AL341" s="9" t="n">
        <x:v>1</x:v>
      </x:c>
      <x:c r="AM341" s="9" t="n">
        <x:v>1</x:v>
      </x:c>
      <x:c r="AN341" s="9" t="n">
        <x:v>0</x:v>
      </x:c>
    </x:row>
    <x:row r="342" ht="60" customHeight="1">
      <x:c r="A342" s="9" t="str">
        <x:v>PFyh8OezW-s</x:v>
      </x:c>
      <x:c r="B342" s="10" t="str">
        <x:v>בואו לאכול איתי עונה 9 | דרום - חלק ב' (פרק 2)</x:v>
      </x:c>
      <x:c r="C342" s="10" t="str">
        <x:v>Еда и повседневность</x:v>
      </x:c>
      <x:c r="D342" s="9" t="str">
        <x:v>Быт</x:v>
      </x:c>
      <x:c r="E342" s="10" t="str">
        <x:v>Кулинария; отношения; лёгкий просмотр</x:v>
      </x:c>
      <x:c r="F342" s="10" t="str">
        <x:v>B1–B2 (гипотеза)</x:v>
      </x:c>
      <x:c r="G342" s="12" t="n">
        <x:v>29.5</x:v>
      </x:c>
      <x:c r="H342" s="14" t="n">
        <x:v>243043</x:v>
      </x:c>
      <x:c r="I342" s="15" t="str">
        <x:v>Точный счётчик метаданных видео</x:v>
      </x:c>
      <x:c r="J342" s="14" t="n">
        <x:v>243000</x:v>
      </x:c>
      <x:c r="K342" s="14" t="n">
        <x:v>182000</x:v>
      </x:c>
      <x:c r="L342" s="12" t="n">
        <x:f>IF(COUNT(J342:K342)=2,IF(K342=0,"",J342/K342),"")</x:f>
        <x:v>1.335164835164835</x:v>
      </x:c>
      <x:c r="M342" s="10" t="str">
        <x:v>Тема: בואו לאכול איתי עונה 9 | דרום - חלק ב' (פרק 2). Еда снижает порог входа для широкой аудитории. В одном выпуске встречаются приглашения, оценки, знакомство и бытовые споры.</x:v>
      </x:c>
      <x:c r="N342" s="10" t="str">
        <x:v>Составить приглашение на ужин и аргументированно оценить блюдо.</x:v>
      </x:c>
      <x:c r="O342" s="10" t="str">
        <x:v>Быстрая речь и стереотипы; порядок дней недели в серии</x:v>
      </x:c>
      <x:c r="P342" s="10" t="str">
        <x:v>Самостоятельное видео</x:v>
      </x:c>
      <x:c r="Q342" s="9" t="str">
        <x:v>Нет</x:v>
      </x:c>
      <x:c r="R342" s="9" t="str">
        <x:v>C022</x:v>
      </x:c>
      <x:c r="S342" s="9" t="str">
        <x:v>C022</x:v>
      </x:c>
      <x:c r="T342" s="10" t="str">
        <x:v>כאן 11 - תאגיד השידור הישראלי</x:v>
      </x:c>
      <x:c r="U342" s="11" t="str">
        <x:v>https://www.youtube.com/watch?v=PFyh8OezW-s</x:v>
      </x:c>
      <x:c r="V342" s="16" t="n">
        <x:v>46308</x:v>
      </x:c>
      <x:c r="W342" s="16" t="n">
        <x:v>45950</x:v>
      </x:c>
      <x:c r="X342" s="10" t="str">
        <x:v>Иврит предполагается по заголовку и источнику</x:v>
      </x:c>
      <x:c r="Y342" s="10" t="str">
        <x:v>Автоматическая дорожка HE по метаданным</x:v>
      </x:c>
      <x:c r="Z342" s="10" t="str">
        <x:v>Разрешено по метаданным</x:v>
      </x:c>
      <x:c r="AA342" s="10" t="str">
        <x:v>Метаданные видео; воспроизведение и содержание не проверены</x:v>
      </x:c>
      <x:c r="AB342" s="13" t="n">
        <x:f>IF(AND(ISNUMBER(H342),ISNUMBER(W342)),H342/MAX(1,'Обзор'!$B$4-W342),"")</x:f>
        <x:v>678.891061452514</x:v>
      </x:c>
      <x:c r="AC342" s="17" t="str">
        <x:v>Не решено</x:v>
      </x:c>
      <x:c r="AD342" s="17" t="str">
        <x:v>Не проверено</x:v>
      </x:c>
      <x:c r="AE342" s="17" t="str">
        <x:v>Не проверено</x:v>
      </x:c>
      <x:c r="AF342" s="17" t="str">
        <x:v>Не проверено</x:v>
      </x:c>
      <x:c r="AG342" s="17" t="str">
        <x:v>Не решено</x:v>
      </x:c>
      <x:c r="AH342" s="17" t="str">
        <x:v>Не проверено</x:v>
      </x:c>
      <x:c r="AI342" s="10" t="str">
        <x:f>IF(AC342="Отклонить","Отклонено",IF(AND(AC342="Взять",COUNTIFS(AD342:AH342,"Да")=5),"Готово","Нужна редактура"))</x:f>
        <x:v>Нужна редактура</x:v>
      </x:c>
      <x:c r="AJ342" s="17" t="str"/>
      <x:c r="AK342" s="9" t="str">
        <x:v>https://www.youtube.com/playlist?list=PLLttfoK87AdWRhROPAbHnw5EXvKWiHV8d</x:v>
      </x:c>
      <x:c r="AL342" s="9" t="n">
        <x:v>2</x:v>
      </x:c>
      <x:c r="AM342" s="9" t="n">
        <x:v>2</x:v>
      </x:c>
      <x:c r="AN342" s="9" t="n">
        <x:v>0</x:v>
      </x:c>
    </x:row>
    <x:row r="343" ht="60" customHeight="1">
      <x:c r="A343" s="9" t="str">
        <x:v>zzxvh_bhDkA</x:v>
      </x:c>
      <x:c r="B343" s="10" t="str">
        <x:v>בואו לאכול איתי עונה 9 | דרום - חלק ג' (פרק 3)</x:v>
      </x:c>
      <x:c r="C343" s="10" t="str">
        <x:v>Еда и повседневность</x:v>
      </x:c>
      <x:c r="D343" s="9" t="str">
        <x:v>Быт</x:v>
      </x:c>
      <x:c r="E343" s="10" t="str">
        <x:v>Кулинария; отношения; лёгкий просмотр</x:v>
      </x:c>
      <x:c r="F343" s="10" t="str">
        <x:v>B1–B2 (гипотеза)</x:v>
      </x:c>
      <x:c r="G343" s="12" t="n">
        <x:v>28.7</x:v>
      </x:c>
      <x:c r="H343" s="14" t="n">
        <x:v>216895</x:v>
      </x:c>
      <x:c r="I343" s="15" t="str">
        <x:v>Точный счётчик метаданных видео</x:v>
      </x:c>
      <x:c r="J343" s="14" t="n">
        <x:v>216000</x:v>
      </x:c>
      <x:c r="K343" s="14" t="n">
        <x:v>182000</x:v>
      </x:c>
      <x:c r="L343" s="12" t="n">
        <x:f>IF(COUNT(J343:K343)=2,IF(K343=0,"",J343/K343),"")</x:f>
        <x:v>1.1868131868131868</x:v>
      </x:c>
      <x:c r="M343" s="10" t="str">
        <x:v>Тема: בואו לאכול איתי עונה 9 | דרום - חלק ג' (פרק 3). Еда снижает порог входа для широкой аудитории. В одном выпуске встречаются приглашения, оценки, знакомство и бытовые споры.</x:v>
      </x:c>
      <x:c r="N343" s="10" t="str">
        <x:v>Составить приглашение на ужин и аргументированно оценить блюдо.</x:v>
      </x:c>
      <x:c r="O343" s="10" t="str">
        <x:v>Быстрая речь и стереотипы; порядок дней недели в серии</x:v>
      </x:c>
      <x:c r="P343" s="10" t="str">
        <x:v>Самостоятельное видео</x:v>
      </x:c>
      <x:c r="Q343" s="9" t="str">
        <x:v>Нет</x:v>
      </x:c>
      <x:c r="R343" s="9" t="str">
        <x:v>C022</x:v>
      </x:c>
      <x:c r="S343" s="9" t="str">
        <x:v>C022</x:v>
      </x:c>
      <x:c r="T343" s="10" t="str">
        <x:v>כאן 11 - תאגיד השידור הישראלי</x:v>
      </x:c>
      <x:c r="U343" s="11" t="str">
        <x:v>https://www.youtube.com/watch?v=zzxvh_bhDkA</x:v>
      </x:c>
      <x:c r="V343" s="16" t="n">
        <x:v>46308</x:v>
      </x:c>
      <x:c r="W343" s="16" t="n">
        <x:v>45951</x:v>
      </x:c>
      <x:c r="X343" s="10" t="str">
        <x:v>Иврит предполагается по заголовку и источнику</x:v>
      </x:c>
      <x:c r="Y343" s="10" t="str">
        <x:v>Автоматическая дорожка HE по метаданным</x:v>
      </x:c>
      <x:c r="Z343" s="10" t="str">
        <x:v>Разрешено по метаданным</x:v>
      </x:c>
      <x:c r="AA343" s="10" t="str">
        <x:v>Метаданные видео; воспроизведение и содержание не проверены</x:v>
      </x:c>
      <x:c r="AB343" s="13" t="n">
        <x:f>IF(AND(ISNUMBER(H343),ISNUMBER(W343)),H343/MAX(1,'Обзор'!$B$4-W343),"")</x:f>
        <x:v>607.5490196078431</x:v>
      </x:c>
      <x:c r="AC343" s="17" t="str">
        <x:v>Не решено</x:v>
      </x:c>
      <x:c r="AD343" s="17" t="str">
        <x:v>Не проверено</x:v>
      </x:c>
      <x:c r="AE343" s="17" t="str">
        <x:v>Не проверено</x:v>
      </x:c>
      <x:c r="AF343" s="17" t="str">
        <x:v>Не проверено</x:v>
      </x:c>
      <x:c r="AG343" s="17" t="str">
        <x:v>Не решено</x:v>
      </x:c>
      <x:c r="AH343" s="17" t="str">
        <x:v>Не проверено</x:v>
      </x:c>
      <x:c r="AI343" s="10" t="str">
        <x:f>IF(AC343="Отклонить","Отклонено",IF(AND(AC343="Взять",COUNTIFS(AD343:AH343,"Да")=5),"Готово","Нужна редактура"))</x:f>
        <x:v>Нужна редактура</x:v>
      </x:c>
      <x:c r="AJ343" s="17" t="str"/>
      <x:c r="AK343" s="9" t="str">
        <x:v>https://www.youtube.com/playlist?list=PLLttfoK87AdWRhROPAbHnw5EXvKWiHV8d</x:v>
      </x:c>
      <x:c r="AL343" s="9" t="n">
        <x:v>3</x:v>
      </x:c>
      <x:c r="AM343" s="9" t="n">
        <x:v>3</x:v>
      </x:c>
      <x:c r="AN343" s="9" t="n">
        <x:v>0</x:v>
      </x:c>
    </x:row>
    <x:row r="344" ht="60" customHeight="1">
      <x:c r="A344" s="9" t="str">
        <x:v>NVSvQOBHh8s</x:v>
      </x:c>
      <x:c r="B344" s="10" t="str">
        <x:v>בואו לאכול איתי עונה 9 | דרום - חלק ד' (פרק 4)</x:v>
      </x:c>
      <x:c r="C344" s="10" t="str">
        <x:v>Еда и повседневность</x:v>
      </x:c>
      <x:c r="D344" s="9" t="str">
        <x:v>Быт</x:v>
      </x:c>
      <x:c r="E344" s="10" t="str">
        <x:v>Кулинария; отношения; лёгкий просмотр</x:v>
      </x:c>
      <x:c r="F344" s="10" t="str">
        <x:v>B1–B2 (гипотеза)</x:v>
      </x:c>
      <x:c r="G344" s="12" t="n">
        <x:v>27.6</x:v>
      </x:c>
      <x:c r="H344" s="14" t="n">
        <x:v>222842</x:v>
      </x:c>
      <x:c r="I344" s="15" t="str">
        <x:v>Точный счётчик метаданных видео</x:v>
      </x:c>
      <x:c r="J344" s="14" t="n">
        <x:v>222000</x:v>
      </x:c>
      <x:c r="K344" s="14" t="n">
        <x:v>182000</x:v>
      </x:c>
      <x:c r="L344" s="12" t="n">
        <x:f>IF(COUNT(J344:K344)=2,IF(K344=0,"",J344/K344),"")</x:f>
        <x:v>1.2197802197802199</x:v>
      </x:c>
      <x:c r="M344" s="10" t="str">
        <x:v>Тема: בואו לאכול איתי עונה 9 | דרום - חלק ד' (פרק 4). Еда снижает порог входа для широкой аудитории. В одном выпуске встречаются приглашения, оценки, знакомство и бытовые споры.</x:v>
      </x:c>
      <x:c r="N344" s="10" t="str">
        <x:v>Составить приглашение на ужин и аргументированно оценить блюдо.</x:v>
      </x:c>
      <x:c r="O344" s="10" t="str">
        <x:v>Быстрая речь и стереотипы; порядок дней недели в серии</x:v>
      </x:c>
      <x:c r="P344" s="10" t="str">
        <x:v>Самостоятельное видео</x:v>
      </x:c>
      <x:c r="Q344" s="9" t="str">
        <x:v>Нет</x:v>
      </x:c>
      <x:c r="R344" s="9" t="str">
        <x:v>C022</x:v>
      </x:c>
      <x:c r="S344" s="9" t="str">
        <x:v>C022</x:v>
      </x:c>
      <x:c r="T344" s="10" t="str">
        <x:v>כאן 11 - תאגיד השידור הישראלי</x:v>
      </x:c>
      <x:c r="U344" s="11" t="str">
        <x:v>https://www.youtube.com/watch?v=NVSvQOBHh8s</x:v>
      </x:c>
      <x:c r="V344" s="16" t="n">
        <x:v>46308</x:v>
      </x:c>
      <x:c r="W344" s="16" t="n">
        <x:v>45952</x:v>
      </x:c>
      <x:c r="X344" s="10" t="str">
        <x:v>Иврит предполагается по заголовку и источнику</x:v>
      </x:c>
      <x:c r="Y344" s="10" t="str">
        <x:v>Автоматическая дорожка HE по метаданным</x:v>
      </x:c>
      <x:c r="Z344" s="10" t="str">
        <x:v>Разрешено по метаданным</x:v>
      </x:c>
      <x:c r="AA344" s="10" t="str">
        <x:v>Метаданные видео; воспроизведение и содержание не проверены</x:v>
      </x:c>
      <x:c r="AB344" s="13" t="n">
        <x:f>IF(AND(ISNUMBER(H344),ISNUMBER(W344)),H344/MAX(1,'Обзор'!$B$4-W344),"")</x:f>
        <x:v>625.9606741573034</x:v>
      </x:c>
      <x:c r="AC344" s="17" t="str">
        <x:v>Не решено</x:v>
      </x:c>
      <x:c r="AD344" s="17" t="str">
        <x:v>Не проверено</x:v>
      </x:c>
      <x:c r="AE344" s="17" t="str">
        <x:v>Не проверено</x:v>
      </x:c>
      <x:c r="AF344" s="17" t="str">
        <x:v>Не проверено</x:v>
      </x:c>
      <x:c r="AG344" s="17" t="str">
        <x:v>Не решено</x:v>
      </x:c>
      <x:c r="AH344" s="17" t="str">
        <x:v>Не проверено</x:v>
      </x:c>
      <x:c r="AI344" s="10" t="str">
        <x:f>IF(AC344="Отклонить","Отклонено",IF(AND(AC344="Взять",COUNTIFS(AD344:AH344,"Да")=5),"Готово","Нужна редактура"))</x:f>
        <x:v>Нужна редактура</x:v>
      </x:c>
      <x:c r="AJ344" s="17" t="str"/>
      <x:c r="AK344" s="9" t="str">
        <x:v>https://www.youtube.com/playlist?list=PLLttfoK87AdWRhROPAbHnw5EXvKWiHV8d</x:v>
      </x:c>
      <x:c r="AL344" s="9" t="n">
        <x:v>4</x:v>
      </x:c>
      <x:c r="AM344" s="9" t="n">
        <x:v>4</x:v>
      </x:c>
      <x:c r="AN344" s="9" t="n">
        <x:v>0</x:v>
      </x:c>
    </x:row>
    <x:row r="345" ht="60" customHeight="1">
      <x:c r="A345" s="9" t="str">
        <x:v>EI0g6P_tDaY</x:v>
      </x:c>
      <x:c r="B345" s="10" t="str">
        <x:v>בואו לאכול איתי עונה 9 | דרום - חלק ה' (פרק 5)</x:v>
      </x:c>
      <x:c r="C345" s="10" t="str">
        <x:v>Еда и повседневность</x:v>
      </x:c>
      <x:c r="D345" s="9" t="str">
        <x:v>Быт</x:v>
      </x:c>
      <x:c r="E345" s="10" t="str">
        <x:v>Кулинария; отношения; лёгкий просмотр</x:v>
      </x:c>
      <x:c r="F345" s="10" t="str">
        <x:v>B1–B2 (гипотеза)</x:v>
      </x:c>
      <x:c r="G345" s="12" t="n">
        <x:v>28</x:v>
      </x:c>
      <x:c r="H345" s="14" t="n">
        <x:v>204078</x:v>
      </x:c>
      <x:c r="I345" s="15" t="str">
        <x:v>Точный счётчик метаданных видео</x:v>
      </x:c>
      <x:c r="J345" s="14" t="n">
        <x:v>204000</x:v>
      </x:c>
      <x:c r="K345" s="14" t="n">
        <x:v>182000</x:v>
      </x:c>
      <x:c r="L345" s="12" t="n">
        <x:f>IF(COUNT(J345:K345)=2,IF(K345=0,"",J345/K345),"")</x:f>
        <x:v>1.120879120879121</x:v>
      </x:c>
      <x:c r="M345" s="10" t="str">
        <x:v>Тема: בואו לאכול איתי עונה 9 | דרום - חלק ה' (פרק 5). Еда снижает порог входа для широкой аудитории. В одном выпуске встречаются приглашения, оценки, знакомство и бытовые споры.</x:v>
      </x:c>
      <x:c r="N345" s="10" t="str">
        <x:v>Составить приглашение на ужин и аргументированно оценить блюдо.</x:v>
      </x:c>
      <x:c r="O345" s="10" t="str">
        <x:v>Быстрая речь и стереотипы; порядок дней недели в серии</x:v>
      </x:c>
      <x:c r="P345" s="10" t="str">
        <x:v>Самостоятельное видео</x:v>
      </x:c>
      <x:c r="Q345" s="9" t="str">
        <x:v>Нет</x:v>
      </x:c>
      <x:c r="R345" s="9" t="str">
        <x:v>C022</x:v>
      </x:c>
      <x:c r="S345" s="9" t="str">
        <x:v>C022</x:v>
      </x:c>
      <x:c r="T345" s="10" t="str">
        <x:v>כאן 11 - תאגיד השידור הישראלי</x:v>
      </x:c>
      <x:c r="U345" s="11" t="str">
        <x:v>https://www.youtube.com/watch?v=EI0g6P_tDaY</x:v>
      </x:c>
      <x:c r="V345" s="16" t="n">
        <x:v>46308</x:v>
      </x:c>
      <x:c r="W345" s="16" t="n">
        <x:v>45953</x:v>
      </x:c>
      <x:c r="X345" s="10" t="str">
        <x:v>Иврит предполагается по заголовку и источнику</x:v>
      </x:c>
      <x:c r="Y345" s="10" t="str">
        <x:v>Автоматическая дорожка HE по метаданным</x:v>
      </x:c>
      <x:c r="Z345" s="10" t="str">
        <x:v>Разрешено по метаданным</x:v>
      </x:c>
      <x:c r="AA345" s="10" t="str">
        <x:v>Метаданные видео; воспроизведение и содержание не проверены</x:v>
      </x:c>
      <x:c r="AB345" s="13" t="n">
        <x:f>IF(AND(ISNUMBER(H345),ISNUMBER(W345)),H345/MAX(1,'Обзор'!$B$4-W345),"")</x:f>
        <x:v>574.8676056338028</x:v>
      </x:c>
      <x:c r="AC345" s="17" t="str">
        <x:v>Не решено</x:v>
      </x:c>
      <x:c r="AD345" s="17" t="str">
        <x:v>Не проверено</x:v>
      </x:c>
      <x:c r="AE345" s="17" t="str">
        <x:v>Не проверено</x:v>
      </x:c>
      <x:c r="AF345" s="17" t="str">
        <x:v>Не проверено</x:v>
      </x:c>
      <x:c r="AG345" s="17" t="str">
        <x:v>Не решено</x:v>
      </x:c>
      <x:c r="AH345" s="17" t="str">
        <x:v>Не проверено</x:v>
      </x:c>
      <x:c r="AI345" s="10" t="str">
        <x:f>IF(AC345="Отклонить","Отклонено",IF(AND(AC345="Взять",COUNTIFS(AD345:AH345,"Да")=5),"Готово","Нужна редактура"))</x:f>
        <x:v>Нужна редактура</x:v>
      </x:c>
      <x:c r="AJ345" s="17" t="str"/>
      <x:c r="AK345" s="9" t="str">
        <x:v>https://www.youtube.com/playlist?list=PLLttfoK87AdWRhROPAbHnw5EXvKWiHV8d</x:v>
      </x:c>
      <x:c r="AL345" s="9" t="n">
        <x:v>5</x:v>
      </x:c>
      <x:c r="AM345" s="9" t="n">
        <x:v>5</x:v>
      </x:c>
      <x:c r="AN345" s="9" t="n">
        <x:v>0</x:v>
      </x:c>
    </x:row>
    <x:row r="346" ht="60" customHeight="1">
      <x:c r="A346" s="9" t="str">
        <x:v>atwANdXDt_8</x:v>
      </x:c>
      <x:c r="B346" s="10" t="str">
        <x:v>בואו לאכול איתי עונה 9 | ירושלים - חלק א' (פרק 6)</x:v>
      </x:c>
      <x:c r="C346" s="10" t="str">
        <x:v>Еда и повседневность</x:v>
      </x:c>
      <x:c r="D346" s="9" t="str">
        <x:v>Быт</x:v>
      </x:c>
      <x:c r="E346" s="10" t="str">
        <x:v>Кулинария; отношения; лёгкий просмотр</x:v>
      </x:c>
      <x:c r="F346" s="10" t="str">
        <x:v>B1–B2 (гипотеза)</x:v>
      </x:c>
      <x:c r="G346" s="12" t="n">
        <x:v>28.8</x:v>
      </x:c>
      <x:c r="H346" s="14" t="n">
        <x:v>257885</x:v>
      </x:c>
      <x:c r="I346" s="15" t="str">
        <x:v>Точный счётчик метаданных видео</x:v>
      </x:c>
      <x:c r="J346" s="14" t="n">
        <x:v>257000</x:v>
      </x:c>
      <x:c r="K346" s="14" t="n">
        <x:v>182000</x:v>
      </x:c>
      <x:c r="L346" s="12" t="n">
        <x:f>IF(COUNT(J346:K346)=2,IF(K346=0,"",J346/K346),"")</x:f>
        <x:v>1.4120879120879122</x:v>
      </x:c>
      <x:c r="M346" s="10" t="str">
        <x:v>Тема: בואו לאכול איתי עונה 9 | ירושלים - חלק א' (פרק 6). Еда снижает порог входа для широкой аудитории. В одном выпуске встречаются приглашения, оценки, знакомство и бытовые споры.</x:v>
      </x:c>
      <x:c r="N346" s="10" t="str">
        <x:v>Составить приглашение на ужин и аргументированно оценить блюдо.</x:v>
      </x:c>
      <x:c r="O346" s="10" t="str">
        <x:v>Быстрая речь и стереотипы; порядок дней недели в серии</x:v>
      </x:c>
      <x:c r="P346" s="10" t="str">
        <x:v>Самостоятельное видео</x:v>
      </x:c>
      <x:c r="Q346" s="9" t="str">
        <x:v>Нет</x:v>
      </x:c>
      <x:c r="R346" s="9" t="str">
        <x:v>C022</x:v>
      </x:c>
      <x:c r="S346" s="9" t="str">
        <x:v>C022</x:v>
      </x:c>
      <x:c r="T346" s="10" t="str">
        <x:v>כאן 11 - תאגיד השידור הישראלי</x:v>
      </x:c>
      <x:c r="U346" s="11" t="str">
        <x:v>https://www.youtube.com/watch?v=atwANdXDt_8</x:v>
      </x:c>
      <x:c r="V346" s="16" t="n">
        <x:v>46308</x:v>
      </x:c>
      <x:c r="W346" s="16" t="n">
        <x:v>45956</x:v>
      </x:c>
      <x:c r="X346" s="10" t="str">
        <x:v>Иврит предполагается по заголовку и источнику</x:v>
      </x:c>
      <x:c r="Y346" s="10" t="str">
        <x:v>Автоматическая дорожка HE по метаданным</x:v>
      </x:c>
      <x:c r="Z346" s="10" t="str">
        <x:v>Разрешено по метаданным</x:v>
      </x:c>
      <x:c r="AA346" s="10" t="str">
        <x:v>Метаданные видео; воспроизведение и содержание не проверены</x:v>
      </x:c>
      <x:c r="AB346" s="13" t="n">
        <x:f>IF(AND(ISNUMBER(H346),ISNUMBER(W346)),H346/MAX(1,'Обзор'!$B$4-W346),"")</x:f>
        <x:v>732.6278409090909</x:v>
      </x:c>
      <x:c r="AC346" s="17" t="str">
        <x:v>Не решено</x:v>
      </x:c>
      <x:c r="AD346" s="17" t="str">
        <x:v>Не проверено</x:v>
      </x:c>
      <x:c r="AE346" s="17" t="str">
        <x:v>Не проверено</x:v>
      </x:c>
      <x:c r="AF346" s="17" t="str">
        <x:v>Не проверено</x:v>
      </x:c>
      <x:c r="AG346" s="17" t="str">
        <x:v>Не решено</x:v>
      </x:c>
      <x:c r="AH346" s="17" t="str">
        <x:v>Не проверено</x:v>
      </x:c>
      <x:c r="AI346" s="10" t="str">
        <x:f>IF(AC346="Отклонить","Отклонено",IF(AND(AC346="Взять",COUNTIFS(AD346:AH346,"Да")=5),"Готово","Нужна редактура"))</x:f>
        <x:v>Нужна редактура</x:v>
      </x:c>
      <x:c r="AJ346" s="17" t="str"/>
      <x:c r="AK346" s="9" t="str">
        <x:v>https://www.youtube.com/playlist?list=PLLttfoK87AdWRhROPAbHnw5EXvKWiHV8d</x:v>
      </x:c>
      <x:c r="AL346" s="9" t="n">
        <x:v>6</x:v>
      </x:c>
      <x:c r="AM346" s="9" t="n">
        <x:v>6</x:v>
      </x:c>
      <x:c r="AN346" s="9" t="n">
        <x:v>0</x:v>
      </x:c>
    </x:row>
    <x:row r="347" ht="60" customHeight="1">
      <x:c r="A347" s="9" t="str">
        <x:v>D6Fge-MTsP4</x:v>
      </x:c>
      <x:c r="B347" s="10" t="str">
        <x:v>בואו לאכול איתי עונה 9 | ירושלים - חלק ב' (פרק 7)</x:v>
      </x:c>
      <x:c r="C347" s="10" t="str">
        <x:v>Еда и повседневность</x:v>
      </x:c>
      <x:c r="D347" s="9" t="str">
        <x:v>Быт</x:v>
      </x:c>
      <x:c r="E347" s="10" t="str">
        <x:v>Кулинария; отношения; лёгкий просмотр</x:v>
      </x:c>
      <x:c r="F347" s="10" t="str">
        <x:v>B1–B2 (гипотеза)</x:v>
      </x:c>
      <x:c r="G347" s="12" t="n">
        <x:v>27.8</x:v>
      </x:c>
      <x:c r="H347" s="14" t="n">
        <x:v>204482</x:v>
      </x:c>
      <x:c r="I347" s="15" t="str">
        <x:v>Точный счётчик метаданных видео</x:v>
      </x:c>
      <x:c r="J347" s="14" t="n">
        <x:v>204000</x:v>
      </x:c>
      <x:c r="K347" s="14" t="n">
        <x:v>182000</x:v>
      </x:c>
      <x:c r="L347" s="12" t="n">
        <x:f>IF(COUNT(J347:K347)=2,IF(K347=0,"",J347/K347),"")</x:f>
        <x:v>1.120879120879121</x:v>
      </x:c>
      <x:c r="M347" s="10" t="str">
        <x:v>Тема: בואו לאכול איתי עונה 9 | ירושלים - חלק ב' (פרק 7). Еда снижает порог входа для широкой аудитории. В одном выпуске встречаются приглашения, оценки, знакомство и бытовые споры.</x:v>
      </x:c>
      <x:c r="N347" s="10" t="str">
        <x:v>Составить приглашение на ужин и аргументированно оценить блюдо.</x:v>
      </x:c>
      <x:c r="O347" s="10" t="str">
        <x:v>Быстрая речь и стереотипы; порядок дней недели в серии</x:v>
      </x:c>
      <x:c r="P347" s="10" t="str">
        <x:v>Самостоятельное видео</x:v>
      </x:c>
      <x:c r="Q347" s="9" t="str">
        <x:v>Нет</x:v>
      </x:c>
      <x:c r="R347" s="9" t="str">
        <x:v>C022</x:v>
      </x:c>
      <x:c r="S347" s="9" t="str">
        <x:v>C022</x:v>
      </x:c>
      <x:c r="T347" s="10" t="str">
        <x:v>כאן 11 - תאגיד השידור הישראלי</x:v>
      </x:c>
      <x:c r="U347" s="11" t="str">
        <x:v>https://www.youtube.com/watch?v=D6Fge-MTsP4</x:v>
      </x:c>
      <x:c r="V347" s="16" t="n">
        <x:v>46308</x:v>
      </x:c>
      <x:c r="W347" s="16" t="n">
        <x:v>45957</x:v>
      </x:c>
      <x:c r="X347" s="10" t="str">
        <x:v>Иврит предполагается по заголовку и источнику</x:v>
      </x:c>
      <x:c r="Y347" s="10" t="str">
        <x:v>Автоматическая дорожка HE по метаданным</x:v>
      </x:c>
      <x:c r="Z347" s="10" t="str">
        <x:v>Разрешено по метаданным</x:v>
      </x:c>
      <x:c r="AA347" s="10" t="str">
        <x:v>Метаданные видео; воспроизведение и содержание не проверены</x:v>
      </x:c>
      <x:c r="AB347" s="13" t="n">
        <x:f>IF(AND(ISNUMBER(H347),ISNUMBER(W347)),H347/MAX(1,'Обзор'!$B$4-W347),"")</x:f>
        <x:v>582.5698005698006</x:v>
      </x:c>
      <x:c r="AC347" s="17" t="str">
        <x:v>Не решено</x:v>
      </x:c>
      <x:c r="AD347" s="17" t="str">
        <x:v>Не проверено</x:v>
      </x:c>
      <x:c r="AE347" s="17" t="str">
        <x:v>Не проверено</x:v>
      </x:c>
      <x:c r="AF347" s="17" t="str">
        <x:v>Не проверено</x:v>
      </x:c>
      <x:c r="AG347" s="17" t="str">
        <x:v>Не решено</x:v>
      </x:c>
      <x:c r="AH347" s="17" t="str">
        <x:v>Не проверено</x:v>
      </x:c>
      <x:c r="AI347" s="10" t="str">
        <x:f>IF(AC347="Отклонить","Отклонено",IF(AND(AC347="Взять",COUNTIFS(AD347:AH347,"Да")=5),"Готово","Нужна редактура"))</x:f>
        <x:v>Нужна редактура</x:v>
      </x:c>
      <x:c r="AJ347" s="17" t="str"/>
      <x:c r="AK347" s="9" t="str">
        <x:v>https://www.youtube.com/playlist?list=PLLttfoK87AdWRhROPAbHnw5EXvKWiHV8d</x:v>
      </x:c>
      <x:c r="AL347" s="9" t="n">
        <x:v>7</x:v>
      </x:c>
      <x:c r="AM347" s="9" t="n">
        <x:v>7</x:v>
      </x:c>
      <x:c r="AN347" s="9" t="n">
        <x:v>0</x:v>
      </x:c>
    </x:row>
    <x:row r="348" ht="60" customHeight="1">
      <x:c r="A348" s="9" t="str">
        <x:v>zG9mJOLg8Q0</x:v>
      </x:c>
      <x:c r="B348" s="10" t="str">
        <x:v>בואו לאכול איתי עונה 9 | ירושלים - חלק ג' (פרק 8)</x:v>
      </x:c>
      <x:c r="C348" s="10" t="str">
        <x:v>Еда и повседневность</x:v>
      </x:c>
      <x:c r="D348" s="9" t="str">
        <x:v>Быт</x:v>
      </x:c>
      <x:c r="E348" s="10" t="str">
        <x:v>Кулинария; отношения; лёгкий просмотр</x:v>
      </x:c>
      <x:c r="F348" s="10" t="str">
        <x:v>B1–B2 (гипотеза)</x:v>
      </x:c>
      <x:c r="G348" s="12" t="n">
        <x:v>28</x:v>
      </x:c>
      <x:c r="H348" s="14" t="n">
        <x:v>184615</x:v>
      </x:c>
      <x:c r="I348" s="15" t="str">
        <x:v>Точный счётчик метаданных видео</x:v>
      </x:c>
      <x:c r="J348" s="14" t="n">
        <x:v>184000</x:v>
      </x:c>
      <x:c r="K348" s="14" t="n">
        <x:v>182000</x:v>
      </x:c>
      <x:c r="L348" s="12" t="n">
        <x:f>IF(COUNT(J348:K348)=2,IF(K348=0,"",J348/K348),"")</x:f>
        <x:v>1.010989010989011</x:v>
      </x:c>
      <x:c r="M348" s="10" t="str">
        <x:v>Тема: בואו לאכול איתי עונה 9 | ירושלים - חלק ג' (פרק 8). Еда снижает порог входа для широкой аудитории. В одном выпуске встречаются приглашения, оценки, знакомство и бытовые споры.</x:v>
      </x:c>
      <x:c r="N348" s="10" t="str">
        <x:v>Составить приглашение на ужин и аргументированно оценить блюдо.</x:v>
      </x:c>
      <x:c r="O348" s="10" t="str">
        <x:v>Быстрая речь и стереотипы; порядок дней недели в серии</x:v>
      </x:c>
      <x:c r="P348" s="10" t="str">
        <x:v>Самостоятельное видео</x:v>
      </x:c>
      <x:c r="Q348" s="9" t="str">
        <x:v>Нет</x:v>
      </x:c>
      <x:c r="R348" s="9" t="str">
        <x:v>C022</x:v>
      </x:c>
      <x:c r="S348" s="9" t="str">
        <x:v>C022</x:v>
      </x:c>
      <x:c r="T348" s="10" t="str">
        <x:v>כאן 11 - תאגיד השידור הישראלי</x:v>
      </x:c>
      <x:c r="U348" s="11" t="str">
        <x:v>https://www.youtube.com/watch?v=zG9mJOLg8Q0</x:v>
      </x:c>
      <x:c r="V348" s="16" t="n">
        <x:v>46308</x:v>
      </x:c>
      <x:c r="W348" s="16" t="n">
        <x:v>45959</x:v>
      </x:c>
      <x:c r="X348" s="10" t="str">
        <x:v>Иврит предполагается по заголовку и источнику</x:v>
      </x:c>
      <x:c r="Y348" s="10" t="str">
        <x:v>Автоматическая дорожка HE по метаданным</x:v>
      </x:c>
      <x:c r="Z348" s="10" t="str">
        <x:v>Разрешено по метаданным</x:v>
      </x:c>
      <x:c r="AA348" s="10" t="str">
        <x:v>Метаданные видео; воспроизведение и содержание не проверены</x:v>
      </x:c>
      <x:c r="AB348" s="13" t="n">
        <x:f>IF(AND(ISNUMBER(H348),ISNUMBER(W348)),H348/MAX(1,'Обзор'!$B$4-W348),"")</x:f>
        <x:v>528.9828080229227</x:v>
      </x:c>
      <x:c r="AC348" s="17" t="str">
        <x:v>Не решено</x:v>
      </x:c>
      <x:c r="AD348" s="17" t="str">
        <x:v>Не проверено</x:v>
      </x:c>
      <x:c r="AE348" s="17" t="str">
        <x:v>Не проверено</x:v>
      </x:c>
      <x:c r="AF348" s="17" t="str">
        <x:v>Не проверено</x:v>
      </x:c>
      <x:c r="AG348" s="17" t="str">
        <x:v>Не решено</x:v>
      </x:c>
      <x:c r="AH348" s="17" t="str">
        <x:v>Не проверено</x:v>
      </x:c>
      <x:c r="AI348" s="10" t="str">
        <x:f>IF(AC348="Отклонить","Отклонено",IF(AND(AC348="Взять",COUNTIFS(AD348:AH348,"Да")=5),"Готово","Нужна редактура"))</x:f>
        <x:v>Нужна редактура</x:v>
      </x:c>
      <x:c r="AJ348" s="17" t="str"/>
      <x:c r="AK348" s="9" t="str">
        <x:v>https://www.youtube.com/playlist?list=PLLttfoK87AdWRhROPAbHnw5EXvKWiHV8d</x:v>
      </x:c>
      <x:c r="AL348" s="9" t="n">
        <x:v>8</x:v>
      </x:c>
      <x:c r="AM348" s="9" t="n">
        <x:v>8</x:v>
      </x:c>
      <x:c r="AN348" s="9" t="n">
        <x:v>0</x:v>
      </x:c>
    </x:row>
    <x:row r="349" ht="60" customHeight="1">
      <x:c r="A349" s="9" t="str">
        <x:v>D88qYGBIses</x:v>
      </x:c>
      <x:c r="B349" s="10" t="str">
        <x:v>בואו לאכול איתי עונה 9 | ירושלים - חלק ד' (פרק 9)</x:v>
      </x:c>
      <x:c r="C349" s="10" t="str">
        <x:v>Еда и повседневность</x:v>
      </x:c>
      <x:c r="D349" s="9" t="str">
        <x:v>Быт</x:v>
      </x:c>
      <x:c r="E349" s="10" t="str">
        <x:v>Кулинария; отношения; лёгкий просмотр</x:v>
      </x:c>
      <x:c r="F349" s="10" t="str">
        <x:v>B1–B2 (гипотеза)</x:v>
      </x:c>
      <x:c r="G349" s="12" t="n">
        <x:v>28.2</x:v>
      </x:c>
      <x:c r="H349" s="14" t="n">
        <x:v>161000</x:v>
      </x:c>
      <x:c r="I349" s="15" t="str">
        <x:v>Округлённый счётчик в списке YouTube</x:v>
      </x:c>
      <x:c r="J349" s="14" t="n">
        <x:v>161000</x:v>
      </x:c>
      <x:c r="K349" s="14" t="n">
        <x:v>182000</x:v>
      </x:c>
      <x:c r="L349" s="12" t="n">
        <x:f>IF(COUNT(J349:K349)=2,IF(K349=0,"",J349/K349),"")</x:f>
        <x:v>0.8846153846153846</x:v>
      </x:c>
      <x:c r="M349" s="10" t="str">
        <x:v>Тема: בואו לאכול איתי עונה 9 | ירושלים - חלק ד' (פרק 9). Еда снижает порог входа для широкой аудитории. В одном выпуске встречаются приглашения, оценки, знакомство и бытовые споры.</x:v>
      </x:c>
      <x:c r="N349" s="10" t="str">
        <x:v>Составить приглашение на ужин и аргументированно оценить блюдо.</x:v>
      </x:c>
      <x:c r="O349" s="10" t="str">
        <x:v>Быстрая речь и стереотипы; порядок дней недели в серии</x:v>
      </x:c>
      <x:c r="P349" s="10" t="str">
        <x:v>Самостоятельное видео</x:v>
      </x:c>
      <x:c r="Q349" s="9" t="str">
        <x:v>Нет</x:v>
      </x:c>
      <x:c r="R349" s="9" t="str">
        <x:v>C022</x:v>
      </x:c>
      <x:c r="S349" s="9" t="str">
        <x:v>C022</x:v>
      </x:c>
      <x:c r="T349" s="10" t="str">
        <x:v>כאן 11 - תאגיד השידור הישראלי</x:v>
      </x:c>
      <x:c r="U349" s="11" t="str">
        <x:v>https://www.youtube.com/watch?v=D88qYGBIses</x:v>
      </x:c>
      <x:c r="V349" s="16" t="n">
        <x:v>46308</x:v>
      </x:c>
      <x:c r="W349" s="16"/>
      <x:c r="X349" s="10" t="str">
        <x:v>Иврит предполагается по заголовку и источнику</x:v>
      </x:c>
      <x:c r="Y349" s="10" t="str">
        <x:v>Не проверено</x:v>
      </x:c>
      <x:c r="Z349" s="10" t="str">
        <x:v>Не проверено</x:v>
      </x:c>
      <x:c r="AA349" s="10" t="str">
        <x:v>Метаданные списка; видео не просмотрено</x:v>
      </x:c>
      <x:c r="AB349" s="13" t="str">
        <x:f>IF(AND(ISNUMBER(H349),ISNUMBER(W349)),H349/MAX(1,'Обзор'!$B$4-W349),"")</x:f>
      </x:c>
      <x:c r="AC349" s="17" t="str">
        <x:v>Не решено</x:v>
      </x:c>
      <x:c r="AD349" s="17" t="str">
        <x:v>Не проверено</x:v>
      </x:c>
      <x:c r="AE349" s="17" t="str">
        <x:v>Не проверено</x:v>
      </x:c>
      <x:c r="AF349" s="17" t="str">
        <x:v>Не проверено</x:v>
      </x:c>
      <x:c r="AG349" s="17" t="str">
        <x:v>Не решено</x:v>
      </x:c>
      <x:c r="AH349" s="17" t="str">
        <x:v>Не проверено</x:v>
      </x:c>
      <x:c r="AI349" s="10" t="str">
        <x:f>IF(AC349="Отклонить","Отклонено",IF(AND(AC349="Взять",COUNTIFS(AD349:AH349,"Да")=5),"Готово","Нужна редактура"))</x:f>
        <x:v>Нужна редактура</x:v>
      </x:c>
      <x:c r="AJ349" s="17" t="str"/>
      <x:c r="AK349" s="9" t="str">
        <x:v>https://www.youtube.com/playlist?list=PLLttfoK87AdWRhROPAbHnw5EXvKWiHV8d</x:v>
      </x:c>
      <x:c r="AL349" s="9" t="n">
        <x:v>9</x:v>
      </x:c>
      <x:c r="AM349" s="9" t="n">
        <x:v>9</x:v>
      </x:c>
      <x:c r="AN349" s="9"/>
    </x:row>
    <x:row r="350" ht="60" customHeight="1">
      <x:c r="A350" s="9" t="str">
        <x:v>vHfs2QWxjKo</x:v>
      </x:c>
      <x:c r="B350" s="10" t="str">
        <x:v>בואו לאכול איתי עונה 9 | ירושלים - חלק ה' (פרק 10)</x:v>
      </x:c>
      <x:c r="C350" s="10" t="str">
        <x:v>Еда и повседневность</x:v>
      </x:c>
      <x:c r="D350" s="9" t="str">
        <x:v>Быт</x:v>
      </x:c>
      <x:c r="E350" s="10" t="str">
        <x:v>Кулинария; отношения; лёгкий просмотр</x:v>
      </x:c>
      <x:c r="F350" s="10" t="str">
        <x:v>B1–B2 (гипотеза)</x:v>
      </x:c>
      <x:c r="G350" s="12" t="n">
        <x:v>28.3</x:v>
      </x:c>
      <x:c r="H350" s="14" t="n">
        <x:v>155000</x:v>
      </x:c>
      <x:c r="I350" s="15" t="str">
        <x:v>Округлённый счётчик в списке YouTube</x:v>
      </x:c>
      <x:c r="J350" s="14" t="n">
        <x:v>155000</x:v>
      </x:c>
      <x:c r="K350" s="14" t="n">
        <x:v>182000</x:v>
      </x:c>
      <x:c r="L350" s="12" t="n">
        <x:f>IF(COUNT(J350:K350)=2,IF(K350=0,"",J350/K350),"")</x:f>
        <x:v>0.8516483516483516</x:v>
      </x:c>
      <x:c r="M350" s="10" t="str">
        <x:v>Тема: בואו לאכול איתי עונה 9 | ירושלים - חלק ה' (פרק 10). Еда снижает порог входа для широкой аудитории. В одном выпуске встречаются приглашения, оценки, знакомство и бытовые споры.</x:v>
      </x:c>
      <x:c r="N350" s="10" t="str">
        <x:v>Составить приглашение на ужин и аргументированно оценить блюдо.</x:v>
      </x:c>
      <x:c r="O350" s="10" t="str">
        <x:v>Быстрая речь и стереотипы; порядок дней недели в серии</x:v>
      </x:c>
      <x:c r="P350" s="10" t="str">
        <x:v>Самостоятельное видео</x:v>
      </x:c>
      <x:c r="Q350" s="9" t="str">
        <x:v>Нет</x:v>
      </x:c>
      <x:c r="R350" s="9" t="str">
        <x:v>C022</x:v>
      </x:c>
      <x:c r="S350" s="9" t="str">
        <x:v>C022</x:v>
      </x:c>
      <x:c r="T350" s="10" t="str">
        <x:v>כאן 11 - תאגיד השידור הישראלי</x:v>
      </x:c>
      <x:c r="U350" s="11" t="str">
        <x:v>https://www.youtube.com/watch?v=vHfs2QWxjKo</x:v>
      </x:c>
      <x:c r="V350" s="16" t="n">
        <x:v>46308</x:v>
      </x:c>
      <x:c r="W350" s="16"/>
      <x:c r="X350" s="10" t="str">
        <x:v>Иврит предполагается по заголовку и источнику</x:v>
      </x:c>
      <x:c r="Y350" s="10" t="str">
        <x:v>Не проверено</x:v>
      </x:c>
      <x:c r="Z350" s="10" t="str">
        <x:v>Не проверено</x:v>
      </x:c>
      <x:c r="AA350" s="10" t="str">
        <x:v>Метаданные списка; видео не просмотрено</x:v>
      </x:c>
      <x:c r="AB350" s="13" t="str">
        <x:f>IF(AND(ISNUMBER(H350),ISNUMBER(W350)),H350/MAX(1,'Обзор'!$B$4-W350),"")</x:f>
      </x:c>
      <x:c r="AC350" s="17" t="str">
        <x:v>Не решено</x:v>
      </x:c>
      <x:c r="AD350" s="17" t="str">
        <x:v>Не проверено</x:v>
      </x:c>
      <x:c r="AE350" s="17" t="str">
        <x:v>Не проверено</x:v>
      </x:c>
      <x:c r="AF350" s="17" t="str">
        <x:v>Не проверено</x:v>
      </x:c>
      <x:c r="AG350" s="17" t="str">
        <x:v>Не решено</x:v>
      </x:c>
      <x:c r="AH350" s="17" t="str">
        <x:v>Не проверено</x:v>
      </x:c>
      <x:c r="AI350" s="10" t="str">
        <x:f>IF(AC350="Отклонить","Отклонено",IF(AND(AC350="Взять",COUNTIFS(AD350:AH350,"Да")=5),"Готово","Нужна редактура"))</x:f>
        <x:v>Нужна редактура</x:v>
      </x:c>
      <x:c r="AJ350" s="17" t="str"/>
      <x:c r="AK350" s="9" t="str">
        <x:v>https://www.youtube.com/playlist?list=PLLttfoK87AdWRhROPAbHnw5EXvKWiHV8d</x:v>
      </x:c>
      <x:c r="AL350" s="9" t="n">
        <x:v>10</x:v>
      </x:c>
      <x:c r="AM350" s="9" t="n">
        <x:v>10</x:v>
      </x:c>
      <x:c r="AN350" s="9"/>
    </x:row>
    <x:row r="351" ht="60" customHeight="1">
      <x:c r="A351" s="9" t="str">
        <x:v>ilpadCGBm9o</x:v>
      </x:c>
      <x:c r="B351" s="10" t="str">
        <x:v>בואו לאכול איתי עונה 9 | תל אביב - חלק א' (פרק 11)</x:v>
      </x:c>
      <x:c r="C351" s="10" t="str">
        <x:v>Еда и повседневность</x:v>
      </x:c>
      <x:c r="D351" s="9" t="str">
        <x:v>Быт</x:v>
      </x:c>
      <x:c r="E351" s="10" t="str">
        <x:v>Кулинария; отношения; лёгкий просмотр</x:v>
      </x:c>
      <x:c r="F351" s="10" t="str">
        <x:v>B1–B2 (гипотеза)</x:v>
      </x:c>
      <x:c r="G351" s="12" t="n">
        <x:v>28.5</x:v>
      </x:c>
      <x:c r="H351" s="14" t="n">
        <x:v>265070</x:v>
      </x:c>
      <x:c r="I351" s="15" t="str">
        <x:v>Точный счётчик метаданных видео</x:v>
      </x:c>
      <x:c r="J351" s="14" t="n">
        <x:v>265000</x:v>
      </x:c>
      <x:c r="K351" s="14" t="n">
        <x:v>182000</x:v>
      </x:c>
      <x:c r="L351" s="12" t="n">
        <x:f>IF(COUNT(J351:K351)=2,IF(K351=0,"",J351/K351),"")</x:f>
        <x:v>1.456043956043956</x:v>
      </x:c>
      <x:c r="M351" s="10" t="str">
        <x:v>Тема: בואו לאכול איתי עונה 9 | תל אביב - חלק א' (פרק 11). Еда снижает порог входа для широкой аудитории. В одном выпуске встречаются приглашения, оценки, знакомство и бытовые споры.</x:v>
      </x:c>
      <x:c r="N351" s="10" t="str">
        <x:v>Составить приглашение на ужин и аргументированно оценить блюдо.</x:v>
      </x:c>
      <x:c r="O351" s="10" t="str">
        <x:v>Быстрая речь и стереотипы; порядок дней недели в серии</x:v>
      </x:c>
      <x:c r="P351" s="10" t="str">
        <x:v>Самостоятельное видео</x:v>
      </x:c>
      <x:c r="Q351" s="9" t="str">
        <x:v>Нет</x:v>
      </x:c>
      <x:c r="R351" s="9" t="str">
        <x:v>C022</x:v>
      </x:c>
      <x:c r="S351" s="9" t="str">
        <x:v>C022</x:v>
      </x:c>
      <x:c r="T351" s="10" t="str">
        <x:v>כאן 11 - תאגיד השידור הישראלי</x:v>
      </x:c>
      <x:c r="U351" s="11" t="str">
        <x:v>https://www.youtube.com/watch?v=ilpadCGBm9o</x:v>
      </x:c>
      <x:c r="V351" s="16" t="n">
        <x:v>46308</x:v>
      </x:c>
      <x:c r="W351" s="16" t="n">
        <x:v>45963</x:v>
      </x:c>
      <x:c r="X351" s="10" t="str">
        <x:v>Иврит предполагается по заголовку и источнику</x:v>
      </x:c>
      <x:c r="Y351" s="10" t="str">
        <x:v>Автоматическая дорожка HE по метаданным</x:v>
      </x:c>
      <x:c r="Z351" s="10" t="str">
        <x:v>Разрешено по метаданным</x:v>
      </x:c>
      <x:c r="AA351" s="10" t="str">
        <x:v>Метаданные видео; воспроизведение и содержание не проверены</x:v>
      </x:c>
      <x:c r="AB351" s="13" t="n">
        <x:f>IF(AND(ISNUMBER(H351),ISNUMBER(W351)),H351/MAX(1,'Обзор'!$B$4-W351),"")</x:f>
        <x:v>768.3188405797101</x:v>
      </x:c>
      <x:c r="AC351" s="17" t="str">
        <x:v>Не решено</x:v>
      </x:c>
      <x:c r="AD351" s="17" t="str">
        <x:v>Не проверено</x:v>
      </x:c>
      <x:c r="AE351" s="17" t="str">
        <x:v>Не проверено</x:v>
      </x:c>
      <x:c r="AF351" s="17" t="str">
        <x:v>Не проверено</x:v>
      </x:c>
      <x:c r="AG351" s="17" t="str">
        <x:v>Не решено</x:v>
      </x:c>
      <x:c r="AH351" s="17" t="str">
        <x:v>Не проверено</x:v>
      </x:c>
      <x:c r="AI351" s="10" t="str">
        <x:f>IF(AC351="Отклонить","Отклонено",IF(AND(AC351="Взять",COUNTIFS(AD351:AH351,"Да")=5),"Готово","Нужна редактура"))</x:f>
        <x:v>Нужна редактура</x:v>
      </x:c>
      <x:c r="AJ351" s="17" t="str"/>
      <x:c r="AK351" s="9" t="str">
        <x:v>https://www.youtube.com/playlist?list=PLLttfoK87AdWRhROPAbHnw5EXvKWiHV8d</x:v>
      </x:c>
      <x:c r="AL351" s="9" t="n">
        <x:v>11</x:v>
      </x:c>
      <x:c r="AM351" s="9" t="n">
        <x:v>11</x:v>
      </x:c>
      <x:c r="AN351" s="9" t="n">
        <x:v>0</x:v>
      </x:c>
    </x:row>
    <x:row r="352" ht="60" customHeight="1">
      <x:c r="A352" s="9" t="str">
        <x:v>gR-3j3iR6OM</x:v>
      </x:c>
      <x:c r="B352" s="10" t="str">
        <x:v>בואו לאכול איתי עונה 9 | תל אביב חלק ב' (פרק 12)</x:v>
      </x:c>
      <x:c r="C352" s="10" t="str">
        <x:v>Еда и повседневность</x:v>
      </x:c>
      <x:c r="D352" s="9" t="str">
        <x:v>Быт</x:v>
      </x:c>
      <x:c r="E352" s="10" t="str">
        <x:v>Кулинария; отношения; лёгкий просмотр</x:v>
      </x:c>
      <x:c r="F352" s="10" t="str">
        <x:v>B1–B2 (гипотеза)</x:v>
      </x:c>
      <x:c r="G352" s="12" t="n">
        <x:v>28.5</x:v>
      </x:c>
      <x:c r="H352" s="14" t="n">
        <x:v>215670</x:v>
      </x:c>
      <x:c r="I352" s="15" t="str">
        <x:v>Точный счётчик метаданных видео</x:v>
      </x:c>
      <x:c r="J352" s="14" t="n">
        <x:v>215000</x:v>
      </x:c>
      <x:c r="K352" s="14" t="n">
        <x:v>182000</x:v>
      </x:c>
      <x:c r="L352" s="12" t="n">
        <x:f>IF(COUNT(J352:K352)=2,IF(K352=0,"",J352/K352),"")</x:f>
        <x:v>1.1813186813186813</x:v>
      </x:c>
      <x:c r="M352" s="10" t="str">
        <x:v>Тема: בואו לאכול איתי עונה 9 | תל אביב חלק ב' (פרק 12). Еда снижает порог входа для широкой аудитории. В одном выпуске встречаются приглашения, оценки, знакомство и бытовые споры.</x:v>
      </x:c>
      <x:c r="N352" s="10" t="str">
        <x:v>Составить приглашение на ужин и аргументированно оценить блюдо.</x:v>
      </x:c>
      <x:c r="O352" s="10" t="str">
        <x:v>Быстрая речь и стереотипы; порядок дней недели в серии</x:v>
      </x:c>
      <x:c r="P352" s="10" t="str">
        <x:v>Самостоятельное видео</x:v>
      </x:c>
      <x:c r="Q352" s="9" t="str">
        <x:v>Нет</x:v>
      </x:c>
      <x:c r="R352" s="9" t="str">
        <x:v>C022</x:v>
      </x:c>
      <x:c r="S352" s="9" t="str">
        <x:v>C022</x:v>
      </x:c>
      <x:c r="T352" s="10" t="str">
        <x:v>כאן 11 - תאגיד השידור הישראלי</x:v>
      </x:c>
      <x:c r="U352" s="11" t="str">
        <x:v>https://www.youtube.com/watch?v=gR-3j3iR6OM</x:v>
      </x:c>
      <x:c r="V352" s="16" t="n">
        <x:v>46308</x:v>
      </x:c>
      <x:c r="W352" s="16" t="n">
        <x:v>45965</x:v>
      </x:c>
      <x:c r="X352" s="10" t="str">
        <x:v>Иврит предполагается по заголовку и источнику</x:v>
      </x:c>
      <x:c r="Y352" s="10" t="str">
        <x:v>Автоматическая дорожка HE по метаданным</x:v>
      </x:c>
      <x:c r="Z352" s="10" t="str">
        <x:v>Разрешено по метаданным</x:v>
      </x:c>
      <x:c r="AA352" s="10" t="str">
        <x:v>Метаданные видео; воспроизведение и содержание не проверены</x:v>
      </x:c>
      <x:c r="AB352" s="13" t="n">
        <x:f>IF(AND(ISNUMBER(H352),ISNUMBER(W352)),H352/MAX(1,'Обзор'!$B$4-W352),"")</x:f>
        <x:v>628.7755102040817</x:v>
      </x:c>
      <x:c r="AC352" s="17" t="str">
        <x:v>Не решено</x:v>
      </x:c>
      <x:c r="AD352" s="17" t="str">
        <x:v>Не проверено</x:v>
      </x:c>
      <x:c r="AE352" s="17" t="str">
        <x:v>Не проверено</x:v>
      </x:c>
      <x:c r="AF352" s="17" t="str">
        <x:v>Не проверено</x:v>
      </x:c>
      <x:c r="AG352" s="17" t="str">
        <x:v>Не решено</x:v>
      </x:c>
      <x:c r="AH352" s="17" t="str">
        <x:v>Не проверено</x:v>
      </x:c>
      <x:c r="AI352" s="10" t="str">
        <x:f>IF(AC352="Отклонить","Отклонено",IF(AND(AC352="Взять",COUNTIFS(AD352:AH352,"Да")=5),"Готово","Нужна редактура"))</x:f>
        <x:v>Нужна редактура</x:v>
      </x:c>
      <x:c r="AJ352" s="17" t="str"/>
      <x:c r="AK352" s="9" t="str">
        <x:v>https://www.youtube.com/playlist?list=PLLttfoK87AdWRhROPAbHnw5EXvKWiHV8d</x:v>
      </x:c>
      <x:c r="AL352" s="9" t="n">
        <x:v>12</x:v>
      </x:c>
      <x:c r="AM352" s="9" t="n">
        <x:v>12</x:v>
      </x:c>
      <x:c r="AN352" s="9" t="n">
        <x:v>0</x:v>
      </x:c>
    </x:row>
    <x:row r="353" ht="60" customHeight="1">
      <x:c r="A353" s="9" t="str">
        <x:v>rzWZ3oUWssI</x:v>
      </x:c>
      <x:c r="B353" s="10" t="str">
        <x:v>בואו לאכול איתי עונה 9 | תל אביב חלק ג' (פרק 13)</x:v>
      </x:c>
      <x:c r="C353" s="10" t="str">
        <x:v>Еда и повседневность</x:v>
      </x:c>
      <x:c r="D353" s="9" t="str">
        <x:v>Быт</x:v>
      </x:c>
      <x:c r="E353" s="10" t="str">
        <x:v>Кулинария; отношения; лёгкий просмотр</x:v>
      </x:c>
      <x:c r="F353" s="10" t="str">
        <x:v>B1–B2 (гипотеза)</x:v>
      </x:c>
      <x:c r="G353" s="12" t="n">
        <x:v>28.7</x:v>
      </x:c>
      <x:c r="H353" s="14" t="n">
        <x:v>181000</x:v>
      </x:c>
      <x:c r="I353" s="15" t="str">
        <x:v>Округлённый счётчик в списке YouTube</x:v>
      </x:c>
      <x:c r="J353" s="14" t="n">
        <x:v>181000</x:v>
      </x:c>
      <x:c r="K353" s="14" t="n">
        <x:v>182000</x:v>
      </x:c>
      <x:c r="L353" s="12" t="n">
        <x:f>IF(COUNT(J353:K353)=2,IF(K353=0,"",J353/K353),"")</x:f>
        <x:v>0.9945054945054945</x:v>
      </x:c>
      <x:c r="M353" s="10" t="str">
        <x:v>Тема: בואו לאכול איתי עונה 9 | תל אביב חלק ג' (פרק 13). Еда снижает порог входа для широкой аудитории. В одном выпуске встречаются приглашения, оценки, знакомство и бытовые споры.</x:v>
      </x:c>
      <x:c r="N353" s="10" t="str">
        <x:v>Составить приглашение на ужин и аргументированно оценить блюдо.</x:v>
      </x:c>
      <x:c r="O353" s="10" t="str">
        <x:v>Быстрая речь и стереотипы; порядок дней недели в серии</x:v>
      </x:c>
      <x:c r="P353" s="10" t="str">
        <x:v>Самостоятельное видео</x:v>
      </x:c>
      <x:c r="Q353" s="9" t="str">
        <x:v>Нет</x:v>
      </x:c>
      <x:c r="R353" s="9" t="str">
        <x:v>C022</x:v>
      </x:c>
      <x:c r="S353" s="9" t="str">
        <x:v>C022</x:v>
      </x:c>
      <x:c r="T353" s="10" t="str">
        <x:v>כאן 11 - תאגיד השידור הישראלי</x:v>
      </x:c>
      <x:c r="U353" s="11" t="str">
        <x:v>https://www.youtube.com/watch?v=rzWZ3oUWssI</x:v>
      </x:c>
      <x:c r="V353" s="16" t="n">
        <x:v>46308</x:v>
      </x:c>
      <x:c r="W353" s="16"/>
      <x:c r="X353" s="10" t="str">
        <x:v>Иврит предполагается по заголовку и источнику</x:v>
      </x:c>
      <x:c r="Y353" s="10" t="str">
        <x:v>Не проверено</x:v>
      </x:c>
      <x:c r="Z353" s="10" t="str">
        <x:v>Не проверено</x:v>
      </x:c>
      <x:c r="AA353" s="10" t="str">
        <x:v>Метаданные списка; видео не просмотрено</x:v>
      </x:c>
      <x:c r="AB353" s="13" t="str">
        <x:f>IF(AND(ISNUMBER(H353),ISNUMBER(W353)),H353/MAX(1,'Обзор'!$B$4-W353),"")</x:f>
      </x:c>
      <x:c r="AC353" s="17" t="str">
        <x:v>Не решено</x:v>
      </x:c>
      <x:c r="AD353" s="17" t="str">
        <x:v>Не проверено</x:v>
      </x:c>
      <x:c r="AE353" s="17" t="str">
        <x:v>Не проверено</x:v>
      </x:c>
      <x:c r="AF353" s="17" t="str">
        <x:v>Не проверено</x:v>
      </x:c>
      <x:c r="AG353" s="17" t="str">
        <x:v>Не решено</x:v>
      </x:c>
      <x:c r="AH353" s="17" t="str">
        <x:v>Не проверено</x:v>
      </x:c>
      <x:c r="AI353" s="10" t="str">
        <x:f>IF(AC353="Отклонить","Отклонено",IF(AND(AC353="Взять",COUNTIFS(AD353:AH353,"Да")=5),"Готово","Нужна редактура"))</x:f>
        <x:v>Нужна редактура</x:v>
      </x:c>
      <x:c r="AJ353" s="17" t="str"/>
      <x:c r="AK353" s="9" t="str">
        <x:v>https://www.youtube.com/playlist?list=PLLttfoK87AdWRhROPAbHnw5EXvKWiHV8d</x:v>
      </x:c>
      <x:c r="AL353" s="9" t="n">
        <x:v>13</x:v>
      </x:c>
      <x:c r="AM353" s="9" t="n">
        <x:v>13</x:v>
      </x:c>
      <x:c r="AN353" s="9"/>
    </x:row>
    <x:row r="354" ht="60" customHeight="1">
      <x:c r="A354" s="9" t="str">
        <x:v>FTYjJBapnQs</x:v>
      </x:c>
      <x:c r="B354" s="10" t="str">
        <x:v>בואו לאכול איתי עונה 9 | תל אביב חלק ד' (פרק 14)</x:v>
      </x:c>
      <x:c r="C354" s="10" t="str">
        <x:v>Еда и повседневность</x:v>
      </x:c>
      <x:c r="D354" s="9" t="str">
        <x:v>Быт</x:v>
      </x:c>
      <x:c r="E354" s="10" t="str">
        <x:v>Кулинария; отношения; лёгкий просмотр</x:v>
      </x:c>
      <x:c r="F354" s="10" t="str">
        <x:v>B1–B2 (гипотеза)</x:v>
      </x:c>
      <x:c r="G354" s="12" t="n">
        <x:v>28.3</x:v>
      </x:c>
      <x:c r="H354" s="14" t="n">
        <x:v>174000</x:v>
      </x:c>
      <x:c r="I354" s="15" t="str">
        <x:v>Округлённый счётчик в списке YouTube</x:v>
      </x:c>
      <x:c r="J354" s="14" t="n">
        <x:v>174000</x:v>
      </x:c>
      <x:c r="K354" s="14" t="n">
        <x:v>182000</x:v>
      </x:c>
      <x:c r="L354" s="12" t="n">
        <x:f>IF(COUNT(J354:K354)=2,IF(K354=0,"",J354/K354),"")</x:f>
        <x:v>0.9560439560439561</x:v>
      </x:c>
      <x:c r="M354" s="10" t="str">
        <x:v>Тема: בואו לאכול איתי עונה 9 | תל אביב חלק ד' (פרק 14). Еда снижает порог входа для широкой аудитории. В одном выпуске встречаются приглашения, оценки, знакомство и бытовые споры.</x:v>
      </x:c>
      <x:c r="N354" s="10" t="str">
        <x:v>Составить приглашение на ужин и аргументированно оценить блюдо.</x:v>
      </x:c>
      <x:c r="O354" s="10" t="str">
        <x:v>Быстрая речь и стереотипы; порядок дней недели в серии</x:v>
      </x:c>
      <x:c r="P354" s="10" t="str">
        <x:v>Самостоятельное видео</x:v>
      </x:c>
      <x:c r="Q354" s="9" t="str">
        <x:v>Нет</x:v>
      </x:c>
      <x:c r="R354" s="9" t="str">
        <x:v>C022</x:v>
      </x:c>
      <x:c r="S354" s="9" t="str">
        <x:v>C022</x:v>
      </x:c>
      <x:c r="T354" s="10" t="str">
        <x:v>כאן 11 - תאגיד השידור הישראלי</x:v>
      </x:c>
      <x:c r="U354" s="11" t="str">
        <x:v>https://www.youtube.com/watch?v=FTYjJBapnQs</x:v>
      </x:c>
      <x:c r="V354" s="16" t="n">
        <x:v>46308</x:v>
      </x:c>
      <x:c r="W354" s="16"/>
      <x:c r="X354" s="10" t="str">
        <x:v>Иврит предполагается по заголовку и источнику</x:v>
      </x:c>
      <x:c r="Y354" s="10" t="str">
        <x:v>Не проверено</x:v>
      </x:c>
      <x:c r="Z354" s="10" t="str">
        <x:v>Не проверено</x:v>
      </x:c>
      <x:c r="AA354" s="10" t="str">
        <x:v>Метаданные списка; видео не просмотрено</x:v>
      </x:c>
      <x:c r="AB354" s="13" t="str">
        <x:f>IF(AND(ISNUMBER(H354),ISNUMBER(W354)),H354/MAX(1,'Обзор'!$B$4-W354),"")</x:f>
      </x:c>
      <x:c r="AC354" s="17" t="str">
        <x:v>Не решено</x:v>
      </x:c>
      <x:c r="AD354" s="17" t="str">
        <x:v>Не проверено</x:v>
      </x:c>
      <x:c r="AE354" s="17" t="str">
        <x:v>Не проверено</x:v>
      </x:c>
      <x:c r="AF354" s="17" t="str">
        <x:v>Не проверено</x:v>
      </x:c>
      <x:c r="AG354" s="17" t="str">
        <x:v>Не решено</x:v>
      </x:c>
      <x:c r="AH354" s="17" t="str">
        <x:v>Не проверено</x:v>
      </x:c>
      <x:c r="AI354" s="10" t="str">
        <x:f>IF(AC354="Отклонить","Отклонено",IF(AND(AC354="Взять",COUNTIFS(AD354:AH354,"Да")=5),"Готово","Нужна редактура"))</x:f>
        <x:v>Нужна редактура</x:v>
      </x:c>
      <x:c r="AJ354" s="17" t="str"/>
      <x:c r="AK354" s="9" t="str">
        <x:v>https://www.youtube.com/playlist?list=PLLttfoK87AdWRhROPAbHnw5EXvKWiHV8d</x:v>
      </x:c>
      <x:c r="AL354" s="9" t="n">
        <x:v>14</x:v>
      </x:c>
      <x:c r="AM354" s="9" t="n">
        <x:v>14</x:v>
      </x:c>
      <x:c r="AN354" s="9"/>
    </x:row>
    <x:row r="355" ht="60" customHeight="1">
      <x:c r="A355" s="9" t="str">
        <x:v>_uPziM58sdY</x:v>
      </x:c>
      <x:c r="B355" s="10" t="str">
        <x:v>בואו לאכול איתי עונה 9 | תל אביב חלק ה' (פרק 15)</x:v>
      </x:c>
      <x:c r="C355" s="10" t="str">
        <x:v>Еда и повседневность</x:v>
      </x:c>
      <x:c r="D355" s="9" t="str">
        <x:v>Быт</x:v>
      </x:c>
      <x:c r="E355" s="10" t="str">
        <x:v>Кулинария; отношения; лёгкий просмотр</x:v>
      </x:c>
      <x:c r="F355" s="10" t="str">
        <x:v>B1–B2 (гипотеза)</x:v>
      </x:c>
      <x:c r="G355" s="12" t="n">
        <x:v>28.4</x:v>
      </x:c>
      <x:c r="H355" s="14" t="n">
        <x:v>170000</x:v>
      </x:c>
      <x:c r="I355" s="15" t="str">
        <x:v>Округлённый счётчик в списке YouTube</x:v>
      </x:c>
      <x:c r="J355" s="14" t="n">
        <x:v>170000</x:v>
      </x:c>
      <x:c r="K355" s="14" t="n">
        <x:v>182000</x:v>
      </x:c>
      <x:c r="L355" s="12" t="n">
        <x:f>IF(COUNT(J355:K355)=2,IF(K355=0,"",J355/K355),"")</x:f>
        <x:v>0.9340659340659341</x:v>
      </x:c>
      <x:c r="M355" s="10" t="str">
        <x:v>Тема: בואו לאכול איתי עונה 9 | תל אביב חלק ה' (פרק 15). Еда снижает порог входа для широкой аудитории. В одном выпуске встречаются приглашения, оценки, знакомство и бытовые споры.</x:v>
      </x:c>
      <x:c r="N355" s="10" t="str">
        <x:v>Составить приглашение на ужин и аргументированно оценить блюдо.</x:v>
      </x:c>
      <x:c r="O355" s="10" t="str">
        <x:v>Быстрая речь и стереотипы; порядок дней недели в серии</x:v>
      </x:c>
      <x:c r="P355" s="10" t="str">
        <x:v>Самостоятельное видео</x:v>
      </x:c>
      <x:c r="Q355" s="9" t="str">
        <x:v>Нет</x:v>
      </x:c>
      <x:c r="R355" s="9" t="str">
        <x:v>C022</x:v>
      </x:c>
      <x:c r="S355" s="9" t="str">
        <x:v>C022</x:v>
      </x:c>
      <x:c r="T355" s="10" t="str">
        <x:v>כאן 11 - תאגיד השידור הישראלי</x:v>
      </x:c>
      <x:c r="U355" s="11" t="str">
        <x:v>https://www.youtube.com/watch?v=_uPziM58sdY</x:v>
      </x:c>
      <x:c r="V355" s="16" t="n">
        <x:v>46308</x:v>
      </x:c>
      <x:c r="W355" s="16"/>
      <x:c r="X355" s="10" t="str">
        <x:v>Иврит предполагается по заголовку и источнику</x:v>
      </x:c>
      <x:c r="Y355" s="10" t="str">
        <x:v>Не проверено</x:v>
      </x:c>
      <x:c r="Z355" s="10" t="str">
        <x:v>Не проверено</x:v>
      </x:c>
      <x:c r="AA355" s="10" t="str">
        <x:v>Метаданные списка; видео не просмотрено</x:v>
      </x:c>
      <x:c r="AB355" s="13" t="str">
        <x:f>IF(AND(ISNUMBER(H355),ISNUMBER(W355)),H355/MAX(1,'Обзор'!$B$4-W355),"")</x:f>
      </x:c>
      <x:c r="AC355" s="17" t="str">
        <x:v>Не решено</x:v>
      </x:c>
      <x:c r="AD355" s="17" t="str">
        <x:v>Не проверено</x:v>
      </x:c>
      <x:c r="AE355" s="17" t="str">
        <x:v>Не проверено</x:v>
      </x:c>
      <x:c r="AF355" s="17" t="str">
        <x:v>Не проверено</x:v>
      </x:c>
      <x:c r="AG355" s="17" t="str">
        <x:v>Не решено</x:v>
      </x:c>
      <x:c r="AH355" s="17" t="str">
        <x:v>Не проверено</x:v>
      </x:c>
      <x:c r="AI355" s="10" t="str">
        <x:f>IF(AC355="Отклонить","Отклонено",IF(AND(AC355="Взять",COUNTIFS(AD355:AH355,"Да")=5),"Готово","Нужна редактура"))</x:f>
        <x:v>Нужна редактура</x:v>
      </x:c>
      <x:c r="AJ355" s="17" t="str"/>
      <x:c r="AK355" s="9" t="str">
        <x:v>https://www.youtube.com/playlist?list=PLLttfoK87AdWRhROPAbHnw5EXvKWiHV8d</x:v>
      </x:c>
      <x:c r="AL355" s="9" t="n">
        <x:v>15</x:v>
      </x:c>
      <x:c r="AM355" s="9" t="n">
        <x:v>15</x:v>
      </x:c>
      <x:c r="AN355" s="9"/>
    </x:row>
    <x:row r="356" ht="60" customHeight="1">
      <x:c r="A356" s="9" t="str">
        <x:v>zfTdpSdF9RY</x:v>
      </x:c>
      <x:c r="B356" s="10" t="str">
        <x:v>בואו לאכול איתי עונה 9 | השרון והכרמל - חלק א' (פרק 16)</x:v>
      </x:c>
      <x:c r="C356" s="10" t="str">
        <x:v>Еда и повседневность</x:v>
      </x:c>
      <x:c r="D356" s="9" t="str">
        <x:v>Быт</x:v>
      </x:c>
      <x:c r="E356" s="10" t="str">
        <x:v>Кулинария; отношения; лёгкий просмотр</x:v>
      </x:c>
      <x:c r="F356" s="10" t="str">
        <x:v>B1–B2 (гипотеза)</x:v>
      </x:c>
      <x:c r="G356" s="12" t="n">
        <x:v>27.4</x:v>
      </x:c>
      <x:c r="H356" s="14" t="n">
        <x:v>200629</x:v>
      </x:c>
      <x:c r="I356" s="15" t="str">
        <x:v>Точный счётчик метаданных видео</x:v>
      </x:c>
      <x:c r="J356" s="14" t="n">
        <x:v>200000</x:v>
      </x:c>
      <x:c r="K356" s="14" t="n">
        <x:v>182000</x:v>
      </x:c>
      <x:c r="L356" s="12" t="n">
        <x:f>IF(COUNT(J356:K356)=2,IF(K356=0,"",J356/K356),"")</x:f>
        <x:v>1.098901098901099</x:v>
      </x:c>
      <x:c r="M356" s="10" t="str">
        <x:v>Тема: בואו לאכול איתי עונה 9 | השרון והכרמל - חלק א' (פרק 16). Еда снижает порог входа для широкой аудитории. В одном выпуске встречаются приглашения, оценки, знакомство и бытовые споры.</x:v>
      </x:c>
      <x:c r="N356" s="10" t="str">
        <x:v>Составить приглашение на ужин и аргументированно оценить блюдо.</x:v>
      </x:c>
      <x:c r="O356" s="10" t="str">
        <x:v>Быстрая речь и стереотипы; порядок дней недели в серии</x:v>
      </x:c>
      <x:c r="P356" s="10" t="str">
        <x:v>Самостоятельное видео</x:v>
      </x:c>
      <x:c r="Q356" s="9" t="str">
        <x:v>Нет</x:v>
      </x:c>
      <x:c r="R356" s="9" t="str">
        <x:v>C022</x:v>
      </x:c>
      <x:c r="S356" s="9" t="str">
        <x:v>C022</x:v>
      </x:c>
      <x:c r="T356" s="10" t="str">
        <x:v>כאן 11 - תאגיד השידור הישראלי</x:v>
      </x:c>
      <x:c r="U356" s="11" t="str">
        <x:v>https://www.youtube.com/watch?v=zfTdpSdF9RY</x:v>
      </x:c>
      <x:c r="V356" s="16" t="n">
        <x:v>46308</x:v>
      </x:c>
      <x:c r="W356" s="16" t="n">
        <x:v>45970</x:v>
      </x:c>
      <x:c r="X356" s="10" t="str">
        <x:v>Иврит предполагается по заголовку и источнику</x:v>
      </x:c>
      <x:c r="Y356" s="10" t="str">
        <x:v>Автоматическая дорожка HE по метаданным</x:v>
      </x:c>
      <x:c r="Z356" s="10" t="str">
        <x:v>Разрешено по метаданным</x:v>
      </x:c>
      <x:c r="AA356" s="10" t="str">
        <x:v>Метаданные видео; воспроизведение и содержание не проверены</x:v>
      </x:c>
      <x:c r="AB356" s="13" t="n">
        <x:f>IF(AND(ISNUMBER(H356),ISNUMBER(W356)),H356/MAX(1,'Обзор'!$B$4-W356),"")</x:f>
        <x:v>593.5769230769231</x:v>
      </x:c>
      <x:c r="AC356" s="17" t="str">
        <x:v>Не решено</x:v>
      </x:c>
      <x:c r="AD356" s="17" t="str">
        <x:v>Не проверено</x:v>
      </x:c>
      <x:c r="AE356" s="17" t="str">
        <x:v>Не проверено</x:v>
      </x:c>
      <x:c r="AF356" s="17" t="str">
        <x:v>Не проверено</x:v>
      </x:c>
      <x:c r="AG356" s="17" t="str">
        <x:v>Не решено</x:v>
      </x:c>
      <x:c r="AH356" s="17" t="str">
        <x:v>Не проверено</x:v>
      </x:c>
      <x:c r="AI356" s="10" t="str">
        <x:f>IF(AC356="Отклонить","Отклонено",IF(AND(AC356="Взять",COUNTIFS(AD356:AH356,"Да")=5),"Готово","Нужна редактура"))</x:f>
        <x:v>Нужна редактура</x:v>
      </x:c>
      <x:c r="AJ356" s="17" t="str"/>
      <x:c r="AK356" s="9" t="str">
        <x:v>https://www.youtube.com/playlist?list=PLLttfoK87AdWRhROPAbHnw5EXvKWiHV8d</x:v>
      </x:c>
      <x:c r="AL356" s="9" t="n">
        <x:v>16</x:v>
      </x:c>
      <x:c r="AM356" s="9" t="n">
        <x:v>16</x:v>
      </x:c>
      <x:c r="AN356" s="9" t="n">
        <x:v>0</x:v>
      </x:c>
    </x:row>
    <x:row r="357" ht="60" customHeight="1">
      <x:c r="A357" s="9" t="str">
        <x:v>9c7kCmZe80w</x:v>
      </x:c>
      <x:c r="B357" s="10" t="str">
        <x:v>בואו לאכול איתי עונה 9 | השרון והכרמל - חלק ב' (פרק 17)</x:v>
      </x:c>
      <x:c r="C357" s="10" t="str">
        <x:v>Еда и повседневность</x:v>
      </x:c>
      <x:c r="D357" s="9" t="str">
        <x:v>Быт</x:v>
      </x:c>
      <x:c r="E357" s="10" t="str">
        <x:v>Кулинария; отношения; лёгкий просмотр</x:v>
      </x:c>
      <x:c r="F357" s="10" t="str">
        <x:v>B1–B2 (гипотеза)</x:v>
      </x:c>
      <x:c r="G357" s="12" t="n">
        <x:v>28.7</x:v>
      </x:c>
      <x:c r="H357" s="14" t="n">
        <x:v>182324</x:v>
      </x:c>
      <x:c r="I357" s="15" t="str">
        <x:v>Точный счётчик метаданных видео</x:v>
      </x:c>
      <x:c r="J357" s="14" t="n">
        <x:v>182000</x:v>
      </x:c>
      <x:c r="K357" s="14" t="n">
        <x:v>182000</x:v>
      </x:c>
      <x:c r="L357" s="12" t="n">
        <x:f>IF(COUNT(J357:K357)=2,IF(K357=0,"",J357/K357),"")</x:f>
        <x:v>1</x:v>
      </x:c>
      <x:c r="M357" s="10" t="str">
        <x:v>Тема: בואו לאכול איתי עונה 9 | השרון והכרמל - חלק ב' (פרק 17). Еда снижает порог входа для широкой аудитории. В одном выпуске встречаются приглашения, оценки, знакомство и бытовые споры.</x:v>
      </x:c>
      <x:c r="N357" s="10" t="str">
        <x:v>Составить приглашение на ужин и аргументированно оценить блюдо.</x:v>
      </x:c>
      <x:c r="O357" s="10" t="str">
        <x:v>Быстрая речь и стереотипы; порядок дней недели в серии</x:v>
      </x:c>
      <x:c r="P357" s="10" t="str">
        <x:v>Самостоятельное видео</x:v>
      </x:c>
      <x:c r="Q357" s="9" t="str">
        <x:v>Нет</x:v>
      </x:c>
      <x:c r="R357" s="9" t="str">
        <x:v>C022</x:v>
      </x:c>
      <x:c r="S357" s="9" t="str">
        <x:v>C022</x:v>
      </x:c>
      <x:c r="T357" s="10" t="str">
        <x:v>כאן 11 - תאגיד השידור הישראלי</x:v>
      </x:c>
      <x:c r="U357" s="11" t="str">
        <x:v>https://www.youtube.com/watch?v=9c7kCmZe80w</x:v>
      </x:c>
      <x:c r="V357" s="16" t="n">
        <x:v>46308</x:v>
      </x:c>
      <x:c r="W357" s="16" t="n">
        <x:v>45971</x:v>
      </x:c>
      <x:c r="X357" s="10" t="str">
        <x:v>Иврит предполагается по заголовку и источнику</x:v>
      </x:c>
      <x:c r="Y357" s="10" t="str">
        <x:v>Автоматическая дорожка HE по метаданным</x:v>
      </x:c>
      <x:c r="Z357" s="10" t="str">
        <x:v>Разрешено по метаданным</x:v>
      </x:c>
      <x:c r="AA357" s="10" t="str">
        <x:v>Метаданные видео; воспроизведение и содержание не проверены</x:v>
      </x:c>
      <x:c r="AB357" s="13" t="n">
        <x:f>IF(AND(ISNUMBER(H357),ISNUMBER(W357)),H357/MAX(1,'Обзор'!$B$4-W357),"")</x:f>
        <x:v>541.0207715133531</x:v>
      </x:c>
      <x:c r="AC357" s="17" t="str">
        <x:v>Не решено</x:v>
      </x:c>
      <x:c r="AD357" s="17" t="str">
        <x:v>Не проверено</x:v>
      </x:c>
      <x:c r="AE357" s="17" t="str">
        <x:v>Не проверено</x:v>
      </x:c>
      <x:c r="AF357" s="17" t="str">
        <x:v>Не проверено</x:v>
      </x:c>
      <x:c r="AG357" s="17" t="str">
        <x:v>Не решено</x:v>
      </x:c>
      <x:c r="AH357" s="17" t="str">
        <x:v>Не проверено</x:v>
      </x:c>
      <x:c r="AI357" s="10" t="str">
        <x:f>IF(AC357="Отклонить","Отклонено",IF(AND(AC357="Взять",COUNTIFS(AD357:AH357,"Да")=5),"Готово","Нужна редактура"))</x:f>
        <x:v>Нужна редактура</x:v>
      </x:c>
      <x:c r="AJ357" s="17" t="str"/>
      <x:c r="AK357" s="9" t="str">
        <x:v>https://www.youtube.com/playlist?list=PLLttfoK87AdWRhROPAbHnw5EXvKWiHV8d</x:v>
      </x:c>
      <x:c r="AL357" s="9" t="n">
        <x:v>17</x:v>
      </x:c>
      <x:c r="AM357" s="9" t="n">
        <x:v>17</x:v>
      </x:c>
      <x:c r="AN357" s="9" t="n">
        <x:v>0</x:v>
      </x:c>
    </x:row>
    <x:row r="358" ht="60" customHeight="1">
      <x:c r="A358" s="9" t="str">
        <x:v>2rj1FNfxwks</x:v>
      </x:c>
      <x:c r="B358" s="10" t="str">
        <x:v>בואו לאכול איתי עונה 9 | השרון והכרמל - חלק ג' (פרק 18)</x:v>
      </x:c>
      <x:c r="C358" s="10" t="str">
        <x:v>Еда и повседневность</x:v>
      </x:c>
      <x:c r="D358" s="9" t="str">
        <x:v>Быт</x:v>
      </x:c>
      <x:c r="E358" s="10" t="str">
        <x:v>Кулинария; отношения; лёгкий просмотр</x:v>
      </x:c>
      <x:c r="F358" s="10" t="str">
        <x:v>B1–B2 (гипотеза)</x:v>
      </x:c>
      <x:c r="G358" s="12" t="n">
        <x:v>27.8</x:v>
      </x:c>
      <x:c r="H358" s="14" t="n">
        <x:v>153000</x:v>
      </x:c>
      <x:c r="I358" s="15" t="str">
        <x:v>Округлённый счётчик в списке YouTube</x:v>
      </x:c>
      <x:c r="J358" s="14" t="n">
        <x:v>153000</x:v>
      </x:c>
      <x:c r="K358" s="14" t="n">
        <x:v>182000</x:v>
      </x:c>
      <x:c r="L358" s="12" t="n">
        <x:f>IF(COUNT(J358:K358)=2,IF(K358=0,"",J358/K358),"")</x:f>
        <x:v>0.8406593406593407</x:v>
      </x:c>
      <x:c r="M358" s="10" t="str">
        <x:v>Тема: בואו לאכול איתי עונה 9 | השרון והכרמל - חלק ג' (פרק 18). Еда снижает порог входа для широкой аудитории. В одном выпуске встречаются приглашения, оценки, знакомство и бытовые споры.</x:v>
      </x:c>
      <x:c r="N358" s="10" t="str">
        <x:v>Составить приглашение на ужин и аргументированно оценить блюдо.</x:v>
      </x:c>
      <x:c r="O358" s="10" t="str">
        <x:v>Быстрая речь и стереотипы; порядок дней недели в серии</x:v>
      </x:c>
      <x:c r="P358" s="10" t="str">
        <x:v>Самостоятельное видео</x:v>
      </x:c>
      <x:c r="Q358" s="9" t="str">
        <x:v>Нет</x:v>
      </x:c>
      <x:c r="R358" s="9" t="str">
        <x:v>C022</x:v>
      </x:c>
      <x:c r="S358" s="9" t="str">
        <x:v>C022</x:v>
      </x:c>
      <x:c r="T358" s="10" t="str">
        <x:v>כאן 11 - תאגיד השידור הישראלי</x:v>
      </x:c>
      <x:c r="U358" s="11" t="str">
        <x:v>https://www.youtube.com/watch?v=2rj1FNfxwks</x:v>
      </x:c>
      <x:c r="V358" s="16" t="n">
        <x:v>46308</x:v>
      </x:c>
      <x:c r="W358" s="16"/>
      <x:c r="X358" s="10" t="str">
        <x:v>Иврит предполагается по заголовку и источнику</x:v>
      </x:c>
      <x:c r="Y358" s="10" t="str">
        <x:v>Не проверено</x:v>
      </x:c>
      <x:c r="Z358" s="10" t="str">
        <x:v>Не проверено</x:v>
      </x:c>
      <x:c r="AA358" s="10" t="str">
        <x:v>Метаданные списка; видео не просмотрено</x:v>
      </x:c>
      <x:c r="AB358" s="13" t="str">
        <x:f>IF(AND(ISNUMBER(H358),ISNUMBER(W358)),H358/MAX(1,'Обзор'!$B$4-W358),"")</x:f>
      </x:c>
      <x:c r="AC358" s="17" t="str">
        <x:v>Не решено</x:v>
      </x:c>
      <x:c r="AD358" s="17" t="str">
        <x:v>Не проверено</x:v>
      </x:c>
      <x:c r="AE358" s="17" t="str">
        <x:v>Не проверено</x:v>
      </x:c>
      <x:c r="AF358" s="17" t="str">
        <x:v>Не проверено</x:v>
      </x:c>
      <x:c r="AG358" s="17" t="str">
        <x:v>Не решено</x:v>
      </x:c>
      <x:c r="AH358" s="17" t="str">
        <x:v>Не проверено</x:v>
      </x:c>
      <x:c r="AI358" s="10" t="str">
        <x:f>IF(AC358="Отклонить","Отклонено",IF(AND(AC358="Взять",COUNTIFS(AD358:AH358,"Да")=5),"Готово","Нужна редактура"))</x:f>
        <x:v>Нужна редактура</x:v>
      </x:c>
      <x:c r="AJ358" s="17" t="str"/>
      <x:c r="AK358" s="9" t="str">
        <x:v>https://www.youtube.com/playlist?list=PLLttfoK87AdWRhROPAbHnw5EXvKWiHV8d</x:v>
      </x:c>
      <x:c r="AL358" s="9" t="n">
        <x:v>18</x:v>
      </x:c>
      <x:c r="AM358" s="9" t="n">
        <x:v>18</x:v>
      </x:c>
      <x:c r="AN358" s="9"/>
    </x:row>
    <x:row r="359" ht="60" customHeight="1">
      <x:c r="A359" s="9" t="str">
        <x:v>6vC9FGt8afM</x:v>
      </x:c>
      <x:c r="B359" s="10" t="str">
        <x:v>בואו לאכול איתי עונה 9 | השרון והכרמל - חלק ד' (פרק 19)</x:v>
      </x:c>
      <x:c r="C359" s="10" t="str">
        <x:v>Еда и повседневность</x:v>
      </x:c>
      <x:c r="D359" s="9" t="str">
        <x:v>Быт</x:v>
      </x:c>
      <x:c r="E359" s="10" t="str">
        <x:v>Кулинария; отношения; лёгкий просмотр</x:v>
      </x:c>
      <x:c r="F359" s="10" t="str">
        <x:v>B1–B2 (гипотеза)</x:v>
      </x:c>
      <x:c r="G359" s="12" t="n">
        <x:v>29</x:v>
      </x:c>
      <x:c r="H359" s="14" t="n">
        <x:v>158000</x:v>
      </x:c>
      <x:c r="I359" s="15" t="str">
        <x:v>Округлённый счётчик в списке YouTube</x:v>
      </x:c>
      <x:c r="J359" s="14" t="n">
        <x:v>158000</x:v>
      </x:c>
      <x:c r="K359" s="14" t="n">
        <x:v>182000</x:v>
      </x:c>
      <x:c r="L359" s="12" t="n">
        <x:f>IF(COUNT(J359:K359)=2,IF(K359=0,"",J359/K359),"")</x:f>
        <x:v>0.8681318681318682</x:v>
      </x:c>
      <x:c r="M359" s="10" t="str">
        <x:v>Тема: בואו לאכול איתי עונה 9 | השרון והכרמל - חלק ד' (פרק 19). Еда снижает порог входа для широкой аудитории. В одном выпуске встречаются приглашения, оценки, знакомство и бытовые споры.</x:v>
      </x:c>
      <x:c r="N359" s="10" t="str">
        <x:v>Составить приглашение на ужин и аргументированно оценить блюдо.</x:v>
      </x:c>
      <x:c r="O359" s="10" t="str">
        <x:v>Быстрая речь и стереотипы; порядок дней недели в серии</x:v>
      </x:c>
      <x:c r="P359" s="10" t="str">
        <x:v>Самостоятельное видео</x:v>
      </x:c>
      <x:c r="Q359" s="9" t="str">
        <x:v>Нет</x:v>
      </x:c>
      <x:c r="R359" s="9" t="str">
        <x:v>C022</x:v>
      </x:c>
      <x:c r="S359" s="9" t="str">
        <x:v>C022</x:v>
      </x:c>
      <x:c r="T359" s="10" t="str">
        <x:v>כאן 11 - תאגיד השידור הישראלי</x:v>
      </x:c>
      <x:c r="U359" s="11" t="str">
        <x:v>https://www.youtube.com/watch?v=6vC9FGt8afM</x:v>
      </x:c>
      <x:c r="V359" s="16" t="n">
        <x:v>46308</x:v>
      </x:c>
      <x:c r="W359" s="16"/>
      <x:c r="X359" s="10" t="str">
        <x:v>Иврит предполагается по заголовку и источнику</x:v>
      </x:c>
      <x:c r="Y359" s="10" t="str">
        <x:v>Не проверено</x:v>
      </x:c>
      <x:c r="Z359" s="10" t="str">
        <x:v>Не проверено</x:v>
      </x:c>
      <x:c r="AA359" s="10" t="str">
        <x:v>Метаданные списка; видео не просмотрено</x:v>
      </x:c>
      <x:c r="AB359" s="13" t="str">
        <x:f>IF(AND(ISNUMBER(H359),ISNUMBER(W359)),H359/MAX(1,'Обзор'!$B$4-W359),"")</x:f>
      </x:c>
      <x:c r="AC359" s="17" t="str">
        <x:v>Не решено</x:v>
      </x:c>
      <x:c r="AD359" s="17" t="str">
        <x:v>Не проверено</x:v>
      </x:c>
      <x:c r="AE359" s="17" t="str">
        <x:v>Не проверено</x:v>
      </x:c>
      <x:c r="AF359" s="17" t="str">
        <x:v>Не проверено</x:v>
      </x:c>
      <x:c r="AG359" s="17" t="str">
        <x:v>Не решено</x:v>
      </x:c>
      <x:c r="AH359" s="17" t="str">
        <x:v>Не проверено</x:v>
      </x:c>
      <x:c r="AI359" s="10" t="str">
        <x:f>IF(AC359="Отклонить","Отклонено",IF(AND(AC359="Взять",COUNTIFS(AD359:AH359,"Да")=5),"Готово","Нужна редактура"))</x:f>
        <x:v>Нужна редактура</x:v>
      </x:c>
      <x:c r="AJ359" s="17" t="str"/>
      <x:c r="AK359" s="9" t="str">
        <x:v>https://www.youtube.com/playlist?list=PLLttfoK87AdWRhROPAbHnw5EXvKWiHV8d</x:v>
      </x:c>
      <x:c r="AL359" s="9" t="n">
        <x:v>19</x:v>
      </x:c>
      <x:c r="AM359" s="9" t="n">
        <x:v>19</x:v>
      </x:c>
      <x:c r="AN359" s="9"/>
    </x:row>
    <x:row r="360" ht="60" customHeight="1">
      <x:c r="A360" s="9" t="str">
        <x:v>ySmCFUe0224</x:v>
      </x:c>
      <x:c r="B360" s="10" t="str">
        <x:v>בואו לאכול איתי עונה 9 | השרון והכרמל - חלק ה' (פרק 20)</x:v>
      </x:c>
      <x:c r="C360" s="10" t="str">
        <x:v>Еда и повседневность</x:v>
      </x:c>
      <x:c r="D360" s="9" t="str">
        <x:v>Быт</x:v>
      </x:c>
      <x:c r="E360" s="10" t="str">
        <x:v>Кулинария; отношения; лёгкий просмотр</x:v>
      </x:c>
      <x:c r="F360" s="10" t="str">
        <x:v>B1–B2 (гипотеза)</x:v>
      </x:c>
      <x:c r="G360" s="12" t="n">
        <x:v>28.8</x:v>
      </x:c>
      <x:c r="H360" s="14" t="n">
        <x:v>160000</x:v>
      </x:c>
      <x:c r="I360" s="15" t="str">
        <x:v>Округлённый счётчик в списке YouTube</x:v>
      </x:c>
      <x:c r="J360" s="14" t="n">
        <x:v>160000</x:v>
      </x:c>
      <x:c r="K360" s="14" t="n">
        <x:v>182000</x:v>
      </x:c>
      <x:c r="L360" s="12" t="n">
        <x:f>IF(COUNT(J360:K360)=2,IF(K360=0,"",J360/K360),"")</x:f>
        <x:v>0.8791208791208791</x:v>
      </x:c>
      <x:c r="M360" s="10" t="str">
        <x:v>Тема: בואו לאכול איתי עונה 9 | השרון והכרמל - חלק ה' (פרק 20). Еда снижает порог входа для широкой аудитории. В одном выпуске встречаются приглашения, оценки, знакомство и бытовые споры.</x:v>
      </x:c>
      <x:c r="N360" s="10" t="str">
        <x:v>Составить приглашение на ужин и аргументированно оценить блюдо.</x:v>
      </x:c>
      <x:c r="O360" s="10" t="str">
        <x:v>Быстрая речь и стереотипы; порядок дней недели в серии</x:v>
      </x:c>
      <x:c r="P360" s="10" t="str">
        <x:v>Самостоятельное видео</x:v>
      </x:c>
      <x:c r="Q360" s="9" t="str">
        <x:v>Нет</x:v>
      </x:c>
      <x:c r="R360" s="9" t="str">
        <x:v>C022</x:v>
      </x:c>
      <x:c r="S360" s="9" t="str">
        <x:v>C022</x:v>
      </x:c>
      <x:c r="T360" s="10" t="str">
        <x:v>כאן 11 - תאגיד השידור הישראלי</x:v>
      </x:c>
      <x:c r="U360" s="11" t="str">
        <x:v>https://www.youtube.com/watch?v=ySmCFUe0224</x:v>
      </x:c>
      <x:c r="V360" s="16" t="n">
        <x:v>46308</x:v>
      </x:c>
      <x:c r="W360" s="16"/>
      <x:c r="X360" s="10" t="str">
        <x:v>Иврит предполагается по заголовку и источнику</x:v>
      </x:c>
      <x:c r="Y360" s="10" t="str">
        <x:v>Не проверено</x:v>
      </x:c>
      <x:c r="Z360" s="10" t="str">
        <x:v>Не проверено</x:v>
      </x:c>
      <x:c r="AA360" s="10" t="str">
        <x:v>Метаданные списка; видео не просмотрено</x:v>
      </x:c>
      <x:c r="AB360" s="13" t="str">
        <x:f>IF(AND(ISNUMBER(H360),ISNUMBER(W360)),H360/MAX(1,'Обзор'!$B$4-W360),"")</x:f>
      </x:c>
      <x:c r="AC360" s="17" t="str">
        <x:v>Не решено</x:v>
      </x:c>
      <x:c r="AD360" s="17" t="str">
        <x:v>Не проверено</x:v>
      </x:c>
      <x:c r="AE360" s="17" t="str">
        <x:v>Не проверено</x:v>
      </x:c>
      <x:c r="AF360" s="17" t="str">
        <x:v>Не проверено</x:v>
      </x:c>
      <x:c r="AG360" s="17" t="str">
        <x:v>Не решено</x:v>
      </x:c>
      <x:c r="AH360" s="17" t="str">
        <x:v>Не проверено</x:v>
      </x:c>
      <x:c r="AI360" s="10" t="str">
        <x:f>IF(AC360="Отклонить","Отклонено",IF(AND(AC360="Взять",COUNTIFS(AD360:AH360,"Да")=5),"Готово","Нужна редактура"))</x:f>
        <x:v>Нужна редактура</x:v>
      </x:c>
      <x:c r="AJ360" s="17" t="str"/>
      <x:c r="AK360" s="9" t="str">
        <x:v>https://www.youtube.com/playlist?list=PLLttfoK87AdWRhROPAbHnw5EXvKWiHV8d</x:v>
      </x:c>
      <x:c r="AL360" s="9" t="n">
        <x:v>20</x:v>
      </x:c>
      <x:c r="AM360" s="9" t="n">
        <x:v>20</x:v>
      </x:c>
      <x:c r="AN360" s="9"/>
    </x:row>
    <x:row r="361" ht="60" customHeight="1">
      <x:c r="A361" s="9" t="str">
        <x:v>BPUc2C7fxS4</x:v>
      </x:c>
      <x:c r="B361" s="10" t="str">
        <x:v>בואו לאכול איתי עונה 9 | חיפה - חלק א' (פרק 21)</x:v>
      </x:c>
      <x:c r="C361" s="10" t="str">
        <x:v>Еда и повседневность</x:v>
      </x:c>
      <x:c r="D361" s="9" t="str">
        <x:v>Быт</x:v>
      </x:c>
      <x:c r="E361" s="10" t="str">
        <x:v>Кулинария; отношения; лёгкий просмотр</x:v>
      </x:c>
      <x:c r="F361" s="10" t="str">
        <x:v>B1–B2 (гипотеза)</x:v>
      </x:c>
      <x:c r="G361" s="12" t="n">
        <x:v>29.4</x:v>
      </x:c>
      <x:c r="H361" s="14" t="n">
        <x:v>285005</x:v>
      </x:c>
      <x:c r="I361" s="15" t="str">
        <x:v>Точный счётчик метаданных видео</x:v>
      </x:c>
      <x:c r="J361" s="14" t="n">
        <x:v>285000</x:v>
      </x:c>
      <x:c r="K361" s="14" t="n">
        <x:v>182000</x:v>
      </x:c>
      <x:c r="L361" s="12" t="n">
        <x:f>IF(COUNT(J361:K361)=2,IF(K361=0,"",J361/K361),"")</x:f>
        <x:v>1.565934065934066</x:v>
      </x:c>
      <x:c r="M361" s="10" t="str">
        <x:v>Тема: בואו לאכול איתי עונה 9 | חיפה - חלק א' (פרק 21). Просмотры в списке выше медианы выборки этого цикла в 1.57 раза. Еда снижает порог входа для широкой аудитории. В одном выпуске встречаются приглашения, оценки, знакомство и бытовые споры.</x:v>
      </x:c>
      <x:c r="N361" s="10" t="str">
        <x:v>Составить приглашение на ужин и аргументированно оценить блюдо.</x:v>
      </x:c>
      <x:c r="O361" s="10" t="str">
        <x:v>Быстрая речь и стереотипы; порядок дней недели в серии</x:v>
      </x:c>
      <x:c r="P361" s="10" t="str">
        <x:v>Самостоятельное видео</x:v>
      </x:c>
      <x:c r="Q361" s="9" t="str">
        <x:v>Нет</x:v>
      </x:c>
      <x:c r="R361" s="9" t="str">
        <x:v>C022</x:v>
      </x:c>
      <x:c r="S361" s="9" t="str">
        <x:v>C022</x:v>
      </x:c>
      <x:c r="T361" s="10" t="str">
        <x:v>כאן 11 - תאגיד השידור הישראלי</x:v>
      </x:c>
      <x:c r="U361" s="11" t="str">
        <x:v>https://www.youtube.com/watch?v=BPUc2C7fxS4</x:v>
      </x:c>
      <x:c r="V361" s="16" t="n">
        <x:v>46308</x:v>
      </x:c>
      <x:c r="W361" s="16" t="n">
        <x:v>45977</x:v>
      </x:c>
      <x:c r="X361" s="10" t="str">
        <x:v>iw</x:v>
      </x:c>
      <x:c r="Y361" s="10" t="str">
        <x:v>Автоматическая дорожка HE по метаданным</x:v>
      </x:c>
      <x:c r="Z361" s="10" t="str">
        <x:v>Разрешено по метаданным</x:v>
      </x:c>
      <x:c r="AA361" s="10" t="str">
        <x:v>Метаданные видео; воспроизведение и содержание не проверены</x:v>
      </x:c>
      <x:c r="AB361" s="13" t="n">
        <x:f>IF(AND(ISNUMBER(H361),ISNUMBER(W361)),H361/MAX(1,'Обзор'!$B$4-W361),"")</x:f>
        <x:v>861.0422960725075</x:v>
      </x:c>
      <x:c r="AC361" s="17" t="str">
        <x:v>Не решено</x:v>
      </x:c>
      <x:c r="AD361" s="17" t="str">
        <x:v>Не проверено</x:v>
      </x:c>
      <x:c r="AE361" s="17" t="str">
        <x:v>Не проверено</x:v>
      </x:c>
      <x:c r="AF361" s="17" t="str">
        <x:v>Не проверено</x:v>
      </x:c>
      <x:c r="AG361" s="17" t="str">
        <x:v>Не решено</x:v>
      </x:c>
      <x:c r="AH361" s="17" t="str">
        <x:v>Не проверено</x:v>
      </x:c>
      <x:c r="AI361" s="10" t="str">
        <x:f>IF(AC361="Отклонить","Отклонено",IF(AND(AC361="Взять",COUNTIFS(AD361:AH361,"Да")=5),"Готово","Нужна редактура"))</x:f>
        <x:v>Нужна редактура</x:v>
      </x:c>
      <x:c r="AJ361" s="17" t="str"/>
      <x:c r="AK361" s="9" t="str">
        <x:v>https://www.youtube.com/playlist?list=PLLttfoK87AdWRhROPAbHnw5EXvKWiHV8d</x:v>
      </x:c>
      <x:c r="AL361" s="9" t="n">
        <x:v>21</x:v>
      </x:c>
      <x:c r="AM361" s="9" t="n">
        <x:v>21</x:v>
      </x:c>
      <x:c r="AN361" s="9" t="n">
        <x:v>0</x:v>
      </x:c>
    </x:row>
    <x:row r="362" ht="60" customHeight="1">
      <x:c r="A362" s="9" t="str">
        <x:v>tPwkbjlq4Pk</x:v>
      </x:c>
      <x:c r="B362" s="10" t="str">
        <x:v>בואו לאכול איתי עונה 9 | חיפה - חלק ב' (פרק 22)</x:v>
      </x:c>
      <x:c r="C362" s="10" t="str">
        <x:v>Еда и повседневность</x:v>
      </x:c>
      <x:c r="D362" s="9" t="str">
        <x:v>Быт</x:v>
      </x:c>
      <x:c r="E362" s="10" t="str">
        <x:v>Кулинария; отношения; лёгкий просмотр</x:v>
      </x:c>
      <x:c r="F362" s="10" t="str">
        <x:v>B1–B2 (гипотеза)</x:v>
      </x:c>
      <x:c r="G362" s="12" t="n">
        <x:v>27.9</x:v>
      </x:c>
      <x:c r="H362" s="14" t="n">
        <x:v>176000</x:v>
      </x:c>
      <x:c r="I362" s="15" t="str">
        <x:v>Округлённый счётчик в списке YouTube</x:v>
      </x:c>
      <x:c r="J362" s="14" t="n">
        <x:v>176000</x:v>
      </x:c>
      <x:c r="K362" s="14" t="n">
        <x:v>182000</x:v>
      </x:c>
      <x:c r="L362" s="12" t="n">
        <x:f>IF(COUNT(J362:K362)=2,IF(K362=0,"",J362/K362),"")</x:f>
        <x:v>0.967032967032967</x:v>
      </x:c>
      <x:c r="M362" s="10" t="str">
        <x:v>Тема: בואו לאכול איתי עונה 9 | חיפה - חלק ב' (פרק 22). Еда снижает порог входа для широкой аудитории. В одном выпуске встречаются приглашения, оценки, знакомство и бытовые споры.</x:v>
      </x:c>
      <x:c r="N362" s="10" t="str">
        <x:v>Составить приглашение на ужин и аргументированно оценить блюдо.</x:v>
      </x:c>
      <x:c r="O362" s="10" t="str">
        <x:v>Быстрая речь и стереотипы; порядок дней недели в серии</x:v>
      </x:c>
      <x:c r="P362" s="10" t="str">
        <x:v>Самостоятельное видео</x:v>
      </x:c>
      <x:c r="Q362" s="9" t="str">
        <x:v>Нет</x:v>
      </x:c>
      <x:c r="R362" s="9" t="str">
        <x:v>C022</x:v>
      </x:c>
      <x:c r="S362" s="9" t="str">
        <x:v>C022</x:v>
      </x:c>
      <x:c r="T362" s="10" t="str">
        <x:v>כאן 11 - תאגיד השידור הישראלי</x:v>
      </x:c>
      <x:c r="U362" s="11" t="str">
        <x:v>https://www.youtube.com/watch?v=tPwkbjlq4Pk</x:v>
      </x:c>
      <x:c r="V362" s="16" t="n">
        <x:v>46308</x:v>
      </x:c>
      <x:c r="W362" s="16"/>
      <x:c r="X362" s="10" t="str">
        <x:v>Иврит предполагается по заголовку и источнику</x:v>
      </x:c>
      <x:c r="Y362" s="10" t="str">
        <x:v>Не проверено</x:v>
      </x:c>
      <x:c r="Z362" s="10" t="str">
        <x:v>Не проверено</x:v>
      </x:c>
      <x:c r="AA362" s="10" t="str">
        <x:v>Метаданные списка; видео не просмотрено</x:v>
      </x:c>
      <x:c r="AB362" s="13" t="str">
        <x:f>IF(AND(ISNUMBER(H362),ISNUMBER(W362)),H362/MAX(1,'Обзор'!$B$4-W362),"")</x:f>
      </x:c>
      <x:c r="AC362" s="17" t="str">
        <x:v>Не решено</x:v>
      </x:c>
      <x:c r="AD362" s="17" t="str">
        <x:v>Не проверено</x:v>
      </x:c>
      <x:c r="AE362" s="17" t="str">
        <x:v>Не проверено</x:v>
      </x:c>
      <x:c r="AF362" s="17" t="str">
        <x:v>Не проверено</x:v>
      </x:c>
      <x:c r="AG362" s="17" t="str">
        <x:v>Не решено</x:v>
      </x:c>
      <x:c r="AH362" s="17" t="str">
        <x:v>Не проверено</x:v>
      </x:c>
      <x:c r="AI362" s="10" t="str">
        <x:f>IF(AC362="Отклонить","Отклонено",IF(AND(AC362="Взять",COUNTIFS(AD362:AH362,"Да")=5),"Готово","Нужна редактура"))</x:f>
        <x:v>Нужна редактура</x:v>
      </x:c>
      <x:c r="AJ362" s="17" t="str"/>
      <x:c r="AK362" s="9" t="str">
        <x:v>https://www.youtube.com/playlist?list=PLLttfoK87AdWRhROPAbHnw5EXvKWiHV8d</x:v>
      </x:c>
      <x:c r="AL362" s="9" t="n">
        <x:v>22</x:v>
      </x:c>
      <x:c r="AM362" s="9" t="n">
        <x:v>22</x:v>
      </x:c>
      <x:c r="AN362" s="9"/>
    </x:row>
    <x:row r="363" ht="60" customHeight="1">
      <x:c r="A363" s="9" t="str">
        <x:v>DDqFNbpyN-E</x:v>
      </x:c>
      <x:c r="B363" s="10" t="str">
        <x:v>בואו לאכול איתי עונה 9 | חיפה - חלק ג' (פרק 23)</x:v>
      </x:c>
      <x:c r="C363" s="10" t="str">
        <x:v>Еда и повседневность</x:v>
      </x:c>
      <x:c r="D363" s="9" t="str">
        <x:v>Быт</x:v>
      </x:c>
      <x:c r="E363" s="10" t="str">
        <x:v>Кулинария; отношения; лёгкий просмотр</x:v>
      </x:c>
      <x:c r="F363" s="10" t="str">
        <x:v>B1–B2 (гипотеза)</x:v>
      </x:c>
      <x:c r="G363" s="12" t="n">
        <x:v>29.1</x:v>
      </x:c>
      <x:c r="H363" s="14" t="n">
        <x:v>172000</x:v>
      </x:c>
      <x:c r="I363" s="15" t="str">
        <x:v>Округлённый счётчик в списке YouTube</x:v>
      </x:c>
      <x:c r="J363" s="14" t="n">
        <x:v>172000</x:v>
      </x:c>
      <x:c r="K363" s="14" t="n">
        <x:v>182000</x:v>
      </x:c>
      <x:c r="L363" s="12" t="n">
        <x:f>IF(COUNT(J363:K363)=2,IF(K363=0,"",J363/K363),"")</x:f>
        <x:v>0.945054945054945</x:v>
      </x:c>
      <x:c r="M363" s="10" t="str">
        <x:v>Тема: בואו לאכול איתי עונה 9 | חיפה - חלק ג' (פרק 23). Еда снижает порог входа для широкой аудитории. В одном выпуске встречаются приглашения, оценки, знакомство и бытовые споры.</x:v>
      </x:c>
      <x:c r="N363" s="10" t="str">
        <x:v>Составить приглашение на ужин и аргументированно оценить блюдо.</x:v>
      </x:c>
      <x:c r="O363" s="10" t="str">
        <x:v>Быстрая речь и стереотипы; порядок дней недели в серии</x:v>
      </x:c>
      <x:c r="P363" s="10" t="str">
        <x:v>Самостоятельное видео</x:v>
      </x:c>
      <x:c r="Q363" s="9" t="str">
        <x:v>Нет</x:v>
      </x:c>
      <x:c r="R363" s="9" t="str">
        <x:v>C022</x:v>
      </x:c>
      <x:c r="S363" s="9" t="str">
        <x:v>C022</x:v>
      </x:c>
      <x:c r="T363" s="10" t="str">
        <x:v>כאן 11 - תאגיד השידור הישראלי</x:v>
      </x:c>
      <x:c r="U363" s="11" t="str">
        <x:v>https://www.youtube.com/watch?v=DDqFNbpyN-E</x:v>
      </x:c>
      <x:c r="V363" s="16" t="n">
        <x:v>46308</x:v>
      </x:c>
      <x:c r="W363" s="16"/>
      <x:c r="X363" s="10" t="str">
        <x:v>Иврит предполагается по заголовку и источнику</x:v>
      </x:c>
      <x:c r="Y363" s="10" t="str">
        <x:v>Не проверено</x:v>
      </x:c>
      <x:c r="Z363" s="10" t="str">
        <x:v>Не проверено</x:v>
      </x:c>
      <x:c r="AA363" s="10" t="str">
        <x:v>Метаданные списка; видео не просмотрено</x:v>
      </x:c>
      <x:c r="AB363" s="13" t="str">
        <x:f>IF(AND(ISNUMBER(H363),ISNUMBER(W363)),H363/MAX(1,'Обзор'!$B$4-W363),"")</x:f>
      </x:c>
      <x:c r="AC363" s="17" t="str">
        <x:v>Не решено</x:v>
      </x:c>
      <x:c r="AD363" s="17" t="str">
        <x:v>Не проверено</x:v>
      </x:c>
      <x:c r="AE363" s="17" t="str">
        <x:v>Не проверено</x:v>
      </x:c>
      <x:c r="AF363" s="17" t="str">
        <x:v>Не проверено</x:v>
      </x:c>
      <x:c r="AG363" s="17" t="str">
        <x:v>Не решено</x:v>
      </x:c>
      <x:c r="AH363" s="17" t="str">
        <x:v>Не проверено</x:v>
      </x:c>
      <x:c r="AI363" s="10" t="str">
        <x:f>IF(AC363="Отклонить","Отклонено",IF(AND(AC363="Взять",COUNTIFS(AD363:AH363,"Да")=5),"Готово","Нужна редактура"))</x:f>
        <x:v>Нужна редактура</x:v>
      </x:c>
      <x:c r="AJ363" s="17" t="str"/>
      <x:c r="AK363" s="9" t="str">
        <x:v>https://www.youtube.com/playlist?list=PLLttfoK87AdWRhROPAbHnw5EXvKWiHV8d</x:v>
      </x:c>
      <x:c r="AL363" s="9" t="n">
        <x:v>23</x:v>
      </x:c>
      <x:c r="AM363" s="9" t="n">
        <x:v>23</x:v>
      </x:c>
      <x:c r="AN363" s="9"/>
    </x:row>
    <x:row r="364" ht="60" customHeight="1">
      <x:c r="A364" s="9" t="str">
        <x:v>I4KHlgMoJKk</x:v>
      </x:c>
      <x:c r="B364" s="10" t="str">
        <x:v>בואו לאכול איתי עונה 9 | חיפה - חלק ד' (פרק 24)</x:v>
      </x:c>
      <x:c r="C364" s="10" t="str">
        <x:v>Еда и повседневность</x:v>
      </x:c>
      <x:c r="D364" s="9" t="str">
        <x:v>Быт</x:v>
      </x:c>
      <x:c r="E364" s="10" t="str">
        <x:v>Кулинария; отношения; лёгкий просмотр</x:v>
      </x:c>
      <x:c r="F364" s="10" t="str">
        <x:v>B1–B2 (гипотеза)</x:v>
      </x:c>
      <x:c r="G364" s="12" t="n">
        <x:v>28.1</x:v>
      </x:c>
      <x:c r="H364" s="14" t="n">
        <x:v>144000</x:v>
      </x:c>
      <x:c r="I364" s="15" t="str">
        <x:v>Округлённый счётчик в списке YouTube</x:v>
      </x:c>
      <x:c r="J364" s="14" t="n">
        <x:v>144000</x:v>
      </x:c>
      <x:c r="K364" s="14" t="n">
        <x:v>182000</x:v>
      </x:c>
      <x:c r="L364" s="12" t="n">
        <x:f>IF(COUNT(J364:K364)=2,IF(K364=0,"",J364/K364),"")</x:f>
        <x:v>0.7912087912087912</x:v>
      </x:c>
      <x:c r="M364" s="10" t="str">
        <x:v>Тема: בואו לאכול איתי עונה 9 | חיפה - חלק ד' (פרק 24). Еда снижает порог входа для широкой аудитории. В одном выпуске встречаются приглашения, оценки, знакомство и бытовые споры.</x:v>
      </x:c>
      <x:c r="N364" s="10" t="str">
        <x:v>Составить приглашение на ужин и аргументированно оценить блюдо.</x:v>
      </x:c>
      <x:c r="O364" s="10" t="str">
        <x:v>Быстрая речь и стереотипы; порядок дней недели в серии</x:v>
      </x:c>
      <x:c r="P364" s="10" t="str">
        <x:v>Самостоятельное видео</x:v>
      </x:c>
      <x:c r="Q364" s="9" t="str">
        <x:v>Нет</x:v>
      </x:c>
      <x:c r="R364" s="9" t="str">
        <x:v>C022</x:v>
      </x:c>
      <x:c r="S364" s="9" t="str">
        <x:v>C022</x:v>
      </x:c>
      <x:c r="T364" s="10" t="str">
        <x:v>כאן 11 - תאגיד השידור הישראלי</x:v>
      </x:c>
      <x:c r="U364" s="11" t="str">
        <x:v>https://www.youtube.com/watch?v=I4KHlgMoJKk</x:v>
      </x:c>
      <x:c r="V364" s="16" t="n">
        <x:v>46308</x:v>
      </x:c>
      <x:c r="W364" s="16"/>
      <x:c r="X364" s="10" t="str">
        <x:v>Иврит предполагается по заголовку и источнику</x:v>
      </x:c>
      <x:c r="Y364" s="10" t="str">
        <x:v>Не проверено</x:v>
      </x:c>
      <x:c r="Z364" s="10" t="str">
        <x:v>Не проверено</x:v>
      </x:c>
      <x:c r="AA364" s="10" t="str">
        <x:v>Метаданные списка; видео не просмотрено</x:v>
      </x:c>
      <x:c r="AB364" s="13" t="str">
        <x:f>IF(AND(ISNUMBER(H364),ISNUMBER(W364)),H364/MAX(1,'Обзор'!$B$4-W364),"")</x:f>
      </x:c>
      <x:c r="AC364" s="17" t="str">
        <x:v>Не решено</x:v>
      </x:c>
      <x:c r="AD364" s="17" t="str">
        <x:v>Не проверено</x:v>
      </x:c>
      <x:c r="AE364" s="17" t="str">
        <x:v>Не проверено</x:v>
      </x:c>
      <x:c r="AF364" s="17" t="str">
        <x:v>Не проверено</x:v>
      </x:c>
      <x:c r="AG364" s="17" t="str">
        <x:v>Не решено</x:v>
      </x:c>
      <x:c r="AH364" s="17" t="str">
        <x:v>Не проверено</x:v>
      </x:c>
      <x:c r="AI364" s="10" t="str">
        <x:f>IF(AC364="Отклонить","Отклонено",IF(AND(AC364="Взять",COUNTIFS(AD364:AH364,"Да")=5),"Готово","Нужна редактура"))</x:f>
        <x:v>Нужна редактура</x:v>
      </x:c>
      <x:c r="AJ364" s="17" t="str"/>
      <x:c r="AK364" s="9" t="str">
        <x:v>https://www.youtube.com/playlist?list=PLLttfoK87AdWRhROPAbHnw5EXvKWiHV8d</x:v>
      </x:c>
      <x:c r="AL364" s="9" t="n">
        <x:v>24</x:v>
      </x:c>
      <x:c r="AM364" s="9" t="n">
        <x:v>24</x:v>
      </x:c>
      <x:c r="AN364" s="9"/>
    </x:row>
    <x:row r="365" ht="60" customHeight="1">
      <x:c r="A365" s="9" t="str">
        <x:v>66IujYv_A0Q</x:v>
      </x:c>
      <x:c r="B365" s="10" t="str">
        <x:v>בואו לאכול איתי עונה 9 | חיפה - חלק ה' (פרק 25 ואחרון לעונה)</x:v>
      </x:c>
      <x:c r="C365" s="10" t="str">
        <x:v>Еда и повседневность</x:v>
      </x:c>
      <x:c r="D365" s="9" t="str">
        <x:v>Быт</x:v>
      </x:c>
      <x:c r="E365" s="10" t="str">
        <x:v>Кулинария; отношения; лёгкий просмотр</x:v>
      </x:c>
      <x:c r="F365" s="10" t="str">
        <x:v>B1–B2 (гипотеза)</x:v>
      </x:c>
      <x:c r="G365" s="12" t="n">
        <x:v>28.6</x:v>
      </x:c>
      <x:c r="H365" s="14" t="n">
        <x:v>161000</x:v>
      </x:c>
      <x:c r="I365" s="15" t="str">
        <x:v>Округлённый счётчик в списке YouTube</x:v>
      </x:c>
      <x:c r="J365" s="14" t="n">
        <x:v>161000</x:v>
      </x:c>
      <x:c r="K365" s="14" t="n">
        <x:v>182000</x:v>
      </x:c>
      <x:c r="L365" s="12" t="n">
        <x:f>IF(COUNT(J365:K365)=2,IF(K365=0,"",J365/K365),"")</x:f>
        <x:v>0.8846153846153846</x:v>
      </x:c>
      <x:c r="M365" s="10" t="str">
        <x:v>Тема: בואו לאכול איתי עונה 9 | חיפה - חלק ה' (פרק 25 ואחרון לעונה). Еда снижает порог входа для широкой аудитории. В одном выпуске встречаются приглашения, оценки, знакомство и бытовые споры.</x:v>
      </x:c>
      <x:c r="N365" s="10" t="str">
        <x:v>Составить приглашение на ужин и аргументированно оценить блюдо.</x:v>
      </x:c>
      <x:c r="O365" s="10" t="str">
        <x:v>Быстрая речь и стереотипы; порядок дней недели в серии</x:v>
      </x:c>
      <x:c r="P365" s="10" t="str">
        <x:v>Самостоятельное видео</x:v>
      </x:c>
      <x:c r="Q365" s="9" t="str">
        <x:v>Нет</x:v>
      </x:c>
      <x:c r="R365" s="9" t="str">
        <x:v>C022</x:v>
      </x:c>
      <x:c r="S365" s="9" t="str">
        <x:v>C022</x:v>
      </x:c>
      <x:c r="T365" s="10" t="str">
        <x:v>כאן 11 - תאגיד השידור הישראלי</x:v>
      </x:c>
      <x:c r="U365" s="11" t="str">
        <x:v>https://www.youtube.com/watch?v=66IujYv_A0Q</x:v>
      </x:c>
      <x:c r="V365" s="16" t="n">
        <x:v>46308</x:v>
      </x:c>
      <x:c r="W365" s="16"/>
      <x:c r="X365" s="10" t="str">
        <x:v>Иврит предполагается по заголовку и источнику</x:v>
      </x:c>
      <x:c r="Y365" s="10" t="str">
        <x:v>Не проверено</x:v>
      </x:c>
      <x:c r="Z365" s="10" t="str">
        <x:v>Не проверено</x:v>
      </x:c>
      <x:c r="AA365" s="10" t="str">
        <x:v>Метаданные списка; видео не просмотрено</x:v>
      </x:c>
      <x:c r="AB365" s="13" t="str">
        <x:f>IF(AND(ISNUMBER(H365),ISNUMBER(W365)),H365/MAX(1,'Обзор'!$B$4-W365),"")</x:f>
      </x:c>
      <x:c r="AC365" s="17" t="str">
        <x:v>Не решено</x:v>
      </x:c>
      <x:c r="AD365" s="17" t="str">
        <x:v>Не проверено</x:v>
      </x:c>
      <x:c r="AE365" s="17" t="str">
        <x:v>Не проверено</x:v>
      </x:c>
      <x:c r="AF365" s="17" t="str">
        <x:v>Не проверено</x:v>
      </x:c>
      <x:c r="AG365" s="17" t="str">
        <x:v>Не решено</x:v>
      </x:c>
      <x:c r="AH365" s="17" t="str">
        <x:v>Не проверено</x:v>
      </x:c>
      <x:c r="AI365" s="10" t="str">
        <x:f>IF(AC365="Отклонить","Отклонено",IF(AND(AC365="Взять",COUNTIFS(AD365:AH365,"Да")=5),"Готово","Нужна редактура"))</x:f>
        <x:v>Нужна редактура</x:v>
      </x:c>
      <x:c r="AJ365" s="17" t="str"/>
      <x:c r="AK365" s="9" t="str">
        <x:v>https://www.youtube.com/playlist?list=PLLttfoK87AdWRhROPAbHnw5EXvKWiHV8d</x:v>
      </x:c>
      <x:c r="AL365" s="9" t="n">
        <x:v>25</x:v>
      </x:c>
      <x:c r="AM365" s="9" t="n">
        <x:v>25</x:v>
      </x:c>
      <x:c r="AN365" s="9"/>
    </x:row>
    <x:row r="366" ht="60" customHeight="1">
      <x:c r="A366" s="9" t="str">
        <x:v>PSwhUvmAywg</x:v>
      </x:c>
      <x:c r="B366" s="10" t="str">
        <x:v>בואו לאכול איתי עונה 8 | צפון - חלק א' (פרק 1)</x:v>
      </x:c>
      <x:c r="C366" s="10" t="str">
        <x:v>Еда и повседневность</x:v>
      </x:c>
      <x:c r="D366" s="9" t="str">
        <x:v>Быт</x:v>
      </x:c>
      <x:c r="E366" s="10" t="str">
        <x:v>Кулинария; отношения; лёгкий просмотр</x:v>
      </x:c>
      <x:c r="F366" s="10" t="str">
        <x:v>B1–B2 (гипотеза)</x:v>
      </x:c>
      <x:c r="G366" s="12" t="n">
        <x:v>29.1</x:v>
      </x:c>
      <x:c r="H366" s="14" t="n">
        <x:v>435920</x:v>
      </x:c>
      <x:c r="I366" s="15" t="str">
        <x:v>Точный счётчик метаданных видео</x:v>
      </x:c>
      <x:c r="J366" s="14" t="n">
        <x:v>435000</x:v>
      </x:c>
      <x:c r="K366" s="14" t="n">
        <x:v>250000</x:v>
      </x:c>
      <x:c r="L366" s="12" t="n">
        <x:f>IF(COUNT(J366:K366)=2,IF(K366=0,"",J366/K366),"")</x:f>
        <x:v>1.74</x:v>
      </x:c>
      <x:c r="M366" s="10" t="str">
        <x:v>Тема: בואו לאכול איתי עונה 8 | צפון - חלק א' (פרק 1). Просмотры в списке выше медианы выборки этого цикла в 1.74 раза. Еда снижает порог входа для широкой аудитории. В одном выпуске встречаются приглашения, оценки, знакомство и бытовые споры.</x:v>
      </x:c>
      <x:c r="N366" s="10" t="str">
        <x:v>Составить приглашение на ужин и аргументированно оценить блюдо.</x:v>
      </x:c>
      <x:c r="O366" s="10" t="str">
        <x:v>Быстрая речь и стереотипы; порядок дней недели в серии</x:v>
      </x:c>
      <x:c r="P366" s="10" t="str">
        <x:v>Самостоятельное видео</x:v>
      </x:c>
      <x:c r="Q366" s="9" t="str">
        <x:v>Нет</x:v>
      </x:c>
      <x:c r="R366" s="9" t="str">
        <x:v>C023</x:v>
      </x:c>
      <x:c r="S366" s="9" t="str">
        <x:v>C023</x:v>
      </x:c>
      <x:c r="T366" s="10" t="str">
        <x:v>כאן 11 - תאגיד השידור הישראלי</x:v>
      </x:c>
      <x:c r="U366" s="11" t="str">
        <x:v>https://www.youtube.com/watch?v=PSwhUvmAywg</x:v>
      </x:c>
      <x:c r="V366" s="16" t="n">
        <x:v>46308</x:v>
      </x:c>
      <x:c r="W366" s="16" t="n">
        <x:v>45487</x:v>
      </x:c>
      <x:c r="X366" s="10" t="str">
        <x:v>Иврит предполагается по заголовку и источнику</x:v>
      </x:c>
      <x:c r="Y366" s="10" t="str">
        <x:v>Автоматическая дорожка HE по метаданным</x:v>
      </x:c>
      <x:c r="Z366" s="10" t="str">
        <x:v>Разрешено по метаданным</x:v>
      </x:c>
      <x:c r="AA366" s="10" t="str">
        <x:v>Метаданные видео; воспроизведение и содержание не проверены</x:v>
      </x:c>
      <x:c r="AB366" s="13" t="n">
        <x:f>IF(AND(ISNUMBER(H366),ISNUMBER(W366)),H366/MAX(1,'Обзор'!$B$4-W366),"")</x:f>
        <x:v>530.9622411693057</x:v>
      </x:c>
      <x:c r="AC366" s="17" t="str">
        <x:v>Не решено</x:v>
      </x:c>
      <x:c r="AD366" s="17" t="str">
        <x:v>Не проверено</x:v>
      </x:c>
      <x:c r="AE366" s="17" t="str">
        <x:v>Не проверено</x:v>
      </x:c>
      <x:c r="AF366" s="17" t="str">
        <x:v>Не проверено</x:v>
      </x:c>
      <x:c r="AG366" s="17" t="str">
        <x:v>Не решено</x:v>
      </x:c>
      <x:c r="AH366" s="17" t="str">
        <x:v>Не проверено</x:v>
      </x:c>
      <x:c r="AI366" s="10" t="str">
        <x:f>IF(AC366="Отклонить","Отклонено",IF(AND(AC366="Взять",COUNTIFS(AD366:AH366,"Да")=5),"Готово","Нужна редактура"))</x:f>
        <x:v>Нужна редактура</x:v>
      </x:c>
      <x:c r="AJ366" s="17" t="str"/>
      <x:c r="AK366" s="9" t="str">
        <x:v>https://www.youtube.com/playlist?list=PLLttfoK87AdWmItDC4gNSVGXklb_GJZEC</x:v>
      </x:c>
      <x:c r="AL366" s="9" t="n">
        <x:v>1</x:v>
      </x:c>
      <x:c r="AM366" s="9" t="n">
        <x:v>1</x:v>
      </x:c>
      <x:c r="AN366" s="9" t="n">
        <x:v>0</x:v>
      </x:c>
    </x:row>
    <x:row r="367" ht="60" customHeight="1">
      <x:c r="A367" s="9" t="str">
        <x:v>DeL1ER5Td2c</x:v>
      </x:c>
      <x:c r="B367" s="10" t="str">
        <x:v>בואו לאכול איתי עונה 8 | צפון - חלק ב' (פרק 2)</x:v>
      </x:c>
      <x:c r="C367" s="10" t="str">
        <x:v>Еда и повседневность</x:v>
      </x:c>
      <x:c r="D367" s="9" t="str">
        <x:v>Быт</x:v>
      </x:c>
      <x:c r="E367" s="10" t="str">
        <x:v>Кулинария; отношения; лёгкий просмотр</x:v>
      </x:c>
      <x:c r="F367" s="10" t="str">
        <x:v>B1–B2 (гипотеза)</x:v>
      </x:c>
      <x:c r="G367" s="12" t="n">
        <x:v>27.5</x:v>
      </x:c>
      <x:c r="H367" s="14" t="n">
        <x:v>292543</x:v>
      </x:c>
      <x:c r="I367" s="15" t="str">
        <x:v>Точный счётчик метаданных видео</x:v>
      </x:c>
      <x:c r="J367" s="14" t="n">
        <x:v>292000</x:v>
      </x:c>
      <x:c r="K367" s="14" t="n">
        <x:v>250000</x:v>
      </x:c>
      <x:c r="L367" s="12" t="n">
        <x:f>IF(COUNT(J367:K367)=2,IF(K367=0,"",J367/K367),"")</x:f>
        <x:v>1.168</x:v>
      </x:c>
      <x:c r="M367" s="10" t="str">
        <x:v>Тема: בואו לאכול איתי עונה 8 | צפון - חלק ב' (פרק 2). Еда снижает порог входа для широкой аудитории. В одном выпуске встречаются приглашения, оценки, знакомство и бытовые споры.</x:v>
      </x:c>
      <x:c r="N367" s="10" t="str">
        <x:v>Составить приглашение на ужин и аргументированно оценить блюдо.</x:v>
      </x:c>
      <x:c r="O367" s="10" t="str">
        <x:v>Быстрая речь и стереотипы; порядок дней недели в серии</x:v>
      </x:c>
      <x:c r="P367" s="10" t="str">
        <x:v>Самостоятельное видео</x:v>
      </x:c>
      <x:c r="Q367" s="9" t="str">
        <x:v>Нет</x:v>
      </x:c>
      <x:c r="R367" s="9" t="str">
        <x:v>C023</x:v>
      </x:c>
      <x:c r="S367" s="9" t="str">
        <x:v>C023</x:v>
      </x:c>
      <x:c r="T367" s="10" t="str">
        <x:v>כאן 11 - תאגיד השידור הישראלי</x:v>
      </x:c>
      <x:c r="U367" s="11" t="str">
        <x:v>https://www.youtube.com/watch?v=DeL1ER5Td2c</x:v>
      </x:c>
      <x:c r="V367" s="16" t="n">
        <x:v>46308</x:v>
      </x:c>
      <x:c r="W367" s="16" t="n">
        <x:v>45488</x:v>
      </x:c>
      <x:c r="X367" s="10" t="str">
        <x:v>iw</x:v>
      </x:c>
      <x:c r="Y367" s="10" t="str">
        <x:v>Автоматическая дорожка HE по метаданным</x:v>
      </x:c>
      <x:c r="Z367" s="10" t="str">
        <x:v>Разрешено по метаданным</x:v>
      </x:c>
      <x:c r="AA367" s="10" t="str">
        <x:v>Метаданные видео; воспроизведение и содержание не проверены</x:v>
      </x:c>
      <x:c r="AB367" s="13" t="n">
        <x:f>IF(AND(ISNUMBER(H367),ISNUMBER(W367)),H367/MAX(1,'Обзор'!$B$4-W367),"")</x:f>
        <x:v>356.75975609756097</x:v>
      </x:c>
      <x:c r="AC367" s="17" t="str">
        <x:v>Не решено</x:v>
      </x:c>
      <x:c r="AD367" s="17" t="str">
        <x:v>Не проверено</x:v>
      </x:c>
      <x:c r="AE367" s="17" t="str">
        <x:v>Не проверено</x:v>
      </x:c>
      <x:c r="AF367" s="17" t="str">
        <x:v>Не проверено</x:v>
      </x:c>
      <x:c r="AG367" s="17" t="str">
        <x:v>Не решено</x:v>
      </x:c>
      <x:c r="AH367" s="17" t="str">
        <x:v>Не проверено</x:v>
      </x:c>
      <x:c r="AI367" s="10" t="str">
        <x:f>IF(AC367="Отклонить","Отклонено",IF(AND(AC367="Взять",COUNTIFS(AD367:AH367,"Да")=5),"Готово","Нужна редактура"))</x:f>
        <x:v>Нужна редактура</x:v>
      </x:c>
      <x:c r="AJ367" s="17" t="str"/>
      <x:c r="AK367" s="9" t="str">
        <x:v>https://www.youtube.com/playlist?list=PLLttfoK87AdWmItDC4gNSVGXklb_GJZEC</x:v>
      </x:c>
      <x:c r="AL367" s="9" t="n">
        <x:v>2</x:v>
      </x:c>
      <x:c r="AM367" s="9" t="n">
        <x:v>2</x:v>
      </x:c>
      <x:c r="AN367" s="9" t="n">
        <x:v>0</x:v>
      </x:c>
    </x:row>
    <x:row r="368" ht="60" customHeight="1">
      <x:c r="A368" s="9" t="str">
        <x:v>B2cjP4L84Oo</x:v>
      </x:c>
      <x:c r="B368" s="10" t="str">
        <x:v>בואו לאכול איתי עונה 8 | צפון - חלק ג' (פרק 3)</x:v>
      </x:c>
      <x:c r="C368" s="10" t="str">
        <x:v>Еда и повседневность</x:v>
      </x:c>
      <x:c r="D368" s="9" t="str">
        <x:v>Быт</x:v>
      </x:c>
      <x:c r="E368" s="10" t="str">
        <x:v>Кулинария; отношения; лёгкий просмотр</x:v>
      </x:c>
      <x:c r="F368" s="10" t="str">
        <x:v>B1–B2 (гипотеза)</x:v>
      </x:c>
      <x:c r="G368" s="12" t="n">
        <x:v>27</x:v>
      </x:c>
      <x:c r="H368" s="14" t="n">
        <x:v>281537</x:v>
      </x:c>
      <x:c r="I368" s="15" t="str">
        <x:v>Точный счётчик метаданных видео</x:v>
      </x:c>
      <x:c r="J368" s="14" t="n">
        <x:v>281000</x:v>
      </x:c>
      <x:c r="K368" s="14" t="n">
        <x:v>250000</x:v>
      </x:c>
      <x:c r="L368" s="12" t="n">
        <x:f>IF(COUNT(J368:K368)=2,IF(K368=0,"",J368/K368),"")</x:f>
        <x:v>1.124</x:v>
      </x:c>
      <x:c r="M368" s="10" t="str">
        <x:v>Тема: בואו לאכול איתי עונה 8 | צפון - חלק ג' (פרק 3). Еда снижает порог входа для широкой аудитории. В одном выпуске встречаются приглашения, оценки, знакомство и бытовые споры.</x:v>
      </x:c>
      <x:c r="N368" s="10" t="str">
        <x:v>Составить приглашение на ужин и аргументированно оценить блюдо.</x:v>
      </x:c>
      <x:c r="O368" s="10" t="str">
        <x:v>Быстрая речь и стереотипы; порядок дней недели в серии</x:v>
      </x:c>
      <x:c r="P368" s="10" t="str">
        <x:v>Самостоятельное видео</x:v>
      </x:c>
      <x:c r="Q368" s="9" t="str">
        <x:v>Нет</x:v>
      </x:c>
      <x:c r="R368" s="9" t="str">
        <x:v>C023</x:v>
      </x:c>
      <x:c r="S368" s="9" t="str">
        <x:v>C023</x:v>
      </x:c>
      <x:c r="T368" s="10" t="str">
        <x:v>כאן 11 - תאגיד השידור הישראלי</x:v>
      </x:c>
      <x:c r="U368" s="11" t="str">
        <x:v>https://www.youtube.com/watch?v=B2cjP4L84Oo</x:v>
      </x:c>
      <x:c r="V368" s="16" t="n">
        <x:v>46308</x:v>
      </x:c>
      <x:c r="W368" s="16" t="n">
        <x:v>45489</x:v>
      </x:c>
      <x:c r="X368" s="10" t="str">
        <x:v>Иврит предполагается по заголовку и источнику</x:v>
      </x:c>
      <x:c r="Y368" s="10" t="str">
        <x:v>Автоматическая дорожка HE по метаданным</x:v>
      </x:c>
      <x:c r="Z368" s="10" t="str">
        <x:v>Разрешено по метаданным</x:v>
      </x:c>
      <x:c r="AA368" s="10" t="str">
        <x:v>Метаданные видео; воспроизведение и содержание не проверены</x:v>
      </x:c>
      <x:c r="AB368" s="13" t="n">
        <x:f>IF(AND(ISNUMBER(H368),ISNUMBER(W368)),H368/MAX(1,'Обзор'!$B$4-W368),"")</x:f>
        <x:v>343.75702075702077</x:v>
      </x:c>
      <x:c r="AC368" s="17" t="str">
        <x:v>Не решено</x:v>
      </x:c>
      <x:c r="AD368" s="17" t="str">
        <x:v>Не проверено</x:v>
      </x:c>
      <x:c r="AE368" s="17" t="str">
        <x:v>Не проверено</x:v>
      </x:c>
      <x:c r="AF368" s="17" t="str">
        <x:v>Не проверено</x:v>
      </x:c>
      <x:c r="AG368" s="17" t="str">
        <x:v>Не решено</x:v>
      </x:c>
      <x:c r="AH368" s="17" t="str">
        <x:v>Не проверено</x:v>
      </x:c>
      <x:c r="AI368" s="10" t="str">
        <x:f>IF(AC368="Отклонить","Отклонено",IF(AND(AC368="Взять",COUNTIFS(AD368:AH368,"Да")=5),"Готово","Нужна редактура"))</x:f>
        <x:v>Нужна редактура</x:v>
      </x:c>
      <x:c r="AJ368" s="17" t="str"/>
      <x:c r="AK368" s="9" t="str">
        <x:v>https://www.youtube.com/playlist?list=PLLttfoK87AdWmItDC4gNSVGXklb_GJZEC</x:v>
      </x:c>
      <x:c r="AL368" s="9" t="n">
        <x:v>3</x:v>
      </x:c>
      <x:c r="AM368" s="9" t="n">
        <x:v>3</x:v>
      </x:c>
      <x:c r="AN368" s="9" t="n">
        <x:v>0</x:v>
      </x:c>
    </x:row>
    <x:row r="369" ht="60" customHeight="1">
      <x:c r="A369" s="9" t="str">
        <x:v>diQre3cw_xE</x:v>
      </x:c>
      <x:c r="B369" s="10" t="str">
        <x:v>בואו לאכול איתי עונה 8 | צפון - חלק ד' (פרק 4)</x:v>
      </x:c>
      <x:c r="C369" s="10" t="str">
        <x:v>Еда и повседневность</x:v>
      </x:c>
      <x:c r="D369" s="9" t="str">
        <x:v>Быт</x:v>
      </x:c>
      <x:c r="E369" s="10" t="str">
        <x:v>Кулинария; отношения; лёгкий просмотр</x:v>
      </x:c>
      <x:c r="F369" s="10" t="str">
        <x:v>B1–B2 (гипотеза)</x:v>
      </x:c>
      <x:c r="G369" s="12" t="n">
        <x:v>28.1</x:v>
      </x:c>
      <x:c r="H369" s="14" t="n">
        <x:v>263692</x:v>
      </x:c>
      <x:c r="I369" s="15" t="str">
        <x:v>Точный счётчик метаданных видео</x:v>
      </x:c>
      <x:c r="J369" s="14" t="n">
        <x:v>263000</x:v>
      </x:c>
      <x:c r="K369" s="14" t="n">
        <x:v>250000</x:v>
      </x:c>
      <x:c r="L369" s="12" t="n">
        <x:f>IF(COUNT(J369:K369)=2,IF(K369=0,"",J369/K369),"")</x:f>
        <x:v>1.052</x:v>
      </x:c>
      <x:c r="M369" s="10" t="str">
        <x:v>Тема: בואו לאכול איתי עונה 8 | צפון - חלק ד' (פרק 4). Еда снижает порог входа для широкой аудитории. В одном выпуске встречаются приглашения, оценки, знакомство и бытовые споры.</x:v>
      </x:c>
      <x:c r="N369" s="10" t="str">
        <x:v>Составить приглашение на ужин и аргументированно оценить блюдо.</x:v>
      </x:c>
      <x:c r="O369" s="10" t="str">
        <x:v>Быстрая речь и стереотипы; порядок дней недели в серии</x:v>
      </x:c>
      <x:c r="P369" s="10" t="str">
        <x:v>Самостоятельное видео</x:v>
      </x:c>
      <x:c r="Q369" s="9" t="str">
        <x:v>Нет</x:v>
      </x:c>
      <x:c r="R369" s="9" t="str">
        <x:v>C023</x:v>
      </x:c>
      <x:c r="S369" s="9" t="str">
        <x:v>C023</x:v>
      </x:c>
      <x:c r="T369" s="10" t="str">
        <x:v>כאן 11 - תאגיד השידור הישראלי</x:v>
      </x:c>
      <x:c r="U369" s="11" t="str">
        <x:v>https://www.youtube.com/watch?v=diQre3cw_xE</x:v>
      </x:c>
      <x:c r="V369" s="16" t="n">
        <x:v>46308</x:v>
      </x:c>
      <x:c r="W369" s="16" t="n">
        <x:v>45490</x:v>
      </x:c>
      <x:c r="X369" s="10" t="str">
        <x:v>Иврит предполагается по заголовку и источнику</x:v>
      </x:c>
      <x:c r="Y369" s="10" t="str">
        <x:v>Автоматическая дорожка HE по метаданным</x:v>
      </x:c>
      <x:c r="Z369" s="10" t="str">
        <x:v>Разрешено по метаданным</x:v>
      </x:c>
      <x:c r="AA369" s="10" t="str">
        <x:v>Метаданные видео; воспроизведение и содержание не проверены</x:v>
      </x:c>
      <x:c r="AB369" s="13" t="n">
        <x:f>IF(AND(ISNUMBER(H369),ISNUMBER(W369)),H369/MAX(1,'Обзор'!$B$4-W369),"")</x:f>
        <x:v>322.36185819070903</x:v>
      </x:c>
      <x:c r="AC369" s="17" t="str">
        <x:v>Не решено</x:v>
      </x:c>
      <x:c r="AD369" s="17" t="str">
        <x:v>Не проверено</x:v>
      </x:c>
      <x:c r="AE369" s="17" t="str">
        <x:v>Не проверено</x:v>
      </x:c>
      <x:c r="AF369" s="17" t="str">
        <x:v>Не проверено</x:v>
      </x:c>
      <x:c r="AG369" s="17" t="str">
        <x:v>Не решено</x:v>
      </x:c>
      <x:c r="AH369" s="17" t="str">
        <x:v>Не проверено</x:v>
      </x:c>
      <x:c r="AI369" s="10" t="str">
        <x:f>IF(AC369="Отклонить","Отклонено",IF(AND(AC369="Взять",COUNTIFS(AD369:AH369,"Да")=5),"Готово","Нужна редактура"))</x:f>
        <x:v>Нужна редактура</x:v>
      </x:c>
      <x:c r="AJ369" s="17" t="str"/>
      <x:c r="AK369" s="9" t="str">
        <x:v>https://www.youtube.com/playlist?list=PLLttfoK87AdWmItDC4gNSVGXklb_GJZEC</x:v>
      </x:c>
      <x:c r="AL369" s="9" t="n">
        <x:v>4</x:v>
      </x:c>
      <x:c r="AM369" s="9" t="n">
        <x:v>4</x:v>
      </x:c>
      <x:c r="AN369" s="9" t="n">
        <x:v>0</x:v>
      </x:c>
    </x:row>
    <x:row r="370" ht="60" customHeight="1">
      <x:c r="A370" s="9" t="str">
        <x:v>qOxok9yKnMI</x:v>
      </x:c>
      <x:c r="B370" s="10" t="str">
        <x:v>בואו לאכול איתי עונה 8 | צפון - חלק ה' (פרק 5)</x:v>
      </x:c>
      <x:c r="C370" s="10" t="str">
        <x:v>Еда и повседневность</x:v>
      </x:c>
      <x:c r="D370" s="9" t="str">
        <x:v>Быт</x:v>
      </x:c>
      <x:c r="E370" s="10" t="str">
        <x:v>Кулинария; отношения; лёгкий просмотр</x:v>
      </x:c>
      <x:c r="F370" s="10" t="str">
        <x:v>B1–B2 (гипотеза)</x:v>
      </x:c>
      <x:c r="G370" s="12" t="n">
        <x:v>27.6</x:v>
      </x:c>
      <x:c r="H370" s="14" t="n">
        <x:v>300558</x:v>
      </x:c>
      <x:c r="I370" s="15" t="str">
        <x:v>Точный счётчик метаданных видео</x:v>
      </x:c>
      <x:c r="J370" s="14" t="n">
        <x:v>300000</x:v>
      </x:c>
      <x:c r="K370" s="14" t="n">
        <x:v>250000</x:v>
      </x:c>
      <x:c r="L370" s="12" t="n">
        <x:f>IF(COUNT(J370:K370)=2,IF(K370=0,"",J370/K370),"")</x:f>
        <x:v>1.2</x:v>
      </x:c>
      <x:c r="M370" s="10" t="str">
        <x:v>Тема: בואו לאכול איתי עונה 8 | צפון - חלק ה' (פרק 5). Еда снижает порог входа для широкой аудитории. В одном выпуске встречаются приглашения, оценки, знакомство и бытовые споры.</x:v>
      </x:c>
      <x:c r="N370" s="10" t="str">
        <x:v>Составить приглашение на ужин и аргументированно оценить блюдо.</x:v>
      </x:c>
      <x:c r="O370" s="10" t="str">
        <x:v>Быстрая речь и стереотипы; порядок дней недели в серии</x:v>
      </x:c>
      <x:c r="P370" s="10" t="str">
        <x:v>Самостоятельное видео</x:v>
      </x:c>
      <x:c r="Q370" s="9" t="str">
        <x:v>Нет</x:v>
      </x:c>
      <x:c r="R370" s="9" t="str">
        <x:v>C023</x:v>
      </x:c>
      <x:c r="S370" s="9" t="str">
        <x:v>C023</x:v>
      </x:c>
      <x:c r="T370" s="10" t="str">
        <x:v>כאן 11 - תאגיד השידור הישראלי</x:v>
      </x:c>
      <x:c r="U370" s="11" t="str">
        <x:v>https://www.youtube.com/watch?v=qOxok9yKnMI</x:v>
      </x:c>
      <x:c r="V370" s="16" t="n">
        <x:v>46308</x:v>
      </x:c>
      <x:c r="W370" s="16" t="n">
        <x:v>45491</x:v>
      </x:c>
      <x:c r="X370" s="10" t="str">
        <x:v>Иврит предполагается по заголовку и источнику</x:v>
      </x:c>
      <x:c r="Y370" s="10" t="str">
        <x:v>Автоматическая дорожка HE по метаданным</x:v>
      </x:c>
      <x:c r="Z370" s="10" t="str">
        <x:v>Разрешено по метаданным</x:v>
      </x:c>
      <x:c r="AA370" s="10" t="str">
        <x:v>Метаданные видео; воспроизведение и содержание не проверены</x:v>
      </x:c>
      <x:c r="AB370" s="13" t="n">
        <x:f>IF(AND(ISNUMBER(H370),ISNUMBER(W370)),H370/MAX(1,'Обзор'!$B$4-W370),"")</x:f>
        <x:v>367.8800489596083</x:v>
      </x:c>
      <x:c r="AC370" s="17" t="str">
        <x:v>Не решено</x:v>
      </x:c>
      <x:c r="AD370" s="17" t="str">
        <x:v>Не проверено</x:v>
      </x:c>
      <x:c r="AE370" s="17" t="str">
        <x:v>Не проверено</x:v>
      </x:c>
      <x:c r="AF370" s="17" t="str">
        <x:v>Не проверено</x:v>
      </x:c>
      <x:c r="AG370" s="17" t="str">
        <x:v>Не решено</x:v>
      </x:c>
      <x:c r="AH370" s="17" t="str">
        <x:v>Не проверено</x:v>
      </x:c>
      <x:c r="AI370" s="10" t="str">
        <x:f>IF(AC370="Отклонить","Отклонено",IF(AND(AC370="Взять",COUNTIFS(AD370:AH370,"Да")=5),"Готово","Нужна редактура"))</x:f>
        <x:v>Нужна редактура</x:v>
      </x:c>
      <x:c r="AJ370" s="17" t="str"/>
      <x:c r="AK370" s="9" t="str">
        <x:v>https://www.youtube.com/playlist?list=PLLttfoK87AdWmItDC4gNSVGXklb_GJZEC</x:v>
      </x:c>
      <x:c r="AL370" s="9" t="n">
        <x:v>5</x:v>
      </x:c>
      <x:c r="AM370" s="9" t="n">
        <x:v>5</x:v>
      </x:c>
      <x:c r="AN370" s="9" t="n">
        <x:v>0</x:v>
      </x:c>
    </x:row>
    <x:row r="371" ht="60" customHeight="1">
      <x:c r="A371" s="9" t="str">
        <x:v>qD9sgoehrjo</x:v>
      </x:c>
      <x:c r="B371" s="10" t="str">
        <x:v>בואו לאכול איתי עונה 8 | ירושלים - חלק א' (פרק 6)</x:v>
      </x:c>
      <x:c r="C371" s="10" t="str">
        <x:v>Еда и повседневность</x:v>
      </x:c>
      <x:c r="D371" s="9" t="str">
        <x:v>Быт</x:v>
      </x:c>
      <x:c r="E371" s="10" t="str">
        <x:v>Кулинария; отношения; лёгкий просмотр</x:v>
      </x:c>
      <x:c r="F371" s="10" t="str">
        <x:v>B1–B2 (гипотеза)</x:v>
      </x:c>
      <x:c r="G371" s="12" t="n">
        <x:v>28.3</x:v>
      </x:c>
      <x:c r="H371" s="14" t="n">
        <x:v>315555</x:v>
      </x:c>
      <x:c r="I371" s="15" t="str">
        <x:v>Точный счётчик метаданных видео</x:v>
      </x:c>
      <x:c r="J371" s="14" t="n">
        <x:v>315000</x:v>
      </x:c>
      <x:c r="K371" s="14" t="n">
        <x:v>250000</x:v>
      </x:c>
      <x:c r="L371" s="12" t="n">
        <x:f>IF(COUNT(J371:K371)=2,IF(K371=0,"",J371/K371),"")</x:f>
        <x:v>1.26</x:v>
      </x:c>
      <x:c r="M371" s="10" t="str">
        <x:v>Тема: בואו לאכול איתי עונה 8 | ירושלים - חלק א' (פרק 6). Еда снижает порог входа для широкой аудитории. В одном выпуске встречаются приглашения, оценки, знакомство и бытовые споры.</x:v>
      </x:c>
      <x:c r="N371" s="10" t="str">
        <x:v>Составить приглашение на ужин и аргументированно оценить блюдо.</x:v>
      </x:c>
      <x:c r="O371" s="10" t="str">
        <x:v>Быстрая речь и стереотипы; порядок дней недели в серии</x:v>
      </x:c>
      <x:c r="P371" s="10" t="str">
        <x:v>Самостоятельное видео</x:v>
      </x:c>
      <x:c r="Q371" s="9" t="str">
        <x:v>Нет</x:v>
      </x:c>
      <x:c r="R371" s="9" t="str">
        <x:v>C023</x:v>
      </x:c>
      <x:c r="S371" s="9" t="str">
        <x:v>C023</x:v>
      </x:c>
      <x:c r="T371" s="10" t="str">
        <x:v>כאן 11 - תאגיד השידור הישראלי</x:v>
      </x:c>
      <x:c r="U371" s="11" t="str">
        <x:v>https://www.youtube.com/watch?v=qD9sgoehrjo</x:v>
      </x:c>
      <x:c r="V371" s="16" t="n">
        <x:v>46308</x:v>
      </x:c>
      <x:c r="W371" s="16" t="n">
        <x:v>45494</x:v>
      </x:c>
      <x:c r="X371" s="10" t="str">
        <x:v>Иврит предполагается по заголовку и источнику</x:v>
      </x:c>
      <x:c r="Y371" s="10" t="str">
        <x:v>Автоматическая дорожка HE по метаданным</x:v>
      </x:c>
      <x:c r="Z371" s="10" t="str">
        <x:v>Разрешено по метаданным</x:v>
      </x:c>
      <x:c r="AA371" s="10" t="str">
        <x:v>Метаданные видео; воспроизведение и содержание не проверены</x:v>
      </x:c>
      <x:c r="AB371" s="13" t="n">
        <x:f>IF(AND(ISNUMBER(H371),ISNUMBER(W371)),H371/MAX(1,'Обзор'!$B$4-W371),"")</x:f>
        <x:v>387.65970515970514</x:v>
      </x:c>
      <x:c r="AC371" s="17" t="str">
        <x:v>Не решено</x:v>
      </x:c>
      <x:c r="AD371" s="17" t="str">
        <x:v>Не проверено</x:v>
      </x:c>
      <x:c r="AE371" s="17" t="str">
        <x:v>Не проверено</x:v>
      </x:c>
      <x:c r="AF371" s="17" t="str">
        <x:v>Не проверено</x:v>
      </x:c>
      <x:c r="AG371" s="17" t="str">
        <x:v>Не решено</x:v>
      </x:c>
      <x:c r="AH371" s="17" t="str">
        <x:v>Не проверено</x:v>
      </x:c>
      <x:c r="AI371" s="10" t="str">
        <x:f>IF(AC371="Отклонить","Отклонено",IF(AND(AC371="Взять",COUNTIFS(AD371:AH371,"Да")=5),"Готово","Нужна редактура"))</x:f>
        <x:v>Нужна редактура</x:v>
      </x:c>
      <x:c r="AJ371" s="17" t="str"/>
      <x:c r="AK371" s="9" t="str">
        <x:v>https://www.youtube.com/playlist?list=PLLttfoK87AdWmItDC4gNSVGXklb_GJZEC</x:v>
      </x:c>
      <x:c r="AL371" s="9" t="n">
        <x:v>6</x:v>
      </x:c>
      <x:c r="AM371" s="9" t="n">
        <x:v>6</x:v>
      </x:c>
      <x:c r="AN371" s="9" t="n">
        <x:v>0</x:v>
      </x:c>
    </x:row>
    <x:row r="372" ht="60" customHeight="1">
      <x:c r="A372" s="9" t="str">
        <x:v>ZNwcvsw4i6U</x:v>
      </x:c>
      <x:c r="B372" s="10" t="str">
        <x:v>בואו לאכול איתי עונה 8 | ירושלים - חלק ב' (פרק 7)</x:v>
      </x:c>
      <x:c r="C372" s="10" t="str">
        <x:v>Еда и повседневность</x:v>
      </x:c>
      <x:c r="D372" s="9" t="str">
        <x:v>Быт</x:v>
      </x:c>
      <x:c r="E372" s="10" t="str">
        <x:v>Кулинария; отношения; лёгкий просмотр</x:v>
      </x:c>
      <x:c r="F372" s="10" t="str">
        <x:v>B1–B2 (гипотеза)</x:v>
      </x:c>
      <x:c r="G372" s="12" t="n">
        <x:v>27</x:v>
      </x:c>
      <x:c r="H372" s="14" t="n">
        <x:v>250496</x:v>
      </x:c>
      <x:c r="I372" s="15" t="str">
        <x:v>Точный счётчик метаданных видео</x:v>
      </x:c>
      <x:c r="J372" s="14" t="n">
        <x:v>250000</x:v>
      </x:c>
      <x:c r="K372" s="14" t="n">
        <x:v>250000</x:v>
      </x:c>
      <x:c r="L372" s="12" t="n">
        <x:f>IF(COUNT(J372:K372)=2,IF(K372=0,"",J372/K372),"")</x:f>
        <x:v>1</x:v>
      </x:c>
      <x:c r="M372" s="10" t="str">
        <x:v>Тема: בואו לאכול איתי עונה 8 | ירושלים - חלק ב' (פרק 7). Еда снижает порог входа для широкой аудитории. В одном выпуске встречаются приглашения, оценки, знакомство и бытовые споры.</x:v>
      </x:c>
      <x:c r="N372" s="10" t="str">
        <x:v>Составить приглашение на ужин и аргументированно оценить блюдо.</x:v>
      </x:c>
      <x:c r="O372" s="10" t="str">
        <x:v>Быстрая речь и стереотипы; порядок дней недели в серии</x:v>
      </x:c>
      <x:c r="P372" s="10" t="str">
        <x:v>Самостоятельное видео</x:v>
      </x:c>
      <x:c r="Q372" s="9" t="str">
        <x:v>Нет</x:v>
      </x:c>
      <x:c r="R372" s="9" t="str">
        <x:v>C023</x:v>
      </x:c>
      <x:c r="S372" s="9" t="str">
        <x:v>C023</x:v>
      </x:c>
      <x:c r="T372" s="10" t="str">
        <x:v>כאן 11 - תאגיד השידור הישראלי</x:v>
      </x:c>
      <x:c r="U372" s="11" t="str">
        <x:v>https://www.youtube.com/watch?v=ZNwcvsw4i6U</x:v>
      </x:c>
      <x:c r="V372" s="16" t="n">
        <x:v>46308</x:v>
      </x:c>
      <x:c r="W372" s="16" t="n">
        <x:v>45495</x:v>
      </x:c>
      <x:c r="X372" s="10" t="str">
        <x:v>Иврит предполагается по заголовку и источнику</x:v>
      </x:c>
      <x:c r="Y372" s="10" t="str">
        <x:v>Автоматическая дорожка HE по метаданным</x:v>
      </x:c>
      <x:c r="Z372" s="10" t="str">
        <x:v>Разрешено по метаданным</x:v>
      </x:c>
      <x:c r="AA372" s="10" t="str">
        <x:v>Метаданные видео; воспроизведение и содержание не проверены</x:v>
      </x:c>
      <x:c r="AB372" s="13" t="n">
        <x:f>IF(AND(ISNUMBER(H372),ISNUMBER(W372)),H372/MAX(1,'Обзор'!$B$4-W372),"")</x:f>
        <x:v>308.1131611316113</x:v>
      </x:c>
      <x:c r="AC372" s="17" t="str">
        <x:v>Не решено</x:v>
      </x:c>
      <x:c r="AD372" s="17" t="str">
        <x:v>Не проверено</x:v>
      </x:c>
      <x:c r="AE372" s="17" t="str">
        <x:v>Не проверено</x:v>
      </x:c>
      <x:c r="AF372" s="17" t="str">
        <x:v>Не проверено</x:v>
      </x:c>
      <x:c r="AG372" s="17" t="str">
        <x:v>Не решено</x:v>
      </x:c>
      <x:c r="AH372" s="17" t="str">
        <x:v>Не проверено</x:v>
      </x:c>
      <x:c r="AI372" s="10" t="str">
        <x:f>IF(AC372="Отклонить","Отклонено",IF(AND(AC372="Взять",COUNTIFS(AD372:AH372,"Да")=5),"Готово","Нужна редактура"))</x:f>
        <x:v>Нужна редактура</x:v>
      </x:c>
      <x:c r="AJ372" s="17" t="str"/>
      <x:c r="AK372" s="9" t="str">
        <x:v>https://www.youtube.com/playlist?list=PLLttfoK87AdWmItDC4gNSVGXklb_GJZEC</x:v>
      </x:c>
      <x:c r="AL372" s="9" t="n">
        <x:v>7</x:v>
      </x:c>
      <x:c r="AM372" s="9" t="n">
        <x:v>7</x:v>
      </x:c>
      <x:c r="AN372" s="9" t="n">
        <x:v>0</x:v>
      </x:c>
    </x:row>
    <x:row r="373" ht="60" customHeight="1">
      <x:c r="A373" s="9" t="str">
        <x:v>Zu-_UOVm17I</x:v>
      </x:c>
      <x:c r="B373" s="10" t="str">
        <x:v>בואו לאכול איתי עונה 8 | ירושלים - חלק ג' (פרק 8)</x:v>
      </x:c>
      <x:c r="C373" s="10" t="str">
        <x:v>Еда и повседневность</x:v>
      </x:c>
      <x:c r="D373" s="9" t="str">
        <x:v>Быт</x:v>
      </x:c>
      <x:c r="E373" s="10" t="str">
        <x:v>Кулинария; отношения; лёгкий просмотр</x:v>
      </x:c>
      <x:c r="F373" s="10" t="str">
        <x:v>B1–B2 (гипотеза)</x:v>
      </x:c>
      <x:c r="G373" s="12" t="n">
        <x:v>27.5</x:v>
      </x:c>
      <x:c r="H373" s="14" t="n">
        <x:v>259778</x:v>
      </x:c>
      <x:c r="I373" s="15" t="str">
        <x:v>Точный счётчик метаданных видео</x:v>
      </x:c>
      <x:c r="J373" s="14" t="n">
        <x:v>259000</x:v>
      </x:c>
      <x:c r="K373" s="14" t="n">
        <x:v>250000</x:v>
      </x:c>
      <x:c r="L373" s="12" t="n">
        <x:f>IF(COUNT(J373:K373)=2,IF(K373=0,"",J373/K373),"")</x:f>
        <x:v>1.036</x:v>
      </x:c>
      <x:c r="M373" s="10" t="str">
        <x:v>Тема: בואו לאכול איתי עונה 8 | ירושלים - חלק ג' (פרק 8). Еда снижает порог входа для широкой аудитории. В одном выпуске встречаются приглашения, оценки, знакомство и бытовые споры.</x:v>
      </x:c>
      <x:c r="N373" s="10" t="str">
        <x:v>Составить приглашение на ужин и аргументированно оценить блюдо.</x:v>
      </x:c>
      <x:c r="O373" s="10" t="str">
        <x:v>Быстрая речь и стереотипы; порядок дней недели в серии</x:v>
      </x:c>
      <x:c r="P373" s="10" t="str">
        <x:v>Самостоятельное видео</x:v>
      </x:c>
      <x:c r="Q373" s="9" t="str">
        <x:v>Нет</x:v>
      </x:c>
      <x:c r="R373" s="9" t="str">
        <x:v>C023</x:v>
      </x:c>
      <x:c r="S373" s="9" t="str">
        <x:v>C023</x:v>
      </x:c>
      <x:c r="T373" s="10" t="str">
        <x:v>כאן 11 - תאגיד השידור הישראלי</x:v>
      </x:c>
      <x:c r="U373" s="11" t="str">
        <x:v>https://www.youtube.com/watch?v=Zu-_UOVm17I</x:v>
      </x:c>
      <x:c r="V373" s="16" t="n">
        <x:v>46308</x:v>
      </x:c>
      <x:c r="W373" s="16" t="n">
        <x:v>45496</x:v>
      </x:c>
      <x:c r="X373" s="10" t="str">
        <x:v>Иврит предполагается по заголовку и источнику</x:v>
      </x:c>
      <x:c r="Y373" s="10" t="str">
        <x:v>Автоматическая дорожка HE по метаданным</x:v>
      </x:c>
      <x:c r="Z373" s="10" t="str">
        <x:v>Разрешено по метаданным</x:v>
      </x:c>
      <x:c r="AA373" s="10" t="str">
        <x:v>Метаданные видео; воспроизведение и содержание не проверены</x:v>
      </x:c>
      <x:c r="AB373" s="13" t="n">
        <x:f>IF(AND(ISNUMBER(H373),ISNUMBER(W373)),H373/MAX(1,'Обзор'!$B$4-W373),"")</x:f>
        <x:v>319.92364532019707</x:v>
      </x:c>
      <x:c r="AC373" s="17" t="str">
        <x:v>Не решено</x:v>
      </x:c>
      <x:c r="AD373" s="17" t="str">
        <x:v>Не проверено</x:v>
      </x:c>
      <x:c r="AE373" s="17" t="str">
        <x:v>Не проверено</x:v>
      </x:c>
      <x:c r="AF373" s="17" t="str">
        <x:v>Не проверено</x:v>
      </x:c>
      <x:c r="AG373" s="17" t="str">
        <x:v>Не решено</x:v>
      </x:c>
      <x:c r="AH373" s="17" t="str">
        <x:v>Не проверено</x:v>
      </x:c>
      <x:c r="AI373" s="10" t="str">
        <x:f>IF(AC373="Отклонить","Отклонено",IF(AND(AC373="Взять",COUNTIFS(AD373:AH373,"Да")=5),"Готово","Нужна редактура"))</x:f>
        <x:v>Нужна редактура</x:v>
      </x:c>
      <x:c r="AJ373" s="17" t="str"/>
      <x:c r="AK373" s="9" t="str">
        <x:v>https://www.youtube.com/playlist?list=PLLttfoK87AdWmItDC4gNSVGXklb_GJZEC</x:v>
      </x:c>
      <x:c r="AL373" s="9" t="n">
        <x:v>8</x:v>
      </x:c>
      <x:c r="AM373" s="9" t="n">
        <x:v>8</x:v>
      </x:c>
      <x:c r="AN373" s="9" t="n">
        <x:v>0</x:v>
      </x:c>
    </x:row>
    <x:row r="374" ht="60" customHeight="1">
      <x:c r="A374" s="9" t="str">
        <x:v>WZZ5weY-uFw</x:v>
      </x:c>
      <x:c r="B374" s="10" t="str">
        <x:v>בואו לאכול איתי עונה 8 | ירושלים - חלק ד' (פרק 9)</x:v>
      </x:c>
      <x:c r="C374" s="10" t="str">
        <x:v>Еда и повседневность</x:v>
      </x:c>
      <x:c r="D374" s="9" t="str">
        <x:v>Быт</x:v>
      </x:c>
      <x:c r="E374" s="10" t="str">
        <x:v>Кулинария; отношения; лёгкий просмотр</x:v>
      </x:c>
      <x:c r="F374" s="10" t="str">
        <x:v>B1–B2 (гипотеза)</x:v>
      </x:c>
      <x:c r="G374" s="12" t="n">
        <x:v>27.5</x:v>
      </x:c>
      <x:c r="H374" s="14" t="n">
        <x:v>248000</x:v>
      </x:c>
      <x:c r="I374" s="15" t="str">
        <x:v>Округлённый счётчик в списке YouTube</x:v>
      </x:c>
      <x:c r="J374" s="14" t="n">
        <x:v>248000</x:v>
      </x:c>
      <x:c r="K374" s="14" t="n">
        <x:v>250000</x:v>
      </x:c>
      <x:c r="L374" s="12" t="n">
        <x:f>IF(COUNT(J374:K374)=2,IF(K374=0,"",J374/K374),"")</x:f>
        <x:v>0.992</x:v>
      </x:c>
      <x:c r="M374" s="10" t="str">
        <x:v>Тема: בואו לאכול איתי עונה 8 | ירושלים - חלק ד' (פרק 9). Еда снижает порог входа для широкой аудитории. В одном выпуске встречаются приглашения, оценки, знакомство и бытовые споры.</x:v>
      </x:c>
      <x:c r="N374" s="10" t="str">
        <x:v>Составить приглашение на ужин и аргументированно оценить блюдо.</x:v>
      </x:c>
      <x:c r="O374" s="10" t="str">
        <x:v>Быстрая речь и стереотипы; порядок дней недели в серии</x:v>
      </x:c>
      <x:c r="P374" s="10" t="str">
        <x:v>Самостоятельное видео</x:v>
      </x:c>
      <x:c r="Q374" s="9" t="str">
        <x:v>Нет</x:v>
      </x:c>
      <x:c r="R374" s="9" t="str">
        <x:v>C023</x:v>
      </x:c>
      <x:c r="S374" s="9" t="str">
        <x:v>C023</x:v>
      </x:c>
      <x:c r="T374" s="10" t="str">
        <x:v>כאן 11 - תאגיד השידור הישראלי</x:v>
      </x:c>
      <x:c r="U374" s="11" t="str">
        <x:v>https://www.youtube.com/watch?v=WZZ5weY-uFw</x:v>
      </x:c>
      <x:c r="V374" s="16" t="n">
        <x:v>46308</x:v>
      </x:c>
      <x:c r="W374" s="16"/>
      <x:c r="X374" s="10" t="str">
        <x:v>Иврит предполагается по заголовку и источнику</x:v>
      </x:c>
      <x:c r="Y374" s="10" t="str">
        <x:v>Не проверено</x:v>
      </x:c>
      <x:c r="Z374" s="10" t="str">
        <x:v>Не проверено</x:v>
      </x:c>
      <x:c r="AA374" s="10" t="str">
        <x:v>Метаданные списка; видео не просмотрено</x:v>
      </x:c>
      <x:c r="AB374" s="13" t="str">
        <x:f>IF(AND(ISNUMBER(H374),ISNUMBER(W374)),H374/MAX(1,'Обзор'!$B$4-W374),"")</x:f>
      </x:c>
      <x:c r="AC374" s="17" t="str">
        <x:v>Не решено</x:v>
      </x:c>
      <x:c r="AD374" s="17" t="str">
        <x:v>Не проверено</x:v>
      </x:c>
      <x:c r="AE374" s="17" t="str">
        <x:v>Не проверено</x:v>
      </x:c>
      <x:c r="AF374" s="17" t="str">
        <x:v>Не проверено</x:v>
      </x:c>
      <x:c r="AG374" s="17" t="str">
        <x:v>Не решено</x:v>
      </x:c>
      <x:c r="AH374" s="17" t="str">
        <x:v>Не проверено</x:v>
      </x:c>
      <x:c r="AI374" s="10" t="str">
        <x:f>IF(AC374="Отклонить","Отклонено",IF(AND(AC374="Взять",COUNTIFS(AD374:AH374,"Да")=5),"Готово","Нужна редактура"))</x:f>
        <x:v>Нужна редактура</x:v>
      </x:c>
      <x:c r="AJ374" s="17" t="str"/>
      <x:c r="AK374" s="9" t="str">
        <x:v>https://www.youtube.com/playlist?list=PLLttfoK87AdWmItDC4gNSVGXklb_GJZEC</x:v>
      </x:c>
      <x:c r="AL374" s="9" t="n">
        <x:v>9</x:v>
      </x:c>
      <x:c r="AM374" s="9" t="n">
        <x:v>9</x:v>
      </x:c>
      <x:c r="AN374" s="9"/>
    </x:row>
    <x:row r="375" ht="60" customHeight="1">
      <x:c r="A375" s="9" t="str">
        <x:v>gkZJegNbN1s</x:v>
      </x:c>
      <x:c r="B375" s="10" t="str">
        <x:v>בואו לאכול איתי עונה 8 | ירושלים - חלק ה' (פרק 10)</x:v>
      </x:c>
      <x:c r="C375" s="10" t="str">
        <x:v>Еда и повседневность</x:v>
      </x:c>
      <x:c r="D375" s="9" t="str">
        <x:v>Быт</x:v>
      </x:c>
      <x:c r="E375" s="10" t="str">
        <x:v>Кулинария; отношения; лёгкий просмотр</x:v>
      </x:c>
      <x:c r="F375" s="10" t="str">
        <x:v>B1–B2 (гипотеза)</x:v>
      </x:c>
      <x:c r="G375" s="12" t="n">
        <x:v>26.9</x:v>
      </x:c>
      <x:c r="H375" s="14" t="n">
        <x:v>249635</x:v>
      </x:c>
      <x:c r="I375" s="15" t="str">
        <x:v>Точный счётчик метаданных видео</x:v>
      </x:c>
      <x:c r="J375" s="14" t="n">
        <x:v>249000</x:v>
      </x:c>
      <x:c r="K375" s="14" t="n">
        <x:v>250000</x:v>
      </x:c>
      <x:c r="L375" s="12" t="n">
        <x:f>IF(COUNT(J375:K375)=2,IF(K375=0,"",J375/K375),"")</x:f>
        <x:v>0.996</x:v>
      </x:c>
      <x:c r="M375" s="10" t="str">
        <x:v>Тема: בואו לאכול איתי עונה 8 | ירושלים - חלק ה' (פרק 10). Еда снижает порог входа для широкой аудитории. В одном выпуске встречаются приглашения, оценки, знакомство и бытовые споры.</x:v>
      </x:c>
      <x:c r="N375" s="10" t="str">
        <x:v>Составить приглашение на ужин и аргументированно оценить блюдо.</x:v>
      </x:c>
      <x:c r="O375" s="10" t="str">
        <x:v>Быстрая речь и стереотипы; порядок дней недели в серии</x:v>
      </x:c>
      <x:c r="P375" s="10" t="str">
        <x:v>Самостоятельное видео</x:v>
      </x:c>
      <x:c r="Q375" s="9" t="str">
        <x:v>Нет</x:v>
      </x:c>
      <x:c r="R375" s="9" t="str">
        <x:v>C023</x:v>
      </x:c>
      <x:c r="S375" s="9" t="str">
        <x:v>C023</x:v>
      </x:c>
      <x:c r="T375" s="10" t="str">
        <x:v>כאן 11 - תאגיד השידור הישראלי</x:v>
      </x:c>
      <x:c r="U375" s="11" t="str">
        <x:v>https://www.youtube.com/watch?v=gkZJegNbN1s</x:v>
      </x:c>
      <x:c r="V375" s="16" t="n">
        <x:v>46308</x:v>
      </x:c>
      <x:c r="W375" s="16" t="n">
        <x:v>45497</x:v>
      </x:c>
      <x:c r="X375" s="10" t="str">
        <x:v>Иврит предполагается по заголовку и источнику</x:v>
      </x:c>
      <x:c r="Y375" s="10" t="str">
        <x:v>Автоматическая дорожка HE по метаданным</x:v>
      </x:c>
      <x:c r="Z375" s="10" t="str">
        <x:v>Разрешено по метаданным</x:v>
      </x:c>
      <x:c r="AA375" s="10" t="str">
        <x:v>Метаданные видео; воспроизведение и содержание не проверены</x:v>
      </x:c>
      <x:c r="AB375" s="13" t="n">
        <x:f>IF(AND(ISNUMBER(H375),ISNUMBER(W375)),H375/MAX(1,'Обзор'!$B$4-W375),"")</x:f>
        <x:v>307.8113440197287</x:v>
      </x:c>
      <x:c r="AC375" s="17" t="str">
        <x:v>Не решено</x:v>
      </x:c>
      <x:c r="AD375" s="17" t="str">
        <x:v>Не проверено</x:v>
      </x:c>
      <x:c r="AE375" s="17" t="str">
        <x:v>Не проверено</x:v>
      </x:c>
      <x:c r="AF375" s="17" t="str">
        <x:v>Не проверено</x:v>
      </x:c>
      <x:c r="AG375" s="17" t="str">
        <x:v>Не решено</x:v>
      </x:c>
      <x:c r="AH375" s="17" t="str">
        <x:v>Не проверено</x:v>
      </x:c>
      <x:c r="AI375" s="10" t="str">
        <x:f>IF(AC375="Отклонить","Отклонено",IF(AND(AC375="Взять",COUNTIFS(AD375:AH375,"Да")=5),"Готово","Нужна редактура"))</x:f>
        <x:v>Нужна редактура</x:v>
      </x:c>
      <x:c r="AJ375" s="17" t="str"/>
      <x:c r="AK375" s="9" t="str">
        <x:v>https://www.youtube.com/playlist?list=PLLttfoK87AdWmItDC4gNSVGXklb_GJZEC</x:v>
      </x:c>
      <x:c r="AL375" s="9" t="n">
        <x:v>10</x:v>
      </x:c>
      <x:c r="AM375" s="9" t="n">
        <x:v>10</x:v>
      </x:c>
      <x:c r="AN375" s="9" t="n">
        <x:v>0</x:v>
      </x:c>
    </x:row>
    <x:row r="376" ht="60" customHeight="1">
      <x:c r="A376" s="9" t="str">
        <x:v>iOoe-WvOfQ4</x:v>
      </x:c>
      <x:c r="B376" s="10" t="str">
        <x:v>בואו לאכול איתי עונה 8 | דרום - חלק א' (פרק 11)</x:v>
      </x:c>
      <x:c r="C376" s="10" t="str">
        <x:v>Еда и повседневность</x:v>
      </x:c>
      <x:c r="D376" s="9" t="str">
        <x:v>Быт</x:v>
      </x:c>
      <x:c r="E376" s="10" t="str">
        <x:v>Кулинария; отношения; лёгкий просмотр</x:v>
      </x:c>
      <x:c r="F376" s="10" t="str">
        <x:v>B1–B2 (гипотеза)</x:v>
      </x:c>
      <x:c r="G376" s="12" t="n">
        <x:v>27.6</x:v>
      </x:c>
      <x:c r="H376" s="14" t="n">
        <x:v>382959</x:v>
      </x:c>
      <x:c r="I376" s="15" t="str">
        <x:v>Точный счётчик метаданных видео</x:v>
      </x:c>
      <x:c r="J376" s="14" t="n">
        <x:v>382000</x:v>
      </x:c>
      <x:c r="K376" s="14" t="n">
        <x:v>250000</x:v>
      </x:c>
      <x:c r="L376" s="12" t="n">
        <x:f>IF(COUNT(J376:K376)=2,IF(K376=0,"",J376/K376),"")</x:f>
        <x:v>1.528</x:v>
      </x:c>
      <x:c r="M376" s="10" t="str">
        <x:v>Тема: בואו לאכול איתי עונה 8 | דרום - חלק א' (פרק 11). Просмотры в списке выше медианы выборки этого цикла в 1.53 раза. Еда снижает порог входа для широкой аудитории. В одном выпуске встречаются приглашения, оценки, знакомство и бытовые споры.</x:v>
      </x:c>
      <x:c r="N376" s="10" t="str">
        <x:v>Составить приглашение на ужин и аргументированно оценить блюдо.</x:v>
      </x:c>
      <x:c r="O376" s="10" t="str">
        <x:v>Быстрая речь и стереотипы; порядок дней недели в серии</x:v>
      </x:c>
      <x:c r="P376" s="10" t="str">
        <x:v>Самостоятельное видео</x:v>
      </x:c>
      <x:c r="Q376" s="9" t="str">
        <x:v>Нет</x:v>
      </x:c>
      <x:c r="R376" s="9" t="str">
        <x:v>C023</x:v>
      </x:c>
      <x:c r="S376" s="9" t="str">
        <x:v>C023</x:v>
      </x:c>
      <x:c r="T376" s="10" t="str">
        <x:v>כאן 11 - תאגיד השידור הישראלי</x:v>
      </x:c>
      <x:c r="U376" s="11" t="str">
        <x:v>https://www.youtube.com/watch?v=iOoe-WvOfQ4</x:v>
      </x:c>
      <x:c r="V376" s="16" t="n">
        <x:v>46308</x:v>
      </x:c>
      <x:c r="W376" s="16" t="n">
        <x:v>45502</x:v>
      </x:c>
      <x:c r="X376" s="10" t="str">
        <x:v>Иврит предполагается по заголовку и источнику</x:v>
      </x:c>
      <x:c r="Y376" s="10" t="str">
        <x:v>Автоматическая дорожка HE по метаданным</x:v>
      </x:c>
      <x:c r="Z376" s="10" t="str">
        <x:v>Разрешено по метаданным</x:v>
      </x:c>
      <x:c r="AA376" s="10" t="str">
        <x:v>Метаданные видео; воспроизведение и содержание не проверены</x:v>
      </x:c>
      <x:c r="AB376" s="13" t="n">
        <x:f>IF(AND(ISNUMBER(H376),ISNUMBER(W376)),H376/MAX(1,'Обзор'!$B$4-W376),"")</x:f>
        <x:v>475.1352357320099</x:v>
      </x:c>
      <x:c r="AC376" s="17" t="str">
        <x:v>Не решено</x:v>
      </x:c>
      <x:c r="AD376" s="17" t="str">
        <x:v>Не проверено</x:v>
      </x:c>
      <x:c r="AE376" s="17" t="str">
        <x:v>Не проверено</x:v>
      </x:c>
      <x:c r="AF376" s="17" t="str">
        <x:v>Не проверено</x:v>
      </x:c>
      <x:c r="AG376" s="17" t="str">
        <x:v>Не решено</x:v>
      </x:c>
      <x:c r="AH376" s="17" t="str">
        <x:v>Не проверено</x:v>
      </x:c>
      <x:c r="AI376" s="10" t="str">
        <x:f>IF(AC376="Отклонить","Отклонено",IF(AND(AC376="Взять",COUNTIFS(AD376:AH376,"Да")=5),"Готово","Нужна редактура"))</x:f>
        <x:v>Нужна редактура</x:v>
      </x:c>
      <x:c r="AJ376" s="17" t="str"/>
      <x:c r="AK376" s="9" t="str">
        <x:v>https://www.youtube.com/playlist?list=PLLttfoK87AdWmItDC4gNSVGXklb_GJZEC</x:v>
      </x:c>
      <x:c r="AL376" s="9" t="n">
        <x:v>11</x:v>
      </x:c>
      <x:c r="AM376" s="9" t="n">
        <x:v>11</x:v>
      </x:c>
      <x:c r="AN376" s="9" t="n">
        <x:v>0</x:v>
      </x:c>
    </x:row>
    <x:row r="377" ht="60" customHeight="1">
      <x:c r="A377" s="9" t="str">
        <x:v>pIeNkzVduyE</x:v>
      </x:c>
      <x:c r="B377" s="10" t="str">
        <x:v>בואו לאכול איתי עונה 8 | דרום - חלק ב' (פרק 12)</x:v>
      </x:c>
      <x:c r="C377" s="10" t="str">
        <x:v>Еда и повседневность</x:v>
      </x:c>
      <x:c r="D377" s="9" t="str">
        <x:v>Быт</x:v>
      </x:c>
      <x:c r="E377" s="10" t="str">
        <x:v>Кулинария; отношения; лёгкий просмотр</x:v>
      </x:c>
      <x:c r="F377" s="10" t="str">
        <x:v>B1–B2 (гипотеза)</x:v>
      </x:c>
      <x:c r="G377" s="12" t="n">
        <x:v>28.9</x:v>
      </x:c>
      <x:c r="H377" s="14" t="n">
        <x:v>253550</x:v>
      </x:c>
      <x:c r="I377" s="15" t="str">
        <x:v>Точный счётчик метаданных видео</x:v>
      </x:c>
      <x:c r="J377" s="14" t="n">
        <x:v>253000</x:v>
      </x:c>
      <x:c r="K377" s="14" t="n">
        <x:v>250000</x:v>
      </x:c>
      <x:c r="L377" s="12" t="n">
        <x:f>IF(COUNT(J377:K377)=2,IF(K377=0,"",J377/K377),"")</x:f>
        <x:v>1.012</x:v>
      </x:c>
      <x:c r="M377" s="10" t="str">
        <x:v>Тема: בואו לאכול איתי עונה 8 | דרום - חלק ב' (פרק 12). Еда снижает порог входа для широкой аудитории. В одном выпуске встречаются приглашения, оценки, знакомство и бытовые споры.</x:v>
      </x:c>
      <x:c r="N377" s="10" t="str">
        <x:v>Составить приглашение на ужин и аргументированно оценить блюдо.</x:v>
      </x:c>
      <x:c r="O377" s="10" t="str">
        <x:v>Быстрая речь и стереотипы; порядок дней недели в серии</x:v>
      </x:c>
      <x:c r="P377" s="10" t="str">
        <x:v>Самостоятельное видео</x:v>
      </x:c>
      <x:c r="Q377" s="9" t="str">
        <x:v>Нет</x:v>
      </x:c>
      <x:c r="R377" s="9" t="str">
        <x:v>C023</x:v>
      </x:c>
      <x:c r="S377" s="9" t="str">
        <x:v>C023</x:v>
      </x:c>
      <x:c r="T377" s="10" t="str">
        <x:v>כאן 11 - תאגיד השידור הישראלי</x:v>
      </x:c>
      <x:c r="U377" s="11" t="str">
        <x:v>https://www.youtube.com/watch?v=pIeNkzVduyE</x:v>
      </x:c>
      <x:c r="V377" s="16" t="n">
        <x:v>46308</x:v>
      </x:c>
      <x:c r="W377" s="16" t="n">
        <x:v>45504</x:v>
      </x:c>
      <x:c r="X377" s="10" t="str">
        <x:v>Иврит предполагается по заголовку и источнику</x:v>
      </x:c>
      <x:c r="Y377" s="10" t="str">
        <x:v>Автоматическая дорожка HE по метаданным</x:v>
      </x:c>
      <x:c r="Z377" s="10" t="str">
        <x:v>Разрешено по метаданным</x:v>
      </x:c>
      <x:c r="AA377" s="10" t="str">
        <x:v>Метаданные видео; воспроизведение и содержание не проверены</x:v>
      </x:c>
      <x:c r="AB377" s="13" t="n">
        <x:f>IF(AND(ISNUMBER(H377),ISNUMBER(W377)),H377/MAX(1,'Обзор'!$B$4-W377),"")</x:f>
        <x:v>315.3606965174129</x:v>
      </x:c>
      <x:c r="AC377" s="17" t="str">
        <x:v>Не решено</x:v>
      </x:c>
      <x:c r="AD377" s="17" t="str">
        <x:v>Не проверено</x:v>
      </x:c>
      <x:c r="AE377" s="17" t="str">
        <x:v>Не проверено</x:v>
      </x:c>
      <x:c r="AF377" s="17" t="str">
        <x:v>Не проверено</x:v>
      </x:c>
      <x:c r="AG377" s="17" t="str">
        <x:v>Не решено</x:v>
      </x:c>
      <x:c r="AH377" s="17" t="str">
        <x:v>Не проверено</x:v>
      </x:c>
      <x:c r="AI377" s="10" t="str">
        <x:f>IF(AC377="Отклонить","Отклонено",IF(AND(AC377="Взять",COUNTIFS(AD377:AH377,"Да")=5),"Готово","Нужна редактура"))</x:f>
        <x:v>Нужна редактура</x:v>
      </x:c>
      <x:c r="AJ377" s="17" t="str"/>
      <x:c r="AK377" s="9" t="str">
        <x:v>https://www.youtube.com/playlist?list=PLLttfoK87AdWmItDC4gNSVGXklb_GJZEC</x:v>
      </x:c>
      <x:c r="AL377" s="9" t="n">
        <x:v>12</x:v>
      </x:c>
      <x:c r="AM377" s="9" t="n">
        <x:v>12</x:v>
      </x:c>
      <x:c r="AN377" s="9" t="n">
        <x:v>0</x:v>
      </x:c>
    </x:row>
    <x:row r="378" ht="60" customHeight="1">
      <x:c r="A378" s="9" t="str">
        <x:v>oeNMfRiMC2k</x:v>
      </x:c>
      <x:c r="B378" s="10" t="str">
        <x:v>בואו לאכול איתי עונה 8 | דרום - חלק ג' (פרק 13)</x:v>
      </x:c>
      <x:c r="C378" s="10" t="str">
        <x:v>Еда и повседневность</x:v>
      </x:c>
      <x:c r="D378" s="9" t="str">
        <x:v>Быт</x:v>
      </x:c>
      <x:c r="E378" s="10" t="str">
        <x:v>Кулинария; отношения; лёгкий просмотр</x:v>
      </x:c>
      <x:c r="F378" s="10" t="str">
        <x:v>B1–B2 (гипотеза)</x:v>
      </x:c>
      <x:c r="G378" s="12" t="n">
        <x:v>28</x:v>
      </x:c>
      <x:c r="H378" s="14" t="n">
        <x:v>228000</x:v>
      </x:c>
      <x:c r="I378" s="15" t="str">
        <x:v>Округлённый счётчик в списке YouTube</x:v>
      </x:c>
      <x:c r="J378" s="14" t="n">
        <x:v>228000</x:v>
      </x:c>
      <x:c r="K378" s="14" t="n">
        <x:v>250000</x:v>
      </x:c>
      <x:c r="L378" s="12" t="n">
        <x:f>IF(COUNT(J378:K378)=2,IF(K378=0,"",J378/K378),"")</x:f>
        <x:v>0.912</x:v>
      </x:c>
      <x:c r="M378" s="10" t="str">
        <x:v>Тема: בואו לאכול איתי עונה 8 | דרום - חלק ג' (פרק 13). Еда снижает порог входа для широкой аудитории. В одном выпуске встречаются приглашения, оценки, знакомство и бытовые споры.</x:v>
      </x:c>
      <x:c r="N378" s="10" t="str">
        <x:v>Составить приглашение на ужин и аргументированно оценить блюдо.</x:v>
      </x:c>
      <x:c r="O378" s="10" t="str">
        <x:v>Быстрая речь и стереотипы; порядок дней недели в серии</x:v>
      </x:c>
      <x:c r="P378" s="10" t="str">
        <x:v>Самостоятельное видео</x:v>
      </x:c>
      <x:c r="Q378" s="9" t="str">
        <x:v>Нет</x:v>
      </x:c>
      <x:c r="R378" s="9" t="str">
        <x:v>C023</x:v>
      </x:c>
      <x:c r="S378" s="9" t="str">
        <x:v>C023</x:v>
      </x:c>
      <x:c r="T378" s="10" t="str">
        <x:v>כאן 11 - תאגיד השידור הישראלי</x:v>
      </x:c>
      <x:c r="U378" s="11" t="str">
        <x:v>https://www.youtube.com/watch?v=oeNMfRiMC2k</x:v>
      </x:c>
      <x:c r="V378" s="16" t="n">
        <x:v>46308</x:v>
      </x:c>
      <x:c r="W378" s="16"/>
      <x:c r="X378" s="10" t="str">
        <x:v>Иврит предполагается по заголовку и источнику</x:v>
      </x:c>
      <x:c r="Y378" s="10" t="str">
        <x:v>Не проверено</x:v>
      </x:c>
      <x:c r="Z378" s="10" t="str">
        <x:v>Не проверено</x:v>
      </x:c>
      <x:c r="AA378" s="10" t="str">
        <x:v>Метаданные списка; видео не просмотрено</x:v>
      </x:c>
      <x:c r="AB378" s="13" t="str">
        <x:f>IF(AND(ISNUMBER(H378),ISNUMBER(W378)),H378/MAX(1,'Обзор'!$B$4-W378),"")</x:f>
      </x:c>
      <x:c r="AC378" s="17" t="str">
        <x:v>Не решено</x:v>
      </x:c>
      <x:c r="AD378" s="17" t="str">
        <x:v>Не проверено</x:v>
      </x:c>
      <x:c r="AE378" s="17" t="str">
        <x:v>Не проверено</x:v>
      </x:c>
      <x:c r="AF378" s="17" t="str">
        <x:v>Не проверено</x:v>
      </x:c>
      <x:c r="AG378" s="17" t="str">
        <x:v>Не решено</x:v>
      </x:c>
      <x:c r="AH378" s="17" t="str">
        <x:v>Не проверено</x:v>
      </x:c>
      <x:c r="AI378" s="10" t="str">
        <x:f>IF(AC378="Отклонить","Отклонено",IF(AND(AC378="Взять",COUNTIFS(AD378:AH378,"Да")=5),"Готово","Нужна редактура"))</x:f>
        <x:v>Нужна редактура</x:v>
      </x:c>
      <x:c r="AJ378" s="17" t="str"/>
      <x:c r="AK378" s="9" t="str">
        <x:v>https://www.youtube.com/playlist?list=PLLttfoK87AdWmItDC4gNSVGXklb_GJZEC</x:v>
      </x:c>
      <x:c r="AL378" s="9" t="n">
        <x:v>13</x:v>
      </x:c>
      <x:c r="AM378" s="9" t="n">
        <x:v>13</x:v>
      </x:c>
      <x:c r="AN378" s="9"/>
    </x:row>
    <x:row r="379" ht="60" customHeight="1">
      <x:c r="A379" s="9" t="str">
        <x:v>GjN2GziKxEk</x:v>
      </x:c>
      <x:c r="B379" s="10" t="str">
        <x:v>בואו לאכול איתי עונה 8 | דרום - חלק ד' (פרק 14)</x:v>
      </x:c>
      <x:c r="C379" s="10" t="str">
        <x:v>Еда и повседневность</x:v>
      </x:c>
      <x:c r="D379" s="9" t="str">
        <x:v>Быт</x:v>
      </x:c>
      <x:c r="E379" s="10" t="str">
        <x:v>Кулинария; отношения; лёгкий просмотр</x:v>
      </x:c>
      <x:c r="F379" s="10" t="str">
        <x:v>B1–B2 (гипотеза)</x:v>
      </x:c>
      <x:c r="G379" s="12" t="n">
        <x:v>28.7</x:v>
      </x:c>
      <x:c r="H379" s="14" t="n">
        <x:v>214000</x:v>
      </x:c>
      <x:c r="I379" s="15" t="str">
        <x:v>Округлённый счётчик в списке YouTube</x:v>
      </x:c>
      <x:c r="J379" s="14" t="n">
        <x:v>214000</x:v>
      </x:c>
      <x:c r="K379" s="14" t="n">
        <x:v>250000</x:v>
      </x:c>
      <x:c r="L379" s="12" t="n">
        <x:f>IF(COUNT(J379:K379)=2,IF(K379=0,"",J379/K379),"")</x:f>
        <x:v>0.856</x:v>
      </x:c>
      <x:c r="M379" s="10" t="str">
        <x:v>Тема: בואו לאכול איתי עונה 8 | דרום - חלק ד' (פרק 14). Еда снижает порог входа для широкой аудитории. В одном выпуске встречаются приглашения, оценки, знакомство и бытовые споры.</x:v>
      </x:c>
      <x:c r="N379" s="10" t="str">
        <x:v>Составить приглашение на ужин и аргументированно оценить блюдо.</x:v>
      </x:c>
      <x:c r="O379" s="10" t="str">
        <x:v>Быстрая речь и стереотипы; порядок дней недели в серии</x:v>
      </x:c>
      <x:c r="P379" s="10" t="str">
        <x:v>Самостоятельное видео</x:v>
      </x:c>
      <x:c r="Q379" s="9" t="str">
        <x:v>Нет</x:v>
      </x:c>
      <x:c r="R379" s="9" t="str">
        <x:v>C023</x:v>
      </x:c>
      <x:c r="S379" s="9" t="str">
        <x:v>C023</x:v>
      </x:c>
      <x:c r="T379" s="10" t="str">
        <x:v>כאן 11 - תאגיד השידור הישראלי</x:v>
      </x:c>
      <x:c r="U379" s="11" t="str">
        <x:v>https://www.youtube.com/watch?v=GjN2GziKxEk</x:v>
      </x:c>
      <x:c r="V379" s="16" t="n">
        <x:v>46308</x:v>
      </x:c>
      <x:c r="W379" s="16"/>
      <x:c r="X379" s="10" t="str">
        <x:v>Иврит предполагается по заголовку и источнику</x:v>
      </x:c>
      <x:c r="Y379" s="10" t="str">
        <x:v>Не проверено</x:v>
      </x:c>
      <x:c r="Z379" s="10" t="str">
        <x:v>Не проверено</x:v>
      </x:c>
      <x:c r="AA379" s="10" t="str">
        <x:v>Метаданные списка; видео не просмотрено</x:v>
      </x:c>
      <x:c r="AB379" s="13" t="str">
        <x:f>IF(AND(ISNUMBER(H379),ISNUMBER(W379)),H379/MAX(1,'Обзор'!$B$4-W379),"")</x:f>
      </x:c>
      <x:c r="AC379" s="17" t="str">
        <x:v>Не решено</x:v>
      </x:c>
      <x:c r="AD379" s="17" t="str">
        <x:v>Не проверено</x:v>
      </x:c>
      <x:c r="AE379" s="17" t="str">
        <x:v>Не проверено</x:v>
      </x:c>
      <x:c r="AF379" s="17" t="str">
        <x:v>Не проверено</x:v>
      </x:c>
      <x:c r="AG379" s="17" t="str">
        <x:v>Не решено</x:v>
      </x:c>
      <x:c r="AH379" s="17" t="str">
        <x:v>Не проверено</x:v>
      </x:c>
      <x:c r="AI379" s="10" t="str">
        <x:f>IF(AC379="Отклонить","Отклонено",IF(AND(AC379="Взять",COUNTIFS(AD379:AH379,"Да")=5),"Готово","Нужна редактура"))</x:f>
        <x:v>Нужна редактура</x:v>
      </x:c>
      <x:c r="AJ379" s="17" t="str"/>
      <x:c r="AK379" s="9" t="str">
        <x:v>https://www.youtube.com/playlist?list=PLLttfoK87AdWmItDC4gNSVGXklb_GJZEC</x:v>
      </x:c>
      <x:c r="AL379" s="9" t="n">
        <x:v>14</x:v>
      </x:c>
      <x:c r="AM379" s="9" t="n">
        <x:v>14</x:v>
      </x:c>
      <x:c r="AN379" s="9"/>
    </x:row>
    <x:row r="380" ht="60" customHeight="1">
      <x:c r="A380" s="9" t="str">
        <x:v>DE2ccFVajuw</x:v>
      </x:c>
      <x:c r="B380" s="10" t="str">
        <x:v>בואו לאכול איתי עונה 8 | דרום - חלק ה' (פרק 15)</x:v>
      </x:c>
      <x:c r="C380" s="10" t="str">
        <x:v>Еда и повседневность</x:v>
      </x:c>
      <x:c r="D380" s="9" t="str">
        <x:v>Быт</x:v>
      </x:c>
      <x:c r="E380" s="10" t="str">
        <x:v>Кулинария; отношения; лёгкий просмотр</x:v>
      </x:c>
      <x:c r="F380" s="10" t="str">
        <x:v>B1–B2 (гипотеза)</x:v>
      </x:c>
      <x:c r="G380" s="12" t="n">
        <x:v>29</x:v>
      </x:c>
      <x:c r="H380" s="14" t="n">
        <x:v>217000</x:v>
      </x:c>
      <x:c r="I380" s="15" t="str">
        <x:v>Округлённый счётчик в списке YouTube</x:v>
      </x:c>
      <x:c r="J380" s="14" t="n">
        <x:v>217000</x:v>
      </x:c>
      <x:c r="K380" s="14" t="n">
        <x:v>250000</x:v>
      </x:c>
      <x:c r="L380" s="12" t="n">
        <x:f>IF(COUNT(J380:K380)=2,IF(K380=0,"",J380/K380),"")</x:f>
        <x:v>0.868</x:v>
      </x:c>
      <x:c r="M380" s="10" t="str">
        <x:v>Тема: בואו לאכול איתי עונה 8 | דרום - חלק ה' (פרק 15). Еда снижает порог входа для широкой аудитории. В одном выпуске встречаются приглашения, оценки, знакомство и бытовые споры.</x:v>
      </x:c>
      <x:c r="N380" s="10" t="str">
        <x:v>Составить приглашение на ужин и аргументированно оценить блюдо.</x:v>
      </x:c>
      <x:c r="O380" s="10" t="str">
        <x:v>Быстрая речь и стереотипы; порядок дней недели в серии</x:v>
      </x:c>
      <x:c r="P380" s="10" t="str">
        <x:v>Самостоятельное видео</x:v>
      </x:c>
      <x:c r="Q380" s="9" t="str">
        <x:v>Нет</x:v>
      </x:c>
      <x:c r="R380" s="9" t="str">
        <x:v>C023</x:v>
      </x:c>
      <x:c r="S380" s="9" t="str">
        <x:v>C023</x:v>
      </x:c>
      <x:c r="T380" s="10" t="str">
        <x:v>כאן 11 - תאגיד השידור הישראלי</x:v>
      </x:c>
      <x:c r="U380" s="11" t="str">
        <x:v>https://www.youtube.com/watch?v=DE2ccFVajuw</x:v>
      </x:c>
      <x:c r="V380" s="16" t="n">
        <x:v>46308</x:v>
      </x:c>
      <x:c r="W380" s="16"/>
      <x:c r="X380" s="10" t="str">
        <x:v>Иврит предполагается по заголовку и источнику</x:v>
      </x:c>
      <x:c r="Y380" s="10" t="str">
        <x:v>Не проверено</x:v>
      </x:c>
      <x:c r="Z380" s="10" t="str">
        <x:v>Не проверено</x:v>
      </x:c>
      <x:c r="AA380" s="10" t="str">
        <x:v>Метаданные списка; видео не просмотрено</x:v>
      </x:c>
      <x:c r="AB380" s="13" t="str">
        <x:f>IF(AND(ISNUMBER(H380),ISNUMBER(W380)),H380/MAX(1,'Обзор'!$B$4-W380),"")</x:f>
      </x:c>
      <x:c r="AC380" s="17" t="str">
        <x:v>Не решено</x:v>
      </x:c>
      <x:c r="AD380" s="17" t="str">
        <x:v>Не проверено</x:v>
      </x:c>
      <x:c r="AE380" s="17" t="str">
        <x:v>Не проверено</x:v>
      </x:c>
      <x:c r="AF380" s="17" t="str">
        <x:v>Не проверено</x:v>
      </x:c>
      <x:c r="AG380" s="17" t="str">
        <x:v>Не решено</x:v>
      </x:c>
      <x:c r="AH380" s="17" t="str">
        <x:v>Не проверено</x:v>
      </x:c>
      <x:c r="AI380" s="10" t="str">
        <x:f>IF(AC380="Отклонить","Отклонено",IF(AND(AC380="Взять",COUNTIFS(AD380:AH380,"Да")=5),"Готово","Нужна редактура"))</x:f>
        <x:v>Нужна редактура</x:v>
      </x:c>
      <x:c r="AJ380" s="17" t="str"/>
      <x:c r="AK380" s="9" t="str">
        <x:v>https://www.youtube.com/playlist?list=PLLttfoK87AdWmItDC4gNSVGXklb_GJZEC</x:v>
      </x:c>
      <x:c r="AL380" s="9" t="n">
        <x:v>15</x:v>
      </x:c>
      <x:c r="AM380" s="9" t="n">
        <x:v>15</x:v>
      </x:c>
      <x:c r="AN380" s="9"/>
    </x:row>
    <x:row r="381" ht="60" customHeight="1">
      <x:c r="A381" s="9" t="str">
        <x:v>aw0npIaD54Q</x:v>
      </x:c>
      <x:c r="B381" s="10" t="str">
        <x:v>בואו לאכול איתי עונה 8 | מרכז - חלק א' (פרק 16)</x:v>
      </x:c>
      <x:c r="C381" s="10" t="str">
        <x:v>Еда и повседневность</x:v>
      </x:c>
      <x:c r="D381" s="9" t="str">
        <x:v>Быт</x:v>
      </x:c>
      <x:c r="E381" s="10" t="str">
        <x:v>Кулинария; отношения; лёгкий просмотр</x:v>
      </x:c>
      <x:c r="F381" s="10" t="str">
        <x:v>B1–B2 (гипотеза)</x:v>
      </x:c>
      <x:c r="G381" s="12" t="n">
        <x:v>28.4</x:v>
      </x:c>
      <x:c r="H381" s="14" t="n">
        <x:v>299201</x:v>
      </x:c>
      <x:c r="I381" s="15" t="str">
        <x:v>Точный счётчик метаданных видео</x:v>
      </x:c>
      <x:c r="J381" s="14" t="n">
        <x:v>299000</x:v>
      </x:c>
      <x:c r="K381" s="14" t="n">
        <x:v>250000</x:v>
      </x:c>
      <x:c r="L381" s="12" t="n">
        <x:f>IF(COUNT(J381:K381)=2,IF(K381=0,"",J381/K381),"")</x:f>
        <x:v>1.196</x:v>
      </x:c>
      <x:c r="M381" s="10" t="str">
        <x:v>Тема: בואו לאכול איתי עונה 8 | מרכז - חלק א' (פרק 16). Еда снижает порог входа для широкой аудитории. В одном выпуске встречаются приглашения, оценки, знакомство и бытовые споры.</x:v>
      </x:c>
      <x:c r="N381" s="10" t="str">
        <x:v>Составить приглашение на ужин и аргументированно оценить блюдо.</x:v>
      </x:c>
      <x:c r="O381" s="10" t="str">
        <x:v>Быстрая речь и стереотипы; порядок дней недели в серии</x:v>
      </x:c>
      <x:c r="P381" s="10" t="str">
        <x:v>Самостоятельное видео</x:v>
      </x:c>
      <x:c r="Q381" s="9" t="str">
        <x:v>Нет</x:v>
      </x:c>
      <x:c r="R381" s="9" t="str">
        <x:v>C023</x:v>
      </x:c>
      <x:c r="S381" s="9" t="str">
        <x:v>C023</x:v>
      </x:c>
      <x:c r="T381" s="10" t="str">
        <x:v>כאן 11 - תאגיד השידור הישראלי</x:v>
      </x:c>
      <x:c r="U381" s="11" t="str">
        <x:v>https://www.youtube.com/watch?v=aw0npIaD54Q</x:v>
      </x:c>
      <x:c r="V381" s="16" t="n">
        <x:v>46308</x:v>
      </x:c>
      <x:c r="W381" s="16" t="n">
        <x:v>45508</x:v>
      </x:c>
      <x:c r="X381" s="10" t="str">
        <x:v>Иврит предполагается по заголовку и источнику</x:v>
      </x:c>
      <x:c r="Y381" s="10" t="str">
        <x:v>Автоматическая дорожка HE по метаданным</x:v>
      </x:c>
      <x:c r="Z381" s="10" t="str">
        <x:v>Разрешено по метаданным</x:v>
      </x:c>
      <x:c r="AA381" s="10" t="str">
        <x:v>Метаданные видео; воспроизведение и содержание не проверены</x:v>
      </x:c>
      <x:c r="AB381" s="13" t="n">
        <x:f>IF(AND(ISNUMBER(H381),ISNUMBER(W381)),H381/MAX(1,'Обзор'!$B$4-W381),"")</x:f>
        <x:v>374.00125</x:v>
      </x:c>
      <x:c r="AC381" s="17" t="str">
        <x:v>Не решено</x:v>
      </x:c>
      <x:c r="AD381" s="17" t="str">
        <x:v>Не проверено</x:v>
      </x:c>
      <x:c r="AE381" s="17" t="str">
        <x:v>Не проверено</x:v>
      </x:c>
      <x:c r="AF381" s="17" t="str">
        <x:v>Не проверено</x:v>
      </x:c>
      <x:c r="AG381" s="17" t="str">
        <x:v>Не решено</x:v>
      </x:c>
      <x:c r="AH381" s="17" t="str">
        <x:v>Не проверено</x:v>
      </x:c>
      <x:c r="AI381" s="10" t="str">
        <x:f>IF(AC381="Отклонить","Отклонено",IF(AND(AC381="Взять",COUNTIFS(AD381:AH381,"Да")=5),"Готово","Нужна редактура"))</x:f>
        <x:v>Нужна редактура</x:v>
      </x:c>
      <x:c r="AJ381" s="17" t="str"/>
      <x:c r="AK381" s="9" t="str">
        <x:v>https://www.youtube.com/playlist?list=PLLttfoK87AdWmItDC4gNSVGXklb_GJZEC</x:v>
      </x:c>
      <x:c r="AL381" s="9" t="n">
        <x:v>16</x:v>
      </x:c>
      <x:c r="AM381" s="9" t="n">
        <x:v>16</x:v>
      </x:c>
      <x:c r="AN381" s="9" t="n">
        <x:v>0</x:v>
      </x:c>
    </x:row>
    <x:row r="382" ht="60" customHeight="1">
      <x:c r="A382" s="9" t="str">
        <x:v>H0_A4eVB7j4</x:v>
      </x:c>
      <x:c r="B382" s="10" t="str">
        <x:v>בואו לאכול איתי עונה 8 | מרכז - חלק ב' (פרק 17)</x:v>
      </x:c>
      <x:c r="C382" s="10" t="str">
        <x:v>Еда и повседневность</x:v>
      </x:c>
      <x:c r="D382" s="9" t="str">
        <x:v>Быт</x:v>
      </x:c>
      <x:c r="E382" s="10" t="str">
        <x:v>Кулинария; отношения; лёгкий просмотр</x:v>
      </x:c>
      <x:c r="F382" s="10" t="str">
        <x:v>B1–B2 (гипотеза)</x:v>
      </x:c>
      <x:c r="G382" s="12" t="n">
        <x:v>27.3</x:v>
      </x:c>
      <x:c r="H382" s="14" t="n">
        <x:v>224000</x:v>
      </x:c>
      <x:c r="I382" s="15" t="str">
        <x:v>Округлённый счётчик в списке YouTube</x:v>
      </x:c>
      <x:c r="J382" s="14" t="n">
        <x:v>224000</x:v>
      </x:c>
      <x:c r="K382" s="14" t="n">
        <x:v>250000</x:v>
      </x:c>
      <x:c r="L382" s="12" t="n">
        <x:f>IF(COUNT(J382:K382)=2,IF(K382=0,"",J382/K382),"")</x:f>
        <x:v>0.896</x:v>
      </x:c>
      <x:c r="M382" s="10" t="str">
        <x:v>Тема: בואו לאכול איתי עונה 8 | מרכז - חלק ב' (פרק 17). Еда снижает порог входа для широкой аудитории. В одном выпуске встречаются приглашения, оценки, знакомство и бытовые споры.</x:v>
      </x:c>
      <x:c r="N382" s="10" t="str">
        <x:v>Составить приглашение на ужин и аргументированно оценить блюдо.</x:v>
      </x:c>
      <x:c r="O382" s="10" t="str">
        <x:v>Быстрая речь и стереотипы; порядок дней недели в серии</x:v>
      </x:c>
      <x:c r="P382" s="10" t="str">
        <x:v>Самостоятельное видео</x:v>
      </x:c>
      <x:c r="Q382" s="9" t="str">
        <x:v>Нет</x:v>
      </x:c>
      <x:c r="R382" s="9" t="str">
        <x:v>C023</x:v>
      </x:c>
      <x:c r="S382" s="9" t="str">
        <x:v>C023</x:v>
      </x:c>
      <x:c r="T382" s="10" t="str">
        <x:v>כאן 11 - תאגיד השידור הישראלי</x:v>
      </x:c>
      <x:c r="U382" s="11" t="str">
        <x:v>https://www.youtube.com/watch?v=H0_A4eVB7j4</x:v>
      </x:c>
      <x:c r="V382" s="16" t="n">
        <x:v>46308</x:v>
      </x:c>
      <x:c r="W382" s="16"/>
      <x:c r="X382" s="10" t="str">
        <x:v>Иврит предполагается по заголовку и источнику</x:v>
      </x:c>
      <x:c r="Y382" s="10" t="str">
        <x:v>Не проверено</x:v>
      </x:c>
      <x:c r="Z382" s="10" t="str">
        <x:v>Не проверено</x:v>
      </x:c>
      <x:c r="AA382" s="10" t="str">
        <x:v>Метаданные списка; видео не просмотрено</x:v>
      </x:c>
      <x:c r="AB382" s="13" t="str">
        <x:f>IF(AND(ISNUMBER(H382),ISNUMBER(W382)),H382/MAX(1,'Обзор'!$B$4-W382),"")</x:f>
      </x:c>
      <x:c r="AC382" s="17" t="str">
        <x:v>Не решено</x:v>
      </x:c>
      <x:c r="AD382" s="17" t="str">
        <x:v>Не проверено</x:v>
      </x:c>
      <x:c r="AE382" s="17" t="str">
        <x:v>Не проверено</x:v>
      </x:c>
      <x:c r="AF382" s="17" t="str">
        <x:v>Не проверено</x:v>
      </x:c>
      <x:c r="AG382" s="17" t="str">
        <x:v>Не решено</x:v>
      </x:c>
      <x:c r="AH382" s="17" t="str">
        <x:v>Не проверено</x:v>
      </x:c>
      <x:c r="AI382" s="10" t="str">
        <x:f>IF(AC382="Отклонить","Отклонено",IF(AND(AC382="Взять",COUNTIFS(AD382:AH382,"Да")=5),"Готово","Нужна редактура"))</x:f>
        <x:v>Нужна редактура</x:v>
      </x:c>
      <x:c r="AJ382" s="17" t="str"/>
      <x:c r="AK382" s="9" t="str">
        <x:v>https://www.youtube.com/playlist?list=PLLttfoK87AdWmItDC4gNSVGXklb_GJZEC</x:v>
      </x:c>
      <x:c r="AL382" s="9" t="n">
        <x:v>17</x:v>
      </x:c>
      <x:c r="AM382" s="9" t="n">
        <x:v>17</x:v>
      </x:c>
      <x:c r="AN382" s="9"/>
    </x:row>
    <x:row r="383" ht="60" customHeight="1">
      <x:c r="A383" s="9" t="str">
        <x:v>77FUknO1_g0</x:v>
      </x:c>
      <x:c r="B383" s="10" t="str">
        <x:v>בואו לאכול איתי עונה 8 | מרכז - חלק ג' (פרק 18)</x:v>
      </x:c>
      <x:c r="C383" s="10" t="str">
        <x:v>Еда и повседневность</x:v>
      </x:c>
      <x:c r="D383" s="9" t="str">
        <x:v>Быт</x:v>
      </x:c>
      <x:c r="E383" s="10" t="str">
        <x:v>Кулинария; отношения; лёгкий просмотр</x:v>
      </x:c>
      <x:c r="F383" s="10" t="str">
        <x:v>B1–B2 (гипотеза)</x:v>
      </x:c>
      <x:c r="G383" s="12" t="n">
        <x:v>28.5</x:v>
      </x:c>
      <x:c r="H383" s="14" t="n">
        <x:v>217000</x:v>
      </x:c>
      <x:c r="I383" s="15" t="str">
        <x:v>Округлённый счётчик в списке YouTube</x:v>
      </x:c>
      <x:c r="J383" s="14" t="n">
        <x:v>217000</x:v>
      </x:c>
      <x:c r="K383" s="14" t="n">
        <x:v>250000</x:v>
      </x:c>
      <x:c r="L383" s="12" t="n">
        <x:f>IF(COUNT(J383:K383)=2,IF(K383=0,"",J383/K383),"")</x:f>
        <x:v>0.868</x:v>
      </x:c>
      <x:c r="M383" s="10" t="str">
        <x:v>Тема: בואו לאכול איתי עונה 8 | מרכז - חלק ג' (פרק 18). Еда снижает порог входа для широкой аудитории. В одном выпуске встречаются приглашения, оценки, знакомство и бытовые споры.</x:v>
      </x:c>
      <x:c r="N383" s="10" t="str">
        <x:v>Составить приглашение на ужин и аргументированно оценить блюдо.</x:v>
      </x:c>
      <x:c r="O383" s="10" t="str">
        <x:v>Быстрая речь и стереотипы; порядок дней недели в серии</x:v>
      </x:c>
      <x:c r="P383" s="10" t="str">
        <x:v>Самостоятельное видео</x:v>
      </x:c>
      <x:c r="Q383" s="9" t="str">
        <x:v>Нет</x:v>
      </x:c>
      <x:c r="R383" s="9" t="str">
        <x:v>C023</x:v>
      </x:c>
      <x:c r="S383" s="9" t="str">
        <x:v>C023</x:v>
      </x:c>
      <x:c r="T383" s="10" t="str">
        <x:v>כאן 11 - תאגיד השידור הישראלי</x:v>
      </x:c>
      <x:c r="U383" s="11" t="str">
        <x:v>https://www.youtube.com/watch?v=77FUknO1_g0</x:v>
      </x:c>
      <x:c r="V383" s="16" t="n">
        <x:v>46308</x:v>
      </x:c>
      <x:c r="W383" s="16"/>
      <x:c r="X383" s="10" t="str">
        <x:v>Иврит предполагается по заголовку и источнику</x:v>
      </x:c>
      <x:c r="Y383" s="10" t="str">
        <x:v>Не проверено</x:v>
      </x:c>
      <x:c r="Z383" s="10" t="str">
        <x:v>Не проверено</x:v>
      </x:c>
      <x:c r="AA383" s="10" t="str">
        <x:v>Метаданные списка; видео не просмотрено</x:v>
      </x:c>
      <x:c r="AB383" s="13" t="str">
        <x:f>IF(AND(ISNUMBER(H383),ISNUMBER(W383)),H383/MAX(1,'Обзор'!$B$4-W383),"")</x:f>
      </x:c>
      <x:c r="AC383" s="17" t="str">
        <x:v>Не решено</x:v>
      </x:c>
      <x:c r="AD383" s="17" t="str">
        <x:v>Не проверено</x:v>
      </x:c>
      <x:c r="AE383" s="17" t="str">
        <x:v>Не проверено</x:v>
      </x:c>
      <x:c r="AF383" s="17" t="str">
        <x:v>Не проверено</x:v>
      </x:c>
      <x:c r="AG383" s="17" t="str">
        <x:v>Не решено</x:v>
      </x:c>
      <x:c r="AH383" s="17" t="str">
        <x:v>Не проверено</x:v>
      </x:c>
      <x:c r="AI383" s="10" t="str">
        <x:f>IF(AC383="Отклонить","Отклонено",IF(AND(AC383="Взять",COUNTIFS(AD383:AH383,"Да")=5),"Готово","Нужна редактура"))</x:f>
        <x:v>Нужна редактура</x:v>
      </x:c>
      <x:c r="AJ383" s="17" t="str"/>
      <x:c r="AK383" s="9" t="str">
        <x:v>https://www.youtube.com/playlist?list=PLLttfoK87AdWmItDC4gNSVGXklb_GJZEC</x:v>
      </x:c>
      <x:c r="AL383" s="9" t="n">
        <x:v>18</x:v>
      </x:c>
      <x:c r="AM383" s="9" t="n">
        <x:v>18</x:v>
      </x:c>
      <x:c r="AN383" s="9"/>
    </x:row>
    <x:row r="384" ht="60" customHeight="1">
      <x:c r="A384" s="9" t="str">
        <x:v>MAZj2n9-CDA</x:v>
      </x:c>
      <x:c r="B384" s="10" t="str">
        <x:v>בואו לאכול איתי עונה 8 | מרכז - חלק ד' (פרק 19)</x:v>
      </x:c>
      <x:c r="C384" s="10" t="str">
        <x:v>Еда и повседневность</x:v>
      </x:c>
      <x:c r="D384" s="9" t="str">
        <x:v>Быт</x:v>
      </x:c>
      <x:c r="E384" s="10" t="str">
        <x:v>Кулинария; отношения; лёгкий просмотр</x:v>
      </x:c>
      <x:c r="F384" s="10" t="str">
        <x:v>B1–B2 (гипотеза)</x:v>
      </x:c>
      <x:c r="G384" s="12" t="n">
        <x:v>27.3</x:v>
      </x:c>
      <x:c r="H384" s="14" t="n">
        <x:v>199000</x:v>
      </x:c>
      <x:c r="I384" s="15" t="str">
        <x:v>Округлённый счётчик в списке YouTube</x:v>
      </x:c>
      <x:c r="J384" s="14" t="n">
        <x:v>199000</x:v>
      </x:c>
      <x:c r="K384" s="14" t="n">
        <x:v>250000</x:v>
      </x:c>
      <x:c r="L384" s="12" t="n">
        <x:f>IF(COUNT(J384:K384)=2,IF(K384=0,"",J384/K384),"")</x:f>
        <x:v>0.796</x:v>
      </x:c>
      <x:c r="M384" s="10" t="str">
        <x:v>Тема: בואו לאכול איתי עונה 8 | מרכז - חלק ד' (פרק 19). Еда снижает порог входа для широкой аудитории. В одном выпуске встречаются приглашения, оценки, знакомство и бытовые споры.</x:v>
      </x:c>
      <x:c r="N384" s="10" t="str">
        <x:v>Составить приглашение на ужин и аргументированно оценить блюдо.</x:v>
      </x:c>
      <x:c r="O384" s="10" t="str">
        <x:v>Быстрая речь и стереотипы; порядок дней недели в серии</x:v>
      </x:c>
      <x:c r="P384" s="10" t="str">
        <x:v>Самостоятельное видео</x:v>
      </x:c>
      <x:c r="Q384" s="9" t="str">
        <x:v>Нет</x:v>
      </x:c>
      <x:c r="R384" s="9" t="str">
        <x:v>C023</x:v>
      </x:c>
      <x:c r="S384" s="9" t="str">
        <x:v>C023</x:v>
      </x:c>
      <x:c r="T384" s="10" t="str">
        <x:v>כאן 11 - תאגיד השידור הישראלי</x:v>
      </x:c>
      <x:c r="U384" s="11" t="str">
        <x:v>https://www.youtube.com/watch?v=MAZj2n9-CDA</x:v>
      </x:c>
      <x:c r="V384" s="16" t="n">
        <x:v>46308</x:v>
      </x:c>
      <x:c r="W384" s="16"/>
      <x:c r="X384" s="10" t="str">
        <x:v>Иврит предполагается по заголовку и источнику</x:v>
      </x:c>
      <x:c r="Y384" s="10" t="str">
        <x:v>Не проверено</x:v>
      </x:c>
      <x:c r="Z384" s="10" t="str">
        <x:v>Не проверено</x:v>
      </x:c>
      <x:c r="AA384" s="10" t="str">
        <x:v>Метаданные списка; видео не просмотрено</x:v>
      </x:c>
      <x:c r="AB384" s="13" t="str">
        <x:f>IF(AND(ISNUMBER(H384),ISNUMBER(W384)),H384/MAX(1,'Обзор'!$B$4-W384),"")</x:f>
      </x:c>
      <x:c r="AC384" s="17" t="str">
        <x:v>Не решено</x:v>
      </x:c>
      <x:c r="AD384" s="17" t="str">
        <x:v>Не проверено</x:v>
      </x:c>
      <x:c r="AE384" s="17" t="str">
        <x:v>Не проверено</x:v>
      </x:c>
      <x:c r="AF384" s="17" t="str">
        <x:v>Не проверено</x:v>
      </x:c>
      <x:c r="AG384" s="17" t="str">
        <x:v>Не решено</x:v>
      </x:c>
      <x:c r="AH384" s="17" t="str">
        <x:v>Не проверено</x:v>
      </x:c>
      <x:c r="AI384" s="10" t="str">
        <x:f>IF(AC384="Отклонить","Отклонено",IF(AND(AC384="Взять",COUNTIFS(AD384:AH384,"Да")=5),"Готово","Нужна редактура"))</x:f>
        <x:v>Нужна редактура</x:v>
      </x:c>
      <x:c r="AJ384" s="17" t="str"/>
      <x:c r="AK384" s="9" t="str">
        <x:v>https://www.youtube.com/playlist?list=PLLttfoK87AdWmItDC4gNSVGXklb_GJZEC</x:v>
      </x:c>
      <x:c r="AL384" s="9" t="n">
        <x:v>19</x:v>
      </x:c>
      <x:c r="AM384" s="9" t="n">
        <x:v>19</x:v>
      </x:c>
      <x:c r="AN384" s="9"/>
    </x:row>
    <x:row r="385" ht="60" customHeight="1">
      <x:c r="A385" s="9" t="str">
        <x:v>fwrjE5Vq_ZY</x:v>
      </x:c>
      <x:c r="B385" s="10" t="str">
        <x:v>בואו לאכול איתי עונה 8 | מרכז - חלק ה' (פרק 20)</x:v>
      </x:c>
      <x:c r="C385" s="10" t="str">
        <x:v>Еда и повседневность</x:v>
      </x:c>
      <x:c r="D385" s="9" t="str">
        <x:v>Быт</x:v>
      </x:c>
      <x:c r="E385" s="10" t="str">
        <x:v>Кулинария; отношения; лёгкий просмотр</x:v>
      </x:c>
      <x:c r="F385" s="10" t="str">
        <x:v>B1–B2 (гипотеза)</x:v>
      </x:c>
      <x:c r="G385" s="12" t="n">
        <x:v>28.5</x:v>
      </x:c>
      <x:c r="H385" s="14" t="n">
        <x:v>213000</x:v>
      </x:c>
      <x:c r="I385" s="15" t="str">
        <x:v>Округлённый счётчик в списке YouTube</x:v>
      </x:c>
      <x:c r="J385" s="14" t="n">
        <x:v>213000</x:v>
      </x:c>
      <x:c r="K385" s="14" t="n">
        <x:v>250000</x:v>
      </x:c>
      <x:c r="L385" s="12" t="n">
        <x:f>IF(COUNT(J385:K385)=2,IF(K385=0,"",J385/K385),"")</x:f>
        <x:v>0.852</x:v>
      </x:c>
      <x:c r="M385" s="10" t="str">
        <x:v>Тема: בואו לאכול איתי עונה 8 | מרכז - חלק ה' (פרק 20). Еда снижает порог входа для широкой аудитории. В одном выпуске встречаются приглашения, оценки, знакомство и бытовые споры.</x:v>
      </x:c>
      <x:c r="N385" s="10" t="str">
        <x:v>Составить приглашение на ужин и аргументированно оценить блюдо.</x:v>
      </x:c>
      <x:c r="O385" s="10" t="str">
        <x:v>Быстрая речь и стереотипы; порядок дней недели в серии</x:v>
      </x:c>
      <x:c r="P385" s="10" t="str">
        <x:v>Самостоятельное видео</x:v>
      </x:c>
      <x:c r="Q385" s="9" t="str">
        <x:v>Нет</x:v>
      </x:c>
      <x:c r="R385" s="9" t="str">
        <x:v>C023</x:v>
      </x:c>
      <x:c r="S385" s="9" t="str">
        <x:v>C023</x:v>
      </x:c>
      <x:c r="T385" s="10" t="str">
        <x:v>כאן 11 - תאגיד השידור הישראלי</x:v>
      </x:c>
      <x:c r="U385" s="11" t="str">
        <x:v>https://www.youtube.com/watch?v=fwrjE5Vq_ZY</x:v>
      </x:c>
      <x:c r="V385" s="16" t="n">
        <x:v>46308</x:v>
      </x:c>
      <x:c r="W385" s="16"/>
      <x:c r="X385" s="10" t="str">
        <x:v>Иврит предполагается по заголовку и источнику</x:v>
      </x:c>
      <x:c r="Y385" s="10" t="str">
        <x:v>Не проверено</x:v>
      </x:c>
      <x:c r="Z385" s="10" t="str">
        <x:v>Не проверено</x:v>
      </x:c>
      <x:c r="AA385" s="10" t="str">
        <x:v>Метаданные списка; видео не просмотрено</x:v>
      </x:c>
      <x:c r="AB385" s="13" t="str">
        <x:f>IF(AND(ISNUMBER(H385),ISNUMBER(W385)),H385/MAX(1,'Обзор'!$B$4-W385),"")</x:f>
      </x:c>
      <x:c r="AC385" s="17" t="str">
        <x:v>Не решено</x:v>
      </x:c>
      <x:c r="AD385" s="17" t="str">
        <x:v>Не проверено</x:v>
      </x:c>
      <x:c r="AE385" s="17" t="str">
        <x:v>Не проверено</x:v>
      </x:c>
      <x:c r="AF385" s="17" t="str">
        <x:v>Не проверено</x:v>
      </x:c>
      <x:c r="AG385" s="17" t="str">
        <x:v>Не решено</x:v>
      </x:c>
      <x:c r="AH385" s="17" t="str">
        <x:v>Не проверено</x:v>
      </x:c>
      <x:c r="AI385" s="10" t="str">
        <x:f>IF(AC385="Отклонить","Отклонено",IF(AND(AC385="Взять",COUNTIFS(AD385:AH385,"Да")=5),"Готово","Нужна редактура"))</x:f>
        <x:v>Нужна редактура</x:v>
      </x:c>
      <x:c r="AJ385" s="17" t="str"/>
      <x:c r="AK385" s="9" t="str">
        <x:v>https://www.youtube.com/playlist?list=PLLttfoK87AdWmItDC4gNSVGXklb_GJZEC</x:v>
      </x:c>
      <x:c r="AL385" s="9" t="n">
        <x:v>20</x:v>
      </x:c>
      <x:c r="AM385" s="9" t="n">
        <x:v>20</x:v>
      </x:c>
      <x:c r="AN385" s="9"/>
    </x:row>
    <x:row r="386" ht="60" customHeight="1">
      <x:c r="A386" s="9" t="str">
        <x:v>R-7r20eAAOI</x:v>
      </x:c>
      <x:c r="B386" s="10" t="str">
        <x:v>בואו לאכול איתי עונה 8 | מישור החוף - חלק א' (פרק 21)</x:v>
      </x:c>
      <x:c r="C386" s="10" t="str">
        <x:v>Еда и повседневность</x:v>
      </x:c>
      <x:c r="D386" s="9" t="str">
        <x:v>Быт</x:v>
      </x:c>
      <x:c r="E386" s="10" t="str">
        <x:v>Кулинария; отношения; лёгкий просмотр</x:v>
      </x:c>
      <x:c r="F386" s="10" t="str">
        <x:v>B1–B2 (гипотеза)</x:v>
      </x:c>
      <x:c r="G386" s="12" t="n">
        <x:v>28.7</x:v>
      </x:c>
      <x:c r="H386" s="14" t="n">
        <x:v>331693</x:v>
      </x:c>
      <x:c r="I386" s="15" t="str">
        <x:v>Точный счётчик метаданных видео</x:v>
      </x:c>
      <x:c r="J386" s="14" t="n">
        <x:v>331000</x:v>
      </x:c>
      <x:c r="K386" s="14" t="n">
        <x:v>250000</x:v>
      </x:c>
      <x:c r="L386" s="12" t="n">
        <x:f>IF(COUNT(J386:K386)=2,IF(K386=0,"",J386/K386),"")</x:f>
        <x:v>1.324</x:v>
      </x:c>
      <x:c r="M386" s="10" t="str">
        <x:v>Тема: בואו לאכול איתי עונה 8 | מישור החוף - חלק א' (פרק 21). Еда снижает порог входа для широкой аудитории. В одном выпуске встречаются приглашения, оценки, знакомство и бытовые споры.</x:v>
      </x:c>
      <x:c r="N386" s="10" t="str">
        <x:v>Составить приглашение на ужин и аргументированно оценить блюдо.</x:v>
      </x:c>
      <x:c r="O386" s="10" t="str">
        <x:v>Быстрая речь и стереотипы; порядок дней недели в серии</x:v>
      </x:c>
      <x:c r="P386" s="10" t="str">
        <x:v>Самостоятельное видео</x:v>
      </x:c>
      <x:c r="Q386" s="9" t="str">
        <x:v>Нет</x:v>
      </x:c>
      <x:c r="R386" s="9" t="str">
        <x:v>C023</x:v>
      </x:c>
      <x:c r="S386" s="9" t="str">
        <x:v>C023</x:v>
      </x:c>
      <x:c r="T386" s="10" t="str">
        <x:v>כאן 11 - תאגיד השידור הישראלי</x:v>
      </x:c>
      <x:c r="U386" s="11" t="str">
        <x:v>https://www.youtube.com/watch?v=R-7r20eAAOI</x:v>
      </x:c>
      <x:c r="V386" s="16" t="n">
        <x:v>46308</x:v>
      </x:c>
      <x:c r="W386" s="16" t="n">
        <x:v>45515</x:v>
      </x:c>
      <x:c r="X386" s="10" t="str">
        <x:v>Иврит предполагается по заголовку и источнику</x:v>
      </x:c>
      <x:c r="Y386" s="10" t="str">
        <x:v>Автоматическая дорожка HE по метаданным</x:v>
      </x:c>
      <x:c r="Z386" s="10" t="str">
        <x:v>Разрешено по метаданным</x:v>
      </x:c>
      <x:c r="AA386" s="10" t="str">
        <x:v>Метаданные видео; воспроизведение и содержание не проверены</x:v>
      </x:c>
      <x:c r="AB386" s="13" t="n">
        <x:f>IF(AND(ISNUMBER(H386),ISNUMBER(W386)),H386/MAX(1,'Обзор'!$B$4-W386),"")</x:f>
        <x:v>418.2761664564943</x:v>
      </x:c>
      <x:c r="AC386" s="17" t="str">
        <x:v>Не решено</x:v>
      </x:c>
      <x:c r="AD386" s="17" t="str">
        <x:v>Не проверено</x:v>
      </x:c>
      <x:c r="AE386" s="17" t="str">
        <x:v>Не проверено</x:v>
      </x:c>
      <x:c r="AF386" s="17" t="str">
        <x:v>Не проверено</x:v>
      </x:c>
      <x:c r="AG386" s="17" t="str">
        <x:v>Не решено</x:v>
      </x:c>
      <x:c r="AH386" s="17" t="str">
        <x:v>Не проверено</x:v>
      </x:c>
      <x:c r="AI386" s="10" t="str">
        <x:f>IF(AC386="Отклонить","Отклонено",IF(AND(AC386="Взять",COUNTIFS(AD386:AH386,"Да")=5),"Готово","Нужна редактура"))</x:f>
        <x:v>Нужна редактура</x:v>
      </x:c>
      <x:c r="AJ386" s="17" t="str"/>
      <x:c r="AK386" s="9" t="str">
        <x:v>https://www.youtube.com/playlist?list=PLLttfoK87AdWmItDC4gNSVGXklb_GJZEC</x:v>
      </x:c>
      <x:c r="AL386" s="9" t="n">
        <x:v>21</x:v>
      </x:c>
      <x:c r="AM386" s="9" t="n">
        <x:v>21</x:v>
      </x:c>
      <x:c r="AN386" s="9" t="n">
        <x:v>0</x:v>
      </x:c>
    </x:row>
    <x:row r="387" ht="60" customHeight="1">
      <x:c r="A387" s="9" t="str">
        <x:v>tD6z7LeHHbQ</x:v>
      </x:c>
      <x:c r="B387" s="10" t="str">
        <x:v>בואו לאכול איתי עונה 8 | מישור החוף - חלק ב' (פרק 22)</x:v>
      </x:c>
      <x:c r="C387" s="10" t="str">
        <x:v>Еда и повседневность</x:v>
      </x:c>
      <x:c r="D387" s="9" t="str">
        <x:v>Быт</x:v>
      </x:c>
      <x:c r="E387" s="10" t="str">
        <x:v>Кулинария; отношения; лёгкий просмотр</x:v>
      </x:c>
      <x:c r="F387" s="10" t="str">
        <x:v>B1–B2 (гипотеза)</x:v>
      </x:c>
      <x:c r="G387" s="12" t="n">
        <x:v>28.1</x:v>
      </x:c>
      <x:c r="H387" s="14" t="n">
        <x:v>230000</x:v>
      </x:c>
      <x:c r="I387" s="15" t="str">
        <x:v>Округлённый счётчик в списке YouTube</x:v>
      </x:c>
      <x:c r="J387" s="14" t="n">
        <x:v>230000</x:v>
      </x:c>
      <x:c r="K387" s="14" t="n">
        <x:v>250000</x:v>
      </x:c>
      <x:c r="L387" s="12" t="n">
        <x:f>IF(COUNT(J387:K387)=2,IF(K387=0,"",J387/K387),"")</x:f>
        <x:v>0.92</x:v>
      </x:c>
      <x:c r="M387" s="10" t="str">
        <x:v>Тема: בואו לאכול איתי עונה 8 | מישור החוף - חלק ב' (פרק 22). Еда снижает порог входа для широкой аудитории. В одном выпуске встречаются приглашения, оценки, знакомство и бытовые споры.</x:v>
      </x:c>
      <x:c r="N387" s="10" t="str">
        <x:v>Составить приглашение на ужин и аргументированно оценить блюдо.</x:v>
      </x:c>
      <x:c r="O387" s="10" t="str">
        <x:v>Быстрая речь и стереотипы; порядок дней недели в серии</x:v>
      </x:c>
      <x:c r="P387" s="10" t="str">
        <x:v>Самостоятельное видео</x:v>
      </x:c>
      <x:c r="Q387" s="9" t="str">
        <x:v>Нет</x:v>
      </x:c>
      <x:c r="R387" s="9" t="str">
        <x:v>C023</x:v>
      </x:c>
      <x:c r="S387" s="9" t="str">
        <x:v>C023</x:v>
      </x:c>
      <x:c r="T387" s="10" t="str">
        <x:v>כאן 11 - תאגיד השידור הישראלי</x:v>
      </x:c>
      <x:c r="U387" s="11" t="str">
        <x:v>https://www.youtube.com/watch?v=tD6z7LeHHbQ</x:v>
      </x:c>
      <x:c r="V387" s="16" t="n">
        <x:v>46308</x:v>
      </x:c>
      <x:c r="W387" s="16"/>
      <x:c r="X387" s="10" t="str">
        <x:v>Иврит предполагается по заголовку и источнику</x:v>
      </x:c>
      <x:c r="Y387" s="10" t="str">
        <x:v>Не проверено</x:v>
      </x:c>
      <x:c r="Z387" s="10" t="str">
        <x:v>Не проверено</x:v>
      </x:c>
      <x:c r="AA387" s="10" t="str">
        <x:v>Метаданные списка; видео не просмотрено</x:v>
      </x:c>
      <x:c r="AB387" s="13" t="str">
        <x:f>IF(AND(ISNUMBER(H387),ISNUMBER(W387)),H387/MAX(1,'Обзор'!$B$4-W387),"")</x:f>
      </x:c>
      <x:c r="AC387" s="17" t="str">
        <x:v>Не решено</x:v>
      </x:c>
      <x:c r="AD387" s="17" t="str">
        <x:v>Не проверено</x:v>
      </x:c>
      <x:c r="AE387" s="17" t="str">
        <x:v>Не проверено</x:v>
      </x:c>
      <x:c r="AF387" s="17" t="str">
        <x:v>Не проверено</x:v>
      </x:c>
      <x:c r="AG387" s="17" t="str">
        <x:v>Не решено</x:v>
      </x:c>
      <x:c r="AH387" s="17" t="str">
        <x:v>Не проверено</x:v>
      </x:c>
      <x:c r="AI387" s="10" t="str">
        <x:f>IF(AC387="Отклонить","Отклонено",IF(AND(AC387="Взять",COUNTIFS(AD387:AH387,"Да")=5),"Готово","Нужна редактура"))</x:f>
        <x:v>Нужна редактура</x:v>
      </x:c>
      <x:c r="AJ387" s="17" t="str"/>
      <x:c r="AK387" s="9" t="str">
        <x:v>https://www.youtube.com/playlist?list=PLLttfoK87AdWmItDC4gNSVGXklb_GJZEC</x:v>
      </x:c>
      <x:c r="AL387" s="9" t="n">
        <x:v>22</x:v>
      </x:c>
      <x:c r="AM387" s="9" t="n">
        <x:v>22</x:v>
      </x:c>
      <x:c r="AN387" s="9"/>
    </x:row>
    <x:row r="388" ht="60" customHeight="1">
      <x:c r="A388" s="9" t="str">
        <x:v>dksWxIVcGd0</x:v>
      </x:c>
      <x:c r="B388" s="10" t="str">
        <x:v>בואו לאכול איתי עונה 8 | מישור החוף - חלק ג' (פרק 23)</x:v>
      </x:c>
      <x:c r="C388" s="10" t="str">
        <x:v>Еда и повседневность</x:v>
      </x:c>
      <x:c r="D388" s="9" t="str">
        <x:v>Быт</x:v>
      </x:c>
      <x:c r="E388" s="10" t="str">
        <x:v>Кулинария; отношения; лёгкий просмотр</x:v>
      </x:c>
      <x:c r="F388" s="10" t="str">
        <x:v>B1–B2 (гипотеза)</x:v>
      </x:c>
      <x:c r="G388" s="12" t="n">
        <x:v>27.6</x:v>
      </x:c>
      <x:c r="H388" s="14" t="n">
        <x:v>211000</x:v>
      </x:c>
      <x:c r="I388" s="15" t="str">
        <x:v>Округлённый счётчик в списке YouTube</x:v>
      </x:c>
      <x:c r="J388" s="14" t="n">
        <x:v>211000</x:v>
      </x:c>
      <x:c r="K388" s="14" t="n">
        <x:v>250000</x:v>
      </x:c>
      <x:c r="L388" s="12" t="n">
        <x:f>IF(COUNT(J388:K388)=2,IF(K388=0,"",J388/K388),"")</x:f>
        <x:v>0.844</x:v>
      </x:c>
      <x:c r="M388" s="10" t="str">
        <x:v>Тема: בואו לאכול איתי עונה 8 | מישור החוף - חלק ג' (פרק 23). Еда снижает порог входа для широкой аудитории. В одном выпуске встречаются приглашения, оценки, знакомство и бытовые споры.</x:v>
      </x:c>
      <x:c r="N388" s="10" t="str">
        <x:v>Составить приглашение на ужин и аргументированно оценить блюдо.</x:v>
      </x:c>
      <x:c r="O388" s="10" t="str">
        <x:v>Быстрая речь и стереотипы; порядок дней недели в серии</x:v>
      </x:c>
      <x:c r="P388" s="10" t="str">
        <x:v>Самостоятельное видео</x:v>
      </x:c>
      <x:c r="Q388" s="9" t="str">
        <x:v>Нет</x:v>
      </x:c>
      <x:c r="R388" s="9" t="str">
        <x:v>C023</x:v>
      </x:c>
      <x:c r="S388" s="9" t="str">
        <x:v>C023</x:v>
      </x:c>
      <x:c r="T388" s="10" t="str">
        <x:v>כאן 11 - תאגיד השידור הישראלי</x:v>
      </x:c>
      <x:c r="U388" s="11" t="str">
        <x:v>https://www.youtube.com/watch?v=dksWxIVcGd0</x:v>
      </x:c>
      <x:c r="V388" s="16" t="n">
        <x:v>46308</x:v>
      </x:c>
      <x:c r="W388" s="16"/>
      <x:c r="X388" s="10" t="str">
        <x:v>Иврит предполагается по заголовку и источнику</x:v>
      </x:c>
      <x:c r="Y388" s="10" t="str">
        <x:v>Не проверено</x:v>
      </x:c>
      <x:c r="Z388" s="10" t="str">
        <x:v>Не проверено</x:v>
      </x:c>
      <x:c r="AA388" s="10" t="str">
        <x:v>Метаданные списка; видео не просмотрено</x:v>
      </x:c>
      <x:c r="AB388" s="13" t="str">
        <x:f>IF(AND(ISNUMBER(H388),ISNUMBER(W388)),H388/MAX(1,'Обзор'!$B$4-W388),"")</x:f>
      </x:c>
      <x:c r="AC388" s="17" t="str">
        <x:v>Не решено</x:v>
      </x:c>
      <x:c r="AD388" s="17" t="str">
        <x:v>Не проверено</x:v>
      </x:c>
      <x:c r="AE388" s="17" t="str">
        <x:v>Не проверено</x:v>
      </x:c>
      <x:c r="AF388" s="17" t="str">
        <x:v>Не проверено</x:v>
      </x:c>
      <x:c r="AG388" s="17" t="str">
        <x:v>Не решено</x:v>
      </x:c>
      <x:c r="AH388" s="17" t="str">
        <x:v>Не проверено</x:v>
      </x:c>
      <x:c r="AI388" s="10" t="str">
        <x:f>IF(AC388="Отклонить","Отклонено",IF(AND(AC388="Взять",COUNTIFS(AD388:AH388,"Да")=5),"Готово","Нужна редактура"))</x:f>
        <x:v>Нужна редактура</x:v>
      </x:c>
      <x:c r="AJ388" s="17" t="str"/>
      <x:c r="AK388" s="9" t="str">
        <x:v>https://www.youtube.com/playlist?list=PLLttfoK87AdWmItDC4gNSVGXklb_GJZEC</x:v>
      </x:c>
      <x:c r="AL388" s="9" t="n">
        <x:v>23</x:v>
      </x:c>
      <x:c r="AM388" s="9" t="n">
        <x:v>23</x:v>
      </x:c>
      <x:c r="AN388" s="9"/>
    </x:row>
    <x:row r="389" ht="60" customHeight="1">
      <x:c r="A389" s="9" t="str">
        <x:v>39beziBCQjI</x:v>
      </x:c>
      <x:c r="B389" s="10" t="str">
        <x:v>בואו לאכול איתי עונה 8 | מישור החוף - חלק ד' (פרק 24)</x:v>
      </x:c>
      <x:c r="C389" s="10" t="str">
        <x:v>Еда и повседневность</x:v>
      </x:c>
      <x:c r="D389" s="9" t="str">
        <x:v>Быт</x:v>
      </x:c>
      <x:c r="E389" s="10" t="str">
        <x:v>Кулинария; отношения; лёгкий просмотр</x:v>
      </x:c>
      <x:c r="F389" s="10" t="str">
        <x:v>B1–B2 (гипотеза)</x:v>
      </x:c>
      <x:c r="G389" s="12" t="n">
        <x:v>27.7</x:v>
      </x:c>
      <x:c r="H389" s="14" t="n">
        <x:v>227000</x:v>
      </x:c>
      <x:c r="I389" s="15" t="str">
        <x:v>Округлённый счётчик в списке YouTube</x:v>
      </x:c>
      <x:c r="J389" s="14" t="n">
        <x:v>227000</x:v>
      </x:c>
      <x:c r="K389" s="14" t="n">
        <x:v>250000</x:v>
      </x:c>
      <x:c r="L389" s="12" t="n">
        <x:f>IF(COUNT(J389:K389)=2,IF(K389=0,"",J389/K389),"")</x:f>
        <x:v>0.908</x:v>
      </x:c>
      <x:c r="M389" s="10" t="str">
        <x:v>Тема: בואו לאכול איתי עונה 8 | מישור החוף - חלק ד' (פרק 24). Еда снижает порог входа для широкой аудитории. В одном выпуске встречаются приглашения, оценки, знакомство и бытовые споры.</x:v>
      </x:c>
      <x:c r="N389" s="10" t="str">
        <x:v>Составить приглашение на ужин и аргументированно оценить блюдо.</x:v>
      </x:c>
      <x:c r="O389" s="10" t="str">
        <x:v>Быстрая речь и стереотипы; порядок дней недели в серии</x:v>
      </x:c>
      <x:c r="P389" s="10" t="str">
        <x:v>Самостоятельное видео</x:v>
      </x:c>
      <x:c r="Q389" s="9" t="str">
        <x:v>Нет</x:v>
      </x:c>
      <x:c r="R389" s="9" t="str">
        <x:v>C023</x:v>
      </x:c>
      <x:c r="S389" s="9" t="str">
        <x:v>C023</x:v>
      </x:c>
      <x:c r="T389" s="10" t="str">
        <x:v>כאן 11 - תאגיד השידור הישראלי</x:v>
      </x:c>
      <x:c r="U389" s="11" t="str">
        <x:v>https://www.youtube.com/watch?v=39beziBCQjI</x:v>
      </x:c>
      <x:c r="V389" s="16" t="n">
        <x:v>46308</x:v>
      </x:c>
      <x:c r="W389" s="16"/>
      <x:c r="X389" s="10" t="str">
        <x:v>Иврит предполагается по заголовку и источнику</x:v>
      </x:c>
      <x:c r="Y389" s="10" t="str">
        <x:v>Не проверено</x:v>
      </x:c>
      <x:c r="Z389" s="10" t="str">
        <x:v>Не проверено</x:v>
      </x:c>
      <x:c r="AA389" s="10" t="str">
        <x:v>Метаданные списка; видео не просмотрено</x:v>
      </x:c>
      <x:c r="AB389" s="13" t="str">
        <x:f>IF(AND(ISNUMBER(H389),ISNUMBER(W389)),H389/MAX(1,'Обзор'!$B$4-W389),"")</x:f>
      </x:c>
      <x:c r="AC389" s="17" t="str">
        <x:v>Не решено</x:v>
      </x:c>
      <x:c r="AD389" s="17" t="str">
        <x:v>Не проверено</x:v>
      </x:c>
      <x:c r="AE389" s="17" t="str">
        <x:v>Не проверено</x:v>
      </x:c>
      <x:c r="AF389" s="17" t="str">
        <x:v>Не проверено</x:v>
      </x:c>
      <x:c r="AG389" s="17" t="str">
        <x:v>Не решено</x:v>
      </x:c>
      <x:c r="AH389" s="17" t="str">
        <x:v>Не проверено</x:v>
      </x:c>
      <x:c r="AI389" s="10" t="str">
        <x:f>IF(AC389="Отклонить","Отклонено",IF(AND(AC389="Взять",COUNTIFS(AD389:AH389,"Да")=5),"Готово","Нужна редактура"))</x:f>
        <x:v>Нужна редактура</x:v>
      </x:c>
      <x:c r="AJ389" s="17" t="str"/>
      <x:c r="AK389" s="9" t="str">
        <x:v>https://www.youtube.com/playlist?list=PLLttfoK87AdWmItDC4gNSVGXklb_GJZEC</x:v>
      </x:c>
      <x:c r="AL389" s="9" t="n">
        <x:v>24</x:v>
      </x:c>
      <x:c r="AM389" s="9" t="n">
        <x:v>24</x:v>
      </x:c>
      <x:c r="AN389" s="9"/>
    </x:row>
    <x:row r="390" ht="60" customHeight="1">
      <x:c r="A390" s="9" t="str">
        <x:v>Kjxtdx2-sC4</x:v>
      </x:c>
      <x:c r="B390" s="10" t="str">
        <x:v>בואו לאכול איתי עונה 8 | מישור החוף - חלק ה' (פרק 25) - פרק אחרון לעונה</x:v>
      </x:c>
      <x:c r="C390" s="10" t="str">
        <x:v>Еда и повседневность</x:v>
      </x:c>
      <x:c r="D390" s="9" t="str">
        <x:v>Быт</x:v>
      </x:c>
      <x:c r="E390" s="10" t="str">
        <x:v>Кулинария; отношения; лёгкий просмотр</x:v>
      </x:c>
      <x:c r="F390" s="10" t="str">
        <x:v>B1–B2 (гипотеза)</x:v>
      </x:c>
      <x:c r="G390" s="12" t="n">
        <x:v>27.2</x:v>
      </x:c>
      <x:c r="H390" s="14" t="n">
        <x:v>272521</x:v>
      </x:c>
      <x:c r="I390" s="15" t="str">
        <x:v>Точный счётчик метаданных видео</x:v>
      </x:c>
      <x:c r="J390" s="14" t="n">
        <x:v>272000</x:v>
      </x:c>
      <x:c r="K390" s="14" t="n">
        <x:v>250000</x:v>
      </x:c>
      <x:c r="L390" s="12" t="n">
        <x:f>IF(COUNT(J390:K390)=2,IF(K390=0,"",J390/K390),"")</x:f>
        <x:v>1.088</x:v>
      </x:c>
      <x:c r="M390" s="10" t="str">
        <x:v>Тема: בואו לאכול איתי עונה 8 | מישור החוף - חלק ה' (פרק 25) - פרק אחרון לעונה. Еда снижает порог входа для широкой аудитории. В одном выпуске встречаются приглашения, оценки, знакомство и бытовые споры.</x:v>
      </x:c>
      <x:c r="N390" s="10" t="str">
        <x:v>Составить приглашение на ужин и аргументированно оценить блюдо.</x:v>
      </x:c>
      <x:c r="O390" s="10" t="str">
        <x:v>Быстрая речь и стереотипы; порядок дней недели в серии</x:v>
      </x:c>
      <x:c r="P390" s="10" t="str">
        <x:v>Самостоятельное видео</x:v>
      </x:c>
      <x:c r="Q390" s="9" t="str">
        <x:v>Нет</x:v>
      </x:c>
      <x:c r="R390" s="9" t="str">
        <x:v>C023</x:v>
      </x:c>
      <x:c r="S390" s="9" t="str">
        <x:v>C023</x:v>
      </x:c>
      <x:c r="T390" s="10" t="str">
        <x:v>כאן 11 - תאגיד השידור הישראלי</x:v>
      </x:c>
      <x:c r="U390" s="11" t="str">
        <x:v>https://www.youtube.com/watch?v=Kjxtdx2-sC4</x:v>
      </x:c>
      <x:c r="V390" s="16" t="n">
        <x:v>46308</x:v>
      </x:c>
      <x:c r="W390" s="16" t="n">
        <x:v>45519</x:v>
      </x:c>
      <x:c r="X390" s="10" t="str">
        <x:v>Иврит предполагается по заголовку и источнику</x:v>
      </x:c>
      <x:c r="Y390" s="10" t="str">
        <x:v>Автоматическая дорожка HE по метаданным</x:v>
      </x:c>
      <x:c r="Z390" s="10" t="str">
        <x:v>Разрешено по метаданным</x:v>
      </x:c>
      <x:c r="AA390" s="10" t="str">
        <x:v>Метаданные видео; воспроизведение и содержание не проверены</x:v>
      </x:c>
      <x:c r="AB390" s="13" t="n">
        <x:f>IF(AND(ISNUMBER(H390),ISNUMBER(W390)),H390/MAX(1,'Обзор'!$B$4-W390),"")</x:f>
        <x:v>345.40050697084916</x:v>
      </x:c>
      <x:c r="AC390" s="17" t="str">
        <x:v>Не решено</x:v>
      </x:c>
      <x:c r="AD390" s="17" t="str">
        <x:v>Не проверено</x:v>
      </x:c>
      <x:c r="AE390" s="17" t="str">
        <x:v>Не проверено</x:v>
      </x:c>
      <x:c r="AF390" s="17" t="str">
        <x:v>Не проверено</x:v>
      </x:c>
      <x:c r="AG390" s="17" t="str">
        <x:v>Не решено</x:v>
      </x:c>
      <x:c r="AH390" s="17" t="str">
        <x:v>Не проверено</x:v>
      </x:c>
      <x:c r="AI390" s="10" t="str">
        <x:f>IF(AC390="Отклонить","Отклонено",IF(AND(AC390="Взять",COUNTIFS(AD390:AH390,"Да")=5),"Готово","Нужна редактура"))</x:f>
        <x:v>Нужна редактура</x:v>
      </x:c>
      <x:c r="AJ390" s="17" t="str"/>
      <x:c r="AK390" s="9" t="str">
        <x:v>https://www.youtube.com/playlist?list=PLLttfoK87AdWmItDC4gNSVGXklb_GJZEC</x:v>
      </x:c>
      <x:c r="AL390" s="9" t="n">
        <x:v>25</x:v>
      </x:c>
      <x:c r="AM390" s="9" t="n">
        <x:v>25</x:v>
      </x:c>
      <x:c r="AN390" s="9" t="n">
        <x:v>0</x:v>
      </x:c>
    </x:row>
    <x:row r="391" ht="60" customHeight="1">
      <x:c r="A391" s="9" t="str">
        <x:v>wv8AxKBcNMw</x:v>
      </x:c>
      <x:c r="B391" s="10" t="str">
        <x:v>שום פלפל ושמן זית עונה 3 | הפרוייקט של רביבו</x:v>
      </x:c>
      <x:c r="C391" s="10" t="str">
        <x:v>Еда и повседневность</x:v>
      </x:c>
      <x:c r="D391" s="9" t="str">
        <x:v>Быт</x:v>
      </x:c>
      <x:c r="E391" s="10" t="str">
        <x:v>Кулинария; взрослые; семейный просмотр</x:v>
      </x:c>
      <x:c r="F391" s="10" t="str">
        <x:v>B1–B2 (гипотеза)</x:v>
      </x:c>
      <x:c r="G391" s="12" t="n">
        <x:v>38.6</x:v>
      </x:c>
      <x:c r="H391" s="14" t="n">
        <x:v>23000</x:v>
      </x:c>
      <x:c r="I391" s="15" t="str">
        <x:v>Округлённый счётчик в списке YouTube</x:v>
      </x:c>
      <x:c r="J391" s="14" t="n">
        <x:v>23000</x:v>
      </x:c>
      <x:c r="K391" s="14" t="n">
        <x:v>32000</x:v>
      </x:c>
      <x:c r="L391" s="12" t="n">
        <x:f>IF(COUNT(J391:K391)=2,IF(K391=0,"",J391/K391),"")</x:f>
        <x:v>0.71875</x:v>
      </x:c>
      <x:c r="M391" s="10" t="str">
        <x:v>Тема: שום פלפל ושמן זית עונה 3 | הפרוייקט של רביבו.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391" s="10" t="str">
        <x:v>Пересказать рецепт в повелительном наклонении и связках сначала/потом.</x:v>
      </x:c>
      <x:c r="O391" s="10" t="str">
        <x:v>Проверить содержание</x:v>
      </x:c>
      <x:c r="P391" s="10" t="str">
        <x:v>Самостоятельное видео</x:v>
      </x:c>
      <x:c r="Q391" s="9" t="str">
        <x:v>Нет</x:v>
      </x:c>
      <x:c r="R391" s="9" t="str">
        <x:v>C024</x:v>
      </x:c>
      <x:c r="S391" s="9" t="str">
        <x:v>C024</x:v>
      </x:c>
      <x:c r="T391" s="10" t="str">
        <x:v>כאן 11 - תאגיד השידור הישראלי</x:v>
      </x:c>
      <x:c r="U391" s="11" t="str">
        <x:v>https://www.youtube.com/watch?v=wv8AxKBcNMw</x:v>
      </x:c>
      <x:c r="V391" s="16" t="n">
        <x:v>46308</x:v>
      </x:c>
      <x:c r="W391" s="16"/>
      <x:c r="X391" s="10" t="str">
        <x:v>Иврит предполагается по заголовку и источнику</x:v>
      </x:c>
      <x:c r="Y391" s="10" t="str">
        <x:v>Не проверено</x:v>
      </x:c>
      <x:c r="Z391" s="10" t="str">
        <x:v>Не проверено</x:v>
      </x:c>
      <x:c r="AA391" s="10" t="str">
        <x:v>Метаданные списка; видео не просмотрено</x:v>
      </x:c>
      <x:c r="AB391" s="13" t="str">
        <x:f>IF(AND(ISNUMBER(H391),ISNUMBER(W391)),H391/MAX(1,'Обзор'!$B$4-W391),"")</x:f>
      </x:c>
      <x:c r="AC391" s="17" t="str">
        <x:v>Не решено</x:v>
      </x:c>
      <x:c r="AD391" s="17" t="str">
        <x:v>Не проверено</x:v>
      </x:c>
      <x:c r="AE391" s="17" t="str">
        <x:v>Не проверено</x:v>
      </x:c>
      <x:c r="AF391" s="17" t="str">
        <x:v>Не проверено</x:v>
      </x:c>
      <x:c r="AG391" s="17" t="str">
        <x:v>Не решено</x:v>
      </x:c>
      <x:c r="AH391" s="17" t="str">
        <x:v>Не проверено</x:v>
      </x:c>
      <x:c r="AI391" s="10" t="str">
        <x:f>IF(AC391="Отклонить","Отклонено",IF(AND(AC391="Взять",COUNTIFS(AD391:AH391,"Да")=5),"Готово","Нужна редактура"))</x:f>
        <x:v>Нужна редактура</x:v>
      </x:c>
      <x:c r="AJ391" s="17" t="str"/>
      <x:c r="AK391" s="9" t="str">
        <x:v>https://www.youtube.com/playlist?list=PLLttfoK87AdWrWu2QdWP-CeKoaxxtV9pr</x:v>
      </x:c>
      <x:c r="AL391" s="9" t="n">
        <x:v>1</x:v>
      </x:c>
      <x:c r="AM391" s="9"/>
      <x:c r="AN391" s="9"/>
    </x:row>
    <x:row r="392" ht="60" customHeight="1">
      <x:c r="A392" s="9" t="str">
        <x:v>FOUEajYnD4E</x:v>
      </x:c>
      <x:c r="B392" s="10" t="str">
        <x:v>שום פלפל ושמן זית עונה 3 | מיקי קם</x:v>
      </x:c>
      <x:c r="C392" s="10" t="str">
        <x:v>Еда и повседневность</x:v>
      </x:c>
      <x:c r="D392" s="9" t="str">
        <x:v>Быт</x:v>
      </x:c>
      <x:c r="E392" s="10" t="str">
        <x:v>Кулинария; взрослые; семейный просмотр</x:v>
      </x:c>
      <x:c r="F392" s="10" t="str">
        <x:v>B1–B2 (гипотеза)</x:v>
      </x:c>
      <x:c r="G392" s="12" t="n">
        <x:v>39</x:v>
      </x:c>
      <x:c r="H392" s="14" t="n">
        <x:v>39446</x:v>
      </x:c>
      <x:c r="I392" s="15" t="str">
        <x:v>Точный счётчик метаданных видео</x:v>
      </x:c>
      <x:c r="J392" s="14" t="n">
        <x:v>39000</x:v>
      </x:c>
      <x:c r="K392" s="14" t="n">
        <x:v>32000</x:v>
      </x:c>
      <x:c r="L392" s="12" t="n">
        <x:f>IF(COUNT(J392:K392)=2,IF(K392=0,"",J392/K392),"")</x:f>
        <x:v>1.21875</x:v>
      </x:c>
      <x:c r="M392" s="10" t="str">
        <x:v>Тема: שום פלפל ושמן זית עונה 3 | מיקי קם.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392" s="10" t="str">
        <x:v>Пересказать рецепт в повелительном наклонении и связках сначала/потом.</x:v>
      </x:c>
      <x:c r="O392" s="10" t="str">
        <x:v>Проверить содержание</x:v>
      </x:c>
      <x:c r="P392" s="10" t="str">
        <x:v>Самостоятельное видео</x:v>
      </x:c>
      <x:c r="Q392" s="9" t="str">
        <x:v>Нет</x:v>
      </x:c>
      <x:c r="R392" s="9" t="str">
        <x:v>C024</x:v>
      </x:c>
      <x:c r="S392" s="9" t="str">
        <x:v>C024</x:v>
      </x:c>
      <x:c r="T392" s="10" t="str">
        <x:v>כאן 11 - תאגיד השידור הישראלי</x:v>
      </x:c>
      <x:c r="U392" s="11" t="str">
        <x:v>https://www.youtube.com/watch?v=FOUEajYnD4E</x:v>
      </x:c>
      <x:c r="V392" s="16" t="n">
        <x:v>46308</x:v>
      </x:c>
      <x:c r="W392" s="16" t="n">
        <x:v>46283</x:v>
      </x:c>
      <x:c r="X392" s="10" t="str">
        <x:v>iw</x:v>
      </x:c>
      <x:c r="Y392" s="10" t="str">
        <x:v>Автоматическая дорожка HE по метаданным</x:v>
      </x:c>
      <x:c r="Z392" s="10" t="str">
        <x:v>Разрешено по метаданным</x:v>
      </x:c>
      <x:c r="AA392" s="10" t="str">
        <x:v>Метаданные видео; воспроизведение и содержание не проверены</x:v>
      </x:c>
      <x:c r="AB392" s="13" t="n">
        <x:f>IF(AND(ISNUMBER(H392),ISNUMBER(W392)),H392/MAX(1,'Обзор'!$B$4-W392),"")</x:f>
        <x:v>1577.84</x:v>
      </x:c>
      <x:c r="AC392" s="17" t="str">
        <x:v>Не решено</x:v>
      </x:c>
      <x:c r="AD392" s="17" t="str">
        <x:v>Не проверено</x:v>
      </x:c>
      <x:c r="AE392" s="17" t="str">
        <x:v>Не проверено</x:v>
      </x:c>
      <x:c r="AF392" s="17" t="str">
        <x:v>Не проверено</x:v>
      </x:c>
      <x:c r="AG392" s="17" t="str">
        <x:v>Не решено</x:v>
      </x:c>
      <x:c r="AH392" s="17" t="str">
        <x:v>Не проверено</x:v>
      </x:c>
      <x:c r="AI392" s="10" t="str">
        <x:f>IF(AC392="Отклонить","Отклонено",IF(AND(AC392="Взять",COUNTIFS(AD392:AH392,"Да")=5),"Готово","Нужна редактура"))</x:f>
        <x:v>Нужна редактура</x:v>
      </x:c>
      <x:c r="AJ392" s="17" t="str"/>
      <x:c r="AK392" s="9" t="str">
        <x:v>https://www.youtube.com/playlist?list=PLLttfoK87AdWrWu2QdWP-CeKoaxxtV9pr</x:v>
      </x:c>
      <x:c r="AL392" s="9" t="n">
        <x:v>2</x:v>
      </x:c>
      <x:c r="AM392" s="9"/>
      <x:c r="AN392" s="9" t="n">
        <x:v>0</x:v>
      </x:c>
    </x:row>
    <x:row r="393" ht="60" customHeight="1">
      <x:c r="A393" s="9" t="str">
        <x:v>8S5rgP1sHNo</x:v>
      </x:c>
      <x:c r="B393" s="10" t="str">
        <x:v>שום פלפל ושמן זית עונה 3 | דניאל כהן</x:v>
      </x:c>
      <x:c r="C393" s="10" t="str">
        <x:v>Еда и повседневность</x:v>
      </x:c>
      <x:c r="D393" s="9" t="str">
        <x:v>Быт</x:v>
      </x:c>
      <x:c r="E393" s="10" t="str">
        <x:v>Кулинария; взрослые; семейный просмотр</x:v>
      </x:c>
      <x:c r="F393" s="10" t="str">
        <x:v>B1–B2 (гипотеза)</x:v>
      </x:c>
      <x:c r="G393" s="12" t="n">
        <x:v>41.2</x:v>
      </x:c>
      <x:c r="H393" s="14" t="n">
        <x:v>60792</x:v>
      </x:c>
      <x:c r="I393" s="15" t="str">
        <x:v>Точный счётчик метаданных видео</x:v>
      </x:c>
      <x:c r="J393" s="14" t="n">
        <x:v>60000</x:v>
      </x:c>
      <x:c r="K393" s="14" t="n">
        <x:v>32000</x:v>
      </x:c>
      <x:c r="L393" s="12" t="n">
        <x:f>IF(COUNT(J393:K393)=2,IF(K393=0,"",J393/K393),"")</x:f>
        <x:v>1.875</x:v>
      </x:c>
      <x:c r="M393" s="10" t="str">
        <x:v>Тема: שום פלפל ושמן זית עונה 3 | דניאל כהן. Просмотры в списке выше медианы выборки этого цикла в 1.88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393" s="10" t="str">
        <x:v>Пересказать рецепт в повелительном наклонении и связках сначала/потом.</x:v>
      </x:c>
      <x:c r="O393" s="10" t="str">
        <x:v>Проверить содержание</x:v>
      </x:c>
      <x:c r="P393" s="10" t="str">
        <x:v>Самостоятельное видео</x:v>
      </x:c>
      <x:c r="Q393" s="9" t="str">
        <x:v>Нет</x:v>
      </x:c>
      <x:c r="R393" s="9" t="str">
        <x:v>C024</x:v>
      </x:c>
      <x:c r="S393" s="9" t="str">
        <x:v>C024</x:v>
      </x:c>
      <x:c r="T393" s="10" t="str">
        <x:v>כאן 11 - תאגיד השידור הישראלי</x:v>
      </x:c>
      <x:c r="U393" s="11" t="str">
        <x:v>https://www.youtube.com/watch?v=8S5rgP1sHNo</x:v>
      </x:c>
      <x:c r="V393" s="16" t="n">
        <x:v>46308</x:v>
      </x:c>
      <x:c r="W393" s="16" t="n">
        <x:v>46269</x:v>
      </x:c>
      <x:c r="X393" s="10" t="str">
        <x:v>iw</x:v>
      </x:c>
      <x:c r="Y393" s="10" t="str">
        <x:v>Автоматическая дорожка HE по метаданным</x:v>
      </x:c>
      <x:c r="Z393" s="10" t="str">
        <x:v>Разрешено по метаданным</x:v>
      </x:c>
      <x:c r="AA393" s="10" t="str">
        <x:v>Метаданные видео; воспроизведение и содержание не проверены</x:v>
      </x:c>
      <x:c r="AB393" s="13" t="n">
        <x:f>IF(AND(ISNUMBER(H393),ISNUMBER(W393)),H393/MAX(1,'Обзор'!$B$4-W393),"")</x:f>
        <x:v>1558.7692307692307</x:v>
      </x:c>
      <x:c r="AC393" s="17" t="str">
        <x:v>Не решено</x:v>
      </x:c>
      <x:c r="AD393" s="17" t="str">
        <x:v>Не проверено</x:v>
      </x:c>
      <x:c r="AE393" s="17" t="str">
        <x:v>Не проверено</x:v>
      </x:c>
      <x:c r="AF393" s="17" t="str">
        <x:v>Не проверено</x:v>
      </x:c>
      <x:c r="AG393" s="17" t="str">
        <x:v>Не решено</x:v>
      </x:c>
      <x:c r="AH393" s="17" t="str">
        <x:v>Не проверено</x:v>
      </x:c>
      <x:c r="AI393" s="10" t="str">
        <x:f>IF(AC393="Отклонить","Отклонено",IF(AND(AC393="Взять",COUNTIFS(AD393:AH393,"Да")=5),"Готово","Нужна редактура"))</x:f>
        <x:v>Нужна редактура</x:v>
      </x:c>
      <x:c r="AJ393" s="17" t="str"/>
      <x:c r="AK393" s="9" t="str">
        <x:v>https://www.youtube.com/playlist?list=PLLttfoK87AdWrWu2QdWP-CeKoaxxtV9pr</x:v>
      </x:c>
      <x:c r="AL393" s="9" t="n">
        <x:v>3</x:v>
      </x:c>
      <x:c r="AM393" s="9"/>
      <x:c r="AN393" s="9" t="n">
        <x:v>0</x:v>
      </x:c>
    </x:row>
    <x:row r="394" ht="60" customHeight="1">
      <x:c r="A394" s="9" t="str">
        <x:v>m60JSiIMcYc</x:v>
      </x:c>
      <x:c r="B394" s="10" t="str">
        <x:v>שום פלפל ושמן זית עונה 3 | אליאנה תדהר</x:v>
      </x:c>
      <x:c r="C394" s="10" t="str">
        <x:v>Еда и повседневность</x:v>
      </x:c>
      <x:c r="D394" s="9" t="str">
        <x:v>Быт</x:v>
      </x:c>
      <x:c r="E394" s="10" t="str">
        <x:v>Кулинария; взрослые; семейный просмотр</x:v>
      </x:c>
      <x:c r="F394" s="10" t="str">
        <x:v>B1–B2 (гипотеза)</x:v>
      </x:c>
      <x:c r="G394" s="12" t="n">
        <x:v>41.1</x:v>
      </x:c>
      <x:c r="H394" s="14" t="n">
        <x:v>56867</x:v>
      </x:c>
      <x:c r="I394" s="15" t="str">
        <x:v>Точный счётчик метаданных видео</x:v>
      </x:c>
      <x:c r="J394" s="14" t="n">
        <x:v>56000</x:v>
      </x:c>
      <x:c r="K394" s="14" t="n">
        <x:v>32000</x:v>
      </x:c>
      <x:c r="L394" s="12" t="n">
        <x:f>IF(COUNT(J394:K394)=2,IF(K394=0,"",J394/K394),"")</x:f>
        <x:v>1.75</x:v>
      </x:c>
      <x:c r="M394" s="10" t="str">
        <x:v>Тема: שום פלפל ושמן זית עונה 3 | אליאנה תדהר. Просмотры в списке выше медианы выборки этого цикла в 1.75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394" s="10" t="str">
        <x:v>Пересказать рецепт в повелительном наклонении и связках сначала/потом.</x:v>
      </x:c>
      <x:c r="O394" s="10" t="str">
        <x:v>Проверить содержание</x:v>
      </x:c>
      <x:c r="P394" s="10" t="str">
        <x:v>Самостоятельное видео</x:v>
      </x:c>
      <x:c r="Q394" s="9" t="str">
        <x:v>Нет</x:v>
      </x:c>
      <x:c r="R394" s="9" t="str">
        <x:v>C024</x:v>
      </x:c>
      <x:c r="S394" s="9" t="str">
        <x:v>C024</x:v>
      </x:c>
      <x:c r="T394" s="10" t="str">
        <x:v>כאן 11 - תאגיד השידור הישראלי</x:v>
      </x:c>
      <x:c r="U394" s="11" t="str">
        <x:v>https://www.youtube.com/watch?v=m60JSiIMcYc</x:v>
      </x:c>
      <x:c r="V394" s="16" t="n">
        <x:v>46308</x:v>
      </x:c>
      <x:c r="W394" s="16" t="n">
        <x:v>46262</x:v>
      </x:c>
      <x:c r="X394" s="10" t="str">
        <x:v>Иврит предполагается по заголовку и источнику</x:v>
      </x:c>
      <x:c r="Y394" s="10" t="str">
        <x:v>Автоматическая дорожка HE по метаданным</x:v>
      </x:c>
      <x:c r="Z394" s="10" t="str">
        <x:v>Разрешено по метаданным</x:v>
      </x:c>
      <x:c r="AA394" s="10" t="str">
        <x:v>Метаданные видео; воспроизведение и содержание не проверены</x:v>
      </x:c>
      <x:c r="AB394" s="13" t="n">
        <x:f>IF(AND(ISNUMBER(H394),ISNUMBER(W394)),H394/MAX(1,'Обзор'!$B$4-W394),"")</x:f>
        <x:v>1236.2391304347825</x:v>
      </x:c>
      <x:c r="AC394" s="17" t="str">
        <x:v>Не решено</x:v>
      </x:c>
      <x:c r="AD394" s="17" t="str">
        <x:v>Не проверено</x:v>
      </x:c>
      <x:c r="AE394" s="17" t="str">
        <x:v>Не проверено</x:v>
      </x:c>
      <x:c r="AF394" s="17" t="str">
        <x:v>Не проверено</x:v>
      </x:c>
      <x:c r="AG394" s="17" t="str">
        <x:v>Не решено</x:v>
      </x:c>
      <x:c r="AH394" s="17" t="str">
        <x:v>Не проверено</x:v>
      </x:c>
      <x:c r="AI394" s="10" t="str">
        <x:f>IF(AC394="Отклонить","Отклонено",IF(AND(AC394="Взять",COUNTIFS(AD394:AH394,"Да")=5),"Готово","Нужна редактура"))</x:f>
        <x:v>Нужна редактура</x:v>
      </x:c>
      <x:c r="AJ394" s="17" t="str"/>
      <x:c r="AK394" s="9" t="str">
        <x:v>https://www.youtube.com/playlist?list=PLLttfoK87AdWrWu2QdWP-CeKoaxxtV9pr</x:v>
      </x:c>
      <x:c r="AL394" s="9" t="n">
        <x:v>4</x:v>
      </x:c>
      <x:c r="AM394" s="9"/>
      <x:c r="AN394" s="9" t="n">
        <x:v>0</x:v>
      </x:c>
    </x:row>
    <x:row r="395" ht="60" customHeight="1">
      <x:c r="A395" s="9" t="str">
        <x:v>QCy2Ts4f90I</x:v>
      </x:c>
      <x:c r="B395" s="10" t="str">
        <x:v>שום פלפל ושמן זית עונה 3 | חנן סביון</x:v>
      </x:c>
      <x:c r="C395" s="10" t="str">
        <x:v>Еда и повседневность</x:v>
      </x:c>
      <x:c r="D395" s="9" t="str">
        <x:v>Быт</x:v>
      </x:c>
      <x:c r="E395" s="10" t="str">
        <x:v>Кулинария; взрослые; семейный просмотр</x:v>
      </x:c>
      <x:c r="F395" s="10" t="str">
        <x:v>B1–B2 (гипотеза)</x:v>
      </x:c>
      <x:c r="G395" s="12" t="n">
        <x:v>41</x:v>
      </x:c>
      <x:c r="H395" s="14" t="n">
        <x:v>25000</x:v>
      </x:c>
      <x:c r="I395" s="15" t="str">
        <x:v>Округлённый счётчик в списке YouTube</x:v>
      </x:c>
      <x:c r="J395" s="14" t="n">
        <x:v>25000</x:v>
      </x:c>
      <x:c r="K395" s="14" t="n">
        <x:v>32000</x:v>
      </x:c>
      <x:c r="L395" s="12" t="n">
        <x:f>IF(COUNT(J395:K395)=2,IF(K395=0,"",J395/K395),"")</x:f>
        <x:v>0.78125</x:v>
      </x:c>
      <x:c r="M395" s="10" t="str">
        <x:v>Тема: שום פלפל ושמן זית עונה 3 | חנן סביון.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395" s="10" t="str">
        <x:v>Пересказать рецепт в повелительном наклонении и связках сначала/потом.</x:v>
      </x:c>
      <x:c r="O395" s="10" t="str">
        <x:v>Проверить содержание</x:v>
      </x:c>
      <x:c r="P395" s="10" t="str">
        <x:v>Самостоятельное видео</x:v>
      </x:c>
      <x:c r="Q395" s="9" t="str">
        <x:v>Нет</x:v>
      </x:c>
      <x:c r="R395" s="9" t="str">
        <x:v>C024</x:v>
      </x:c>
      <x:c r="S395" s="9" t="str">
        <x:v>C024</x:v>
      </x:c>
      <x:c r="T395" s="10" t="str">
        <x:v>כאן 11 - תאגיד השידור הישראלי</x:v>
      </x:c>
      <x:c r="U395" s="11" t="str">
        <x:v>https://www.youtube.com/watch?v=QCy2Ts4f90I</x:v>
      </x:c>
      <x:c r="V395" s="16" t="n">
        <x:v>46308</x:v>
      </x:c>
      <x:c r="W395" s="16"/>
      <x:c r="X395" s="10" t="str">
        <x:v>Иврит предполагается по заголовку и источнику</x:v>
      </x:c>
      <x:c r="Y395" s="10" t="str">
        <x:v>Не проверено</x:v>
      </x:c>
      <x:c r="Z395" s="10" t="str">
        <x:v>Не проверено</x:v>
      </x:c>
      <x:c r="AA395" s="10" t="str">
        <x:v>Метаданные списка; видео не просмотрено</x:v>
      </x:c>
      <x:c r="AB395" s="13" t="str">
        <x:f>IF(AND(ISNUMBER(H395),ISNUMBER(W395)),H395/MAX(1,'Обзор'!$B$4-W395),"")</x:f>
      </x:c>
      <x:c r="AC395" s="17" t="str">
        <x:v>Не решено</x:v>
      </x:c>
      <x:c r="AD395" s="17" t="str">
        <x:v>Не проверено</x:v>
      </x:c>
      <x:c r="AE395" s="17" t="str">
        <x:v>Не проверено</x:v>
      </x:c>
      <x:c r="AF395" s="17" t="str">
        <x:v>Не проверено</x:v>
      </x:c>
      <x:c r="AG395" s="17" t="str">
        <x:v>Не решено</x:v>
      </x:c>
      <x:c r="AH395" s="17" t="str">
        <x:v>Не проверено</x:v>
      </x:c>
      <x:c r="AI395" s="10" t="str">
        <x:f>IF(AC395="Отклонить","Отклонено",IF(AND(AC395="Взять",COUNTIFS(AD395:AH395,"Да")=5),"Готово","Нужна редактура"))</x:f>
        <x:v>Нужна редактура</x:v>
      </x:c>
      <x:c r="AJ395" s="17" t="str"/>
      <x:c r="AK395" s="9" t="str">
        <x:v>https://www.youtube.com/playlist?list=PLLttfoK87AdWrWu2QdWP-CeKoaxxtV9pr</x:v>
      </x:c>
      <x:c r="AL395" s="9" t="n">
        <x:v>5</x:v>
      </x:c>
      <x:c r="AM395" s="9"/>
      <x:c r="AN395" s="9"/>
    </x:row>
    <x:row r="396" ht="60" customHeight="1">
      <x:c r="A396" s="9" t="str">
        <x:v>OZUpdls421Q</x:v>
      </x:c>
      <x:c r="B396" s="10" t="str">
        <x:v>שום פלפל ושמן זית עונה 3 | חגית ביליה (לייזה פאנלים)</x:v>
      </x:c>
      <x:c r="C396" s="10" t="str">
        <x:v>Еда и повседневность</x:v>
      </x:c>
      <x:c r="D396" s="9" t="str">
        <x:v>Быт</x:v>
      </x:c>
      <x:c r="E396" s="10" t="str">
        <x:v>Кулинария; взрослые; семейный просмотр</x:v>
      </x:c>
      <x:c r="F396" s="10" t="str">
        <x:v>B1–B2 (гипотеза)</x:v>
      </x:c>
      <x:c r="G396" s="12" t="n">
        <x:v>40.5</x:v>
      </x:c>
      <x:c r="H396" s="14" t="n">
        <x:v>21000</x:v>
      </x:c>
      <x:c r="I396" s="15" t="str">
        <x:v>Округлённый счётчик в списке YouTube</x:v>
      </x:c>
      <x:c r="J396" s="14" t="n">
        <x:v>21000</x:v>
      </x:c>
      <x:c r="K396" s="14" t="n">
        <x:v>32000</x:v>
      </x:c>
      <x:c r="L396" s="12" t="n">
        <x:f>IF(COUNT(J396:K396)=2,IF(K396=0,"",J396/K396),"")</x:f>
        <x:v>0.65625</x:v>
      </x:c>
      <x:c r="M396" s="10" t="str">
        <x:v>Тема: שום פלפל ושמן זית עונה 3 | חגית ביליה (לייזה פאנלים).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396" s="10" t="str">
        <x:v>Пересказать рецепт в повелительном наклонении и связках сначала/потом.</x:v>
      </x:c>
      <x:c r="O396" s="10" t="str">
        <x:v>Проверить содержание</x:v>
      </x:c>
      <x:c r="P396" s="10" t="str">
        <x:v>Самостоятельное видео</x:v>
      </x:c>
      <x:c r="Q396" s="9" t="str">
        <x:v>Нет</x:v>
      </x:c>
      <x:c r="R396" s="9" t="str">
        <x:v>C024</x:v>
      </x:c>
      <x:c r="S396" s="9" t="str">
        <x:v>C024</x:v>
      </x:c>
      <x:c r="T396" s="10" t="str">
        <x:v>כאן 11 - תאגיד השידור הישראלי</x:v>
      </x:c>
      <x:c r="U396" s="11" t="str">
        <x:v>https://www.youtube.com/watch?v=OZUpdls421Q</x:v>
      </x:c>
      <x:c r="V396" s="16" t="n">
        <x:v>46308</x:v>
      </x:c>
      <x:c r="W396" s="16"/>
      <x:c r="X396" s="10" t="str">
        <x:v>Иврит предполагается по заголовку и источнику</x:v>
      </x:c>
      <x:c r="Y396" s="10" t="str">
        <x:v>Не проверено</x:v>
      </x:c>
      <x:c r="Z396" s="10" t="str">
        <x:v>Не проверено</x:v>
      </x:c>
      <x:c r="AA396" s="10" t="str">
        <x:v>Метаданные списка; видео не просмотрено</x:v>
      </x:c>
      <x:c r="AB396" s="13" t="str">
        <x:f>IF(AND(ISNUMBER(H396),ISNUMBER(W396)),H396/MAX(1,'Обзор'!$B$4-W396),"")</x:f>
      </x:c>
      <x:c r="AC396" s="17" t="str">
        <x:v>Не решено</x:v>
      </x:c>
      <x:c r="AD396" s="17" t="str">
        <x:v>Не проверено</x:v>
      </x:c>
      <x:c r="AE396" s="17" t="str">
        <x:v>Не проверено</x:v>
      </x:c>
      <x:c r="AF396" s="17" t="str">
        <x:v>Не проверено</x:v>
      </x:c>
      <x:c r="AG396" s="17" t="str">
        <x:v>Не решено</x:v>
      </x:c>
      <x:c r="AH396" s="17" t="str">
        <x:v>Не проверено</x:v>
      </x:c>
      <x:c r="AI396" s="10" t="str">
        <x:f>IF(AC396="Отклонить","Отклонено",IF(AND(AC396="Взять",COUNTIFS(AD396:AH396,"Да")=5),"Готово","Нужна редактура"))</x:f>
        <x:v>Нужна редактура</x:v>
      </x:c>
      <x:c r="AJ396" s="17" t="str"/>
      <x:c r="AK396" s="9" t="str">
        <x:v>https://www.youtube.com/playlist?list=PLLttfoK87AdWrWu2QdWP-CeKoaxxtV9pr</x:v>
      </x:c>
      <x:c r="AL396" s="9" t="n">
        <x:v>6</x:v>
      </x:c>
      <x:c r="AM396" s="9"/>
      <x:c r="AN396" s="9"/>
    </x:row>
    <x:row r="397" ht="60" customHeight="1">
      <x:c r="A397" s="9" t="str">
        <x:v>WCjmNelxLIk</x:v>
      </x:c>
      <x:c r="B397" s="10" t="str">
        <x:v>שום פלפל ושמן זית עונה 3 | נועם קליינשטיין</x:v>
      </x:c>
      <x:c r="C397" s="10" t="str">
        <x:v>Еда и повседневность</x:v>
      </x:c>
      <x:c r="D397" s="9" t="str">
        <x:v>Быт</x:v>
      </x:c>
      <x:c r="E397" s="10" t="str">
        <x:v>Кулинария; взрослые; семейный просмотр</x:v>
      </x:c>
      <x:c r="F397" s="10" t="str">
        <x:v>B1–B2 (гипотеза)</x:v>
      </x:c>
      <x:c r="G397" s="12" t="n">
        <x:v>39.3</x:v>
      </x:c>
      <x:c r="H397" s="14" t="n">
        <x:v>21000</x:v>
      </x:c>
      <x:c r="I397" s="15" t="str">
        <x:v>Округлённый счётчик в списке YouTube</x:v>
      </x:c>
      <x:c r="J397" s="14" t="n">
        <x:v>21000</x:v>
      </x:c>
      <x:c r="K397" s="14" t="n">
        <x:v>32000</x:v>
      </x:c>
      <x:c r="L397" s="12" t="n">
        <x:f>IF(COUNT(J397:K397)=2,IF(K397=0,"",J397/K397),"")</x:f>
        <x:v>0.65625</x:v>
      </x:c>
      <x:c r="M397" s="10" t="str">
        <x:v>Тема: שום פלפל ושמן זית עונה 3 | נועם קליינשטיין.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397" s="10" t="str">
        <x:v>Пересказать рецепт в повелительном наклонении и связках сначала/потом.</x:v>
      </x:c>
      <x:c r="O397" s="10" t="str">
        <x:v>Проверить содержание</x:v>
      </x:c>
      <x:c r="P397" s="10" t="str">
        <x:v>Самостоятельное видео</x:v>
      </x:c>
      <x:c r="Q397" s="9" t="str">
        <x:v>Нет</x:v>
      </x:c>
      <x:c r="R397" s="9" t="str">
        <x:v>C024</x:v>
      </x:c>
      <x:c r="S397" s="9" t="str">
        <x:v>C024</x:v>
      </x:c>
      <x:c r="T397" s="10" t="str">
        <x:v>כאן 11 - תאגיד השידור הישראלי</x:v>
      </x:c>
      <x:c r="U397" s="11" t="str">
        <x:v>https://www.youtube.com/watch?v=WCjmNelxLIk</x:v>
      </x:c>
      <x:c r="V397" s="16" t="n">
        <x:v>46308</x:v>
      </x:c>
      <x:c r="W397" s="16"/>
      <x:c r="X397" s="10" t="str">
        <x:v>Иврит предполагается по заголовку и источнику</x:v>
      </x:c>
      <x:c r="Y397" s="10" t="str">
        <x:v>Не проверено</x:v>
      </x:c>
      <x:c r="Z397" s="10" t="str">
        <x:v>Не проверено</x:v>
      </x:c>
      <x:c r="AA397" s="10" t="str">
        <x:v>Метаданные списка; видео не просмотрено</x:v>
      </x:c>
      <x:c r="AB397" s="13" t="str">
        <x:f>IF(AND(ISNUMBER(H397),ISNUMBER(W397)),H397/MAX(1,'Обзор'!$B$4-W397),"")</x:f>
      </x:c>
      <x:c r="AC397" s="17" t="str">
        <x:v>Не решено</x:v>
      </x:c>
      <x:c r="AD397" s="17" t="str">
        <x:v>Не проверено</x:v>
      </x:c>
      <x:c r="AE397" s="17" t="str">
        <x:v>Не проверено</x:v>
      </x:c>
      <x:c r="AF397" s="17" t="str">
        <x:v>Не проверено</x:v>
      </x:c>
      <x:c r="AG397" s="17" t="str">
        <x:v>Не решено</x:v>
      </x:c>
      <x:c r="AH397" s="17" t="str">
        <x:v>Не проверено</x:v>
      </x:c>
      <x:c r="AI397" s="10" t="str">
        <x:f>IF(AC397="Отклонить","Отклонено",IF(AND(AC397="Взять",COUNTIFS(AD397:AH397,"Да")=5),"Готово","Нужна редактура"))</x:f>
        <x:v>Нужна редактура</x:v>
      </x:c>
      <x:c r="AJ397" s="17" t="str"/>
      <x:c r="AK397" s="9" t="str">
        <x:v>https://www.youtube.com/playlist?list=PLLttfoK87AdWrWu2QdWP-CeKoaxxtV9pr</x:v>
      </x:c>
      <x:c r="AL397" s="9" t="n">
        <x:v>7</x:v>
      </x:c>
      <x:c r="AM397" s="9"/>
      <x:c r="AN397" s="9"/>
    </x:row>
    <x:row r="398" ht="60" customHeight="1">
      <x:c r="A398" s="9" t="str">
        <x:v>gI2GkFms638</x:v>
      </x:c>
      <x:c r="B398" s="10" t="str">
        <x:v>שום פלפל ושמן זית עונה 3 | קובי אדרי</x:v>
      </x:c>
      <x:c r="C398" s="10" t="str">
        <x:v>Еда и повседневность</x:v>
      </x:c>
      <x:c r="D398" s="9" t="str">
        <x:v>Быт</x:v>
      </x:c>
      <x:c r="E398" s="10" t="str">
        <x:v>Кулинария; взрослые; семейный просмотр</x:v>
      </x:c>
      <x:c r="F398" s="10" t="str">
        <x:v>B1–B2 (гипотеза)</x:v>
      </x:c>
      <x:c r="G398" s="12" t="n">
        <x:v>39.3</x:v>
      </x:c>
      <x:c r="H398" s="14" t="n">
        <x:v>45666</x:v>
      </x:c>
      <x:c r="I398" s="15" t="str">
        <x:v>Точный счётчик метаданных видео</x:v>
      </x:c>
      <x:c r="J398" s="14" t="n">
        <x:v>45000</x:v>
      </x:c>
      <x:c r="K398" s="14" t="n">
        <x:v>32000</x:v>
      </x:c>
      <x:c r="L398" s="12" t="n">
        <x:f>IF(COUNT(J398:K398)=2,IF(K398=0,"",J398/K398),"")</x:f>
        <x:v>1.40625</x:v>
      </x:c>
      <x:c r="M398" s="10" t="str">
        <x:v>Тема: שום פלפל ושמן זית עונה 3 | קובי אדרי.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398" s="10" t="str">
        <x:v>Пересказать рецепт в повелительном наклонении и связках сначала/потом.</x:v>
      </x:c>
      <x:c r="O398" s="10" t="str">
        <x:v>Проверить содержание</x:v>
      </x:c>
      <x:c r="P398" s="10" t="str">
        <x:v>Самостоятельное видео</x:v>
      </x:c>
      <x:c r="Q398" s="9" t="str">
        <x:v>Нет</x:v>
      </x:c>
      <x:c r="R398" s="9" t="str">
        <x:v>C024</x:v>
      </x:c>
      <x:c r="S398" s="9" t="str">
        <x:v>C024</x:v>
      </x:c>
      <x:c r="T398" s="10" t="str">
        <x:v>כאן 11 - תאגיד השידור הישראלי</x:v>
      </x:c>
      <x:c r="U398" s="11" t="str">
        <x:v>https://www.youtube.com/watch?v=gI2GkFms638</x:v>
      </x:c>
      <x:c r="V398" s="16" t="n">
        <x:v>46308</x:v>
      </x:c>
      <x:c r="W398" s="16" t="n">
        <x:v>46234</x:v>
      </x:c>
      <x:c r="X398" s="10" t="str">
        <x:v>Иврит предполагается по заголовку и источнику</x:v>
      </x:c>
      <x:c r="Y398" s="10" t="str">
        <x:v>Автоматическая дорожка HE по метаданным</x:v>
      </x:c>
      <x:c r="Z398" s="10" t="str">
        <x:v>Разрешено по метаданным</x:v>
      </x:c>
      <x:c r="AA398" s="10" t="str">
        <x:v>Метаданные видео; воспроизведение и содержание не проверены</x:v>
      </x:c>
      <x:c r="AB398" s="13" t="n">
        <x:f>IF(AND(ISNUMBER(H398),ISNUMBER(W398)),H398/MAX(1,'Обзор'!$B$4-W398),"")</x:f>
        <x:v>617.1081081081081</x:v>
      </x:c>
      <x:c r="AC398" s="17" t="str">
        <x:v>Не решено</x:v>
      </x:c>
      <x:c r="AD398" s="17" t="str">
        <x:v>Не проверено</x:v>
      </x:c>
      <x:c r="AE398" s="17" t="str">
        <x:v>Не проверено</x:v>
      </x:c>
      <x:c r="AF398" s="17" t="str">
        <x:v>Не проверено</x:v>
      </x:c>
      <x:c r="AG398" s="17" t="str">
        <x:v>Не решено</x:v>
      </x:c>
      <x:c r="AH398" s="17" t="str">
        <x:v>Не проверено</x:v>
      </x:c>
      <x:c r="AI398" s="10" t="str">
        <x:f>IF(AC398="Отклонить","Отклонено",IF(AND(AC398="Взять",COUNTIFS(AD398:AH398,"Да")=5),"Готово","Нужна редактура"))</x:f>
        <x:v>Нужна редактура</x:v>
      </x:c>
      <x:c r="AJ398" s="17" t="str"/>
      <x:c r="AK398" s="9" t="str">
        <x:v>https://www.youtube.com/playlist?list=PLLttfoK87AdWrWu2QdWP-CeKoaxxtV9pr</x:v>
      </x:c>
      <x:c r="AL398" s="9" t="n">
        <x:v>8</x:v>
      </x:c>
      <x:c r="AM398" s="9"/>
      <x:c r="AN398" s="9" t="n">
        <x:v>0</x:v>
      </x:c>
    </x:row>
    <x:row r="399" ht="60" customHeight="1">
      <x:c r="A399" s="9" t="str">
        <x:v>mkw1U8GEWeA</x:v>
      </x:c>
      <x:c r="B399" s="10" t="str">
        <x:v>שום פלפל ושמן זית 2026 | שירה נאור</x:v>
      </x:c>
      <x:c r="C399" s="10" t="str">
        <x:v>Еда и повседневность</x:v>
      </x:c>
      <x:c r="D399" s="9" t="str">
        <x:v>Быт</x:v>
      </x:c>
      <x:c r="E399" s="10" t="str">
        <x:v>Кулинария; взрослые; семейный просмотр</x:v>
      </x:c>
      <x:c r="F399" s="10" t="str">
        <x:v>B1–B2 (гипотеза)</x:v>
      </x:c>
      <x:c r="G399" s="12" t="n">
        <x:v>40.6</x:v>
      </x:c>
      <x:c r="H399" s="14" t="n">
        <x:v>27000</x:v>
      </x:c>
      <x:c r="I399" s="15" t="str">
        <x:v>Округлённый счётчик в списке YouTube</x:v>
      </x:c>
      <x:c r="J399" s="14" t="n">
        <x:v>27000</x:v>
      </x:c>
      <x:c r="K399" s="14" t="n">
        <x:v>32000</x:v>
      </x:c>
      <x:c r="L399" s="12" t="n">
        <x:f>IF(COUNT(J399:K399)=2,IF(K399=0,"",J399/K399),"")</x:f>
        <x:v>0.84375</x:v>
      </x:c>
      <x:c r="M399" s="10" t="str">
        <x:v>Тема: שום פלפל ושמן זית 2026 | שירה נאור.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399" s="10" t="str">
        <x:v>Пересказать рецепт в повелительном наклонении и связках сначала/потом.</x:v>
      </x:c>
      <x:c r="O399" s="10" t="str">
        <x:v>Проверить содержание</x:v>
      </x:c>
      <x:c r="P399" s="10" t="str">
        <x:v>Самостоятельное видео</x:v>
      </x:c>
      <x:c r="Q399" s="9" t="str">
        <x:v>Нет</x:v>
      </x:c>
      <x:c r="R399" s="9" t="str">
        <x:v>C024</x:v>
      </x:c>
      <x:c r="S399" s="9" t="str">
        <x:v>C024</x:v>
      </x:c>
      <x:c r="T399" s="10" t="str">
        <x:v>כאן 11 - תאגיד השידור הישראלי</x:v>
      </x:c>
      <x:c r="U399" s="11" t="str">
        <x:v>https://www.youtube.com/watch?v=mkw1U8GEWeA</x:v>
      </x:c>
      <x:c r="V399" s="16" t="n">
        <x:v>46308</x:v>
      </x:c>
      <x:c r="W399" s="16"/>
      <x:c r="X399" s="10" t="str">
        <x:v>Иврит предполагается по заголовку и источнику</x:v>
      </x:c>
      <x:c r="Y399" s="10" t="str">
        <x:v>Не проверено</x:v>
      </x:c>
      <x:c r="Z399" s="10" t="str">
        <x:v>Не проверено</x:v>
      </x:c>
      <x:c r="AA399" s="10" t="str">
        <x:v>Метаданные списка; видео не просмотрено</x:v>
      </x:c>
      <x:c r="AB399" s="13" t="str">
        <x:f>IF(AND(ISNUMBER(H399),ISNUMBER(W399)),H399/MAX(1,'Обзор'!$B$4-W399),"")</x:f>
      </x:c>
      <x:c r="AC399" s="17" t="str">
        <x:v>Не решено</x:v>
      </x:c>
      <x:c r="AD399" s="17" t="str">
        <x:v>Не проверено</x:v>
      </x:c>
      <x:c r="AE399" s="17" t="str">
        <x:v>Не проверено</x:v>
      </x:c>
      <x:c r="AF399" s="17" t="str">
        <x:v>Не проверено</x:v>
      </x:c>
      <x:c r="AG399" s="17" t="str">
        <x:v>Не решено</x:v>
      </x:c>
      <x:c r="AH399" s="17" t="str">
        <x:v>Не проверено</x:v>
      </x:c>
      <x:c r="AI399" s="10" t="str">
        <x:f>IF(AC399="Отклонить","Отклонено",IF(AND(AC399="Взять",COUNTIFS(AD399:AH399,"Да")=5),"Готово","Нужна редактура"))</x:f>
        <x:v>Нужна редактура</x:v>
      </x:c>
      <x:c r="AJ399" s="17" t="str"/>
      <x:c r="AK399" s="9" t="str">
        <x:v>https://www.youtube.com/playlist?list=PLLttfoK87AdWrWu2QdWP-CeKoaxxtV9pr</x:v>
      </x:c>
      <x:c r="AL399" s="9" t="n">
        <x:v>9</x:v>
      </x:c>
      <x:c r="AM399" s="9"/>
      <x:c r="AN399" s="9"/>
    </x:row>
    <x:row r="400" ht="60" customHeight="1">
      <x:c r="A400" s="9" t="str">
        <x:v>6a_LLn9ey0Q</x:v>
      </x:c>
      <x:c r="B400" s="10" t="str">
        <x:v>שום פלפל ושמן זית עונה 3 | דודו אהרון</x:v>
      </x:c>
      <x:c r="C400" s="10" t="str">
        <x:v>Еда и повседневность</x:v>
      </x:c>
      <x:c r="D400" s="9" t="str">
        <x:v>Быт</x:v>
      </x:c>
      <x:c r="E400" s="10" t="str">
        <x:v>Кулинария; взрослые; семейный просмотр</x:v>
      </x:c>
      <x:c r="F400" s="10" t="str">
        <x:v>B1–B2 (гипотеза)</x:v>
      </x:c>
      <x:c r="G400" s="12" t="n">
        <x:v>41</x:v>
      </x:c>
      <x:c r="H400" s="14" t="n">
        <x:v>22000</x:v>
      </x:c>
      <x:c r="I400" s="15" t="str">
        <x:v>Округлённый счётчик в списке YouTube</x:v>
      </x:c>
      <x:c r="J400" s="14" t="n">
        <x:v>22000</x:v>
      </x:c>
      <x:c r="K400" s="14" t="n">
        <x:v>32000</x:v>
      </x:c>
      <x:c r="L400" s="12" t="n">
        <x:f>IF(COUNT(J400:K400)=2,IF(K400=0,"",J400/K400),"")</x:f>
        <x:v>0.6875</x:v>
      </x:c>
      <x:c r="M400" s="10" t="str">
        <x:v>Тема: שום פלפל ושמן זית עונה 3 | דודו אהרון.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00" s="10" t="str">
        <x:v>Пересказать рецепт в повелительном наклонении и связках сначала/потом.</x:v>
      </x:c>
      <x:c r="O400" s="10" t="str">
        <x:v>Проверить содержание</x:v>
      </x:c>
      <x:c r="P400" s="10" t="str">
        <x:v>Самостоятельное видео</x:v>
      </x:c>
      <x:c r="Q400" s="9" t="str">
        <x:v>Нет</x:v>
      </x:c>
      <x:c r="R400" s="9" t="str">
        <x:v>C024</x:v>
      </x:c>
      <x:c r="S400" s="9" t="str">
        <x:v>C024</x:v>
      </x:c>
      <x:c r="T400" s="10" t="str">
        <x:v>כאן 11 - תאגיד השידור הישראלי</x:v>
      </x:c>
      <x:c r="U400" s="11" t="str">
        <x:v>https://www.youtube.com/watch?v=6a_LLn9ey0Q</x:v>
      </x:c>
      <x:c r="V400" s="16" t="n">
        <x:v>46308</x:v>
      </x:c>
      <x:c r="W400" s="16"/>
      <x:c r="X400" s="10" t="str">
        <x:v>Иврит предполагается по заголовку и источнику</x:v>
      </x:c>
      <x:c r="Y400" s="10" t="str">
        <x:v>Не проверено</x:v>
      </x:c>
      <x:c r="Z400" s="10" t="str">
        <x:v>Не проверено</x:v>
      </x:c>
      <x:c r="AA400" s="10" t="str">
        <x:v>Метаданные списка; видео не просмотрено</x:v>
      </x:c>
      <x:c r="AB400" s="13" t="str">
        <x:f>IF(AND(ISNUMBER(H400),ISNUMBER(W400)),H400/MAX(1,'Обзор'!$B$4-W400),"")</x:f>
      </x:c>
      <x:c r="AC400" s="17" t="str">
        <x:v>Не решено</x:v>
      </x:c>
      <x:c r="AD400" s="17" t="str">
        <x:v>Не проверено</x:v>
      </x:c>
      <x:c r="AE400" s="17" t="str">
        <x:v>Не проверено</x:v>
      </x:c>
      <x:c r="AF400" s="17" t="str">
        <x:v>Не проверено</x:v>
      </x:c>
      <x:c r="AG400" s="17" t="str">
        <x:v>Не решено</x:v>
      </x:c>
      <x:c r="AH400" s="17" t="str">
        <x:v>Не проверено</x:v>
      </x:c>
      <x:c r="AI400" s="10" t="str">
        <x:f>IF(AC400="Отклонить","Отклонено",IF(AND(AC400="Взять",COUNTIFS(AD400:AH400,"Да")=5),"Готово","Нужна редактура"))</x:f>
        <x:v>Нужна редактура</x:v>
      </x:c>
      <x:c r="AJ400" s="17" t="str"/>
      <x:c r="AK400" s="9" t="str">
        <x:v>https://www.youtube.com/playlist?list=PLLttfoK87AdWrWu2QdWP-CeKoaxxtV9pr</x:v>
      </x:c>
      <x:c r="AL400" s="9" t="n">
        <x:v>10</x:v>
      </x:c>
      <x:c r="AM400" s="9"/>
      <x:c r="AN400" s="9"/>
    </x:row>
    <x:row r="401" ht="60" customHeight="1">
      <x:c r="A401" s="9" t="str">
        <x:v>3zcu0azIucU</x:v>
      </x:c>
      <x:c r="B401" s="10" t="str">
        <x:v>שום פלפל ושמן זית עונה 3 | עדן חסון</x:v>
      </x:c>
      <x:c r="C401" s="10" t="str">
        <x:v>Еда и повседневность</x:v>
      </x:c>
      <x:c r="D401" s="9" t="str">
        <x:v>Быт</x:v>
      </x:c>
      <x:c r="E401" s="10" t="str">
        <x:v>Кулинария; взрослые; семейный просмотр</x:v>
      </x:c>
      <x:c r="F401" s="10" t="str">
        <x:v>B1–B2 (гипотеза)</x:v>
      </x:c>
      <x:c r="G401" s="12" t="n">
        <x:v>42.9</x:v>
      </x:c>
      <x:c r="H401" s="14" t="n">
        <x:v>27000</x:v>
      </x:c>
      <x:c r="I401" s="15" t="str">
        <x:v>Округлённый счётчик в списке YouTube</x:v>
      </x:c>
      <x:c r="J401" s="14" t="n">
        <x:v>27000</x:v>
      </x:c>
      <x:c r="K401" s="14" t="n">
        <x:v>32000</x:v>
      </x:c>
      <x:c r="L401" s="12" t="n">
        <x:f>IF(COUNT(J401:K401)=2,IF(K401=0,"",J401/K401),"")</x:f>
        <x:v>0.84375</x:v>
      </x:c>
      <x:c r="M401" s="10" t="str">
        <x:v>Тема: שום פלפל ושמן זית עונה 3 | עדן חסון.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01" s="10" t="str">
        <x:v>Пересказать рецепт в повелительном наклонении и связках сначала/потом.</x:v>
      </x:c>
      <x:c r="O401" s="10" t="str">
        <x:v>Проверить содержание</x:v>
      </x:c>
      <x:c r="P401" s="10" t="str">
        <x:v>Самостоятельное видео</x:v>
      </x:c>
      <x:c r="Q401" s="9" t="str">
        <x:v>Нет</x:v>
      </x:c>
      <x:c r="R401" s="9" t="str">
        <x:v>C024</x:v>
      </x:c>
      <x:c r="S401" s="9" t="str">
        <x:v>C024</x:v>
      </x:c>
      <x:c r="T401" s="10" t="str">
        <x:v>כאן 11 - תאגיד השידור הישראלי</x:v>
      </x:c>
      <x:c r="U401" s="11" t="str">
        <x:v>https://www.youtube.com/watch?v=3zcu0azIucU</x:v>
      </x:c>
      <x:c r="V401" s="16" t="n">
        <x:v>46308</x:v>
      </x:c>
      <x:c r="W401" s="16"/>
      <x:c r="X401" s="10" t="str">
        <x:v>Иврит предполагается по заголовку и источнику</x:v>
      </x:c>
      <x:c r="Y401" s="10" t="str">
        <x:v>Не проверено</x:v>
      </x:c>
      <x:c r="Z401" s="10" t="str">
        <x:v>Не проверено</x:v>
      </x:c>
      <x:c r="AA401" s="10" t="str">
        <x:v>Метаданные списка; видео не просмотрено</x:v>
      </x:c>
      <x:c r="AB401" s="13" t="str">
        <x:f>IF(AND(ISNUMBER(H401),ISNUMBER(W401)),H401/MAX(1,'Обзор'!$B$4-W401),"")</x:f>
      </x:c>
      <x:c r="AC401" s="17" t="str">
        <x:v>Не решено</x:v>
      </x:c>
      <x:c r="AD401" s="17" t="str">
        <x:v>Не проверено</x:v>
      </x:c>
      <x:c r="AE401" s="17" t="str">
        <x:v>Не проверено</x:v>
      </x:c>
      <x:c r="AF401" s="17" t="str">
        <x:v>Не проверено</x:v>
      </x:c>
      <x:c r="AG401" s="17" t="str">
        <x:v>Не решено</x:v>
      </x:c>
      <x:c r="AH401" s="17" t="str">
        <x:v>Не проверено</x:v>
      </x:c>
      <x:c r="AI401" s="10" t="str">
        <x:f>IF(AC401="Отклонить","Отклонено",IF(AND(AC401="Взять",COUNTIFS(AD401:AH401,"Да")=5),"Готово","Нужна редактура"))</x:f>
        <x:v>Нужна редактура</x:v>
      </x:c>
      <x:c r="AJ401" s="17" t="str"/>
      <x:c r="AK401" s="9" t="str">
        <x:v>https://www.youtube.com/playlist?list=PLLttfoK87AdWrWu2QdWP-CeKoaxxtV9pr</x:v>
      </x:c>
      <x:c r="AL401" s="9" t="n">
        <x:v>11</x:v>
      </x:c>
      <x:c r="AM401" s="9"/>
      <x:c r="AN401" s="9"/>
    </x:row>
    <x:row r="402" ht="60" customHeight="1">
      <x:c r="A402" s="9" t="str">
        <x:v>pK5Q01hn1aI</x:v>
      </x:c>
      <x:c r="B402" s="10" t="str">
        <x:v>שום פלפל ושמן זית עונה 3 | ליאור רז</x:v>
      </x:c>
      <x:c r="C402" s="10" t="str">
        <x:v>Еда и повседневность</x:v>
      </x:c>
      <x:c r="D402" s="9" t="str">
        <x:v>Быт</x:v>
      </x:c>
      <x:c r="E402" s="10" t="str">
        <x:v>Кулинария; взрослые; семейный просмотр</x:v>
      </x:c>
      <x:c r="F402" s="10" t="str">
        <x:v>B1–B2 (гипотеза)</x:v>
      </x:c>
      <x:c r="G402" s="12" t="n">
        <x:v>42.3</x:v>
      </x:c>
      <x:c r="H402" s="14" t="n">
        <x:v>39332</x:v>
      </x:c>
      <x:c r="I402" s="15" t="str">
        <x:v>Точный счётчик метаданных видео</x:v>
      </x:c>
      <x:c r="J402" s="14" t="n">
        <x:v>39000</x:v>
      </x:c>
      <x:c r="K402" s="14" t="n">
        <x:v>32000</x:v>
      </x:c>
      <x:c r="L402" s="12" t="n">
        <x:f>IF(COUNT(J402:K402)=2,IF(K402=0,"",J402/K402),"")</x:f>
        <x:v>1.21875</x:v>
      </x:c>
      <x:c r="M402" s="10" t="str">
        <x:v>Тема: שום פלפל ושמן זית עונה 3 | ליאור רז.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02" s="10" t="str">
        <x:v>Пересказать рецепт в повелительном наклонении и связках сначала/потом.</x:v>
      </x:c>
      <x:c r="O402" s="10" t="str">
        <x:v>Проверить содержание</x:v>
      </x:c>
      <x:c r="P402" s="10" t="str">
        <x:v>Самостоятельное видео</x:v>
      </x:c>
      <x:c r="Q402" s="9" t="str">
        <x:v>Нет</x:v>
      </x:c>
      <x:c r="R402" s="9" t="str">
        <x:v>C024</x:v>
      </x:c>
      <x:c r="S402" s="9" t="str">
        <x:v>C024</x:v>
      </x:c>
      <x:c r="T402" s="10" t="str">
        <x:v>כאן 11 - תאגיד השידור הישראלי</x:v>
      </x:c>
      <x:c r="U402" s="11" t="str">
        <x:v>https://www.youtube.com/watch?v=pK5Q01hn1aI</x:v>
      </x:c>
      <x:c r="V402" s="16" t="n">
        <x:v>46308</x:v>
      </x:c>
      <x:c r="W402" s="16" t="n">
        <x:v>46206</x:v>
      </x:c>
      <x:c r="X402" s="10" t="str">
        <x:v>Иврит предполагается по заголовку и источнику</x:v>
      </x:c>
      <x:c r="Y402" s="10" t="str">
        <x:v>Автоматическая дорожка HE по метаданным</x:v>
      </x:c>
      <x:c r="Z402" s="10" t="str">
        <x:v>Разрешено по метаданным</x:v>
      </x:c>
      <x:c r="AA402" s="10" t="str">
        <x:v>Метаданные видео; воспроизведение и содержание не проверены</x:v>
      </x:c>
      <x:c r="AB402" s="13" t="n">
        <x:f>IF(AND(ISNUMBER(H402),ISNUMBER(W402)),H402/MAX(1,'Обзор'!$B$4-W402),"")</x:f>
        <x:v>385.6078431372549</x:v>
      </x:c>
      <x:c r="AC402" s="17" t="str">
        <x:v>Не решено</x:v>
      </x:c>
      <x:c r="AD402" s="17" t="str">
        <x:v>Не проверено</x:v>
      </x:c>
      <x:c r="AE402" s="17" t="str">
        <x:v>Не проверено</x:v>
      </x:c>
      <x:c r="AF402" s="17" t="str">
        <x:v>Не проверено</x:v>
      </x:c>
      <x:c r="AG402" s="17" t="str">
        <x:v>Не решено</x:v>
      </x:c>
      <x:c r="AH402" s="17" t="str">
        <x:v>Не проверено</x:v>
      </x:c>
      <x:c r="AI402" s="10" t="str">
        <x:f>IF(AC402="Отклонить","Отклонено",IF(AND(AC402="Взять",COUNTIFS(AD402:AH402,"Да")=5),"Готово","Нужна редактура"))</x:f>
        <x:v>Нужна редактура</x:v>
      </x:c>
      <x:c r="AJ402" s="17" t="str"/>
      <x:c r="AK402" s="9" t="str">
        <x:v>https://www.youtube.com/playlist?list=PLLttfoK87AdWrWu2QdWP-CeKoaxxtV9pr</x:v>
      </x:c>
      <x:c r="AL402" s="9" t="n">
        <x:v>12</x:v>
      </x:c>
      <x:c r="AM402" s="9"/>
      <x:c r="AN402" s="9" t="n">
        <x:v>0</x:v>
      </x:c>
    </x:row>
    <x:row r="403" ht="60" customHeight="1">
      <x:c r="A403" s="9" t="str">
        <x:v>FCBZ3-OhdvE</x:v>
      </x:c>
      <x:c r="B403" s="10" t="str">
        <x:v>שום פלפל ושמן זית עונה 3 | צביקה הדר</x:v>
      </x:c>
      <x:c r="C403" s="10" t="str">
        <x:v>Еда и повседневность</x:v>
      </x:c>
      <x:c r="D403" s="9" t="str">
        <x:v>Быт</x:v>
      </x:c>
      <x:c r="E403" s="10" t="str">
        <x:v>Кулинария; взрослые; семейный просмотр</x:v>
      </x:c>
      <x:c r="F403" s="10" t="str">
        <x:v>B1–B2 (гипотеза)</x:v>
      </x:c>
      <x:c r="G403" s="12" t="n">
        <x:v>39.8</x:v>
      </x:c>
      <x:c r="H403" s="14" t="n">
        <x:v>29000</x:v>
      </x:c>
      <x:c r="I403" s="15" t="str">
        <x:v>Округлённый счётчик в списке YouTube</x:v>
      </x:c>
      <x:c r="J403" s="14" t="n">
        <x:v>29000</x:v>
      </x:c>
      <x:c r="K403" s="14" t="n">
        <x:v>32000</x:v>
      </x:c>
      <x:c r="L403" s="12" t="n">
        <x:f>IF(COUNT(J403:K403)=2,IF(K403=0,"",J403/K403),"")</x:f>
        <x:v>0.90625</x:v>
      </x:c>
      <x:c r="M403" s="10" t="str">
        <x:v>Тема: שום פלפל ושמן זית עונה 3 | צביקה הדר.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03" s="10" t="str">
        <x:v>Пересказать рецепт в повелительном наклонении и связках сначала/потом.</x:v>
      </x:c>
      <x:c r="O403" s="10" t="str">
        <x:v>Проверить содержание</x:v>
      </x:c>
      <x:c r="P403" s="10" t="str">
        <x:v>Самостоятельное видео</x:v>
      </x:c>
      <x:c r="Q403" s="9" t="str">
        <x:v>Нет</x:v>
      </x:c>
      <x:c r="R403" s="9" t="str">
        <x:v>C024</x:v>
      </x:c>
      <x:c r="S403" s="9" t="str">
        <x:v>C024</x:v>
      </x:c>
      <x:c r="T403" s="10" t="str">
        <x:v>כאן 11 - תאגיד השידור הישראלי</x:v>
      </x:c>
      <x:c r="U403" s="11" t="str">
        <x:v>https://www.youtube.com/watch?v=FCBZ3-OhdvE</x:v>
      </x:c>
      <x:c r="V403" s="16" t="n">
        <x:v>46308</x:v>
      </x:c>
      <x:c r="W403" s="16"/>
      <x:c r="X403" s="10" t="str">
        <x:v>Иврит предполагается по заголовку и источнику</x:v>
      </x:c>
      <x:c r="Y403" s="10" t="str">
        <x:v>Не проверено</x:v>
      </x:c>
      <x:c r="Z403" s="10" t="str">
        <x:v>Не проверено</x:v>
      </x:c>
      <x:c r="AA403" s="10" t="str">
        <x:v>Метаданные списка; видео не просмотрено</x:v>
      </x:c>
      <x:c r="AB403" s="13" t="str">
        <x:f>IF(AND(ISNUMBER(H403),ISNUMBER(W403)),H403/MAX(1,'Обзор'!$B$4-W403),"")</x:f>
      </x:c>
      <x:c r="AC403" s="17" t="str">
        <x:v>Не решено</x:v>
      </x:c>
      <x:c r="AD403" s="17" t="str">
        <x:v>Не проверено</x:v>
      </x:c>
      <x:c r="AE403" s="17" t="str">
        <x:v>Не проверено</x:v>
      </x:c>
      <x:c r="AF403" s="17" t="str">
        <x:v>Не проверено</x:v>
      </x:c>
      <x:c r="AG403" s="17" t="str">
        <x:v>Не решено</x:v>
      </x:c>
      <x:c r="AH403" s="17" t="str">
        <x:v>Не проверено</x:v>
      </x:c>
      <x:c r="AI403" s="10" t="str">
        <x:f>IF(AC403="Отклонить","Отклонено",IF(AND(AC403="Взять",COUNTIFS(AD403:AH403,"Да")=5),"Готово","Нужна редактура"))</x:f>
        <x:v>Нужна редактура</x:v>
      </x:c>
      <x:c r="AJ403" s="17" t="str"/>
      <x:c r="AK403" s="9" t="str">
        <x:v>https://www.youtube.com/playlist?list=PLLttfoK87AdWrWu2QdWP-CeKoaxxtV9pr</x:v>
      </x:c>
      <x:c r="AL403" s="9" t="n">
        <x:v>13</x:v>
      </x:c>
      <x:c r="AM403" s="9"/>
      <x:c r="AN403" s="9"/>
    </x:row>
    <x:row r="404" ht="60" customHeight="1">
      <x:c r="A404" s="9" t="str">
        <x:v>c6cW-luHe70</x:v>
      </x:c>
      <x:c r="B404" s="10" t="str">
        <x:v>שום פלפל ושמן זית עונה 3 | טל פרידמן</x:v>
      </x:c>
      <x:c r="C404" s="10" t="str">
        <x:v>Еда и повседневность</x:v>
      </x:c>
      <x:c r="D404" s="9" t="str">
        <x:v>Быт</x:v>
      </x:c>
      <x:c r="E404" s="10" t="str">
        <x:v>Кулинария; взрослые; семейный просмотр</x:v>
      </x:c>
      <x:c r="F404" s="10" t="str">
        <x:v>B1–B2 (гипотеза)</x:v>
      </x:c>
      <x:c r="G404" s="12" t="n">
        <x:v>40.1</x:v>
      </x:c>
      <x:c r="H404" s="14" t="n">
        <x:v>44613</x:v>
      </x:c>
      <x:c r="I404" s="15" t="str">
        <x:v>Точный счётчик метаданных видео</x:v>
      </x:c>
      <x:c r="J404" s="14" t="n">
        <x:v>44000</x:v>
      </x:c>
      <x:c r="K404" s="14" t="n">
        <x:v>32000</x:v>
      </x:c>
      <x:c r="L404" s="12" t="n">
        <x:f>IF(COUNT(J404:K404)=2,IF(K404=0,"",J404/K404),"")</x:f>
        <x:v>1.375</x:v>
      </x:c>
      <x:c r="M404" s="10" t="str">
        <x:v>Тема: שום פלפל ושמן זית עונה 3 | טל פרידמן.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04" s="10" t="str">
        <x:v>Пересказать рецепт в повелительном наклонении и связках сначала/потом.</x:v>
      </x:c>
      <x:c r="O404" s="10" t="str">
        <x:v>Проверить содержание</x:v>
      </x:c>
      <x:c r="P404" s="10" t="str">
        <x:v>Самостоятельное видео</x:v>
      </x:c>
      <x:c r="Q404" s="9" t="str">
        <x:v>Нет</x:v>
      </x:c>
      <x:c r="R404" s="9" t="str">
        <x:v>C024</x:v>
      </x:c>
      <x:c r="S404" s="9" t="str">
        <x:v>C024</x:v>
      </x:c>
      <x:c r="T404" s="10" t="str">
        <x:v>כאן 11 - תאגיד השידור הישראלי</x:v>
      </x:c>
      <x:c r="U404" s="11" t="str">
        <x:v>https://www.youtube.com/watch?v=c6cW-luHe70</x:v>
      </x:c>
      <x:c r="V404" s="16" t="n">
        <x:v>46308</x:v>
      </x:c>
      <x:c r="W404" s="16" t="n">
        <x:v>46171</x:v>
      </x:c>
      <x:c r="X404" s="10" t="str">
        <x:v>Иврит предполагается по заголовку и источнику</x:v>
      </x:c>
      <x:c r="Y404" s="10" t="str">
        <x:v>Автоматическая дорожка HE по метаданным</x:v>
      </x:c>
      <x:c r="Z404" s="10" t="str">
        <x:v>Разрешено по метаданным</x:v>
      </x:c>
      <x:c r="AA404" s="10" t="str">
        <x:v>Метаданные видео; воспроизведение и содержание не проверены</x:v>
      </x:c>
      <x:c r="AB404" s="13" t="n">
        <x:f>IF(AND(ISNUMBER(H404),ISNUMBER(W404)),H404/MAX(1,'Обзор'!$B$4-W404),"")</x:f>
        <x:v>325.64233576642334</x:v>
      </x:c>
      <x:c r="AC404" s="17" t="str">
        <x:v>Не решено</x:v>
      </x:c>
      <x:c r="AD404" s="17" t="str">
        <x:v>Не проверено</x:v>
      </x:c>
      <x:c r="AE404" s="17" t="str">
        <x:v>Не проверено</x:v>
      </x:c>
      <x:c r="AF404" s="17" t="str">
        <x:v>Не проверено</x:v>
      </x:c>
      <x:c r="AG404" s="17" t="str">
        <x:v>Не решено</x:v>
      </x:c>
      <x:c r="AH404" s="17" t="str">
        <x:v>Не проверено</x:v>
      </x:c>
      <x:c r="AI404" s="10" t="str">
        <x:f>IF(AC404="Отклонить","Отклонено",IF(AND(AC404="Взять",COUNTIFS(AD404:AH404,"Да")=5),"Готово","Нужна редактура"))</x:f>
        <x:v>Нужна редактура</x:v>
      </x:c>
      <x:c r="AJ404" s="17" t="str"/>
      <x:c r="AK404" s="9" t="str">
        <x:v>https://www.youtube.com/playlist?list=PLLttfoK87AdWrWu2QdWP-CeKoaxxtV9pr</x:v>
      </x:c>
      <x:c r="AL404" s="9" t="n">
        <x:v>14</x:v>
      </x:c>
      <x:c r="AM404" s="9"/>
      <x:c r="AN404" s="9" t="n">
        <x:v>0</x:v>
      </x:c>
    </x:row>
    <x:row r="405" ht="60" customHeight="1">
      <x:c r="A405" s="9" t="str">
        <x:v>bHUv8u9lrOE</x:v>
      </x:c>
      <x:c r="B405" s="10" t="str">
        <x:v>שום פלפל ושמן זית עונה 3 | נטע ברזילי</x:v>
      </x:c>
      <x:c r="C405" s="10" t="str">
        <x:v>Еда и повседневность</x:v>
      </x:c>
      <x:c r="D405" s="9" t="str">
        <x:v>Быт</x:v>
      </x:c>
      <x:c r="E405" s="10" t="str">
        <x:v>Кулинария; взрослые; семейный просмотр</x:v>
      </x:c>
      <x:c r="F405" s="10" t="str">
        <x:v>B1–B2 (гипотеза)</x:v>
      </x:c>
      <x:c r="G405" s="12" t="n">
        <x:v>39.7</x:v>
      </x:c>
      <x:c r="H405" s="14" t="n">
        <x:v>34733</x:v>
      </x:c>
      <x:c r="I405" s="15" t="str">
        <x:v>Точный счётчик метаданных видео</x:v>
      </x:c>
      <x:c r="J405" s="14" t="n">
        <x:v>34000</x:v>
      </x:c>
      <x:c r="K405" s="14" t="n">
        <x:v>32000</x:v>
      </x:c>
      <x:c r="L405" s="12" t="n">
        <x:f>IF(COUNT(J405:K405)=2,IF(K405=0,"",J405/K405),"")</x:f>
        <x:v>1.0625</x:v>
      </x:c>
      <x:c r="M405" s="10" t="str">
        <x:v>Тема: שום פלפל ושמן זית עונה 3 | נטע ברזילי.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05" s="10" t="str">
        <x:v>Пересказать рецепт в повелительном наклонении и связках сначала/потом.</x:v>
      </x:c>
      <x:c r="O405" s="10" t="str">
        <x:v>Проверить содержание</x:v>
      </x:c>
      <x:c r="P405" s="10" t="str">
        <x:v>Самостоятельное видео</x:v>
      </x:c>
      <x:c r="Q405" s="9" t="str">
        <x:v>Нет</x:v>
      </x:c>
      <x:c r="R405" s="9" t="str">
        <x:v>C024</x:v>
      </x:c>
      <x:c r="S405" s="9" t="str">
        <x:v>C024</x:v>
      </x:c>
      <x:c r="T405" s="10" t="str">
        <x:v>כאן 11 - תאגיד השידור הישראלי</x:v>
      </x:c>
      <x:c r="U405" s="11" t="str">
        <x:v>https://www.youtube.com/watch?v=bHUv8u9lrOE</x:v>
      </x:c>
      <x:c r="V405" s="16" t="n">
        <x:v>46308</x:v>
      </x:c>
      <x:c r="W405" s="16" t="n">
        <x:v>46157</x:v>
      </x:c>
      <x:c r="X405" s="10" t="str">
        <x:v>Иврит предполагается по заголовку и источнику</x:v>
      </x:c>
      <x:c r="Y405" s="10" t="str">
        <x:v>Автоматическая дорожка HE по метаданным</x:v>
      </x:c>
      <x:c r="Z405" s="10" t="str">
        <x:v>Разрешено по метаданным</x:v>
      </x:c>
      <x:c r="AA405" s="10" t="str">
        <x:v>Метаданные видео; воспроизведение и содержание не проверены</x:v>
      </x:c>
      <x:c r="AB405" s="13" t="n">
        <x:f>IF(AND(ISNUMBER(H405),ISNUMBER(W405)),H405/MAX(1,'Обзор'!$B$4-W405),"")</x:f>
        <x:v>230.01986754966887</x:v>
      </x:c>
      <x:c r="AC405" s="17" t="str">
        <x:v>Не решено</x:v>
      </x:c>
      <x:c r="AD405" s="17" t="str">
        <x:v>Не проверено</x:v>
      </x:c>
      <x:c r="AE405" s="17" t="str">
        <x:v>Не проверено</x:v>
      </x:c>
      <x:c r="AF405" s="17" t="str">
        <x:v>Не проверено</x:v>
      </x:c>
      <x:c r="AG405" s="17" t="str">
        <x:v>Не решено</x:v>
      </x:c>
      <x:c r="AH405" s="17" t="str">
        <x:v>Не проверено</x:v>
      </x:c>
      <x:c r="AI405" s="10" t="str">
        <x:f>IF(AC405="Отклонить","Отклонено",IF(AND(AC405="Взять",COUNTIFS(AD405:AH405,"Да")=5),"Готово","Нужна редактура"))</x:f>
        <x:v>Нужна редактура</x:v>
      </x:c>
      <x:c r="AJ405" s="17" t="str"/>
      <x:c r="AK405" s="9" t="str">
        <x:v>https://www.youtube.com/playlist?list=PLLttfoK87AdWrWu2QdWP-CeKoaxxtV9pr</x:v>
      </x:c>
      <x:c r="AL405" s="9" t="n">
        <x:v>15</x:v>
      </x:c>
      <x:c r="AM405" s="9"/>
      <x:c r="AN405" s="9" t="n">
        <x:v>0</x:v>
      </x:c>
    </x:row>
    <x:row r="406" ht="60" customHeight="1">
      <x:c r="A406" s="9" t="str">
        <x:v>vanDAOz2SCM</x:v>
      </x:c>
      <x:c r="B406" s="10" t="str">
        <x:v>שום פלפל ושמן זית עונה 3 | מאיה בצלאל עסיס</x:v>
      </x:c>
      <x:c r="C406" s="10" t="str">
        <x:v>Еда и повседневность</x:v>
      </x:c>
      <x:c r="D406" s="9" t="str">
        <x:v>Быт</x:v>
      </x:c>
      <x:c r="E406" s="10" t="str">
        <x:v>Кулинария; взрослые; семейный просмотр</x:v>
      </x:c>
      <x:c r="F406" s="10" t="str">
        <x:v>B1–B2 (гипотеза)</x:v>
      </x:c>
      <x:c r="G406" s="12" t="n">
        <x:v>41.8</x:v>
      </x:c>
      <x:c r="H406" s="14" t="n">
        <x:v>25000</x:v>
      </x:c>
      <x:c r="I406" s="15" t="str">
        <x:v>Округлённый счётчик в списке YouTube</x:v>
      </x:c>
      <x:c r="J406" s="14" t="n">
        <x:v>25000</x:v>
      </x:c>
      <x:c r="K406" s="14" t="n">
        <x:v>32000</x:v>
      </x:c>
      <x:c r="L406" s="12" t="n">
        <x:f>IF(COUNT(J406:K406)=2,IF(K406=0,"",J406/K406),"")</x:f>
        <x:v>0.78125</x:v>
      </x:c>
      <x:c r="M406" s="10" t="str">
        <x:v>Тема: שום פלפל ושמן זית עונה 3 | מאיה בצלאל עסיס.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06" s="10" t="str">
        <x:v>Пересказать рецепт в повелительном наклонении и связках сначала/потом.</x:v>
      </x:c>
      <x:c r="O406" s="10" t="str">
        <x:v>Проверить содержание</x:v>
      </x:c>
      <x:c r="P406" s="10" t="str">
        <x:v>Самостоятельное видео</x:v>
      </x:c>
      <x:c r="Q406" s="9" t="str">
        <x:v>Нет</x:v>
      </x:c>
      <x:c r="R406" s="9" t="str">
        <x:v>C024</x:v>
      </x:c>
      <x:c r="S406" s="9" t="str">
        <x:v>C024</x:v>
      </x:c>
      <x:c r="T406" s="10" t="str">
        <x:v>כאן 11 - תאגיד השידור הישראלי</x:v>
      </x:c>
      <x:c r="U406" s="11" t="str">
        <x:v>https://www.youtube.com/watch?v=vanDAOz2SCM</x:v>
      </x:c>
      <x:c r="V406" s="16" t="n">
        <x:v>46308</x:v>
      </x:c>
      <x:c r="W406" s="16"/>
      <x:c r="X406" s="10" t="str">
        <x:v>Иврит предполагается по заголовку и источнику</x:v>
      </x:c>
      <x:c r="Y406" s="10" t="str">
        <x:v>Не проверено</x:v>
      </x:c>
      <x:c r="Z406" s="10" t="str">
        <x:v>Не проверено</x:v>
      </x:c>
      <x:c r="AA406" s="10" t="str">
        <x:v>Метаданные списка; видео не просмотрено</x:v>
      </x:c>
      <x:c r="AB406" s="13" t="str">
        <x:f>IF(AND(ISNUMBER(H406),ISNUMBER(W406)),H406/MAX(1,'Обзор'!$B$4-W406),"")</x:f>
      </x:c>
      <x:c r="AC406" s="17" t="str">
        <x:v>Не решено</x:v>
      </x:c>
      <x:c r="AD406" s="17" t="str">
        <x:v>Не проверено</x:v>
      </x:c>
      <x:c r="AE406" s="17" t="str">
        <x:v>Не проверено</x:v>
      </x:c>
      <x:c r="AF406" s="17" t="str">
        <x:v>Не проверено</x:v>
      </x:c>
      <x:c r="AG406" s="17" t="str">
        <x:v>Не решено</x:v>
      </x:c>
      <x:c r="AH406" s="17" t="str">
        <x:v>Не проверено</x:v>
      </x:c>
      <x:c r="AI406" s="10" t="str">
        <x:f>IF(AC406="Отклонить","Отклонено",IF(AND(AC406="Взять",COUNTIFS(AD406:AH406,"Да")=5),"Готово","Нужна редактура"))</x:f>
        <x:v>Нужна редактура</x:v>
      </x:c>
      <x:c r="AJ406" s="17" t="str"/>
      <x:c r="AK406" s="9" t="str">
        <x:v>https://www.youtube.com/playlist?list=PLLttfoK87AdWrWu2QdWP-CeKoaxxtV9pr</x:v>
      </x:c>
      <x:c r="AL406" s="9" t="n">
        <x:v>16</x:v>
      </x:c>
      <x:c r="AM406" s="9"/>
      <x:c r="AN406" s="9"/>
    </x:row>
    <x:row r="407" ht="60" customHeight="1">
      <x:c r="A407" s="9" t="str">
        <x:v>v-DfBEdw64w</x:v>
      </x:c>
      <x:c r="B407" s="10" t="str">
        <x:v>שום פלפל ושמן זית עונה 3 | גורי אלפי</x:v>
      </x:c>
      <x:c r="C407" s="10" t="str">
        <x:v>Еда и повседневность</x:v>
      </x:c>
      <x:c r="D407" s="9" t="str">
        <x:v>Быт</x:v>
      </x:c>
      <x:c r="E407" s="10" t="str">
        <x:v>Кулинария; взрослые; семейный просмотр</x:v>
      </x:c>
      <x:c r="F407" s="10" t="str">
        <x:v>B1–B2 (гипотеза)</x:v>
      </x:c>
      <x:c r="G407" s="12" t="n">
        <x:v>41</x:v>
      </x:c>
      <x:c r="H407" s="14" t="n">
        <x:v>49100</x:v>
      </x:c>
      <x:c r="I407" s="15" t="str">
        <x:v>Точный счётчик метаданных видео</x:v>
      </x:c>
      <x:c r="J407" s="14" t="n">
        <x:v>49000</x:v>
      </x:c>
      <x:c r="K407" s="14" t="n">
        <x:v>32000</x:v>
      </x:c>
      <x:c r="L407" s="12" t="n">
        <x:f>IF(COUNT(J407:K407)=2,IF(K407=0,"",J407/K407),"")</x:f>
        <x:v>1.53125</x:v>
      </x:c>
      <x:c r="M407" s="10" t="str">
        <x:v>Тема: שום פלפל ושמן זית עונה 3 | גורי אלפי. Просмотры в списке выше медианы выборки этого цикла в 1.53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07" s="10" t="str">
        <x:v>Пересказать рецепт в повелительном наклонении и связках сначала/потом.</x:v>
      </x:c>
      <x:c r="O407" s="10" t="str">
        <x:v>Проверить содержание</x:v>
      </x:c>
      <x:c r="P407" s="10" t="str">
        <x:v>Самостоятельное видео</x:v>
      </x:c>
      <x:c r="Q407" s="9" t="str">
        <x:v>Нет</x:v>
      </x:c>
      <x:c r="R407" s="9" t="str">
        <x:v>C024</x:v>
      </x:c>
      <x:c r="S407" s="9" t="str">
        <x:v>C024</x:v>
      </x:c>
      <x:c r="T407" s="10" t="str">
        <x:v>כאן 11 - תאגיד השידור הישראלי</x:v>
      </x:c>
      <x:c r="U407" s="11" t="str">
        <x:v>https://www.youtube.com/watch?v=v-DfBEdw64w</x:v>
      </x:c>
      <x:c r="V407" s="16" t="n">
        <x:v>46308</x:v>
      </x:c>
      <x:c r="W407" s="16" t="n">
        <x:v>46143</x:v>
      </x:c>
      <x:c r="X407" s="10" t="str">
        <x:v>Иврит предполагается по заголовку и источнику</x:v>
      </x:c>
      <x:c r="Y407" s="10" t="str">
        <x:v>Автоматическая дорожка HE по метаданным</x:v>
      </x:c>
      <x:c r="Z407" s="10" t="str">
        <x:v>Разрешено по метаданным</x:v>
      </x:c>
      <x:c r="AA407" s="10" t="str">
        <x:v>Метаданные видео; воспроизведение и содержание не проверены</x:v>
      </x:c>
      <x:c r="AB407" s="13" t="n">
        <x:f>IF(AND(ISNUMBER(H407),ISNUMBER(W407)),H407/MAX(1,'Обзор'!$B$4-W407),"")</x:f>
        <x:v>297.57575757575756</x:v>
      </x:c>
      <x:c r="AC407" s="17" t="str">
        <x:v>Не решено</x:v>
      </x:c>
      <x:c r="AD407" s="17" t="str">
        <x:v>Не проверено</x:v>
      </x:c>
      <x:c r="AE407" s="17" t="str">
        <x:v>Не проверено</x:v>
      </x:c>
      <x:c r="AF407" s="17" t="str">
        <x:v>Не проверено</x:v>
      </x:c>
      <x:c r="AG407" s="17" t="str">
        <x:v>Не решено</x:v>
      </x:c>
      <x:c r="AH407" s="17" t="str">
        <x:v>Не проверено</x:v>
      </x:c>
      <x:c r="AI407" s="10" t="str">
        <x:f>IF(AC407="Отклонить","Отклонено",IF(AND(AC407="Взять",COUNTIFS(AD407:AH407,"Да")=5),"Готово","Нужна редактура"))</x:f>
        <x:v>Нужна редактура</x:v>
      </x:c>
      <x:c r="AJ407" s="17" t="str"/>
      <x:c r="AK407" s="9" t="str">
        <x:v>https://www.youtube.com/playlist?list=PLLttfoK87AdWrWu2QdWP-CeKoaxxtV9pr</x:v>
      </x:c>
      <x:c r="AL407" s="9" t="n">
        <x:v>17</x:v>
      </x:c>
      <x:c r="AM407" s="9"/>
      <x:c r="AN407" s="9" t="n">
        <x:v>0</x:v>
      </x:c>
    </x:row>
    <x:row r="408" ht="60" customHeight="1">
      <x:c r="A408" s="9" t="str">
        <x:v>_aACQxRTbr4</x:v>
      </x:c>
      <x:c r="B408" s="10" t="str">
        <x:v>שום פלפל ושמן זית עונה 3 | איתי לוי</x:v>
      </x:c>
      <x:c r="C408" s="10" t="str">
        <x:v>Еда и повседневность</x:v>
      </x:c>
      <x:c r="D408" s="9" t="str">
        <x:v>Быт</x:v>
      </x:c>
      <x:c r="E408" s="10" t="str">
        <x:v>Кулинария; взрослые; семейный просмотр</x:v>
      </x:c>
      <x:c r="F408" s="10" t="str">
        <x:v>B1–B2 (гипотеза)</x:v>
      </x:c>
      <x:c r="G408" s="12" t="n">
        <x:v>41.5</x:v>
      </x:c>
      <x:c r="H408" s="14" t="n">
        <x:v>60636</x:v>
      </x:c>
      <x:c r="I408" s="15" t="str">
        <x:v>Точный счётчик метаданных видео</x:v>
      </x:c>
      <x:c r="J408" s="14" t="n">
        <x:v>60000</x:v>
      </x:c>
      <x:c r="K408" s="14" t="n">
        <x:v>32000</x:v>
      </x:c>
      <x:c r="L408" s="12" t="n">
        <x:f>IF(COUNT(J408:K408)=2,IF(K408=0,"",J408/K408),"")</x:f>
        <x:v>1.875</x:v>
      </x:c>
      <x:c r="M408" s="10" t="str">
        <x:v>Тема: שום פלפל ושמן זית עונה 3 | איתי לוי. Просмотры в списке выше медианы выборки этого цикла в 1.88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08" s="10" t="str">
        <x:v>Пересказать рецепт в повелительном наклонении и связках сначала/потом.</x:v>
      </x:c>
      <x:c r="O408" s="10" t="str">
        <x:v>Проверить содержание</x:v>
      </x:c>
      <x:c r="P408" s="10" t="str">
        <x:v>Самостоятельное видео</x:v>
      </x:c>
      <x:c r="Q408" s="9" t="str">
        <x:v>Нет</x:v>
      </x:c>
      <x:c r="R408" s="9" t="str">
        <x:v>C024</x:v>
      </x:c>
      <x:c r="S408" s="9" t="str">
        <x:v>C024</x:v>
      </x:c>
      <x:c r="T408" s="10" t="str">
        <x:v>כאן 11 - תאגיד השידור הישראלי</x:v>
      </x:c>
      <x:c r="U408" s="11" t="str">
        <x:v>https://www.youtube.com/watch?v=_aACQxRTbr4</x:v>
      </x:c>
      <x:c r="V408" s="16" t="n">
        <x:v>46308</x:v>
      </x:c>
      <x:c r="W408" s="16" t="n">
        <x:v>46136</x:v>
      </x:c>
      <x:c r="X408" s="10" t="str">
        <x:v>Иврит предполагается по заголовку и источнику</x:v>
      </x:c>
      <x:c r="Y408" s="10" t="str">
        <x:v>Автоматическая дорожка HE по метаданным</x:v>
      </x:c>
      <x:c r="Z408" s="10" t="str">
        <x:v>Разрешено по метаданным</x:v>
      </x:c>
      <x:c r="AA408" s="10" t="str">
        <x:v>Метаданные видео; воспроизведение и содержание не проверены</x:v>
      </x:c>
      <x:c r="AB408" s="13" t="n">
        <x:f>IF(AND(ISNUMBER(H408),ISNUMBER(W408)),H408/MAX(1,'Обзор'!$B$4-W408),"")</x:f>
        <x:v>352.5348837209302</x:v>
      </x:c>
      <x:c r="AC408" s="17" t="str">
        <x:v>Не решено</x:v>
      </x:c>
      <x:c r="AD408" s="17" t="str">
        <x:v>Не проверено</x:v>
      </x:c>
      <x:c r="AE408" s="17" t="str">
        <x:v>Не проверено</x:v>
      </x:c>
      <x:c r="AF408" s="17" t="str">
        <x:v>Не проверено</x:v>
      </x:c>
      <x:c r="AG408" s="17" t="str">
        <x:v>Не решено</x:v>
      </x:c>
      <x:c r="AH408" s="17" t="str">
        <x:v>Не проверено</x:v>
      </x:c>
      <x:c r="AI408" s="10" t="str">
        <x:f>IF(AC408="Отклонить","Отклонено",IF(AND(AC408="Взять",COUNTIFS(AD408:AH408,"Да")=5),"Готово","Нужна редактура"))</x:f>
        <x:v>Нужна редактура</x:v>
      </x:c>
      <x:c r="AJ408" s="17" t="str"/>
      <x:c r="AK408" s="9" t="str">
        <x:v>https://www.youtube.com/playlist?list=PLLttfoK87AdWrWu2QdWP-CeKoaxxtV9pr</x:v>
      </x:c>
      <x:c r="AL408" s="9" t="n">
        <x:v>18</x:v>
      </x:c>
      <x:c r="AM408" s="9"/>
      <x:c r="AN408" s="9" t="n">
        <x:v>0</x:v>
      </x:c>
    </x:row>
    <x:row r="409" ht="60" customHeight="1">
      <x:c r="A409" s="9" t="str">
        <x:v>Cimr2HIVlgs</x:v>
      </x:c>
      <x:c r="B409" s="10" t="str">
        <x:v>שום פלפל ושמן זית עונה 3 | מיכל הרצוג - פרק מיוחד ליום העצמאות</x:v>
      </x:c>
      <x:c r="C409" s="10" t="str">
        <x:v>Еда и повседневность</x:v>
      </x:c>
      <x:c r="D409" s="9" t="str">
        <x:v>Быт</x:v>
      </x:c>
      <x:c r="E409" s="10" t="str">
        <x:v>Кулинария; взрослые; семейный просмотр</x:v>
      </x:c>
      <x:c r="F409" s="10" t="str">
        <x:v>B1–B2 (гипотеза)</x:v>
      </x:c>
      <x:c r="G409" s="12" t="n">
        <x:v>40.3</x:v>
      </x:c>
      <x:c r="H409" s="14" t="n">
        <x:v>19000</x:v>
      </x:c>
      <x:c r="I409" s="15" t="str">
        <x:v>Округлённый счётчик в списке YouTube</x:v>
      </x:c>
      <x:c r="J409" s="14" t="n">
        <x:v>19000</x:v>
      </x:c>
      <x:c r="K409" s="14" t="n">
        <x:v>32000</x:v>
      </x:c>
      <x:c r="L409" s="12" t="n">
        <x:f>IF(COUNT(J409:K409)=2,IF(K409=0,"",J409/K409),"")</x:f>
        <x:v>0.59375</x:v>
      </x:c>
      <x:c r="M409" s="10" t="str">
        <x:v>Тема: שום פלפל ושמן זית עונה 3 | מיכל הרצוג - פרק מיוחד ליום העצמאות.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09" s="10" t="str">
        <x:v>Пересказать рецепт в повелительном наклонении и связках сначала/потом.</x:v>
      </x:c>
      <x:c r="O409" s="10" t="str">
        <x:v>Проверить содержание</x:v>
      </x:c>
      <x:c r="P409" s="10" t="str">
        <x:v>Самостоятельное видео</x:v>
      </x:c>
      <x:c r="Q409" s="9" t="str">
        <x:v>Нет</x:v>
      </x:c>
      <x:c r="R409" s="9" t="str">
        <x:v>C024</x:v>
      </x:c>
      <x:c r="S409" s="9" t="str">
        <x:v>C024</x:v>
      </x:c>
      <x:c r="T409" s="10" t="str">
        <x:v>כאן 11 - תאגיד השידור הישראלי</x:v>
      </x:c>
      <x:c r="U409" s="11" t="str">
        <x:v>https://www.youtube.com/watch?v=Cimr2HIVlgs</x:v>
      </x:c>
      <x:c r="V409" s="16" t="n">
        <x:v>46308</x:v>
      </x:c>
      <x:c r="W409" s="16"/>
      <x:c r="X409" s="10" t="str">
        <x:v>Иврит предполагается по заголовку и источнику</x:v>
      </x:c>
      <x:c r="Y409" s="10" t="str">
        <x:v>Не проверено</x:v>
      </x:c>
      <x:c r="Z409" s="10" t="str">
        <x:v>Не проверено</x:v>
      </x:c>
      <x:c r="AA409" s="10" t="str">
        <x:v>Метаданные списка; видео не просмотрено</x:v>
      </x:c>
      <x:c r="AB409" s="13" t="str">
        <x:f>IF(AND(ISNUMBER(H409),ISNUMBER(W409)),H409/MAX(1,'Обзор'!$B$4-W409),"")</x:f>
      </x:c>
      <x:c r="AC409" s="17" t="str">
        <x:v>Не решено</x:v>
      </x:c>
      <x:c r="AD409" s="17" t="str">
        <x:v>Не проверено</x:v>
      </x:c>
      <x:c r="AE409" s="17" t="str">
        <x:v>Не проверено</x:v>
      </x:c>
      <x:c r="AF409" s="17" t="str">
        <x:v>Не проверено</x:v>
      </x:c>
      <x:c r="AG409" s="17" t="str">
        <x:v>Не решено</x:v>
      </x:c>
      <x:c r="AH409" s="17" t="str">
        <x:v>Не проверено</x:v>
      </x:c>
      <x:c r="AI409" s="10" t="str">
        <x:f>IF(AC409="Отклонить","Отклонено",IF(AND(AC409="Взять",COUNTIFS(AD409:AH409,"Да")=5),"Готово","Нужна редактура"))</x:f>
        <x:v>Нужна редактура</x:v>
      </x:c>
      <x:c r="AJ409" s="17" t="str"/>
      <x:c r="AK409" s="9" t="str">
        <x:v>https://www.youtube.com/playlist?list=PLLttfoK87AdWrWu2QdWP-CeKoaxxtV9pr</x:v>
      </x:c>
      <x:c r="AL409" s="9" t="n">
        <x:v>19</x:v>
      </x:c>
      <x:c r="AM409" s="9"/>
      <x:c r="AN409" s="9"/>
    </x:row>
    <x:row r="410" ht="60" customHeight="1">
      <x:c r="A410" s="9" t="str">
        <x:v>SIK7AHCJ2Gk</x:v>
      </x:c>
      <x:c r="B410" s="10" t="str">
        <x:v>שום פלפל ושמן זית עונה 3 | ציפי שביט</x:v>
      </x:c>
      <x:c r="C410" s="10" t="str">
        <x:v>Еда и повседневность</x:v>
      </x:c>
      <x:c r="D410" s="9" t="str">
        <x:v>Быт</x:v>
      </x:c>
      <x:c r="E410" s="10" t="str">
        <x:v>Кулинария; взрослые; семейный просмотр</x:v>
      </x:c>
      <x:c r="F410" s="10" t="str">
        <x:v>B1–B2 (гипотеза)</x:v>
      </x:c>
      <x:c r="G410" s="12" t="n">
        <x:v>41</x:v>
      </x:c>
      <x:c r="H410" s="14" t="n">
        <x:v>49244</x:v>
      </x:c>
      <x:c r="I410" s="15" t="str">
        <x:v>Точный счётчик метаданных видео</x:v>
      </x:c>
      <x:c r="J410" s="14" t="n">
        <x:v>49000</x:v>
      </x:c>
      <x:c r="K410" s="14" t="n">
        <x:v>32000</x:v>
      </x:c>
      <x:c r="L410" s="12" t="n">
        <x:f>IF(COUNT(J410:K410)=2,IF(K410=0,"",J410/K410),"")</x:f>
        <x:v>1.53125</x:v>
      </x:c>
      <x:c r="M410" s="10" t="str">
        <x:v>Тема: שום פלפל ושמן זית עונה 3 | ציפי שביט. Просмотры в списке выше медианы выборки этого цикла в 1.53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10" s="10" t="str">
        <x:v>Пересказать рецепт в повелительном наклонении и связках сначала/потом.</x:v>
      </x:c>
      <x:c r="O410" s="10" t="str">
        <x:v>Проверить содержание</x:v>
      </x:c>
      <x:c r="P410" s="10" t="str">
        <x:v>Самостоятельное видео</x:v>
      </x:c>
      <x:c r="Q410" s="9" t="str">
        <x:v>Нет</x:v>
      </x:c>
      <x:c r="R410" s="9" t="str">
        <x:v>C024</x:v>
      </x:c>
      <x:c r="S410" s="9" t="str">
        <x:v>C024</x:v>
      </x:c>
      <x:c r="T410" s="10" t="str">
        <x:v>כאן 11 - תאגיד השידור הישראלי</x:v>
      </x:c>
      <x:c r="U410" s="11" t="str">
        <x:v>https://www.youtube.com/watch?v=SIK7AHCJ2Gk</x:v>
      </x:c>
      <x:c r="V410" s="16" t="n">
        <x:v>46308</x:v>
      </x:c>
      <x:c r="W410" s="16" t="n">
        <x:v>46129</x:v>
      </x:c>
      <x:c r="X410" s="10" t="str">
        <x:v>Иврит предполагается по заголовку и источнику</x:v>
      </x:c>
      <x:c r="Y410" s="10" t="str">
        <x:v>Автоматическая дорожка HE по метаданным</x:v>
      </x:c>
      <x:c r="Z410" s="10" t="str">
        <x:v>Разрешено по метаданным</x:v>
      </x:c>
      <x:c r="AA410" s="10" t="str">
        <x:v>Метаданные видео; воспроизведение и содержание не проверены</x:v>
      </x:c>
      <x:c r="AB410" s="13" t="n">
        <x:f>IF(AND(ISNUMBER(H410),ISNUMBER(W410)),H410/MAX(1,'Обзор'!$B$4-W410),"")</x:f>
        <x:v>275.10614525139664</x:v>
      </x:c>
      <x:c r="AC410" s="17" t="str">
        <x:v>Не решено</x:v>
      </x:c>
      <x:c r="AD410" s="17" t="str">
        <x:v>Не проверено</x:v>
      </x:c>
      <x:c r="AE410" s="17" t="str">
        <x:v>Не проверено</x:v>
      </x:c>
      <x:c r="AF410" s="17" t="str">
        <x:v>Не проверено</x:v>
      </x:c>
      <x:c r="AG410" s="17" t="str">
        <x:v>Не решено</x:v>
      </x:c>
      <x:c r="AH410" s="17" t="str">
        <x:v>Не проверено</x:v>
      </x:c>
      <x:c r="AI410" s="10" t="str">
        <x:f>IF(AC410="Отклонить","Отклонено",IF(AND(AC410="Взять",COUNTIFS(AD410:AH410,"Да")=5),"Готово","Нужна редактура"))</x:f>
        <x:v>Нужна редактура</x:v>
      </x:c>
      <x:c r="AJ410" s="17" t="str"/>
      <x:c r="AK410" s="9" t="str">
        <x:v>https://www.youtube.com/playlist?list=PLLttfoK87AdWrWu2QdWP-CeKoaxxtV9pr</x:v>
      </x:c>
      <x:c r="AL410" s="9" t="n">
        <x:v>20</x:v>
      </x:c>
      <x:c r="AM410" s="9"/>
      <x:c r="AN410" s="9" t="n">
        <x:v>0</x:v>
      </x:c>
    </x:row>
    <x:row r="411" ht="60" customHeight="1">
      <x:c r="A411" s="9" t="str">
        <x:v>eie0DI--a3M</x:v>
      </x:c>
      <x:c r="B411" s="10" t="str">
        <x:v>שום פלפל ושמן זית עונה 3 | אמיר שורוש</x:v>
      </x:c>
      <x:c r="C411" s="10" t="str">
        <x:v>Еда и повседневность</x:v>
      </x:c>
      <x:c r="D411" s="9" t="str">
        <x:v>Быт</x:v>
      </x:c>
      <x:c r="E411" s="10" t="str">
        <x:v>Кулинария; взрослые; семейный просмотр</x:v>
      </x:c>
      <x:c r="F411" s="10" t="str">
        <x:v>B1–B2 (гипотеза)</x:v>
      </x:c>
      <x:c r="G411" s="12" t="n">
        <x:v>39.7</x:v>
      </x:c>
      <x:c r="H411" s="14" t="n">
        <x:v>52763</x:v>
      </x:c>
      <x:c r="I411" s="15" t="str">
        <x:v>Точный счётчик метаданных видео</x:v>
      </x:c>
      <x:c r="J411" s="14" t="n">
        <x:v>52000</x:v>
      </x:c>
      <x:c r="K411" s="14" t="n">
        <x:v>32000</x:v>
      </x:c>
      <x:c r="L411" s="12" t="n">
        <x:f>IF(COUNT(J411:K411)=2,IF(K411=0,"",J411/K411),"")</x:f>
        <x:v>1.625</x:v>
      </x:c>
      <x:c r="M411" s="10" t="str">
        <x:v>Тема: שום פלפל ושמן זית עונה 3 | אמיר שורוש. Просмотры в списке выше медианы выборки этого цикла в 1.62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11" s="10" t="str">
        <x:v>Пересказать рецепт в повелительном наклонении и связках сначала/потом.</x:v>
      </x:c>
      <x:c r="O411" s="10" t="str">
        <x:v>Проверить содержание</x:v>
      </x:c>
      <x:c r="P411" s="10" t="str">
        <x:v>Самостоятельное видео</x:v>
      </x:c>
      <x:c r="Q411" s="9" t="str">
        <x:v>Нет</x:v>
      </x:c>
      <x:c r="R411" s="9" t="str">
        <x:v>C024</x:v>
      </x:c>
      <x:c r="S411" s="9" t="str">
        <x:v>C024</x:v>
      </x:c>
      <x:c r="T411" s="10" t="str">
        <x:v>כאן 11 - תאגיד השידור הישראלי</x:v>
      </x:c>
      <x:c r="U411" s="11" t="str">
        <x:v>https://www.youtube.com/watch?v=eie0DI--a3M</x:v>
      </x:c>
      <x:c r="V411" s="16" t="n">
        <x:v>46308</x:v>
      </x:c>
      <x:c r="W411" s="16" t="n">
        <x:v>46122</x:v>
      </x:c>
      <x:c r="X411" s="10" t="str">
        <x:v>Иврит предполагается по заголовку и источнику</x:v>
      </x:c>
      <x:c r="Y411" s="10" t="str">
        <x:v>Автоматическая дорожка HE по метаданным</x:v>
      </x:c>
      <x:c r="Z411" s="10" t="str">
        <x:v>Разрешено по метаданным</x:v>
      </x:c>
      <x:c r="AA411" s="10" t="str">
        <x:v>Метаданные видео; воспроизведение и содержание не проверены</x:v>
      </x:c>
      <x:c r="AB411" s="13" t="n">
        <x:f>IF(AND(ISNUMBER(H411),ISNUMBER(W411)),H411/MAX(1,'Обзор'!$B$4-W411),"")</x:f>
        <x:v>283.6720430107527</x:v>
      </x:c>
      <x:c r="AC411" s="17" t="str">
        <x:v>Не решено</x:v>
      </x:c>
      <x:c r="AD411" s="17" t="str">
        <x:v>Не проверено</x:v>
      </x:c>
      <x:c r="AE411" s="17" t="str">
        <x:v>Не проверено</x:v>
      </x:c>
      <x:c r="AF411" s="17" t="str">
        <x:v>Не проверено</x:v>
      </x:c>
      <x:c r="AG411" s="17" t="str">
        <x:v>Не решено</x:v>
      </x:c>
      <x:c r="AH411" s="17" t="str">
        <x:v>Не проверено</x:v>
      </x:c>
      <x:c r="AI411" s="10" t="str">
        <x:f>IF(AC411="Отклонить","Отклонено",IF(AND(AC411="Взять",COUNTIFS(AD411:AH411,"Да")=5),"Готово","Нужна редактура"))</x:f>
        <x:v>Нужна редактура</x:v>
      </x:c>
      <x:c r="AJ411" s="17" t="str"/>
      <x:c r="AK411" s="9" t="str">
        <x:v>https://www.youtube.com/playlist?list=PLLttfoK87AdWrWu2QdWP-CeKoaxxtV9pr</x:v>
      </x:c>
      <x:c r="AL411" s="9" t="n">
        <x:v>21</x:v>
      </x:c>
      <x:c r="AM411" s="9"/>
      <x:c r="AN411" s="9" t="n">
        <x:v>0</x:v>
      </x:c>
    </x:row>
    <x:row r="412" ht="60" customHeight="1">
      <x:c r="A412" s="9" t="str">
        <x:v>13URuxAdYq0</x:v>
      </x:c>
      <x:c r="B412" s="10" t="str">
        <x:v>שום פלפל ושמן זית עונה 2 | יגאל עדיקא - פרק אחרון לעונה</x:v>
      </x:c>
      <x:c r="C412" s="10" t="str">
        <x:v>Еда и повседневность</x:v>
      </x:c>
      <x:c r="D412" s="9" t="str">
        <x:v>Быт</x:v>
      </x:c>
      <x:c r="E412" s="10" t="str">
        <x:v>Кулинария; взрослые; семейный просмотр</x:v>
      </x:c>
      <x:c r="F412" s="10" t="str">
        <x:v>B1–B2 (гипотеза)</x:v>
      </x:c>
      <x:c r="G412" s="12" t="n">
        <x:v>39.6</x:v>
      </x:c>
      <x:c r="H412" s="14" t="n">
        <x:v>32000</x:v>
      </x:c>
      <x:c r="I412" s="15" t="str">
        <x:v>Округлённый счётчик в списке YouTube</x:v>
      </x:c>
      <x:c r="J412" s="14" t="n">
        <x:v>32000</x:v>
      </x:c>
      <x:c r="K412" s="14" t="n">
        <x:v>32000</x:v>
      </x:c>
      <x:c r="L412" s="12" t="n">
        <x:f>IF(COUNT(J412:K412)=2,IF(K412=0,"",J412/K412),"")</x:f>
        <x:v>1</x:v>
      </x:c>
      <x:c r="M412" s="10" t="str">
        <x:v>Тема: שום פלפל ושמן זית עונה 2 | יגאל עדיקא - פרק אחרון לעונה.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12" s="10" t="str">
        <x:v>Пересказать рецепт в повелительном наклонении и связках сначала/потом.</x:v>
      </x:c>
      <x:c r="O412" s="10" t="str">
        <x:v>Проверить содержание</x:v>
      </x:c>
      <x:c r="P412" s="10" t="str">
        <x:v>Самостоятельное видео</x:v>
      </x:c>
      <x:c r="Q412" s="9" t="str">
        <x:v>Нет</x:v>
      </x:c>
      <x:c r="R412" s="9" t="str">
        <x:v>C024</x:v>
      </x:c>
      <x:c r="S412" s="9" t="str">
        <x:v>C024</x:v>
      </x:c>
      <x:c r="T412" s="10" t="str">
        <x:v>כאן 11 - תאגיד השידור הישראלי</x:v>
      </x:c>
      <x:c r="U412" s="11" t="str">
        <x:v>https://www.youtube.com/watch?v=13URuxAdYq0</x:v>
      </x:c>
      <x:c r="V412" s="16" t="n">
        <x:v>46308</x:v>
      </x:c>
      <x:c r="W412" s="16"/>
      <x:c r="X412" s="10" t="str">
        <x:v>Иврит предполагается по заголовку и источнику</x:v>
      </x:c>
      <x:c r="Y412" s="10" t="str">
        <x:v>Не проверено</x:v>
      </x:c>
      <x:c r="Z412" s="10" t="str">
        <x:v>Не проверено</x:v>
      </x:c>
      <x:c r="AA412" s="10" t="str">
        <x:v>Метаданные списка; видео не просмотрено</x:v>
      </x:c>
      <x:c r="AB412" s="13" t="str">
        <x:f>IF(AND(ISNUMBER(H412),ISNUMBER(W412)),H412/MAX(1,'Обзор'!$B$4-W412),"")</x:f>
      </x:c>
      <x:c r="AC412" s="17" t="str">
        <x:v>Не решено</x:v>
      </x:c>
      <x:c r="AD412" s="17" t="str">
        <x:v>Не проверено</x:v>
      </x:c>
      <x:c r="AE412" s="17" t="str">
        <x:v>Не проверено</x:v>
      </x:c>
      <x:c r="AF412" s="17" t="str">
        <x:v>Не проверено</x:v>
      </x:c>
      <x:c r="AG412" s="17" t="str">
        <x:v>Не решено</x:v>
      </x:c>
      <x:c r="AH412" s="17" t="str">
        <x:v>Не проверено</x:v>
      </x:c>
      <x:c r="AI412" s="10" t="str">
        <x:f>IF(AC412="Отклонить","Отклонено",IF(AND(AC412="Взять",COUNTIFS(AD412:AH412,"Да")=5),"Готово","Нужна редактура"))</x:f>
        <x:v>Нужна редактура</x:v>
      </x:c>
      <x:c r="AJ412" s="17" t="str"/>
      <x:c r="AK412" s="9" t="str">
        <x:v>https://www.youtube.com/playlist?list=PLLttfoK87AdWrWu2QdWP-CeKoaxxtV9pr</x:v>
      </x:c>
      <x:c r="AL412" s="9" t="n">
        <x:v>22</x:v>
      </x:c>
      <x:c r="AM412" s="9"/>
      <x:c r="AN412" s="9"/>
    </x:row>
    <x:row r="413" ht="60" customHeight="1">
      <x:c r="A413" s="9" t="str">
        <x:v>JtK5HeynbQM</x:v>
      </x:c>
      <x:c r="B413" s="10" t="str">
        <x:v>שום פלפל ושמן זית עונה 2 | טלי מורנו</x:v>
      </x:c>
      <x:c r="C413" s="10" t="str">
        <x:v>Еда и повседневность</x:v>
      </x:c>
      <x:c r="D413" s="9" t="str">
        <x:v>Быт</x:v>
      </x:c>
      <x:c r="E413" s="10" t="str">
        <x:v>Кулинария; взрослые; семейный просмотр</x:v>
      </x:c>
      <x:c r="F413" s="10" t="str">
        <x:v>B1–B2 (гипотеза)</x:v>
      </x:c>
      <x:c r="G413" s="12" t="n">
        <x:v>43.2</x:v>
      </x:c>
      <x:c r="H413" s="14" t="n">
        <x:v>27000</x:v>
      </x:c>
      <x:c r="I413" s="15" t="str">
        <x:v>Округлённый счётчик в списке YouTube</x:v>
      </x:c>
      <x:c r="J413" s="14" t="n">
        <x:v>27000</x:v>
      </x:c>
      <x:c r="K413" s="14" t="n">
        <x:v>32000</x:v>
      </x:c>
      <x:c r="L413" s="12" t="n">
        <x:f>IF(COUNT(J413:K413)=2,IF(K413=0,"",J413/K413),"")</x:f>
        <x:v>0.84375</x:v>
      </x:c>
      <x:c r="M413" s="10" t="str">
        <x:v>Тема: שום פלפל ושמן זית עונה 2 | טלי מורנו.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13" s="10" t="str">
        <x:v>Пересказать рецепт в повелительном наклонении и связках сначала/потом.</x:v>
      </x:c>
      <x:c r="O413" s="10" t="str">
        <x:v>Проверить содержание</x:v>
      </x:c>
      <x:c r="P413" s="10" t="str">
        <x:v>Самостоятельное видео</x:v>
      </x:c>
      <x:c r="Q413" s="9" t="str">
        <x:v>Нет</x:v>
      </x:c>
      <x:c r="R413" s="9" t="str">
        <x:v>C024</x:v>
      </x:c>
      <x:c r="S413" s="9" t="str">
        <x:v>C024</x:v>
      </x:c>
      <x:c r="T413" s="10" t="str">
        <x:v>כאן 11 - תאגיד השידור הישראלי</x:v>
      </x:c>
      <x:c r="U413" s="11" t="str">
        <x:v>https://www.youtube.com/watch?v=JtK5HeynbQM</x:v>
      </x:c>
      <x:c r="V413" s="16" t="n">
        <x:v>46308</x:v>
      </x:c>
      <x:c r="W413" s="16"/>
      <x:c r="X413" s="10" t="str">
        <x:v>Иврит предполагается по заголовку и источнику</x:v>
      </x:c>
      <x:c r="Y413" s="10" t="str">
        <x:v>Не проверено</x:v>
      </x:c>
      <x:c r="Z413" s="10" t="str">
        <x:v>Не проверено</x:v>
      </x:c>
      <x:c r="AA413" s="10" t="str">
        <x:v>Метаданные списка; видео не просмотрено</x:v>
      </x:c>
      <x:c r="AB413" s="13" t="str">
        <x:f>IF(AND(ISNUMBER(H413),ISNUMBER(W413)),H413/MAX(1,'Обзор'!$B$4-W413),"")</x:f>
      </x:c>
      <x:c r="AC413" s="17" t="str">
        <x:v>Не решено</x:v>
      </x:c>
      <x:c r="AD413" s="17" t="str">
        <x:v>Не проверено</x:v>
      </x:c>
      <x:c r="AE413" s="17" t="str">
        <x:v>Не проверено</x:v>
      </x:c>
      <x:c r="AF413" s="17" t="str">
        <x:v>Не проверено</x:v>
      </x:c>
      <x:c r="AG413" s="17" t="str">
        <x:v>Не решено</x:v>
      </x:c>
      <x:c r="AH413" s="17" t="str">
        <x:v>Не проверено</x:v>
      </x:c>
      <x:c r="AI413" s="10" t="str">
        <x:f>IF(AC413="Отклонить","Отклонено",IF(AND(AC413="Взять",COUNTIFS(AD413:AH413,"Да")=5),"Готово","Нужна редактура"))</x:f>
        <x:v>Нужна редактура</x:v>
      </x:c>
      <x:c r="AJ413" s="17" t="str"/>
      <x:c r="AK413" s="9" t="str">
        <x:v>https://www.youtube.com/playlist?list=PLLttfoK87AdWrWu2QdWP-CeKoaxxtV9pr</x:v>
      </x:c>
      <x:c r="AL413" s="9" t="n">
        <x:v>23</x:v>
      </x:c>
      <x:c r="AM413" s="9"/>
      <x:c r="AN413" s="9"/>
    </x:row>
    <x:row r="414" ht="60" customHeight="1">
      <x:c r="A414" s="9" t="str">
        <x:v>TsVknWBp88Q</x:v>
      </x:c>
      <x:c r="B414" s="10" t="str">
        <x:v>שום פלפל ושמן זית עונה 2 | אגם רודברג</x:v>
      </x:c>
      <x:c r="C414" s="10" t="str">
        <x:v>Еда и повседневность</x:v>
      </x:c>
      <x:c r="D414" s="9" t="str">
        <x:v>Быт</x:v>
      </x:c>
      <x:c r="E414" s="10" t="str">
        <x:v>Кулинария; взрослые; семейный просмотр</x:v>
      </x:c>
      <x:c r="F414" s="10" t="str">
        <x:v>B1–B2 (гипотеза)</x:v>
      </x:c>
      <x:c r="G414" s="12" t="n">
        <x:v>40.6</x:v>
      </x:c>
      <x:c r="H414" s="14" t="n">
        <x:v>32000</x:v>
      </x:c>
      <x:c r="I414" s="15" t="str">
        <x:v>Округлённый счётчик в списке YouTube</x:v>
      </x:c>
      <x:c r="J414" s="14" t="n">
        <x:v>32000</x:v>
      </x:c>
      <x:c r="K414" s="14" t="n">
        <x:v>32000</x:v>
      </x:c>
      <x:c r="L414" s="12" t="n">
        <x:f>IF(COUNT(J414:K414)=2,IF(K414=0,"",J414/K414),"")</x:f>
        <x:v>1</x:v>
      </x:c>
      <x:c r="M414" s="10" t="str">
        <x:v>Тема: שום פלפל ושמן זית עונה 2 | אגם רודברג.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14" s="10" t="str">
        <x:v>Пересказать рецепт в повелительном наклонении и связках сначала/потом.</x:v>
      </x:c>
      <x:c r="O414" s="10" t="str">
        <x:v>Проверить содержание</x:v>
      </x:c>
      <x:c r="P414" s="10" t="str">
        <x:v>Самостоятельное видео</x:v>
      </x:c>
      <x:c r="Q414" s="9" t="str">
        <x:v>Нет</x:v>
      </x:c>
      <x:c r="R414" s="9" t="str">
        <x:v>C024</x:v>
      </x:c>
      <x:c r="S414" s="9" t="str">
        <x:v>C024</x:v>
      </x:c>
      <x:c r="T414" s="10" t="str">
        <x:v>כאן 11 - תאגיד השידור הישראלי</x:v>
      </x:c>
      <x:c r="U414" s="11" t="str">
        <x:v>https://www.youtube.com/watch?v=TsVknWBp88Q</x:v>
      </x:c>
      <x:c r="V414" s="16" t="n">
        <x:v>46308</x:v>
      </x:c>
      <x:c r="W414" s="16"/>
      <x:c r="X414" s="10" t="str">
        <x:v>Иврит предполагается по заголовку и источнику</x:v>
      </x:c>
      <x:c r="Y414" s="10" t="str">
        <x:v>Не проверено</x:v>
      </x:c>
      <x:c r="Z414" s="10" t="str">
        <x:v>Не проверено</x:v>
      </x:c>
      <x:c r="AA414" s="10" t="str">
        <x:v>Метаданные списка; видео не просмотрено</x:v>
      </x:c>
      <x:c r="AB414" s="13" t="str">
        <x:f>IF(AND(ISNUMBER(H414),ISNUMBER(W414)),H414/MAX(1,'Обзор'!$B$4-W414),"")</x:f>
      </x:c>
      <x:c r="AC414" s="17" t="str">
        <x:v>Не решено</x:v>
      </x:c>
      <x:c r="AD414" s="17" t="str">
        <x:v>Не проверено</x:v>
      </x:c>
      <x:c r="AE414" s="17" t="str">
        <x:v>Не проверено</x:v>
      </x:c>
      <x:c r="AF414" s="17" t="str">
        <x:v>Не проверено</x:v>
      </x:c>
      <x:c r="AG414" s="17" t="str">
        <x:v>Не решено</x:v>
      </x:c>
      <x:c r="AH414" s="17" t="str">
        <x:v>Не проверено</x:v>
      </x:c>
      <x:c r="AI414" s="10" t="str">
        <x:f>IF(AC414="Отклонить","Отклонено",IF(AND(AC414="Взять",COUNTIFS(AD414:AH414,"Да")=5),"Готово","Нужна редактура"))</x:f>
        <x:v>Нужна редактура</x:v>
      </x:c>
      <x:c r="AJ414" s="17" t="str"/>
      <x:c r="AK414" s="9" t="str">
        <x:v>https://www.youtube.com/playlist?list=PLLttfoK87AdWrWu2QdWP-CeKoaxxtV9pr</x:v>
      </x:c>
      <x:c r="AL414" s="9" t="n">
        <x:v>24</x:v>
      </x:c>
      <x:c r="AM414" s="9"/>
      <x:c r="AN414" s="9"/>
    </x:row>
    <x:row r="415" ht="60" customHeight="1">
      <x:c r="A415" s="9" t="str">
        <x:v>UyJe8pUzVqg</x:v>
      </x:c>
      <x:c r="B415" s="10" t="str">
        <x:v>שום פלפל ושמן זית עונה 2 | אורי גוטליב</x:v>
      </x:c>
      <x:c r="C415" s="10" t="str">
        <x:v>Еда и повседневность</x:v>
      </x:c>
      <x:c r="D415" s="9" t="str">
        <x:v>Быт</x:v>
      </x:c>
      <x:c r="E415" s="10" t="str">
        <x:v>Кулинария; взрослые; семейный просмотр</x:v>
      </x:c>
      <x:c r="F415" s="10" t="str">
        <x:v>B1–B2 (гипотеза)</x:v>
      </x:c>
      <x:c r="G415" s="12" t="n">
        <x:v>40.1</x:v>
      </x:c>
      <x:c r="H415" s="14" t="n">
        <x:v>29000</x:v>
      </x:c>
      <x:c r="I415" s="15" t="str">
        <x:v>Округлённый счётчик в списке YouTube</x:v>
      </x:c>
      <x:c r="J415" s="14" t="n">
        <x:v>29000</x:v>
      </x:c>
      <x:c r="K415" s="14" t="n">
        <x:v>32000</x:v>
      </x:c>
      <x:c r="L415" s="12" t="n">
        <x:f>IF(COUNT(J415:K415)=2,IF(K415=0,"",J415/K415),"")</x:f>
        <x:v>0.90625</x:v>
      </x:c>
      <x:c r="M415" s="10" t="str">
        <x:v>Тема: שום פלפל ושמן זית עונה 2 | אורי גוטליב.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15" s="10" t="str">
        <x:v>Пересказать рецепт в повелительном наклонении и связках сначала/потом.</x:v>
      </x:c>
      <x:c r="O415" s="10" t="str">
        <x:v>Проверить содержание</x:v>
      </x:c>
      <x:c r="P415" s="10" t="str">
        <x:v>Самостоятельное видео</x:v>
      </x:c>
      <x:c r="Q415" s="9" t="str">
        <x:v>Нет</x:v>
      </x:c>
      <x:c r="R415" s="9" t="str">
        <x:v>C024</x:v>
      </x:c>
      <x:c r="S415" s="9" t="str">
        <x:v>C024</x:v>
      </x:c>
      <x:c r="T415" s="10" t="str">
        <x:v>כאן 11 - תאגיד השידור הישראלי</x:v>
      </x:c>
      <x:c r="U415" s="11" t="str">
        <x:v>https://www.youtube.com/watch?v=UyJe8pUzVqg</x:v>
      </x:c>
      <x:c r="V415" s="16" t="n">
        <x:v>46308</x:v>
      </x:c>
      <x:c r="W415" s="16"/>
      <x:c r="X415" s="10" t="str">
        <x:v>Иврит предполагается по заголовку и источнику</x:v>
      </x:c>
      <x:c r="Y415" s="10" t="str">
        <x:v>Не проверено</x:v>
      </x:c>
      <x:c r="Z415" s="10" t="str">
        <x:v>Не проверено</x:v>
      </x:c>
      <x:c r="AA415" s="10" t="str">
        <x:v>Метаданные списка; видео не просмотрено</x:v>
      </x:c>
      <x:c r="AB415" s="13" t="str">
        <x:f>IF(AND(ISNUMBER(H415),ISNUMBER(W415)),H415/MAX(1,'Обзор'!$B$4-W415),"")</x:f>
      </x:c>
      <x:c r="AC415" s="17" t="str">
        <x:v>Не решено</x:v>
      </x:c>
      <x:c r="AD415" s="17" t="str">
        <x:v>Не проверено</x:v>
      </x:c>
      <x:c r="AE415" s="17" t="str">
        <x:v>Не проверено</x:v>
      </x:c>
      <x:c r="AF415" s="17" t="str">
        <x:v>Не проверено</x:v>
      </x:c>
      <x:c r="AG415" s="17" t="str">
        <x:v>Не решено</x:v>
      </x:c>
      <x:c r="AH415" s="17" t="str">
        <x:v>Не проверено</x:v>
      </x:c>
      <x:c r="AI415" s="10" t="str">
        <x:f>IF(AC415="Отклонить","Отклонено",IF(AND(AC415="Взять",COUNTIFS(AD415:AH415,"Да")=5),"Готово","Нужна редактура"))</x:f>
        <x:v>Нужна редактура</x:v>
      </x:c>
      <x:c r="AJ415" s="17" t="str"/>
      <x:c r="AK415" s="9" t="str">
        <x:v>https://www.youtube.com/playlist?list=PLLttfoK87AdWrWu2QdWP-CeKoaxxtV9pr</x:v>
      </x:c>
      <x:c r="AL415" s="9" t="n">
        <x:v>25</x:v>
      </x:c>
      <x:c r="AM415" s="9"/>
      <x:c r="AN415" s="9"/>
    </x:row>
    <x:row r="416" ht="60" customHeight="1">
      <x:c r="A416" s="9" t="str">
        <x:v>xIU1WMDxiRY</x:v>
      </x:c>
      <x:c r="B416" s="10" t="str">
        <x:v>שום פלפל ושמן זית עונה 2 | רוני דלומי</x:v>
      </x:c>
      <x:c r="C416" s="10" t="str">
        <x:v>Еда и повседневность</x:v>
      </x:c>
      <x:c r="D416" s="9" t="str">
        <x:v>Быт</x:v>
      </x:c>
      <x:c r="E416" s="10" t="str">
        <x:v>Кулинария; взрослые; семейный просмотр</x:v>
      </x:c>
      <x:c r="F416" s="10" t="str">
        <x:v>B1–B2 (гипотеза)</x:v>
      </x:c>
      <x:c r="G416" s="12" t="n">
        <x:v>40.2</x:v>
      </x:c>
      <x:c r="H416" s="14" t="n">
        <x:v>33863</x:v>
      </x:c>
      <x:c r="I416" s="15" t="str">
        <x:v>Точный счётчик метаданных видео</x:v>
      </x:c>
      <x:c r="J416" s="14" t="n">
        <x:v>33000</x:v>
      </x:c>
      <x:c r="K416" s="14" t="n">
        <x:v>32000</x:v>
      </x:c>
      <x:c r="L416" s="12" t="n">
        <x:f>IF(COUNT(J416:K416)=2,IF(K416=0,"",J416/K416),"")</x:f>
        <x:v>1.03125</x:v>
      </x:c>
      <x:c r="M416" s="10" t="str">
        <x:v>Тема: שום פלפל ושמן זית עונה 2 | רוני דלומי.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16" s="10" t="str">
        <x:v>Пересказать рецепт в повелительном наклонении и связках сначала/потом.</x:v>
      </x:c>
      <x:c r="O416" s="10" t="str">
        <x:v>Проверить содержание</x:v>
      </x:c>
      <x:c r="P416" s="10" t="str">
        <x:v>Самостоятельное видео</x:v>
      </x:c>
      <x:c r="Q416" s="9" t="str">
        <x:v>Нет</x:v>
      </x:c>
      <x:c r="R416" s="9" t="str">
        <x:v>C024</x:v>
      </x:c>
      <x:c r="S416" s="9" t="str">
        <x:v>C024</x:v>
      </x:c>
      <x:c r="T416" s="10" t="str">
        <x:v>כאן 11 - תאגיד השידור הישראלי</x:v>
      </x:c>
      <x:c r="U416" s="11" t="str">
        <x:v>https://www.youtube.com/watch?v=xIU1WMDxiRY</x:v>
      </x:c>
      <x:c r="V416" s="16" t="n">
        <x:v>46308</x:v>
      </x:c>
      <x:c r="W416" s="16" t="n">
        <x:v>45926</x:v>
      </x:c>
      <x:c r="X416" s="10" t="str">
        <x:v>Иврит предполагается по заголовку и источнику</x:v>
      </x:c>
      <x:c r="Y416" s="10" t="str">
        <x:v>Автоматическая дорожка HE по метаданным</x:v>
      </x:c>
      <x:c r="Z416" s="10" t="str">
        <x:v>Разрешено по метаданным</x:v>
      </x:c>
      <x:c r="AA416" s="10" t="str">
        <x:v>Метаданные видео; воспроизведение и содержание не проверены</x:v>
      </x:c>
      <x:c r="AB416" s="13" t="n">
        <x:f>IF(AND(ISNUMBER(H416),ISNUMBER(W416)),H416/MAX(1,'Обзор'!$B$4-W416),"")</x:f>
        <x:v>88.64659685863874</x:v>
      </x:c>
      <x:c r="AC416" s="17" t="str">
        <x:v>Не решено</x:v>
      </x:c>
      <x:c r="AD416" s="17" t="str">
        <x:v>Не проверено</x:v>
      </x:c>
      <x:c r="AE416" s="17" t="str">
        <x:v>Не проверено</x:v>
      </x:c>
      <x:c r="AF416" s="17" t="str">
        <x:v>Не проверено</x:v>
      </x:c>
      <x:c r="AG416" s="17" t="str">
        <x:v>Не решено</x:v>
      </x:c>
      <x:c r="AH416" s="17" t="str">
        <x:v>Не проверено</x:v>
      </x:c>
      <x:c r="AI416" s="10" t="str">
        <x:f>IF(AC416="Отклонить","Отклонено",IF(AND(AC416="Взять",COUNTIFS(AD416:AH416,"Да")=5),"Готово","Нужна редактура"))</x:f>
        <x:v>Нужна редактура</x:v>
      </x:c>
      <x:c r="AJ416" s="17" t="str"/>
      <x:c r="AK416" s="9" t="str">
        <x:v>https://www.youtube.com/playlist?list=PLLttfoK87AdWrWu2QdWP-CeKoaxxtV9pr</x:v>
      </x:c>
      <x:c r="AL416" s="9" t="n">
        <x:v>26</x:v>
      </x:c>
      <x:c r="AM416" s="9"/>
      <x:c r="AN416" s="9" t="n">
        <x:v>0</x:v>
      </x:c>
    </x:row>
    <x:row r="417" ht="60" customHeight="1">
      <x:c r="A417" s="9" t="str">
        <x:v>tqpSo3_xUMc</x:v>
      </x:c>
      <x:c r="B417" s="10" t="str">
        <x:v>שום פלפל ושמן זית עונה 2 | אוראל צברי</x:v>
      </x:c>
      <x:c r="C417" s="10" t="str">
        <x:v>Еда и повседневность</x:v>
      </x:c>
      <x:c r="D417" s="9" t="str">
        <x:v>Быт</x:v>
      </x:c>
      <x:c r="E417" s="10" t="str">
        <x:v>Кулинария; взрослые; семейный просмотр</x:v>
      </x:c>
      <x:c r="F417" s="10" t="str">
        <x:v>B1–B2 (гипотеза)</x:v>
      </x:c>
      <x:c r="G417" s="12" t="n">
        <x:v>41.6</x:v>
      </x:c>
      <x:c r="H417" s="14" t="n">
        <x:v>52049</x:v>
      </x:c>
      <x:c r="I417" s="15" t="str">
        <x:v>Точный счётчик метаданных видео</x:v>
      </x:c>
      <x:c r="J417" s="14" t="n">
        <x:v>52000</x:v>
      </x:c>
      <x:c r="K417" s="14" t="n">
        <x:v>32000</x:v>
      </x:c>
      <x:c r="L417" s="12" t="n">
        <x:f>IF(COUNT(J417:K417)=2,IF(K417=0,"",J417/K417),"")</x:f>
        <x:v>1.625</x:v>
      </x:c>
      <x:c r="M417" s="10" t="str">
        <x:v>Тема: שום פלפל ושמן זית עונה 2 | אוראל צברי. Просмотры в списке выше медианы выборки этого цикла в 1.62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17" s="10" t="str">
        <x:v>Пересказать рецепт в повелительном наклонении и связках сначала/потом.</x:v>
      </x:c>
      <x:c r="O417" s="10" t="str">
        <x:v>Проверить содержание</x:v>
      </x:c>
      <x:c r="P417" s="10" t="str">
        <x:v>Самостоятельное видео</x:v>
      </x:c>
      <x:c r="Q417" s="9" t="str">
        <x:v>Нет</x:v>
      </x:c>
      <x:c r="R417" s="9" t="str">
        <x:v>C024</x:v>
      </x:c>
      <x:c r="S417" s="9" t="str">
        <x:v>C024</x:v>
      </x:c>
      <x:c r="T417" s="10" t="str">
        <x:v>כאן 11 - תאגיד השידור הישראלי</x:v>
      </x:c>
      <x:c r="U417" s="11" t="str">
        <x:v>https://www.youtube.com/watch?v=tqpSo3_xUMc</x:v>
      </x:c>
      <x:c r="V417" s="16" t="n">
        <x:v>46308</x:v>
      </x:c>
      <x:c r="W417" s="16" t="n">
        <x:v>45919</x:v>
      </x:c>
      <x:c r="X417" s="10" t="str">
        <x:v>Иврит предполагается по заголовку и источнику</x:v>
      </x:c>
      <x:c r="Y417" s="10" t="str">
        <x:v>Автоматическая дорожка HE по метаданным</x:v>
      </x:c>
      <x:c r="Z417" s="10" t="str">
        <x:v>Разрешено по метаданным</x:v>
      </x:c>
      <x:c r="AA417" s="10" t="str">
        <x:v>Метаданные видео; воспроизведение и содержание не проверены</x:v>
      </x:c>
      <x:c r="AB417" s="13" t="n">
        <x:f>IF(AND(ISNUMBER(H417),ISNUMBER(W417)),H417/MAX(1,'Обзор'!$B$4-W417),"")</x:f>
        <x:v>133.80205655526993</x:v>
      </x:c>
      <x:c r="AC417" s="17" t="str">
        <x:v>Не решено</x:v>
      </x:c>
      <x:c r="AD417" s="17" t="str">
        <x:v>Не проверено</x:v>
      </x:c>
      <x:c r="AE417" s="17" t="str">
        <x:v>Не проверено</x:v>
      </x:c>
      <x:c r="AF417" s="17" t="str">
        <x:v>Не проверено</x:v>
      </x:c>
      <x:c r="AG417" s="17" t="str">
        <x:v>Не решено</x:v>
      </x:c>
      <x:c r="AH417" s="17" t="str">
        <x:v>Не проверено</x:v>
      </x:c>
      <x:c r="AI417" s="10" t="str">
        <x:f>IF(AC417="Отклонить","Отклонено",IF(AND(AC417="Взять",COUNTIFS(AD417:AH417,"Да")=5),"Готово","Нужна редактура"))</x:f>
        <x:v>Нужна редактура</x:v>
      </x:c>
      <x:c r="AJ417" s="17" t="str"/>
      <x:c r="AK417" s="9" t="str">
        <x:v>https://www.youtube.com/playlist?list=PLLttfoK87AdWrWu2QdWP-CeKoaxxtV9pr</x:v>
      </x:c>
      <x:c r="AL417" s="9" t="n">
        <x:v>27</x:v>
      </x:c>
      <x:c r="AM417" s="9"/>
      <x:c r="AN417" s="9" t="n">
        <x:v>0</x:v>
      </x:c>
    </x:row>
    <x:row r="418" ht="60" customHeight="1">
      <x:c r="A418" s="9" t="str">
        <x:v>1go-xM7N8Kg</x:v>
      </x:c>
      <x:c r="B418" s="10" t="str">
        <x:v>שום פלפל ושמן זית עונה 2 | ספיר ברמן</x:v>
      </x:c>
      <x:c r="C418" s="10" t="str">
        <x:v>Еда и повседневность</x:v>
      </x:c>
      <x:c r="D418" s="9" t="str">
        <x:v>Быт</x:v>
      </x:c>
      <x:c r="E418" s="10" t="str">
        <x:v>Кулинария; взрослые; семейный просмотр</x:v>
      </x:c>
      <x:c r="F418" s="10" t="str">
        <x:v>B1–B2 (гипотеза)</x:v>
      </x:c>
      <x:c r="G418" s="12" t="n">
        <x:v>40.8</x:v>
      </x:c>
      <x:c r="H418" s="14" t="n">
        <x:v>18000</x:v>
      </x:c>
      <x:c r="I418" s="15" t="str">
        <x:v>Округлённый счётчик в списке YouTube</x:v>
      </x:c>
      <x:c r="J418" s="14" t="n">
        <x:v>18000</x:v>
      </x:c>
      <x:c r="K418" s="14" t="n">
        <x:v>32000</x:v>
      </x:c>
      <x:c r="L418" s="12" t="n">
        <x:f>IF(COUNT(J418:K418)=2,IF(K418=0,"",J418/K418),"")</x:f>
        <x:v>0.5625</x:v>
      </x:c>
      <x:c r="M418" s="10" t="str">
        <x:v>Тема: שום פלפל ושמן זית עונה 2 | ספיר ברמן.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18" s="10" t="str">
        <x:v>Пересказать рецепт в повелительном наклонении и связках сначала/потом.</x:v>
      </x:c>
      <x:c r="O418" s="10" t="str">
        <x:v>Проверить содержание</x:v>
      </x:c>
      <x:c r="P418" s="10" t="str">
        <x:v>Самостоятельное видео</x:v>
      </x:c>
      <x:c r="Q418" s="9" t="str">
        <x:v>Нет</x:v>
      </x:c>
      <x:c r="R418" s="9" t="str">
        <x:v>C024</x:v>
      </x:c>
      <x:c r="S418" s="9" t="str">
        <x:v>C024</x:v>
      </x:c>
      <x:c r="T418" s="10" t="str">
        <x:v>כאן 11 - תאגיד השידור הישראלי</x:v>
      </x:c>
      <x:c r="U418" s="11" t="str">
        <x:v>https://www.youtube.com/watch?v=1go-xM7N8Kg</x:v>
      </x:c>
      <x:c r="V418" s="16" t="n">
        <x:v>46308</x:v>
      </x:c>
      <x:c r="W418" s="16"/>
      <x:c r="X418" s="10" t="str">
        <x:v>Иврит предполагается по заголовку и источнику</x:v>
      </x:c>
      <x:c r="Y418" s="10" t="str">
        <x:v>Не проверено</x:v>
      </x:c>
      <x:c r="Z418" s="10" t="str">
        <x:v>Не проверено</x:v>
      </x:c>
      <x:c r="AA418" s="10" t="str">
        <x:v>Метаданные списка; видео не просмотрено</x:v>
      </x:c>
      <x:c r="AB418" s="13" t="str">
        <x:f>IF(AND(ISNUMBER(H418),ISNUMBER(W418)),H418/MAX(1,'Обзор'!$B$4-W418),"")</x:f>
      </x:c>
      <x:c r="AC418" s="17" t="str">
        <x:v>Не решено</x:v>
      </x:c>
      <x:c r="AD418" s="17" t="str">
        <x:v>Не проверено</x:v>
      </x:c>
      <x:c r="AE418" s="17" t="str">
        <x:v>Не проверено</x:v>
      </x:c>
      <x:c r="AF418" s="17" t="str">
        <x:v>Не проверено</x:v>
      </x:c>
      <x:c r="AG418" s="17" t="str">
        <x:v>Не решено</x:v>
      </x:c>
      <x:c r="AH418" s="17" t="str">
        <x:v>Не проверено</x:v>
      </x:c>
      <x:c r="AI418" s="10" t="str">
        <x:f>IF(AC418="Отклонить","Отклонено",IF(AND(AC418="Взять",COUNTIFS(AD418:AH418,"Да")=5),"Готово","Нужна редактура"))</x:f>
        <x:v>Нужна редактура</x:v>
      </x:c>
      <x:c r="AJ418" s="17" t="str"/>
      <x:c r="AK418" s="9" t="str">
        <x:v>https://www.youtube.com/playlist?list=PLLttfoK87AdWrWu2QdWP-CeKoaxxtV9pr</x:v>
      </x:c>
      <x:c r="AL418" s="9" t="n">
        <x:v>28</x:v>
      </x:c>
      <x:c r="AM418" s="9"/>
      <x:c r="AN418" s="9"/>
    </x:row>
    <x:row r="419" ht="60" customHeight="1">
      <x:c r="A419" s="9" t="str">
        <x:v>StWbjB2i1Uw</x:v>
      </x:c>
      <x:c r="B419" s="10" t="str">
        <x:v>שום פלפל ושמן זית עונה 2 | אלי יצפאן</x:v>
      </x:c>
      <x:c r="C419" s="10" t="str">
        <x:v>Еда и повседневность</x:v>
      </x:c>
      <x:c r="D419" s="9" t="str">
        <x:v>Быт</x:v>
      </x:c>
      <x:c r="E419" s="10" t="str">
        <x:v>Кулинария; взрослые; семейный просмотр</x:v>
      </x:c>
      <x:c r="F419" s="10" t="str">
        <x:v>B1–B2 (гипотеза)</x:v>
      </x:c>
      <x:c r="G419" s="12" t="n">
        <x:v>40.8</x:v>
      </x:c>
      <x:c r="H419" s="14" t="n">
        <x:v>77900</x:v>
      </x:c>
      <x:c r="I419" s="15" t="str">
        <x:v>Точный счётчик метаданных видео</x:v>
      </x:c>
      <x:c r="J419" s="14" t="n">
        <x:v>77000</x:v>
      </x:c>
      <x:c r="K419" s="14" t="n">
        <x:v>32000</x:v>
      </x:c>
      <x:c r="L419" s="12" t="n">
        <x:f>IF(COUNT(J419:K419)=2,IF(K419=0,"",J419/K419),"")</x:f>
        <x:v>2.40625</x:v>
      </x:c>
      <x:c r="M419" s="10" t="str">
        <x:v>Тема: שום פלפל ושמן זית עונה 2 | אלי יצפאן. Просмотры в списке выше медианы выборки этого цикла в 2.41 раза.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19" s="10" t="str">
        <x:v>Пересказать рецепт в повелительном наклонении и связках сначала/потом.</x:v>
      </x:c>
      <x:c r="O419" s="10" t="str">
        <x:v>Проверить содержание</x:v>
      </x:c>
      <x:c r="P419" s="10" t="str">
        <x:v>Самостоятельное видео</x:v>
      </x:c>
      <x:c r="Q419" s="9" t="str">
        <x:v>Нет</x:v>
      </x:c>
      <x:c r="R419" s="9" t="str">
        <x:v>C024</x:v>
      </x:c>
      <x:c r="S419" s="9" t="str">
        <x:v>C024</x:v>
      </x:c>
      <x:c r="T419" s="10" t="str">
        <x:v>כאן 11 - תאגיד השידור הישראלי</x:v>
      </x:c>
      <x:c r="U419" s="11" t="str">
        <x:v>https://www.youtube.com/watch?v=StWbjB2i1Uw</x:v>
      </x:c>
      <x:c r="V419" s="16" t="n">
        <x:v>46308</x:v>
      </x:c>
      <x:c r="W419" s="16" t="n">
        <x:v>45905</x:v>
      </x:c>
      <x:c r="X419" s="10" t="str">
        <x:v>Иврит предполагается по заголовку и источнику</x:v>
      </x:c>
      <x:c r="Y419" s="10" t="str">
        <x:v>Автоматическая дорожка HE по метаданным</x:v>
      </x:c>
      <x:c r="Z419" s="10" t="str">
        <x:v>Разрешено по метаданным</x:v>
      </x:c>
      <x:c r="AA419" s="10" t="str">
        <x:v>Метаданные видео; воспроизведение и содержание не проверены</x:v>
      </x:c>
      <x:c r="AB419" s="13" t="n">
        <x:f>IF(AND(ISNUMBER(H419),ISNUMBER(W419)),H419/MAX(1,'Обзор'!$B$4-W419),"")</x:f>
        <x:v>193.3002481389578</x:v>
      </x:c>
      <x:c r="AC419" s="17" t="str">
        <x:v>Не решено</x:v>
      </x:c>
      <x:c r="AD419" s="17" t="str">
        <x:v>Не проверено</x:v>
      </x:c>
      <x:c r="AE419" s="17" t="str">
        <x:v>Не проверено</x:v>
      </x:c>
      <x:c r="AF419" s="17" t="str">
        <x:v>Не проверено</x:v>
      </x:c>
      <x:c r="AG419" s="17" t="str">
        <x:v>Не решено</x:v>
      </x:c>
      <x:c r="AH419" s="17" t="str">
        <x:v>Не проверено</x:v>
      </x:c>
      <x:c r="AI419" s="10" t="str">
        <x:f>IF(AC419="Отклонить","Отклонено",IF(AND(AC419="Взять",COUNTIFS(AD419:AH419,"Да")=5),"Готово","Нужна редактура"))</x:f>
        <x:v>Нужна редактура</x:v>
      </x:c>
      <x:c r="AJ419" s="17" t="str"/>
      <x:c r="AK419" s="9" t="str">
        <x:v>https://www.youtube.com/playlist?list=PLLttfoK87AdWrWu2QdWP-CeKoaxxtV9pr</x:v>
      </x:c>
      <x:c r="AL419" s="9" t="n">
        <x:v>29</x:v>
      </x:c>
      <x:c r="AM419" s="9"/>
      <x:c r="AN419" s="9" t="n">
        <x:v>0</x:v>
      </x:c>
    </x:row>
    <x:row r="420" ht="60" customHeight="1">
      <x:c r="A420" s="9" t="str">
        <x:v>as8g8OwZmK0</x:v>
      </x:c>
      <x:c r="B420" s="10" t="str">
        <x:v>שום פלפל ושמן זית עונה 2 | דיקלה</x:v>
      </x:c>
      <x:c r="C420" s="10" t="str">
        <x:v>Еда и повседневность</x:v>
      </x:c>
      <x:c r="D420" s="9" t="str">
        <x:v>Быт</x:v>
      </x:c>
      <x:c r="E420" s="10" t="str">
        <x:v>Кулинария; взрослые; семейный просмотр</x:v>
      </x:c>
      <x:c r="F420" s="10" t="str">
        <x:v>B1–B2 (гипотеза)</x:v>
      </x:c>
      <x:c r="G420" s="12" t="n">
        <x:v>38.6</x:v>
      </x:c>
      <x:c r="H420" s="14" t="n">
        <x:v>19000</x:v>
      </x:c>
      <x:c r="I420" s="15" t="str">
        <x:v>Округлённый счётчик в списке YouTube</x:v>
      </x:c>
      <x:c r="J420" s="14" t="n">
        <x:v>19000</x:v>
      </x:c>
      <x:c r="K420" s="14" t="n">
        <x:v>32000</x:v>
      </x:c>
      <x:c r="L420" s="12" t="n">
        <x:f>IF(COUNT(J420:K420)=2,IF(K420=0,"",J420/K420),"")</x:f>
        <x:v>0.59375</x:v>
      </x:c>
      <x:c r="M420" s="10" t="str">
        <x:v>Тема: שום פלפל ושמן זית עונה 2 | דיקלה. Приготовление еды даёт визуальную опору для понимания глаголов и последовательности действий. Гость добавляет разговорный интерес.</x:v>
      </x:c>
      <x:c r="N420" s="10" t="str">
        <x:v>Пересказать рецепт в повелительном наклонении и связках сначала/потом.</x:v>
      </x:c>
      <x:c r="O420" s="10" t="str">
        <x:v>Проверить содержание</x:v>
      </x:c>
      <x:c r="P420" s="10" t="str">
        <x:v>Самостоятельное видео</x:v>
      </x:c>
      <x:c r="Q420" s="9" t="str">
        <x:v>Нет</x:v>
      </x:c>
      <x:c r="R420" s="9" t="str">
        <x:v>C024</x:v>
      </x:c>
      <x:c r="S420" s="9" t="str">
        <x:v>C024</x:v>
      </x:c>
      <x:c r="T420" s="10" t="str">
        <x:v>כאן 11 - תאגיד השידור הישראלי</x:v>
      </x:c>
      <x:c r="U420" s="11" t="str">
        <x:v>https://www.youtube.com/watch?v=as8g8OwZmK0</x:v>
      </x:c>
      <x:c r="V420" s="16" t="n">
        <x:v>46308</x:v>
      </x:c>
      <x:c r="W420" s="16"/>
      <x:c r="X420" s="10" t="str">
        <x:v>Иврит предполагается по заголовку и источнику</x:v>
      </x:c>
      <x:c r="Y420" s="10" t="str">
        <x:v>Не проверено</x:v>
      </x:c>
      <x:c r="Z420" s="10" t="str">
        <x:v>Не проверено</x:v>
      </x:c>
      <x:c r="AA420" s="10" t="str">
        <x:v>Метаданные списка; видео не просмотрено</x:v>
      </x:c>
      <x:c r="AB420" s="13" t="str">
        <x:f>IF(AND(ISNUMBER(H420),ISNUMBER(W420)),H420/MAX(1,'Обзор'!$B$4-W420),"")</x:f>
      </x:c>
      <x:c r="AC420" s="17" t="str">
        <x:v>Не решено</x:v>
      </x:c>
      <x:c r="AD420" s="17" t="str">
        <x:v>Не проверено</x:v>
      </x:c>
      <x:c r="AE420" s="17" t="str">
        <x:v>Не проверено</x:v>
      </x:c>
      <x:c r="AF420" s="17" t="str">
        <x:v>Не проверено</x:v>
      </x:c>
      <x:c r="AG420" s="17" t="str">
        <x:v>Не решено</x:v>
      </x:c>
      <x:c r="AH420" s="17" t="str">
        <x:v>Не проверено</x:v>
      </x:c>
      <x:c r="AI420" s="10" t="str">
        <x:f>IF(AC420="Отклонить","Отклонено",IF(AND(AC420="Взять",COUNTIFS(AD420:AH420,"Да")=5),"Готово","Нужна редактура"))</x:f>
        <x:v>Нужна редактура</x:v>
      </x:c>
      <x:c r="AJ420" s="17" t="str"/>
      <x:c r="AK420" s="9" t="str">
        <x:v>https://www.youtube.com/playlist?list=PLLttfoK87AdWrWu2QdWP-CeKoaxxtV9pr</x:v>
      </x:c>
      <x:c r="AL420" s="9" t="n">
        <x:v>30</x:v>
      </x:c>
      <x:c r="AM420" s="9"/>
      <x:c r="AN420" s="9"/>
    </x:row>
    <x:row r="421" ht="60" customHeight="1">
      <x:c r="A421" s="9" t="str">
        <x:v>pIbfs7azyFY</x:v>
      </x:c>
      <x:c r="B421" s="10" t="str">
        <x:v>סיפורים מהכורסה 🛋️ | על השירות הצבאי - פרק 1</x:v>
      </x:c>
      <x:c r="C421" s="10" t="str">
        <x:v>Юмор и устный рассказ</x:v>
      </x:c>
      <x:c r="D421" s="9" t="str">
        <x:v>Культура</x:v>
      </x:c>
      <x:c r="E421" s="10" t="str">
        <x:v>Юмор; культура; взрослые</x:v>
      </x:c>
      <x:c r="F421" s="10" t="str">
        <x:v>B2–C1 (гипотеза)</x:v>
      </x:c>
      <x:c r="G421" s="12" t="n">
        <x:v>31.2</x:v>
      </x:c>
      <x:c r="H421" s="14" t="n">
        <x:v>378120</x:v>
      </x:c>
      <x:c r="I421" s="15" t="str">
        <x:v>Точный счётчик метаданных видео</x:v>
      </x:c>
      <x:c r="J421" s="14" t="n">
        <x:v>378000</x:v>
      </x:c>
      <x:c r="K421" s="14" t="n">
        <x:v>257500</x:v>
      </x:c>
      <x:c r="L421" s="12" t="n">
        <x:f>IF(COUNT(J421:K421)=2,IF(K421=0,"",J421/K421),"")</x:f>
        <x:v>1.4679611650485438</x:v>
      </x:c>
      <x:c r="M421" s="10" t="str">
        <x:v>Тема: סיפורים מהכורסה 🛋️ | על השירות הצבאי - פרק 1. Короткие личные истории и комики дают материал для пересказа и знакомства с культурными кодами.</x:v>
      </x:c>
      <x:c r="N421" s="10" t="str">
        <x:v>Разметить завязку, поворот и шутку; рассказать свою историю.</x:v>
      </x:c>
      <x:c r="O421" s="10" t="str">
        <x:v>Ненормативная лексика и быстрые перебивки</x:v>
      </x:c>
      <x:c r="P421" s="10" t="str">
        <x:v>Самостоятельное видео</x:v>
      </x:c>
      <x:c r="Q421" s="9" t="str">
        <x:v>Нет</x:v>
      </x:c>
      <x:c r="R421" s="9" t="str">
        <x:v>C025</x:v>
      </x:c>
      <x:c r="S421" s="9" t="str">
        <x:v>C025</x:v>
      </x:c>
      <x:c r="T421" s="10" t="str">
        <x:v>כאן 11 - תאגיד השידור הישראלי</x:v>
      </x:c>
      <x:c r="U421" s="11" t="str">
        <x:v>https://www.youtube.com/watch?v=pIbfs7azyFY</x:v>
      </x:c>
      <x:c r="V421" s="16" t="n">
        <x:v>46308</x:v>
      </x:c>
      <x:c r="W421" s="16" t="n">
        <x:v>44150</x:v>
      </x:c>
      <x:c r="X421" s="10" t="str">
        <x:v>Иврит предполагается по заголовку и источнику</x:v>
      </x:c>
      <x:c r="Y421" s="10" t="str">
        <x:v>Дорожка HE не найдена в метаданных; вшитые титры не проверены</x:v>
      </x:c>
      <x:c r="Z421" s="10" t="str">
        <x:v>Разрешено по метаданным</x:v>
      </x:c>
      <x:c r="AA421" s="10" t="str">
        <x:v>Метаданные видео; воспроизведение и содержание не проверены</x:v>
      </x:c>
      <x:c r="AB421" s="13" t="n">
        <x:f>IF(AND(ISNUMBER(H421),ISNUMBER(W421)),H421/MAX(1,'Обзор'!$B$4-W421),"")</x:f>
        <x:v>175.21779425393882</x:v>
      </x:c>
      <x:c r="AC421" s="17" t="str">
        <x:v>Не решено</x:v>
      </x:c>
      <x:c r="AD421" s="17" t="str">
        <x:v>Не проверено</x:v>
      </x:c>
      <x:c r="AE421" s="17" t="str">
        <x:v>Не проверено</x:v>
      </x:c>
      <x:c r="AF421" s="17" t="str">
        <x:v>Не проверено</x:v>
      </x:c>
      <x:c r="AG421" s="17" t="str">
        <x:v>Не решено</x:v>
      </x:c>
      <x:c r="AH421" s="17" t="str">
        <x:v>Не проверено</x:v>
      </x:c>
      <x:c r="AI421" s="10" t="str">
        <x:f>IF(AC421="Отклонить","Отклонено",IF(AND(AC421="Взять",COUNTIFS(AD421:AH421,"Да")=5),"Готово","Нужна редактура"))</x:f>
        <x:v>Нужна редактура</x:v>
      </x:c>
      <x:c r="AJ421" s="17" t="str"/>
      <x:c r="AK421" s="9" t="str">
        <x:v>https://www.youtube.com/playlist?list=PLLttfoK87AdXmAazQi6zmUZA6vLW7gNO_</x:v>
      </x:c>
      <x:c r="AL421" s="9" t="n">
        <x:v>1</x:v>
      </x:c>
      <x:c r="AM421" s="9" t="n">
        <x:v>1</x:v>
      </x:c>
      <x:c r="AN421" s="9" t="n">
        <x:v>0</x:v>
      </x:c>
    </x:row>
    <x:row r="422" ht="60" customHeight="1">
      <x:c r="A422" s="9" t="str">
        <x:v>_74P_HjxlJ4</x:v>
      </x:c>
      <x:c r="B422" s="10" t="str">
        <x:v>סיפורים מהכורסה 🛋️ | על גוף ונפש - פרק 2</x:v>
      </x:c>
      <x:c r="C422" s="10" t="str">
        <x:v>Юмор и устный рассказ</x:v>
      </x:c>
      <x:c r="D422" s="9" t="str">
        <x:v>Культура</x:v>
      </x:c>
      <x:c r="E422" s="10" t="str">
        <x:v>Юмор; культура; взрослые</x:v>
      </x:c>
      <x:c r="F422" s="10" t="str">
        <x:v>B2–C1 (гипотеза)</x:v>
      </x:c>
      <x:c r="G422" s="12" t="n">
        <x:v>28.6</x:v>
      </x:c>
      <x:c r="H422" s="14" t="n">
        <x:v>244227</x:v>
      </x:c>
      <x:c r="I422" s="15" t="str">
        <x:v>Точный счётчик метаданных видео</x:v>
      </x:c>
      <x:c r="J422" s="14" t="n">
        <x:v>244000</x:v>
      </x:c>
      <x:c r="K422" s="14" t="n">
        <x:v>257500</x:v>
      </x:c>
      <x:c r="L422" s="12" t="n">
        <x:f>IF(COUNT(J422:K422)=2,IF(K422=0,"",J422/K422),"")</x:f>
        <x:v>0.9475728155339805</x:v>
      </x:c>
      <x:c r="M422" s="10" t="str">
        <x:v>Тема: סיפורים מהכורסה 🛋️ | על גוף ונפש - פרק 2. Короткие личные истории и комики дают материал для пересказа и знакомства с культурными кодами.</x:v>
      </x:c>
      <x:c r="N422" s="10" t="str">
        <x:v>Разметить завязку, поворот и шутку; рассказать свою историю.</x:v>
      </x:c>
      <x:c r="O422" s="10" t="str">
        <x:v>Ненормативная лексика и быстрые перебивки</x:v>
      </x:c>
      <x:c r="P422" s="10" t="str">
        <x:v>Самостоятельное видео</x:v>
      </x:c>
      <x:c r="Q422" s="9" t="str">
        <x:v>Нет</x:v>
      </x:c>
      <x:c r="R422" s="9" t="str">
        <x:v>C025</x:v>
      </x:c>
      <x:c r="S422" s="9" t="str">
        <x:v>C025</x:v>
      </x:c>
      <x:c r="T422" s="10" t="str">
        <x:v>כאן 11 - תאגיד השידור הישראלי</x:v>
      </x:c>
      <x:c r="U422" s="11" t="str">
        <x:v>https://www.youtube.com/watch?v=_74P_HjxlJ4</x:v>
      </x:c>
      <x:c r="V422" s="16" t="n">
        <x:v>46308</x:v>
      </x:c>
      <x:c r="W422" s="16" t="n">
        <x:v>44157</x:v>
      </x:c>
      <x:c r="X422" s="10" t="str">
        <x:v>Иврит предполагается по заголовку и источнику</x:v>
      </x:c>
      <x:c r="Y422" s="10" t="str">
        <x:v>Дорожка HE не найдена в метаданных; вшитые титры не проверены</x:v>
      </x:c>
      <x:c r="Z422" s="10" t="str">
        <x:v>Разрешено по метаданным</x:v>
      </x:c>
      <x:c r="AA422" s="10" t="str">
        <x:v>Метаданные видео; воспроизведение и содержание не проверены</x:v>
      </x:c>
      <x:c r="AB422" s="13" t="n">
        <x:f>IF(AND(ISNUMBER(H422),ISNUMBER(W422)),H422/MAX(1,'Обзор'!$B$4-W422),"")</x:f>
        <x:v>113.54114365411436</x:v>
      </x:c>
      <x:c r="AC422" s="17" t="str">
        <x:v>Не решено</x:v>
      </x:c>
      <x:c r="AD422" s="17" t="str">
        <x:v>Не проверено</x:v>
      </x:c>
      <x:c r="AE422" s="17" t="str">
        <x:v>Не проверено</x:v>
      </x:c>
      <x:c r="AF422" s="17" t="str">
        <x:v>Не проверено</x:v>
      </x:c>
      <x:c r="AG422" s="17" t="str">
        <x:v>Не решено</x:v>
      </x:c>
      <x:c r="AH422" s="17" t="str">
        <x:v>Не проверено</x:v>
      </x:c>
      <x:c r="AI422" s="10" t="str">
        <x:f>IF(AC422="Отклонить","Отклонено",IF(AND(AC422="Взять",COUNTIFS(AD422:AH422,"Да")=5),"Готово","Нужна редактура"))</x:f>
        <x:v>Нужна редактура</x:v>
      </x:c>
      <x:c r="AJ422" s="17" t="str"/>
      <x:c r="AK422" s="9" t="str">
        <x:v>https://www.youtube.com/playlist?list=PLLttfoK87AdXmAazQi6zmUZA6vLW7gNO_</x:v>
      </x:c>
      <x:c r="AL422" s="9" t="n">
        <x:v>2</x:v>
      </x:c>
      <x:c r="AM422" s="9" t="n">
        <x:v>2</x:v>
      </x:c>
      <x:c r="AN422" s="9" t="n">
        <x:v>0</x:v>
      </x:c>
    </x:row>
    <x:row r="423" ht="60" customHeight="1">
      <x:c r="A423" s="9" t="str">
        <x:v>Ir9EyRTqnLs</x:v>
      </x:c>
      <x:c r="B423" s="10" t="str">
        <x:v>סיפורים מהכורסה 🛋️ | על גיל ההתבגרות - פרק 3</x:v>
      </x:c>
      <x:c r="C423" s="10" t="str">
        <x:v>Юмор и устный рассказ</x:v>
      </x:c>
      <x:c r="D423" s="9" t="str">
        <x:v>Культура</x:v>
      </x:c>
      <x:c r="E423" s="10" t="str">
        <x:v>Юмор; культура; взрослые</x:v>
      </x:c>
      <x:c r="F423" s="10" t="str">
        <x:v>B2–C1 (гипотеза)</x:v>
      </x:c>
      <x:c r="G423" s="12" t="n">
        <x:v>29.8</x:v>
      </x:c>
      <x:c r="H423" s="14" t="n">
        <x:v>385804</x:v>
      </x:c>
      <x:c r="I423" s="15" t="str">
        <x:v>Точный счётчик метаданных видео</x:v>
      </x:c>
      <x:c r="J423" s="14" t="n">
        <x:v>385000</x:v>
      </x:c>
      <x:c r="K423" s="14" t="n">
        <x:v>257500</x:v>
      </x:c>
      <x:c r="L423" s="12" t="n">
        <x:f>IF(COUNT(J423:K423)=2,IF(K423=0,"",J423/K423),"")</x:f>
        <x:v>1.4951456310679612</x:v>
      </x:c>
      <x:c r="M423" s="10" t="str">
        <x:v>Тема: סיפורים מהכורסה 🛋️ | על גיל ההתבגרות - פרק 3. Просмотры в списке выше медианы выборки этого цикла в 1.5 раза. Короткие личные истории и комики дают материал для пересказа и знакомства с культурными кодами.</x:v>
      </x:c>
      <x:c r="N423" s="10" t="str">
        <x:v>Разметить завязку, поворот и шутку; рассказать свою историю.</x:v>
      </x:c>
      <x:c r="O423" s="10" t="str">
        <x:v>Ненормативная лексика и быстрые перебивки</x:v>
      </x:c>
      <x:c r="P423" s="10" t="str">
        <x:v>Самостоятельное видео</x:v>
      </x:c>
      <x:c r="Q423" s="9" t="str">
        <x:v>Нет</x:v>
      </x:c>
      <x:c r="R423" s="9" t="str">
        <x:v>C025</x:v>
      </x:c>
      <x:c r="S423" s="9" t="str">
        <x:v>C025</x:v>
      </x:c>
      <x:c r="T423" s="10" t="str">
        <x:v>כאן 11 - תאגיד השידור הישראלי</x:v>
      </x:c>
      <x:c r="U423" s="11" t="str">
        <x:v>https://www.youtube.com/watch?v=Ir9EyRTqnLs</x:v>
      </x:c>
      <x:c r="V423" s="16" t="n">
        <x:v>46308</x:v>
      </x:c>
      <x:c r="W423" s="16" t="n">
        <x:v>44164</x:v>
      </x:c>
      <x:c r="X423" s="10" t="str">
        <x:v>Иврит предполагается по заголовку и источнику</x:v>
      </x:c>
      <x:c r="Y423" s="10" t="str">
        <x:v>Дорожка HE не найдена в метаданных; вшитые титры не проверены</x:v>
      </x:c>
      <x:c r="Z423" s="10" t="str">
        <x:v>Разрешено по метаданным</x:v>
      </x:c>
      <x:c r="AA423" s="10" t="str">
        <x:v>Метаданные видео; воспроизведение и содержание не проверены</x:v>
      </x:c>
      <x:c r="AB423" s="13" t="n">
        <x:f>IF(AND(ISNUMBER(H423),ISNUMBER(W423)),H423/MAX(1,'Обзор'!$B$4-W423),"")</x:f>
        <x:v>179.94589552238807</x:v>
      </x:c>
      <x:c r="AC423" s="17" t="str">
        <x:v>Не решено</x:v>
      </x:c>
      <x:c r="AD423" s="17" t="str">
        <x:v>Не проверено</x:v>
      </x:c>
      <x:c r="AE423" s="17" t="str">
        <x:v>Не проверено</x:v>
      </x:c>
      <x:c r="AF423" s="17" t="str">
        <x:v>Не проверено</x:v>
      </x:c>
      <x:c r="AG423" s="17" t="str">
        <x:v>Не решено</x:v>
      </x:c>
      <x:c r="AH423" s="17" t="str">
        <x:v>Не проверено</x:v>
      </x:c>
      <x:c r="AI423" s="10" t="str">
        <x:f>IF(AC423="Отклонить","Отклонено",IF(AND(AC423="Взять",COUNTIFS(AD423:AH423,"Да")=5),"Готово","Нужна редактура"))</x:f>
        <x:v>Нужна редактура</x:v>
      </x:c>
      <x:c r="AJ423" s="17" t="str"/>
      <x:c r="AK423" s="9" t="str">
        <x:v>https://www.youtube.com/playlist?list=PLLttfoK87AdXmAazQi6zmUZA6vLW7gNO_</x:v>
      </x:c>
      <x:c r="AL423" s="9" t="n">
        <x:v>3</x:v>
      </x:c>
      <x:c r="AM423" s="9" t="n">
        <x:v>3</x:v>
      </x:c>
      <x:c r="AN423" s="9" t="n">
        <x:v>0</x:v>
      </x:c>
    </x:row>
    <x:row r="424" ht="60" customHeight="1">
      <x:c r="A424" s="9" t="str">
        <x:v>ewhu0mjCJ4E</x:v>
      </x:c>
      <x:c r="B424" s="10" t="str">
        <x:v>סיפורים מהכורסה 🛋️ | על קידמה וטכנולוגיה - פרק 4</x:v>
      </x:c>
      <x:c r="C424" s="10" t="str">
        <x:v>Юмор и устный рассказ</x:v>
      </x:c>
      <x:c r="D424" s="9" t="str">
        <x:v>Культура</x:v>
      </x:c>
      <x:c r="E424" s="10" t="str">
        <x:v>Юмор; культура; взрослые</x:v>
      </x:c>
      <x:c r="F424" s="10" t="str">
        <x:v>B2–C1 (гипотеза)</x:v>
      </x:c>
      <x:c r="G424" s="12" t="n">
        <x:v>29</x:v>
      </x:c>
      <x:c r="H424" s="14" t="n">
        <x:v>237438</x:v>
      </x:c>
      <x:c r="I424" s="15" t="str">
        <x:v>Точный счётчик метаданных видео</x:v>
      </x:c>
      <x:c r="J424" s="14" t="n">
        <x:v>237000</x:v>
      </x:c>
      <x:c r="K424" s="14" t="n">
        <x:v>257500</x:v>
      </x:c>
      <x:c r="L424" s="12" t="n">
        <x:f>IF(COUNT(J424:K424)=2,IF(K424=0,"",J424/K424),"")</x:f>
        <x:v>0.920388349514563</x:v>
      </x:c>
      <x:c r="M424" s="10" t="str">
        <x:v>Тема: סיפורים מהכורסה 🛋️ | על קידמה וטכנולוגיה - פרק 4. Короткие личные истории и комики дают материал для пересказа и знакомства с культурными кодами.</x:v>
      </x:c>
      <x:c r="N424" s="10" t="str">
        <x:v>Разметить завязку, поворот и шутку; рассказать свою историю.</x:v>
      </x:c>
      <x:c r="O424" s="10" t="str">
        <x:v>Ненормативная лексика и быстрые перебивки</x:v>
      </x:c>
      <x:c r="P424" s="10" t="str">
        <x:v>Самостоятельное видео</x:v>
      </x:c>
      <x:c r="Q424" s="9" t="str">
        <x:v>Нет</x:v>
      </x:c>
      <x:c r="R424" s="9" t="str">
        <x:v>C025</x:v>
      </x:c>
      <x:c r="S424" s="9" t="str">
        <x:v>C025</x:v>
      </x:c>
      <x:c r="T424" s="10" t="str">
        <x:v>כאן 11 - תאגיד השידור הישראלי</x:v>
      </x:c>
      <x:c r="U424" s="11" t="str">
        <x:v>https://www.youtube.com/watch?v=ewhu0mjCJ4E</x:v>
      </x:c>
      <x:c r="V424" s="16" t="n">
        <x:v>46308</x:v>
      </x:c>
      <x:c r="W424" s="16" t="n">
        <x:v>44171</x:v>
      </x:c>
      <x:c r="X424" s="10" t="str">
        <x:v>Иврит предполагается по заголовку и источнику</x:v>
      </x:c>
      <x:c r="Y424" s="10" t="str">
        <x:v>Дорожка HE не найдена в метаданных; вшитые титры не проверены</x:v>
      </x:c>
      <x:c r="Z424" s="10" t="str">
        <x:v>Разрешено по метаданным</x:v>
      </x:c>
      <x:c r="AA424" s="10" t="str">
        <x:v>Метаданные видео; воспроизведение и содержание не проверены</x:v>
      </x:c>
      <x:c r="AB424" s="13" t="n">
        <x:f>IF(AND(ISNUMBER(H424),ISNUMBER(W424)),H424/MAX(1,'Обзор'!$B$4-W424),"")</x:f>
        <x:v>111.10809546092653</x:v>
      </x:c>
      <x:c r="AC424" s="17" t="str">
        <x:v>Не решено</x:v>
      </x:c>
      <x:c r="AD424" s="17" t="str">
        <x:v>Не проверено</x:v>
      </x:c>
      <x:c r="AE424" s="17" t="str">
        <x:v>Не проверено</x:v>
      </x:c>
      <x:c r="AF424" s="17" t="str">
        <x:v>Не проверено</x:v>
      </x:c>
      <x:c r="AG424" s="17" t="str">
        <x:v>Не решено</x:v>
      </x:c>
      <x:c r="AH424" s="17" t="str">
        <x:v>Не проверено</x:v>
      </x:c>
      <x:c r="AI424" s="10" t="str">
        <x:f>IF(AC424="Отклонить","Отклонено",IF(AND(AC424="Взять",COUNTIFS(AD424:AH424,"Да")=5),"Готово","Нужна редактура"))</x:f>
        <x:v>Нужна редактура</x:v>
      </x:c>
      <x:c r="AJ424" s="17" t="str"/>
      <x:c r="AK424" s="9" t="str">
        <x:v>https://www.youtube.com/playlist?list=PLLttfoK87AdXmAazQi6zmUZA6vLW7gNO_</x:v>
      </x:c>
      <x:c r="AL424" s="9" t="n">
        <x:v>4</x:v>
      </x:c>
      <x:c r="AM424" s="9" t="n">
        <x:v>4</x:v>
      </x:c>
      <x:c r="AN424" s="9" t="n">
        <x:v>0</x:v>
      </x:c>
    </x:row>
    <x:row r="425" ht="60" customHeight="1">
      <x:c r="A425" s="9" t="str">
        <x:v>_MpnP27-upI</x:v>
      </x:c>
      <x:c r="B425" s="10" t="str">
        <x:v>סיפורים מהכורסה 🛋️ | על אהבה ויחסים - פרק 5</x:v>
      </x:c>
      <x:c r="C425" s="10" t="str">
        <x:v>Юмор и устный рассказ</x:v>
      </x:c>
      <x:c r="D425" s="9" t="str">
        <x:v>Культура</x:v>
      </x:c>
      <x:c r="E425" s="10" t="str">
        <x:v>Юмор; культура; взрослые</x:v>
      </x:c>
      <x:c r="F425" s="10" t="str">
        <x:v>B2–C1 (гипотеза)</x:v>
      </x:c>
      <x:c r="G425" s="12" t="n">
        <x:v>28.7</x:v>
      </x:c>
      <x:c r="H425" s="14" t="n">
        <x:v>322184</x:v>
      </x:c>
      <x:c r="I425" s="15" t="str">
        <x:v>Точный счётчик метаданных видео</x:v>
      </x:c>
      <x:c r="J425" s="14" t="n">
        <x:v>322000</x:v>
      </x:c>
      <x:c r="K425" s="14" t="n">
        <x:v>257500</x:v>
      </x:c>
      <x:c r="L425" s="12" t="n">
        <x:f>IF(COUNT(J425:K425)=2,IF(K425=0,"",J425/K425),"")</x:f>
        <x:v>1.250485436893204</x:v>
      </x:c>
      <x:c r="M425" s="10" t="str">
        <x:v>Тема: סיפורים מהכורסה 🛋️ | על אהבה ויחסים - פרק 5. Короткие личные истории и комики дают материал для пересказа и знакомства с культурными кодами.</x:v>
      </x:c>
      <x:c r="N425" s="10" t="str">
        <x:v>Разметить завязку, поворот и шутку; рассказать свою историю.</x:v>
      </x:c>
      <x:c r="O425" s="10" t="str">
        <x:v>Ненормативная лексика и быстрые перебивки</x:v>
      </x:c>
      <x:c r="P425" s="10" t="str">
        <x:v>Самостоятельное видео</x:v>
      </x:c>
      <x:c r="Q425" s="9" t="str">
        <x:v>Нет</x:v>
      </x:c>
      <x:c r="R425" s="9" t="str">
        <x:v>C025</x:v>
      </x:c>
      <x:c r="S425" s="9" t="str">
        <x:v>C025</x:v>
      </x:c>
      <x:c r="T425" s="10" t="str">
        <x:v>כאן 11 - תאגיד השידור הישראלי</x:v>
      </x:c>
      <x:c r="U425" s="11" t="str">
        <x:v>https://www.youtube.com/watch?v=_MpnP27-upI</x:v>
      </x:c>
      <x:c r="V425" s="16" t="n">
        <x:v>46308</x:v>
      </x:c>
      <x:c r="W425" s="16" t="n">
        <x:v>44178</x:v>
      </x:c>
      <x:c r="X425" s="10" t="str">
        <x:v>Иврит предполагается по заголовку и источнику</x:v>
      </x:c>
      <x:c r="Y425" s="10" t="str">
        <x:v>Дорожка HE не найдена в метаданных; вшитые титры не проверены</x:v>
      </x:c>
      <x:c r="Z425" s="10" t="str">
        <x:v>Разрешено по метаданным</x:v>
      </x:c>
      <x:c r="AA425" s="10" t="str">
        <x:v>Метаданные видео; воспроизведение и содержание не проверены</x:v>
      </x:c>
      <x:c r="AB425" s="13" t="n">
        <x:f>IF(AND(ISNUMBER(H425),ISNUMBER(W425)),H425/MAX(1,'Обзор'!$B$4-W425),"")</x:f>
        <x:v>151.2600938967136</x:v>
      </x:c>
      <x:c r="AC425" s="17" t="str">
        <x:v>Не решено</x:v>
      </x:c>
      <x:c r="AD425" s="17" t="str">
        <x:v>Не проверено</x:v>
      </x:c>
      <x:c r="AE425" s="17" t="str">
        <x:v>Не проверено</x:v>
      </x:c>
      <x:c r="AF425" s="17" t="str">
        <x:v>Не проверено</x:v>
      </x:c>
      <x:c r="AG425" s="17" t="str">
        <x:v>Не решено</x:v>
      </x:c>
      <x:c r="AH425" s="17" t="str">
        <x:v>Не проверено</x:v>
      </x:c>
      <x:c r="AI425" s="10" t="str">
        <x:f>IF(AC425="Отклонить","Отклонено",IF(AND(AC425="Взять",COUNTIFS(AD425:AH425,"Да")=5),"Готово","Нужна редактура"))</x:f>
        <x:v>Нужна редактура</x:v>
      </x:c>
      <x:c r="AJ425" s="17" t="str"/>
      <x:c r="AK425" s="9" t="str">
        <x:v>https://www.youtube.com/playlist?list=PLLttfoK87AdXmAazQi6zmUZA6vLW7gNO_</x:v>
      </x:c>
      <x:c r="AL425" s="9" t="n">
        <x:v>5</x:v>
      </x:c>
      <x:c r="AM425" s="9" t="n">
        <x:v>5</x:v>
      </x:c>
      <x:c r="AN425" s="9" t="n">
        <x:v>0</x:v>
      </x:c>
    </x:row>
    <x:row r="426" ht="60" customHeight="1">
      <x:c r="A426" s="9" t="str">
        <x:v>XA0RZ-LQlKs</x:v>
      </x:c>
      <x:c r="B426" s="10" t="str">
        <x:v>סיפורים מהכורסה 🛋️ | על הורים וילדים - פרק 6</x:v>
      </x:c>
      <x:c r="C426" s="10" t="str">
        <x:v>Юмор и устный рассказ</x:v>
      </x:c>
      <x:c r="D426" s="9" t="str">
        <x:v>Культура</x:v>
      </x:c>
      <x:c r="E426" s="10" t="str">
        <x:v>Юмор; культура; взрослые</x:v>
      </x:c>
      <x:c r="F426" s="10" t="str">
        <x:v>B2–C1 (гипотеза)</x:v>
      </x:c>
      <x:c r="G426" s="12" t="n">
        <x:v>29.3</x:v>
      </x:c>
      <x:c r="H426" s="14" t="n">
        <x:v>269009</x:v>
      </x:c>
      <x:c r="I426" s="15" t="str">
        <x:v>Точный счётчик метаданных видео</x:v>
      </x:c>
      <x:c r="J426" s="14" t="n">
        <x:v>269000</x:v>
      </x:c>
      <x:c r="K426" s="14" t="n">
        <x:v>257500</x:v>
      </x:c>
      <x:c r="L426" s="12" t="n">
        <x:f>IF(COUNT(J426:K426)=2,IF(K426=0,"",J426/K426),"")</x:f>
        <x:v>1.0446601941747573</x:v>
      </x:c>
      <x:c r="M426" s="10" t="str">
        <x:v>Тема: סיפורים מהכורסה 🛋️ | על הורים וילדים - פרק 6. Короткие личные истории и комики дают материал для пересказа и знакомства с культурными кодами.</x:v>
      </x:c>
      <x:c r="N426" s="10" t="str">
        <x:v>Разметить завязку, поворот и шутку; рассказать свою историю.</x:v>
      </x:c>
      <x:c r="O426" s="10" t="str">
        <x:v>Ненормативная лексика и быстрые перебивки</x:v>
      </x:c>
      <x:c r="P426" s="10" t="str">
        <x:v>Самостоятельное видео</x:v>
      </x:c>
      <x:c r="Q426" s="9" t="str">
        <x:v>Нет</x:v>
      </x:c>
      <x:c r="R426" s="9" t="str">
        <x:v>C025</x:v>
      </x:c>
      <x:c r="S426" s="9" t="str">
        <x:v>C025</x:v>
      </x:c>
      <x:c r="T426" s="10" t="str">
        <x:v>כאן 11 - תאגיד השידור הישראלי</x:v>
      </x:c>
      <x:c r="U426" s="11" t="str">
        <x:v>https://www.youtube.com/watch?v=XA0RZ-LQlKs</x:v>
      </x:c>
      <x:c r="V426" s="16" t="n">
        <x:v>46308</x:v>
      </x:c>
      <x:c r="W426" s="16" t="n">
        <x:v>44185</x:v>
      </x:c>
      <x:c r="X426" s="10" t="str">
        <x:v>Иврит предполагается по заголовку и источнику</x:v>
      </x:c>
      <x:c r="Y426" s="10" t="str">
        <x:v>Дорожка HE не найдена в метаданных; вшитые титры не проверены</x:v>
      </x:c>
      <x:c r="Z426" s="10" t="str">
        <x:v>Разрешено по метаданным</x:v>
      </x:c>
      <x:c r="AA426" s="10" t="str">
        <x:v>Метаданные видео; воспроизведение и содержание не проверены</x:v>
      </x:c>
      <x:c r="AB426" s="13" t="n">
        <x:f>IF(AND(ISNUMBER(H426),ISNUMBER(W426)),H426/MAX(1,'Обзор'!$B$4-W426),"")</x:f>
        <x:v>126.71172868582195</x:v>
      </x:c>
      <x:c r="AC426" s="17" t="str">
        <x:v>Не решено</x:v>
      </x:c>
      <x:c r="AD426" s="17" t="str">
        <x:v>Не проверено</x:v>
      </x:c>
      <x:c r="AE426" s="17" t="str">
        <x:v>Не проверено</x:v>
      </x:c>
      <x:c r="AF426" s="17" t="str">
        <x:v>Не проверено</x:v>
      </x:c>
      <x:c r="AG426" s="17" t="str">
        <x:v>Не решено</x:v>
      </x:c>
      <x:c r="AH426" s="17" t="str">
        <x:v>Не проверено</x:v>
      </x:c>
      <x:c r="AI426" s="10" t="str">
        <x:f>IF(AC426="Отклонить","Отклонено",IF(AND(AC426="Взять",COUNTIFS(AD426:AH426,"Да")=5),"Готово","Нужна редактура"))</x:f>
        <x:v>Нужна редактура</x:v>
      </x:c>
      <x:c r="AJ426" s="17" t="str"/>
      <x:c r="AK426" s="9" t="str">
        <x:v>https://www.youtube.com/playlist?list=PLLttfoK87AdXmAazQi6zmUZA6vLW7gNO_</x:v>
      </x:c>
      <x:c r="AL426" s="9" t="n">
        <x:v>6</x:v>
      </x:c>
      <x:c r="AM426" s="9" t="n">
        <x:v>6</x:v>
      </x:c>
      <x:c r="AN426" s="9" t="n">
        <x:v>0</x:v>
      </x:c>
    </x:row>
    <x:row r="427" ht="60" customHeight="1">
      <x:c r="A427" s="9" t="str">
        <x:v>2M8ezaCd6YE</x:v>
      </x:c>
      <x:c r="B427" s="10" t="str">
        <x:v>סיפורים מהכורסה 🛋️ | על אמונה ומסורת - פרק 7</x:v>
      </x:c>
      <x:c r="C427" s="10" t="str">
        <x:v>Юмор и устный рассказ</x:v>
      </x:c>
      <x:c r="D427" s="9" t="str">
        <x:v>Культура</x:v>
      </x:c>
      <x:c r="E427" s="10" t="str">
        <x:v>Юмор; культура; взрослые</x:v>
      </x:c>
      <x:c r="F427" s="10" t="str">
        <x:v>B2–C1 (гипотеза)</x:v>
      </x:c>
      <x:c r="G427" s="12" t="n">
        <x:v>29.3</x:v>
      </x:c>
      <x:c r="H427" s="14" t="n">
        <x:v>238800</x:v>
      </x:c>
      <x:c r="I427" s="15" t="str">
        <x:v>Точный счётчик метаданных видео</x:v>
      </x:c>
      <x:c r="J427" s="14" t="n">
        <x:v>238000</x:v>
      </x:c>
      <x:c r="K427" s="14" t="n">
        <x:v>257500</x:v>
      </x:c>
      <x:c r="L427" s="12" t="n">
        <x:f>IF(COUNT(J427:K427)=2,IF(K427=0,"",J427/K427),"")</x:f>
        <x:v>0.9242718446601942</x:v>
      </x:c>
      <x:c r="M427" s="10" t="str">
        <x:v>Тема: סיפורים מהכורסה 🛋️ | על אמונה ומסורת - פרק 7. Короткие личные истории и комики дают материал для пересказа и знакомства с культурными кодами.</x:v>
      </x:c>
      <x:c r="N427" s="10" t="str">
        <x:v>Разметить завязку, поворот и шутку; рассказать свою историю.</x:v>
      </x:c>
      <x:c r="O427" s="10" t="str">
        <x:v>Ненормативная лексика и быстрые перебивки</x:v>
      </x:c>
      <x:c r="P427" s="10" t="str">
        <x:v>Самостоятельное видео</x:v>
      </x:c>
      <x:c r="Q427" s="9" t="str">
        <x:v>Нет</x:v>
      </x:c>
      <x:c r="R427" s="9" t="str">
        <x:v>C025</x:v>
      </x:c>
      <x:c r="S427" s="9" t="str">
        <x:v>C025</x:v>
      </x:c>
      <x:c r="T427" s="10" t="str">
        <x:v>כאן 11 - תאגיד השידור הישראלי</x:v>
      </x:c>
      <x:c r="U427" s="11" t="str">
        <x:v>https://www.youtube.com/watch?v=2M8ezaCd6YE</x:v>
      </x:c>
      <x:c r="V427" s="16" t="n">
        <x:v>46308</x:v>
      </x:c>
      <x:c r="W427" s="16" t="n">
        <x:v>44192</x:v>
      </x:c>
      <x:c r="X427" s="10" t="str">
        <x:v>Иврит предполагается по заголовку и источнику</x:v>
      </x:c>
      <x:c r="Y427" s="10" t="str">
        <x:v>Дорожка HE не найдена в метаданных; вшитые титры не проверены</x:v>
      </x:c>
      <x:c r="Z427" s="10" t="str">
        <x:v>Разрешено по метаданным</x:v>
      </x:c>
      <x:c r="AA427" s="10" t="str">
        <x:v>Метаданные видео; воспроизведение и содержание не проверены</x:v>
      </x:c>
      <x:c r="AB427" s="13" t="n">
        <x:f>IF(AND(ISNUMBER(H427),ISNUMBER(W427)),H427/MAX(1,'Обзор'!$B$4-W427),"")</x:f>
        <x:v>112.85444234404537</x:v>
      </x:c>
      <x:c r="AC427" s="17" t="str">
        <x:v>Не решено</x:v>
      </x:c>
      <x:c r="AD427" s="17" t="str">
        <x:v>Не проверено</x:v>
      </x:c>
      <x:c r="AE427" s="17" t="str">
        <x:v>Не проверено</x:v>
      </x:c>
      <x:c r="AF427" s="17" t="str">
        <x:v>Не проверено</x:v>
      </x:c>
      <x:c r="AG427" s="17" t="str">
        <x:v>Не решено</x:v>
      </x:c>
      <x:c r="AH427" s="17" t="str">
        <x:v>Не проверено</x:v>
      </x:c>
      <x:c r="AI427" s="10" t="str">
        <x:f>IF(AC427="Отклонить","Отклонено",IF(AND(AC427="Взять",COUNTIFS(AD427:AH427,"Да")=5),"Готово","Нужна редактура"))</x:f>
        <x:v>Нужна редактура</x:v>
      </x:c>
      <x:c r="AJ427" s="17" t="str"/>
      <x:c r="AK427" s="9" t="str">
        <x:v>https://www.youtube.com/playlist?list=PLLttfoK87AdXmAazQi6zmUZA6vLW7gNO_</x:v>
      </x:c>
      <x:c r="AL427" s="9" t="n">
        <x:v>7</x:v>
      </x:c>
      <x:c r="AM427" s="9" t="n">
        <x:v>7</x:v>
      </x:c>
      <x:c r="AN427" s="9" t="n">
        <x:v>0</x:v>
      </x:c>
    </x:row>
    <x:row r="428" ht="60" customHeight="1">
      <x:c r="A428" s="9" t="str">
        <x:v>ZqxybhDrJYI</x:v>
      </x:c>
      <x:c r="B428" s="10" t="str">
        <x:v>סיפורים מהכורסה 🛋️ | על חו"ל - פרק 8</x:v>
      </x:c>
      <x:c r="C428" s="10" t="str">
        <x:v>Юмор и устный рассказ</x:v>
      </x:c>
      <x:c r="D428" s="9" t="str">
        <x:v>Культура</x:v>
      </x:c>
      <x:c r="E428" s="10" t="str">
        <x:v>Юмор; культура; взрослые</x:v>
      </x:c>
      <x:c r="F428" s="10" t="str">
        <x:v>B2–C1 (гипотеза)</x:v>
      </x:c>
      <x:c r="G428" s="12" t="n">
        <x:v>29.5</x:v>
      </x:c>
      <x:c r="H428" s="14" t="n">
        <x:v>246578</x:v>
      </x:c>
      <x:c r="I428" s="15" t="str">
        <x:v>Точный счётчик метаданных видео</x:v>
      </x:c>
      <x:c r="J428" s="14" t="n">
        <x:v>246000</x:v>
      </x:c>
      <x:c r="K428" s="14" t="n">
        <x:v>257500</x:v>
      </x:c>
      <x:c r="L428" s="12" t="n">
        <x:f>IF(COUNT(J428:K428)=2,IF(K428=0,"",J428/K428),"")</x:f>
        <x:v>0.9553398058252427</x:v>
      </x:c>
      <x:c r="M428" s="10" t="str">
        <x:v>Тема: סיפורים מהכורסה 🛋️ | על חו"ל - פרק 8. Короткие личные истории и комики дают материал для пересказа и знакомства с культурными кодами.</x:v>
      </x:c>
      <x:c r="N428" s="10" t="str">
        <x:v>Разметить завязку, поворот и шутку; рассказать свою историю.</x:v>
      </x:c>
      <x:c r="O428" s="10" t="str">
        <x:v>Ненормативная лексика и быстрые перебивки</x:v>
      </x:c>
      <x:c r="P428" s="10" t="str">
        <x:v>Самостоятельное видео</x:v>
      </x:c>
      <x:c r="Q428" s="9" t="str">
        <x:v>Нет</x:v>
      </x:c>
      <x:c r="R428" s="9" t="str">
        <x:v>C025</x:v>
      </x:c>
      <x:c r="S428" s="9" t="str">
        <x:v>C025</x:v>
      </x:c>
      <x:c r="T428" s="10" t="str">
        <x:v>כאן 11 - תאגיד השידור הישראלי</x:v>
      </x:c>
      <x:c r="U428" s="11" t="str">
        <x:v>https://www.youtube.com/watch?v=ZqxybhDrJYI</x:v>
      </x:c>
      <x:c r="V428" s="16" t="n">
        <x:v>46308</x:v>
      </x:c>
      <x:c r="W428" s="16" t="n">
        <x:v>44199</x:v>
      </x:c>
      <x:c r="X428" s="10" t="str">
        <x:v>Иврит предполагается по заголовку и источнику</x:v>
      </x:c>
      <x:c r="Y428" s="10" t="str">
        <x:v>Дорожка HE не найдена в метаданных; вшитые титры не проверены</x:v>
      </x:c>
      <x:c r="Z428" s="10" t="str">
        <x:v>Разрешено по метаданным</x:v>
      </x:c>
      <x:c r="AA428" s="10" t="str">
        <x:v>Метаданные видео; воспроизведение и содержание не проверены</x:v>
      </x:c>
      <x:c r="AB428" s="13" t="n">
        <x:f>IF(AND(ISNUMBER(H428),ISNUMBER(W428)),H428/MAX(1,'Обзор'!$B$4-W428),"")</x:f>
        <x:v>116.91702228544334</x:v>
      </x:c>
      <x:c r="AC428" s="17" t="str">
        <x:v>Не решено</x:v>
      </x:c>
      <x:c r="AD428" s="17" t="str">
        <x:v>Не проверено</x:v>
      </x:c>
      <x:c r="AE428" s="17" t="str">
        <x:v>Не проверено</x:v>
      </x:c>
      <x:c r="AF428" s="17" t="str">
        <x:v>Не проверено</x:v>
      </x:c>
      <x:c r="AG428" s="17" t="str">
        <x:v>Не решено</x:v>
      </x:c>
      <x:c r="AH428" s="17" t="str">
        <x:v>Не проверено</x:v>
      </x:c>
      <x:c r="AI428" s="10" t="str">
        <x:f>IF(AC428="Отклонить","Отклонено",IF(AND(AC428="Взять",COUNTIFS(AD428:AH428,"Да")=5),"Готово","Нужна редактура"))</x:f>
        <x:v>Нужна редактура</x:v>
      </x:c>
      <x:c r="AJ428" s="17" t="str"/>
      <x:c r="AK428" s="9" t="str">
        <x:v>https://www.youtube.com/playlist?list=PLLttfoK87AdXmAazQi6zmUZA6vLW7gNO_</x:v>
      </x:c>
      <x:c r="AL428" s="9" t="n">
        <x:v>8</x:v>
      </x:c>
      <x:c r="AM428" s="9" t="n">
        <x:v>8</x:v>
      </x:c>
      <x:c r="AN428" s="9" t="n">
        <x:v>0</x:v>
      </x:c>
    </x:row>
    <x:row r="429" ht="60" customHeight="1">
      <x:c r="A429" s="9" t="str">
        <x:v>g9Bzu1En100</x:v>
      </x:c>
      <x:c r="B429" s="10" t="str">
        <x:v>סיפורים מהכורסה 🛋️ | להיות קומיקאי - פרק 9</x:v>
      </x:c>
      <x:c r="C429" s="10" t="str">
        <x:v>Юмор и устный рассказ</x:v>
      </x:c>
      <x:c r="D429" s="9" t="str">
        <x:v>Культура</x:v>
      </x:c>
      <x:c r="E429" s="10" t="str">
        <x:v>Юмор; культура; взрослые</x:v>
      </x:c>
      <x:c r="F429" s="10" t="str">
        <x:v>B2–C1 (гипотеза)</x:v>
      </x:c>
      <x:c r="G429" s="12" t="n">
        <x:v>29</x:v>
      </x:c>
      <x:c r="H429" s="14" t="n">
        <x:v>274176</x:v>
      </x:c>
      <x:c r="I429" s="15" t="str">
        <x:v>Точный счётчик метаданных видео</x:v>
      </x:c>
      <x:c r="J429" s="14" t="n">
        <x:v>274000</x:v>
      </x:c>
      <x:c r="K429" s="14" t="n">
        <x:v>257500</x:v>
      </x:c>
      <x:c r="L429" s="12" t="n">
        <x:f>IF(COUNT(J429:K429)=2,IF(K429=0,"",J429/K429),"")</x:f>
        <x:v>1.0640776699029126</x:v>
      </x:c>
      <x:c r="M429" s="10" t="str">
        <x:v>Тема: סיפורים מהכורסה 🛋️ | להיות קומיקאי - פרק 9. Короткие личные истории и комики дают материал для пересказа и знакомства с культурными кодами.</x:v>
      </x:c>
      <x:c r="N429" s="10" t="str">
        <x:v>Разметить завязку, поворот и шутку; рассказать свою историю.</x:v>
      </x:c>
      <x:c r="O429" s="10" t="str">
        <x:v>Ненормативная лексика и быстрые перебивки</x:v>
      </x:c>
      <x:c r="P429" s="10" t="str">
        <x:v>Самостоятельное видео</x:v>
      </x:c>
      <x:c r="Q429" s="9" t="str">
        <x:v>Нет</x:v>
      </x:c>
      <x:c r="R429" s="9" t="str">
        <x:v>C025</x:v>
      </x:c>
      <x:c r="S429" s="9" t="str">
        <x:v>C025</x:v>
      </x:c>
      <x:c r="T429" s="10" t="str">
        <x:v>כאן 11 - תאגיד השידור הישראלי</x:v>
      </x:c>
      <x:c r="U429" s="11" t="str">
        <x:v>https://www.youtube.com/watch?v=g9Bzu1En100</x:v>
      </x:c>
      <x:c r="V429" s="16" t="n">
        <x:v>46308</x:v>
      </x:c>
      <x:c r="W429" s="16" t="n">
        <x:v>44206</x:v>
      </x:c>
      <x:c r="X429" s="10" t="str">
        <x:v>Иврит предполагается по заголовку и источнику</x:v>
      </x:c>
      <x:c r="Y429" s="10" t="str">
        <x:v>Дорожка HE не найдена в метаданных; вшитые титры не проверены</x:v>
      </x:c>
      <x:c r="Z429" s="10" t="str">
        <x:v>Разрешено по метаданным</x:v>
      </x:c>
      <x:c r="AA429" s="10" t="str">
        <x:v>Метаданные видео; воспроизведение и содержание не проверены</x:v>
      </x:c>
      <x:c r="AB429" s="13" t="n">
        <x:f>IF(AND(ISNUMBER(H429),ISNUMBER(W429)),H429/MAX(1,'Обзор'!$B$4-W429),"")</x:f>
        <x:v>130.43577545195052</x:v>
      </x:c>
      <x:c r="AC429" s="17" t="str">
        <x:v>Не решено</x:v>
      </x:c>
      <x:c r="AD429" s="17" t="str">
        <x:v>Не проверено</x:v>
      </x:c>
      <x:c r="AE429" s="17" t="str">
        <x:v>Не проверено</x:v>
      </x:c>
      <x:c r="AF429" s="17" t="str">
        <x:v>Не проверено</x:v>
      </x:c>
      <x:c r="AG429" s="17" t="str">
        <x:v>Не решено</x:v>
      </x:c>
      <x:c r="AH429" s="17" t="str">
        <x:v>Не проверено</x:v>
      </x:c>
      <x:c r="AI429" s="10" t="str">
        <x:f>IF(AC429="Отклонить","Отклонено",IF(AND(AC429="Взять",COUNTIFS(AD429:AH429,"Да")=5),"Готово","Нужна редактура"))</x:f>
        <x:v>Нужна редактура</x:v>
      </x:c>
      <x:c r="AJ429" s="17" t="str"/>
      <x:c r="AK429" s="9" t="str">
        <x:v>https://www.youtube.com/playlist?list=PLLttfoK87AdXmAazQi6zmUZA6vLW7gNO_</x:v>
      </x:c>
      <x:c r="AL429" s="9" t="n">
        <x:v>9</x:v>
      </x:c>
      <x:c r="AM429" s="9" t="n">
        <x:v>9</x:v>
      </x:c>
      <x:c r="AN429" s="9" t="n">
        <x:v>0</x:v>
      </x:c>
    </x:row>
    <x:row r="430" ht="60" customHeight="1">
      <x:c r="A430" s="9" t="str">
        <x:v>RH7Zv8Iqw4s</x:v>
      </x:c>
      <x:c r="B430" s="10" t="str">
        <x:v>סיפורים מהכורסה 🛋️ | על מלחמת המפרץ - פרק 10 (פרק אחרון)</x:v>
      </x:c>
      <x:c r="C430" s="10" t="str">
        <x:v>Юмор и устный рассказ</x:v>
      </x:c>
      <x:c r="D430" s="9" t="str">
        <x:v>Культура</x:v>
      </x:c>
      <x:c r="E430" s="10" t="str">
        <x:v>Юмор; культура; взрослые</x:v>
      </x:c>
      <x:c r="F430" s="10" t="str">
        <x:v>B2–C1 (гипотеза)</x:v>
      </x:c>
      <x:c r="G430" s="12" t="n">
        <x:v>30.1</x:v>
      </x:c>
      <x:c r="H430" s="14" t="n">
        <x:v>174000</x:v>
      </x:c>
      <x:c r="I430" s="15" t="str">
        <x:v>Округлённый счётчик в списке YouTube</x:v>
      </x:c>
      <x:c r="J430" s="14" t="n">
        <x:v>174000</x:v>
      </x:c>
      <x:c r="K430" s="14" t="n">
        <x:v>257500</x:v>
      </x:c>
      <x:c r="L430" s="12" t="n">
        <x:f>IF(COUNT(J430:K430)=2,IF(K430=0,"",J430/K430),"")</x:f>
        <x:v>0.6757281553398058</x:v>
      </x:c>
      <x:c r="M430" s="10" t="str">
        <x:v>Тема: סיפורים מהכורסה 🛋️ | על מלחמת המפרץ - פרק 10 (פרק אחרון). Короткие личные истории и комики дают материал для пересказа и знакомства с культурными кодами.</x:v>
      </x:c>
      <x:c r="N430" s="10" t="str">
        <x:v>Разметить завязку, поворот и шутку; рассказать свою историю.</x:v>
      </x:c>
      <x:c r="O430" s="10" t="str">
        <x:v>Ненормативная лексика и быстрые перебивки</x:v>
      </x:c>
      <x:c r="P430" s="10" t="str">
        <x:v>Самостоятельное видео</x:v>
      </x:c>
      <x:c r="Q430" s="9" t="str">
        <x:v>Нет</x:v>
      </x:c>
      <x:c r="R430" s="9" t="str">
        <x:v>C025</x:v>
      </x:c>
      <x:c r="S430" s="9" t="str">
        <x:v>C025</x:v>
      </x:c>
      <x:c r="T430" s="10" t="str">
        <x:v>כאן 11 - תאגיד השידור הישראלי</x:v>
      </x:c>
      <x:c r="U430" s="11" t="str">
        <x:v>https://www.youtube.com/watch?v=RH7Zv8Iqw4s</x:v>
      </x:c>
      <x:c r="V430" s="16" t="n">
        <x:v>46308</x:v>
      </x:c>
      <x:c r="W430" s="16"/>
      <x:c r="X430" s="10" t="str">
        <x:v>Иврит предполагается по заголовку и источнику</x:v>
      </x:c>
      <x:c r="Y430" s="10" t="str">
        <x:v>Не проверено</x:v>
      </x:c>
      <x:c r="Z430" s="10" t="str">
        <x:v>Не проверено</x:v>
      </x:c>
      <x:c r="AA430" s="10" t="str">
        <x:v>Метаданные списка; видео не просмотрено</x:v>
      </x:c>
      <x:c r="AB430" s="13" t="str">
        <x:f>IF(AND(ISNUMBER(H430),ISNUMBER(W430)),H430/MAX(1,'Обзор'!$B$4-W430),"")</x:f>
      </x:c>
      <x:c r="AC430" s="17" t="str">
        <x:v>Не решено</x:v>
      </x:c>
      <x:c r="AD430" s="17" t="str">
        <x:v>Не проверено</x:v>
      </x:c>
      <x:c r="AE430" s="17" t="str">
        <x:v>Не проверено</x:v>
      </x:c>
      <x:c r="AF430" s="17" t="str">
        <x:v>Не проверено</x:v>
      </x:c>
      <x:c r="AG430" s="17" t="str">
        <x:v>Не решено</x:v>
      </x:c>
      <x:c r="AH430" s="17" t="str">
        <x:v>Не проверено</x:v>
      </x:c>
      <x:c r="AI430" s="10" t="str">
        <x:f>IF(AC430="Отклонить","Отклонено",IF(AND(AC430="Взять",COUNTIFS(AD430:AH430,"Да")=5),"Готово","Нужна редактура"))</x:f>
        <x:v>Нужна редактура</x:v>
      </x:c>
      <x:c r="AJ430" s="17" t="str"/>
      <x:c r="AK430" s="9" t="str">
        <x:v>https://www.youtube.com/playlist?list=PLLttfoK87AdXmAazQi6zmUZA6vLW7gNO_</x:v>
      </x:c>
      <x:c r="AL430" s="9" t="n">
        <x:v>10</x:v>
      </x:c>
      <x:c r="AM430" s="9" t="n">
        <x:v>10</x:v>
      </x:c>
      <x:c r="AN430" s="9"/>
    </x:row>
    <x:row r="431" ht="60" customHeight="1">
      <x:c r="A431" s="9" t="str">
        <x:v>MyM2tHGz4Rc</x:v>
      </x:c>
      <x:c r="B431" s="10" t="str">
        <x:v>היהודים באים - פרק 1 | כאן 11 לשעבר רשות השידור</x:v>
      </x:c>
      <x:c r="C431" s="10" t="str">
        <x:v>История и сатира</x:v>
      </x:c>
      <x:c r="D431" s="9" t="str">
        <x:v>Культура</x:v>
      </x:c>
      <x:c r="E431" s="10" t="str">
        <x:v>Юмор; еврейская культура; продвинутые</x:v>
      </x:c>
      <x:c r="F431" s="10" t="str">
        <x:v>B2–C1 (гипотеза)</x:v>
      </x:c>
      <x:c r="G431" s="12" t="n">
        <x:v>23.6</x:v>
      </x:c>
      <x:c r="H431" s="14" t="n">
        <x:v>1159812</x:v>
      </x:c>
      <x:c r="I431" s="15" t="str">
        <x:v>Точный счётчик метаданных видео</x:v>
      </x:c>
      <x:c r="J431" s="14" t="n">
        <x:v>1100000</x:v>
      </x:c>
      <x:c r="K431" s="14" t="n">
        <x:v>624000</x:v>
      </x:c>
      <x:c r="L431" s="12" t="n">
        <x:f>IF(COUNT(J431:K431)=2,IF(K431=0,"",J431/K431),"")</x:f>
        <x:v>1.7628205128205128</x:v>
      </x:c>
      <x:c r="M431" s="10" t="str">
        <x:v>Тема: היהודים באים - פרק 1 | כאן 11 לשעבר רשות השידור. Просмотры в списке выше медианы выборки этого цикла в 1.76 раза.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31" s="10" t="str">
        <x:v>Выбрать скетч; объяснить культурную отсылку и отдельно проверить историческую основу.</x:v>
      </x:c>
      <x:c r="O431" s="10" t="str">
        <x:v>Сатира; не использовать как историческое доказательство</x:v>
      </x:c>
      <x:c r="P431" s="10" t="str">
        <x:v>Самостоятельное видео</x:v>
      </x:c>
      <x:c r="Q431" s="9" t="str">
        <x:v>Нет</x:v>
      </x:c>
      <x:c r="R431" s="9" t="str">
        <x:v>C026</x:v>
      </x:c>
      <x:c r="S431" s="9" t="str">
        <x:v>C026</x:v>
      </x:c>
      <x:c r="T431" s="10" t="str">
        <x:v>כאן 11 - תאגיד השידור הישראלי</x:v>
      </x:c>
      <x:c r="U431" s="11" t="str">
        <x:v>https://www.youtube.com/watch?v=MyM2tHGz4Rc</x:v>
      </x:c>
      <x:c r="V431" s="16" t="n">
        <x:v>46308</x:v>
      </x:c>
      <x:c r="W431" s="16" t="n">
        <x:v>41952</x:v>
      </x:c>
      <x:c r="X431" s="10" t="str">
        <x:v>Иврит предполагается по заголовку и источнику</x:v>
      </x:c>
      <x:c r="Y431" s="10" t="str">
        <x:v>Автоматическая дорожка HE по метаданным</x:v>
      </x:c>
      <x:c r="Z431" s="10" t="str">
        <x:v>Разрешено по метаданным</x:v>
      </x:c>
      <x:c r="AA431" s="10" t="str">
        <x:v>Метаданные видео; воспроизведение и содержание не проверены</x:v>
      </x:c>
      <x:c r="AB431" s="13" t="n">
        <x:f>IF(AND(ISNUMBER(H431),ISNUMBER(W431)),H431/MAX(1,'Обзор'!$B$4-W431),"")</x:f>
        <x:v>266.25619834710744</x:v>
      </x:c>
      <x:c r="AC431" s="17" t="str">
        <x:v>Не решено</x:v>
      </x:c>
      <x:c r="AD431" s="17" t="str">
        <x:v>Не проверено</x:v>
      </x:c>
      <x:c r="AE431" s="17" t="str">
        <x:v>Не проверено</x:v>
      </x:c>
      <x:c r="AF431" s="17" t="str">
        <x:v>Не проверено</x:v>
      </x:c>
      <x:c r="AG431" s="17" t="str">
        <x:v>Не решено</x:v>
      </x:c>
      <x:c r="AH431" s="17" t="str">
        <x:v>Не проверено</x:v>
      </x:c>
      <x:c r="AI431" s="10" t="str">
        <x:f>IF(AC431="Отклонить","Отклонено",IF(AND(AC431="Взять",COUNTIFS(AD431:AH431,"Да")=5),"Готово","Нужна редактура"))</x:f>
        <x:v>Нужна редактура</x:v>
      </x:c>
      <x:c r="AJ431" s="17" t="str"/>
      <x:c r="AK431" s="9" t="str">
        <x:v>https://www.youtube.com/playlist?list=PLLttfoK87AdWkIef_dW-0bB4GQDMXmjlf</x:v>
      </x:c>
      <x:c r="AL431" s="9" t="n">
        <x:v>1</x:v>
      </x:c>
      <x:c r="AM431" s="9" t="n">
        <x:v>1</x:v>
      </x:c>
      <x:c r="AN431" s="9" t="n">
        <x:v>0</x:v>
      </x:c>
    </x:row>
    <x:row r="432" ht="60" customHeight="1">
      <x:c r="A432" s="9" t="str">
        <x:v>xjbCmjGTE0g</x:v>
      </x:c>
      <x:c r="B432" s="10" t="str">
        <x:v>היהודים באים - פרק 2 | כאן 11 לשעבר רשות השידור</x:v>
      </x:c>
      <x:c r="C432" s="10" t="str">
        <x:v>История и сатира</x:v>
      </x:c>
      <x:c r="D432" s="9" t="str">
        <x:v>Культура</x:v>
      </x:c>
      <x:c r="E432" s="10" t="str">
        <x:v>Юмор; еврейская культура; продвинутые</x:v>
      </x:c>
      <x:c r="F432" s="10" t="str">
        <x:v>B2–C1 (гипотеза)</x:v>
      </x:c>
      <x:c r="G432" s="12" t="n">
        <x:v>23</x:v>
      </x:c>
      <x:c r="H432" s="14" t="n">
        <x:v>799058</x:v>
      </x:c>
      <x:c r="I432" s="15" t="str">
        <x:v>Точный счётчик метаданных видео</x:v>
      </x:c>
      <x:c r="J432" s="14" t="n">
        <x:v>799000</x:v>
      </x:c>
      <x:c r="K432" s="14" t="n">
        <x:v>624000</x:v>
      </x:c>
      <x:c r="L432" s="12" t="n">
        <x:f>IF(COUNT(J432:K432)=2,IF(K432=0,"",J432/K432),"")</x:f>
        <x:v>1.2804487179487178</x:v>
      </x:c>
      <x:c r="M432" s="10" t="str">
        <x:v>Тема: היהודים באים - פרק 2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32" s="10" t="str">
        <x:v>Выбрать скетч; объяснить культурную отсылку и отдельно проверить историческую основу.</x:v>
      </x:c>
      <x:c r="O432" s="10" t="str">
        <x:v>Сатира; не использовать как историческое доказательство</x:v>
      </x:c>
      <x:c r="P432" s="10" t="str">
        <x:v>Самостоятельное видео</x:v>
      </x:c>
      <x:c r="Q432" s="9" t="str">
        <x:v>Нет</x:v>
      </x:c>
      <x:c r="R432" s="9" t="str">
        <x:v>C026</x:v>
      </x:c>
      <x:c r="S432" s="9" t="str">
        <x:v>C026</x:v>
      </x:c>
      <x:c r="T432" s="10" t="str">
        <x:v>כאן 11 - תאגיד השידור הישראלי</x:v>
      </x:c>
      <x:c r="U432" s="11" t="str">
        <x:v>https://www.youtube.com/watch?v=xjbCmjGTE0g</x:v>
      </x:c>
      <x:c r="V432" s="16" t="n">
        <x:v>46308</x:v>
      </x:c>
      <x:c r="W432" s="16" t="n">
        <x:v>41958</x:v>
      </x:c>
      <x:c r="X432" s="10" t="str">
        <x:v>Иврит предполагается по заголовку и источнику</x:v>
      </x:c>
      <x:c r="Y432" s="10" t="str">
        <x:v>Автоматическая дорожка HE по метаданным</x:v>
      </x:c>
      <x:c r="Z432" s="10" t="str">
        <x:v>Разрешено по метаданным</x:v>
      </x:c>
      <x:c r="AA432" s="10" t="str">
        <x:v>Метаданные видео; воспроизведение и содержание не проверены</x:v>
      </x:c>
      <x:c r="AB432" s="13" t="n">
        <x:f>IF(AND(ISNUMBER(H432),ISNUMBER(W432)),H432/MAX(1,'Обзор'!$B$4-W432),"")</x:f>
        <x:v>183.69149425287355</x:v>
      </x:c>
      <x:c r="AC432" s="17" t="str">
        <x:v>Не решено</x:v>
      </x:c>
      <x:c r="AD432" s="17" t="str">
        <x:v>Не проверено</x:v>
      </x:c>
      <x:c r="AE432" s="17" t="str">
        <x:v>Не проверено</x:v>
      </x:c>
      <x:c r="AF432" s="17" t="str">
        <x:v>Не проверено</x:v>
      </x:c>
      <x:c r="AG432" s="17" t="str">
        <x:v>Не решено</x:v>
      </x:c>
      <x:c r="AH432" s="17" t="str">
        <x:v>Не проверено</x:v>
      </x:c>
      <x:c r="AI432" s="10" t="str">
        <x:f>IF(AC432="Отклонить","Отклонено",IF(AND(AC432="Взять",COUNTIFS(AD432:AH432,"Да")=5),"Готово","Нужна редактура"))</x:f>
        <x:v>Нужна редактура</x:v>
      </x:c>
      <x:c r="AJ432" s="17" t="str"/>
      <x:c r="AK432" s="9" t="str">
        <x:v>https://www.youtube.com/playlist?list=PLLttfoK87AdWkIef_dW-0bB4GQDMXmjlf</x:v>
      </x:c>
      <x:c r="AL432" s="9" t="n">
        <x:v>2</x:v>
      </x:c>
      <x:c r="AM432" s="9" t="n">
        <x:v>2</x:v>
      </x:c>
      <x:c r="AN432" s="9" t="n">
        <x:v>0</x:v>
      </x:c>
    </x:row>
    <x:row r="433" ht="60" customHeight="1">
      <x:c r="A433" s="9" t="str">
        <x:v>cwgGE1QKD8E</x:v>
      </x:c>
      <x:c r="B433" s="10" t="str">
        <x:v>היהודים באים  - פרק 3 | כאן 11 לשעבר רשות השידור</x:v>
      </x:c>
      <x:c r="C433" s="10" t="str">
        <x:v>История и сатира</x:v>
      </x:c>
      <x:c r="D433" s="9" t="str">
        <x:v>Культура</x:v>
      </x:c>
      <x:c r="E433" s="10" t="str">
        <x:v>Юмор; еврейская культура; продвинутые</x:v>
      </x:c>
      <x:c r="F433" s="10" t="str">
        <x:v>B2–C1 (гипотеза)</x:v>
      </x:c>
      <x:c r="G433" s="12" t="n">
        <x:v>23.9</x:v>
      </x:c>
      <x:c r="H433" s="14" t="n">
        <x:v>675252</x:v>
      </x:c>
      <x:c r="I433" s="15" t="str">
        <x:v>Точный счётчик метаданных видео</x:v>
      </x:c>
      <x:c r="J433" s="14" t="n">
        <x:v>675000</x:v>
      </x:c>
      <x:c r="K433" s="14" t="n">
        <x:v>624000</x:v>
      </x:c>
      <x:c r="L433" s="12" t="n">
        <x:f>IF(COUNT(J433:K433)=2,IF(K433=0,"",J433/K433),"")</x:f>
        <x:v>1.0817307692307692</x:v>
      </x:c>
      <x:c r="M433" s="10" t="str">
        <x:v>Тема: היהודים באים  - פרק 3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33" s="10" t="str">
        <x:v>Выбрать скетч; объяснить культурную отсылку и отдельно проверить историческую основу.</x:v>
      </x:c>
      <x:c r="O433" s="10" t="str">
        <x:v>Сатира; не использовать как историческое доказательство</x:v>
      </x:c>
      <x:c r="P433" s="10" t="str">
        <x:v>Самостоятельное видео</x:v>
      </x:c>
      <x:c r="Q433" s="9" t="str">
        <x:v>Нет</x:v>
      </x:c>
      <x:c r="R433" s="9" t="str">
        <x:v>C026</x:v>
      </x:c>
      <x:c r="S433" s="9" t="str">
        <x:v>C026</x:v>
      </x:c>
      <x:c r="T433" s="10" t="str">
        <x:v>כאן 11 - תאגיד השידור הישראלי</x:v>
      </x:c>
      <x:c r="U433" s="11" t="str">
        <x:v>https://www.youtube.com/watch?v=cwgGE1QKD8E</x:v>
      </x:c>
      <x:c r="V433" s="16" t="n">
        <x:v>46308</x:v>
      </x:c>
      <x:c r="W433" s="16" t="n">
        <x:v>41965</x:v>
      </x:c>
      <x:c r="X433" s="10" t="str">
        <x:v>Иврит предполагается по заголовку и источнику</x:v>
      </x:c>
      <x:c r="Y433" s="10" t="str">
        <x:v>Автоматическая дорожка HE по метаданным</x:v>
      </x:c>
      <x:c r="Z433" s="10" t="str">
        <x:v>Разрешено по метаданным</x:v>
      </x:c>
      <x:c r="AA433" s="10" t="str">
        <x:v>Метаданные видео; воспроизведение и содержание не проверены</x:v>
      </x:c>
      <x:c r="AB433" s="13" t="n">
        <x:f>IF(AND(ISNUMBER(H433),ISNUMBER(W433)),H433/MAX(1,'Обзор'!$B$4-W433),"")</x:f>
        <x:v>155.48054340317753</x:v>
      </x:c>
      <x:c r="AC433" s="17" t="str">
        <x:v>Не решено</x:v>
      </x:c>
      <x:c r="AD433" s="17" t="str">
        <x:v>Не проверено</x:v>
      </x:c>
      <x:c r="AE433" s="17" t="str">
        <x:v>Не проверено</x:v>
      </x:c>
      <x:c r="AF433" s="17" t="str">
        <x:v>Не проверено</x:v>
      </x:c>
      <x:c r="AG433" s="17" t="str">
        <x:v>Не решено</x:v>
      </x:c>
      <x:c r="AH433" s="17" t="str">
        <x:v>Не проверено</x:v>
      </x:c>
      <x:c r="AI433" s="10" t="str">
        <x:f>IF(AC433="Отклонить","Отклонено",IF(AND(AC433="Взять",COUNTIFS(AD433:AH433,"Да")=5),"Готово","Нужна редактура"))</x:f>
        <x:v>Нужна редактура</x:v>
      </x:c>
      <x:c r="AJ433" s="17" t="str"/>
      <x:c r="AK433" s="9" t="str">
        <x:v>https://www.youtube.com/playlist?list=PLLttfoK87AdWkIef_dW-0bB4GQDMXmjlf</x:v>
      </x:c>
      <x:c r="AL433" s="9" t="n">
        <x:v>3</x:v>
      </x:c>
      <x:c r="AM433" s="9" t="n">
        <x:v>3</x:v>
      </x:c>
      <x:c r="AN433" s="9" t="n">
        <x:v>0</x:v>
      </x:c>
    </x:row>
    <x:row r="434" ht="60" customHeight="1">
      <x:c r="A434" s="9" t="str">
        <x:v>gUfkaiozRBc</x:v>
      </x:c>
      <x:c r="B434" s="10" t="str">
        <x:v>היהודים באים - פרק 4 | כאן 11 לשעבר רשות השידור</x:v>
      </x:c>
      <x:c r="C434" s="10" t="str">
        <x:v>История и сатира</x:v>
      </x:c>
      <x:c r="D434" s="9" t="str">
        <x:v>Культура</x:v>
      </x:c>
      <x:c r="E434" s="10" t="str">
        <x:v>Юмор; еврейская культура; продвинутые</x:v>
      </x:c>
      <x:c r="F434" s="10" t="str">
        <x:v>B2–C1 (гипотеза)</x:v>
      </x:c>
      <x:c r="G434" s="12" t="n">
        <x:v>24.6</x:v>
      </x:c>
      <x:c r="H434" s="14" t="n">
        <x:v>613580</x:v>
      </x:c>
      <x:c r="I434" s="15" t="str">
        <x:v>Точный счётчик метаданных видео</x:v>
      </x:c>
      <x:c r="J434" s="14" t="n">
        <x:v>613000</x:v>
      </x:c>
      <x:c r="K434" s="14" t="n">
        <x:v>624000</x:v>
      </x:c>
      <x:c r="L434" s="12" t="n">
        <x:f>IF(COUNT(J434:K434)=2,IF(K434=0,"",J434/K434),"")</x:f>
        <x:v>0.9823717948717948</x:v>
      </x:c>
      <x:c r="M434" s="10" t="str">
        <x:v>Тема: היהודים באים - פרק 4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34" s="10" t="str">
        <x:v>Выбрать скетч; объяснить культурную отсылку и отдельно проверить историческую основу.</x:v>
      </x:c>
      <x:c r="O434" s="10" t="str">
        <x:v>Сатира; не использовать как историческое доказательство</x:v>
      </x:c>
      <x:c r="P434" s="10" t="str">
        <x:v>Самостоятельное видео</x:v>
      </x:c>
      <x:c r="Q434" s="9" t="str">
        <x:v>Нет</x:v>
      </x:c>
      <x:c r="R434" s="9" t="str">
        <x:v>C026</x:v>
      </x:c>
      <x:c r="S434" s="9" t="str">
        <x:v>C026</x:v>
      </x:c>
      <x:c r="T434" s="10" t="str">
        <x:v>כאן 11 - תאגיד השידור הישראלי</x:v>
      </x:c>
      <x:c r="U434" s="11" t="str">
        <x:v>https://www.youtube.com/watch?v=gUfkaiozRBc</x:v>
      </x:c>
      <x:c r="V434" s="16" t="n">
        <x:v>46308</x:v>
      </x:c>
      <x:c r="W434" s="16" t="n">
        <x:v>41972</x:v>
      </x:c>
      <x:c r="X434" s="10" t="str">
        <x:v>Иврит предполагается по заголовку и источнику</x:v>
      </x:c>
      <x:c r="Y434" s="10" t="str">
        <x:v>Дорожка HE не найдена в метаданных; вшитые титры не проверены</x:v>
      </x:c>
      <x:c r="Z434" s="10" t="str">
        <x:v>Разрешено по метаданным</x:v>
      </x:c>
      <x:c r="AA434" s="10" t="str">
        <x:v>Метаданные видео; воспроизведение и содержание не проверены</x:v>
      </x:c>
      <x:c r="AB434" s="13" t="n">
        <x:f>IF(AND(ISNUMBER(H434),ISNUMBER(W434)),H434/MAX(1,'Обзор'!$B$4-W434),"")</x:f>
        <x:v>141.50830258302582</x:v>
      </x:c>
      <x:c r="AC434" s="17" t="str">
        <x:v>Не решено</x:v>
      </x:c>
      <x:c r="AD434" s="17" t="str">
        <x:v>Не проверено</x:v>
      </x:c>
      <x:c r="AE434" s="17" t="str">
        <x:v>Не проверено</x:v>
      </x:c>
      <x:c r="AF434" s="17" t="str">
        <x:v>Не проверено</x:v>
      </x:c>
      <x:c r="AG434" s="17" t="str">
        <x:v>Не решено</x:v>
      </x:c>
      <x:c r="AH434" s="17" t="str">
        <x:v>Не проверено</x:v>
      </x:c>
      <x:c r="AI434" s="10" t="str">
        <x:f>IF(AC434="Отклонить","Отклонено",IF(AND(AC434="Взять",COUNTIFS(AD434:AH434,"Да")=5),"Готово","Нужна редактура"))</x:f>
        <x:v>Нужна редактура</x:v>
      </x:c>
      <x:c r="AJ434" s="17" t="str"/>
      <x:c r="AK434" s="9" t="str">
        <x:v>https://www.youtube.com/playlist?list=PLLttfoK87AdWkIef_dW-0bB4GQDMXmjlf</x:v>
      </x:c>
      <x:c r="AL434" s="9" t="n">
        <x:v>4</x:v>
      </x:c>
      <x:c r="AM434" s="9" t="n">
        <x:v>4</x:v>
      </x:c>
      <x:c r="AN434" s="9" t="n">
        <x:v>0</x:v>
      </x:c>
    </x:row>
    <x:row r="435" ht="60" customHeight="1">
      <x:c r="A435" s="9" t="str">
        <x:v>p4c9dL0Ve0w</x:v>
      </x:c>
      <x:c r="B435" s="10" t="str">
        <x:v>היהודים באים - פרק 5 | כאן 11 לשעבר רשות השידור</x:v>
      </x:c>
      <x:c r="C435" s="10" t="str">
        <x:v>История и сатира</x:v>
      </x:c>
      <x:c r="D435" s="9" t="str">
        <x:v>Культура</x:v>
      </x:c>
      <x:c r="E435" s="10" t="str">
        <x:v>Юмор; еврейская культура; продвинутые</x:v>
      </x:c>
      <x:c r="F435" s="10" t="str">
        <x:v>B2–C1 (гипотеза)</x:v>
      </x:c>
      <x:c r="G435" s="12" t="n">
        <x:v>23.9</x:v>
      </x:c>
      <x:c r="H435" s="14" t="n">
        <x:v>669372</x:v>
      </x:c>
      <x:c r="I435" s="15" t="str">
        <x:v>Точный счётчик метаданных видео</x:v>
      </x:c>
      <x:c r="J435" s="14" t="n">
        <x:v>669000</x:v>
      </x:c>
      <x:c r="K435" s="14" t="n">
        <x:v>624000</x:v>
      </x:c>
      <x:c r="L435" s="12" t="n">
        <x:f>IF(COUNT(J435:K435)=2,IF(K435=0,"",J435/K435),"")</x:f>
        <x:v>1.0721153846153846</x:v>
      </x:c>
      <x:c r="M435" s="10" t="str">
        <x:v>Тема: היהודים באים - פרק 5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35" s="10" t="str">
        <x:v>Выбрать скетч; объяснить культурную отсылку и отдельно проверить историческую основу.</x:v>
      </x:c>
      <x:c r="O435" s="10" t="str">
        <x:v>Сатира; не использовать как историческое доказательство</x:v>
      </x:c>
      <x:c r="P435" s="10" t="str">
        <x:v>Самостоятельное видео</x:v>
      </x:c>
      <x:c r="Q435" s="9" t="str">
        <x:v>Нет</x:v>
      </x:c>
      <x:c r="R435" s="9" t="str">
        <x:v>C026</x:v>
      </x:c>
      <x:c r="S435" s="9" t="str">
        <x:v>C026</x:v>
      </x:c>
      <x:c r="T435" s="10" t="str">
        <x:v>כאן 11 - תאגיד השידור הישראלי</x:v>
      </x:c>
      <x:c r="U435" s="11" t="str">
        <x:v>https://www.youtube.com/watch?v=p4c9dL0Ve0w</x:v>
      </x:c>
      <x:c r="V435" s="16" t="n">
        <x:v>46308</x:v>
      </x:c>
      <x:c r="W435" s="16" t="n">
        <x:v>41979</x:v>
      </x:c>
      <x:c r="X435" s="10" t="str">
        <x:v>Иврит предполагается по заголовку и источнику</x:v>
      </x:c>
      <x:c r="Y435" s="10" t="str">
        <x:v>Автоматическая дорожка HE по метаданным</x:v>
      </x:c>
      <x:c r="Z435" s="10" t="str">
        <x:v>Разрешено по метаданным</x:v>
      </x:c>
      <x:c r="AA435" s="10" t="str">
        <x:v>Метаданные видео; воспроизведение и содержание не проверены</x:v>
      </x:c>
      <x:c r="AB435" s="13" t="n">
        <x:f>IF(AND(ISNUMBER(H435),ISNUMBER(W435)),H435/MAX(1,'Обзор'!$B$4-W435),"")</x:f>
        <x:v>154.62508662508662</x:v>
      </x:c>
      <x:c r="AC435" s="17" t="str">
        <x:v>Не решено</x:v>
      </x:c>
      <x:c r="AD435" s="17" t="str">
        <x:v>Не проверено</x:v>
      </x:c>
      <x:c r="AE435" s="17" t="str">
        <x:v>Не проверено</x:v>
      </x:c>
      <x:c r="AF435" s="17" t="str">
        <x:v>Не проверено</x:v>
      </x:c>
      <x:c r="AG435" s="17" t="str">
        <x:v>Не решено</x:v>
      </x:c>
      <x:c r="AH435" s="17" t="str">
        <x:v>Не проверено</x:v>
      </x:c>
      <x:c r="AI435" s="10" t="str">
        <x:f>IF(AC435="Отклонить","Отклонено",IF(AND(AC435="Взять",COUNTIFS(AD435:AH435,"Да")=5),"Готово","Нужна редактура"))</x:f>
        <x:v>Нужна редактура</x:v>
      </x:c>
      <x:c r="AJ435" s="17" t="str"/>
      <x:c r="AK435" s="9" t="str">
        <x:v>https://www.youtube.com/playlist?list=PLLttfoK87AdWkIef_dW-0bB4GQDMXmjlf</x:v>
      </x:c>
      <x:c r="AL435" s="9" t="n">
        <x:v>5</x:v>
      </x:c>
      <x:c r="AM435" s="9" t="n">
        <x:v>5</x:v>
      </x:c>
      <x:c r="AN435" s="9" t="n">
        <x:v>0</x:v>
      </x:c>
    </x:row>
    <x:row r="436" ht="60" customHeight="1">
      <x:c r="A436" s="9" t="str">
        <x:v>IdKMd5OIvaA</x:v>
      </x:c>
      <x:c r="B436" s="10" t="str">
        <x:v>היהודים באים - פרק 6 | כאן 11 לשעבר רשות השידור</x:v>
      </x:c>
      <x:c r="C436" s="10" t="str">
        <x:v>История и сатира</x:v>
      </x:c>
      <x:c r="D436" s="9" t="str">
        <x:v>Культура</x:v>
      </x:c>
      <x:c r="E436" s="10" t="str">
        <x:v>Юмор; еврейская культура; продвинутые</x:v>
      </x:c>
      <x:c r="F436" s="10" t="str">
        <x:v>B2–C1 (гипотеза)</x:v>
      </x:c>
      <x:c r="G436" s="12" t="n">
        <x:v>25.1</x:v>
      </x:c>
      <x:c r="H436" s="14" t="n">
        <x:v>497797</x:v>
      </x:c>
      <x:c r="I436" s="15" t="str">
        <x:v>Точный счётчик метаданных видео</x:v>
      </x:c>
      <x:c r="J436" s="14" t="n">
        <x:v>497000</x:v>
      </x:c>
      <x:c r="K436" s="14" t="n">
        <x:v>624000</x:v>
      </x:c>
      <x:c r="L436" s="12" t="n">
        <x:f>IF(COUNT(J436:K436)=2,IF(K436=0,"",J436/K436),"")</x:f>
        <x:v>0.7964743589743589</x:v>
      </x:c>
      <x:c r="M436" s="10" t="str">
        <x:v>Тема: היהודים באים - פרק 6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36" s="10" t="str">
        <x:v>Выбрать скетч; объяснить культурную отсылку и отдельно проверить историческую основу.</x:v>
      </x:c>
      <x:c r="O436" s="10" t="str">
        <x:v>Сатира; не использовать как историческое доказательство</x:v>
      </x:c>
      <x:c r="P436" s="10" t="str">
        <x:v>Самостоятельное видео</x:v>
      </x:c>
      <x:c r="Q436" s="9" t="str">
        <x:v>Нет</x:v>
      </x:c>
      <x:c r="R436" s="9" t="str">
        <x:v>C026</x:v>
      </x:c>
      <x:c r="S436" s="9" t="str">
        <x:v>C026</x:v>
      </x:c>
      <x:c r="T436" s="10" t="str">
        <x:v>כאן 11 - תאגיד השידור הישראלי</x:v>
      </x:c>
      <x:c r="U436" s="11" t="str">
        <x:v>https://www.youtube.com/watch?v=IdKMd5OIvaA</x:v>
      </x:c>
      <x:c r="V436" s="16" t="n">
        <x:v>46308</x:v>
      </x:c>
      <x:c r="W436" s="16" t="n">
        <x:v>41986</x:v>
      </x:c>
      <x:c r="X436" s="10" t="str">
        <x:v>Иврит предполагается по заголовку и источнику</x:v>
      </x:c>
      <x:c r="Y436" s="10" t="str">
        <x:v>Автоматическая дорожка HE по метаданным</x:v>
      </x:c>
      <x:c r="Z436" s="10" t="str">
        <x:v>Разрешено по метаданным</x:v>
      </x:c>
      <x:c r="AA436" s="10" t="str">
        <x:v>Метаданные видео; воспроизведение и содержание не проверены</x:v>
      </x:c>
      <x:c r="AB436" s="13" t="n">
        <x:f>IF(AND(ISNUMBER(H436),ISNUMBER(W436)),H436/MAX(1,'Обзор'!$B$4-W436),"")</x:f>
        <x:v>115.17746413697363</x:v>
      </x:c>
      <x:c r="AC436" s="17" t="str">
        <x:v>Не решено</x:v>
      </x:c>
      <x:c r="AD436" s="17" t="str">
        <x:v>Не проверено</x:v>
      </x:c>
      <x:c r="AE436" s="17" t="str">
        <x:v>Не проверено</x:v>
      </x:c>
      <x:c r="AF436" s="17" t="str">
        <x:v>Не проверено</x:v>
      </x:c>
      <x:c r="AG436" s="17" t="str">
        <x:v>Не решено</x:v>
      </x:c>
      <x:c r="AH436" s="17" t="str">
        <x:v>Не проверено</x:v>
      </x:c>
      <x:c r="AI436" s="10" t="str">
        <x:f>IF(AC436="Отклонить","Отклонено",IF(AND(AC436="Взять",COUNTIFS(AD436:AH436,"Да")=5),"Готово","Нужна редактура"))</x:f>
        <x:v>Нужна редактура</x:v>
      </x:c>
      <x:c r="AJ436" s="17" t="str"/>
      <x:c r="AK436" s="9" t="str">
        <x:v>https://www.youtube.com/playlist?list=PLLttfoK87AdWkIef_dW-0bB4GQDMXmjlf</x:v>
      </x:c>
      <x:c r="AL436" s="9" t="n">
        <x:v>6</x:v>
      </x:c>
      <x:c r="AM436" s="9" t="n">
        <x:v>6</x:v>
      </x:c>
      <x:c r="AN436" s="9" t="n">
        <x:v>0</x:v>
      </x:c>
    </x:row>
    <x:row r="437" ht="60" customHeight="1">
      <x:c r="A437" s="9" t="str">
        <x:v>KMypN0paJoA</x:v>
      </x:c>
      <x:c r="B437" s="10" t="str">
        <x:v>היהודים באים - פרק 7 | כאן 11 לשעבר רשות השידור</x:v>
      </x:c>
      <x:c r="C437" s="10" t="str">
        <x:v>История и сатира</x:v>
      </x:c>
      <x:c r="D437" s="9" t="str">
        <x:v>Культура</x:v>
      </x:c>
      <x:c r="E437" s="10" t="str">
        <x:v>Юмор; еврейская культура; продвинутые</x:v>
      </x:c>
      <x:c r="F437" s="10" t="str">
        <x:v>B2–C1 (гипотеза)</x:v>
      </x:c>
      <x:c r="G437" s="12" t="n">
        <x:v>24.4</x:v>
      </x:c>
      <x:c r="H437" s="14" t="n">
        <x:v>706722</x:v>
      </x:c>
      <x:c r="I437" s="15" t="str">
        <x:v>Точный счётчик метаданных видео</x:v>
      </x:c>
      <x:c r="J437" s="14" t="n">
        <x:v>706000</x:v>
      </x:c>
      <x:c r="K437" s="14" t="n">
        <x:v>624000</x:v>
      </x:c>
      <x:c r="L437" s="12" t="n">
        <x:f>IF(COUNT(J437:K437)=2,IF(K437=0,"",J437/K437),"")</x:f>
        <x:v>1.1314102564102564</x:v>
      </x:c>
      <x:c r="M437" s="10" t="str">
        <x:v>Тема: היהודים באים - פרק 7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37" s="10" t="str">
        <x:v>Выбрать скетч; объяснить культурную отсылку и отдельно проверить историческую основу.</x:v>
      </x:c>
      <x:c r="O437" s="10" t="str">
        <x:v>Сатира; не использовать как историческое доказательство</x:v>
      </x:c>
      <x:c r="P437" s="10" t="str">
        <x:v>Самостоятельное видео</x:v>
      </x:c>
      <x:c r="Q437" s="9" t="str">
        <x:v>Нет</x:v>
      </x:c>
      <x:c r="R437" s="9" t="str">
        <x:v>C026</x:v>
      </x:c>
      <x:c r="S437" s="9" t="str">
        <x:v>C026</x:v>
      </x:c>
      <x:c r="T437" s="10" t="str">
        <x:v>כאן 11 - תאגיד השידור הישראלי</x:v>
      </x:c>
      <x:c r="U437" s="11" t="str">
        <x:v>https://www.youtube.com/watch?v=KMypN0paJoA</x:v>
      </x:c>
      <x:c r="V437" s="16" t="n">
        <x:v>46308</x:v>
      </x:c>
      <x:c r="W437" s="16" t="n">
        <x:v>41993</x:v>
      </x:c>
      <x:c r="X437" s="10" t="str">
        <x:v>Иврит предполагается по заголовку и источнику</x:v>
      </x:c>
      <x:c r="Y437" s="10" t="str">
        <x:v>Автоматическая дорожка HE по метаданным</x:v>
      </x:c>
      <x:c r="Z437" s="10" t="str">
        <x:v>Разрешено по метаданным</x:v>
      </x:c>
      <x:c r="AA437" s="10" t="str">
        <x:v>Метаданные видео; воспроизведение и содержание не проверены</x:v>
      </x:c>
      <x:c r="AB437" s="13" t="n">
        <x:f>IF(AND(ISNUMBER(H437),ISNUMBER(W437)),H437/MAX(1,'Обзор'!$B$4-W437),"")</x:f>
        <x:v>163.78261877172653</x:v>
      </x:c>
      <x:c r="AC437" s="17" t="str">
        <x:v>Не решено</x:v>
      </x:c>
      <x:c r="AD437" s="17" t="str">
        <x:v>Не проверено</x:v>
      </x:c>
      <x:c r="AE437" s="17" t="str">
        <x:v>Не проверено</x:v>
      </x:c>
      <x:c r="AF437" s="17" t="str">
        <x:v>Не проверено</x:v>
      </x:c>
      <x:c r="AG437" s="17" t="str">
        <x:v>Не решено</x:v>
      </x:c>
      <x:c r="AH437" s="17" t="str">
        <x:v>Не проверено</x:v>
      </x:c>
      <x:c r="AI437" s="10" t="str">
        <x:f>IF(AC437="Отклонить","Отклонено",IF(AND(AC437="Взять",COUNTIFS(AD437:AH437,"Да")=5),"Готово","Нужна редактура"))</x:f>
        <x:v>Нужна редактура</x:v>
      </x:c>
      <x:c r="AJ437" s="17" t="str"/>
      <x:c r="AK437" s="9" t="str">
        <x:v>https://www.youtube.com/playlist?list=PLLttfoK87AdWkIef_dW-0bB4GQDMXmjlf</x:v>
      </x:c>
      <x:c r="AL437" s="9" t="n">
        <x:v>7</x:v>
      </x:c>
      <x:c r="AM437" s="9" t="n">
        <x:v>7</x:v>
      </x:c>
      <x:c r="AN437" s="9" t="n">
        <x:v>0</x:v>
      </x:c>
    </x:row>
    <x:row r="438" ht="60" customHeight="1">
      <x:c r="A438" s="9" t="str">
        <x:v>09qhRalUy5Q</x:v>
      </x:c>
      <x:c r="B438" s="10" t="str">
        <x:v>היהודים באים - פרק 8 | כאן 11 לשעבר רשות השידור</x:v>
      </x:c>
      <x:c r="C438" s="10" t="str">
        <x:v>История и сатира</x:v>
      </x:c>
      <x:c r="D438" s="9" t="str">
        <x:v>Культура</x:v>
      </x:c>
      <x:c r="E438" s="10" t="str">
        <x:v>Юмор; еврейская культура; продвинутые</x:v>
      </x:c>
      <x:c r="F438" s="10" t="str">
        <x:v>B2–C1 (гипотеза)</x:v>
      </x:c>
      <x:c r="G438" s="12" t="n">
        <x:v>23.3</x:v>
      </x:c>
      <x:c r="H438" s="14" t="n">
        <x:v>387000</x:v>
      </x:c>
      <x:c r="I438" s="15" t="str">
        <x:v>Округлённый счётчик в списке YouTube</x:v>
      </x:c>
      <x:c r="J438" s="14" t="n">
        <x:v>387000</x:v>
      </x:c>
      <x:c r="K438" s="14" t="n">
        <x:v>624000</x:v>
      </x:c>
      <x:c r="L438" s="12" t="n">
        <x:f>IF(COUNT(J438:K438)=2,IF(K438=0,"",J438/K438),"")</x:f>
        <x:v>0.6201923076923077</x:v>
      </x:c>
      <x:c r="M438" s="10" t="str">
        <x:v>Тема: היהודים באים - פרק 8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38" s="10" t="str">
        <x:v>Выбрать скетч; объяснить культурную отсылку и отдельно проверить историческую основу.</x:v>
      </x:c>
      <x:c r="O438" s="10" t="str">
        <x:v>Сатира; не использовать как историческое доказательство</x:v>
      </x:c>
      <x:c r="P438" s="10" t="str">
        <x:v>Самостоятельное видео</x:v>
      </x:c>
      <x:c r="Q438" s="9" t="str">
        <x:v>Нет</x:v>
      </x:c>
      <x:c r="R438" s="9" t="str">
        <x:v>C026</x:v>
      </x:c>
      <x:c r="S438" s="9" t="str">
        <x:v>C026</x:v>
      </x:c>
      <x:c r="T438" s="10" t="str">
        <x:v>כאן 11 - תאגיד השידור הישראלי</x:v>
      </x:c>
      <x:c r="U438" s="11" t="str">
        <x:v>https://www.youtube.com/watch?v=09qhRalUy5Q</x:v>
      </x:c>
      <x:c r="V438" s="16" t="n">
        <x:v>46308</x:v>
      </x:c>
      <x:c r="W438" s="16"/>
      <x:c r="X438" s="10" t="str">
        <x:v>Иврит предполагается по заголовку и источнику</x:v>
      </x:c>
      <x:c r="Y438" s="10" t="str">
        <x:v>Не проверено</x:v>
      </x:c>
      <x:c r="Z438" s="10" t="str">
        <x:v>Не проверено</x:v>
      </x:c>
      <x:c r="AA438" s="10" t="str">
        <x:v>Метаданные списка; видео не просмотрено</x:v>
      </x:c>
      <x:c r="AB438" s="13" t="str">
        <x:f>IF(AND(ISNUMBER(H438),ISNUMBER(W438)),H438/MAX(1,'Обзор'!$B$4-W438),"")</x:f>
      </x:c>
      <x:c r="AC438" s="17" t="str">
        <x:v>Не решено</x:v>
      </x:c>
      <x:c r="AD438" s="17" t="str">
        <x:v>Не проверено</x:v>
      </x:c>
      <x:c r="AE438" s="17" t="str">
        <x:v>Не проверено</x:v>
      </x:c>
      <x:c r="AF438" s="17" t="str">
        <x:v>Не проверено</x:v>
      </x:c>
      <x:c r="AG438" s="17" t="str">
        <x:v>Не решено</x:v>
      </x:c>
      <x:c r="AH438" s="17" t="str">
        <x:v>Не проверено</x:v>
      </x:c>
      <x:c r="AI438" s="10" t="str">
        <x:f>IF(AC438="Отклонить","Отклонено",IF(AND(AC438="Взять",COUNTIFS(AD438:AH438,"Да")=5),"Готово","Нужна редактура"))</x:f>
        <x:v>Нужна редактура</x:v>
      </x:c>
      <x:c r="AJ438" s="17" t="str"/>
      <x:c r="AK438" s="9" t="str">
        <x:v>https://www.youtube.com/playlist?list=PLLttfoK87AdWkIef_dW-0bB4GQDMXmjlf</x:v>
      </x:c>
      <x:c r="AL438" s="9" t="n">
        <x:v>8</x:v>
      </x:c>
      <x:c r="AM438" s="9" t="n">
        <x:v>8</x:v>
      </x:c>
      <x:c r="AN438" s="9"/>
    </x:row>
    <x:row r="439" ht="60" customHeight="1">
      <x:c r="A439" s="9" t="str">
        <x:v>fioCmhz-3ME</x:v>
      </x:c>
      <x:c r="B439" s="10" t="str">
        <x:v>היהודים באים  - פרק 9 | כאן 11 לשעבר רשות השידור</x:v>
      </x:c>
      <x:c r="C439" s="10" t="str">
        <x:v>История и сатира</x:v>
      </x:c>
      <x:c r="D439" s="9" t="str">
        <x:v>Культура</x:v>
      </x:c>
      <x:c r="E439" s="10" t="str">
        <x:v>Юмор; еврейская культура; продвинутые</x:v>
      </x:c>
      <x:c r="F439" s="10" t="str">
        <x:v>B2–C1 (гипотеза)</x:v>
      </x:c>
      <x:c r="G439" s="12" t="n">
        <x:v>27.7</x:v>
      </x:c>
      <x:c r="H439" s="14" t="n">
        <x:v>635079</x:v>
      </x:c>
      <x:c r="I439" s="15" t="str">
        <x:v>Точный счётчик метаданных видео</x:v>
      </x:c>
      <x:c r="J439" s="14" t="n">
        <x:v>635000</x:v>
      </x:c>
      <x:c r="K439" s="14" t="n">
        <x:v>624000</x:v>
      </x:c>
      <x:c r="L439" s="12" t="n">
        <x:f>IF(COUNT(J439:K439)=2,IF(K439=0,"",J439/K439),"")</x:f>
        <x:v>1.017628205128205</x:v>
      </x:c>
      <x:c r="M439" s="10" t="str">
        <x:v>Тема: היהודים באים  - פרק 9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39" s="10" t="str">
        <x:v>Выбрать скетч; объяснить культурную отсылку и отдельно проверить историческую основу.</x:v>
      </x:c>
      <x:c r="O439" s="10" t="str">
        <x:v>Сатира; не использовать как историческое доказательство</x:v>
      </x:c>
      <x:c r="P439" s="10" t="str">
        <x:v>Самостоятельное видео</x:v>
      </x:c>
      <x:c r="Q439" s="9" t="str">
        <x:v>Нет</x:v>
      </x:c>
      <x:c r="R439" s="9" t="str">
        <x:v>C026</x:v>
      </x:c>
      <x:c r="S439" s="9" t="str">
        <x:v>C026</x:v>
      </x:c>
      <x:c r="T439" s="10" t="str">
        <x:v>כאן 11 - תאגיד השידור הישראלי</x:v>
      </x:c>
      <x:c r="U439" s="11" t="str">
        <x:v>https://www.youtube.com/watch?v=fioCmhz-3ME</x:v>
      </x:c>
      <x:c r="V439" s="16" t="n">
        <x:v>46308</x:v>
      </x:c>
      <x:c r="W439" s="16" t="n">
        <x:v>42006</x:v>
      </x:c>
      <x:c r="X439" s="10" t="str">
        <x:v>Иврит предполагается по заголовку и источнику</x:v>
      </x:c>
      <x:c r="Y439" s="10" t="str">
        <x:v>Автоматическая дорожка HE по метаданным</x:v>
      </x:c>
      <x:c r="Z439" s="10" t="str">
        <x:v>Разрешено по метаданным</x:v>
      </x:c>
      <x:c r="AA439" s="10" t="str">
        <x:v>Метаданные видео; воспроизведение и содержание не проверены</x:v>
      </x:c>
      <x:c r="AB439" s="13" t="n">
        <x:f>IF(AND(ISNUMBER(H439),ISNUMBER(W439)),H439/MAX(1,'Обзор'!$B$4-W439),"")</x:f>
        <x:v>147.62412831241284</x:v>
      </x:c>
      <x:c r="AC439" s="17" t="str">
        <x:v>Не решено</x:v>
      </x:c>
      <x:c r="AD439" s="17" t="str">
        <x:v>Не проверено</x:v>
      </x:c>
      <x:c r="AE439" s="17" t="str">
        <x:v>Не проверено</x:v>
      </x:c>
      <x:c r="AF439" s="17" t="str">
        <x:v>Не проверено</x:v>
      </x:c>
      <x:c r="AG439" s="17" t="str">
        <x:v>Не решено</x:v>
      </x:c>
      <x:c r="AH439" s="17" t="str">
        <x:v>Не проверено</x:v>
      </x:c>
      <x:c r="AI439" s="10" t="str">
        <x:f>IF(AC439="Отклонить","Отклонено",IF(AND(AC439="Взять",COUNTIFS(AD439:AH439,"Да")=5),"Готово","Нужна редактура"))</x:f>
        <x:v>Нужна редактура</x:v>
      </x:c>
      <x:c r="AJ439" s="17" t="str"/>
      <x:c r="AK439" s="9" t="str">
        <x:v>https://www.youtube.com/playlist?list=PLLttfoK87AdWkIef_dW-0bB4GQDMXmjlf</x:v>
      </x:c>
      <x:c r="AL439" s="9" t="n">
        <x:v>9</x:v>
      </x:c>
      <x:c r="AM439" s="9" t="n">
        <x:v>9</x:v>
      </x:c>
      <x:c r="AN439" s="9" t="n">
        <x:v>0</x:v>
      </x:c>
    </x:row>
    <x:row r="440" ht="60" customHeight="1">
      <x:c r="A440" s="9" t="str">
        <x:v>vagFbf287oI</x:v>
      </x:c>
      <x:c r="B440" s="10" t="str">
        <x:v>היהודים באים - פרק 10 | כאן 11 לשעבר רשות השידור</x:v>
      </x:c>
      <x:c r="C440" s="10" t="str">
        <x:v>История и сатира</x:v>
      </x:c>
      <x:c r="D440" s="9" t="str">
        <x:v>Культура</x:v>
      </x:c>
      <x:c r="E440" s="10" t="str">
        <x:v>Юмор; еврейская культура; продвинутые</x:v>
      </x:c>
      <x:c r="F440" s="10" t="str">
        <x:v>B2–C1 (гипотеза)</x:v>
      </x:c>
      <x:c r="G440" s="12" t="n">
        <x:v>22.5</x:v>
      </x:c>
      <x:c r="H440" s="14" t="n">
        <x:v>497000</x:v>
      </x:c>
      <x:c r="I440" s="15" t="str">
        <x:v>Округлённый счётчик в списке YouTube</x:v>
      </x:c>
      <x:c r="J440" s="14" t="n">
        <x:v>497000</x:v>
      </x:c>
      <x:c r="K440" s="14" t="n">
        <x:v>624000</x:v>
      </x:c>
      <x:c r="L440" s="12" t="n">
        <x:f>IF(COUNT(J440:K440)=2,IF(K440=0,"",J440/K440),"")</x:f>
        <x:v>0.7964743589743589</x:v>
      </x:c>
      <x:c r="M440" s="10" t="str">
        <x:v>Тема: היהודים באים - פרק 10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40" s="10" t="str">
        <x:v>Выбрать скетч; объяснить культурную отсылку и отдельно проверить историческую основу.</x:v>
      </x:c>
      <x:c r="O440" s="10" t="str">
        <x:v>Сатира; не использовать как историческое доказательство</x:v>
      </x:c>
      <x:c r="P440" s="10" t="str">
        <x:v>Самостоятельное видео</x:v>
      </x:c>
      <x:c r="Q440" s="9" t="str">
        <x:v>Нет</x:v>
      </x:c>
      <x:c r="R440" s="9" t="str">
        <x:v>C026</x:v>
      </x:c>
      <x:c r="S440" s="9" t="str">
        <x:v>C026</x:v>
      </x:c>
      <x:c r="T440" s="10" t="str">
        <x:v>כאן 11 - תאגיד השידור הישראלי</x:v>
      </x:c>
      <x:c r="U440" s="11" t="str">
        <x:v>https://www.youtube.com/watch?v=vagFbf287oI</x:v>
      </x:c>
      <x:c r="V440" s="16" t="n">
        <x:v>46308</x:v>
      </x:c>
      <x:c r="W440" s="16"/>
      <x:c r="X440" s="10" t="str">
        <x:v>Иврит предполагается по заголовку и источнику</x:v>
      </x:c>
      <x:c r="Y440" s="10" t="str">
        <x:v>Не проверено</x:v>
      </x:c>
      <x:c r="Z440" s="10" t="str">
        <x:v>Не проверено</x:v>
      </x:c>
      <x:c r="AA440" s="10" t="str">
        <x:v>Метаданные списка; видео не просмотрено</x:v>
      </x:c>
      <x:c r="AB440" s="13" t="str">
        <x:f>IF(AND(ISNUMBER(H440),ISNUMBER(W440)),H440/MAX(1,'Обзор'!$B$4-W440),"")</x:f>
      </x:c>
      <x:c r="AC440" s="17" t="str">
        <x:v>Не решено</x:v>
      </x:c>
      <x:c r="AD440" s="17" t="str">
        <x:v>Не проверено</x:v>
      </x:c>
      <x:c r="AE440" s="17" t="str">
        <x:v>Не проверено</x:v>
      </x:c>
      <x:c r="AF440" s="17" t="str">
        <x:v>Не проверено</x:v>
      </x:c>
      <x:c r="AG440" s="17" t="str">
        <x:v>Не решено</x:v>
      </x:c>
      <x:c r="AH440" s="17" t="str">
        <x:v>Не проверено</x:v>
      </x:c>
      <x:c r="AI440" s="10" t="str">
        <x:f>IF(AC440="Отклонить","Отклонено",IF(AND(AC440="Взять",COUNTIFS(AD440:AH440,"Да")=5),"Готово","Нужна редактура"))</x:f>
        <x:v>Нужна редактура</x:v>
      </x:c>
      <x:c r="AJ440" s="17" t="str"/>
      <x:c r="AK440" s="9" t="str">
        <x:v>https://www.youtube.com/playlist?list=PLLttfoK87AdWkIef_dW-0bB4GQDMXmjlf</x:v>
      </x:c>
      <x:c r="AL440" s="9" t="n">
        <x:v>10</x:v>
      </x:c>
      <x:c r="AM440" s="9" t="n">
        <x:v>10</x:v>
      </x:c>
      <x:c r="AN440" s="9"/>
    </x:row>
    <x:row r="441" ht="60" customHeight="1">
      <x:c r="A441" s="9" t="str">
        <x:v>P-H-89oo6-c</x:v>
      </x:c>
      <x:c r="B441" s="10" t="str">
        <x:v>היהודים באים - פרק 11 | כאן 11 לשעבר רשות השידור</x:v>
      </x:c>
      <x:c r="C441" s="10" t="str">
        <x:v>История и сатира</x:v>
      </x:c>
      <x:c r="D441" s="9" t="str">
        <x:v>Культура</x:v>
      </x:c>
      <x:c r="E441" s="10" t="str">
        <x:v>Юмор; еврейская культура; продвинутые</x:v>
      </x:c>
      <x:c r="F441" s="10" t="str">
        <x:v>B2–C1 (гипотеза)</x:v>
      </x:c>
      <x:c r="G441" s="12" t="n">
        <x:v>24.4</x:v>
      </x:c>
      <x:c r="H441" s="14" t="n">
        <x:v>413000</x:v>
      </x:c>
      <x:c r="I441" s="15" t="str">
        <x:v>Округлённый счётчик в списке YouTube</x:v>
      </x:c>
      <x:c r="J441" s="14" t="n">
        <x:v>413000</x:v>
      </x:c>
      <x:c r="K441" s="14" t="n">
        <x:v>624000</x:v>
      </x:c>
      <x:c r="L441" s="12" t="n">
        <x:f>IF(COUNT(J441:K441)=2,IF(K441=0,"",J441/K441),"")</x:f>
        <x:v>0.6618589743589743</x:v>
      </x:c>
      <x:c r="M441" s="10" t="str">
        <x:v>Тема: היהודים באים - פרק 11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41" s="10" t="str">
        <x:v>Выбрать скетч; объяснить культурную отсылку и отдельно проверить историческую основу.</x:v>
      </x:c>
      <x:c r="O441" s="10" t="str">
        <x:v>Сатира; не использовать как историческое доказательство</x:v>
      </x:c>
      <x:c r="P441" s="10" t="str">
        <x:v>Самостоятельное видео</x:v>
      </x:c>
      <x:c r="Q441" s="9" t="str">
        <x:v>Нет</x:v>
      </x:c>
      <x:c r="R441" s="9" t="str">
        <x:v>C026</x:v>
      </x:c>
      <x:c r="S441" s="9" t="str">
        <x:v>C026</x:v>
      </x:c>
      <x:c r="T441" s="10" t="str">
        <x:v>כאן 11 - תאגיד השידור הישראלי</x:v>
      </x:c>
      <x:c r="U441" s="11" t="str">
        <x:v>https://www.youtube.com/watch?v=P-H-89oo6-c</x:v>
      </x:c>
      <x:c r="V441" s="16" t="n">
        <x:v>46308</x:v>
      </x:c>
      <x:c r="W441" s="16"/>
      <x:c r="X441" s="10" t="str">
        <x:v>Иврит предполагается по заголовку и источнику</x:v>
      </x:c>
      <x:c r="Y441" s="10" t="str">
        <x:v>Не проверено</x:v>
      </x:c>
      <x:c r="Z441" s="10" t="str">
        <x:v>Не проверено</x:v>
      </x:c>
      <x:c r="AA441" s="10" t="str">
        <x:v>Метаданные списка; видео не просмотрено</x:v>
      </x:c>
      <x:c r="AB441" s="13" t="str">
        <x:f>IF(AND(ISNUMBER(H441),ISNUMBER(W441)),H441/MAX(1,'Обзор'!$B$4-W441),"")</x:f>
      </x:c>
      <x:c r="AC441" s="17" t="str">
        <x:v>Не решено</x:v>
      </x:c>
      <x:c r="AD441" s="17" t="str">
        <x:v>Не проверено</x:v>
      </x:c>
      <x:c r="AE441" s="17" t="str">
        <x:v>Не проверено</x:v>
      </x:c>
      <x:c r="AF441" s="17" t="str">
        <x:v>Не проверено</x:v>
      </x:c>
      <x:c r="AG441" s="17" t="str">
        <x:v>Не решено</x:v>
      </x:c>
      <x:c r="AH441" s="17" t="str">
        <x:v>Не проверено</x:v>
      </x:c>
      <x:c r="AI441" s="10" t="str">
        <x:f>IF(AC441="Отклонить","Отклонено",IF(AND(AC441="Взять",COUNTIFS(AD441:AH441,"Да")=5),"Готово","Нужна редактура"))</x:f>
        <x:v>Нужна редактура</x:v>
      </x:c>
      <x:c r="AJ441" s="17" t="str"/>
      <x:c r="AK441" s="9" t="str">
        <x:v>https://www.youtube.com/playlist?list=PLLttfoK87AdWkIef_dW-0bB4GQDMXmjlf</x:v>
      </x:c>
      <x:c r="AL441" s="9" t="n">
        <x:v>11</x:v>
      </x:c>
      <x:c r="AM441" s="9" t="n">
        <x:v>11</x:v>
      </x:c>
      <x:c r="AN441" s="9"/>
    </x:row>
    <x:row r="442" ht="60" customHeight="1">
      <x:c r="A442" s="9" t="str">
        <x:v>8qIfgAANhqQ</x:v>
      </x:c>
      <x:c r="B442" s="10" t="str">
        <x:v>היהודים באים - פרק 12 ואחרון לעונה | כאן 11 לשעבר רשות השידור</x:v>
      </x:c>
      <x:c r="C442" s="10" t="str">
        <x:v>История и сатира</x:v>
      </x:c>
      <x:c r="D442" s="9" t="str">
        <x:v>Культура</x:v>
      </x:c>
      <x:c r="E442" s="10" t="str">
        <x:v>Юмор; еврейская культура; продвинутые</x:v>
      </x:c>
      <x:c r="F442" s="10" t="str">
        <x:v>B2–C1 (гипотеза)</x:v>
      </x:c>
      <x:c r="G442" s="12" t="n">
        <x:v>24.9</x:v>
      </x:c>
      <x:c r="H442" s="14" t="n">
        <x:v>446000</x:v>
      </x:c>
      <x:c r="I442" s="15" t="str">
        <x:v>Округлённый счётчик в списке YouTube</x:v>
      </x:c>
      <x:c r="J442" s="14" t="n">
        <x:v>446000</x:v>
      </x:c>
      <x:c r="K442" s="14" t="n">
        <x:v>624000</x:v>
      </x:c>
      <x:c r="L442" s="12" t="n">
        <x:f>IF(COUNT(J442:K442)=2,IF(K442=0,"",J442/K442),"")</x:f>
        <x:v>0.7147435897435898</x:v>
      </x:c>
      <x:c r="M442" s="10" t="str">
        <x:v>Тема: היהודים באים - פרק 12 ואחרון לעונה | כאן 11 לשעבר רשות השידור. Сатира привлекает аудиторию развлечений и открывает путь к историческим сюжетам. Для обучения полезно отделять шутку от исторического источника.</x:v>
      </x:c>
      <x:c r="N442" s="10" t="str">
        <x:v>Выбрать скетч; объяснить культурную отсылку и отдельно проверить историческую основу.</x:v>
      </x:c>
      <x:c r="O442" s="10" t="str">
        <x:v>Сатира; не использовать как историческое доказательство</x:v>
      </x:c>
      <x:c r="P442" s="10" t="str">
        <x:v>Самостоятельное видео</x:v>
      </x:c>
      <x:c r="Q442" s="9" t="str">
        <x:v>Нет</x:v>
      </x:c>
      <x:c r="R442" s="9" t="str">
        <x:v>C026</x:v>
      </x:c>
      <x:c r="S442" s="9" t="str">
        <x:v>C026</x:v>
      </x:c>
      <x:c r="T442" s="10" t="str">
        <x:v>כאן 11 - תאגיד השידור הישראלי</x:v>
      </x:c>
      <x:c r="U442" s="11" t="str">
        <x:v>https://www.youtube.com/watch?v=8qIfgAANhqQ</x:v>
      </x:c>
      <x:c r="V442" s="16" t="n">
        <x:v>46308</x:v>
      </x:c>
      <x:c r="W442" s="16"/>
      <x:c r="X442" s="10" t="str">
        <x:v>Иврит предполагается по заголовку и источнику</x:v>
      </x:c>
      <x:c r="Y442" s="10" t="str">
        <x:v>Не проверено</x:v>
      </x:c>
      <x:c r="Z442" s="10" t="str">
        <x:v>Не проверено</x:v>
      </x:c>
      <x:c r="AA442" s="10" t="str">
        <x:v>Метаданные списка; видео не просмотрено</x:v>
      </x:c>
      <x:c r="AB442" s="13" t="str">
        <x:f>IF(AND(ISNUMBER(H442),ISNUMBER(W442)),H442/MAX(1,'Обзор'!$B$4-W442),"")</x:f>
      </x:c>
      <x:c r="AC442" s="17" t="str">
        <x:v>Не решено</x:v>
      </x:c>
      <x:c r="AD442" s="17" t="str">
        <x:v>Не проверено</x:v>
      </x:c>
      <x:c r="AE442" s="17" t="str">
        <x:v>Не проверено</x:v>
      </x:c>
      <x:c r="AF442" s="17" t="str">
        <x:v>Не проверено</x:v>
      </x:c>
      <x:c r="AG442" s="17" t="str">
        <x:v>Не решено</x:v>
      </x:c>
      <x:c r="AH442" s="17" t="str">
        <x:v>Не проверено</x:v>
      </x:c>
      <x:c r="AI442" s="10" t="str">
        <x:f>IF(AC442="Отклонить","Отклонено",IF(AND(AC442="Взять",COUNTIFS(AD442:AH442,"Да")=5),"Готово","Нужна редактура"))</x:f>
        <x:v>Нужна редактура</x:v>
      </x:c>
      <x:c r="AJ442" s="17" t="str"/>
      <x:c r="AK442" s="9" t="str">
        <x:v>https://www.youtube.com/playlist?list=PLLttfoK87AdWkIef_dW-0bB4GQDMXmjlf</x:v>
      </x:c>
      <x:c r="AL442" s="9" t="n">
        <x:v>12</x:v>
      </x:c>
      <x:c r="AM442" s="9" t="n">
        <x:v>12</x:v>
      </x:c>
      <x:c r="AN442" s="9"/>
    </x:row>
    <x:row r="443" ht="60" customHeight="1">
      <x:c r="A443" s="9" t="str">
        <x:v>MtD4HVWxZZ8</x:v>
      </x:c>
      <x:c r="B443" s="10" t="str">
        <x:v>שיר אחד עונה 3 | כנסיית השכל - שום דבר לא יפגע בי</x:v>
      </x:c>
      <x:c r="C443" s="10" t="str">
        <x:v>Музыка и культурная память</x:v>
      </x:c>
      <x:c r="D443" s="9" t="str">
        <x:v>Культура</x:v>
      </x:c>
      <x:c r="E443" s="10" t="str">
        <x:v>Музыка; культура; история</x:v>
      </x:c>
      <x:c r="F443" s="10" t="str">
        <x:v>B1–B2 (гипотеза)</x:v>
      </x:c>
      <x:c r="G443" s="12" t="n">
        <x:v>29.6</x:v>
      </x:c>
      <x:c r="H443" s="14" t="n">
        <x:v>32000</x:v>
      </x:c>
      <x:c r="I443" s="15" t="str">
        <x:v>Округлённый счётчик в списке YouTube</x:v>
      </x:c>
      <x:c r="J443" s="14" t="n">
        <x:v>32000</x:v>
      </x:c>
      <x:c r="K443" s="14" t="n">
        <x:v>43000</x:v>
      </x:c>
      <x:c r="L443" s="12" t="n">
        <x:f>IF(COUNT(J443:K443)=2,IF(K443=0,"",J443/K443),"")</x:f>
        <x:v>0.7441860465116279</x:v>
      </x:c>
      <x:c r="M443" s="10" t="str">
        <x:v>Тема: שיר אחד עונה 3 | כנסיית השכל - שום דבר לא יפגע בי. История одной песни связывает музыку, биографию и эпоху. Подходит зрителям, которым политическая повестка менее интересна.</x:v>
      </x:c>
      <x:c r="N443" s="10" t="str">
        <x:v>Разобрать рассказ о создании песни; использовать текст песни только в разрешённых пределах.</x:v>
      </x:c>
      <x:c r="O443" s="10" t="str">
        <x:v>Права на песню и текст проверяются отдельно</x:v>
      </x:c>
      <x:c r="P443" s="10" t="str">
        <x:v>Самостоятельное видео</x:v>
      </x:c>
      <x:c r="Q443" s="9" t="str">
        <x:v>Нет</x:v>
      </x:c>
      <x:c r="R443" s="9" t="str">
        <x:v>C027</x:v>
      </x:c>
      <x:c r="S443" s="9" t="str">
        <x:v>C027</x:v>
      </x:c>
      <x:c r="T443" s="10" t="str">
        <x:v>כאן 11 - תאגיד השידור הישראלי</x:v>
      </x:c>
      <x:c r="U443" s="11" t="str">
        <x:v>https://www.youtube.com/watch?v=MtD4HVWxZZ8</x:v>
      </x:c>
      <x:c r="V443" s="16" t="n">
        <x:v>46308</x:v>
      </x:c>
      <x:c r="W443" s="16"/>
      <x:c r="X443" s="10" t="str">
        <x:v>Иврит предполагается по заголовку и источнику</x:v>
      </x:c>
      <x:c r="Y443" s="10" t="str">
        <x:v>Не проверено</x:v>
      </x:c>
      <x:c r="Z443" s="10" t="str">
        <x:v>Не проверено</x:v>
      </x:c>
      <x:c r="AA443" s="10" t="str">
        <x:v>Метаданные списка; видео не просмотрено</x:v>
      </x:c>
      <x:c r="AB443" s="13" t="str">
        <x:f>IF(AND(ISNUMBER(H443),ISNUMBER(W443)),H443/MAX(1,'Обзор'!$B$4-W443),"")</x:f>
      </x:c>
      <x:c r="AC443" s="17" t="str">
        <x:v>Не решено</x:v>
      </x:c>
      <x:c r="AD443" s="17" t="str">
        <x:v>Не проверено</x:v>
      </x:c>
      <x:c r="AE443" s="17" t="str">
        <x:v>Не проверено</x:v>
      </x:c>
      <x:c r="AF443" s="17" t="str">
        <x:v>Не проверено</x:v>
      </x:c>
      <x:c r="AG443" s="17" t="str">
        <x:v>Не решено</x:v>
      </x:c>
      <x:c r="AH443" s="17" t="str">
        <x:v>Не проверено</x:v>
      </x:c>
      <x:c r="AI443" s="10" t="str">
        <x:f>IF(AC443="Отклонить","Отклонено",IF(AND(AC443="Взять",COUNTIFS(AD443:AH443,"Да")=5),"Готово","Нужна редактура"))</x:f>
        <x:v>Нужна редактура</x:v>
      </x:c>
      <x:c r="AJ443" s="17" t="str"/>
      <x:c r="AK443" s="9" t="str">
        <x:v>https://www.youtube.com/playlist?list=PLLttfoK87AdVl3nJ4Oa3hVHQcpRlfyHzE</x:v>
      </x:c>
      <x:c r="AL443" s="9" t="n">
        <x:v>1</x:v>
      </x:c>
      <x:c r="AM443" s="9"/>
      <x:c r="AN443" s="9"/>
    </x:row>
    <x:row r="444" ht="60" customHeight="1">
      <x:c r="A444" s="9" t="str">
        <x:v>SRE0ub9P3d0</x:v>
      </x:c>
      <x:c r="B444" s="10" t="str">
        <x:v>שיר אחד עונה 2 | עפרה חזה - אם ננעלו</x:v>
      </x:c>
      <x:c r="C444" s="10" t="str">
        <x:v>Музыка и культурная память</x:v>
      </x:c>
      <x:c r="D444" s="9" t="str">
        <x:v>Культура</x:v>
      </x:c>
      <x:c r="E444" s="10" t="str">
        <x:v>Музыка; культура; история</x:v>
      </x:c>
      <x:c r="F444" s="10" t="str">
        <x:v>B1–B2 (гипотеза)</x:v>
      </x:c>
      <x:c r="G444" s="12" t="n">
        <x:v>28.9</x:v>
      </x:c>
      <x:c r="H444" s="14" t="n">
        <x:v>22000</x:v>
      </x:c>
      <x:c r="I444" s="15" t="str">
        <x:v>Округлённый счётчик в списке YouTube</x:v>
      </x:c>
      <x:c r="J444" s="14" t="n">
        <x:v>22000</x:v>
      </x:c>
      <x:c r="K444" s="14" t="n">
        <x:v>43000</x:v>
      </x:c>
      <x:c r="L444" s="12" t="n">
        <x:f>IF(COUNT(J444:K444)=2,IF(K444=0,"",J444/K444),"")</x:f>
        <x:v>0.5116279069767442</x:v>
      </x:c>
      <x:c r="M444" s="10" t="str">
        <x:v>Тема: שיר אחד עונה 2 | עפרה חזה - אם ננעלו. История одной песни связывает музыку, биографию и эпоху. Подходит зрителям, которым политическая повестка менее интересна.</x:v>
      </x:c>
      <x:c r="N444" s="10" t="str">
        <x:v>Разобрать рассказ о создании песни; использовать текст песни только в разрешённых пределах.</x:v>
      </x:c>
      <x:c r="O444" s="10" t="str">
        <x:v>Права на песню и текст проверяются отдельно</x:v>
      </x:c>
      <x:c r="P444" s="10" t="str">
        <x:v>Самостоятельное видео</x:v>
      </x:c>
      <x:c r="Q444" s="9" t="str">
        <x:v>Нет</x:v>
      </x:c>
      <x:c r="R444" s="9" t="str">
        <x:v>C027</x:v>
      </x:c>
      <x:c r="S444" s="9" t="str">
        <x:v>C027</x:v>
      </x:c>
      <x:c r="T444" s="10" t="str">
        <x:v>כאן 11 - תאגיד השידור הישראלי</x:v>
      </x:c>
      <x:c r="U444" s="11" t="str">
        <x:v>https://www.youtube.com/watch?v=SRE0ub9P3d0</x:v>
      </x:c>
      <x:c r="V444" s="16" t="n">
        <x:v>46308</x:v>
      </x:c>
      <x:c r="W444" s="16"/>
      <x:c r="X444" s="10" t="str">
        <x:v>Иврит предполагается по заголовку и источнику</x:v>
      </x:c>
      <x:c r="Y444" s="10" t="str">
        <x:v>Не проверено</x:v>
      </x:c>
      <x:c r="Z444" s="10" t="str">
        <x:v>Не проверено</x:v>
      </x:c>
      <x:c r="AA444" s="10" t="str">
        <x:v>Метаданные списка; видео не просмотрено</x:v>
      </x:c>
      <x:c r="AB444" s="13" t="str">
        <x:f>IF(AND(ISNUMBER(H444),ISNUMBER(W444)),H444/MAX(1,'Обзор'!$B$4-W444),"")</x:f>
      </x:c>
      <x:c r="AC444" s="17" t="str">
        <x:v>Не решено</x:v>
      </x:c>
      <x:c r="AD444" s="17" t="str">
        <x:v>Не проверено</x:v>
      </x:c>
      <x:c r="AE444" s="17" t="str">
        <x:v>Не проверено</x:v>
      </x:c>
      <x:c r="AF444" s="17" t="str">
        <x:v>Не проверено</x:v>
      </x:c>
      <x:c r="AG444" s="17" t="str">
        <x:v>Не решено</x:v>
      </x:c>
      <x:c r="AH444" s="17" t="str">
        <x:v>Не проверено</x:v>
      </x:c>
      <x:c r="AI444" s="10" t="str">
        <x:f>IF(AC444="Отклонить","Отклонено",IF(AND(AC444="Взять",COUNTIFS(AD444:AH444,"Да")=5),"Готово","Нужна редактура"))</x:f>
        <x:v>Нужна редактура</x:v>
      </x:c>
      <x:c r="AJ444" s="17" t="str"/>
      <x:c r="AK444" s="9" t="str">
        <x:v>https://www.youtube.com/playlist?list=PLLttfoK87AdVl3nJ4Oa3hVHQcpRlfyHzE</x:v>
      </x:c>
      <x:c r="AL444" s="9" t="n">
        <x:v>2</x:v>
      </x:c>
      <x:c r="AM444" s="9"/>
      <x:c r="AN444" s="9"/>
    </x:row>
    <x:row r="445" ht="60" customHeight="1">
      <x:c r="A445" s="9" t="str">
        <x:v>nQeNxcXUkDM</x:v>
      </x:c>
      <x:c r="B445" s="10" t="str">
        <x:v>שיר אחד עונה 2 | אדם - סוד</x:v>
      </x:c>
      <x:c r="C445" s="10" t="str">
        <x:v>Музыка и культурная память</x:v>
      </x:c>
      <x:c r="D445" s="9" t="str">
        <x:v>Культура</x:v>
      </x:c>
      <x:c r="E445" s="10" t="str">
        <x:v>Музыка; культура; история</x:v>
      </x:c>
      <x:c r="F445" s="10" t="str">
        <x:v>B1–B2 (гипотеза)</x:v>
      </x:c>
      <x:c r="G445" s="12" t="n">
        <x:v>29.8</x:v>
      </x:c>
      <x:c r="H445" s="14" t="n">
        <x:v>26000</x:v>
      </x:c>
      <x:c r="I445" s="15" t="str">
        <x:v>Округлённый счётчик в списке YouTube</x:v>
      </x:c>
      <x:c r="J445" s="14" t="n">
        <x:v>26000</x:v>
      </x:c>
      <x:c r="K445" s="14" t="n">
        <x:v>43000</x:v>
      </x:c>
      <x:c r="L445" s="12" t="n">
        <x:f>IF(COUNT(J445:K445)=2,IF(K445=0,"",J445/K445),"")</x:f>
        <x:v>0.6046511627906976</x:v>
      </x:c>
      <x:c r="M445" s="10" t="str">
        <x:v>Тема: שיר אחד עונה 2 | אדם - סוד. История одной песни связывает музыку, биографию и эпоху. Подходит зрителям, которым политическая повестка менее интересна.</x:v>
      </x:c>
      <x:c r="N445" s="10" t="str">
        <x:v>Разобрать рассказ о создании песни; использовать текст песни только в разрешённых пределах.</x:v>
      </x:c>
      <x:c r="O445" s="10" t="str">
        <x:v>Права на песню и текст проверяются отдельно</x:v>
      </x:c>
      <x:c r="P445" s="10" t="str">
        <x:v>Самостоятельное видео</x:v>
      </x:c>
      <x:c r="Q445" s="9" t="str">
        <x:v>Нет</x:v>
      </x:c>
      <x:c r="R445" s="9" t="str">
        <x:v>C027</x:v>
      </x:c>
      <x:c r="S445" s="9" t="str">
        <x:v>C027</x:v>
      </x:c>
      <x:c r="T445" s="10" t="str">
        <x:v>כאן 11 - תאגיד השידור הישראלי</x:v>
      </x:c>
      <x:c r="U445" s="11" t="str">
        <x:v>https://www.youtube.com/watch?v=nQeNxcXUkDM</x:v>
      </x:c>
      <x:c r="V445" s="16" t="n">
        <x:v>46308</x:v>
      </x:c>
      <x:c r="W445" s="16"/>
      <x:c r="X445" s="10" t="str">
        <x:v>Иврит предполагается по заголовку и источнику</x:v>
      </x:c>
      <x:c r="Y445" s="10" t="str">
        <x:v>Не проверено</x:v>
      </x:c>
      <x:c r="Z445" s="10" t="str">
        <x:v>Не проверено</x:v>
      </x:c>
      <x:c r="AA445" s="10" t="str">
        <x:v>Метаданные списка; видео не просмотрено</x:v>
      </x:c>
      <x:c r="AB445" s="13" t="str">
        <x:f>IF(AND(ISNUMBER(H445),ISNUMBER(W445)),H445/MAX(1,'Обзор'!$B$4-W445),"")</x:f>
      </x:c>
      <x:c r="AC445" s="17" t="str">
        <x:v>Не решено</x:v>
      </x:c>
      <x:c r="AD445" s="17" t="str">
        <x:v>Не проверено</x:v>
      </x:c>
      <x:c r="AE445" s="17" t="str">
        <x:v>Не проверено</x:v>
      </x:c>
      <x:c r="AF445" s="17" t="str">
        <x:v>Не проверено</x:v>
      </x:c>
      <x:c r="AG445" s="17" t="str">
        <x:v>Не решено</x:v>
      </x:c>
      <x:c r="AH445" s="17" t="str">
        <x:v>Не проверено</x:v>
      </x:c>
      <x:c r="AI445" s="10" t="str">
        <x:f>IF(AC445="Отклонить","Отклонено",IF(AND(AC445="Взять",COUNTIFS(AD445:AH445,"Да")=5),"Готово","Нужна редактура"))</x:f>
        <x:v>Нужна редактура</x:v>
      </x:c>
      <x:c r="AJ445" s="17" t="str"/>
      <x:c r="AK445" s="9" t="str">
        <x:v>https://www.youtube.com/playlist?list=PLLttfoK87AdVl3nJ4Oa3hVHQcpRlfyHzE</x:v>
      </x:c>
      <x:c r="AL445" s="9" t="n">
        <x:v>3</x:v>
      </x:c>
      <x:c r="AM445" s="9"/>
      <x:c r="AN445" s="9"/>
    </x:row>
    <x:row r="446" ht="60" customHeight="1">
      <x:c r="A446" s="9" t="str">
        <x:v>yXYGT-s3ZeI</x:v>
      </x:c>
      <x:c r="B446" s="10" t="str">
        <x:v>שיר אחד עונה 2 | דני סנדרסון - זאת שמעל לכל המצופה</x:v>
      </x:c>
      <x:c r="C446" s="10" t="str">
        <x:v>Музыка и культурная память</x:v>
      </x:c>
      <x:c r="D446" s="9" t="str">
        <x:v>Культура</x:v>
      </x:c>
      <x:c r="E446" s="10" t="str">
        <x:v>Музыка; культура; история</x:v>
      </x:c>
      <x:c r="F446" s="10" t="str">
        <x:v>B1–B2 (гипотеза)</x:v>
      </x:c>
      <x:c r="G446" s="12" t="n">
        <x:v>27.6</x:v>
      </x:c>
      <x:c r="H446" s="14" t="n">
        <x:v>72754</x:v>
      </x:c>
      <x:c r="I446" s="15" t="str">
        <x:v>Точный счётчик метаданных видео</x:v>
      </x:c>
      <x:c r="J446" s="14" t="n">
        <x:v>72000</x:v>
      </x:c>
      <x:c r="K446" s="14" t="n">
        <x:v>43000</x:v>
      </x:c>
      <x:c r="L446" s="12" t="n">
        <x:f>IF(COUNT(J446:K446)=2,IF(K446=0,"",J446/K446),"")</x:f>
        <x:v>1.6744186046511629</x:v>
      </x:c>
      <x:c r="M446" s="10" t="str">
        <x:v>Тема: שיר אחד עונה 2 | דני סנדרסון - זאת שמעל לכל המצופה. Просмотры в списке выше медианы выборки этого цикла в 1.67 раза. История одной песни связывает музыку, биографию и эпоху. Подходит зрителям, которым политическая повестка менее интересна.</x:v>
      </x:c>
      <x:c r="N446" s="10" t="str">
        <x:v>Разобрать рассказ о создании песни; использовать текст песни только в разрешённых пределах.</x:v>
      </x:c>
      <x:c r="O446" s="10" t="str">
        <x:v>Права на песню и текст проверяются отдельно</x:v>
      </x:c>
      <x:c r="P446" s="10" t="str">
        <x:v>Самостоятельное видео</x:v>
      </x:c>
      <x:c r="Q446" s="9" t="str">
        <x:v>Нет</x:v>
      </x:c>
      <x:c r="R446" s="9" t="str">
        <x:v>C027</x:v>
      </x:c>
      <x:c r="S446" s="9" t="str">
        <x:v>C027</x:v>
      </x:c>
      <x:c r="T446" s="10" t="str">
        <x:v>כאן 11 - תאגיד השידור הישראלי</x:v>
      </x:c>
      <x:c r="U446" s="11" t="str">
        <x:v>https://www.youtube.com/watch?v=yXYGT-s3ZeI</x:v>
      </x:c>
      <x:c r="V446" s="16" t="n">
        <x:v>46308</x:v>
      </x:c>
      <x:c r="W446" s="16" t="n">
        <x:v>45955</x:v>
      </x:c>
      <x:c r="X446" s="10" t="str">
        <x:v>Иврит предполагается по заголовку и источнику</x:v>
      </x:c>
      <x:c r="Y446" s="10" t="str">
        <x:v>Автоматическая дорожка HE по метаданным</x:v>
      </x:c>
      <x:c r="Z446" s="10" t="str">
        <x:v>Разрешено по метаданным</x:v>
      </x:c>
      <x:c r="AA446" s="10" t="str">
        <x:v>Метаданные видео; воспроизведение и содержание не проверены</x:v>
      </x:c>
      <x:c r="AB446" s="13" t="n">
        <x:f>IF(AND(ISNUMBER(H446),ISNUMBER(W446)),H446/MAX(1,'Обзор'!$B$4-W446),"")</x:f>
        <x:v>206.10198300283287</x:v>
      </x:c>
      <x:c r="AC446" s="17" t="str">
        <x:v>Не решено</x:v>
      </x:c>
      <x:c r="AD446" s="17" t="str">
        <x:v>Не проверено</x:v>
      </x:c>
      <x:c r="AE446" s="17" t="str">
        <x:v>Не проверено</x:v>
      </x:c>
      <x:c r="AF446" s="17" t="str">
        <x:v>Не проверено</x:v>
      </x:c>
      <x:c r="AG446" s="17" t="str">
        <x:v>Не решено</x:v>
      </x:c>
      <x:c r="AH446" s="17" t="str">
        <x:v>Не проверено</x:v>
      </x:c>
      <x:c r="AI446" s="10" t="str">
        <x:f>IF(AC446="Отклонить","Отклонено",IF(AND(AC446="Взять",COUNTIFS(AD446:AH446,"Да")=5),"Готово","Нужна редактура"))</x:f>
        <x:v>Нужна редактура</x:v>
      </x:c>
      <x:c r="AJ446" s="17" t="str"/>
      <x:c r="AK446" s="9" t="str">
        <x:v>https://www.youtube.com/playlist?list=PLLttfoK87AdVl3nJ4Oa3hVHQcpRlfyHzE</x:v>
      </x:c>
      <x:c r="AL446" s="9" t="n">
        <x:v>4</x:v>
      </x:c>
      <x:c r="AM446" s="9"/>
      <x:c r="AN446" s="9" t="n">
        <x:v>0</x:v>
      </x:c>
    </x:row>
    <x:row r="447" ht="60" customHeight="1">
      <x:c r="A447" s="9" t="str">
        <x:v>VxLXKQqTi3Q</x:v>
      </x:c>
      <x:c r="B447" s="10" t="str">
        <x:v>שיר אחד עונה 2 | שלומי שבת וליאור נרקיס - לכל אחד יש</x:v>
      </x:c>
      <x:c r="C447" s="10" t="str">
        <x:v>Музыка и культурная память</x:v>
      </x:c>
      <x:c r="D447" s="9" t="str">
        <x:v>Культура</x:v>
      </x:c>
      <x:c r="E447" s="10" t="str">
        <x:v>Музыка; культура; история</x:v>
      </x:c>
      <x:c r="F447" s="10" t="str">
        <x:v>B1–B2 (гипотеза)</x:v>
      </x:c>
      <x:c r="G447" s="12" t="n">
        <x:v>29.2</x:v>
      </x:c>
      <x:c r="H447" s="14" t="n">
        <x:v>15000</x:v>
      </x:c>
      <x:c r="I447" s="15" t="str">
        <x:v>Округлённый счётчик в списке YouTube</x:v>
      </x:c>
      <x:c r="J447" s="14" t="n">
        <x:v>15000</x:v>
      </x:c>
      <x:c r="K447" s="14" t="n">
        <x:v>43000</x:v>
      </x:c>
      <x:c r="L447" s="12" t="n">
        <x:f>IF(COUNT(J447:K447)=2,IF(K447=0,"",J447/K447),"")</x:f>
        <x:v>0.3488372093023256</x:v>
      </x:c>
      <x:c r="M447" s="10" t="str">
        <x:v>Тема: שיר אחד עונה 2 | שלומי שבת וליאור נרקיס - לכל אחד יש. Просмотры ниже медианы цикла; выбирать за нишевую ценность, а не за массовый охват. История одной песни связывает музыку, биографию и эпоху. Подходит зрителям, которым политическая повестка менее интересна.</x:v>
      </x:c>
      <x:c r="N447" s="10" t="str">
        <x:v>Разобрать рассказ о создании песни; использовать текст песни только в разрешённых пределах.</x:v>
      </x:c>
      <x:c r="O447" s="10" t="str">
        <x:v>Права на песню и текст проверяются отдельно</x:v>
      </x:c>
      <x:c r="P447" s="10" t="str">
        <x:v>Самостоятельное видео</x:v>
      </x:c>
      <x:c r="Q447" s="9" t="str">
        <x:v>Нет</x:v>
      </x:c>
      <x:c r="R447" s="9" t="str">
        <x:v>C027</x:v>
      </x:c>
      <x:c r="S447" s="9" t="str">
        <x:v>C027</x:v>
      </x:c>
      <x:c r="T447" s="10" t="str">
        <x:v>כאן 11 - תאגיד השידור הישראלי</x:v>
      </x:c>
      <x:c r="U447" s="11" t="str">
        <x:v>https://www.youtube.com/watch?v=VxLXKQqTi3Q</x:v>
      </x:c>
      <x:c r="V447" s="16" t="n">
        <x:v>46308</x:v>
      </x:c>
      <x:c r="W447" s="16"/>
      <x:c r="X447" s="10" t="str">
        <x:v>Иврит предполагается по заголовку и источнику</x:v>
      </x:c>
      <x:c r="Y447" s="10" t="str">
        <x:v>Не проверено</x:v>
      </x:c>
      <x:c r="Z447" s="10" t="str">
        <x:v>Не проверено</x:v>
      </x:c>
      <x:c r="AA447" s="10" t="str">
        <x:v>Метаданные списка; видео не просмотрено</x:v>
      </x:c>
      <x:c r="AB447" s="13" t="str">
        <x:f>IF(AND(ISNUMBER(H447),ISNUMBER(W447)),H447/MAX(1,'Обзор'!$B$4-W447),"")</x:f>
      </x:c>
      <x:c r="AC447" s="17" t="str">
        <x:v>Не решено</x:v>
      </x:c>
      <x:c r="AD447" s="17" t="str">
        <x:v>Не проверено</x:v>
      </x:c>
      <x:c r="AE447" s="17" t="str">
        <x:v>Не проверено</x:v>
      </x:c>
      <x:c r="AF447" s="17" t="str">
        <x:v>Не проверено</x:v>
      </x:c>
      <x:c r="AG447" s="17" t="str">
        <x:v>Не решено</x:v>
      </x:c>
      <x:c r="AH447" s="17" t="str">
        <x:v>Не проверено</x:v>
      </x:c>
      <x:c r="AI447" s="10" t="str">
        <x:f>IF(AC447="Отклонить","Отклонено",IF(AND(AC447="Взять",COUNTIFS(AD447:AH447,"Да")=5),"Готово","Нужна редактура"))</x:f>
        <x:v>Нужна редактура</x:v>
      </x:c>
      <x:c r="AJ447" s="17" t="str"/>
      <x:c r="AK447" s="9" t="str">
        <x:v>https://www.youtube.com/playlist?list=PLLttfoK87AdVl3nJ4Oa3hVHQcpRlfyHzE</x:v>
      </x:c>
      <x:c r="AL447" s="9" t="n">
        <x:v>5</x:v>
      </x:c>
      <x:c r="AM447" s="9"/>
      <x:c r="AN447" s="9"/>
    </x:row>
    <x:row r="448" ht="60" customHeight="1">
      <x:c r="A448" s="9" t="str">
        <x:v>pDSVRiB3rL8</x:v>
      </x:c>
      <x:c r="B448" s="10" t="str">
        <x:v>שיר אחד 🎤 עונה 2 | מירי אלוני - שיר לערב חג</x:v>
      </x:c>
      <x:c r="C448" s="10" t="str">
        <x:v>Музыка и культурная память</x:v>
      </x:c>
      <x:c r="D448" s="9" t="str">
        <x:v>Культура</x:v>
      </x:c>
      <x:c r="E448" s="10" t="str">
        <x:v>Музыка; культура; история</x:v>
      </x:c>
      <x:c r="F448" s="10" t="str">
        <x:v>B1–B2 (гипотеза)</x:v>
      </x:c>
      <x:c r="G448" s="12" t="n">
        <x:v>26.3</x:v>
      </x:c>
      <x:c r="H448" s="14" t="n">
        <x:v>18000</x:v>
      </x:c>
      <x:c r="I448" s="15" t="str">
        <x:v>Округлённый счётчик в списке YouTube</x:v>
      </x:c>
      <x:c r="J448" s="14" t="n">
        <x:v>18000</x:v>
      </x:c>
      <x:c r="K448" s="14" t="n">
        <x:v>43000</x:v>
      </x:c>
      <x:c r="L448" s="12" t="n">
        <x:f>IF(COUNT(J448:K448)=2,IF(K448=0,"",J448/K448),"")</x:f>
        <x:v>0.4186046511627907</x:v>
      </x:c>
      <x:c r="M448" s="10" t="str">
        <x:v>Тема: שיר אחד 🎤 עונה 2 | מירי אלוני - שיר לערב חג. Просмотры ниже медианы цикла; выбирать за нишевую ценность, а не за массовый охват. История одной песни связывает музыку, биографию и эпоху. Подходит зрителям, которым политическая повестка менее интересна.</x:v>
      </x:c>
      <x:c r="N448" s="10" t="str">
        <x:v>Разобрать рассказ о создании песни; использовать текст песни только в разрешённых пределах.</x:v>
      </x:c>
      <x:c r="O448" s="10" t="str">
        <x:v>Права на песню и текст проверяются отдельно</x:v>
      </x:c>
      <x:c r="P448" s="10" t="str">
        <x:v>Самостоятельное видео</x:v>
      </x:c>
      <x:c r="Q448" s="9" t="str">
        <x:v>Нет</x:v>
      </x:c>
      <x:c r="R448" s="9" t="str">
        <x:v>C027</x:v>
      </x:c>
      <x:c r="S448" s="9" t="str">
        <x:v>C027</x:v>
      </x:c>
      <x:c r="T448" s="10" t="str">
        <x:v>כאן 11 - תאגיד השידור הישראלי</x:v>
      </x:c>
      <x:c r="U448" s="11" t="str">
        <x:v>https://www.youtube.com/watch?v=pDSVRiB3rL8</x:v>
      </x:c>
      <x:c r="V448" s="16" t="n">
        <x:v>46308</x:v>
      </x:c>
      <x:c r="W448" s="16"/>
      <x:c r="X448" s="10" t="str">
        <x:v>Иврит предполагается по заголовку и источнику</x:v>
      </x:c>
      <x:c r="Y448" s="10" t="str">
        <x:v>Не проверено</x:v>
      </x:c>
      <x:c r="Z448" s="10" t="str">
        <x:v>Не проверено</x:v>
      </x:c>
      <x:c r="AA448" s="10" t="str">
        <x:v>Метаданные списка; видео не просмотрено</x:v>
      </x:c>
      <x:c r="AB448" s="13" t="str">
        <x:f>IF(AND(ISNUMBER(H448),ISNUMBER(W448)),H448/MAX(1,'Обзор'!$B$4-W448),"")</x:f>
      </x:c>
      <x:c r="AC448" s="17" t="str">
        <x:v>Не решено</x:v>
      </x:c>
      <x:c r="AD448" s="17" t="str">
        <x:v>Не проверено</x:v>
      </x:c>
      <x:c r="AE448" s="17" t="str">
        <x:v>Не проверено</x:v>
      </x:c>
      <x:c r="AF448" s="17" t="str">
        <x:v>Не проверено</x:v>
      </x:c>
      <x:c r="AG448" s="17" t="str">
        <x:v>Не решено</x:v>
      </x:c>
      <x:c r="AH448" s="17" t="str">
        <x:v>Не проверено</x:v>
      </x:c>
      <x:c r="AI448" s="10" t="str">
        <x:f>IF(AC448="Отклонить","Отклонено",IF(AND(AC448="Взять",COUNTIFS(AD448:AH448,"Да")=5),"Готово","Нужна редактура"))</x:f>
        <x:v>Нужна редактура</x:v>
      </x:c>
      <x:c r="AJ448" s="17" t="str"/>
      <x:c r="AK448" s="9" t="str">
        <x:v>https://www.youtube.com/playlist?list=PLLttfoK87AdVl3nJ4Oa3hVHQcpRlfyHzE</x:v>
      </x:c>
      <x:c r="AL448" s="9" t="n">
        <x:v>6</x:v>
      </x:c>
      <x:c r="AM448" s="9"/>
      <x:c r="AN448" s="9"/>
    </x:row>
    <x:row r="449" ht="60" customHeight="1">
      <x:c r="A449" s="9" t="str">
        <x:v>MWXl-0DiOFE</x:v>
      </x:c>
      <x:c r="B449" s="10" t="str">
        <x:v>שיר אחד 🎤 עונה 2 | אריאל זילבר - בחברה להגנת הטבע</x:v>
      </x:c>
      <x:c r="C449" s="10" t="str">
        <x:v>Музыка и культурная память</x:v>
      </x:c>
      <x:c r="D449" s="9" t="str">
        <x:v>Культура</x:v>
      </x:c>
      <x:c r="E449" s="10" t="str">
        <x:v>Музыка; культура; история</x:v>
      </x:c>
      <x:c r="F449" s="10" t="str">
        <x:v>B1–B2 (гипотеза)</x:v>
      </x:c>
      <x:c r="G449" s="12" t="n">
        <x:v>29.4</x:v>
      </x:c>
      <x:c r="H449" s="14" t="n">
        <x:v>49957</x:v>
      </x:c>
      <x:c r="I449" s="15" t="str">
        <x:v>Точный счётчик метаданных видео</x:v>
      </x:c>
      <x:c r="J449" s="14" t="n">
        <x:v>49000</x:v>
      </x:c>
      <x:c r="K449" s="14" t="n">
        <x:v>43000</x:v>
      </x:c>
      <x:c r="L449" s="12" t="n">
        <x:f>IF(COUNT(J449:K449)=2,IF(K449=0,"",J449/K449),"")</x:f>
        <x:v>1.1395348837209303</x:v>
      </x:c>
      <x:c r="M449" s="10" t="str">
        <x:v>Тема: שיר אחד 🎤 עונה 2 | אריאל זילבר - בחברה להגנת הטבע. История одной песни связывает музыку, биографию и эпоху. Подходит зрителям, которым политическая повестка менее интересна.</x:v>
      </x:c>
      <x:c r="N449" s="10" t="str">
        <x:v>Разобрать рассказ о создании песни; использовать текст песни только в разрешённых пределах.</x:v>
      </x:c>
      <x:c r="O449" s="10" t="str">
        <x:v>Права на песню и текст проверяются отдельно</x:v>
      </x:c>
      <x:c r="P449" s="10" t="str">
        <x:v>Самостоятельное видео</x:v>
      </x:c>
      <x:c r="Q449" s="9" t="str">
        <x:v>Нет</x:v>
      </x:c>
      <x:c r="R449" s="9" t="str">
        <x:v>C027</x:v>
      </x:c>
      <x:c r="S449" s="9" t="str">
        <x:v>C027</x:v>
      </x:c>
      <x:c r="T449" s="10" t="str">
        <x:v>כאן 11 - תאגיד השידור הישראלי</x:v>
      </x:c>
      <x:c r="U449" s="11" t="str">
        <x:v>https://www.youtube.com/watch?v=MWXl-0DiOFE</x:v>
      </x:c>
      <x:c r="V449" s="16" t="n">
        <x:v>46308</x:v>
      </x:c>
      <x:c r="W449" s="16" t="n">
        <x:v>45915</x:v>
      </x:c>
      <x:c r="X449" s="10" t="str">
        <x:v>Иврит предполагается по заголовку и источнику</x:v>
      </x:c>
      <x:c r="Y449" s="10" t="str">
        <x:v>Автоматическая дорожка HE по метаданным</x:v>
      </x:c>
      <x:c r="Z449" s="10" t="str">
        <x:v>Разрешено по метаданным</x:v>
      </x:c>
      <x:c r="AA449" s="10" t="str">
        <x:v>Метаданные видео; воспроизведение и содержание не проверены</x:v>
      </x:c>
      <x:c r="AB449" s="13" t="n">
        <x:f>IF(AND(ISNUMBER(H449),ISNUMBER(W449)),H449/MAX(1,'Обзор'!$B$4-W449),"")</x:f>
        <x:v>127.11704834605598</x:v>
      </x:c>
      <x:c r="AC449" s="17" t="str">
        <x:v>Не решено</x:v>
      </x:c>
      <x:c r="AD449" s="17" t="str">
        <x:v>Не проверено</x:v>
      </x:c>
      <x:c r="AE449" s="17" t="str">
        <x:v>Не проверено</x:v>
      </x:c>
      <x:c r="AF449" s="17" t="str">
        <x:v>Не проверено</x:v>
      </x:c>
      <x:c r="AG449" s="17" t="str">
        <x:v>Не решено</x:v>
      </x:c>
      <x:c r="AH449" s="17" t="str">
        <x:v>Не проверено</x:v>
      </x:c>
      <x:c r="AI449" s="10" t="str">
        <x:f>IF(AC449="Отклонить","Отклонено",IF(AND(AC449="Взять",COUNTIFS(AD449:AH449,"Да")=5),"Готово","Нужна редактура"))</x:f>
        <x:v>Нужна редактура</x:v>
      </x:c>
      <x:c r="AJ449" s="17" t="str"/>
      <x:c r="AK449" s="9" t="str">
        <x:v>https://www.youtube.com/playlist?list=PLLttfoK87AdVl3nJ4Oa3hVHQcpRlfyHzE</x:v>
      </x:c>
      <x:c r="AL449" s="9" t="n">
        <x:v>7</x:v>
      </x:c>
      <x:c r="AM449" s="9"/>
      <x:c r="AN449" s="9" t="n">
        <x:v>0</x:v>
      </x:c>
    </x:row>
    <x:row r="450" ht="60" customHeight="1">
      <x:c r="A450" s="9" t="str">
        <x:v>XACKQIDl_Oo</x:v>
      </x:c>
      <x:c r="B450" s="10" t="str">
        <x:v>שיר אחד 🎤 עונה 2 | ריקי גל - היי שקטה</x:v>
      </x:c>
      <x:c r="C450" s="10" t="str">
        <x:v>Музыка и культурная память</x:v>
      </x:c>
      <x:c r="D450" s="9" t="str">
        <x:v>Культура</x:v>
      </x:c>
      <x:c r="E450" s="10" t="str">
        <x:v>Музыка; культура; история</x:v>
      </x:c>
      <x:c r="F450" s="10" t="str">
        <x:v>B1–B2 (гипотеза)</x:v>
      </x:c>
      <x:c r="G450" s="12" t="n">
        <x:v>26.2</x:v>
      </x:c>
      <x:c r="H450" s="14" t="n">
        <x:v>23000</x:v>
      </x:c>
      <x:c r="I450" s="15" t="str">
        <x:v>Округлённый счётчик в списке YouTube</x:v>
      </x:c>
      <x:c r="J450" s="14" t="n">
        <x:v>23000</x:v>
      </x:c>
      <x:c r="K450" s="14" t="n">
        <x:v>43000</x:v>
      </x:c>
      <x:c r="L450" s="12" t="n">
        <x:f>IF(COUNT(J450:K450)=2,IF(K450=0,"",J450/K450),"")</x:f>
        <x:v>0.5348837209302325</x:v>
      </x:c>
      <x:c r="M450" s="10" t="str">
        <x:v>Тема: שיר אחד 🎤 עונה 2 | ריקי גל - היי שקטה. История одной песни связывает музыку, биографию и эпоху. Подходит зрителям, которым политическая повестка менее интересна.</x:v>
      </x:c>
      <x:c r="N450" s="10" t="str">
        <x:v>Разобрать рассказ о создании песни; использовать текст песни только в разрешённых пределах.</x:v>
      </x:c>
      <x:c r="O450" s="10" t="str">
        <x:v>Права на песню и текст проверяются отдельно</x:v>
      </x:c>
      <x:c r="P450" s="10" t="str">
        <x:v>Самостоятельное видео</x:v>
      </x:c>
      <x:c r="Q450" s="9" t="str">
        <x:v>Нет</x:v>
      </x:c>
      <x:c r="R450" s="9" t="str">
        <x:v>C027</x:v>
      </x:c>
      <x:c r="S450" s="9" t="str">
        <x:v>C027</x:v>
      </x:c>
      <x:c r="T450" s="10" t="str">
        <x:v>כאן 11 - תאגיד השידור הישראלי</x:v>
      </x:c>
      <x:c r="U450" s="11" t="str">
        <x:v>https://www.youtube.com/watch?v=XACKQIDl_Oo</x:v>
      </x:c>
      <x:c r="V450" s="16" t="n">
        <x:v>46308</x:v>
      </x:c>
      <x:c r="W450" s="16"/>
      <x:c r="X450" s="10" t="str">
        <x:v>Иврит предполагается по заголовку и источнику</x:v>
      </x:c>
      <x:c r="Y450" s="10" t="str">
        <x:v>Не проверено</x:v>
      </x:c>
      <x:c r="Z450" s="10" t="str">
        <x:v>Не проверено</x:v>
      </x:c>
      <x:c r="AA450" s="10" t="str">
        <x:v>Метаданные списка; видео не просмотрено</x:v>
      </x:c>
      <x:c r="AB450" s="13" t="str">
        <x:f>IF(AND(ISNUMBER(H450),ISNUMBER(W450)),H450/MAX(1,'Обзор'!$B$4-W450),"")</x:f>
      </x:c>
      <x:c r="AC450" s="17" t="str">
        <x:v>Не решено</x:v>
      </x:c>
      <x:c r="AD450" s="17" t="str">
        <x:v>Не проверено</x:v>
      </x:c>
      <x:c r="AE450" s="17" t="str">
        <x:v>Не проверено</x:v>
      </x:c>
      <x:c r="AF450" s="17" t="str">
        <x:v>Не проверено</x:v>
      </x:c>
      <x:c r="AG450" s="17" t="str">
        <x:v>Не решено</x:v>
      </x:c>
      <x:c r="AH450" s="17" t="str">
        <x:v>Не проверено</x:v>
      </x:c>
      <x:c r="AI450" s="10" t="str">
        <x:f>IF(AC450="Отклонить","Отклонено",IF(AND(AC450="Взять",COUNTIFS(AD450:AH450,"Да")=5),"Готово","Нужна редактура"))</x:f>
        <x:v>Нужна редактура</x:v>
      </x:c>
      <x:c r="AJ450" s="17" t="str"/>
      <x:c r="AK450" s="9" t="str">
        <x:v>https://www.youtube.com/playlist?list=PLLttfoK87AdVl3nJ4Oa3hVHQcpRlfyHzE</x:v>
      </x:c>
      <x:c r="AL450" s="9" t="n">
        <x:v>8</x:v>
      </x:c>
      <x:c r="AM450" s="9"/>
      <x:c r="AN450" s="9"/>
    </x:row>
    <x:row r="451" ht="60" customHeight="1">
      <x:c r="A451" s="9" t="str">
        <x:v>vIs2b-Xx8zY</x:v>
      </x:c>
      <x:c r="B451" s="10" t="str">
        <x:v>שיר אחד 🎤 עונה 2 | רן דנקר - בית משוגעים</x:v>
      </x:c>
      <x:c r="C451" s="10" t="str">
        <x:v>Музыка и культурная память</x:v>
      </x:c>
      <x:c r="D451" s="9" t="str">
        <x:v>Культура</x:v>
      </x:c>
      <x:c r="E451" s="10" t="str">
        <x:v>Музыка; культура; история</x:v>
      </x:c>
      <x:c r="F451" s="10" t="str">
        <x:v>B1–B2 (гипотеза)</x:v>
      </x:c>
      <x:c r="G451" s="12" t="n">
        <x:v>27.1</x:v>
      </x:c>
      <x:c r="H451" s="14" t="n">
        <x:v>24000</x:v>
      </x:c>
      <x:c r="I451" s="15" t="str">
        <x:v>Округлённый счётчик в списке YouTube</x:v>
      </x:c>
      <x:c r="J451" s="14" t="n">
        <x:v>24000</x:v>
      </x:c>
      <x:c r="K451" s="14" t="n">
        <x:v>43000</x:v>
      </x:c>
      <x:c r="L451" s="12" t="n">
        <x:f>IF(COUNT(J451:K451)=2,IF(K451=0,"",J451/K451),"")</x:f>
        <x:v>0.5581395348837209</x:v>
      </x:c>
      <x:c r="M451" s="10" t="str">
        <x:v>Тема: שיר אחד 🎤 עונה 2 | רן דנקר - בית משוגעים. История одной песни связывает музыку, биографию и эпоху. Подходит зрителям, которым политическая повестка менее интересна.</x:v>
      </x:c>
      <x:c r="N451" s="10" t="str">
        <x:v>Разобрать рассказ о создании песни; использовать текст песни только в разрешённых пределах.</x:v>
      </x:c>
      <x:c r="O451" s="10" t="str">
        <x:v>Права на песню и текст проверяются отдельно</x:v>
      </x:c>
      <x:c r="P451" s="10" t="str">
        <x:v>Самостоятельное видео</x:v>
      </x:c>
      <x:c r="Q451" s="9" t="str">
        <x:v>Нет</x:v>
      </x:c>
      <x:c r="R451" s="9" t="str">
        <x:v>C027</x:v>
      </x:c>
      <x:c r="S451" s="9" t="str">
        <x:v>C027</x:v>
      </x:c>
      <x:c r="T451" s="10" t="str">
        <x:v>כאן 11 - תאגיד השידור הישראלי</x:v>
      </x:c>
      <x:c r="U451" s="11" t="str">
        <x:v>https://www.youtube.com/watch?v=vIs2b-Xx8zY</x:v>
      </x:c>
      <x:c r="V451" s="16" t="n">
        <x:v>46308</x:v>
      </x:c>
      <x:c r="W451" s="16"/>
      <x:c r="X451" s="10" t="str">
        <x:v>Иврит предполагается по заголовку и источнику</x:v>
      </x:c>
      <x:c r="Y451" s="10" t="str">
        <x:v>Не проверено</x:v>
      </x:c>
      <x:c r="Z451" s="10" t="str">
        <x:v>Не проверено</x:v>
      </x:c>
      <x:c r="AA451" s="10" t="str">
        <x:v>Метаданные списка; видео не просмотрено</x:v>
      </x:c>
      <x:c r="AB451" s="13" t="str">
        <x:f>IF(AND(ISNUMBER(H451),ISNUMBER(W451)),H451/MAX(1,'Обзор'!$B$4-W451),"")</x:f>
      </x:c>
      <x:c r="AC451" s="17" t="str">
        <x:v>Не решено</x:v>
      </x:c>
      <x:c r="AD451" s="17" t="str">
        <x:v>Не проверено</x:v>
      </x:c>
      <x:c r="AE451" s="17" t="str">
        <x:v>Не проверено</x:v>
      </x:c>
      <x:c r="AF451" s="17" t="str">
        <x:v>Не проверено</x:v>
      </x:c>
      <x:c r="AG451" s="17" t="str">
        <x:v>Не решено</x:v>
      </x:c>
      <x:c r="AH451" s="17" t="str">
        <x:v>Не проверено</x:v>
      </x:c>
      <x:c r="AI451" s="10" t="str">
        <x:f>IF(AC451="Отклонить","Отклонено",IF(AND(AC451="Взять",COUNTIFS(AD451:AH451,"Да")=5),"Готово","Нужна редактура"))</x:f>
        <x:v>Нужна редактура</x:v>
      </x:c>
      <x:c r="AJ451" s="17" t="str"/>
      <x:c r="AK451" s="9" t="str">
        <x:v>https://www.youtube.com/playlist?list=PLLttfoK87AdVl3nJ4Oa3hVHQcpRlfyHzE</x:v>
      </x:c>
      <x:c r="AL451" s="9" t="n">
        <x:v>9</x:v>
      </x:c>
      <x:c r="AM451" s="9"/>
      <x:c r="AN451" s="9"/>
    </x:row>
    <x:row r="452" ht="60" customHeight="1">
      <x:c r="A452" s="9" t="str">
        <x:v>mDFLszm7QkU</x:v>
      </x:c>
      <x:c r="B452" s="10" t="str">
        <x:v>שיר אחד 🎤 עונה 2 | עמיר בניון - ניצחת איתי הכל</x:v>
      </x:c>
      <x:c r="C452" s="10" t="str">
        <x:v>Музыка и культурная память</x:v>
      </x:c>
      <x:c r="D452" s="9" t="str">
        <x:v>Культура</x:v>
      </x:c>
      <x:c r="E452" s="10" t="str">
        <x:v>Музыка; культура; история</x:v>
      </x:c>
      <x:c r="F452" s="10" t="str">
        <x:v>B1–B2 (гипотеза)</x:v>
      </x:c>
      <x:c r="G452" s="12" t="n">
        <x:v>27.6</x:v>
      </x:c>
      <x:c r="H452" s="14" t="n">
        <x:v>81455</x:v>
      </x:c>
      <x:c r="I452" s="15" t="str">
        <x:v>Точный счётчик метаданных видео</x:v>
      </x:c>
      <x:c r="J452" s="14" t="n">
        <x:v>81000</x:v>
      </x:c>
      <x:c r="K452" s="14" t="n">
        <x:v>43000</x:v>
      </x:c>
      <x:c r="L452" s="12" t="n">
        <x:f>IF(COUNT(J452:K452)=2,IF(K452=0,"",J452/K452),"")</x:f>
        <x:v>1.8837209302325582</x:v>
      </x:c>
      <x:c r="M452" s="10" t="str">
        <x:v>Тема: שיר אחד 🎤 עונה 2 | עמיר בניון - ניצחת איתי הכל. Просмотры в списке выше медианы выборки этого цикла в 1.88 раза. История одной песни связывает музыку, биографию и эпоху. Подходит зрителям, которым политическая повестка менее интересна.</x:v>
      </x:c>
      <x:c r="N452" s="10" t="str">
        <x:v>Разобрать рассказ о создании песни; использовать текст песни только в разрешённых пределах.</x:v>
      </x:c>
      <x:c r="O452" s="10" t="str">
        <x:v>Права на песню и текст проверяются отдельно</x:v>
      </x:c>
      <x:c r="P452" s="10" t="str">
        <x:v>Самостоятельное видео</x:v>
      </x:c>
      <x:c r="Q452" s="9" t="str">
        <x:v>Нет</x:v>
      </x:c>
      <x:c r="R452" s="9" t="str">
        <x:v>C027</x:v>
      </x:c>
      <x:c r="S452" s="9" t="str">
        <x:v>C027</x:v>
      </x:c>
      <x:c r="T452" s="10" t="str">
        <x:v>כאן 11 - תאגיד השידור הישראלי</x:v>
      </x:c>
      <x:c r="U452" s="11" t="str">
        <x:v>https://www.youtube.com/watch?v=mDFLszm7QkU</x:v>
      </x:c>
      <x:c r="V452" s="16" t="n">
        <x:v>46308</x:v>
      </x:c>
      <x:c r="W452" s="16" t="n">
        <x:v>45894</x:v>
      </x:c>
      <x:c r="X452" s="10" t="str">
        <x:v>Иврит предполагается по заголовку и источнику</x:v>
      </x:c>
      <x:c r="Y452" s="10" t="str">
        <x:v>Автоматическая дорожка HE по метаданным</x:v>
      </x:c>
      <x:c r="Z452" s="10" t="str">
        <x:v>Разрешено по метаданным</x:v>
      </x:c>
      <x:c r="AA452" s="10" t="str">
        <x:v>Метаданные видео; воспроизведение и содержание не проверены</x:v>
      </x:c>
      <x:c r="AB452" s="13" t="n">
        <x:f>IF(AND(ISNUMBER(H452),ISNUMBER(W452)),H452/MAX(1,'Обзор'!$B$4-W452),"")</x:f>
        <x:v>196.7512077294686</x:v>
      </x:c>
      <x:c r="AC452" s="17" t="str">
        <x:v>Не решено</x:v>
      </x:c>
      <x:c r="AD452" s="17" t="str">
        <x:v>Не проверено</x:v>
      </x:c>
      <x:c r="AE452" s="17" t="str">
        <x:v>Не проверено</x:v>
      </x:c>
      <x:c r="AF452" s="17" t="str">
        <x:v>Не проверено</x:v>
      </x:c>
      <x:c r="AG452" s="17" t="str">
        <x:v>Не решено</x:v>
      </x:c>
      <x:c r="AH452" s="17" t="str">
        <x:v>Не проверено</x:v>
      </x:c>
      <x:c r="AI452" s="10" t="str">
        <x:f>IF(AC452="Отклонить","Отклонено",IF(AND(AC452="Взять",COUNTIFS(AD452:AH452,"Да")=5),"Готово","Нужна редактура"))</x:f>
        <x:v>Нужна редактура</x:v>
      </x:c>
      <x:c r="AJ452" s="17" t="str"/>
      <x:c r="AK452" s="9" t="str">
        <x:v>https://www.youtube.com/playlist?list=PLLttfoK87AdVl3nJ4Oa3hVHQcpRlfyHzE</x:v>
      </x:c>
      <x:c r="AL452" s="9" t="n">
        <x:v>10</x:v>
      </x:c>
      <x:c r="AM452" s="9"/>
      <x:c r="AN452" s="9" t="n">
        <x:v>0</x:v>
      </x:c>
    </x:row>
    <x:row r="453" ht="60" customHeight="1">
      <x:c r="A453" s="9" t="str">
        <x:v>mlJznTLsYhM</x:v>
      </x:c>
      <x:c r="B453" s="10" t="str">
        <x:v>שיר אחד 🎤 עונה 2 | דנה אינטרנשיונל - דיווה</x:v>
      </x:c>
      <x:c r="C453" s="10" t="str">
        <x:v>Музыка и культурная память</x:v>
      </x:c>
      <x:c r="D453" s="9" t="str">
        <x:v>Культура</x:v>
      </x:c>
      <x:c r="E453" s="10" t="str">
        <x:v>Музыка; культура; история</x:v>
      </x:c>
      <x:c r="F453" s="10" t="str">
        <x:v>B1–B2 (гипотеза)</x:v>
      </x:c>
      <x:c r="G453" s="12" t="n">
        <x:v>29.5</x:v>
      </x:c>
      <x:c r="H453" s="14" t="n">
        <x:v>39256</x:v>
      </x:c>
      <x:c r="I453" s="15" t="str">
        <x:v>Точный счётчик метаданных видео</x:v>
      </x:c>
      <x:c r="J453" s="14" t="n">
        <x:v>39000</x:v>
      </x:c>
      <x:c r="K453" s="14" t="n">
        <x:v>43000</x:v>
      </x:c>
      <x:c r="L453" s="12" t="n">
        <x:f>IF(COUNT(J453:K453)=2,IF(K453=0,"",J453/K453),"")</x:f>
        <x:v>0.9069767441860465</x:v>
      </x:c>
      <x:c r="M453" s="10" t="str">
        <x:v>Тема: שיר אחד 🎤 עונה 2 | דנה אינטרנשיונל - דיווה. История одной песни связывает музыку, биографию и эпоху. Подходит зрителям, которым политическая повестка менее интересна.</x:v>
      </x:c>
      <x:c r="N453" s="10" t="str">
        <x:v>Разобрать рассказ о создании песни; использовать текст песни только в разрешённых пределах.</x:v>
      </x:c>
      <x:c r="O453" s="10" t="str">
        <x:v>Права на песню и текст проверяются отдельно</x:v>
      </x:c>
      <x:c r="P453" s="10" t="str">
        <x:v>Самостоятельное видео</x:v>
      </x:c>
      <x:c r="Q453" s="9" t="str">
        <x:v>Нет</x:v>
      </x:c>
      <x:c r="R453" s="9" t="str">
        <x:v>C027</x:v>
      </x:c>
      <x:c r="S453" s="9" t="str">
        <x:v>C027</x:v>
      </x:c>
      <x:c r="T453" s="10" t="str">
        <x:v>כאן 11 - תאגיד השידור הישראלי</x:v>
      </x:c>
      <x:c r="U453" s="11" t="str">
        <x:v>https://www.youtube.com/watch?v=mlJznTLsYhM</x:v>
      </x:c>
      <x:c r="V453" s="16" t="n">
        <x:v>46308</x:v>
      </x:c>
      <x:c r="W453" s="16" t="n">
        <x:v>45784</x:v>
      </x:c>
      <x:c r="X453" s="10" t="str">
        <x:v>Иврит предполагается по заголовку и источнику</x:v>
      </x:c>
      <x:c r="Y453" s="10" t="str">
        <x:v>Автоматическая дорожка HE по метаданным</x:v>
      </x:c>
      <x:c r="Z453" s="10" t="str">
        <x:v>Разрешено по метаданным</x:v>
      </x:c>
      <x:c r="AA453" s="10" t="str">
        <x:v>Метаданные видео; воспроизведение и содержание не проверены</x:v>
      </x:c>
      <x:c r="AB453" s="13" t="n">
        <x:f>IF(AND(ISNUMBER(H453),ISNUMBER(W453)),H453/MAX(1,'Обзор'!$B$4-W453),"")</x:f>
        <x:v>74.91603053435115</x:v>
      </x:c>
      <x:c r="AC453" s="17" t="str">
        <x:v>Не решено</x:v>
      </x:c>
      <x:c r="AD453" s="17" t="str">
        <x:v>Не проверено</x:v>
      </x:c>
      <x:c r="AE453" s="17" t="str">
        <x:v>Не проверено</x:v>
      </x:c>
      <x:c r="AF453" s="17" t="str">
        <x:v>Не проверено</x:v>
      </x:c>
      <x:c r="AG453" s="17" t="str">
        <x:v>Не решено</x:v>
      </x:c>
      <x:c r="AH453" s="17" t="str">
        <x:v>Не проверено</x:v>
      </x:c>
      <x:c r="AI453" s="10" t="str">
        <x:f>IF(AC453="Отклонить","Отклонено",IF(AND(AC453="Взять",COUNTIFS(AD453:AH453,"Да")=5),"Готово","Нужна редактура"))</x:f>
        <x:v>Нужна редактура</x:v>
      </x:c>
      <x:c r="AJ453" s="17" t="str"/>
      <x:c r="AK453" s="9" t="str">
        <x:v>https://www.youtube.com/playlist?list=PLLttfoK87AdVl3nJ4Oa3hVHQcpRlfyHzE</x:v>
      </x:c>
      <x:c r="AL453" s="9" t="n">
        <x:v>11</x:v>
      </x:c>
      <x:c r="AM453" s="9"/>
      <x:c r="AN453" s="9" t="n">
        <x:v>0</x:v>
      </x:c>
    </x:row>
    <x:row r="454" ht="60" customHeight="1">
      <x:c r="A454" s="9" t="str">
        <x:v>1nG5BDUdiMU</x:v>
      </x:c>
      <x:c r="B454" s="10" t="str">
        <x:v>שיר אחד 🎤 עונה 2 | יהודה פוליקר - חלון לים התיכון</x:v>
      </x:c>
      <x:c r="C454" s="10" t="str">
        <x:v>Музыка и культурная память</x:v>
      </x:c>
      <x:c r="D454" s="9" t="str">
        <x:v>Культура</x:v>
      </x:c>
      <x:c r="E454" s="10" t="str">
        <x:v>Музыка; культура; история</x:v>
      </x:c>
      <x:c r="F454" s="10" t="str">
        <x:v>B1–B2 (гипотеза)</x:v>
      </x:c>
      <x:c r="G454" s="12" t="n">
        <x:v>29.6</x:v>
      </x:c>
      <x:c r="H454" s="14" t="n">
        <x:v>42031</x:v>
      </x:c>
      <x:c r="I454" s="15" t="str">
        <x:v>Точный счётчик метаданных видео</x:v>
      </x:c>
      <x:c r="J454" s="14" t="n">
        <x:v>42000</x:v>
      </x:c>
      <x:c r="K454" s="14" t="n">
        <x:v>43000</x:v>
      </x:c>
      <x:c r="L454" s="12" t="n">
        <x:f>IF(COUNT(J454:K454)=2,IF(K454=0,"",J454/K454),"")</x:f>
        <x:v>0.9767441860465116</x:v>
      </x:c>
      <x:c r="M454" s="10" t="str">
        <x:v>Тема: שיר אחד 🎤 עונה 2 | יהודה פוליקר - חלון לים התיכון. История одной песни связывает музыку, биографию и эпоху. Подходит зрителям, которым политическая повестка менее интересна.</x:v>
      </x:c>
      <x:c r="N454" s="10" t="str">
        <x:v>Разобрать рассказ о создании песни; использовать текст песни только в разрешённых пределах.</x:v>
      </x:c>
      <x:c r="O454" s="10" t="str">
        <x:v>Права на песню и текст проверяются отдельно</x:v>
      </x:c>
      <x:c r="P454" s="10" t="str">
        <x:v>Самостоятельное видео</x:v>
      </x:c>
      <x:c r="Q454" s="9" t="str">
        <x:v>Нет</x:v>
      </x:c>
      <x:c r="R454" s="9" t="str">
        <x:v>C027</x:v>
      </x:c>
      <x:c r="S454" s="9" t="str">
        <x:v>C027</x:v>
      </x:c>
      <x:c r="T454" s="10" t="str">
        <x:v>כאן 11 - תאגיד השידור הישראלי</x:v>
      </x:c>
      <x:c r="U454" s="11" t="str">
        <x:v>https://www.youtube.com/watch?v=1nG5BDUdiMU</x:v>
      </x:c>
      <x:c r="V454" s="16" t="n">
        <x:v>46308</x:v>
      </x:c>
      <x:c r="W454" s="16" t="n">
        <x:v>45771</x:v>
      </x:c>
      <x:c r="X454" s="10" t="str">
        <x:v>iw</x:v>
      </x:c>
      <x:c r="Y454" s="10" t="str">
        <x:v>Автоматическая дорожка HE по метаданным</x:v>
      </x:c>
      <x:c r="Z454" s="10" t="str">
        <x:v>Разрешено по метаданным</x:v>
      </x:c>
      <x:c r="AA454" s="10" t="str">
        <x:v>Метаданные видео; воспроизведение и содержание не проверены</x:v>
      </x:c>
      <x:c r="AB454" s="13" t="n">
        <x:f>IF(AND(ISNUMBER(H454),ISNUMBER(W454)),H454/MAX(1,'Обзор'!$B$4-W454),"")</x:f>
        <x:v>78.27001862197393</x:v>
      </x:c>
      <x:c r="AC454" s="17" t="str">
        <x:v>Не решено</x:v>
      </x:c>
      <x:c r="AD454" s="17" t="str">
        <x:v>Не проверено</x:v>
      </x:c>
      <x:c r="AE454" s="17" t="str">
        <x:v>Не проверено</x:v>
      </x:c>
      <x:c r="AF454" s="17" t="str">
        <x:v>Не проверено</x:v>
      </x:c>
      <x:c r="AG454" s="17" t="str">
        <x:v>Не решено</x:v>
      </x:c>
      <x:c r="AH454" s="17" t="str">
        <x:v>Не проверено</x:v>
      </x:c>
      <x:c r="AI454" s="10" t="str">
        <x:f>IF(AC454="Отклонить","Отклонено",IF(AND(AC454="Взять",COUNTIFS(AD454:AH454,"Да")=5),"Готово","Нужна редактура"))</x:f>
        <x:v>Нужна редактура</x:v>
      </x:c>
      <x:c r="AJ454" s="17" t="str"/>
      <x:c r="AK454" s="9" t="str">
        <x:v>https://www.youtube.com/playlist?list=PLLttfoK87AdVl3nJ4Oa3hVHQcpRlfyHzE</x:v>
      </x:c>
      <x:c r="AL454" s="9" t="n">
        <x:v>12</x:v>
      </x:c>
      <x:c r="AM454" s="9"/>
      <x:c r="AN454" s="9" t="n">
        <x:v>0</x:v>
      </x:c>
    </x:row>
    <x:row r="455" ht="60" customHeight="1">
      <x:c r="A455" s="9" t="str">
        <x:v>Qr0d3EoeSKo</x:v>
      </x:c>
      <x:c r="B455" s="10" t="str">
        <x:v>שיר אחד 🎤 עיבוד טלוויזיוני להסכת | בועז שרעבי - לתת - פרק אחרון לעונה</x:v>
      </x:c>
      <x:c r="C455" s="10" t="str">
        <x:v>Музыка и культурная память</x:v>
      </x:c>
      <x:c r="D455" s="9" t="str">
        <x:v>Культура</x:v>
      </x:c>
      <x:c r="E455" s="10" t="str">
        <x:v>Музыка; культура; история</x:v>
      </x:c>
      <x:c r="F455" s="10" t="str">
        <x:v>B1–B2 (гипотеза)</x:v>
      </x:c>
      <x:c r="G455" s="12" t="n">
        <x:v>28.8</x:v>
      </x:c>
      <x:c r="H455" s="14" t="n">
        <x:v>54676</x:v>
      </x:c>
      <x:c r="I455" s="15" t="str">
        <x:v>Точный счётчик метаданных видео</x:v>
      </x:c>
      <x:c r="J455" s="14" t="n">
        <x:v>54000</x:v>
      </x:c>
      <x:c r="K455" s="14" t="n">
        <x:v>43000</x:v>
      </x:c>
      <x:c r="L455" s="12" t="n">
        <x:f>IF(COUNT(J455:K455)=2,IF(K455=0,"",J455/K455),"")</x:f>
        <x:v>1.255813953488372</x:v>
      </x:c>
      <x:c r="M455" s="10" t="str">
        <x:v>Тема: שיר אחד 🎤 עיבוד טלוויזיוני להסכת | בועז שרעבי - לתת - פרק אחרון לעונה. История одной песни связывает музыку, биографию и эпоху. Подходит зрителям, которым политическая повестка менее интересна.</x:v>
      </x:c>
      <x:c r="N455" s="10" t="str">
        <x:v>Разобрать рассказ о создании песни; использовать текст песни только в разрешённых пределах.</x:v>
      </x:c>
      <x:c r="O455" s="10" t="str">
        <x:v>Права на песню и текст проверяются отдельно</x:v>
      </x:c>
      <x:c r="P455" s="10" t="str">
        <x:v>Самостоятельное видео</x:v>
      </x:c>
      <x:c r="Q455" s="9" t="str">
        <x:v>Нет</x:v>
      </x:c>
      <x:c r="R455" s="9" t="str">
        <x:v>C027</x:v>
      </x:c>
      <x:c r="S455" s="9" t="str">
        <x:v>C027</x:v>
      </x:c>
      <x:c r="T455" s="10" t="str">
        <x:v>כאן 11 - תאגיד השידור הישראלי</x:v>
      </x:c>
      <x:c r="U455" s="11" t="str">
        <x:v>https://www.youtube.com/watch?v=Qr0d3EoeSKo</x:v>
      </x:c>
      <x:c r="V455" s="16" t="n">
        <x:v>46308</x:v>
      </x:c>
      <x:c r="W455" s="16" t="n">
        <x:v>45456</x:v>
      </x:c>
      <x:c r="X455" s="10" t="str">
        <x:v>Иврит предполагается по заголовку и источнику</x:v>
      </x:c>
      <x:c r="Y455" s="10" t="str">
        <x:v>Автоматическая дорожка HE по метаданным</x:v>
      </x:c>
      <x:c r="Z455" s="10" t="str">
        <x:v>Разрешено по метаданным</x:v>
      </x:c>
      <x:c r="AA455" s="10" t="str">
        <x:v>Метаданные видео; воспроизведение и содержание не проверены</x:v>
      </x:c>
      <x:c r="AB455" s="13" t="n">
        <x:f>IF(AND(ISNUMBER(H455),ISNUMBER(W455)),H455/MAX(1,'Обзор'!$B$4-W455),"")</x:f>
        <x:v>64.17370892018779</x:v>
      </x:c>
      <x:c r="AC455" s="17" t="str">
        <x:v>Не решено</x:v>
      </x:c>
      <x:c r="AD455" s="17" t="str">
        <x:v>Не проверено</x:v>
      </x:c>
      <x:c r="AE455" s="17" t="str">
        <x:v>Не проверено</x:v>
      </x:c>
      <x:c r="AF455" s="17" t="str">
        <x:v>Не проверено</x:v>
      </x:c>
      <x:c r="AG455" s="17" t="str">
        <x:v>Не решено</x:v>
      </x:c>
      <x:c r="AH455" s="17" t="str">
        <x:v>Не проверено</x:v>
      </x:c>
      <x:c r="AI455" s="10" t="str">
        <x:f>IF(AC455="Отклонить","Отклонено",IF(AND(AC455="Взять",COUNTIFS(AD455:AH455,"Да")=5),"Готово","Нужна редактура"))</x:f>
        <x:v>Нужна редактура</x:v>
      </x:c>
      <x:c r="AJ455" s="17" t="str"/>
      <x:c r="AK455" s="9" t="str">
        <x:v>https://www.youtube.com/playlist?list=PLLttfoK87AdVl3nJ4Oa3hVHQcpRlfyHzE</x:v>
      </x:c>
      <x:c r="AL455" s="9" t="n">
        <x:v>13</x:v>
      </x:c>
      <x:c r="AM455" s="9"/>
      <x:c r="AN455" s="9" t="n">
        <x:v>0</x:v>
      </x:c>
    </x:row>
    <x:row r="456" ht="60" customHeight="1">
      <x:c r="A456" s="9" t="str">
        <x:v>mrsF9iDOGRM</x:v>
      </x:c>
      <x:c r="B456" s="10" t="str">
        <x:v>שיר אחד 🎤 עיבוד טלוויזיוני להסכת | קורין אלאל - זן נדיר</x:v>
      </x:c>
      <x:c r="C456" s="10" t="str">
        <x:v>Музыка и культурная память</x:v>
      </x:c>
      <x:c r="D456" s="9" t="str">
        <x:v>Культура</x:v>
      </x:c>
      <x:c r="E456" s="10" t="str">
        <x:v>Музыка; культура; история</x:v>
      </x:c>
      <x:c r="F456" s="10" t="str">
        <x:v>B1–B2 (гипотеза)</x:v>
      </x:c>
      <x:c r="G456" s="12" t="n">
        <x:v>27.4</x:v>
      </x:c>
      <x:c r="H456" s="14" t="n">
        <x:v>56041</x:v>
      </x:c>
      <x:c r="I456" s="15" t="str">
        <x:v>Точный счётчик метаданных видео</x:v>
      </x:c>
      <x:c r="J456" s="14" t="n">
        <x:v>56000</x:v>
      </x:c>
      <x:c r="K456" s="14" t="n">
        <x:v>43000</x:v>
      </x:c>
      <x:c r="L456" s="12" t="n">
        <x:f>IF(COUNT(J456:K456)=2,IF(K456=0,"",J456/K456),"")</x:f>
        <x:v>1.302325581395349</x:v>
      </x:c>
      <x:c r="M456" s="10" t="str">
        <x:v>Тема: שיר אחד 🎤 עיבוד טלוויזיוני להסכת | קורין אלאל - זן נדיר. История одной песни связывает музыку, биографию и эпоху. Подходит зрителям, которым политическая повестка менее интересна.</x:v>
      </x:c>
      <x:c r="N456" s="10" t="str">
        <x:v>Разобрать рассказ о создании песни; использовать текст песни только в разрешённых пределах.</x:v>
      </x:c>
      <x:c r="O456" s="10" t="str">
        <x:v>Права на песню и текст проверяются отдельно</x:v>
      </x:c>
      <x:c r="P456" s="10" t="str">
        <x:v>Самостоятельное видео</x:v>
      </x:c>
      <x:c r="Q456" s="9" t="str">
        <x:v>Нет</x:v>
      </x:c>
      <x:c r="R456" s="9" t="str">
        <x:v>C027</x:v>
      </x:c>
      <x:c r="S456" s="9" t="str">
        <x:v>C027</x:v>
      </x:c>
      <x:c r="T456" s="10" t="str">
        <x:v>כאן 11 - תאגיד השידור הישראלי</x:v>
      </x:c>
      <x:c r="U456" s="11" t="str">
        <x:v>https://www.youtube.com/watch?v=mrsF9iDOGRM</x:v>
      </x:c>
      <x:c r="V456" s="16" t="n">
        <x:v>46308</x:v>
      </x:c>
      <x:c r="W456" s="16" t="n">
        <x:v>45442</x:v>
      </x:c>
      <x:c r="X456" s="10" t="str">
        <x:v>Иврит предполагается по заголовку и источнику</x:v>
      </x:c>
      <x:c r="Y456" s="10" t="str">
        <x:v>Автоматическая дорожка HE по метаданным</x:v>
      </x:c>
      <x:c r="Z456" s="10" t="str">
        <x:v>Разрешено по метаданным</x:v>
      </x:c>
      <x:c r="AA456" s="10" t="str">
        <x:v>Метаданные видео; воспроизведение и содержание не проверены</x:v>
      </x:c>
      <x:c r="AB456" s="13" t="n">
        <x:f>IF(AND(ISNUMBER(H456),ISNUMBER(W456)),H456/MAX(1,'Обзор'!$B$4-W456),"")</x:f>
        <x:v>64.71247113163972</x:v>
      </x:c>
      <x:c r="AC456" s="17" t="str">
        <x:v>Не решено</x:v>
      </x:c>
      <x:c r="AD456" s="17" t="str">
        <x:v>Не проверено</x:v>
      </x:c>
      <x:c r="AE456" s="17" t="str">
        <x:v>Не проверено</x:v>
      </x:c>
      <x:c r="AF456" s="17" t="str">
        <x:v>Не проверено</x:v>
      </x:c>
      <x:c r="AG456" s="17" t="str">
        <x:v>Не решено</x:v>
      </x:c>
      <x:c r="AH456" s="17" t="str">
        <x:v>Не проверено</x:v>
      </x:c>
      <x:c r="AI456" s="10" t="str">
        <x:f>IF(AC456="Отклонить","Отклонено",IF(AND(AC456="Взять",COUNTIFS(AD456:AH456,"Да")=5),"Готово","Нужна редактура"))</x:f>
        <x:v>Нужна редактура</x:v>
      </x:c>
      <x:c r="AJ456" s="17" t="str"/>
      <x:c r="AK456" s="9" t="str">
        <x:v>https://www.youtube.com/playlist?list=PLLttfoK87AdVl3nJ4Oa3hVHQcpRlfyHzE</x:v>
      </x:c>
      <x:c r="AL456" s="9" t="n">
        <x:v>14</x:v>
      </x:c>
      <x:c r="AM456" s="9"/>
      <x:c r="AN456" s="9" t="n">
        <x:v>0</x:v>
      </x:c>
    </x:row>
    <x:row r="457" ht="60" customHeight="1">
      <x:c r="A457" s="9" t="str">
        <x:v>5S3e4wdJrwk</x:v>
      </x:c>
      <x:c r="B457" s="10" t="str">
        <x:v>שיר אחד 🎤 עיבוד טלוויזיוני להסכת | ריטה - אני חיה לי מיום ליום</x:v>
      </x:c>
      <x:c r="C457" s="10" t="str">
        <x:v>Музыка и культурная память</x:v>
      </x:c>
      <x:c r="D457" s="9" t="str">
        <x:v>Культура</x:v>
      </x:c>
      <x:c r="E457" s="10" t="str">
        <x:v>Музыка; культура; история</x:v>
      </x:c>
      <x:c r="F457" s="10" t="str">
        <x:v>B1–B2 (гипотеза)</x:v>
      </x:c>
      <x:c r="G457" s="12" t="n">
        <x:v>27.5</x:v>
      </x:c>
      <x:c r="H457" s="14" t="n">
        <x:v>51284</x:v>
      </x:c>
      <x:c r="I457" s="15" t="str">
        <x:v>Точный счётчик метаданных видео</x:v>
      </x:c>
      <x:c r="J457" s="14" t="n">
        <x:v>51000</x:v>
      </x:c>
      <x:c r="K457" s="14" t="n">
        <x:v>43000</x:v>
      </x:c>
      <x:c r="L457" s="12" t="n">
        <x:f>IF(COUNT(J457:K457)=2,IF(K457=0,"",J457/K457),"")</x:f>
        <x:v>1.186046511627907</x:v>
      </x:c>
      <x:c r="M457" s="10" t="str">
        <x:v>Тема: שיר אחד 🎤 עיבוד טלוויזיוני להסכת | ריטה - אני חיה לי מיום ליום. История одной песни связывает музыку, биографию и эпоху. Подходит зрителям, которым политическая повестка менее интересна.</x:v>
      </x:c>
      <x:c r="N457" s="10" t="str">
        <x:v>Разобрать рассказ о создании песни; использовать текст песни только в разрешённых пределах.</x:v>
      </x:c>
      <x:c r="O457" s="10" t="str">
        <x:v>Права на песню и текст проверяются отдельно</x:v>
      </x:c>
      <x:c r="P457" s="10" t="str">
        <x:v>Самостоятельное видео</x:v>
      </x:c>
      <x:c r="Q457" s="9" t="str">
        <x:v>Нет</x:v>
      </x:c>
      <x:c r="R457" s="9" t="str">
        <x:v>C027</x:v>
      </x:c>
      <x:c r="S457" s="9" t="str">
        <x:v>C027</x:v>
      </x:c>
      <x:c r="T457" s="10" t="str">
        <x:v>כאן 11 - תאגיד השידור הישראלי</x:v>
      </x:c>
      <x:c r="U457" s="11" t="str">
        <x:v>https://www.youtube.com/watch?v=5S3e4wdJrwk</x:v>
      </x:c>
      <x:c r="V457" s="16" t="n">
        <x:v>46308</x:v>
      </x:c>
      <x:c r="W457" s="16" t="n">
        <x:v>45435</x:v>
      </x:c>
      <x:c r="X457" s="10" t="str">
        <x:v>iw</x:v>
      </x:c>
      <x:c r="Y457" s="10" t="str">
        <x:v>Автоматическая дорожка HE по метаданным</x:v>
      </x:c>
      <x:c r="Z457" s="10" t="str">
        <x:v>Разрешено по метаданным</x:v>
      </x:c>
      <x:c r="AA457" s="10" t="str">
        <x:v>Метаданные видео; воспроизведение и содержание не проверены</x:v>
      </x:c>
      <x:c r="AB457" s="13" t="n">
        <x:f>IF(AND(ISNUMBER(H457),ISNUMBER(W457)),H457/MAX(1,'Обзор'!$B$4-W457),"")</x:f>
        <x:v>58.74455899198167</x:v>
      </x:c>
      <x:c r="AC457" s="17" t="str">
        <x:v>Не решено</x:v>
      </x:c>
      <x:c r="AD457" s="17" t="str">
        <x:v>Не проверено</x:v>
      </x:c>
      <x:c r="AE457" s="17" t="str">
        <x:v>Не проверено</x:v>
      </x:c>
      <x:c r="AF457" s="17" t="str">
        <x:v>Не проверено</x:v>
      </x:c>
      <x:c r="AG457" s="17" t="str">
        <x:v>Не решено</x:v>
      </x:c>
      <x:c r="AH457" s="17" t="str">
        <x:v>Не проверено</x:v>
      </x:c>
      <x:c r="AI457" s="10" t="str">
        <x:f>IF(AC457="Отклонить","Отклонено",IF(AND(AC457="Взять",COUNTIFS(AD457:AH457,"Да")=5),"Готово","Нужна редактура"))</x:f>
        <x:v>Нужна редактура</x:v>
      </x:c>
      <x:c r="AJ457" s="17" t="str"/>
      <x:c r="AK457" s="9" t="str">
        <x:v>https://www.youtube.com/playlist?list=PLLttfoK87AdVl3nJ4Oa3hVHQcpRlfyHzE</x:v>
      </x:c>
      <x:c r="AL457" s="9" t="n">
        <x:v>15</x:v>
      </x:c>
      <x:c r="AM457" s="9"/>
      <x:c r="AN457" s="9" t="n">
        <x:v>0</x:v>
      </x:c>
    </x:row>
    <x:row r="458" ht="60" customHeight="1">
      <x:c r="A458" s="9" t="str">
        <x:v>6SQq_O1eeio</x:v>
      </x:c>
      <x:c r="B458" s="10" t="str">
        <x:v>שיר אחד 🎤 עיבוד טלוויזיוני להסכת | מוניקה סקס - כל החברה</x:v>
      </x:c>
      <x:c r="C458" s="10" t="str">
        <x:v>Музыка и культурная память</x:v>
      </x:c>
      <x:c r="D458" s="9" t="str">
        <x:v>Культура</x:v>
      </x:c>
      <x:c r="E458" s="10" t="str">
        <x:v>Музыка; культура; история</x:v>
      </x:c>
      <x:c r="F458" s="10" t="str">
        <x:v>B1–B2 (гипотеза)</x:v>
      </x:c>
      <x:c r="G458" s="12" t="n">
        <x:v>29.1</x:v>
      </x:c>
      <x:c r="H458" s="14" t="n">
        <x:v>65336</x:v>
      </x:c>
      <x:c r="I458" s="15" t="str">
        <x:v>Точный счётчик метаданных видео</x:v>
      </x:c>
      <x:c r="J458" s="14" t="n">
        <x:v>65000</x:v>
      </x:c>
      <x:c r="K458" s="14" t="n">
        <x:v>43000</x:v>
      </x:c>
      <x:c r="L458" s="12" t="n">
        <x:f>IF(COUNT(J458:K458)=2,IF(K458=0,"",J458/K458),"")</x:f>
        <x:v>1.5116279069767442</x:v>
      </x:c>
      <x:c r="M458" s="10" t="str">
        <x:v>Тема: שיר אחד 🎤 עיבוד טלוויזיוני להסכת | מוניקה סקס - כל החברה. Просмотры в списке выше медианы выборки этого цикла в 1.51 раза. История одной песни связывает музыку, биографию и эпоху. Подходит зрителям, которым политическая повестка менее интересна.</x:v>
      </x:c>
      <x:c r="N458" s="10" t="str">
        <x:v>Разобрать рассказ о создании песни; использовать текст песни только в разрешённых пределах.</x:v>
      </x:c>
      <x:c r="O458" s="10" t="str">
        <x:v>Права на песню и текст проверяются отдельно</x:v>
      </x:c>
      <x:c r="P458" s="10" t="str">
        <x:v>Самостоятельное видео</x:v>
      </x:c>
      <x:c r="Q458" s="9" t="str">
        <x:v>Нет</x:v>
      </x:c>
      <x:c r="R458" s="9" t="str">
        <x:v>C027</x:v>
      </x:c>
      <x:c r="S458" s="9" t="str">
        <x:v>C027</x:v>
      </x:c>
      <x:c r="T458" s="10" t="str">
        <x:v>כאן 11 - תאגיד השידור הישראלי</x:v>
      </x:c>
      <x:c r="U458" s="11" t="str">
        <x:v>https://www.youtube.com/watch?v=6SQq_O1eeio</x:v>
      </x:c>
      <x:c r="V458" s="16" t="n">
        <x:v>46308</x:v>
      </x:c>
      <x:c r="W458" s="16" t="n">
        <x:v>45428</x:v>
      </x:c>
      <x:c r="X458" s="10" t="str">
        <x:v>iw</x:v>
      </x:c>
      <x:c r="Y458" s="10" t="str">
        <x:v>Автоматическая дорожка HE по метаданным</x:v>
      </x:c>
      <x:c r="Z458" s="10" t="str">
        <x:v>Разрешено по метаданным</x:v>
      </x:c>
      <x:c r="AA458" s="10" t="str">
        <x:v>Метаданные видео; воспроизведение и содержание не проверены</x:v>
      </x:c>
      <x:c r="AB458" s="13" t="n">
        <x:f>IF(AND(ISNUMBER(H458),ISNUMBER(W458)),H458/MAX(1,'Обзор'!$B$4-W458),"")</x:f>
        <x:v>74.24545454545455</x:v>
      </x:c>
      <x:c r="AC458" s="17" t="str">
        <x:v>Не решено</x:v>
      </x:c>
      <x:c r="AD458" s="17" t="str">
        <x:v>Не проверено</x:v>
      </x:c>
      <x:c r="AE458" s="17" t="str">
        <x:v>Не проверено</x:v>
      </x:c>
      <x:c r="AF458" s="17" t="str">
        <x:v>Не проверено</x:v>
      </x:c>
      <x:c r="AG458" s="17" t="str">
        <x:v>Не решено</x:v>
      </x:c>
      <x:c r="AH458" s="17" t="str">
        <x:v>Не проверено</x:v>
      </x:c>
      <x:c r="AI458" s="10" t="str">
        <x:f>IF(AC458="Отклонить","Отклонено",IF(AND(AC458="Взять",COUNTIFS(AD458:AH458,"Да")=5),"Готово","Нужна редактура"))</x:f>
        <x:v>Нужна редактура</x:v>
      </x:c>
      <x:c r="AJ458" s="17" t="str"/>
      <x:c r="AK458" s="9" t="str">
        <x:v>https://www.youtube.com/playlist?list=PLLttfoK87AdVl3nJ4Oa3hVHQcpRlfyHzE</x:v>
      </x:c>
      <x:c r="AL458" s="9" t="n">
        <x:v>16</x:v>
      </x:c>
      <x:c r="AM458" s="9"/>
      <x:c r="AN458" s="9" t="n">
        <x:v>0</x:v>
      </x:c>
    </x:row>
    <x:row r="459" ht="60" customHeight="1">
      <x:c r="A459" s="9" t="str">
        <x:v>tTUtatYQfy4</x:v>
      </x:c>
      <x:c r="B459" s="10" t="str">
        <x:v>שיר אחד 🎤 עיבוד טלוויזיוני להסכת | גלי עטרי - אין לי ארץ אחרת</x:v>
      </x:c>
      <x:c r="C459" s="10" t="str">
        <x:v>Музыка и культурная память</x:v>
      </x:c>
      <x:c r="D459" s="9" t="str">
        <x:v>Культура</x:v>
      </x:c>
      <x:c r="E459" s="10" t="str">
        <x:v>Музыка; культура; история</x:v>
      </x:c>
      <x:c r="F459" s="10" t="str">
        <x:v>B1–B2 (гипотеза)</x:v>
      </x:c>
      <x:c r="G459" s="12" t="n">
        <x:v>27.7</x:v>
      </x:c>
      <x:c r="H459" s="14" t="n">
        <x:v>44221</x:v>
      </x:c>
      <x:c r="I459" s="15" t="str">
        <x:v>Точный счётчик метаданных видео</x:v>
      </x:c>
      <x:c r="J459" s="14" t="n">
        <x:v>44000</x:v>
      </x:c>
      <x:c r="K459" s="14" t="n">
        <x:v>43000</x:v>
      </x:c>
      <x:c r="L459" s="12" t="n">
        <x:f>IF(COUNT(J459:K459)=2,IF(K459=0,"",J459/K459),"")</x:f>
        <x:v>1.0232558139534884</x:v>
      </x:c>
      <x:c r="M459" s="10" t="str">
        <x:v>Тема: שיר אחד 🎤 עיבוד טלוויזיוני להסכת | גלי עטרי - אין לי ארץ אחרת. История одной песни связывает музыку, биографию и эпоху. Подходит зрителям, которым политическая повестка менее интересна.</x:v>
      </x:c>
      <x:c r="N459" s="10" t="str">
        <x:v>Разобрать рассказ о создании песни; использовать текст песни только в разрешённых пределах.</x:v>
      </x:c>
      <x:c r="O459" s="10" t="str">
        <x:v>Права на песню и текст проверяются отдельно</x:v>
      </x:c>
      <x:c r="P459" s="10" t="str">
        <x:v>Самостоятельное видео</x:v>
      </x:c>
      <x:c r="Q459" s="9" t="str">
        <x:v>Нет</x:v>
      </x:c>
      <x:c r="R459" s="9" t="str">
        <x:v>C027</x:v>
      </x:c>
      <x:c r="S459" s="9" t="str">
        <x:v>C027</x:v>
      </x:c>
      <x:c r="T459" s="10" t="str">
        <x:v>כאן 11 - תאגיד השידור הישראלי</x:v>
      </x:c>
      <x:c r="U459" s="11" t="str">
        <x:v>https://www.youtube.com/watch?v=tTUtatYQfy4</x:v>
      </x:c>
      <x:c r="V459" s="16" t="n">
        <x:v>46308</x:v>
      </x:c>
      <x:c r="W459" s="16" t="n">
        <x:v>45426</x:v>
      </x:c>
      <x:c r="X459" s="10" t="str">
        <x:v>Иврит предполагается по заголовку и источнику</x:v>
      </x:c>
      <x:c r="Y459" s="10" t="str">
        <x:v>Автоматическая дорожка HE по метаданным</x:v>
      </x:c>
      <x:c r="Z459" s="10" t="str">
        <x:v>Разрешено по метаданным</x:v>
      </x:c>
      <x:c r="AA459" s="10" t="str">
        <x:v>Метаданные видео; воспроизведение и содержание не проверены</x:v>
      </x:c>
      <x:c r="AB459" s="13" t="n">
        <x:f>IF(AND(ISNUMBER(H459),ISNUMBER(W459)),H459/MAX(1,'Обзор'!$B$4-W459),"")</x:f>
        <x:v>50.13718820861678</x:v>
      </x:c>
      <x:c r="AC459" s="17" t="str">
        <x:v>Не решено</x:v>
      </x:c>
      <x:c r="AD459" s="17" t="str">
        <x:v>Не проверено</x:v>
      </x:c>
      <x:c r="AE459" s="17" t="str">
        <x:v>Не проверено</x:v>
      </x:c>
      <x:c r="AF459" s="17" t="str">
        <x:v>Не проверено</x:v>
      </x:c>
      <x:c r="AG459" s="17" t="str">
        <x:v>Не решено</x:v>
      </x:c>
      <x:c r="AH459" s="17" t="str">
        <x:v>Не проверено</x:v>
      </x:c>
      <x:c r="AI459" s="10" t="str">
        <x:f>IF(AC459="Отклонить","Отклонено",IF(AND(AC459="Взять",COUNTIFS(AD459:AH459,"Да")=5),"Готово","Нужна редактура"))</x:f>
        <x:v>Нужна редактура</x:v>
      </x:c>
      <x:c r="AJ459" s="17" t="str"/>
      <x:c r="AK459" s="9" t="str">
        <x:v>https://www.youtube.com/playlist?list=PLLttfoK87AdVl3nJ4Oa3hVHQcpRlfyHzE</x:v>
      </x:c>
      <x:c r="AL459" s="9" t="n">
        <x:v>17</x:v>
      </x:c>
      <x:c r="AM459" s="9"/>
      <x:c r="AN459" s="9" t="n">
        <x:v>0</x:v>
      </x:c>
    </x:row>
    <x:row r="460" ht="60" customHeight="1">
      <x:c r="A460" s="9" t="str">
        <x:v>Cwxg_6SHJsQ</x:v>
      </x:c>
      <x:c r="B460" s="10" t="str">
        <x:v>שיר אחד 🎤 עיבוד טלוויזיוני להסכת | חנן בן ארי - אלוף העולם</x:v>
      </x:c>
      <x:c r="C460" s="10" t="str">
        <x:v>Музыка и культурная память</x:v>
      </x:c>
      <x:c r="D460" s="9" t="str">
        <x:v>Культура</x:v>
      </x:c>
      <x:c r="E460" s="10" t="str">
        <x:v>Музыка; культура; история</x:v>
      </x:c>
      <x:c r="F460" s="10" t="str">
        <x:v>B1–B2 (гипотеза)</x:v>
      </x:c>
      <x:c r="G460" s="12" t="n">
        <x:v>27.7</x:v>
      </x:c>
      <x:c r="H460" s="14" t="n">
        <x:v>189131</x:v>
      </x:c>
      <x:c r="I460" s="15" t="str">
        <x:v>Точный счётчик метаданных видео</x:v>
      </x:c>
      <x:c r="J460" s="14" t="n">
        <x:v>189000</x:v>
      </x:c>
      <x:c r="K460" s="14" t="n">
        <x:v>43000</x:v>
      </x:c>
      <x:c r="L460" s="12" t="n">
        <x:f>IF(COUNT(J460:K460)=2,IF(K460=0,"",J460/K460),"")</x:f>
        <x:v>4.395348837209302</x:v>
      </x:c>
      <x:c r="M460" s="10" t="str">
        <x:v>Тема: שיר אחד 🎤 עיבוד טלוויזיוני להסכת | חנן בן ארי - אלוף העולם. Просмотры в списке выше медианы выборки этого цикла в 4.4 раза. История одной песни связывает музыку, биографию и эпоху. Подходит зрителям, которым политическая повестка менее интересна.</x:v>
      </x:c>
      <x:c r="N460" s="10" t="str">
        <x:v>Разобрать рассказ о создании песни; использовать текст песни только в разрешённых пределах.</x:v>
      </x:c>
      <x:c r="O460" s="10" t="str">
        <x:v>Права на песню и текст проверяются отдельно</x:v>
      </x:c>
      <x:c r="P460" s="10" t="str">
        <x:v>Самостоятельное видео</x:v>
      </x:c>
      <x:c r="Q460" s="9" t="str">
        <x:v>Нет</x:v>
      </x:c>
      <x:c r="R460" s="9" t="str">
        <x:v>C027</x:v>
      </x:c>
      <x:c r="S460" s="9" t="str">
        <x:v>C027</x:v>
      </x:c>
      <x:c r="T460" s="10" t="str">
        <x:v>כאן 11 - תאגיד השידור הישראלי</x:v>
      </x:c>
      <x:c r="U460" s="11" t="str">
        <x:v>https://www.youtube.com/watch?v=Cwxg_6SHJsQ</x:v>
      </x:c>
      <x:c r="V460" s="16" t="n">
        <x:v>46308</x:v>
      </x:c>
      <x:c r="W460" s="16" t="n">
        <x:v>45420</x:v>
      </x:c>
      <x:c r="X460" s="10" t="str">
        <x:v>iw</x:v>
      </x:c>
      <x:c r="Y460" s="10" t="str">
        <x:v>Автоматическая дорожка HE по метаданным</x:v>
      </x:c>
      <x:c r="Z460" s="10" t="str">
        <x:v>Разрешено по метаданным</x:v>
      </x:c>
      <x:c r="AA460" s="10" t="str">
        <x:v>Метаданные видео; воспроизведение и содержание не проверены</x:v>
      </x:c>
      <x:c r="AB460" s="13" t="n">
        <x:f>IF(AND(ISNUMBER(H460),ISNUMBER(W460)),H460/MAX(1,'Обзор'!$B$4-W460),"")</x:f>
        <x:v>212.98536036036037</x:v>
      </x:c>
      <x:c r="AC460" s="17" t="str">
        <x:v>Не решено</x:v>
      </x:c>
      <x:c r="AD460" s="17" t="str">
        <x:v>Не проверено</x:v>
      </x:c>
      <x:c r="AE460" s="17" t="str">
        <x:v>Не проверено</x:v>
      </x:c>
      <x:c r="AF460" s="17" t="str">
        <x:v>Не проверено</x:v>
      </x:c>
      <x:c r="AG460" s="17" t="str">
        <x:v>Не решено</x:v>
      </x:c>
      <x:c r="AH460" s="17" t="str">
        <x:v>Не проверено</x:v>
      </x:c>
      <x:c r="AI460" s="10" t="str">
        <x:f>IF(AC460="Отклонить","Отклонено",IF(AND(AC460="Взять",COUNTIFS(AD460:AH460,"Да")=5),"Готово","Нужна редактура"))</x:f>
        <x:v>Нужна редактура</x:v>
      </x:c>
      <x:c r="AJ460" s="17" t="str"/>
      <x:c r="AK460" s="9" t="str">
        <x:v>https://www.youtube.com/playlist?list=PLLttfoK87AdVl3nJ4Oa3hVHQcpRlfyHzE</x:v>
      </x:c>
      <x:c r="AL460" s="9" t="n">
        <x:v>18</x:v>
      </x:c>
      <x:c r="AM460" s="9"/>
      <x:c r="AN460" s="9" t="n">
        <x:v>0</x:v>
      </x:c>
    </x:row>
    <x:row r="461" ht="60" customHeight="1">
      <x:c r="A461" s="9" t="str">
        <x:v>Ho3tYTd1ODo</x:v>
      </x:c>
      <x:c r="B461" s="10" t="str">
        <x:v>שיר אחד 🎤 עיבוד טלוויזיוני להסכת | מירי מסיקה - אף אחת</x:v>
      </x:c>
      <x:c r="C461" s="10" t="str">
        <x:v>Музыка и культурная память</x:v>
      </x:c>
      <x:c r="D461" s="9" t="str">
        <x:v>Культура</x:v>
      </x:c>
      <x:c r="E461" s="10" t="str">
        <x:v>Музыка; культура; история</x:v>
      </x:c>
      <x:c r="F461" s="10" t="str">
        <x:v>B1–B2 (гипотеза)</x:v>
      </x:c>
      <x:c r="G461" s="12" t="n">
        <x:v>28.4</x:v>
      </x:c>
      <x:c r="H461" s="14" t="n">
        <x:v>74356</x:v>
      </x:c>
      <x:c r="I461" s="15" t="str">
        <x:v>Точный счётчик метаданных видео</x:v>
      </x:c>
      <x:c r="J461" s="14" t="n">
        <x:v>74000</x:v>
      </x:c>
      <x:c r="K461" s="14" t="n">
        <x:v>43000</x:v>
      </x:c>
      <x:c r="L461" s="12" t="n">
        <x:f>IF(COUNT(J461:K461)=2,IF(K461=0,"",J461/K461),"")</x:f>
        <x:v>1.7209302325581395</x:v>
      </x:c>
      <x:c r="M461" s="10" t="str">
        <x:v>Тема: שיר אחד 🎤 עיבוד טלוויזיוני להסכת | מירי מסיקה - אף אחת. Просмотры в списке выше медианы выборки этого цикла в 1.72 раза. История одной песни связывает музыку, биографию и эпоху. Подходит зрителям, которым политическая повестка менее интересна.</x:v>
      </x:c>
      <x:c r="N461" s="10" t="str">
        <x:v>Разобрать рассказ о создании песни; использовать текст песни только в разрешённых пределах.</x:v>
      </x:c>
      <x:c r="O461" s="10" t="str">
        <x:v>Права на песню и текст проверяются отдельно</x:v>
      </x:c>
      <x:c r="P461" s="10" t="str">
        <x:v>Самостоятельное видео</x:v>
      </x:c>
      <x:c r="Q461" s="9" t="str">
        <x:v>Нет</x:v>
      </x:c>
      <x:c r="R461" s="9" t="str">
        <x:v>C027</x:v>
      </x:c>
      <x:c r="S461" s="9" t="str">
        <x:v>C027</x:v>
      </x:c>
      <x:c r="T461" s="10" t="str">
        <x:v>כאן 11 - תאגיד השידור הישראלי</x:v>
      </x:c>
      <x:c r="U461" s="11" t="str">
        <x:v>https://www.youtube.com/watch?v=Ho3tYTd1ODo</x:v>
      </x:c>
      <x:c r="V461" s="16" t="n">
        <x:v>46308</x:v>
      </x:c>
      <x:c r="W461" s="16" t="n">
        <x:v>45413</x:v>
      </x:c>
      <x:c r="X461" s="10" t="str">
        <x:v>iw</x:v>
      </x:c>
      <x:c r="Y461" s="10" t="str">
        <x:v>Автоматическая дорожка HE по метаданным</x:v>
      </x:c>
      <x:c r="Z461" s="10" t="str">
        <x:v>Разрешено по метаданным</x:v>
      </x:c>
      <x:c r="AA461" s="10" t="str">
        <x:v>Метаданные видео; воспроизведение и содержание не проверены</x:v>
      </x:c>
      <x:c r="AB461" s="13" t="n">
        <x:f>IF(AND(ISNUMBER(H461),ISNUMBER(W461)),H461/MAX(1,'Обзор'!$B$4-W461),"")</x:f>
        <x:v>83.07932960893855</x:v>
      </x:c>
      <x:c r="AC461" s="17" t="str">
        <x:v>Не решено</x:v>
      </x:c>
      <x:c r="AD461" s="17" t="str">
        <x:v>Не проверено</x:v>
      </x:c>
      <x:c r="AE461" s="17" t="str">
        <x:v>Не проверено</x:v>
      </x:c>
      <x:c r="AF461" s="17" t="str">
        <x:v>Не проверено</x:v>
      </x:c>
      <x:c r="AG461" s="17" t="str">
        <x:v>Не решено</x:v>
      </x:c>
      <x:c r="AH461" s="17" t="str">
        <x:v>Не проверено</x:v>
      </x:c>
      <x:c r="AI461" s="10" t="str">
        <x:f>IF(AC461="Отклонить","Отклонено",IF(AND(AC461="Взять",COUNTIFS(AD461:AH461,"Да")=5),"Готово","Нужна редактура"))</x:f>
        <x:v>Нужна редактура</x:v>
      </x:c>
      <x:c r="AJ461" s="17" t="str"/>
      <x:c r="AK461" s="9" t="str">
        <x:v>https://www.youtube.com/playlist?list=PLLttfoK87AdVl3nJ4Oa3hVHQcpRlfyHzE</x:v>
      </x:c>
      <x:c r="AL461" s="9" t="n">
        <x:v>19</x:v>
      </x:c>
      <x:c r="AM461" s="9"/>
      <x:c r="AN461" s="9" t="n">
        <x:v>0</x:v>
      </x:c>
    </x:row>
    <x:row r="462" ht="60" customHeight="1">
      <x:c r="A462" s="9" t="str">
        <x:v>iPK1L2d_nlA</x:v>
      </x:c>
      <x:c r="B462" s="10" t="str">
        <x:v>שיר אחד 🎤 עיבוד טלוויזיוני להסכת | אחינועם ניני - בואי כלה</x:v>
      </x:c>
      <x:c r="C462" s="10" t="str">
        <x:v>Музыка и культурная память</x:v>
      </x:c>
      <x:c r="D462" s="9" t="str">
        <x:v>Культура</x:v>
      </x:c>
      <x:c r="E462" s="10" t="str">
        <x:v>Музыка; культура; история</x:v>
      </x:c>
      <x:c r="F462" s="10" t="str">
        <x:v>B1–B2 (гипотеза)</x:v>
      </x:c>
      <x:c r="G462" s="12" t="n">
        <x:v>28.7</x:v>
      </x:c>
      <x:c r="H462" s="14" t="n">
        <x:v>33000</x:v>
      </x:c>
      <x:c r="I462" s="15" t="str">
        <x:v>Округлённый счётчик в списке YouTube</x:v>
      </x:c>
      <x:c r="J462" s="14" t="n">
        <x:v>33000</x:v>
      </x:c>
      <x:c r="K462" s="14" t="n">
        <x:v>43000</x:v>
      </x:c>
      <x:c r="L462" s="12" t="n">
        <x:f>IF(COUNT(J462:K462)=2,IF(K462=0,"",J462/K462),"")</x:f>
        <x:v>0.7674418604651163</x:v>
      </x:c>
      <x:c r="M462" s="10" t="str">
        <x:v>Тема: שיר אחד 🎤 עיבוד טלוויזיוני להסכת | אחינועם ניני - בואי כלה. История одной песни связывает музыку, биографию и эпоху. Подходит зрителям, которым политическая повестка менее интересна.</x:v>
      </x:c>
      <x:c r="N462" s="10" t="str">
        <x:v>Разобрать рассказ о создании песни; использовать текст песни только в разрешённых пределах.</x:v>
      </x:c>
      <x:c r="O462" s="10" t="str">
        <x:v>Права на песню и текст проверяются отдельно</x:v>
      </x:c>
      <x:c r="P462" s="10" t="str">
        <x:v>Самостоятельное видео</x:v>
      </x:c>
      <x:c r="Q462" s="9" t="str">
        <x:v>Нет</x:v>
      </x:c>
      <x:c r="R462" s="9" t="str">
        <x:v>C027</x:v>
      </x:c>
      <x:c r="S462" s="9" t="str">
        <x:v>C027</x:v>
      </x:c>
      <x:c r="T462" s="10" t="str">
        <x:v>כאן 11 - תאגיד השידור הישראלי</x:v>
      </x:c>
      <x:c r="U462" s="11" t="str">
        <x:v>https://www.youtube.com/watch?v=iPK1L2d_nlA</x:v>
      </x:c>
      <x:c r="V462" s="16" t="n">
        <x:v>46308</x:v>
      </x:c>
      <x:c r="W462" s="16"/>
      <x:c r="X462" s="10" t="str">
        <x:v>Иврит предполагается по заголовку и источнику</x:v>
      </x:c>
      <x:c r="Y462" s="10" t="str">
        <x:v>Не проверено</x:v>
      </x:c>
      <x:c r="Z462" s="10" t="str">
        <x:v>Не проверено</x:v>
      </x:c>
      <x:c r="AA462" s="10" t="str">
        <x:v>Метаданные списка; видео не просмотрено</x:v>
      </x:c>
      <x:c r="AB462" s="13" t="str">
        <x:f>IF(AND(ISNUMBER(H462),ISNUMBER(W462)),H462/MAX(1,'Обзор'!$B$4-W462),"")</x:f>
      </x:c>
      <x:c r="AC462" s="17" t="str">
        <x:v>Не решено</x:v>
      </x:c>
      <x:c r="AD462" s="17" t="str">
        <x:v>Не проверено</x:v>
      </x:c>
      <x:c r="AE462" s="17" t="str">
        <x:v>Не проверено</x:v>
      </x:c>
      <x:c r="AF462" s="17" t="str">
        <x:v>Не проверено</x:v>
      </x:c>
      <x:c r="AG462" s="17" t="str">
        <x:v>Не решено</x:v>
      </x:c>
      <x:c r="AH462" s="17" t="str">
        <x:v>Не проверено</x:v>
      </x:c>
      <x:c r="AI462" s="10" t="str">
        <x:f>IF(AC462="Отклонить","Отклонено",IF(AND(AC462="Взять",COUNTIFS(AD462:AH462,"Да")=5),"Готово","Нужна редактура"))</x:f>
        <x:v>Нужна редактура</x:v>
      </x:c>
      <x:c r="AJ462" s="17" t="str"/>
      <x:c r="AK462" s="9" t="str">
        <x:v>https://www.youtube.com/playlist?list=PLLttfoK87AdVl3nJ4Oa3hVHQcpRlfyHzE</x:v>
      </x:c>
      <x:c r="AL462" s="9" t="n">
        <x:v>20</x:v>
      </x:c>
      <x:c r="AM462" s="9"/>
      <x:c r="AN462" s="9"/>
    </x:row>
    <x:row r="463" ht="60" customHeight="1">
      <x:c r="A463" s="9" t="str">
        <x:v>vddNZE2tK2s</x:v>
      </x:c>
      <x:c r="B463" s="10" t="str">
        <x:v>שיר אחד 🎤 עיבוד טלוויזיוני להסכת | רביד פלוטניק - חסידה צחורה</x:v>
      </x:c>
      <x:c r="C463" s="10" t="str">
        <x:v>Музыка и культурная память</x:v>
      </x:c>
      <x:c r="D463" s="9" t="str">
        <x:v>Культура</x:v>
      </x:c>
      <x:c r="E463" s="10" t="str">
        <x:v>Музыка; культура; история</x:v>
      </x:c>
      <x:c r="F463" s="10" t="str">
        <x:v>B1–B2 (гипотеза)</x:v>
      </x:c>
      <x:c r="G463" s="12" t="n">
        <x:v>27.5</x:v>
      </x:c>
      <x:c r="H463" s="14" t="n">
        <x:v>203614</x:v>
      </x:c>
      <x:c r="I463" s="15" t="str">
        <x:v>Точный счётчик метаданных видео</x:v>
      </x:c>
      <x:c r="J463" s="14" t="n">
        <x:v>203000</x:v>
      </x:c>
      <x:c r="K463" s="14" t="n">
        <x:v>43000</x:v>
      </x:c>
      <x:c r="L463" s="12" t="n">
        <x:f>IF(COUNT(J463:K463)=2,IF(K463=0,"",J463/K463),"")</x:f>
        <x:v>4.72093023255814</x:v>
      </x:c>
      <x:c r="M463" s="10" t="str">
        <x:v>Тема: שיר אחד 🎤 עיבוד טלוויזיוני להסכת | רביד פלוטניק - חסידה צחורה. Просмотры в списке выше медианы выборки этого цикла в 4.72 раза. История одной песни связывает музыку, биографию и эпоху. Подходит зрителям, которым политическая повестка менее интересна.</x:v>
      </x:c>
      <x:c r="N463" s="10" t="str">
        <x:v>Разобрать рассказ о создании песни; использовать текст песни только в разрешённых пределах.</x:v>
      </x:c>
      <x:c r="O463" s="10" t="str">
        <x:v>Права на песню и текст проверяются отдельно</x:v>
      </x:c>
      <x:c r="P463" s="10" t="str">
        <x:v>Самостоятельное видео</x:v>
      </x:c>
      <x:c r="Q463" s="9" t="str">
        <x:v>Нет</x:v>
      </x:c>
      <x:c r="R463" s="9" t="str">
        <x:v>C027</x:v>
      </x:c>
      <x:c r="S463" s="9" t="str">
        <x:v>C027</x:v>
      </x:c>
      <x:c r="T463" s="10" t="str">
        <x:v>כאן 11 - תאגיד השידור הישראלי</x:v>
      </x:c>
      <x:c r="U463" s="11" t="str">
        <x:v>https://www.youtube.com/watch?v=vddNZE2tK2s</x:v>
      </x:c>
      <x:c r="V463" s="16" t="n">
        <x:v>46308</x:v>
      </x:c>
      <x:c r="W463" s="16" t="n">
        <x:v>45400</x:v>
      </x:c>
      <x:c r="X463" s="10" t="str">
        <x:v>Иврит предполагается по заголовку и источнику</x:v>
      </x:c>
      <x:c r="Y463" s="10" t="str">
        <x:v>Автоматическая дорожка HE по метаданным</x:v>
      </x:c>
      <x:c r="Z463" s="10" t="str">
        <x:v>Разрешено по метаданным</x:v>
      </x:c>
      <x:c r="AA463" s="10" t="str">
        <x:v>Метаданные видео; воспроизведение и содержание не проверены</x:v>
      </x:c>
      <x:c r="AB463" s="13" t="n">
        <x:f>IF(AND(ISNUMBER(H463),ISNUMBER(W463)),H463/MAX(1,'Обзор'!$B$4-W463),"")</x:f>
        <x:v>224.2444933920705</x:v>
      </x:c>
      <x:c r="AC463" s="17" t="str">
        <x:v>Не решено</x:v>
      </x:c>
      <x:c r="AD463" s="17" t="str">
        <x:v>Не проверено</x:v>
      </x:c>
      <x:c r="AE463" s="17" t="str">
        <x:v>Не проверено</x:v>
      </x:c>
      <x:c r="AF463" s="17" t="str">
        <x:v>Не проверено</x:v>
      </x:c>
      <x:c r="AG463" s="17" t="str">
        <x:v>Не решено</x:v>
      </x:c>
      <x:c r="AH463" s="17" t="str">
        <x:v>Не проверено</x:v>
      </x:c>
      <x:c r="AI463" s="10" t="str">
        <x:f>IF(AC463="Отклонить","Отклонено",IF(AND(AC463="Взять",COUNTIFS(AD463:AH463,"Да")=5),"Готово","Нужна редактура"))</x:f>
        <x:v>Нужна редактура</x:v>
      </x:c>
      <x:c r="AJ463" s="17" t="str"/>
      <x:c r="AK463" s="9" t="str">
        <x:v>https://www.youtube.com/playlist?list=PLLttfoK87AdVl3nJ4Oa3hVHQcpRlfyHzE</x:v>
      </x:c>
      <x:c r="AL463" s="9" t="n">
        <x:v>21</x:v>
      </x:c>
      <x:c r="AM463" s="9"/>
      <x:c r="AN463" s="9" t="n">
        <x:v>0</x:v>
      </x:c>
    </x:row>
    <x:row r="464" ht="60" customHeight="1">
      <x:c r="A464" s="9" t="str">
        <x:v>nuQ0CboYpOs</x:v>
      </x:c>
      <x:c r="B464" s="10" t="str">
        <x:v>שיר אחד 🎤 עיבוד טלוויזיוני להסכת | תיסלם - חצבים פורחים</x:v>
      </x:c>
      <x:c r="C464" s="10" t="str">
        <x:v>Музыка и культурная память</x:v>
      </x:c>
      <x:c r="D464" s="9" t="str">
        <x:v>Культура</x:v>
      </x:c>
      <x:c r="E464" s="10" t="str">
        <x:v>Музыка; культура; история</x:v>
      </x:c>
      <x:c r="F464" s="10" t="str">
        <x:v>B1–B2 (гипотеза)</x:v>
      </x:c>
      <x:c r="G464" s="12" t="n">
        <x:v>27.2</x:v>
      </x:c>
      <x:c r="H464" s="14" t="n">
        <x:v>42687</x:v>
      </x:c>
      <x:c r="I464" s="15" t="str">
        <x:v>Точный счётчик метаданных видео</x:v>
      </x:c>
      <x:c r="J464" s="14" t="n">
        <x:v>42000</x:v>
      </x:c>
      <x:c r="K464" s="14" t="n">
        <x:v>43000</x:v>
      </x:c>
      <x:c r="L464" s="12" t="n">
        <x:f>IF(COUNT(J464:K464)=2,IF(K464=0,"",J464/K464),"")</x:f>
        <x:v>0.9767441860465116</x:v>
      </x:c>
      <x:c r="M464" s="10" t="str">
        <x:v>Тема: שיר אחד 🎤 עיבוד טלוויזיוני להסכת | תיסלם - חצבים פורחים. История одной песни связывает музыку, биографию и эпоху. Подходит зрителям, которым политическая повестка менее интересна.</x:v>
      </x:c>
      <x:c r="N464" s="10" t="str">
        <x:v>Разобрать рассказ о создании песни; использовать текст песни только в разрешённых пределах.</x:v>
      </x:c>
      <x:c r="O464" s="10" t="str">
        <x:v>Права на песню и текст проверяются отдельно</x:v>
      </x:c>
      <x:c r="P464" s="10" t="str">
        <x:v>Самостоятельное видео</x:v>
      </x:c>
      <x:c r="Q464" s="9" t="str">
        <x:v>Нет</x:v>
      </x:c>
      <x:c r="R464" s="9" t="str">
        <x:v>C027</x:v>
      </x:c>
      <x:c r="S464" s="9" t="str">
        <x:v>C027</x:v>
      </x:c>
      <x:c r="T464" s="10" t="str">
        <x:v>כאן 11 - תאגיד השידור הישראלי</x:v>
      </x:c>
      <x:c r="U464" s="11" t="str">
        <x:v>https://www.youtube.com/watch?v=nuQ0CboYpOs</x:v>
      </x:c>
      <x:c r="V464" s="16" t="n">
        <x:v>46308</x:v>
      </x:c>
      <x:c r="W464" s="16" t="n">
        <x:v>45393</x:v>
      </x:c>
      <x:c r="X464" s="10" t="str">
        <x:v>Иврит предполагается по заголовку и источнику</x:v>
      </x:c>
      <x:c r="Y464" s="10" t="str">
        <x:v>Автоматическая дорожка HE по метаданным</x:v>
      </x:c>
      <x:c r="Z464" s="10" t="str">
        <x:v>Разрешено по метаданным</x:v>
      </x:c>
      <x:c r="AA464" s="10" t="str">
        <x:v>Метаданные видео; воспроизведение и содержание не проверены</x:v>
      </x:c>
      <x:c r="AB464" s="13" t="n">
        <x:f>IF(AND(ISNUMBER(H464),ISNUMBER(W464)),H464/MAX(1,'Обзор'!$B$4-W464),"")</x:f>
        <x:v>46.65245901639344</x:v>
      </x:c>
      <x:c r="AC464" s="17" t="str">
        <x:v>Не решено</x:v>
      </x:c>
      <x:c r="AD464" s="17" t="str">
        <x:v>Не проверено</x:v>
      </x:c>
      <x:c r="AE464" s="17" t="str">
        <x:v>Не проверено</x:v>
      </x:c>
      <x:c r="AF464" s="17" t="str">
        <x:v>Не проверено</x:v>
      </x:c>
      <x:c r="AG464" s="17" t="str">
        <x:v>Не решено</x:v>
      </x:c>
      <x:c r="AH464" s="17" t="str">
        <x:v>Не проверено</x:v>
      </x:c>
      <x:c r="AI464" s="10" t="str">
        <x:f>IF(AC464="Отклонить","Отклонено",IF(AND(AC464="Взять",COUNTIFS(AD464:AH464,"Да")=5),"Готово","Нужна редактура"))</x:f>
        <x:v>Нужна редактура</x:v>
      </x:c>
      <x:c r="AJ464" s="17" t="str"/>
      <x:c r="AK464" s="9" t="str">
        <x:v>https://www.youtube.com/playlist?list=PLLttfoK87AdVl3nJ4Oa3hVHQcpRlfyHzE</x:v>
      </x:c>
      <x:c r="AL464" s="9" t="n">
        <x:v>22</x:v>
      </x:c>
      <x:c r="AM464" s="9"/>
      <x:c r="AN464" s="9" t="n">
        <x:v>0</x:v>
      </x:c>
    </x:row>
    <x:row r="465" ht="60" customHeight="1">
      <x:c r="A465" s="9" t="str">
        <x:v>Z3vVhd42Ct4</x:v>
      </x:c>
      <x:c r="B465" s="10" t="str">
        <x:v>העברים | דיוקנו של קרל מרקס, האקטיביסט הגדול מכולם</x:v>
      </x:c>
      <x:c r="C465" s="10" t="str">
        <x:v>Литература и язык</x:v>
      </x:c>
      <x:c r="D465" s="9" t="str">
        <x:v>История</x:v>
      </x:c>
      <x:c r="E465" s="10" t="str">
        <x:v>Книги; история языка; продвинутые</x:v>
      </x:c>
      <x:c r="F465" s="10" t="str">
        <x:v>B2–C1 (гипотеза)</x:v>
      </x:c>
      <x:c r="G465" s="12" t="n">
        <x:v>54.8</x:v>
      </x:c>
      <x:c r="H465" s="14" t="n">
        <x:v>46051</x:v>
      </x:c>
      <x:c r="I465" s="15" t="str">
        <x:v>Точный счётчик метаданных видео</x:v>
      </x:c>
      <x:c r="J465" s="14" t="n">
        <x:v>46000</x:v>
      </x:c>
      <x:c r="K465" s="14" t="n">
        <x:v>35000</x:v>
      </x:c>
      <x:c r="L465" s="12" t="n">
        <x:f>IF(COUNT(J465:K465)=2,IF(K465=0,"",J465/K465),"")</x:f>
        <x:v>1.3142857142857143</x:v>
      </x:c>
      <x:c r="M465" s="10" t="str">
        <x:v>Тема: העברים | דיוקנו של קרל מרקס, האקטיביסט הגדול מכולם. Биографии писателей дают контекст современной еврейской культуры и литературного иврита.</x:v>
      </x:c>
      <x:c r="N465" s="10" t="str">
        <x:v>Выбрать биографический фрагмент; составить временную линию автора.</x:v>
      </x:c>
      <x:c r="O465" s="10" t="str">
        <x:v>Проверить содержание</x:v>
      </x:c>
      <x:c r="P465" s="10" t="str">
        <x:v>Самостоятельное видео</x:v>
      </x:c>
      <x:c r="Q465" s="9" t="str">
        <x:v>Нет</x:v>
      </x:c>
      <x:c r="R465" s="9" t="str">
        <x:v>C028</x:v>
      </x:c>
      <x:c r="S465" s="9" t="str">
        <x:v>C028</x:v>
      </x:c>
      <x:c r="T465" s="10" t="str">
        <x:v>כאן 11 - תאגיד השידור הישראלי</x:v>
      </x:c>
      <x:c r="U465" s="11" t="str">
        <x:v>https://www.youtube.com/watch?v=Z3vVhd42Ct4</x:v>
      </x:c>
      <x:c r="V465" s="16" t="n">
        <x:v>46308</x:v>
      </x:c>
      <x:c r="W465" s="16" t="n">
        <x:v>45087</x:v>
      </x:c>
      <x:c r="X465" s="10" t="str">
        <x:v>Иврит предполагается по заголовку и источнику</x:v>
      </x:c>
      <x:c r="Y465" s="10" t="str">
        <x:v>Дорожка HE не найдена в метаданных; вшитые титры не проверены</x:v>
      </x:c>
      <x:c r="Z465" s="10" t="str">
        <x:v>Разрешено по метаданным</x:v>
      </x:c>
      <x:c r="AA465" s="10" t="str">
        <x:v>Метаданные видео; воспроизведение и содержание не проверены</x:v>
      </x:c>
      <x:c r="AB465" s="13" t="n">
        <x:f>IF(AND(ISNUMBER(H465),ISNUMBER(W465)),H465/MAX(1,'Обзор'!$B$4-W465),"")</x:f>
        <x:v>37.715806715806714</x:v>
      </x:c>
      <x:c r="AC465" s="17" t="str">
        <x:v>Не решено</x:v>
      </x:c>
      <x:c r="AD465" s="17" t="str">
        <x:v>Не проверено</x:v>
      </x:c>
      <x:c r="AE465" s="17" t="str">
        <x:v>Не проверено</x:v>
      </x:c>
      <x:c r="AF465" s="17" t="str">
        <x:v>Не проверено</x:v>
      </x:c>
      <x:c r="AG465" s="17" t="str">
        <x:v>Не решено</x:v>
      </x:c>
      <x:c r="AH465" s="17" t="str">
        <x:v>Не проверено</x:v>
      </x:c>
      <x:c r="AI465" s="10" t="str">
        <x:f>IF(AC465="Отклонить","Отклонено",IF(AND(AC465="Взять",COUNTIFS(AD465:AH465,"Да")=5),"Готово","Нужна редактура"))</x:f>
        <x:v>Нужна редактура</x:v>
      </x:c>
      <x:c r="AJ465" s="17" t="str"/>
      <x:c r="AK465" s="9" t="str">
        <x:v>https://www.youtube.com/playlist?list=PLLttfoK87AdWulZEqK6zPZRdCmvP1SE6c</x:v>
      </x:c>
      <x:c r="AL465" s="9" t="n">
        <x:v>1</x:v>
      </x:c>
      <x:c r="AM465" s="9"/>
      <x:c r="AN465" s="9" t="n">
        <x:v>0</x:v>
      </x:c>
    </x:row>
    <x:row r="466" ht="60" customHeight="1">
      <x:c r="A466" s="9" t="str">
        <x:v>y9uUBxdWO7E</x:v>
      </x:c>
      <x:c r="B466" s="10" t="str">
        <x:v>העברים | המוחרם: שש תחנות להבנת החרם על ברוך שפינוזה</x:v>
      </x:c>
      <x:c r="C466" s="10" t="str">
        <x:v>Литература и язык</x:v>
      </x:c>
      <x:c r="D466" s="9" t="str">
        <x:v>История</x:v>
      </x:c>
      <x:c r="E466" s="10" t="str">
        <x:v>Книги; история языка; продвинутые</x:v>
      </x:c>
      <x:c r="F466" s="10" t="str">
        <x:v>B2–C1 (гипотеза)</x:v>
      </x:c>
      <x:c r="G466" s="12" t="n">
        <x:v>53.9</x:v>
      </x:c>
      <x:c r="H466" s="14" t="n">
        <x:v>105686</x:v>
      </x:c>
      <x:c r="I466" s="15" t="str">
        <x:v>Точный счётчик метаданных видео</x:v>
      </x:c>
      <x:c r="J466" s="14" t="n">
        <x:v>105000</x:v>
      </x:c>
      <x:c r="K466" s="14" t="n">
        <x:v>35000</x:v>
      </x:c>
      <x:c r="L466" s="12" t="n">
        <x:f>IF(COUNT(J466:K466)=2,IF(K466=0,"",J466/K466),"")</x:f>
        <x:v>3</x:v>
      </x:c>
      <x:c r="M466" s="10" t="str">
        <x:v>Тема: העברים | המוחרם: שש תחנות להבנת החרם על ברוך שפינוזה. Просмотры в списке выше медианы выборки этого цикла в 3.0 раза. Биографии писателей дают контекст современной еврейской культуры и литературного иврита.</x:v>
      </x:c>
      <x:c r="N466" s="10" t="str">
        <x:v>Выбрать биографический фрагмент; составить временную линию автора.</x:v>
      </x:c>
      <x:c r="O466" s="10" t="str">
        <x:v>Проверить содержание</x:v>
      </x:c>
      <x:c r="P466" s="10" t="str">
        <x:v>Самостоятельное видео</x:v>
      </x:c>
      <x:c r="Q466" s="9" t="str">
        <x:v>Нет</x:v>
      </x:c>
      <x:c r="R466" s="9" t="str">
        <x:v>C028</x:v>
      </x:c>
      <x:c r="S466" s="9" t="str">
        <x:v>C028</x:v>
      </x:c>
      <x:c r="T466" s="10" t="str">
        <x:v>כאן 11 - תאגיד השידור הישראלי</x:v>
      </x:c>
      <x:c r="U466" s="11" t="str">
        <x:v>https://www.youtube.com/watch?v=y9uUBxdWO7E</x:v>
      </x:c>
      <x:c r="V466" s="16" t="n">
        <x:v>46308</x:v>
      </x:c>
      <x:c r="W466" s="16" t="n">
        <x:v>45035</x:v>
      </x:c>
      <x:c r="X466" s="10" t="str">
        <x:v>Иврит предполагается по заголовку и источнику</x:v>
      </x:c>
      <x:c r="Y466" s="10" t="str">
        <x:v>Дорожка HE не найдена в метаданных; вшитые титры не проверены</x:v>
      </x:c>
      <x:c r="Z466" s="10" t="str">
        <x:v>Разрешено по метаданным</x:v>
      </x:c>
      <x:c r="AA466" s="10" t="str">
        <x:v>Метаданные видео; воспроизведение и содержание не проверены</x:v>
      </x:c>
      <x:c r="AB466" s="13" t="n">
        <x:f>IF(AND(ISNUMBER(H466),ISNUMBER(W466)),H466/MAX(1,'Обзор'!$B$4-W466),"")</x:f>
        <x:v>83.02120974076983</x:v>
      </x:c>
      <x:c r="AC466" s="17" t="str">
        <x:v>Не решено</x:v>
      </x:c>
      <x:c r="AD466" s="17" t="str">
        <x:v>Не проверено</x:v>
      </x:c>
      <x:c r="AE466" s="17" t="str">
        <x:v>Не проверено</x:v>
      </x:c>
      <x:c r="AF466" s="17" t="str">
        <x:v>Не проверено</x:v>
      </x:c>
      <x:c r="AG466" s="17" t="str">
        <x:v>Не решено</x:v>
      </x:c>
      <x:c r="AH466" s="17" t="str">
        <x:v>Не проверено</x:v>
      </x:c>
      <x:c r="AI466" s="10" t="str">
        <x:f>IF(AC466="Отклонить","Отклонено",IF(AND(AC466="Взять",COUNTIFS(AD466:AH466,"Да")=5),"Готово","Нужна редактура"))</x:f>
        <x:v>Нужна редактура</x:v>
      </x:c>
      <x:c r="AJ466" s="17" t="str"/>
      <x:c r="AK466" s="9" t="str">
        <x:v>https://www.youtube.com/playlist?list=PLLttfoK87AdWulZEqK6zPZRdCmvP1SE6c</x:v>
      </x:c>
      <x:c r="AL466" s="9" t="n">
        <x:v>2</x:v>
      </x:c>
      <x:c r="AM466" s="9"/>
      <x:c r="AN466" s="9" t="n">
        <x:v>0</x:v>
      </x:c>
    </x:row>
    <x:row r="467" ht="60" customHeight="1">
      <x:c r="A467" s="9" t="str">
        <x:v>WtfpK9Ex_LY</x:v>
      </x:c>
      <x:c r="B467" s="10" t="str">
        <x:v>העברים | הפרק האחרון של א.ב יהושע</x:v>
      </x:c>
      <x:c r="C467" s="10" t="str">
        <x:v>Литература и язык</x:v>
      </x:c>
      <x:c r="D467" s="9" t="str">
        <x:v>История</x:v>
      </x:c>
      <x:c r="E467" s="10" t="str">
        <x:v>Книги; история языка; продвинутые</x:v>
      </x:c>
      <x:c r="F467" s="10" t="str">
        <x:v>B2–C1 (гипотеза)</x:v>
      </x:c>
      <x:c r="G467" s="12" t="n">
        <x:v>53.4</x:v>
      </x:c>
      <x:c r="H467" s="14" t="n">
        <x:v>30000</x:v>
      </x:c>
      <x:c r="I467" s="15" t="str">
        <x:v>Округлённый счётчик в списке YouTube</x:v>
      </x:c>
      <x:c r="J467" s="14" t="n">
        <x:v>30000</x:v>
      </x:c>
      <x:c r="K467" s="14" t="n">
        <x:v>35000</x:v>
      </x:c>
      <x:c r="L467" s="12" t="n">
        <x:f>IF(COUNT(J467:K467)=2,IF(K467=0,"",J467/K467),"")</x:f>
        <x:v>0.8571428571428571</x:v>
      </x:c>
      <x:c r="M467" s="10" t="str">
        <x:v>Тема: העברים | הפרק האחרון של א.ב יהושע. Биографии писателей дают контекст современной еврейской культуры и литературного иврита.</x:v>
      </x:c>
      <x:c r="N467" s="10" t="str">
        <x:v>Выбрать биографический фрагмент; составить временную линию автора.</x:v>
      </x:c>
      <x:c r="O467" s="10" t="str">
        <x:v>Проверить содержание</x:v>
      </x:c>
      <x:c r="P467" s="10" t="str">
        <x:v>Самостоятельное видео</x:v>
      </x:c>
      <x:c r="Q467" s="9" t="str">
        <x:v>Нет</x:v>
      </x:c>
      <x:c r="R467" s="9" t="str">
        <x:v>C028</x:v>
      </x:c>
      <x:c r="S467" s="9" t="str">
        <x:v>C028</x:v>
      </x:c>
      <x:c r="T467" s="10" t="str">
        <x:v>כאן 11 - תאגיד השידור הישראלי</x:v>
      </x:c>
      <x:c r="U467" s="11" t="str">
        <x:v>https://www.youtube.com/watch?v=WtfpK9Ex_LY</x:v>
      </x:c>
      <x:c r="V467" s="16" t="n">
        <x:v>46308</x:v>
      </x:c>
      <x:c r="W467" s="16"/>
      <x:c r="X467" s="10" t="str">
        <x:v>Иврит предполагается по заголовку и источнику</x:v>
      </x:c>
      <x:c r="Y467" s="10" t="str">
        <x:v>Не проверено</x:v>
      </x:c>
      <x:c r="Z467" s="10" t="str">
        <x:v>Не проверено</x:v>
      </x:c>
      <x:c r="AA467" s="10" t="str">
        <x:v>Метаданные списка; видео не просмотрено</x:v>
      </x:c>
      <x:c r="AB467" s="13" t="str">
        <x:f>IF(AND(ISNUMBER(H467),ISNUMBER(W467)),H467/MAX(1,'Обзор'!$B$4-W467),"")</x:f>
      </x:c>
      <x:c r="AC467" s="17" t="str">
        <x:v>Не решено</x:v>
      </x:c>
      <x:c r="AD467" s="17" t="str">
        <x:v>Не проверено</x:v>
      </x:c>
      <x:c r="AE467" s="17" t="str">
        <x:v>Не проверено</x:v>
      </x:c>
      <x:c r="AF467" s="17" t="str">
        <x:v>Не проверено</x:v>
      </x:c>
      <x:c r="AG467" s="17" t="str">
        <x:v>Не решено</x:v>
      </x:c>
      <x:c r="AH467" s="17" t="str">
        <x:v>Не проверено</x:v>
      </x:c>
      <x:c r="AI467" s="10" t="str">
        <x:f>IF(AC467="Отклонить","Отклонено",IF(AND(AC467="Взять",COUNTIFS(AD467:AH467,"Да")=5),"Готово","Нужна редактура"))</x:f>
        <x:v>Нужна редактура</x:v>
      </x:c>
      <x:c r="AJ467" s="17" t="str"/>
      <x:c r="AK467" s="9" t="str">
        <x:v>https://www.youtube.com/playlist?list=PLLttfoK87AdWulZEqK6zPZRdCmvP1SE6c</x:v>
      </x:c>
      <x:c r="AL467" s="9" t="n">
        <x:v>3</x:v>
      </x:c>
      <x:c r="AM467" s="9"/>
      <x:c r="AN467" s="9"/>
    </x:row>
    <x:row r="468" ht="60" customHeight="1">
      <x:c r="A468" s="9" t="str">
        <x:v>9NmWMBsPEaQ</x:v>
      </x:c>
      <x:c r="B468" s="10" t="str">
        <x:v>העברים | "החלון הרביעי" - עמוס עוז | כאן דוקו</x:v>
      </x:c>
      <x:c r="C468" s="10" t="str">
        <x:v>Литература и язык</x:v>
      </x:c>
      <x:c r="D468" s="9" t="str">
        <x:v>История</x:v>
      </x:c>
      <x:c r="E468" s="10" t="str">
        <x:v>Книги; история языка; продвинутые</x:v>
      </x:c>
      <x:c r="F468" s="10" t="str">
        <x:v>B2–C1 (гипотеза)</x:v>
      </x:c>
      <x:c r="G468" s="12" t="n">
        <x:v>85.5</x:v>
      </x:c>
      <x:c r="H468" s="14" t="n">
        <x:v>56206</x:v>
      </x:c>
      <x:c r="I468" s="15" t="str">
        <x:v>Точный счётчик метаданных видео</x:v>
      </x:c>
      <x:c r="J468" s="14" t="n">
        <x:v>56000</x:v>
      </x:c>
      <x:c r="K468" s="14" t="n">
        <x:v>35000</x:v>
      </x:c>
      <x:c r="L468" s="12" t="n">
        <x:f>IF(COUNT(J468:K468)=2,IF(K468=0,"",J468/K468),"")</x:f>
        <x:v>1.6</x:v>
      </x:c>
      <x:c r="M468" s="10" t="str">
        <x:v>Тема: העברים | "החלון הרביעי" - עמוס עוז | כאן דוקו. Просмотры в списке выше медианы выборки этого цикла в 1.6 раза. Биографии писателей дают контекст современной еврейской культуры и литературного иврита.</x:v>
      </x:c>
      <x:c r="N468" s="10" t="str">
        <x:v>Выбрать биографический фрагмент; составить временную линию автора.</x:v>
      </x:c>
      <x:c r="O468" s="10" t="str">
        <x:v>Проверить содержание</x:v>
      </x:c>
      <x:c r="P468" s="10" t="str">
        <x:v>Самостоятельное видео</x:v>
      </x:c>
      <x:c r="Q468" s="9" t="str">
        <x:v>Нет</x:v>
      </x:c>
      <x:c r="R468" s="9" t="str">
        <x:v>C028</x:v>
      </x:c>
      <x:c r="S468" s="9" t="str">
        <x:v>C028</x:v>
      </x:c>
      <x:c r="T468" s="10" t="str">
        <x:v>כאן 11 - תאגיד השידור הישראלי</x:v>
      </x:c>
      <x:c r="U468" s="11" t="str">
        <x:v>https://www.youtube.com/watch?v=9NmWMBsPEaQ</x:v>
      </x:c>
      <x:c r="V468" s="16" t="n">
        <x:v>46308</x:v>
      </x:c>
      <x:c r="W468" s="16" t="n">
        <x:v>44468</x:v>
      </x:c>
      <x:c r="X468" s="10" t="str">
        <x:v>Иврит предполагается по заголовку и источнику</x:v>
      </x:c>
      <x:c r="Y468" s="10" t="str">
        <x:v>Дорожка HE не найдена в метаданных; вшитые титры не проверены</x:v>
      </x:c>
      <x:c r="Z468" s="10" t="str">
        <x:v>Разрешено по метаданным</x:v>
      </x:c>
      <x:c r="AA468" s="10" t="str">
        <x:v>Метаданные видео; воспроизведение и содержание не проверены</x:v>
      </x:c>
      <x:c r="AB468" s="13" t="n">
        <x:f>IF(AND(ISNUMBER(H468),ISNUMBER(W468)),H468/MAX(1,'Обзор'!$B$4-W468),"")</x:f>
        <x:v>30.546739130434784</x:v>
      </x:c>
      <x:c r="AC468" s="17" t="str">
        <x:v>Не решено</x:v>
      </x:c>
      <x:c r="AD468" s="17" t="str">
        <x:v>Не проверено</x:v>
      </x:c>
      <x:c r="AE468" s="17" t="str">
        <x:v>Не проверено</x:v>
      </x:c>
      <x:c r="AF468" s="17" t="str">
        <x:v>Не проверено</x:v>
      </x:c>
      <x:c r="AG468" s="17" t="str">
        <x:v>Не решено</x:v>
      </x:c>
      <x:c r="AH468" s="17" t="str">
        <x:v>Не проверено</x:v>
      </x:c>
      <x:c r="AI468" s="10" t="str">
        <x:f>IF(AC468="Отклонить","Отклонено",IF(AND(AC468="Взять",COUNTIFS(AD468:AH468,"Да")=5),"Готово","Нужна редактура"))</x:f>
        <x:v>Нужна редактура</x:v>
      </x:c>
      <x:c r="AJ468" s="17" t="str"/>
      <x:c r="AK468" s="9" t="str">
        <x:v>https://www.youtube.com/playlist?list=PLLttfoK87AdWulZEqK6zPZRdCmvP1SE6c</x:v>
      </x:c>
      <x:c r="AL468" s="9" t="n">
        <x:v>4</x:v>
      </x:c>
      <x:c r="AM468" s="9"/>
      <x:c r="AN468" s="9" t="n">
        <x:v>0</x:v>
      </x:c>
    </x:row>
    <x:row r="469" ht="60" customHeight="1">
      <x:c r="A469" s="9" t="str">
        <x:v>E5uTnRe2ybA</x:v>
      </x:c>
      <x:c r="B469" s="10" t="str">
        <x:v>העברים | "אשה פשוטה" - זלדה | כאן דוקו</x:v>
      </x:c>
      <x:c r="C469" s="10" t="str">
        <x:v>Литература и язык</x:v>
      </x:c>
      <x:c r="D469" s="9" t="str">
        <x:v>История</x:v>
      </x:c>
      <x:c r="E469" s="10" t="str">
        <x:v>Книги; история языка; продвинутые</x:v>
      </x:c>
      <x:c r="F469" s="10" t="str">
        <x:v>B2–C1 (гипотеза)</x:v>
      </x:c>
      <x:c r="G469" s="12" t="n">
        <x:v>54.4</x:v>
      </x:c>
      <x:c r="H469" s="14" t="n">
        <x:v>36611</x:v>
      </x:c>
      <x:c r="I469" s="15" t="str">
        <x:v>Точный счётчик метаданных видео</x:v>
      </x:c>
      <x:c r="J469" s="14" t="n">
        <x:v>36000</x:v>
      </x:c>
      <x:c r="K469" s="14" t="n">
        <x:v>35000</x:v>
      </x:c>
      <x:c r="L469" s="12" t="n">
        <x:f>IF(COUNT(J469:K469)=2,IF(K469=0,"",J469/K469),"")</x:f>
        <x:v>1.0285714285714285</x:v>
      </x:c>
      <x:c r="M469" s="10" t="str">
        <x:v>Тема: העברים | "אשה פשוטה" - זלדה | כאן דוקו. Биографии писателей дают контекст современной еврейской культуры и литературного иврита.</x:v>
      </x:c>
      <x:c r="N469" s="10" t="str">
        <x:v>Выбрать биографический фрагмент; составить временную линию автора.</x:v>
      </x:c>
      <x:c r="O469" s="10" t="str">
        <x:v>Проверить содержание</x:v>
      </x:c>
      <x:c r="P469" s="10" t="str">
        <x:v>Самостоятельное видео</x:v>
      </x:c>
      <x:c r="Q469" s="9" t="str">
        <x:v>Нет</x:v>
      </x:c>
      <x:c r="R469" s="9" t="str">
        <x:v>C028</x:v>
      </x:c>
      <x:c r="S469" s="9" t="str">
        <x:v>C028</x:v>
      </x:c>
      <x:c r="T469" s="10" t="str">
        <x:v>כאן 11 - תאגיד השידור הישראלי</x:v>
      </x:c>
      <x:c r="U469" s="11" t="str">
        <x:v>https://www.youtube.com/watch?v=E5uTnRe2ybA</x:v>
      </x:c>
      <x:c r="V469" s="16" t="n">
        <x:v>46308</x:v>
      </x:c>
      <x:c r="W469" s="16" t="n">
        <x:v>43975</x:v>
      </x:c>
      <x:c r="X469" s="10" t="str">
        <x:v>Иврит предполагается по заголовку и источнику</x:v>
      </x:c>
      <x:c r="Y469" s="10" t="str">
        <x:v>Дорожка HE не найдена в метаданных; вшитые титры не проверены</x:v>
      </x:c>
      <x:c r="Z469" s="10" t="str">
        <x:v>Разрешено по метаданным</x:v>
      </x:c>
      <x:c r="AA469" s="10" t="str">
        <x:v>Метаданные видео; воспроизведение и содержание не проверены</x:v>
      </x:c>
      <x:c r="AB469" s="13" t="n">
        <x:f>IF(AND(ISNUMBER(H469),ISNUMBER(W469)),H469/MAX(1,'Обзор'!$B$4-W469),"")</x:f>
        <x:v>15.692670381483069</x:v>
      </x:c>
      <x:c r="AC469" s="17" t="str">
        <x:v>Не решено</x:v>
      </x:c>
      <x:c r="AD469" s="17" t="str">
        <x:v>Не проверено</x:v>
      </x:c>
      <x:c r="AE469" s="17" t="str">
        <x:v>Не проверено</x:v>
      </x:c>
      <x:c r="AF469" s="17" t="str">
        <x:v>Не проверено</x:v>
      </x:c>
      <x:c r="AG469" s="17" t="str">
        <x:v>Не решено</x:v>
      </x:c>
      <x:c r="AH469" s="17" t="str">
        <x:v>Не проверено</x:v>
      </x:c>
      <x:c r="AI469" s="10" t="str">
        <x:f>IF(AC469="Отклонить","Отклонено",IF(AND(AC469="Взять",COUNTIFS(AD469:AH469,"Да")=5),"Готово","Нужна редактура"))</x:f>
        <x:v>Нужна редактура</x:v>
      </x:c>
      <x:c r="AJ469" s="17" t="str"/>
      <x:c r="AK469" s="9" t="str">
        <x:v>https://www.youtube.com/playlist?list=PLLttfoK87AdWulZEqK6zPZRdCmvP1SE6c</x:v>
      </x:c>
      <x:c r="AL469" s="9" t="n">
        <x:v>5</x:v>
      </x:c>
      <x:c r="AM469" s="9"/>
      <x:c r="AN469" s="9" t="n">
        <x:v>0</x:v>
      </x:c>
    </x:row>
    <x:row r="470" ht="60" customHeight="1">
      <x:c r="A470" s="9" t="str">
        <x:v>L6YjWsj1q8M</x:v>
      </x:c>
      <x:c r="B470" s="10" t="str">
        <x:v>העברים | "העורב" - הסופר והמשורר זאב זבוטינסקי | כאן דוקו</x:v>
      </x:c>
      <x:c r="C470" s="10" t="str">
        <x:v>Литература и язык</x:v>
      </x:c>
      <x:c r="D470" s="9" t="str">
        <x:v>История</x:v>
      </x:c>
      <x:c r="E470" s="10" t="str">
        <x:v>Книги; история языка; продвинутые</x:v>
      </x:c>
      <x:c r="F470" s="10" t="str">
        <x:v>B2–C1 (гипотеза)</x:v>
      </x:c>
      <x:c r="G470" s="12" t="n">
        <x:v>60.5</x:v>
      </x:c>
      <x:c r="H470" s="14" t="n">
        <x:v>30000</x:v>
      </x:c>
      <x:c r="I470" s="15" t="str">
        <x:v>Округлённый счётчик в списке YouTube</x:v>
      </x:c>
      <x:c r="J470" s="14" t="n">
        <x:v>30000</x:v>
      </x:c>
      <x:c r="K470" s="14" t="n">
        <x:v>35000</x:v>
      </x:c>
      <x:c r="L470" s="12" t="n">
        <x:f>IF(COUNT(J470:K470)=2,IF(K470=0,"",J470/K470),"")</x:f>
        <x:v>0.8571428571428571</x:v>
      </x:c>
      <x:c r="M470" s="10" t="str">
        <x:v>Тема: העברים | "העורב" - הסופר והמשורר זאב זבוטינסקי | כאן דוקו. Биографии писателей дают контекст современной еврейской культуры и литературного иврита.</x:v>
      </x:c>
      <x:c r="N470" s="10" t="str">
        <x:v>Выбрать биографический фрагмент; составить временную линию автора.</x:v>
      </x:c>
      <x:c r="O470" s="10" t="str">
        <x:v>Проверить содержание</x:v>
      </x:c>
      <x:c r="P470" s="10" t="str">
        <x:v>Самостоятельное видео</x:v>
      </x:c>
      <x:c r="Q470" s="9" t="str">
        <x:v>Нет</x:v>
      </x:c>
      <x:c r="R470" s="9" t="str">
        <x:v>C028</x:v>
      </x:c>
      <x:c r="S470" s="9" t="str">
        <x:v>C028</x:v>
      </x:c>
      <x:c r="T470" s="10" t="str">
        <x:v>כאן 11 - תאגיד השידור הישראלי</x:v>
      </x:c>
      <x:c r="U470" s="11" t="str">
        <x:v>https://www.youtube.com/watch?v=L6YjWsj1q8M</x:v>
      </x:c>
      <x:c r="V470" s="16" t="n">
        <x:v>46308</x:v>
      </x:c>
      <x:c r="W470" s="16"/>
      <x:c r="X470" s="10" t="str">
        <x:v>Иврит предполагается по заголовку и источнику</x:v>
      </x:c>
      <x:c r="Y470" s="10" t="str">
        <x:v>Не проверено</x:v>
      </x:c>
      <x:c r="Z470" s="10" t="str">
        <x:v>Не проверено</x:v>
      </x:c>
      <x:c r="AA470" s="10" t="str">
        <x:v>Метаданные списка; видео не просмотрено</x:v>
      </x:c>
      <x:c r="AB470" s="13" t="str">
        <x:f>IF(AND(ISNUMBER(H470),ISNUMBER(W470)),H470/MAX(1,'Обзор'!$B$4-W470),"")</x:f>
      </x:c>
      <x:c r="AC470" s="17" t="str">
        <x:v>Не решено</x:v>
      </x:c>
      <x:c r="AD470" s="17" t="str">
        <x:v>Не проверено</x:v>
      </x:c>
      <x:c r="AE470" s="17" t="str">
        <x:v>Не проверено</x:v>
      </x:c>
      <x:c r="AF470" s="17" t="str">
        <x:v>Не проверено</x:v>
      </x:c>
      <x:c r="AG470" s="17" t="str">
        <x:v>Не решено</x:v>
      </x:c>
      <x:c r="AH470" s="17" t="str">
        <x:v>Не проверено</x:v>
      </x:c>
      <x:c r="AI470" s="10" t="str">
        <x:f>IF(AC470="Отклонить","Отклонено",IF(AND(AC470="Взять",COUNTIFS(AD470:AH470,"Да")=5),"Готово","Нужна редактура"))</x:f>
        <x:v>Нужна редактура</x:v>
      </x:c>
      <x:c r="AJ470" s="17" t="str"/>
      <x:c r="AK470" s="9" t="str">
        <x:v>https://www.youtube.com/playlist?list=PLLttfoK87AdWulZEqK6zPZRdCmvP1SE6c</x:v>
      </x:c>
      <x:c r="AL470" s="9" t="n">
        <x:v>6</x:v>
      </x:c>
      <x:c r="AM470" s="9"/>
      <x:c r="AN470" s="9"/>
    </x:row>
    <x:row r="471" ht="60" customHeight="1">
      <x:c r="A471" s="9" t="str">
        <x:v>Y5YaakUEH9Q</x:v>
      </x:c>
      <x:c r="B471" s="10" t="str">
        <x:v>העברים | "שיר ידידות" - רבי דוד בוזגלו | כאן דוקו</x:v>
      </x:c>
      <x:c r="C471" s="10" t="str">
        <x:v>Литература и язык</x:v>
      </x:c>
      <x:c r="D471" s="9" t="str">
        <x:v>История</x:v>
      </x:c>
      <x:c r="E471" s="10" t="str">
        <x:v>Книги; история языка; продвинутые</x:v>
      </x:c>
      <x:c r="F471" s="10" t="str">
        <x:v>B2–C1 (гипотеза)</x:v>
      </x:c>
      <x:c r="G471" s="12" t="n">
        <x:v>63.1</x:v>
      </x:c>
      <x:c r="H471" s="14" t="n">
        <x:v>33109</x:v>
      </x:c>
      <x:c r="I471" s="15" t="str">
        <x:v>Точный счётчик метаданных видео</x:v>
      </x:c>
      <x:c r="J471" s="14" t="n">
        <x:v>33000</x:v>
      </x:c>
      <x:c r="K471" s="14" t="n">
        <x:v>35000</x:v>
      </x:c>
      <x:c r="L471" s="12" t="n">
        <x:f>IF(COUNT(J471:K471)=2,IF(K471=0,"",J471/K471),"")</x:f>
        <x:v>0.9428571428571428</x:v>
      </x:c>
      <x:c r="M471" s="10" t="str">
        <x:v>Тема: העברים | "שיר ידידות" - רבי דוד בוזגלו | כאן דוקו. Биографии писателей дают контекст современной еврейской культуры и литературного иврита.</x:v>
      </x:c>
      <x:c r="N471" s="10" t="str">
        <x:v>Выбрать биографический фрагмент; составить временную линию автора.</x:v>
      </x:c>
      <x:c r="O471" s="10" t="str">
        <x:v>Проверить содержание</x:v>
      </x:c>
      <x:c r="P471" s="10" t="str">
        <x:v>Самостоятельное видео</x:v>
      </x:c>
      <x:c r="Q471" s="9" t="str">
        <x:v>Нет</x:v>
      </x:c>
      <x:c r="R471" s="9" t="str">
        <x:v>C028</x:v>
      </x:c>
      <x:c r="S471" s="9" t="str">
        <x:v>C028</x:v>
      </x:c>
      <x:c r="T471" s="10" t="str">
        <x:v>כאן 11 - תאגיד השידור הישראלי</x:v>
      </x:c>
      <x:c r="U471" s="11" t="str">
        <x:v>https://www.youtube.com/watch?v=Y5YaakUEH9Q</x:v>
      </x:c>
      <x:c r="V471" s="16" t="n">
        <x:v>46308</x:v>
      </x:c>
      <x:c r="W471" s="16" t="n">
        <x:v>43975</x:v>
      </x:c>
      <x:c r="X471" s="10" t="str">
        <x:v>Иврит предполагается по заголовку и источнику</x:v>
      </x:c>
      <x:c r="Y471" s="10" t="str">
        <x:v>Автоматическая дорожка HE по метаданным</x:v>
      </x:c>
      <x:c r="Z471" s="10" t="str">
        <x:v>Разрешено по метаданным</x:v>
      </x:c>
      <x:c r="AA471" s="10" t="str">
        <x:v>Метаданные видео; воспроизведение и содержание не проверены</x:v>
      </x:c>
      <x:c r="AB471" s="13" t="n">
        <x:f>IF(AND(ISNUMBER(H471),ISNUMBER(W471)),H471/MAX(1,'Обзор'!$B$4-W471),"")</x:f>
        <x:v>14.191598799828547</x:v>
      </x:c>
      <x:c r="AC471" s="17" t="str">
        <x:v>Не решено</x:v>
      </x:c>
      <x:c r="AD471" s="17" t="str">
        <x:v>Не проверено</x:v>
      </x:c>
      <x:c r="AE471" s="17" t="str">
        <x:v>Не проверено</x:v>
      </x:c>
      <x:c r="AF471" s="17" t="str">
        <x:v>Не проверено</x:v>
      </x:c>
      <x:c r="AG471" s="17" t="str">
        <x:v>Не решено</x:v>
      </x:c>
      <x:c r="AH471" s="17" t="str">
        <x:v>Не проверено</x:v>
      </x:c>
      <x:c r="AI471" s="10" t="str">
        <x:f>IF(AC471="Отклонить","Отклонено",IF(AND(AC471="Взять",COUNTIFS(AD471:AH471,"Да")=5),"Готово","Нужна редактура"))</x:f>
        <x:v>Нужна редактура</x:v>
      </x:c>
      <x:c r="AJ471" s="17" t="str"/>
      <x:c r="AK471" s="9" t="str">
        <x:v>https://www.youtube.com/playlist?list=PLLttfoK87AdWulZEqK6zPZRdCmvP1SE6c</x:v>
      </x:c>
      <x:c r="AL471" s="9" t="n">
        <x:v>7</x:v>
      </x:c>
      <x:c r="AM471" s="9"/>
      <x:c r="AN471" s="9" t="n">
        <x:v>0</x:v>
      </x:c>
    </x:row>
    <x:row r="472" ht="60" customHeight="1">
      <x:c r="A472" s="9" t="str">
        <x:v>1m6-egvtsgQ</x:v>
      </x:c>
      <x:c r="B472" s="10" t="str">
        <x:v>העברים | "המעורר" - הסופר ברנר | כאן דוקו</x:v>
      </x:c>
      <x:c r="C472" s="10" t="str">
        <x:v>Литература и язык</x:v>
      </x:c>
      <x:c r="D472" s="9" t="str">
        <x:v>История</x:v>
      </x:c>
      <x:c r="E472" s="10" t="str">
        <x:v>Книги; история языка; продвинутые</x:v>
      </x:c>
      <x:c r="F472" s="10" t="str">
        <x:v>B2–C1 (гипотеза)</x:v>
      </x:c>
      <x:c r="G472" s="12" t="n">
        <x:v>55.5</x:v>
      </x:c>
      <x:c r="H472" s="14" t="n">
        <x:v>20000</x:v>
      </x:c>
      <x:c r="I472" s="15" t="str">
        <x:v>Округлённый счётчик в списке YouTube</x:v>
      </x:c>
      <x:c r="J472" s="14" t="n">
        <x:v>20000</x:v>
      </x:c>
      <x:c r="K472" s="14" t="n">
        <x:v>35000</x:v>
      </x:c>
      <x:c r="L472" s="12" t="n">
        <x:f>IF(COUNT(J472:K472)=2,IF(K472=0,"",J472/K472),"")</x:f>
        <x:v>0.5714285714285714</x:v>
      </x:c>
      <x:c r="M472" s="10" t="str">
        <x:v>Тема: העברים | "המעורר" - הסופר ברנר | כאן דוקו. Биографии писателей дают контекст современной еврейской культуры и литературного иврита.</x:v>
      </x:c>
      <x:c r="N472" s="10" t="str">
        <x:v>Выбрать биографический фрагмент; составить временную линию автора.</x:v>
      </x:c>
      <x:c r="O472" s="10" t="str">
        <x:v>Проверить содержание</x:v>
      </x:c>
      <x:c r="P472" s="10" t="str">
        <x:v>Самостоятельное видео</x:v>
      </x:c>
      <x:c r="Q472" s="9" t="str">
        <x:v>Нет</x:v>
      </x:c>
      <x:c r="R472" s="9" t="str">
        <x:v>C028</x:v>
      </x:c>
      <x:c r="S472" s="9" t="str">
        <x:v>C028</x:v>
      </x:c>
      <x:c r="T472" s="10" t="str">
        <x:v>כאן 11 - תאגיד השידור הישראלי</x:v>
      </x:c>
      <x:c r="U472" s="11" t="str">
        <x:v>https://www.youtube.com/watch?v=1m6-egvtsgQ</x:v>
      </x:c>
      <x:c r="V472" s="16" t="n">
        <x:v>46308</x:v>
      </x:c>
      <x:c r="W472" s="16"/>
      <x:c r="X472" s="10" t="str">
        <x:v>Иврит предполагается по заголовку и источнику</x:v>
      </x:c>
      <x:c r="Y472" s="10" t="str">
        <x:v>Не проверено</x:v>
      </x:c>
      <x:c r="Z472" s="10" t="str">
        <x:v>Не проверено</x:v>
      </x:c>
      <x:c r="AA472" s="10" t="str">
        <x:v>Метаданные списка; видео не просмотрено</x:v>
      </x:c>
      <x:c r="AB472" s="13" t="str">
        <x:f>IF(AND(ISNUMBER(H472),ISNUMBER(W472)),H472/MAX(1,'Обзор'!$B$4-W472),"")</x:f>
      </x:c>
      <x:c r="AC472" s="17" t="str">
        <x:v>Не решено</x:v>
      </x:c>
      <x:c r="AD472" s="17" t="str">
        <x:v>Не проверено</x:v>
      </x:c>
      <x:c r="AE472" s="17" t="str">
        <x:v>Не проверено</x:v>
      </x:c>
      <x:c r="AF472" s="17" t="str">
        <x:v>Не проверено</x:v>
      </x:c>
      <x:c r="AG472" s="17" t="str">
        <x:v>Не решено</x:v>
      </x:c>
      <x:c r="AH472" s="17" t="str">
        <x:v>Не проверено</x:v>
      </x:c>
      <x:c r="AI472" s="10" t="str">
        <x:f>IF(AC472="Отклонить","Отклонено",IF(AND(AC472="Взять",COUNTIFS(AD472:AH472,"Да")=5),"Готово","Нужна редактура"))</x:f>
        <x:v>Нужна редактура</x:v>
      </x:c>
      <x:c r="AJ472" s="17" t="str"/>
      <x:c r="AK472" s="9" t="str">
        <x:v>https://www.youtube.com/playlist?list=PLLttfoK87AdWulZEqK6zPZRdCmvP1SE6c</x:v>
      </x:c>
      <x:c r="AL472" s="9" t="n">
        <x:v>8</x:v>
      </x:c>
      <x:c r="AM472" s="9"/>
      <x:c r="AN472" s="9"/>
    </x:row>
    <x:row r="473" ht="60" customHeight="1">
      <x:c r="A473" s="9" t="str">
        <x:v>yxwtw9CNgFg</x:v>
      </x:c>
      <x:c r="B473" s="10" t="str">
        <x:v>העברים | "העלמה בלובשטיין" - המשוררת רחל | כאן דוקו</x:v>
      </x:c>
      <x:c r="C473" s="10" t="str">
        <x:v>Литература и язык</x:v>
      </x:c>
      <x:c r="D473" s="9" t="str">
        <x:v>История</x:v>
      </x:c>
      <x:c r="E473" s="10" t="str">
        <x:v>Книги; история языка; продвинутые</x:v>
      </x:c>
      <x:c r="F473" s="10" t="str">
        <x:v>B2–C1 (гипотеза)</x:v>
      </x:c>
      <x:c r="G473" s="12" t="n">
        <x:v>57.7</x:v>
      </x:c>
      <x:c r="H473" s="14" t="n">
        <x:v>28000</x:v>
      </x:c>
      <x:c r="I473" s="15" t="str">
        <x:v>Округлённый счётчик в списке YouTube</x:v>
      </x:c>
      <x:c r="J473" s="14" t="n">
        <x:v>28000</x:v>
      </x:c>
      <x:c r="K473" s="14" t="n">
        <x:v>35000</x:v>
      </x:c>
      <x:c r="L473" s="12" t="n">
        <x:f>IF(COUNT(J473:K473)=2,IF(K473=0,"",J473/K473),"")</x:f>
        <x:v>0.8</x:v>
      </x:c>
      <x:c r="M473" s="10" t="str">
        <x:v>Тема: העברים | "העלמה בלובשטיין" - המשוררת רחל | כאן דוקו. Биографии писателей дают контекст современной еврейской культуры и литературного иврита.</x:v>
      </x:c>
      <x:c r="N473" s="10" t="str">
        <x:v>Выбрать биографический фрагмент; составить временную линию автора.</x:v>
      </x:c>
      <x:c r="O473" s="10" t="str">
        <x:v>Проверить содержание</x:v>
      </x:c>
      <x:c r="P473" s="10" t="str">
        <x:v>Самостоятельное видео</x:v>
      </x:c>
      <x:c r="Q473" s="9" t="str">
        <x:v>Нет</x:v>
      </x:c>
      <x:c r="R473" s="9" t="str">
        <x:v>C028</x:v>
      </x:c>
      <x:c r="S473" s="9" t="str">
        <x:v>C028</x:v>
      </x:c>
      <x:c r="T473" s="10" t="str">
        <x:v>כאן 11 - תאגיד השידור הישראלי</x:v>
      </x:c>
      <x:c r="U473" s="11" t="str">
        <x:v>https://www.youtube.com/watch?v=yxwtw9CNgFg</x:v>
      </x:c>
      <x:c r="V473" s="16" t="n">
        <x:v>46308</x:v>
      </x:c>
      <x:c r="W473" s="16"/>
      <x:c r="X473" s="10" t="str">
        <x:v>Иврит предполагается по заголовку и источнику</x:v>
      </x:c>
      <x:c r="Y473" s="10" t="str">
        <x:v>Не проверено</x:v>
      </x:c>
      <x:c r="Z473" s="10" t="str">
        <x:v>Не проверено</x:v>
      </x:c>
      <x:c r="AA473" s="10" t="str">
        <x:v>Метаданные списка; видео не просмотрено</x:v>
      </x:c>
      <x:c r="AB473" s="13" t="str">
        <x:f>IF(AND(ISNUMBER(H473),ISNUMBER(W473)),H473/MAX(1,'Обзор'!$B$4-W473),"")</x:f>
      </x:c>
      <x:c r="AC473" s="17" t="str">
        <x:v>Не решено</x:v>
      </x:c>
      <x:c r="AD473" s="17" t="str">
        <x:v>Не проверено</x:v>
      </x:c>
      <x:c r="AE473" s="17" t="str">
        <x:v>Не проверено</x:v>
      </x:c>
      <x:c r="AF473" s="17" t="str">
        <x:v>Не проверено</x:v>
      </x:c>
      <x:c r="AG473" s="17" t="str">
        <x:v>Не решено</x:v>
      </x:c>
      <x:c r="AH473" s="17" t="str">
        <x:v>Не проверено</x:v>
      </x:c>
      <x:c r="AI473" s="10" t="str">
        <x:f>IF(AC473="Отклонить","Отклонено",IF(AND(AC473="Взять",COUNTIFS(AD473:AH473,"Да")=5),"Готово","Нужна редактура"))</x:f>
        <x:v>Нужна редактура</x:v>
      </x:c>
      <x:c r="AJ473" s="17" t="str"/>
      <x:c r="AK473" s="9" t="str">
        <x:v>https://www.youtube.com/playlist?list=PLLttfoK87AdWulZEqK6zPZRdCmvP1SE6c</x:v>
      </x:c>
      <x:c r="AL473" s="9" t="n">
        <x:v>9</x:v>
      </x:c>
      <x:c r="AM473" s="9"/>
      <x:c r="AN473" s="9"/>
    </x:row>
    <x:row r="474" ht="60" customHeight="1">
      <x:c r="A474" s="9" t="str">
        <x:v>UK32fMg3oGs</x:v>
      </x:c>
      <x:c r="B474" s="10" t="str">
        <x:v>העברים | "מלך היהודים" - ביאליק | כאן דוקו</x:v>
      </x:c>
      <x:c r="C474" s="10" t="str">
        <x:v>Литература и язык</x:v>
      </x:c>
      <x:c r="D474" s="9" t="str">
        <x:v>История</x:v>
      </x:c>
      <x:c r="E474" s="10" t="str">
        <x:v>Книги; история языка; продвинутые</x:v>
      </x:c>
      <x:c r="F474" s="10" t="str">
        <x:v>B2–C1 (гипотеза)</x:v>
      </x:c>
      <x:c r="G474" s="12" t="n">
        <x:v>56.6</x:v>
      </x:c>
      <x:c r="H474" s="14" t="n">
        <x:v>40706</x:v>
      </x:c>
      <x:c r="I474" s="15" t="str">
        <x:v>Точный счётчик метаданных видео</x:v>
      </x:c>
      <x:c r="J474" s="14" t="n">
        <x:v>40000</x:v>
      </x:c>
      <x:c r="K474" s="14" t="n">
        <x:v>35000</x:v>
      </x:c>
      <x:c r="L474" s="12" t="n">
        <x:f>IF(COUNT(J474:K474)=2,IF(K474=0,"",J474/K474),"")</x:f>
        <x:v>1.1428571428571428</x:v>
      </x:c>
      <x:c r="M474" s="10" t="str">
        <x:v>Тема: העברים | "מלך היהודים" - ביאליק | כאן דוקו. Биографии писателей дают контекст современной еврейской культуры и литературного иврита.</x:v>
      </x:c>
      <x:c r="N474" s="10" t="str">
        <x:v>Выбрать биографический фрагмент; составить временную линию автора.</x:v>
      </x:c>
      <x:c r="O474" s="10" t="str">
        <x:v>Проверить содержание</x:v>
      </x:c>
      <x:c r="P474" s="10" t="str">
        <x:v>Самостоятельное видео</x:v>
      </x:c>
      <x:c r="Q474" s="9" t="str">
        <x:v>Нет</x:v>
      </x:c>
      <x:c r="R474" s="9" t="str">
        <x:v>C028</x:v>
      </x:c>
      <x:c r="S474" s="9" t="str">
        <x:v>C028</x:v>
      </x:c>
      <x:c r="T474" s="10" t="str">
        <x:v>כאן 11 - תאגיד השידור הישראלי</x:v>
      </x:c>
      <x:c r="U474" s="11" t="str">
        <x:v>https://www.youtube.com/watch?v=UK32fMg3oGs</x:v>
      </x:c>
      <x:c r="V474" s="16" t="n">
        <x:v>46308</x:v>
      </x:c>
      <x:c r="W474" s="16" t="n">
        <x:v>43975</x:v>
      </x:c>
      <x:c r="X474" s="10" t="str">
        <x:v>Иврит предполагается по заголовку и источнику</x:v>
      </x:c>
      <x:c r="Y474" s="10" t="str">
        <x:v>Дорожка HE не найдена в метаданных; вшитые титры не проверены</x:v>
      </x:c>
      <x:c r="Z474" s="10" t="str">
        <x:v>Разрешено по метаданным</x:v>
      </x:c>
      <x:c r="AA474" s="10" t="str">
        <x:v>Метаданные видео; воспроизведение и содержание не проверены</x:v>
      </x:c>
      <x:c r="AB474" s="13" t="n">
        <x:f>IF(AND(ISNUMBER(H474),ISNUMBER(W474)),H474/MAX(1,'Обзор'!$B$4-W474),"")</x:f>
        <x:v>17.447921131590228</x:v>
      </x:c>
      <x:c r="AC474" s="17" t="str">
        <x:v>Не решено</x:v>
      </x:c>
      <x:c r="AD474" s="17" t="str">
        <x:v>Не проверено</x:v>
      </x:c>
      <x:c r="AE474" s="17" t="str">
        <x:v>Не проверено</x:v>
      </x:c>
      <x:c r="AF474" s="17" t="str">
        <x:v>Не проверено</x:v>
      </x:c>
      <x:c r="AG474" s="17" t="str">
        <x:v>Не решено</x:v>
      </x:c>
      <x:c r="AH474" s="17" t="str">
        <x:v>Не проверено</x:v>
      </x:c>
      <x:c r="AI474" s="10" t="str">
        <x:f>IF(AC474="Отклонить","Отклонено",IF(AND(AC474="Взять",COUNTIFS(AD474:AH474,"Да")=5),"Готово","Нужна редактура"))</x:f>
        <x:v>Нужна редактура</x:v>
      </x:c>
      <x:c r="AJ474" s="17" t="str"/>
      <x:c r="AK474" s="9" t="str">
        <x:v>https://www.youtube.com/playlist?list=PLLttfoK87AdWulZEqK6zPZRdCmvP1SE6c</x:v>
      </x:c>
      <x:c r="AL474" s="9" t="n">
        <x:v>10</x:v>
      </x:c>
      <x:c r="AM474" s="9"/>
      <x:c r="AN474" s="9" t="n">
        <x:v>0</x:v>
      </x:c>
    </x:row>
    <x:row r="475" ht="60" customHeight="1">
      <x:c r="A475" s="9" t="str">
        <x:v>h7l8Mxfg8bY</x:v>
      </x:c>
      <x:c r="B475" s="10" t="str">
        <x:v>העברים  | "לבדתי" - מרים ילן שטקליס | כאן דוקו</x:v>
      </x:c>
      <x:c r="C475" s="10" t="str">
        <x:v>Литература и язык</x:v>
      </x:c>
      <x:c r="D475" s="9" t="str">
        <x:v>История</x:v>
      </x:c>
      <x:c r="E475" s="10" t="str">
        <x:v>Книги; история языка; продвинутые</x:v>
      </x:c>
      <x:c r="F475" s="10" t="str">
        <x:v>B2–C1 (гипотеза)</x:v>
      </x:c>
      <x:c r="G475" s="12" t="n">
        <x:v>51.1</x:v>
      </x:c>
      <x:c r="H475" s="14" t="n">
        <x:v>44721</x:v>
      </x:c>
      <x:c r="I475" s="15" t="str">
        <x:v>Точный счётчик метаданных видео</x:v>
      </x:c>
      <x:c r="J475" s="14" t="n">
        <x:v>44000</x:v>
      </x:c>
      <x:c r="K475" s="14" t="n">
        <x:v>35000</x:v>
      </x:c>
      <x:c r="L475" s="12" t="n">
        <x:f>IF(COUNT(J475:K475)=2,IF(K475=0,"",J475/K475),"")</x:f>
        <x:v>1.2571428571428571</x:v>
      </x:c>
      <x:c r="M475" s="10" t="str">
        <x:v>Тема: העברים  | "לבדתי" - מרים ילן שטקליס | כאן דוקו. Биографии писателей дают контекст современной еврейской культуры и литературного иврита.</x:v>
      </x:c>
      <x:c r="N475" s="10" t="str">
        <x:v>Выбрать биографический фрагмент; составить временную линию автора.</x:v>
      </x:c>
      <x:c r="O475" s="10" t="str">
        <x:v>Проверить содержание</x:v>
      </x:c>
      <x:c r="P475" s="10" t="str">
        <x:v>Самостоятельное видео</x:v>
      </x:c>
      <x:c r="Q475" s="9" t="str">
        <x:v>Нет</x:v>
      </x:c>
      <x:c r="R475" s="9" t="str">
        <x:v>C028</x:v>
      </x:c>
      <x:c r="S475" s="9" t="str">
        <x:v>C028</x:v>
      </x:c>
      <x:c r="T475" s="10" t="str">
        <x:v>כאן 11 - תאגיד השידור הישראלי</x:v>
      </x:c>
      <x:c r="U475" s="11" t="str">
        <x:v>https://www.youtube.com/watch?v=h7l8Mxfg8bY</x:v>
      </x:c>
      <x:c r="V475" s="16" t="n">
        <x:v>46308</x:v>
      </x:c>
      <x:c r="W475" s="16" t="n">
        <x:v>43406</x:v>
      </x:c>
      <x:c r="X475" s="10" t="str">
        <x:v>Иврит предполагается по заголовку и источнику</x:v>
      </x:c>
      <x:c r="Y475" s="10" t="str">
        <x:v>Дорожка HE не найдена в метаданных; вшитые титры не проверены</x:v>
      </x:c>
      <x:c r="Z475" s="10" t="str">
        <x:v>Разрешено по метаданным</x:v>
      </x:c>
      <x:c r="AA475" s="10" t="str">
        <x:v>Метаданные видео; воспроизведение и содержание не проверены</x:v>
      </x:c>
      <x:c r="AB475" s="13" t="n">
        <x:f>IF(AND(ISNUMBER(H475),ISNUMBER(W475)),H475/MAX(1,'Обзор'!$B$4-W475),"")</x:f>
        <x:v>15.410406616126808</x:v>
      </x:c>
      <x:c r="AC475" s="17" t="str">
        <x:v>Не решено</x:v>
      </x:c>
      <x:c r="AD475" s="17" t="str">
        <x:v>Не проверено</x:v>
      </x:c>
      <x:c r="AE475" s="17" t="str">
        <x:v>Не проверено</x:v>
      </x:c>
      <x:c r="AF475" s="17" t="str">
        <x:v>Не проверено</x:v>
      </x:c>
      <x:c r="AG475" s="17" t="str">
        <x:v>Не решено</x:v>
      </x:c>
      <x:c r="AH475" s="17" t="str">
        <x:v>Не проверено</x:v>
      </x:c>
      <x:c r="AI475" s="10" t="str">
        <x:f>IF(AC475="Отклонить","Отклонено",IF(AND(AC475="Взять",COUNTIFS(AD475:AH475,"Да")=5),"Готово","Нужна редактура"))</x:f>
        <x:v>Нужна редактура</x:v>
      </x:c>
      <x:c r="AJ475" s="17" t="str"/>
      <x:c r="AK475" s="9" t="str">
        <x:v>https://www.youtube.com/playlist?list=PLLttfoK87AdWulZEqK6zPZRdCmvP1SE6c</x:v>
      </x:c>
      <x:c r="AL475" s="9" t="n">
        <x:v>11</x:v>
      </x:c>
      <x:c r="AM475" s="9"/>
      <x:c r="AN475" s="9" t="n">
        <x:v>0</x:v>
      </x:c>
    </x:row>
    <x:row r="476" ht="60" customHeight="1">
      <x:c r="A476" s="9" t="str">
        <x:v>l9GuR_OISkQ</x:v>
      </x:c>
      <x:c r="B476" s="10" t="str">
        <x:v>העברים | "מורי, חידת שבזי" - שלום שבזי | כאן דוקו</x:v>
      </x:c>
      <x:c r="C476" s="10" t="str">
        <x:v>Литература и язык</x:v>
      </x:c>
      <x:c r="D476" s="9" t="str">
        <x:v>История</x:v>
      </x:c>
      <x:c r="E476" s="10" t="str">
        <x:v>Книги; история языка; продвинутые</x:v>
      </x:c>
      <x:c r="F476" s="10" t="str">
        <x:v>B2–C1 (гипотеза)</x:v>
      </x:c>
      <x:c r="G476" s="12" t="n">
        <x:v>51.3</x:v>
      </x:c>
      <x:c r="H476" s="14" t="n">
        <x:v>61846</x:v>
      </x:c>
      <x:c r="I476" s="15" t="str">
        <x:v>Точный счётчик метаданных видео</x:v>
      </x:c>
      <x:c r="J476" s="14" t="n">
        <x:v>61000</x:v>
      </x:c>
      <x:c r="K476" s="14" t="n">
        <x:v>35000</x:v>
      </x:c>
      <x:c r="L476" s="12" t="n">
        <x:f>IF(COUNT(J476:K476)=2,IF(K476=0,"",J476/K476),"")</x:f>
        <x:v>1.7428571428571429</x:v>
      </x:c>
      <x:c r="M476" s="10" t="str">
        <x:v>Тема: העברים | "מורי, חידת שבזי" - שלום שבזי | כאן דוקו. Просмотры в списке выше медианы выборки этого цикла в 1.74 раза. Биографии писателей дают контекст современной еврейской культуры и литературного иврита.</x:v>
      </x:c>
      <x:c r="N476" s="10" t="str">
        <x:v>Выбрать биографический фрагмент; составить временную линию автора.</x:v>
      </x:c>
      <x:c r="O476" s="10" t="str">
        <x:v>Проверить содержание</x:v>
      </x:c>
      <x:c r="P476" s="10" t="str">
        <x:v>Самостоятельное видео</x:v>
      </x:c>
      <x:c r="Q476" s="9" t="str">
        <x:v>Нет</x:v>
      </x:c>
      <x:c r="R476" s="9" t="str">
        <x:v>C028</x:v>
      </x:c>
      <x:c r="S476" s="9" t="str">
        <x:v>C028</x:v>
      </x:c>
      <x:c r="T476" s="10" t="str">
        <x:v>כאן 11 - תאגיד השידור הישראלי</x:v>
      </x:c>
      <x:c r="U476" s="11" t="str">
        <x:v>https://www.youtube.com/watch?v=l9GuR_OISkQ</x:v>
      </x:c>
      <x:c r="V476" s="16" t="n">
        <x:v>46308</x:v>
      </x:c>
      <x:c r="W476" s="16" t="n">
        <x:v>43406</x:v>
      </x:c>
      <x:c r="X476" s="10" t="str">
        <x:v>Иврит предполагается по заголовку и источнику</x:v>
      </x:c>
      <x:c r="Y476" s="10" t="str">
        <x:v>Дорожка HE не найдена в метаданных; вшитые титры не проверены</x:v>
      </x:c>
      <x:c r="Z476" s="10" t="str">
        <x:v>Разрешено по метаданным</x:v>
      </x:c>
      <x:c r="AA476" s="10" t="str">
        <x:v>Метаданные видео; воспроизведение и содержание не проверены</x:v>
      </x:c>
      <x:c r="AB476" s="13" t="n">
        <x:f>IF(AND(ISNUMBER(H476),ISNUMBER(W476)),H476/MAX(1,'Обзор'!$B$4-W476),"")</x:f>
        <x:v>21.311509303928325</x:v>
      </x:c>
      <x:c r="AC476" s="17" t="str">
        <x:v>Не решено</x:v>
      </x:c>
      <x:c r="AD476" s="17" t="str">
        <x:v>Не проверено</x:v>
      </x:c>
      <x:c r="AE476" s="17" t="str">
        <x:v>Не проверено</x:v>
      </x:c>
      <x:c r="AF476" s="17" t="str">
        <x:v>Не проверено</x:v>
      </x:c>
      <x:c r="AG476" s="17" t="str">
        <x:v>Не решено</x:v>
      </x:c>
      <x:c r="AH476" s="17" t="str">
        <x:v>Не проверено</x:v>
      </x:c>
      <x:c r="AI476" s="10" t="str">
        <x:f>IF(AC476="Отклонить","Отклонено",IF(AND(AC476="Взять",COUNTIFS(AD476:AH476,"Да")=5),"Готово","Нужна редактура"))</x:f>
        <x:v>Нужна редактура</x:v>
      </x:c>
      <x:c r="AJ476" s="17" t="str"/>
      <x:c r="AK476" s="9" t="str">
        <x:v>https://www.youtube.com/playlist?list=PLLttfoK87AdWulZEqK6zPZRdCmvP1SE6c</x:v>
      </x:c>
      <x:c r="AL476" s="9" t="n">
        <x:v>12</x:v>
      </x:c>
      <x:c r="AM476" s="9"/>
      <x:c r="AN476" s="9" t="n">
        <x:v>0</x:v>
      </x:c>
    </x:row>
    <x:row r="477" ht="60" customHeight="1">
      <x:c r="A477" s="9" t="str">
        <x:v>HCcTG6hdVVA</x:v>
      </x:c>
      <x:c r="B477" s="10" t="str">
        <x:v>העברים  | "איבד פוגל את פוגל" - דוד פוגל | כאן דוקו</x:v>
      </x:c>
      <x:c r="C477" s="10" t="str">
        <x:v>Литература и язык</x:v>
      </x:c>
      <x:c r="D477" s="9" t="str">
        <x:v>История</x:v>
      </x:c>
      <x:c r="E477" s="10" t="str">
        <x:v>Книги; история языка; продвинутые</x:v>
      </x:c>
      <x:c r="F477" s="10" t="str">
        <x:v>B2–C1 (гипотеза)</x:v>
      </x:c>
      <x:c r="G477" s="12" t="n">
        <x:v>49.6</x:v>
      </x:c>
      <x:c r="H477" s="14" t="n">
        <x:v>20000</x:v>
      </x:c>
      <x:c r="I477" s="15" t="str">
        <x:v>Округлённый счётчик в списке YouTube</x:v>
      </x:c>
      <x:c r="J477" s="14" t="n">
        <x:v>20000</x:v>
      </x:c>
      <x:c r="K477" s="14" t="n">
        <x:v>35000</x:v>
      </x:c>
      <x:c r="L477" s="12" t="n">
        <x:f>IF(COUNT(J477:K477)=2,IF(K477=0,"",J477/K477),"")</x:f>
        <x:v>0.5714285714285714</x:v>
      </x:c>
      <x:c r="M477" s="10" t="str">
        <x:v>Тема: העברים  | "איבד פוגל את פוגל" - דוד פוגל | כאן דוקו. Биографии писателей дают контекст современной еврейской культуры и литературного иврита.</x:v>
      </x:c>
      <x:c r="N477" s="10" t="str">
        <x:v>Выбрать биографический фрагмент; составить временную линию автора.</x:v>
      </x:c>
      <x:c r="O477" s="10" t="str">
        <x:v>Проверить содержание</x:v>
      </x:c>
      <x:c r="P477" s="10" t="str">
        <x:v>Самостоятельное видео</x:v>
      </x:c>
      <x:c r="Q477" s="9" t="str">
        <x:v>Нет</x:v>
      </x:c>
      <x:c r="R477" s="9" t="str">
        <x:v>C028</x:v>
      </x:c>
      <x:c r="S477" s="9" t="str">
        <x:v>C028</x:v>
      </x:c>
      <x:c r="T477" s="10" t="str">
        <x:v>כאן 11 - תאגיד השידור הישראלי</x:v>
      </x:c>
      <x:c r="U477" s="11" t="str">
        <x:v>https://www.youtube.com/watch?v=HCcTG6hdVVA</x:v>
      </x:c>
      <x:c r="V477" s="16" t="n">
        <x:v>46308</x:v>
      </x:c>
      <x:c r="W477" s="16"/>
      <x:c r="X477" s="10" t="str">
        <x:v>Иврит предполагается по заголовку и источнику</x:v>
      </x:c>
      <x:c r="Y477" s="10" t="str">
        <x:v>Не проверено</x:v>
      </x:c>
      <x:c r="Z477" s="10" t="str">
        <x:v>Не проверено</x:v>
      </x:c>
      <x:c r="AA477" s="10" t="str">
        <x:v>Метаданные списка; видео не просмотрено</x:v>
      </x:c>
      <x:c r="AB477" s="13" t="str">
        <x:f>IF(AND(ISNUMBER(H477),ISNUMBER(W477)),H477/MAX(1,'Обзор'!$B$4-W477),"")</x:f>
      </x:c>
      <x:c r="AC477" s="17" t="str">
        <x:v>Не решено</x:v>
      </x:c>
      <x:c r="AD477" s="17" t="str">
        <x:v>Не проверено</x:v>
      </x:c>
      <x:c r="AE477" s="17" t="str">
        <x:v>Не проверено</x:v>
      </x:c>
      <x:c r="AF477" s="17" t="str">
        <x:v>Не проверено</x:v>
      </x:c>
      <x:c r="AG477" s="17" t="str">
        <x:v>Не решено</x:v>
      </x:c>
      <x:c r="AH477" s="17" t="str">
        <x:v>Не проверено</x:v>
      </x:c>
      <x:c r="AI477" s="10" t="str">
        <x:f>IF(AC477="Отклонить","Отклонено",IF(AND(AC477="Взять",COUNTIFS(AD477:AH477,"Да")=5),"Готово","Нужна редактура"))</x:f>
        <x:v>Нужна редактура</x:v>
      </x:c>
      <x:c r="AJ477" s="17" t="str"/>
      <x:c r="AK477" s="9" t="str">
        <x:v>https://www.youtube.com/playlist?list=PLLttfoK87AdWulZEqK6zPZRdCmvP1SE6c</x:v>
      </x:c>
      <x:c r="AL477" s="9" t="n">
        <x:v>13</x:v>
      </x:c>
      <x:c r="AM477" s="9"/>
      <x:c r="AN477" s="9"/>
    </x:row>
    <x:row r="478" ht="60" customHeight="1">
      <x:c r="A478" s="9" t="str">
        <x:v>Wu1I85b_NNY</x:v>
      </x:c>
      <x:c r="B478" s="10" t="str">
        <x:v>העברים | "6 פרקי אבות" - אבות ישורון | כאן דוקו</x:v>
      </x:c>
      <x:c r="C478" s="10" t="str">
        <x:v>Литература и язык</x:v>
      </x:c>
      <x:c r="D478" s="9" t="str">
        <x:v>История</x:v>
      </x:c>
      <x:c r="E478" s="10" t="str">
        <x:v>Книги; история языка; продвинутые</x:v>
      </x:c>
      <x:c r="F478" s="10" t="str">
        <x:v>B2–C1 (гипотеза)</x:v>
      </x:c>
      <x:c r="G478" s="12" t="n">
        <x:v>54.6</x:v>
      </x:c>
      <x:c r="H478" s="14" t="n">
        <x:v>34622</x:v>
      </x:c>
      <x:c r="I478" s="15" t="str">
        <x:v>Точный счётчик метаданных видео</x:v>
      </x:c>
      <x:c r="J478" s="14" t="n">
        <x:v>34000</x:v>
      </x:c>
      <x:c r="K478" s="14" t="n">
        <x:v>35000</x:v>
      </x:c>
      <x:c r="L478" s="12" t="n">
        <x:f>IF(COUNT(J478:K478)=2,IF(K478=0,"",J478/K478),"")</x:f>
        <x:v>0.9714285714285714</x:v>
      </x:c>
      <x:c r="M478" s="10" t="str">
        <x:v>Тема: העברים | "6 פרקי אבות" - אבות ישורון | כאן דוקו. Биографии писателей дают контекст современной еврейской культуры и литературного иврита.</x:v>
      </x:c>
      <x:c r="N478" s="10" t="str">
        <x:v>Выбрать биографический фрагмент; составить временную линию автора.</x:v>
      </x:c>
      <x:c r="O478" s="10" t="str">
        <x:v>Проверить содержание</x:v>
      </x:c>
      <x:c r="P478" s="10" t="str">
        <x:v>Самостоятельное видео</x:v>
      </x:c>
      <x:c r="Q478" s="9" t="str">
        <x:v>Нет</x:v>
      </x:c>
      <x:c r="R478" s="9" t="str">
        <x:v>C028</x:v>
      </x:c>
      <x:c r="S478" s="9" t="str">
        <x:v>C028</x:v>
      </x:c>
      <x:c r="T478" s="10" t="str">
        <x:v>כאן 11 - תאגיד השידור הישראלי</x:v>
      </x:c>
      <x:c r="U478" s="11" t="str">
        <x:v>https://www.youtube.com/watch?v=Wu1I85b_NNY</x:v>
      </x:c>
      <x:c r="V478" s="16" t="n">
        <x:v>46308</x:v>
      </x:c>
      <x:c r="W478" s="16" t="n">
        <x:v>43406</x:v>
      </x:c>
      <x:c r="X478" s="10" t="str">
        <x:v>Иврит предполагается по заголовку и источнику</x:v>
      </x:c>
      <x:c r="Y478" s="10" t="str">
        <x:v>Дорожка HE не найдена в метаданных; вшитые титры не проверены</x:v>
      </x:c>
      <x:c r="Z478" s="10" t="str">
        <x:v>Разрешено по метаданным</x:v>
      </x:c>
      <x:c r="AA478" s="10" t="str">
        <x:v>Метаданные видео; воспроизведение и содержание не проверены</x:v>
      </x:c>
      <x:c r="AB478" s="13" t="n">
        <x:f>IF(AND(ISNUMBER(H478),ISNUMBER(W478)),H478/MAX(1,'Обзор'!$B$4-W478),"")</x:f>
        <x:v>11.93039283252929</x:v>
      </x:c>
      <x:c r="AC478" s="17" t="str">
        <x:v>Не решено</x:v>
      </x:c>
      <x:c r="AD478" s="17" t="str">
        <x:v>Не проверено</x:v>
      </x:c>
      <x:c r="AE478" s="17" t="str">
        <x:v>Не проверено</x:v>
      </x:c>
      <x:c r="AF478" s="17" t="str">
        <x:v>Не проверено</x:v>
      </x:c>
      <x:c r="AG478" s="17" t="str">
        <x:v>Не решено</x:v>
      </x:c>
      <x:c r="AH478" s="17" t="str">
        <x:v>Не проверено</x:v>
      </x:c>
      <x:c r="AI478" s="10" t="str">
        <x:f>IF(AC478="Отклонить","Отклонено",IF(AND(AC478="Взять",COUNTIFS(AD478:AH478,"Да")=5),"Готово","Нужна редактура"))</x:f>
        <x:v>Нужна редактура</x:v>
      </x:c>
      <x:c r="AJ478" s="17" t="str"/>
      <x:c r="AK478" s="9" t="str">
        <x:v>https://www.youtube.com/playlist?list=PLLttfoK87AdWulZEqK6zPZRdCmvP1SE6c</x:v>
      </x:c>
      <x:c r="AL478" s="9" t="n">
        <x:v>14</x:v>
      </x:c>
      <x:c r="AM478" s="9"/>
      <x:c r="AN478" s="9" t="n">
        <x:v>0</x:v>
      </x:c>
    </x:row>
    <x:row r="479" ht="60" customHeight="1">
      <x:c r="A479" s="9" t="str">
        <x:v>v1AxvCDUcjU</x:v>
      </x:c>
      <x:c r="B479" s="10" t="str">
        <x:v>המנדט - הימים בהם שלטו הבריטים בארץ ישראל | פרק 1 - קונפליקט צריך זירה</x:v>
      </x:c>
      <x:c r="C479" s="10" t="str">
        <x:v>История Израиля</x:v>
      </x:c>
      <x:c r="D479" s="9" t="str">
        <x:v>История</x:v>
      </x:c>
      <x:c r="E479" s="10" t="str">
        <x:v>История; общество; взрослые</x:v>
      </x:c>
      <x:c r="F479" s="10" t="str">
        <x:v>B2–C1 (гипотеза)</x:v>
      </x:c>
      <x:c r="G479" s="12" t="n">
        <x:v>55.4</x:v>
      </x:c>
      <x:c r="H479" s="14" t="n">
        <x:v>489536</x:v>
      </x:c>
      <x:c r="I479" s="15" t="str">
        <x:v>Точный счётчик метаданных видео</x:v>
      </x:c>
      <x:c r="J479" s="14" t="n">
        <x:v>489000</x:v>
      </x:c>
      <x:c r="K479" s="14"/>
      <x:c r="L479" s="12" t="str">
        <x:f>IF(COUNT(J479:K479)=2,IF(K479=0,"",J479/K479),"")</x:f>
      </x:c>
      <x:c r="M479" s="10" t="str">
        <x:v>Тема: המנדט - הימים בהם שלטו הבריטים בארץ ישראל | פרק 1 - קונפליקט צריך זירה. Связный документальный цикл помогает понять британский период и предпосылки создания государства.</x:v>
      </x:c>
      <x:c r="N479" s="10" t="str">
        <x:v>Построить временную линию; разделить архивное свидетельство и комментарий.</x:v>
      </x:c>
      <x:c r="O479" s="10" t="str">
        <x:v>Конфликтная история; сопоставлять источники</x:v>
      </x:c>
      <x:c r="P479" s="10" t="str">
        <x:v>Самостоятельное видео</x:v>
      </x:c>
      <x:c r="Q479" s="9" t="str">
        <x:v>Нет</x:v>
      </x:c>
      <x:c r="R479" s="9" t="str">
        <x:v>C029</x:v>
      </x:c>
      <x:c r="S479" s="9" t="str">
        <x:v>C029</x:v>
      </x:c>
      <x:c r="T479" s="10" t="str">
        <x:v>כאן 11 - תאגיד השידור הישראלי</x:v>
      </x:c>
      <x:c r="U479" s="11" t="str">
        <x:v>https://www.youtube.com/watch?v=v1AxvCDUcjU</x:v>
      </x:c>
      <x:c r="V479" s="16" t="n">
        <x:v>46308</x:v>
      </x:c>
      <x:c r="W479" s="16" t="n">
        <x:v>44861</x:v>
      </x:c>
      <x:c r="X479" s="10" t="str">
        <x:v>Иврит предполагается по заголовку и источнику</x:v>
      </x:c>
      <x:c r="Y479" s="10" t="str">
        <x:v>Дорожка HE не найдена в метаданных; вшитые титры не проверены</x:v>
      </x:c>
      <x:c r="Z479" s="10" t="str">
        <x:v>Разрешено по метаданным</x:v>
      </x:c>
      <x:c r="AA479" s="10" t="str">
        <x:v>Метаданные видео; воспроизведение и содержание не проверены</x:v>
      </x:c>
      <x:c r="AB479" s="13" t="n">
        <x:f>IF(AND(ISNUMBER(H479),ISNUMBER(W479)),H479/MAX(1,'Обзор'!$B$4-W479),"")</x:f>
        <x:v>338.31098825155493</x:v>
      </x:c>
      <x:c r="AC479" s="17" t="str">
        <x:v>Не решено</x:v>
      </x:c>
      <x:c r="AD479" s="17" t="str">
        <x:v>Не проверено</x:v>
      </x:c>
      <x:c r="AE479" s="17" t="str">
        <x:v>Не проверено</x:v>
      </x:c>
      <x:c r="AF479" s="17" t="str">
        <x:v>Не проверено</x:v>
      </x:c>
      <x:c r="AG479" s="17" t="str">
        <x:v>Не решено</x:v>
      </x:c>
      <x:c r="AH479" s="17" t="str">
        <x:v>Не проверено</x:v>
      </x:c>
      <x:c r="AI479" s="10" t="str">
        <x:f>IF(AC479="Отклонить","Отклонено",IF(AND(AC479="Взять",COUNTIFS(AD479:AH479,"Да")=5),"Готово","Нужна редактура"))</x:f>
        <x:v>Нужна редактура</x:v>
      </x:c>
      <x:c r="AJ479" s="17" t="str"/>
      <x:c r="AK479" s="9" t="str">
        <x:v>https://www.youtube.com/playlist?list=PLLttfoK87AdVBpeDp7yqT5ZmA4ve9WxGK</x:v>
      </x:c>
      <x:c r="AL479" s="9" t="n">
        <x:v>1</x:v>
      </x:c>
      <x:c r="AM479" s="9" t="n">
        <x:v>1</x:v>
      </x:c>
      <x:c r="AN479" s="9" t="n">
        <x:v>0</x:v>
      </x:c>
    </x:row>
    <x:row r="480" ht="60" customHeight="1">
      <x:c r="A480" s="9" t="str">
        <x:v>HkBtr_KKGWY</x:v>
      </x:c>
      <x:c r="B480" s="10" t="str">
        <x:v>המנדט - הימים בהם שלטו הבריטים בארץ ישראל | פרק 2 - משכנים לאויבים</x:v>
      </x:c>
      <x:c r="C480" s="10" t="str">
        <x:v>История Израиля</x:v>
      </x:c>
      <x:c r="D480" s="9" t="str">
        <x:v>История</x:v>
      </x:c>
      <x:c r="E480" s="10" t="str">
        <x:v>История; общество; взрослые</x:v>
      </x:c>
      <x:c r="F480" s="10" t="str">
        <x:v>B2–C1 (гипотеза)</x:v>
      </x:c>
      <x:c r="G480" s="12" t="n">
        <x:v>55.6</x:v>
      </x:c>
      <x:c r="H480" s="14" t="n">
        <x:v>254119</x:v>
      </x:c>
      <x:c r="I480" s="15" t="str">
        <x:v>Точный счётчик метаданных видео</x:v>
      </x:c>
      <x:c r="J480" s="14" t="n">
        <x:v>254000</x:v>
      </x:c>
      <x:c r="K480" s="14"/>
      <x:c r="L480" s="12" t="str">
        <x:f>IF(COUNT(J480:K480)=2,IF(K480=0,"",J480/K480),"")</x:f>
      </x:c>
      <x:c r="M480" s="10" t="str">
        <x:v>Тема: המנדט - הימים בהם שלטו הבריטים בארץ ישראל | פרק 2 - משכנים לאויבים. Связный документальный цикл помогает понять британский период и предпосылки создания государства.</x:v>
      </x:c>
      <x:c r="N480" s="10" t="str">
        <x:v>Построить временную линию; разделить архивное свидетельство и комментарий.</x:v>
      </x:c>
      <x:c r="O480" s="10" t="str">
        <x:v>Конфликтная история; сопоставлять источники</x:v>
      </x:c>
      <x:c r="P480" s="10" t="str">
        <x:v>Самостоятельное видео</x:v>
      </x:c>
      <x:c r="Q480" s="9" t="str">
        <x:v>Нет</x:v>
      </x:c>
      <x:c r="R480" s="9" t="str">
        <x:v>C029</x:v>
      </x:c>
      <x:c r="S480" s="9" t="str">
        <x:v>C029</x:v>
      </x:c>
      <x:c r="T480" s="10" t="str">
        <x:v>כאן 11 - תאגיד השידור הישראלי</x:v>
      </x:c>
      <x:c r="U480" s="11" t="str">
        <x:v>https://www.youtube.com/watch?v=HkBtr_KKGWY</x:v>
      </x:c>
      <x:c r="V480" s="16" t="n">
        <x:v>46308</x:v>
      </x:c>
      <x:c r="W480" s="16" t="n">
        <x:v>44868</x:v>
      </x:c>
      <x:c r="X480" s="10" t="str">
        <x:v>iw</x:v>
      </x:c>
      <x:c r="Y480" s="10" t="str">
        <x:v>Автоматическая дорожка HE по метаданным</x:v>
      </x:c>
      <x:c r="Z480" s="10" t="str">
        <x:v>Разрешено по метаданным</x:v>
      </x:c>
      <x:c r="AA480" s="10" t="str">
        <x:v>Метаданные видео; воспроизведение и содержание не проверены</x:v>
      </x:c>
      <x:c r="AB480" s="13" t="n">
        <x:f>IF(AND(ISNUMBER(H480),ISNUMBER(W480)),H480/MAX(1,'Обзор'!$B$4-W480),"")</x:f>
        <x:v>176.47152777777777</x:v>
      </x:c>
      <x:c r="AC480" s="17" t="str">
        <x:v>Не решено</x:v>
      </x:c>
      <x:c r="AD480" s="17" t="str">
        <x:v>Не проверено</x:v>
      </x:c>
      <x:c r="AE480" s="17" t="str">
        <x:v>Не проверено</x:v>
      </x:c>
      <x:c r="AF480" s="17" t="str">
        <x:v>Не проверено</x:v>
      </x:c>
      <x:c r="AG480" s="17" t="str">
        <x:v>Не решено</x:v>
      </x:c>
      <x:c r="AH480" s="17" t="str">
        <x:v>Не проверено</x:v>
      </x:c>
      <x:c r="AI480" s="10" t="str">
        <x:f>IF(AC480="Отклонить","Отклонено",IF(AND(AC480="Взять",COUNTIFS(AD480:AH480,"Да")=5),"Готово","Нужна редактура"))</x:f>
        <x:v>Нужна редактура</x:v>
      </x:c>
      <x:c r="AJ480" s="17" t="str"/>
      <x:c r="AK480" s="9" t="str">
        <x:v>https://www.youtube.com/playlist?list=PLLttfoK87AdVBpeDp7yqT5ZmA4ve9WxGK</x:v>
      </x:c>
      <x:c r="AL480" s="9" t="n">
        <x:v>2</x:v>
      </x:c>
      <x:c r="AM480" s="9" t="n">
        <x:v>2</x:v>
      </x:c>
      <x:c r="AN480" s="9" t="n">
        <x:v>0</x:v>
      </x:c>
    </x:row>
    <x:row r="481" ht="60" customHeight="1">
      <x:c r="A481" s="9" t="str">
        <x:v>ntyg4dEoDek</x:v>
      </x:c>
      <x:c r="B481" s="10" t="str">
        <x:v>המנדט - הימים בהם שלטו הבריטים בארץ ישראל | פרק 3 - אימפריות נופלות</x:v>
      </x:c>
      <x:c r="C481" s="10" t="str">
        <x:v>История Израиля</x:v>
      </x:c>
      <x:c r="D481" s="9" t="str">
        <x:v>История</x:v>
      </x:c>
      <x:c r="E481" s="10" t="str">
        <x:v>История; общество; взрослые</x:v>
      </x:c>
      <x:c r="F481" s="10" t="str">
        <x:v>B2–C1 (гипотеза)</x:v>
      </x:c>
      <x:c r="G481" s="12" t="n">
        <x:v>55.2</x:v>
      </x:c>
      <x:c r="H481" s="14" t="n">
        <x:v>286231</x:v>
      </x:c>
      <x:c r="I481" s="15" t="str">
        <x:v>Точный счётчик метаданных видео</x:v>
      </x:c>
      <x:c r="J481" s="14" t="n">
        <x:v>286000</x:v>
      </x:c>
      <x:c r="K481" s="14"/>
      <x:c r="L481" s="12" t="str">
        <x:f>IF(COUNT(J481:K481)=2,IF(K481=0,"",J481/K481),"")</x:f>
      </x:c>
      <x:c r="M481" s="10" t="str">
        <x:v>Тема: המנדט - הימים בהם שלטו הבריטים בארץ ישראל | פרק 3 - אימפריות נופלות. Связный документальный цикл помогает понять британский период и предпосылки создания государства.</x:v>
      </x:c>
      <x:c r="N481" s="10" t="str">
        <x:v>Построить временную линию; разделить архивное свидетельство и комментарий.</x:v>
      </x:c>
      <x:c r="O481" s="10" t="str">
        <x:v>Конфликтная история; сопоставлять источники</x:v>
      </x:c>
      <x:c r="P481" s="10" t="str">
        <x:v>Самостоятельное видео</x:v>
      </x:c>
      <x:c r="Q481" s="9" t="str">
        <x:v>Нет</x:v>
      </x:c>
      <x:c r="R481" s="9" t="str">
        <x:v>C029</x:v>
      </x:c>
      <x:c r="S481" s="9" t="str">
        <x:v>C029</x:v>
      </x:c>
      <x:c r="T481" s="10" t="str">
        <x:v>כאן 11 - תאגיד השידור הישראלי</x:v>
      </x:c>
      <x:c r="U481" s="11" t="str">
        <x:v>https://www.youtube.com/watch?v=ntyg4dEoDek</x:v>
      </x:c>
      <x:c r="V481" s="16" t="n">
        <x:v>46308</x:v>
      </x:c>
      <x:c r="W481" s="16" t="n">
        <x:v>44875</x:v>
      </x:c>
      <x:c r="X481" s="10" t="str">
        <x:v>Иврит предполагается по заголовку и источнику</x:v>
      </x:c>
      <x:c r="Y481" s="10" t="str">
        <x:v>Дорожка HE не найдена в метаданных; вшитые титры не проверены</x:v>
      </x:c>
      <x:c r="Z481" s="10" t="str">
        <x:v>Разрешено по метаданным</x:v>
      </x:c>
      <x:c r="AA481" s="10" t="str">
        <x:v>Метаданные видео; воспроизведение и содержание не проверены</x:v>
      </x:c>
      <x:c r="AB481" s="13" t="n">
        <x:f>IF(AND(ISNUMBER(H481),ISNUMBER(W481)),H481/MAX(1,'Обзор'!$B$4-W481),"")</x:f>
        <x:v>199.74249825540824</x:v>
      </x:c>
      <x:c r="AC481" s="17" t="str">
        <x:v>Не решено</x:v>
      </x:c>
      <x:c r="AD481" s="17" t="str">
        <x:v>Не проверено</x:v>
      </x:c>
      <x:c r="AE481" s="17" t="str">
        <x:v>Не проверено</x:v>
      </x:c>
      <x:c r="AF481" s="17" t="str">
        <x:v>Не проверено</x:v>
      </x:c>
      <x:c r="AG481" s="17" t="str">
        <x:v>Не решено</x:v>
      </x:c>
      <x:c r="AH481" s="17" t="str">
        <x:v>Не проверено</x:v>
      </x:c>
      <x:c r="AI481" s="10" t="str">
        <x:f>IF(AC481="Отклонить","Отклонено",IF(AND(AC481="Взять",COUNTIFS(AD481:AH481,"Да")=5),"Готово","Нужна редактура"))</x:f>
        <x:v>Нужна редактура</x:v>
      </x:c>
      <x:c r="AJ481" s="17" t="str"/>
      <x:c r="AK481" s="9" t="str">
        <x:v>https://www.youtube.com/playlist?list=PLLttfoK87AdVBpeDp7yqT5ZmA4ve9WxGK</x:v>
      </x:c>
      <x:c r="AL481" s="9" t="n">
        <x:v>3</x:v>
      </x:c>
      <x:c r="AM481" s="9" t="n">
        <x:v>3</x:v>
      </x:c>
      <x:c r="AN481" s="9" t="n">
        <x:v>0</x:v>
      </x:c>
    </x:row>
    <x:row r="482" ht="60" customHeight="1">
      <x:c r="A482" s="9" t="str">
        <x:v>GEKDVb8iJlU</x:v>
      </x:c>
      <x:c r="B482" s="10" t="str">
        <x:v>משדר מיוחד- אחרי המנדט</x:v>
      </x:c>
      <x:c r="C482" s="10" t="str">
        <x:v>История Израиля</x:v>
      </x:c>
      <x:c r="D482" s="9" t="str">
        <x:v>История</x:v>
      </x:c>
      <x:c r="E482" s="10" t="str">
        <x:v>История; общество; взрослые</x:v>
      </x:c>
      <x:c r="F482" s="10" t="str">
        <x:v>B2–C1 (гипотеза)</x:v>
      </x:c>
      <x:c r="G482" s="12" t="n">
        <x:v>29.9</x:v>
      </x:c>
      <x:c r="H482" s="14" t="n">
        <x:v>45996</x:v>
      </x:c>
      <x:c r="I482" s="15" t="str">
        <x:v>Точный счётчик метаданных видео</x:v>
      </x:c>
      <x:c r="J482" s="14" t="n">
        <x:v>45000</x:v>
      </x:c>
      <x:c r="K482" s="14"/>
      <x:c r="L482" s="12" t="str">
        <x:f>IF(COUNT(J482:K482)=2,IF(K482=0,"",J482/K482),"")</x:f>
      </x:c>
      <x:c r="M482" s="10" t="str">
        <x:v>Тема: משדר מיוחד- אחרי המנדט. Связный документальный цикл помогает понять британский период и предпосылки создания государства.</x:v>
      </x:c>
      <x:c r="N482" s="10" t="str">
        <x:v>Построить временную линию; разделить архивное свидетельство и комментарий.</x:v>
      </x:c>
      <x:c r="O482" s="10" t="str">
        <x:v>Конфликтная история; сопоставлять источники</x:v>
      </x:c>
      <x:c r="P482" s="10" t="str">
        <x:v>Самостоятельное видео</x:v>
      </x:c>
      <x:c r="Q482" s="9" t="str">
        <x:v>Нет</x:v>
      </x:c>
      <x:c r="R482" s="9" t="str">
        <x:v>C029</x:v>
      </x:c>
      <x:c r="S482" s="9" t="str">
        <x:v>C029</x:v>
      </x:c>
      <x:c r="T482" s="10" t="str">
        <x:v>כאן 11 - תאגיד השידור הישראלי</x:v>
      </x:c>
      <x:c r="U482" s="11" t="str">
        <x:v>https://www.youtube.com/watch?v=GEKDVb8iJlU</x:v>
      </x:c>
      <x:c r="V482" s="16" t="n">
        <x:v>46308</x:v>
      </x:c>
      <x:c r="W482" s="16" t="n">
        <x:v>44868</x:v>
      </x:c>
      <x:c r="X482" s="10" t="str">
        <x:v>Иврит предполагается по заголовку и источнику</x:v>
      </x:c>
      <x:c r="Y482" s="10" t="str">
        <x:v>Дорожка HE не найдена в метаданных; вшитые титры не проверены</x:v>
      </x:c>
      <x:c r="Z482" s="10" t="str">
        <x:v>Разрешено по метаданным</x:v>
      </x:c>
      <x:c r="AA482" s="10" t="str">
        <x:v>Метаданные видео; воспроизведение и содержание не проверены</x:v>
      </x:c>
      <x:c r="AB482" s="13" t="n">
        <x:f>IF(AND(ISNUMBER(H482),ISNUMBER(W482)),H482/MAX(1,'Обзор'!$B$4-W482),"")</x:f>
        <x:v>31.941666666666666</x:v>
      </x:c>
      <x:c r="AC482" s="17" t="str">
        <x:v>Не решено</x:v>
      </x:c>
      <x:c r="AD482" s="17" t="str">
        <x:v>Не проверено</x:v>
      </x:c>
      <x:c r="AE482" s="17" t="str">
        <x:v>Не проверено</x:v>
      </x:c>
      <x:c r="AF482" s="17" t="str">
        <x:v>Не проверено</x:v>
      </x:c>
      <x:c r="AG482" s="17" t="str">
        <x:v>Не решено</x:v>
      </x:c>
      <x:c r="AH482" s="17" t="str">
        <x:v>Не проверено</x:v>
      </x:c>
      <x:c r="AI482" s="10" t="str">
        <x:f>IF(AC482="Отклонить","Отклонено",IF(AND(AC482="Взять",COUNTIFS(AD482:AH482,"Да")=5),"Готово","Нужна редактура"))</x:f>
        <x:v>Нужна редактура</x:v>
      </x:c>
      <x:c r="AJ482" s="17" t="str"/>
      <x:c r="AK482" s="9" t="str">
        <x:v>https://www.youtube.com/playlist?list=PLLttfoK87AdVBpeDp7yqT5ZmA4ve9WxGK</x:v>
      </x:c>
      <x:c r="AL482" s="9" t="n">
        <x:v>4</x:v>
      </x:c>
      <x:c r="AM482" s="9"/>
      <x:c r="AN482" s="9" t="n">
        <x:v>0</x:v>
      </x:c>
    </x:row>
    <x:row r="483" ht="60" customHeight="1">
      <x:c r="A483" s="9" t="str">
        <x:v>vLSatMevkro</x:v>
      </x:c>
      <x:c r="B483" s="10" t="str">
        <x:v>1948 - לזכור ולשכוח | חלק א' - לזכור</x:v>
      </x:c>
      <x:c r="C483" s="10" t="str">
        <x:v>История Израиля</x:v>
      </x:c>
      <x:c r="D483" s="9" t="str">
        <x:v>История</x:v>
      </x:c>
      <x:c r="E483" s="10" t="str">
        <x:v>История; память; взрослые</x:v>
      </x:c>
      <x:c r="F483" s="10" t="str">
        <x:v>B2–C1 (гипотеза)</x:v>
      </x:c>
      <x:c r="G483" s="12" t="n">
        <x:v>74.7</x:v>
      </x:c>
      <x:c r="H483" s="14" t="n">
        <x:v>51560</x:v>
      </x:c>
      <x:c r="I483" s="15" t="str">
        <x:v>Точный счётчик метаданных видео</x:v>
      </x:c>
      <x:c r="J483" s="14" t="n">
        <x:v>51000</x:v>
      </x:c>
      <x:c r="K483" s="14"/>
      <x:c r="L483" s="12" t="str">
        <x:f>IF(COUNT(J483:K483)=2,IF(K483=0,"",J483/K483),"")</x:f>
      </x:c>
      <x:c r="M483" s="10" t="str">
        <x:v>Тема: 1948 - לזכור ולשכוח | חלק א' - לזכור. Два документальных выпуска дают опорный исторический блок для дальнейших тем.</x:v>
      </x:c>
      <x:c r="N483" s="10" t="str">
        <x:v>Сравнить память участников и историческое объяснение; ввести 10 терминов.</x:v>
      </x:c>
      <x:c r="O483" s="10" t="str">
        <x:v>Война и конфликтная память</x:v>
      </x:c>
      <x:c r="P483" s="10" t="str">
        <x:v>Самостоятельное видео</x:v>
      </x:c>
      <x:c r="Q483" s="9" t="str">
        <x:v>Нет</x:v>
      </x:c>
      <x:c r="R483" s="9" t="str">
        <x:v>C030</x:v>
      </x:c>
      <x:c r="S483" s="9" t="str">
        <x:v>C030</x:v>
      </x:c>
      <x:c r="T483" s="10" t="str">
        <x:v>כאן 11 - תאגיד השידור הישראלי</x:v>
      </x:c>
      <x:c r="U483" s="11" t="str">
        <x:v>https://www.youtube.com/watch?v=vLSatMevkro</x:v>
      </x:c>
      <x:c r="V483" s="16" t="n">
        <x:v>46308</x:v>
      </x:c>
      <x:c r="W483" s="16" t="n">
        <x:v>45906</x:v>
      </x:c>
      <x:c r="X483" s="10" t="str">
        <x:v>Иврит предполагается по заголовку и источнику</x:v>
      </x:c>
      <x:c r="Y483" s="10" t="str">
        <x:v>Автоматическая дорожка HE по метаданным</x:v>
      </x:c>
      <x:c r="Z483" s="10" t="str">
        <x:v>Разрешено по метаданным</x:v>
      </x:c>
      <x:c r="AA483" s="10" t="str">
        <x:v>Метаданные видео; воспроизведение и содержание не проверены</x:v>
      </x:c>
      <x:c r="AB483" s="13" t="n">
        <x:f>IF(AND(ISNUMBER(H483),ISNUMBER(W483)),H483/MAX(1,'Обзор'!$B$4-W483),"")</x:f>
        <x:v>128.25870646766168</x:v>
      </x:c>
      <x:c r="AC483" s="17" t="str">
        <x:v>Не решено</x:v>
      </x:c>
      <x:c r="AD483" s="17" t="str">
        <x:v>Не проверено</x:v>
      </x:c>
      <x:c r="AE483" s="17" t="str">
        <x:v>Не проверено</x:v>
      </x:c>
      <x:c r="AF483" s="17" t="str">
        <x:v>Не проверено</x:v>
      </x:c>
      <x:c r="AG483" s="17" t="str">
        <x:v>Не решено</x:v>
      </x:c>
      <x:c r="AH483" s="17" t="str">
        <x:v>Не проверено</x:v>
      </x:c>
      <x:c r="AI483" s="10" t="str">
        <x:f>IF(AC483="Отклонить","Отклонено",IF(AND(AC483="Взять",COUNTIFS(AD483:AH483,"Да")=5),"Готово","Нужна редактура"))</x:f>
        <x:v>Нужна редактура</x:v>
      </x:c>
      <x:c r="AJ483" s="17" t="str"/>
      <x:c r="AK483" s="9" t="str">
        <x:v>https://www.youtube.com/playlist?list=PLLttfoK87AdVr6MXMZa3t9q5UrUyfrFee</x:v>
      </x:c>
      <x:c r="AL483" s="9" t="n">
        <x:v>1</x:v>
      </x:c>
      <x:c r="AM483" s="9"/>
      <x:c r="AN483" s="9" t="n">
        <x:v>0</x:v>
      </x:c>
    </x:row>
    <x:row r="484" ht="60" customHeight="1">
      <x:c r="A484" s="9" t="str">
        <x:v>CjZEnXj6WNI</x:v>
      </x:c>
      <x:c r="B484" s="10" t="str">
        <x:v>1948 - לזכור ולשכוח | חלק ב' - לשכוח</x:v>
      </x:c>
      <x:c r="C484" s="10" t="str">
        <x:v>История Израиля</x:v>
      </x:c>
      <x:c r="D484" s="9" t="str">
        <x:v>История</x:v>
      </x:c>
      <x:c r="E484" s="10" t="str">
        <x:v>История; память; взрослые</x:v>
      </x:c>
      <x:c r="F484" s="10" t="str">
        <x:v>B2–C1 (гипотеза)</x:v>
      </x:c>
      <x:c r="G484" s="12" t="n">
        <x:v>75.7</x:v>
      </x:c>
      <x:c r="H484" s="14" t="n">
        <x:v>23974</x:v>
      </x:c>
      <x:c r="I484" s="15" t="str">
        <x:v>Точный счётчик метаданных видео</x:v>
      </x:c>
      <x:c r="J484" s="14" t="n">
        <x:v>23000</x:v>
      </x:c>
      <x:c r="K484" s="14"/>
      <x:c r="L484" s="12" t="str">
        <x:f>IF(COUNT(J484:K484)=2,IF(K484=0,"",J484/K484),"")</x:f>
      </x:c>
      <x:c r="M484" s="10" t="str">
        <x:v>Тема: 1948 - לזכור ולשכוח | חלק ב' - לשכוח. Два документальных выпуска дают опорный исторический блок для дальнейших тем.</x:v>
      </x:c>
      <x:c r="N484" s="10" t="str">
        <x:v>Сравнить память участников и историческое объяснение; ввести 10 терминов.</x:v>
      </x:c>
      <x:c r="O484" s="10" t="str">
        <x:v>Война и конфликтная память</x:v>
      </x:c>
      <x:c r="P484" s="10" t="str">
        <x:v>Самостоятельное видео</x:v>
      </x:c>
      <x:c r="Q484" s="9" t="str">
        <x:v>Нет</x:v>
      </x:c>
      <x:c r="R484" s="9" t="str">
        <x:v>C030</x:v>
      </x:c>
      <x:c r="S484" s="9" t="str">
        <x:v>C030</x:v>
      </x:c>
      <x:c r="T484" s="10" t="str">
        <x:v>כאן 11 - תאגיד השידור הישראלי</x:v>
      </x:c>
      <x:c r="U484" s="11" t="str">
        <x:v>https://www.youtube.com/watch?v=CjZEnXj6WNI</x:v>
      </x:c>
      <x:c r="V484" s="16" t="n">
        <x:v>46308</x:v>
      </x:c>
      <x:c r="W484" s="16" t="n">
        <x:v>45906</x:v>
      </x:c>
      <x:c r="X484" s="10" t="str">
        <x:v>iw</x:v>
      </x:c>
      <x:c r="Y484" s="10" t="str">
        <x:v>Автоматическая дорожка HE по метаданным</x:v>
      </x:c>
      <x:c r="Z484" s="10" t="str">
        <x:v>Разрешено по метаданным</x:v>
      </x:c>
      <x:c r="AA484" s="10" t="str">
        <x:v>Метаданные видео; воспроизведение и содержание не проверены</x:v>
      </x:c>
      <x:c r="AB484" s="13" t="n">
        <x:f>IF(AND(ISNUMBER(H484),ISNUMBER(W484)),H484/MAX(1,'Обзор'!$B$4-W484),"")</x:f>
        <x:v>59.63681592039801</x:v>
      </x:c>
      <x:c r="AC484" s="17" t="str">
        <x:v>Не решено</x:v>
      </x:c>
      <x:c r="AD484" s="17" t="str">
        <x:v>Не проверено</x:v>
      </x:c>
      <x:c r="AE484" s="17" t="str">
        <x:v>Не проверено</x:v>
      </x:c>
      <x:c r="AF484" s="17" t="str">
        <x:v>Не проверено</x:v>
      </x:c>
      <x:c r="AG484" s="17" t="str">
        <x:v>Не решено</x:v>
      </x:c>
      <x:c r="AH484" s="17" t="str">
        <x:v>Не проверено</x:v>
      </x:c>
      <x:c r="AI484" s="10" t="str">
        <x:f>IF(AC484="Отклонить","Отклонено",IF(AND(AC484="Взять",COUNTIFS(AD484:AH484,"Да")=5),"Готово","Нужна редактура"))</x:f>
        <x:v>Нужна редактура</x:v>
      </x:c>
      <x:c r="AJ484" s="17" t="str"/>
      <x:c r="AK484" s="9" t="str">
        <x:v>https://www.youtube.com/playlist?list=PLLttfoK87AdVr6MXMZa3t9q5UrUyfrFee</x:v>
      </x:c>
      <x:c r="AL484" s="9" t="n">
        <x:v>2</x:v>
      </x:c>
      <x:c r="AM484" s="9"/>
      <x:c r="AN484" s="9" t="n">
        <x:v>0</x:v>
      </x:c>
    </x:row>
    <x:row r="485" ht="60" customHeight="1">
      <x:c r="A485" s="9" t="str">
        <x:v>X3NtoR8EtY0</x:v>
      </x:c>
      <x:c r="B485" s="10" t="str">
        <x:v>והארץ הייתה תוהו ובוהו - תולדות ארץ ישראל | פרק 1: שחר האדם [HD]</x:v>
      </x:c>
      <x:c r="C485" s="10" t="str">
        <x:v>Древняя история</x:v>
      </x:c>
      <x:c r="D485" s="9" t="str">
        <x:v>История</x:v>
      </x:c>
      <x:c r="E485" s="10" t="str">
        <x:v>История; археология; культура</x:v>
      </x:c>
      <x:c r="F485" s="10" t="str">
        <x:v>B2–C1 (гипотеза)</x:v>
      </x:c>
      <x:c r="G485" s="12" t="n">
        <x:v>55.5</x:v>
      </x:c>
      <x:c r="H485" s="14" t="n">
        <x:v>57348</x:v>
      </x:c>
      <x:c r="I485" s="15" t="str">
        <x:v>Точный счётчик метаданных видео</x:v>
      </x:c>
      <x:c r="J485" s="14" t="n">
        <x:v>57000</x:v>
      </x:c>
      <x:c r="K485" s="14" t="n">
        <x:v>44000</x:v>
      </x:c>
      <x:c r="L485" s="12" t="n">
        <x:f>IF(COUNT(J485:K485)=2,IF(K485=0,"",J485/K485),"")</x:f>
        <x:v>1.2954545454545454</x:v>
      </x:c>
      <x:c r="M485" s="10" t="str">
        <x:v>Тема: והארץ הייתה תוהו ובוהו - תולדות ארץ ישראל | פרק 1: שחר האדם [HD]. Цикл расширяет фокус от современной политики до многовековой истории страны. Визуальные материалы поддерживают понимание.</x:v>
      </x:c>
      <x:c r="N485" s="10" t="str">
        <x:v>Составить хронологию и карту терминов; отделить археологическое свидетельство от гипотезы.</x:v>
      </x:c>
      <x:c r="O485" s="10" t="str">
        <x:v>Проверить содержание</x:v>
      </x:c>
      <x:c r="P485" s="10" t="str">
        <x:v>Самостоятельное видео</x:v>
      </x:c>
      <x:c r="Q485" s="9" t="str">
        <x:v>Нет</x:v>
      </x:c>
      <x:c r="R485" s="9" t="str">
        <x:v>C031</x:v>
      </x:c>
      <x:c r="S485" s="9" t="str">
        <x:v>C031</x:v>
      </x:c>
      <x:c r="T485" s="10" t="str">
        <x:v>כאן 11 - תאגיד השידור הישראלי</x:v>
      </x:c>
      <x:c r="U485" s="11" t="str">
        <x:v>https://www.youtube.com/watch?v=X3NtoR8EtY0</x:v>
      </x:c>
      <x:c r="V485" s="16" t="n">
        <x:v>46308</x:v>
      </x:c>
      <x:c r="W485" s="16" t="n">
        <x:v>43392</x:v>
      </x:c>
      <x:c r="X485" s="10" t="str">
        <x:v>Иврит предполагается по заголовку и источнику</x:v>
      </x:c>
      <x:c r="Y485" s="10" t="str">
        <x:v>Дорожка HE не найдена в метаданных; вшитые титры не проверены</x:v>
      </x:c>
      <x:c r="Z485" s="10" t="str">
        <x:v>Разрешено по метаданным</x:v>
      </x:c>
      <x:c r="AA485" s="10" t="str">
        <x:v>Метаданные видео; воспроизведение и содержание не проверены</x:v>
      </x:c>
      <x:c r="AB485" s="13" t="n">
        <x:f>IF(AND(ISNUMBER(H485),ISNUMBER(W485)),H485/MAX(1,'Обзор'!$B$4-W485),"")</x:f>
        <x:v>19.666666666666668</x:v>
      </x:c>
      <x:c r="AC485" s="17" t="str">
        <x:v>Не решено</x:v>
      </x:c>
      <x:c r="AD485" s="17" t="str">
        <x:v>Не проверено</x:v>
      </x:c>
      <x:c r="AE485" s="17" t="str">
        <x:v>Не проверено</x:v>
      </x:c>
      <x:c r="AF485" s="17" t="str">
        <x:v>Не проверено</x:v>
      </x:c>
      <x:c r="AG485" s="17" t="str">
        <x:v>Не решено</x:v>
      </x:c>
      <x:c r="AH485" s="17" t="str">
        <x:v>Не проверено</x:v>
      </x:c>
      <x:c r="AI485" s="10" t="str">
        <x:f>IF(AC485="Отклонить","Отклонено",IF(AND(AC485="Взять",COUNTIFS(AD485:AH485,"Да")=5),"Готово","Нужна редактура"))</x:f>
        <x:v>Нужна редактура</x:v>
      </x:c>
      <x:c r="AJ485" s="17" t="str"/>
      <x:c r="AK485" s="9" t="str">
        <x:v>https://www.youtube.com/playlist?list=PLLttfoK87AdUhE_NlEYGOJKSTUu4sZBdM</x:v>
      </x:c>
      <x:c r="AL485" s="9" t="n">
        <x:v>1</x:v>
      </x:c>
      <x:c r="AM485" s="9" t="n">
        <x:v>1</x:v>
      </x:c>
      <x:c r="AN485" s="9" t="n">
        <x:v>0</x:v>
      </x:c>
    </x:row>
    <x:row r="486" ht="60" customHeight="1">
      <x:c r="A486" s="9" t="str">
        <x:v>oMDckZN58Ns</x:v>
      </x:c>
      <x:c r="B486" s="10" t="str">
        <x:v>והארץ הייתה תוהו ובוהו - תולדות ארץ ישראל | פרק 2: שחר האמונה [HD]</x:v>
      </x:c>
      <x:c r="C486" s="10" t="str">
        <x:v>Древняя история</x:v>
      </x:c>
      <x:c r="D486" s="9" t="str">
        <x:v>История</x:v>
      </x:c>
      <x:c r="E486" s="10" t="str">
        <x:v>История; археология; культура</x:v>
      </x:c>
      <x:c r="F486" s="10" t="str">
        <x:v>B2–C1 (гипотеза)</x:v>
      </x:c>
      <x:c r="G486" s="12" t="n">
        <x:v>57.6</x:v>
      </x:c>
      <x:c r="H486" s="14" t="n">
        <x:v>38000</x:v>
      </x:c>
      <x:c r="I486" s="15" t="str">
        <x:v>Округлённый счётчик в списке YouTube</x:v>
      </x:c>
      <x:c r="J486" s="14" t="n">
        <x:v>38000</x:v>
      </x:c>
      <x:c r="K486" s="14" t="n">
        <x:v>44000</x:v>
      </x:c>
      <x:c r="L486" s="12" t="n">
        <x:f>IF(COUNT(J486:K486)=2,IF(K486=0,"",J486/K486),"")</x:f>
        <x:v>0.8636363636363636</x:v>
      </x:c>
      <x:c r="M486" s="10" t="str">
        <x:v>Тема: והארץ הייתה תוהו ובוהו - תולדות ארץ ישראל | פרק 2: שחר האמונה [HD]. Цикл расширяет фокус от современной политики до многовековой истории страны. Визуальные материалы поддерживают понимание.</x:v>
      </x:c>
      <x:c r="N486" s="10" t="str">
        <x:v>Составить хронологию и карту терминов; отделить археологическое свидетельство от гипотезы.</x:v>
      </x:c>
      <x:c r="O486" s="10" t="str">
        <x:v>Проверить содержание</x:v>
      </x:c>
      <x:c r="P486" s="10" t="str">
        <x:v>Самостоятельное видео</x:v>
      </x:c>
      <x:c r="Q486" s="9" t="str">
        <x:v>Нет</x:v>
      </x:c>
      <x:c r="R486" s="9" t="str">
        <x:v>C031</x:v>
      </x:c>
      <x:c r="S486" s="9" t="str">
        <x:v>C031</x:v>
      </x:c>
      <x:c r="T486" s="10" t="str">
        <x:v>כאן 11 - תאגיד השידור הישראלי</x:v>
      </x:c>
      <x:c r="U486" s="11" t="str">
        <x:v>https://www.youtube.com/watch?v=oMDckZN58Ns</x:v>
      </x:c>
      <x:c r="V486" s="16" t="n">
        <x:v>46308</x:v>
      </x:c>
      <x:c r="W486" s="16"/>
      <x:c r="X486" s="10" t="str">
        <x:v>Иврит предполагается по заголовку и источнику</x:v>
      </x:c>
      <x:c r="Y486" s="10" t="str">
        <x:v>Не проверено</x:v>
      </x:c>
      <x:c r="Z486" s="10" t="str">
        <x:v>Не проверено</x:v>
      </x:c>
      <x:c r="AA486" s="10" t="str">
        <x:v>Метаданные списка; видео не просмотрено</x:v>
      </x:c>
      <x:c r="AB486" s="13" t="str">
        <x:f>IF(AND(ISNUMBER(H486),ISNUMBER(W486)),H486/MAX(1,'Обзор'!$B$4-W486),"")</x:f>
      </x:c>
      <x:c r="AC486" s="17" t="str">
        <x:v>Не решено</x:v>
      </x:c>
      <x:c r="AD486" s="17" t="str">
        <x:v>Не проверено</x:v>
      </x:c>
      <x:c r="AE486" s="17" t="str">
        <x:v>Не проверено</x:v>
      </x:c>
      <x:c r="AF486" s="17" t="str">
        <x:v>Не проверено</x:v>
      </x:c>
      <x:c r="AG486" s="17" t="str">
        <x:v>Не решено</x:v>
      </x:c>
      <x:c r="AH486" s="17" t="str">
        <x:v>Не проверено</x:v>
      </x:c>
      <x:c r="AI486" s="10" t="str">
        <x:f>IF(AC486="Отклонить","Отклонено",IF(AND(AC486="Взять",COUNTIFS(AD486:AH486,"Да")=5),"Готово","Нужна редактура"))</x:f>
        <x:v>Нужна редактура</x:v>
      </x:c>
      <x:c r="AJ486" s="17" t="str"/>
      <x:c r="AK486" s="9" t="str">
        <x:v>https://www.youtube.com/playlist?list=PLLttfoK87AdUhE_NlEYGOJKSTUu4sZBdM</x:v>
      </x:c>
      <x:c r="AL486" s="9" t="n">
        <x:v>2</x:v>
      </x:c>
      <x:c r="AM486" s="9" t="n">
        <x:v>2</x:v>
      </x:c>
      <x:c r="AN486" s="9"/>
    </x:row>
    <x:row r="487" ht="60" customHeight="1">
      <x:c r="A487" s="9" t="str">
        <x:v>GBvz7ApxnuI</x:v>
      </x:c>
      <x:c r="B487" s="10" t="str">
        <x:v>והארץ הייתה תוהו ובוהו - תולדות ארץ ישראל | פרק 3: שחר האומה [HD]</x:v>
      </x:c>
      <x:c r="C487" s="10" t="str">
        <x:v>Древняя история</x:v>
      </x:c>
      <x:c r="D487" s="9" t="str">
        <x:v>История</x:v>
      </x:c>
      <x:c r="E487" s="10" t="str">
        <x:v>История; археология; культура</x:v>
      </x:c>
      <x:c r="F487" s="10" t="str">
        <x:v>B2–C1 (гипотеза)</x:v>
      </x:c>
      <x:c r="G487" s="12" t="n">
        <x:v>55.3</x:v>
      </x:c>
      <x:c r="H487" s="14" t="n">
        <x:v>44532</x:v>
      </x:c>
      <x:c r="I487" s="15" t="str">
        <x:v>Точный счётчик метаданных видео</x:v>
      </x:c>
      <x:c r="J487" s="14" t="n">
        <x:v>44000</x:v>
      </x:c>
      <x:c r="K487" s="14" t="n">
        <x:v>44000</x:v>
      </x:c>
      <x:c r="L487" s="12" t="n">
        <x:f>IF(COUNT(J487:K487)=2,IF(K487=0,"",J487/K487),"")</x:f>
        <x:v>1</x:v>
      </x:c>
      <x:c r="M487" s="10" t="str">
        <x:v>Тема: והארץ הייתה תוהו ובוהו - תולדות ארץ ישראל | פרק 3: שחר האומה [HD]. Цикл расширяет фокус от современной политики до многовековой истории страны. Визуальные материалы поддерживают понимание.</x:v>
      </x:c>
      <x:c r="N487" s="10" t="str">
        <x:v>Составить хронологию и карту терминов; отделить археологическое свидетельство от гипотезы.</x:v>
      </x:c>
      <x:c r="O487" s="10" t="str">
        <x:v>Проверить содержание</x:v>
      </x:c>
      <x:c r="P487" s="10" t="str">
        <x:v>Самостоятельное видео</x:v>
      </x:c>
      <x:c r="Q487" s="9" t="str">
        <x:v>Нет</x:v>
      </x:c>
      <x:c r="R487" s="9" t="str">
        <x:v>C031</x:v>
      </x:c>
      <x:c r="S487" s="9" t="str">
        <x:v>C031</x:v>
      </x:c>
      <x:c r="T487" s="10" t="str">
        <x:v>כאן 11 - תאגיד השידור הישראלי</x:v>
      </x:c>
      <x:c r="U487" s="11" t="str">
        <x:v>https://www.youtube.com/watch?v=GBvz7ApxnuI</x:v>
      </x:c>
      <x:c r="V487" s="16" t="n">
        <x:v>46308</x:v>
      </x:c>
      <x:c r="W487" s="16" t="n">
        <x:v>43391</x:v>
      </x:c>
      <x:c r="X487" s="10" t="str">
        <x:v>Иврит предполагается по заголовку и источнику</x:v>
      </x:c>
      <x:c r="Y487" s="10" t="str">
        <x:v>Дорожка HE не найдена в метаданных; вшитые титры не проверены</x:v>
      </x:c>
      <x:c r="Z487" s="10" t="str">
        <x:v>Разрешено по метаданным</x:v>
      </x:c>
      <x:c r="AA487" s="10" t="str">
        <x:v>Метаданные видео; воспроизведение и содержание не проверены</x:v>
      </x:c>
      <x:c r="AB487" s="13" t="n">
        <x:f>IF(AND(ISNUMBER(H487),ISNUMBER(W487)),H487/MAX(1,'Обзор'!$B$4-W487),"")</x:f>
        <x:v>15.266369557764827</x:v>
      </x:c>
      <x:c r="AC487" s="17" t="str">
        <x:v>Не решено</x:v>
      </x:c>
      <x:c r="AD487" s="17" t="str">
        <x:v>Не проверено</x:v>
      </x:c>
      <x:c r="AE487" s="17" t="str">
        <x:v>Не проверено</x:v>
      </x:c>
      <x:c r="AF487" s="17" t="str">
        <x:v>Не проверено</x:v>
      </x:c>
      <x:c r="AG487" s="17" t="str">
        <x:v>Не решено</x:v>
      </x:c>
      <x:c r="AH487" s="17" t="str">
        <x:v>Не проверено</x:v>
      </x:c>
      <x:c r="AI487" s="10" t="str">
        <x:f>IF(AC487="Отклонить","Отклонено",IF(AND(AC487="Взять",COUNTIFS(AD487:AH487,"Да")=5),"Готово","Нужна редактура"))</x:f>
        <x:v>Нужна редактура</x:v>
      </x:c>
      <x:c r="AJ487" s="17" t="str"/>
      <x:c r="AK487" s="9" t="str">
        <x:v>https://www.youtube.com/playlist?list=PLLttfoK87AdUhE_NlEYGOJKSTUu4sZBdM</x:v>
      </x:c>
      <x:c r="AL487" s="9" t="n">
        <x:v>3</x:v>
      </x:c>
      <x:c r="AM487" s="9" t="n">
        <x:v>3</x:v>
      </x:c>
      <x:c r="AN487" s="9" t="n">
        <x:v>0</x:v>
      </x:c>
    </x:row>
    <x:row r="488" ht="60" customHeight="1">
      <x:c r="A488" s="9" t="str">
        <x:v>wvmohv3Af-E</x:v>
      </x:c>
      <x:c r="B488" s="10" t="str">
        <x:v>והארץ הייתה תוהו ובוהו - תולדות ארץ ישראל | פרק 4: מעצמה אזורית [HD]</x:v>
      </x:c>
      <x:c r="C488" s="10" t="str">
        <x:v>Древняя история</x:v>
      </x:c>
      <x:c r="D488" s="9" t="str">
        <x:v>История</x:v>
      </x:c>
      <x:c r="E488" s="10" t="str">
        <x:v>История; археология; культура</x:v>
      </x:c>
      <x:c r="F488" s="10" t="str">
        <x:v>B2–C1 (гипотеза)</x:v>
      </x:c>
      <x:c r="G488" s="12" t="n">
        <x:v>58.8</x:v>
      </x:c>
      <x:c r="H488" s="14" t="n">
        <x:v>51392</x:v>
      </x:c>
      <x:c r="I488" s="15" t="str">
        <x:v>Точный счётчик метаданных видео</x:v>
      </x:c>
      <x:c r="J488" s="14" t="n">
        <x:v>51000</x:v>
      </x:c>
      <x:c r="K488" s="14" t="n">
        <x:v>44000</x:v>
      </x:c>
      <x:c r="L488" s="12" t="n">
        <x:f>IF(COUNT(J488:K488)=2,IF(K488=0,"",J488/K488),"")</x:f>
        <x:v>1.1590909090909092</x:v>
      </x:c>
      <x:c r="M488" s="10" t="str">
        <x:v>Тема: והארץ הייתה תוהו ובוהו - תולדות ארץ ישראל | פרק 4: מעצמה אזורית [HD]. Цикл расширяет фокус от современной политики до многовековой истории страны. Визуальные материалы поддерживают понимание.</x:v>
      </x:c>
      <x:c r="N488" s="10" t="str">
        <x:v>Составить хронологию и карту терминов; отделить археологическое свидетельство от гипотезы.</x:v>
      </x:c>
      <x:c r="O488" s="10" t="str">
        <x:v>Проверить содержание</x:v>
      </x:c>
      <x:c r="P488" s="10" t="str">
        <x:v>Самостоятельное видео</x:v>
      </x:c>
      <x:c r="Q488" s="9" t="str">
        <x:v>Нет</x:v>
      </x:c>
      <x:c r="R488" s="9" t="str">
        <x:v>C031</x:v>
      </x:c>
      <x:c r="S488" s="9" t="str">
        <x:v>C031</x:v>
      </x:c>
      <x:c r="T488" s="10" t="str">
        <x:v>כאן 11 - תאגיד השידור הישראלי</x:v>
      </x:c>
      <x:c r="U488" s="11" t="str">
        <x:v>https://www.youtube.com/watch?v=wvmohv3Af-E</x:v>
      </x:c>
      <x:c r="V488" s="16" t="n">
        <x:v>46308</x:v>
      </x:c>
      <x:c r="W488" s="16" t="n">
        <x:v>43391</x:v>
      </x:c>
      <x:c r="X488" s="10" t="str">
        <x:v>Иврит предполагается по заголовку и источнику</x:v>
      </x:c>
      <x:c r="Y488" s="10" t="str">
        <x:v>Дорожка HE не найдена в метаданных; вшитые титры не проверены</x:v>
      </x:c>
      <x:c r="Z488" s="10" t="str">
        <x:v>Разрешено по метаданным</x:v>
      </x:c>
      <x:c r="AA488" s="10" t="str">
        <x:v>Метаданные видео; воспроизведение и содержание не проверены</x:v>
      </x:c>
      <x:c r="AB488" s="13" t="n">
        <x:f>IF(AND(ISNUMBER(H488),ISNUMBER(W488)),H488/MAX(1,'Обзор'!$B$4-W488),"")</x:f>
        <x:v>17.618100788481318</x:v>
      </x:c>
      <x:c r="AC488" s="17" t="str">
        <x:v>Не решено</x:v>
      </x:c>
      <x:c r="AD488" s="17" t="str">
        <x:v>Не проверено</x:v>
      </x:c>
      <x:c r="AE488" s="17" t="str">
        <x:v>Не проверено</x:v>
      </x:c>
      <x:c r="AF488" s="17" t="str">
        <x:v>Не проверено</x:v>
      </x:c>
      <x:c r="AG488" s="17" t="str">
        <x:v>Не решено</x:v>
      </x:c>
      <x:c r="AH488" s="17" t="str">
        <x:v>Не проверено</x:v>
      </x:c>
      <x:c r="AI488" s="10" t="str">
        <x:f>IF(AC488="Отклонить","Отклонено",IF(AND(AC488="Взять",COUNTIFS(AD488:AH488,"Да")=5),"Готово","Нужна редактура"))</x:f>
        <x:v>Нужна редактура</x:v>
      </x:c>
      <x:c r="AJ488" s="17" t="str"/>
      <x:c r="AK488" s="9" t="str">
        <x:v>https://www.youtube.com/playlist?list=PLLttfoK87AdUhE_NlEYGOJKSTUu4sZBdM</x:v>
      </x:c>
      <x:c r="AL488" s="9" t="n">
        <x:v>4</x:v>
      </x:c>
      <x:c r="AM488" s="9" t="n">
        <x:v>4</x:v>
      </x:c>
      <x:c r="AN488" s="9" t="n">
        <x:v>0</x:v>
      </x:c>
    </x:row>
    <x:row r="489" ht="60" customHeight="1">
      <x:c r="A489" s="9" t="str">
        <x:v>iOWE2Bsi5-8</x:v>
      </x:c>
      <x:c r="B489" s="10" t="str">
        <x:v>והארץ הייתה תוהו ובוהו - תולדות ארץ ישראל | פרק 5: ממלכות לגלות [HD]</x:v>
      </x:c>
      <x:c r="C489" s="10" t="str">
        <x:v>Древняя история</x:v>
      </x:c>
      <x:c r="D489" s="9" t="str">
        <x:v>История</x:v>
      </x:c>
      <x:c r="E489" s="10" t="str">
        <x:v>История; археология; культура</x:v>
      </x:c>
      <x:c r="F489" s="10" t="str">
        <x:v>B2–C1 (гипотеза)</x:v>
      </x:c>
      <x:c r="G489" s="12" t="n">
        <x:v>58.4</x:v>
      </x:c>
      <x:c r="H489" s="14" t="n">
        <x:v>61998</x:v>
      </x:c>
      <x:c r="I489" s="15" t="str">
        <x:v>Точный счётчик метаданных видео</x:v>
      </x:c>
      <x:c r="J489" s="14" t="n">
        <x:v>61000</x:v>
      </x:c>
      <x:c r="K489" s="14" t="n">
        <x:v>44000</x:v>
      </x:c>
      <x:c r="L489" s="12" t="n">
        <x:f>IF(COUNT(J489:K489)=2,IF(K489=0,"",J489/K489),"")</x:f>
        <x:v>1.3863636363636365</x:v>
      </x:c>
      <x:c r="M489" s="10" t="str">
        <x:v>Тема: והארץ הייתה תוהו ובוהו - תולדות ארץ ישראל | פרק 5: ממלכות לגלות [HD]. Цикл расширяет фокус от современной политики до многовековой истории страны. Визуальные материалы поддерживают понимание.</x:v>
      </x:c>
      <x:c r="N489" s="10" t="str">
        <x:v>Составить хронологию и карту терминов; отделить археологическое свидетельство от гипотезы.</x:v>
      </x:c>
      <x:c r="O489" s="10" t="str">
        <x:v>Проверить содержание</x:v>
      </x:c>
      <x:c r="P489" s="10" t="str">
        <x:v>Самостоятельное видео</x:v>
      </x:c>
      <x:c r="Q489" s="9" t="str">
        <x:v>Нет</x:v>
      </x:c>
      <x:c r="R489" s="9" t="str">
        <x:v>C031</x:v>
      </x:c>
      <x:c r="S489" s="9" t="str">
        <x:v>C031</x:v>
      </x:c>
      <x:c r="T489" s="10" t="str">
        <x:v>כאן 11 - תאגיד השידור הישראלי</x:v>
      </x:c>
      <x:c r="U489" s="11" t="str">
        <x:v>https://www.youtube.com/watch?v=iOWE2Bsi5-8</x:v>
      </x:c>
      <x:c r="V489" s="16" t="n">
        <x:v>46308</x:v>
      </x:c>
      <x:c r="W489" s="16" t="n">
        <x:v>43391</x:v>
      </x:c>
      <x:c r="X489" s="10" t="str">
        <x:v>Иврит предполагается по заголовку и источнику</x:v>
      </x:c>
      <x:c r="Y489" s="10" t="str">
        <x:v>Дорожка HE не найдена в метаданных; вшитые титры не проверены</x:v>
      </x:c>
      <x:c r="Z489" s="10" t="str">
        <x:v>Разрешено по метаданным</x:v>
      </x:c>
      <x:c r="AA489" s="10" t="str">
        <x:v>Метаданные видео; воспроизведение и содержание не проверены</x:v>
      </x:c>
      <x:c r="AB489" s="13" t="n">
        <x:f>IF(AND(ISNUMBER(H489),ISNUMBER(W489)),H489/MAX(1,'Обзор'!$B$4-W489),"")</x:f>
        <x:v>21.25402811107302</x:v>
      </x:c>
      <x:c r="AC489" s="17" t="str">
        <x:v>Не решено</x:v>
      </x:c>
      <x:c r="AD489" s="17" t="str">
        <x:v>Не проверено</x:v>
      </x:c>
      <x:c r="AE489" s="17" t="str">
        <x:v>Не проверено</x:v>
      </x:c>
      <x:c r="AF489" s="17" t="str">
        <x:v>Не проверено</x:v>
      </x:c>
      <x:c r="AG489" s="17" t="str">
        <x:v>Не решено</x:v>
      </x:c>
      <x:c r="AH489" s="17" t="str">
        <x:v>Не проверено</x:v>
      </x:c>
      <x:c r="AI489" s="10" t="str">
        <x:f>IF(AC489="Отклонить","Отклонено",IF(AND(AC489="Взять",COUNTIFS(AD489:AH489,"Да")=5),"Готово","Нужна редактура"))</x:f>
        <x:v>Нужна редактура</x:v>
      </x:c>
      <x:c r="AJ489" s="17" t="str"/>
      <x:c r="AK489" s="9" t="str">
        <x:v>https://www.youtube.com/playlist?list=PLLttfoK87AdUhE_NlEYGOJKSTUu4sZBdM</x:v>
      </x:c>
      <x:c r="AL489" s="9" t="n">
        <x:v>5</x:v>
      </x:c>
      <x:c r="AM489" s="9" t="n">
        <x:v>5</x:v>
      </x:c>
      <x:c r="AN489" s="9" t="n">
        <x:v>0</x:v>
      </x:c>
    </x:row>
    <x:row r="490" ht="60" customHeight="1">
      <x:c r="A490" s="9" t="str">
        <x:v>Py8NtFBzE34</x:v>
      </x:c>
      <x:c r="B490" s="10" t="str">
        <x:v>והארץ הייתה תוהו ובוהו - תולדות ארץ ישראל | פרק 6: השיבה [HD]</x:v>
      </x:c>
      <x:c r="C490" s="10" t="str">
        <x:v>Древняя история</x:v>
      </x:c>
      <x:c r="D490" s="9" t="str">
        <x:v>История</x:v>
      </x:c>
      <x:c r="E490" s="10" t="str">
        <x:v>История; археология; культура</x:v>
      </x:c>
      <x:c r="F490" s="10" t="str">
        <x:v>B2–C1 (гипотеза)</x:v>
      </x:c>
      <x:c r="G490" s="12" t="n">
        <x:v>53.3</x:v>
      </x:c>
      <x:c r="H490" s="14" t="n">
        <x:v>40255</x:v>
      </x:c>
      <x:c r="I490" s="15" t="str">
        <x:v>Точный счётчик метаданных видео</x:v>
      </x:c>
      <x:c r="J490" s="14" t="n">
        <x:v>40000</x:v>
      </x:c>
      <x:c r="K490" s="14" t="n">
        <x:v>44000</x:v>
      </x:c>
      <x:c r="L490" s="12" t="n">
        <x:f>IF(COUNT(J490:K490)=2,IF(K490=0,"",J490/K490),"")</x:f>
        <x:v>0.9090909090909091</x:v>
      </x:c>
      <x:c r="M490" s="10" t="str">
        <x:v>Тема: והארץ הייתה תוהו ובוהו - תולדות ארץ ישראל | פרק 6: השיבה [HD]. Цикл расширяет фокус от современной политики до многовековой истории страны. Визуальные материалы поддерживают понимание.</x:v>
      </x:c>
      <x:c r="N490" s="10" t="str">
        <x:v>Составить хронологию и карту терминов; отделить археологическое свидетельство от гипотезы.</x:v>
      </x:c>
      <x:c r="O490" s="10" t="str">
        <x:v>Проверить содержание</x:v>
      </x:c>
      <x:c r="P490" s="10" t="str">
        <x:v>Самостоятельное видео</x:v>
      </x:c>
      <x:c r="Q490" s="9" t="str">
        <x:v>Нет</x:v>
      </x:c>
      <x:c r="R490" s="9" t="str">
        <x:v>C031</x:v>
      </x:c>
      <x:c r="S490" s="9" t="str">
        <x:v>C031</x:v>
      </x:c>
      <x:c r="T490" s="10" t="str">
        <x:v>כאן 11 - תאגיד השידור הישראלי</x:v>
      </x:c>
      <x:c r="U490" s="11" t="str">
        <x:v>https://www.youtube.com/watch?v=Py8NtFBzE34</x:v>
      </x:c>
      <x:c r="V490" s="16" t="n">
        <x:v>46308</x:v>
      </x:c>
      <x:c r="W490" s="16" t="n">
        <x:v>43391</x:v>
      </x:c>
      <x:c r="X490" s="10" t="str">
        <x:v>Иврит предполагается по заголовку и источнику</x:v>
      </x:c>
      <x:c r="Y490" s="10" t="str">
        <x:v>Дорожка HE не найдена в метаданных; вшитые титры не проверены</x:v>
      </x:c>
      <x:c r="Z490" s="10" t="str">
        <x:v>Разрешено по метаданным</x:v>
      </x:c>
      <x:c r="AA490" s="10" t="str">
        <x:v>Метаданные видео; воспроизведение и содержание не проверены</x:v>
      </x:c>
      <x:c r="AB490" s="13" t="n">
        <x:f>IF(AND(ISNUMBER(H490),ISNUMBER(W490)),H490/MAX(1,'Обзор'!$B$4-W490),"")</x:f>
        <x:v>13.800137127185465</x:v>
      </x:c>
      <x:c r="AC490" s="17" t="str">
        <x:v>Не решено</x:v>
      </x:c>
      <x:c r="AD490" s="17" t="str">
        <x:v>Не проверено</x:v>
      </x:c>
      <x:c r="AE490" s="17" t="str">
        <x:v>Не проверено</x:v>
      </x:c>
      <x:c r="AF490" s="17" t="str">
        <x:v>Не проверено</x:v>
      </x:c>
      <x:c r="AG490" s="17" t="str">
        <x:v>Не решено</x:v>
      </x:c>
      <x:c r="AH490" s="17" t="str">
        <x:v>Не проверено</x:v>
      </x:c>
      <x:c r="AI490" s="10" t="str">
        <x:f>IF(AC490="Отклонить","Отклонено",IF(AND(AC490="Взять",COUNTIFS(AD490:AH490,"Да")=5),"Готово","Нужна редактура"))</x:f>
        <x:v>Нужна редактура</x:v>
      </x:c>
      <x:c r="AJ490" s="17" t="str"/>
      <x:c r="AK490" s="9" t="str">
        <x:v>https://www.youtube.com/playlist?list=PLLttfoK87AdUhE_NlEYGOJKSTUu4sZBdM</x:v>
      </x:c>
      <x:c r="AL490" s="9" t="n">
        <x:v>6</x:v>
      </x:c>
      <x:c r="AM490" s="9" t="n">
        <x:v>6</x:v>
      </x:c>
      <x:c r="AN490" s="9" t="n">
        <x:v>0</x:v>
      </x:c>
    </x:row>
    <x:row r="491" ht="60" customHeight="1">
      <x:c r="A491" s="9" t="str">
        <x:v>J3m0oKDhWvw</x:v>
      </x:c>
      <x:c r="B491" s="10" t="str">
        <x:v>והארץ הייתה תוהו ובוהו - תולדות ארץ ישראל | פרק 7: הממלכה האחרונה [HD]</x:v>
      </x:c>
      <x:c r="C491" s="10" t="str">
        <x:v>Древняя история</x:v>
      </x:c>
      <x:c r="D491" s="9" t="str">
        <x:v>История</x:v>
      </x:c>
      <x:c r="E491" s="10" t="str">
        <x:v>История; археология; культура</x:v>
      </x:c>
      <x:c r="F491" s="10" t="str">
        <x:v>B2–C1 (гипотеза)</x:v>
      </x:c>
      <x:c r="G491" s="12" t="n">
        <x:v>54.7</x:v>
      </x:c>
      <x:c r="H491" s="14" t="n">
        <x:v>42407</x:v>
      </x:c>
      <x:c r="I491" s="15" t="str">
        <x:v>Точный счётчик метаданных видео</x:v>
      </x:c>
      <x:c r="J491" s="14" t="n">
        <x:v>42000</x:v>
      </x:c>
      <x:c r="K491" s="14" t="n">
        <x:v>44000</x:v>
      </x:c>
      <x:c r="L491" s="12" t="n">
        <x:f>IF(COUNT(J491:K491)=2,IF(K491=0,"",J491/K491),"")</x:f>
        <x:v>0.9545454545454546</x:v>
      </x:c>
      <x:c r="M491" s="10" t="str">
        <x:v>Тема: והארץ הייתה תוהו ובוהו - תולדות ארץ ישראל | פרק 7: הממלכה האחרונה [HD]. Цикл расширяет фокус от современной политики до многовековой истории страны. Визуальные материалы поддерживают понимание.</x:v>
      </x:c>
      <x:c r="N491" s="10" t="str">
        <x:v>Составить хронологию и карту терминов; отделить археологическое свидетельство от гипотезы.</x:v>
      </x:c>
      <x:c r="O491" s="10" t="str">
        <x:v>Проверить содержание</x:v>
      </x:c>
      <x:c r="P491" s="10" t="str">
        <x:v>Самостоятельное видео</x:v>
      </x:c>
      <x:c r="Q491" s="9" t="str">
        <x:v>Нет</x:v>
      </x:c>
      <x:c r="R491" s="9" t="str">
        <x:v>C031</x:v>
      </x:c>
      <x:c r="S491" s="9" t="str">
        <x:v>C031</x:v>
      </x:c>
      <x:c r="T491" s="10" t="str">
        <x:v>כאן 11 - תאגיד השידור הישראלי</x:v>
      </x:c>
      <x:c r="U491" s="11" t="str">
        <x:v>https://www.youtube.com/watch?v=J3m0oKDhWvw</x:v>
      </x:c>
      <x:c r="V491" s="16" t="n">
        <x:v>46308</x:v>
      </x:c>
      <x:c r="W491" s="16" t="n">
        <x:v>43391</x:v>
      </x:c>
      <x:c r="X491" s="10" t="str">
        <x:v>Иврит предполагается по заголовку и источнику</x:v>
      </x:c>
      <x:c r="Y491" s="10" t="str">
        <x:v>Дорожка HE не найдена в метаданных; вшитые титры не проверены</x:v>
      </x:c>
      <x:c r="Z491" s="10" t="str">
        <x:v>Разрешено по метаданным</x:v>
      </x:c>
      <x:c r="AA491" s="10" t="str">
        <x:v>Метаданные видео; воспроизведение и содержание не проверены</x:v>
      </x:c>
      <x:c r="AB491" s="13" t="n">
        <x:f>IF(AND(ISNUMBER(H491),ISNUMBER(W491)),H491/MAX(1,'Обзор'!$B$4-W491),"")</x:f>
        <x:v>14.537881384984573</x:v>
      </x:c>
      <x:c r="AC491" s="17" t="str">
        <x:v>Не решено</x:v>
      </x:c>
      <x:c r="AD491" s="17" t="str">
        <x:v>Не проверено</x:v>
      </x:c>
      <x:c r="AE491" s="17" t="str">
        <x:v>Не проверено</x:v>
      </x:c>
      <x:c r="AF491" s="17" t="str">
        <x:v>Не проверено</x:v>
      </x:c>
      <x:c r="AG491" s="17" t="str">
        <x:v>Не решено</x:v>
      </x:c>
      <x:c r="AH491" s="17" t="str">
        <x:v>Не проверено</x:v>
      </x:c>
      <x:c r="AI491" s="10" t="str">
        <x:f>IF(AC491="Отклонить","Отклонено",IF(AND(AC491="Взять",COUNTIFS(AD491:AH491,"Да")=5),"Готово","Нужна редактура"))</x:f>
        <x:v>Нужна редактура</x:v>
      </x:c>
      <x:c r="AJ491" s="17" t="str"/>
      <x:c r="AK491" s="9" t="str">
        <x:v>https://www.youtube.com/playlist?list=PLLttfoK87AdUhE_NlEYGOJKSTUu4sZBdM</x:v>
      </x:c>
      <x:c r="AL491" s="9" t="n">
        <x:v>7</x:v>
      </x:c>
      <x:c r="AM491" s="9" t="n">
        <x:v>7</x:v>
      </x:c>
      <x:c r="AN491" s="9" t="n">
        <x:v>0</x:v>
      </x:c>
    </x:row>
    <x:row r="492" ht="60" customHeight="1">
      <x:c r="A492" s="9" t="str">
        <x:v>AIdg74K8Cic</x:v>
      </x:c>
      <x:c r="B492" s="10" t="str">
        <x:v>והארץ הייתה תוהו ובוהו - תולדות ארץ ישראל | פרק 8: בין עצמאות לחורבן [HD]</x:v>
      </x:c>
      <x:c r="C492" s="10" t="str">
        <x:v>Древняя история</x:v>
      </x:c>
      <x:c r="D492" s="9" t="str">
        <x:v>История</x:v>
      </x:c>
      <x:c r="E492" s="10" t="str">
        <x:v>История; археология; культура</x:v>
      </x:c>
      <x:c r="F492" s="10" t="str">
        <x:v>B2–C1 (гипотеза)</x:v>
      </x:c>
      <x:c r="G492" s="12" t="n">
        <x:v>56.6</x:v>
      </x:c>
      <x:c r="H492" s="14" t="n">
        <x:v>49856</x:v>
      </x:c>
      <x:c r="I492" s="15" t="str">
        <x:v>Точный счётчик метаданных видео</x:v>
      </x:c>
      <x:c r="J492" s="14" t="n">
        <x:v>49000</x:v>
      </x:c>
      <x:c r="K492" s="14" t="n">
        <x:v>44000</x:v>
      </x:c>
      <x:c r="L492" s="12" t="n">
        <x:f>IF(COUNT(J492:K492)=2,IF(K492=0,"",J492/K492),"")</x:f>
        <x:v>1.1136363636363635</x:v>
      </x:c>
      <x:c r="M492" s="10" t="str">
        <x:v>Тема: והארץ הייתה תוהו ובוהו - תולדות ארץ ישראל | פרק 8: בין עצמאות לחורבן [HD]. Цикл расширяет фокус от современной политики до многовековой истории страны. Визуальные материалы поддерживают понимание.</x:v>
      </x:c>
      <x:c r="N492" s="10" t="str">
        <x:v>Составить хронологию и карту терминов; отделить археологическое свидетельство от гипотезы.</x:v>
      </x:c>
      <x:c r="O492" s="10" t="str">
        <x:v>Проверить содержание</x:v>
      </x:c>
      <x:c r="P492" s="10" t="str">
        <x:v>Самостоятельное видео</x:v>
      </x:c>
      <x:c r="Q492" s="9" t="str">
        <x:v>Нет</x:v>
      </x:c>
      <x:c r="R492" s="9" t="str">
        <x:v>C031</x:v>
      </x:c>
      <x:c r="S492" s="9" t="str">
        <x:v>C031</x:v>
      </x:c>
      <x:c r="T492" s="10" t="str">
        <x:v>כאן 11 - תאגיד השידור הישראלי</x:v>
      </x:c>
      <x:c r="U492" s="11" t="str">
        <x:v>https://www.youtube.com/watch?v=AIdg74K8Cic</x:v>
      </x:c>
      <x:c r="V492" s="16" t="n">
        <x:v>46308</x:v>
      </x:c>
      <x:c r="W492" s="16" t="n">
        <x:v>43391</x:v>
      </x:c>
      <x:c r="X492" s="10" t="str">
        <x:v>Иврит предполагается по заголовку и источнику</x:v>
      </x:c>
      <x:c r="Y492" s="10" t="str">
        <x:v>Дорожка HE не найдена в метаданных; вшитые титры не проверены</x:v>
      </x:c>
      <x:c r="Z492" s="10" t="str">
        <x:v>Разрешено по метаданным</x:v>
      </x:c>
      <x:c r="AA492" s="10" t="str">
        <x:v>Метаданные видео; воспроизведение и содержание не проверены</x:v>
      </x:c>
      <x:c r="AB492" s="13" t="n">
        <x:f>IF(AND(ISNUMBER(H492),ISNUMBER(W492)),H492/MAX(1,'Обзор'!$B$4-W492),"")</x:f>
        <x:v>17.091532396297566</x:v>
      </x:c>
      <x:c r="AC492" s="17" t="str">
        <x:v>Не решено</x:v>
      </x:c>
      <x:c r="AD492" s="17" t="str">
        <x:v>Не проверено</x:v>
      </x:c>
      <x:c r="AE492" s="17" t="str">
        <x:v>Не проверено</x:v>
      </x:c>
      <x:c r="AF492" s="17" t="str">
        <x:v>Не проверено</x:v>
      </x:c>
      <x:c r="AG492" s="17" t="str">
        <x:v>Не решено</x:v>
      </x:c>
      <x:c r="AH492" s="17" t="str">
        <x:v>Не проверено</x:v>
      </x:c>
      <x:c r="AI492" s="10" t="str">
        <x:f>IF(AC492="Отклонить","Отклонено",IF(AND(AC492="Взять",COUNTIFS(AD492:AH492,"Да")=5),"Готово","Нужна редактура"))</x:f>
        <x:v>Нужна редактура</x:v>
      </x:c>
      <x:c r="AJ492" s="17" t="str"/>
      <x:c r="AK492" s="9" t="str">
        <x:v>https://www.youtube.com/playlist?list=PLLttfoK87AdUhE_NlEYGOJKSTUu4sZBdM</x:v>
      </x:c>
      <x:c r="AL492" s="9" t="n">
        <x:v>8</x:v>
      </x:c>
      <x:c r="AM492" s="9" t="n">
        <x:v>8</x:v>
      </x:c>
      <x:c r="AN492" s="9" t="n">
        <x:v>0</x:v>
      </x:c>
    </x:row>
    <x:row r="493" ht="60" customHeight="1">
      <x:c r="A493" s="9" t="str">
        <x:v>wASaSlx-fUc</x:v>
      </x:c>
      <x:c r="B493" s="10" t="str">
        <x:v>והארץ הייתה תוהו ובוהו - תולדות ארץ ישראל | פרק 9: רומא בירושלים [HD]</x:v>
      </x:c>
      <x:c r="C493" s="10" t="str">
        <x:v>Древняя история</x:v>
      </x:c>
      <x:c r="D493" s="9" t="str">
        <x:v>История</x:v>
      </x:c>
      <x:c r="E493" s="10" t="str">
        <x:v>История; археология; культура</x:v>
      </x:c>
      <x:c r="F493" s="10" t="str">
        <x:v>B2–C1 (гипотеза)</x:v>
      </x:c>
      <x:c r="G493" s="12" t="n">
        <x:v>55.7</x:v>
      </x:c>
      <x:c r="H493" s="14" t="n">
        <x:v>46102</x:v>
      </x:c>
      <x:c r="I493" s="15" t="str">
        <x:v>Точный счётчик метаданных видео</x:v>
      </x:c>
      <x:c r="J493" s="14" t="n">
        <x:v>46000</x:v>
      </x:c>
      <x:c r="K493" s="14" t="n">
        <x:v>44000</x:v>
      </x:c>
      <x:c r="L493" s="12" t="n">
        <x:f>IF(COUNT(J493:K493)=2,IF(K493=0,"",J493/K493),"")</x:f>
        <x:v>1.0454545454545454</x:v>
      </x:c>
      <x:c r="M493" s="10" t="str">
        <x:v>Тема: והארץ הייתה תוהו ובוהו - תולדות ארץ ישראל | פרק 9: רומא בירושלים [HD]. Цикл расширяет фокус от современной политики до многовековой истории страны. Визуальные материалы поддерживают понимание.</x:v>
      </x:c>
      <x:c r="N493" s="10" t="str">
        <x:v>Составить хронологию и карту терминов; отделить археологическое свидетельство от гипотезы.</x:v>
      </x:c>
      <x:c r="O493" s="10" t="str">
        <x:v>Проверить содержание</x:v>
      </x:c>
      <x:c r="P493" s="10" t="str">
        <x:v>Самостоятельное видео</x:v>
      </x:c>
      <x:c r="Q493" s="9" t="str">
        <x:v>Нет</x:v>
      </x:c>
      <x:c r="R493" s="9" t="str">
        <x:v>C031</x:v>
      </x:c>
      <x:c r="S493" s="9" t="str">
        <x:v>C031</x:v>
      </x:c>
      <x:c r="T493" s="10" t="str">
        <x:v>כאן 11 - תאגיד השידור הישראלי</x:v>
      </x:c>
      <x:c r="U493" s="11" t="str">
        <x:v>https://www.youtube.com/watch?v=wASaSlx-fUc</x:v>
      </x:c>
      <x:c r="V493" s="16" t="n">
        <x:v>46308</x:v>
      </x:c>
      <x:c r="W493" s="16" t="n">
        <x:v>43391</x:v>
      </x:c>
      <x:c r="X493" s="10" t="str">
        <x:v>Иврит предполагается по заголовку и источнику</x:v>
      </x:c>
      <x:c r="Y493" s="10" t="str">
        <x:v>Дорожка HE не найдена в метаданных; вшитые титры не проверены</x:v>
      </x:c>
      <x:c r="Z493" s="10" t="str">
        <x:v>Разрешено по метаданным</x:v>
      </x:c>
      <x:c r="AA493" s="10" t="str">
        <x:v>Метаданные видео; воспроизведение и содержание не проверены</x:v>
      </x:c>
      <x:c r="AB493" s="13" t="n">
        <x:f>IF(AND(ISNUMBER(H493),ISNUMBER(W493)),H493/MAX(1,'Обзор'!$B$4-W493),"")</x:f>
        <x:v>15.804593760713061</x:v>
      </x:c>
      <x:c r="AC493" s="17" t="str">
        <x:v>Не решено</x:v>
      </x:c>
      <x:c r="AD493" s="17" t="str">
        <x:v>Не проверено</x:v>
      </x:c>
      <x:c r="AE493" s="17" t="str">
        <x:v>Не проверено</x:v>
      </x:c>
      <x:c r="AF493" s="17" t="str">
        <x:v>Не проверено</x:v>
      </x:c>
      <x:c r="AG493" s="17" t="str">
        <x:v>Не решено</x:v>
      </x:c>
      <x:c r="AH493" s="17" t="str">
        <x:v>Не проверено</x:v>
      </x:c>
      <x:c r="AI493" s="10" t="str">
        <x:f>IF(AC493="Отклонить","Отклонено",IF(AND(AC493="Взять",COUNTIFS(AD493:AH493,"Да")=5),"Готово","Нужна редактура"))</x:f>
        <x:v>Нужна редактура</x:v>
      </x:c>
      <x:c r="AJ493" s="17" t="str"/>
      <x:c r="AK493" s="9" t="str">
        <x:v>https://www.youtube.com/playlist?list=PLLttfoK87AdUhE_NlEYGOJKSTUu4sZBdM</x:v>
      </x:c>
      <x:c r="AL493" s="9" t="n">
        <x:v>9</x:v>
      </x:c>
      <x:c r="AM493" s="9" t="n">
        <x:v>9</x:v>
      </x:c>
      <x:c r="AN493" s="9" t="n">
        <x:v>0</x:v>
      </x:c>
    </x:row>
    <x:row r="494" ht="60" customHeight="1">
      <x:c r="A494" s="9" t="str">
        <x:v>4KiKZyS5lbM</x:v>
      </x:c>
      <x:c r="B494" s="10" t="str">
        <x:v>והארץ הייתה תוהו ובוהו - תולדות ארץ ישראל | פרק 10: עולמות מצטלבים, התקופה הביזנטית [HD]</x:v>
      </x:c>
      <x:c r="C494" s="10" t="str">
        <x:v>Древняя история</x:v>
      </x:c>
      <x:c r="D494" s="9" t="str">
        <x:v>История</x:v>
      </x:c>
      <x:c r="E494" s="10" t="str">
        <x:v>История; археология; культура</x:v>
      </x:c>
      <x:c r="F494" s="10" t="str">
        <x:v>B2–C1 (гипотеза)</x:v>
      </x:c>
      <x:c r="G494" s="12" t="n">
        <x:v>57.6</x:v>
      </x:c>
      <x:c r="H494" s="14" t="n">
        <x:v>40512</x:v>
      </x:c>
      <x:c r="I494" s="15" t="str">
        <x:v>Точный счётчик метаданных видео</x:v>
      </x:c>
      <x:c r="J494" s="14" t="n">
        <x:v>40000</x:v>
      </x:c>
      <x:c r="K494" s="14" t="n">
        <x:v>44000</x:v>
      </x:c>
      <x:c r="L494" s="12" t="n">
        <x:f>IF(COUNT(J494:K494)=2,IF(K494=0,"",J494/K494),"")</x:f>
        <x:v>0.9090909090909091</x:v>
      </x:c>
      <x:c r="M494" s="10" t="str">
        <x:v>Тема: והארץ הייתה תוהו ובוהו - תולדות ארץ ישראל | פרק 10: עולמות מצטלבים, התקופה הביזנטית [HD]. Цикл расширяет фокус от современной политики до многовековой истории страны. Визуальные материалы поддерживают понимание.</x:v>
      </x:c>
      <x:c r="N494" s="10" t="str">
        <x:v>Составить хронологию и карту терминов; отделить археологическое свидетельство от гипотезы.</x:v>
      </x:c>
      <x:c r="O494" s="10" t="str">
        <x:v>Проверить содержание</x:v>
      </x:c>
      <x:c r="P494" s="10" t="str">
        <x:v>Самостоятельное видео</x:v>
      </x:c>
      <x:c r="Q494" s="9" t="str">
        <x:v>Нет</x:v>
      </x:c>
      <x:c r="R494" s="9" t="str">
        <x:v>C031</x:v>
      </x:c>
      <x:c r="S494" s="9" t="str">
        <x:v>C031</x:v>
      </x:c>
      <x:c r="T494" s="10" t="str">
        <x:v>כאן 11 - תאגיד השידור הישראלי</x:v>
      </x:c>
      <x:c r="U494" s="11" t="str">
        <x:v>https://www.youtube.com/watch?v=4KiKZyS5lbM</x:v>
      </x:c>
      <x:c r="V494" s="16" t="n">
        <x:v>46308</x:v>
      </x:c>
      <x:c r="W494" s="16" t="n">
        <x:v>43391</x:v>
      </x:c>
      <x:c r="X494" s="10" t="str">
        <x:v>Иврит предполагается по заголовку и источнику</x:v>
      </x:c>
      <x:c r="Y494" s="10" t="str">
        <x:v>Дорожка HE не найдена в метаданных; вшитые титры не проверены</x:v>
      </x:c>
      <x:c r="Z494" s="10" t="str">
        <x:v>Разрешено по метаданным</x:v>
      </x:c>
      <x:c r="AA494" s="10" t="str">
        <x:v>Метаданные видео; воспроизведение и содержание не проверены</x:v>
      </x:c>
      <x:c r="AB494" s="13" t="n">
        <x:f>IF(AND(ISNUMBER(H494),ISNUMBER(W494)),H494/MAX(1,'Обзор'!$B$4-W494),"")</x:f>
        <x:v>13.888241343846417</x:v>
      </x:c>
      <x:c r="AC494" s="17" t="str">
        <x:v>Не решено</x:v>
      </x:c>
      <x:c r="AD494" s="17" t="str">
        <x:v>Не проверено</x:v>
      </x:c>
      <x:c r="AE494" s="17" t="str">
        <x:v>Не проверено</x:v>
      </x:c>
      <x:c r="AF494" s="17" t="str">
        <x:v>Не проверено</x:v>
      </x:c>
      <x:c r="AG494" s="17" t="str">
        <x:v>Не решено</x:v>
      </x:c>
      <x:c r="AH494" s="17" t="str">
        <x:v>Не проверено</x:v>
      </x:c>
      <x:c r="AI494" s="10" t="str">
        <x:f>IF(AC494="Отклонить","Отклонено",IF(AND(AC494="Взять",COUNTIFS(AD494:AH494,"Да")=5),"Готово","Нужна редактура"))</x:f>
        <x:v>Нужна редактура</x:v>
      </x:c>
      <x:c r="AJ494" s="17" t="str"/>
      <x:c r="AK494" s="9" t="str">
        <x:v>https://www.youtube.com/playlist?list=PLLttfoK87AdUhE_NlEYGOJKSTUu4sZBdM</x:v>
      </x:c>
      <x:c r="AL494" s="9" t="n">
        <x:v>10</x:v>
      </x:c>
      <x:c r="AM494" s="9" t="n">
        <x:v>10</x:v>
      </x:c>
      <x:c r="AN494" s="9" t="n">
        <x:v>0</x:v>
      </x:c>
    </x:row>
    <x:row r="495" ht="60" customHeight="1">
      <x:c r="A495" s="9" t="str">
        <x:v>tTpnBh9ea2w</x:v>
      </x:c>
      <x:c r="B495" s="10" t="str">
        <x:v>והארץ הייתה תוהו ובוהו - תולדות ארץ ישראל | פרק 11: איסלאם בארץ הקודש [HD]</x:v>
      </x:c>
      <x:c r="C495" s="10" t="str">
        <x:v>Древняя история</x:v>
      </x:c>
      <x:c r="D495" s="9" t="str">
        <x:v>История</x:v>
      </x:c>
      <x:c r="E495" s="10" t="str">
        <x:v>История; археология; культура</x:v>
      </x:c>
      <x:c r="F495" s="10" t="str">
        <x:v>B2–C1 (гипотеза)</x:v>
      </x:c>
      <x:c r="G495" s="12" t="n">
        <x:v>59.4</x:v>
      </x:c>
      <x:c r="H495" s="14" t="n">
        <x:v>44577</x:v>
      </x:c>
      <x:c r="I495" s="15" t="str">
        <x:v>Точный счётчик метаданных видео</x:v>
      </x:c>
      <x:c r="J495" s="14" t="n">
        <x:v>44000</x:v>
      </x:c>
      <x:c r="K495" s="14" t="n">
        <x:v>44000</x:v>
      </x:c>
      <x:c r="L495" s="12" t="n">
        <x:f>IF(COUNT(J495:K495)=2,IF(K495=0,"",J495/K495),"")</x:f>
        <x:v>1</x:v>
      </x:c>
      <x:c r="M495" s="10" t="str">
        <x:v>Тема: והארץ הייתה תוהו ובוהו - תולדות ארץ ישראל | פרק 11: איסלאם בארץ הקודש [HD]. Цикл расширяет фокус от современной политики до многовековой истории страны. Визуальные материалы поддерживают понимание.</x:v>
      </x:c>
      <x:c r="N495" s="10" t="str">
        <x:v>Составить хронологию и карту терминов; отделить археологическое свидетельство от гипотезы.</x:v>
      </x:c>
      <x:c r="O495" s="10" t="str">
        <x:v>Проверить содержание</x:v>
      </x:c>
      <x:c r="P495" s="10" t="str">
        <x:v>Самостоятельное видео</x:v>
      </x:c>
      <x:c r="Q495" s="9" t="str">
        <x:v>Нет</x:v>
      </x:c>
      <x:c r="R495" s="9" t="str">
        <x:v>C031</x:v>
      </x:c>
      <x:c r="S495" s="9" t="str">
        <x:v>C031</x:v>
      </x:c>
      <x:c r="T495" s="10" t="str">
        <x:v>כאן 11 - תאגיד השידור הישראלי</x:v>
      </x:c>
      <x:c r="U495" s="11" t="str">
        <x:v>https://www.youtube.com/watch?v=tTpnBh9ea2w</x:v>
      </x:c>
      <x:c r="V495" s="16" t="n">
        <x:v>46308</x:v>
      </x:c>
      <x:c r="W495" s="16" t="n">
        <x:v>43391</x:v>
      </x:c>
      <x:c r="X495" s="10" t="str">
        <x:v>Иврит предполагается по заголовку и источнику</x:v>
      </x:c>
      <x:c r="Y495" s="10" t="str">
        <x:v>Дорожка HE не найдена в метаданных; вшитые титры не проверены</x:v>
      </x:c>
      <x:c r="Z495" s="10" t="str">
        <x:v>Разрешено по метаданным</x:v>
      </x:c>
      <x:c r="AA495" s="10" t="str">
        <x:v>Метаданные видео; воспроизведение и содержание не проверены</x:v>
      </x:c>
      <x:c r="AB495" s="13" t="n">
        <x:f>IF(AND(ISNUMBER(H495),ISNUMBER(W495)),H495/MAX(1,'Обзор'!$B$4-W495),"")</x:f>
        <x:v>15.281796366129585</x:v>
      </x:c>
      <x:c r="AC495" s="17" t="str">
        <x:v>Не решено</x:v>
      </x:c>
      <x:c r="AD495" s="17" t="str">
        <x:v>Не проверено</x:v>
      </x:c>
      <x:c r="AE495" s="17" t="str">
        <x:v>Не проверено</x:v>
      </x:c>
      <x:c r="AF495" s="17" t="str">
        <x:v>Не проверено</x:v>
      </x:c>
      <x:c r="AG495" s="17" t="str">
        <x:v>Не решено</x:v>
      </x:c>
      <x:c r="AH495" s="17" t="str">
        <x:v>Не проверено</x:v>
      </x:c>
      <x:c r="AI495" s="10" t="str">
        <x:f>IF(AC495="Отклонить","Отклонено",IF(AND(AC495="Взять",COUNTIFS(AD495:AH495,"Да")=5),"Готово","Нужна редактура"))</x:f>
        <x:v>Нужна редактура</x:v>
      </x:c>
      <x:c r="AJ495" s="17" t="str"/>
      <x:c r="AK495" s="9" t="str">
        <x:v>https://www.youtube.com/playlist?list=PLLttfoK87AdUhE_NlEYGOJKSTUu4sZBdM</x:v>
      </x:c>
      <x:c r="AL495" s="9" t="n">
        <x:v>11</x:v>
      </x:c>
      <x:c r="AM495" s="9" t="n">
        <x:v>11</x:v>
      </x:c>
      <x:c r="AN495" s="9" t="n">
        <x:v>0</x:v>
      </x:c>
    </x:row>
    <x:row r="496" ht="60" customHeight="1">
      <x:c r="A496" s="9" t="str">
        <x:v>Wfo_so5MiwM</x:v>
      </x:c>
      <x:c r="B496" s="10" t="str">
        <x:v>והארץ הייתה תוהו ובוהו - תולדות ארץ ישראל | פרק 12: הצלב, החרב ורוח הקודש [HD]</x:v>
      </x:c>
      <x:c r="C496" s="10" t="str">
        <x:v>Древняя история</x:v>
      </x:c>
      <x:c r="D496" s="9" t="str">
        <x:v>История</x:v>
      </x:c>
      <x:c r="E496" s="10" t="str">
        <x:v>История; археология; культура</x:v>
      </x:c>
      <x:c r="F496" s="10" t="str">
        <x:v>B2–C1 (гипотеза)</x:v>
      </x:c>
      <x:c r="G496" s="12" t="n">
        <x:v>59.8</x:v>
      </x:c>
      <x:c r="H496" s="14" t="n">
        <x:v>40185</x:v>
      </x:c>
      <x:c r="I496" s="15" t="str">
        <x:v>Точный счётчик метаданных видео</x:v>
      </x:c>
      <x:c r="J496" s="14" t="n">
        <x:v>40000</x:v>
      </x:c>
      <x:c r="K496" s="14" t="n">
        <x:v>44000</x:v>
      </x:c>
      <x:c r="L496" s="12" t="n">
        <x:f>IF(COUNT(J496:K496)=2,IF(K496=0,"",J496/K496),"")</x:f>
        <x:v>0.9090909090909091</x:v>
      </x:c>
      <x:c r="M496" s="10" t="str">
        <x:v>Тема: והארץ הייתה תוהו ובוהו - תולדות ארץ ישראל | פרק 12: הצלב, החרב ורוח הקודש [HD]. Цикл расширяет фокус от современной политики до многовековой истории страны. Визуальные материалы поддерживают понимание.</x:v>
      </x:c>
      <x:c r="N496" s="10" t="str">
        <x:v>Составить хронологию и карту терминов; отделить археологическое свидетельство от гипотезы.</x:v>
      </x:c>
      <x:c r="O496" s="10" t="str">
        <x:v>Проверить содержание</x:v>
      </x:c>
      <x:c r="P496" s="10" t="str">
        <x:v>Самостоятельное видео</x:v>
      </x:c>
      <x:c r="Q496" s="9" t="str">
        <x:v>Нет</x:v>
      </x:c>
      <x:c r="R496" s="9" t="str">
        <x:v>C031</x:v>
      </x:c>
      <x:c r="S496" s="9" t="str">
        <x:v>C031</x:v>
      </x:c>
      <x:c r="T496" s="10" t="str">
        <x:v>כאן 11 - תאגיד השידור הישראלי</x:v>
      </x:c>
      <x:c r="U496" s="11" t="str">
        <x:v>https://www.youtube.com/watch?v=Wfo_so5MiwM</x:v>
      </x:c>
      <x:c r="V496" s="16" t="n">
        <x:v>46308</x:v>
      </x:c>
      <x:c r="W496" s="16" t="n">
        <x:v>43391</x:v>
      </x:c>
      <x:c r="X496" s="10" t="str">
        <x:v>Иврит предполагается по заголовку и источнику</x:v>
      </x:c>
      <x:c r="Y496" s="10" t="str">
        <x:v>Дорожка HE не найдена в метаданных; вшитые титры не проверены</x:v>
      </x:c>
      <x:c r="Z496" s="10" t="str">
        <x:v>Разрешено по метаданным</x:v>
      </x:c>
      <x:c r="AA496" s="10" t="str">
        <x:v>Метаданные видео; воспроизведение и содержание не проверены</x:v>
      </x:c>
      <x:c r="AB496" s="13" t="n">
        <x:f>IF(AND(ISNUMBER(H496),ISNUMBER(W496)),H496/MAX(1,'Обзор'!$B$4-W496),"")</x:f>
        <x:v>13.776139869729175</x:v>
      </x:c>
      <x:c r="AC496" s="17" t="str">
        <x:v>Не решено</x:v>
      </x:c>
      <x:c r="AD496" s="17" t="str">
        <x:v>Не проверено</x:v>
      </x:c>
      <x:c r="AE496" s="17" t="str">
        <x:v>Не проверено</x:v>
      </x:c>
      <x:c r="AF496" s="17" t="str">
        <x:v>Не проверено</x:v>
      </x:c>
      <x:c r="AG496" s="17" t="str">
        <x:v>Не решено</x:v>
      </x:c>
      <x:c r="AH496" s="17" t="str">
        <x:v>Не проверено</x:v>
      </x:c>
      <x:c r="AI496" s="10" t="str">
        <x:f>IF(AC496="Отклонить","Отклонено",IF(AND(AC496="Взять",COUNTIFS(AD496:AH496,"Да")=5),"Готово","Нужна редактура"))</x:f>
        <x:v>Нужна редактура</x:v>
      </x:c>
      <x:c r="AJ496" s="17" t="str"/>
      <x:c r="AK496" s="9" t="str">
        <x:v>https://www.youtube.com/playlist?list=PLLttfoK87AdUhE_NlEYGOJKSTUu4sZBdM</x:v>
      </x:c>
      <x:c r="AL496" s="9" t="n">
        <x:v>12</x:v>
      </x:c>
      <x:c r="AM496" s="9" t="n">
        <x:v>12</x:v>
      </x:c>
      <x:c r="AN496" s="9" t="n">
        <x:v>0</x:v>
      </x:c>
    </x:row>
    <x:row r="497" ht="60" customHeight="1">
      <x:c r="A497" s="9" t="str">
        <x:v>eI1MqTlcjLM</x:v>
      </x:c>
      <x:c r="B497" s="10" t="str">
        <x:v>והארץ הייתה תוהו ובוהו - תולדות ארץ ישראל | פרק 13: קדושת ארץ הקודש [HD]</x:v>
      </x:c>
      <x:c r="C497" s="10" t="str">
        <x:v>Древняя история</x:v>
      </x:c>
      <x:c r="D497" s="9" t="str">
        <x:v>История</x:v>
      </x:c>
      <x:c r="E497" s="10" t="str">
        <x:v>История; археология; культура</x:v>
      </x:c>
      <x:c r="F497" s="10" t="str">
        <x:v>B2–C1 (гипотеза)</x:v>
      </x:c>
      <x:c r="G497" s="12" t="n">
        <x:v>50.7</x:v>
      </x:c>
      <x:c r="H497" s="14" t="n">
        <x:v>30000</x:v>
      </x:c>
      <x:c r="I497" s="15" t="str">
        <x:v>Округлённый счётчик в списке YouTube</x:v>
      </x:c>
      <x:c r="J497" s="14" t="n">
        <x:v>30000</x:v>
      </x:c>
      <x:c r="K497" s="14" t="n">
        <x:v>44000</x:v>
      </x:c>
      <x:c r="L497" s="12" t="n">
        <x:f>IF(COUNT(J497:K497)=2,IF(K497=0,"",J497/K497),"")</x:f>
        <x:v>0.6818181818181818</x:v>
      </x:c>
      <x:c r="M497" s="10" t="str">
        <x:v>Тема: והארץ הייתה תוהו ובוהו - תולדות ארץ ישראל | פרק 13: קדושת ארץ הקודש [HD]. Цикл расширяет фокус от современной политики до многовековой истории страны. Визуальные материалы поддерживают понимание.</x:v>
      </x:c>
      <x:c r="N497" s="10" t="str">
        <x:v>Составить хронологию и карту терминов; отделить археологическое свидетельство от гипотезы.</x:v>
      </x:c>
      <x:c r="O497" s="10" t="str">
        <x:v>Проверить содержание</x:v>
      </x:c>
      <x:c r="P497" s="10" t="str">
        <x:v>Самостоятельное видео</x:v>
      </x:c>
      <x:c r="Q497" s="9" t="str">
        <x:v>Нет</x:v>
      </x:c>
      <x:c r="R497" s="9" t="str">
        <x:v>C031</x:v>
      </x:c>
      <x:c r="S497" s="9" t="str">
        <x:v>C031</x:v>
      </x:c>
      <x:c r="T497" s="10" t="str">
        <x:v>כאן 11 - תאגיד השידור הישראלי</x:v>
      </x:c>
      <x:c r="U497" s="11" t="str">
        <x:v>https://www.youtube.com/watch?v=eI1MqTlcjLM</x:v>
      </x:c>
      <x:c r="V497" s="16" t="n">
        <x:v>46308</x:v>
      </x:c>
      <x:c r="W497" s="16"/>
      <x:c r="X497" s="10" t="str">
        <x:v>Иврит предполагается по заголовку и источнику</x:v>
      </x:c>
      <x:c r="Y497" s="10" t="str">
        <x:v>Не проверено</x:v>
      </x:c>
      <x:c r="Z497" s="10" t="str">
        <x:v>Не проверено</x:v>
      </x:c>
      <x:c r="AA497" s="10" t="str">
        <x:v>Метаданные списка; видео не просмотрено</x:v>
      </x:c>
      <x:c r="AB497" s="13" t="str">
        <x:f>IF(AND(ISNUMBER(H497),ISNUMBER(W497)),H497/MAX(1,'Обзор'!$B$4-W497),"")</x:f>
      </x:c>
      <x:c r="AC497" s="17" t="str">
        <x:v>Не решено</x:v>
      </x:c>
      <x:c r="AD497" s="17" t="str">
        <x:v>Не проверено</x:v>
      </x:c>
      <x:c r="AE497" s="17" t="str">
        <x:v>Не проверено</x:v>
      </x:c>
      <x:c r="AF497" s="17" t="str">
        <x:v>Не проверено</x:v>
      </x:c>
      <x:c r="AG497" s="17" t="str">
        <x:v>Не решено</x:v>
      </x:c>
      <x:c r="AH497" s="17" t="str">
        <x:v>Не проверено</x:v>
      </x:c>
      <x:c r="AI497" s="10" t="str">
        <x:f>IF(AC497="Отклонить","Отклонено",IF(AND(AC497="Взять",COUNTIFS(AD497:AH497,"Да")=5),"Готово","Нужна редактура"))</x:f>
        <x:v>Нужна редактура</x:v>
      </x:c>
      <x:c r="AJ497" s="17" t="str"/>
      <x:c r="AK497" s="9" t="str">
        <x:v>https://www.youtube.com/playlist?list=PLLttfoK87AdUhE_NlEYGOJKSTUu4sZBdM</x:v>
      </x:c>
      <x:c r="AL497" s="9" t="n">
        <x:v>13</x:v>
      </x:c>
      <x:c r="AM497" s="9" t="n">
        <x:v>13</x:v>
      </x:c>
      <x:c r="AN497" s="9"/>
    </x:row>
    <x:row r="498" ht="60" customHeight="1">
      <x:c r="A498" s="9" t="str">
        <x:v>fpeF6zszfHc</x:v>
      </x:c>
      <x:c r="B498" s="10" t="str">
        <x:v>והארץ הייתה תוהו ובוהו - תולדות ארץ ישראל | פרק 14: עבד כי ימלוך [HD]</x:v>
      </x:c>
      <x:c r="C498" s="10" t="str">
        <x:v>Древняя история</x:v>
      </x:c>
      <x:c r="D498" s="9" t="str">
        <x:v>История</x:v>
      </x:c>
      <x:c r="E498" s="10" t="str">
        <x:v>История; археология; культура</x:v>
      </x:c>
      <x:c r="F498" s="10" t="str">
        <x:v>B2–C1 (гипотеза)</x:v>
      </x:c>
      <x:c r="G498" s="12" t="n">
        <x:v>54.3</x:v>
      </x:c>
      <x:c r="H498" s="14" t="n">
        <x:v>31000</x:v>
      </x:c>
      <x:c r="I498" s="15" t="str">
        <x:v>Округлённый счётчик в списке YouTube</x:v>
      </x:c>
      <x:c r="J498" s="14" t="n">
        <x:v>31000</x:v>
      </x:c>
      <x:c r="K498" s="14" t="n">
        <x:v>44000</x:v>
      </x:c>
      <x:c r="L498" s="12" t="n">
        <x:f>IF(COUNT(J498:K498)=2,IF(K498=0,"",J498/K498),"")</x:f>
        <x:v>0.7045454545454546</x:v>
      </x:c>
      <x:c r="M498" s="10" t="str">
        <x:v>Тема: והארץ הייתה תוהו ובוהו - תולדות ארץ ישראל | פרק 14: עבד כי ימלוך [HD]. Цикл расширяет фокус от современной политики до многовековой истории страны. Визуальные материалы поддерживают понимание.</x:v>
      </x:c>
      <x:c r="N498" s="10" t="str">
        <x:v>Составить хронологию и карту терминов; отделить археологическое свидетельство от гипотезы.</x:v>
      </x:c>
      <x:c r="O498" s="10" t="str">
        <x:v>Проверить содержание</x:v>
      </x:c>
      <x:c r="P498" s="10" t="str">
        <x:v>Самостоятельное видео</x:v>
      </x:c>
      <x:c r="Q498" s="9" t="str">
        <x:v>Нет</x:v>
      </x:c>
      <x:c r="R498" s="9" t="str">
        <x:v>C031</x:v>
      </x:c>
      <x:c r="S498" s="9" t="str">
        <x:v>C031</x:v>
      </x:c>
      <x:c r="T498" s="10" t="str">
        <x:v>כאן 11 - תאגיד השידור הישראלי</x:v>
      </x:c>
      <x:c r="U498" s="11" t="str">
        <x:v>https://www.youtube.com/watch?v=fpeF6zszfHc</x:v>
      </x:c>
      <x:c r="V498" s="16" t="n">
        <x:v>46308</x:v>
      </x:c>
      <x:c r="W498" s="16"/>
      <x:c r="X498" s="10" t="str">
        <x:v>Иврит предполагается по заголовку и источнику</x:v>
      </x:c>
      <x:c r="Y498" s="10" t="str">
        <x:v>Не проверено</x:v>
      </x:c>
      <x:c r="Z498" s="10" t="str">
        <x:v>Не проверено</x:v>
      </x:c>
      <x:c r="AA498" s="10" t="str">
        <x:v>Метаданные списка; видео не просмотрено</x:v>
      </x:c>
      <x:c r="AB498" s="13" t="str">
        <x:f>IF(AND(ISNUMBER(H498),ISNUMBER(W498)),H498/MAX(1,'Обзор'!$B$4-W498),"")</x:f>
      </x:c>
      <x:c r="AC498" s="17" t="str">
        <x:v>Не решено</x:v>
      </x:c>
      <x:c r="AD498" s="17" t="str">
        <x:v>Не проверено</x:v>
      </x:c>
      <x:c r="AE498" s="17" t="str">
        <x:v>Не проверено</x:v>
      </x:c>
      <x:c r="AF498" s="17" t="str">
        <x:v>Не проверено</x:v>
      </x:c>
      <x:c r="AG498" s="17" t="str">
        <x:v>Не решено</x:v>
      </x:c>
      <x:c r="AH498" s="17" t="str">
        <x:v>Не проверено</x:v>
      </x:c>
      <x:c r="AI498" s="10" t="str">
        <x:f>IF(AC498="Отклонить","Отклонено",IF(AND(AC498="Взять",COUNTIFS(AD498:AH498,"Да")=5),"Готово","Нужна редактура"))</x:f>
        <x:v>Нужна редактура</x:v>
      </x:c>
      <x:c r="AJ498" s="17" t="str"/>
      <x:c r="AK498" s="9" t="str">
        <x:v>https://www.youtube.com/playlist?list=PLLttfoK87AdUhE_NlEYGOJKSTUu4sZBdM</x:v>
      </x:c>
      <x:c r="AL498" s="9" t="n">
        <x:v>14</x:v>
      </x:c>
      <x:c r="AM498" s="9" t="n">
        <x:v>14</x:v>
      </x:c>
      <x:c r="AN498" s="9"/>
    </x:row>
    <x:row r="499" ht="60" customHeight="1">
      <x:c r="A499" s="9" t="str">
        <x:v>0NoPgcB59mk</x:v>
      </x:c>
      <x:c r="B499" s="10" t="str">
        <x:v>והארץ הייתה תוהו ובוהו - תולדות ארץ ישראל | פרק 15: מזרח תיכון חדש [HD]</x:v>
      </x:c>
      <x:c r="C499" s="10" t="str">
        <x:v>Древняя история</x:v>
      </x:c>
      <x:c r="D499" s="9" t="str">
        <x:v>История</x:v>
      </x:c>
      <x:c r="E499" s="10" t="str">
        <x:v>История; археология; культура</x:v>
      </x:c>
      <x:c r="F499" s="10" t="str">
        <x:v>B2–C1 (гипотеза)</x:v>
      </x:c>
      <x:c r="G499" s="12" t="n">
        <x:v>57.7</x:v>
      </x:c>
      <x:c r="H499" s="14" t="n">
        <x:v>46823</x:v>
      </x:c>
      <x:c r="I499" s="15" t="str">
        <x:v>Точный счётчик метаданных видео</x:v>
      </x:c>
      <x:c r="J499" s="14" t="n">
        <x:v>46000</x:v>
      </x:c>
      <x:c r="K499" s="14" t="n">
        <x:v>44000</x:v>
      </x:c>
      <x:c r="L499" s="12" t="n">
        <x:f>IF(COUNT(J499:K499)=2,IF(K499=0,"",J499/K499),"")</x:f>
        <x:v>1.0454545454545454</x:v>
      </x:c>
      <x:c r="M499" s="10" t="str">
        <x:v>Тема: והארץ הייתה תוהו ובוהו - תולדות ארץ ישראל | פרק 15: מזרח תיכון חדש [HD]. Цикл расширяет фокус от современной политики до многовековой истории страны. Визуальные материалы поддерживают понимание.</x:v>
      </x:c>
      <x:c r="N499" s="10" t="str">
        <x:v>Составить хронологию и карту терминов; отделить археологическое свидетельство от гипотезы.</x:v>
      </x:c>
      <x:c r="O499" s="10" t="str">
        <x:v>Проверить содержание</x:v>
      </x:c>
      <x:c r="P499" s="10" t="str">
        <x:v>Самостоятельное видео</x:v>
      </x:c>
      <x:c r="Q499" s="9" t="str">
        <x:v>Нет</x:v>
      </x:c>
      <x:c r="R499" s="9" t="str">
        <x:v>C031</x:v>
      </x:c>
      <x:c r="S499" s="9" t="str">
        <x:v>C031</x:v>
      </x:c>
      <x:c r="T499" s="10" t="str">
        <x:v>כאן 11 - תאגיד השידור הישראלי</x:v>
      </x:c>
      <x:c r="U499" s="11" t="str">
        <x:v>https://www.youtube.com/watch?v=0NoPgcB59mk</x:v>
      </x:c>
      <x:c r="V499" s="16" t="n">
        <x:v>46308</x:v>
      </x:c>
      <x:c r="W499" s="16" t="n">
        <x:v>43391</x:v>
      </x:c>
      <x:c r="X499" s="10" t="str">
        <x:v>Иврит предполагается по заголовку и источнику</x:v>
      </x:c>
      <x:c r="Y499" s="10" t="str">
        <x:v>Дорожка HE не найдена в метаданных; вшитые титры не проверены</x:v>
      </x:c>
      <x:c r="Z499" s="10" t="str">
        <x:v>Разрешено по метаданным</x:v>
      </x:c>
      <x:c r="AA499" s="10" t="str">
        <x:v>Метаданные видео; воспроизведение и содержание не проверены</x:v>
      </x:c>
      <x:c r="AB499" s="13" t="n">
        <x:f>IF(AND(ISNUMBER(H499),ISNUMBER(W499)),H499/MAX(1,'Обзор'!$B$4-W499),"")</x:f>
        <x:v>16.051765512512855</x:v>
      </x:c>
      <x:c r="AC499" s="17" t="str">
        <x:v>Не решено</x:v>
      </x:c>
      <x:c r="AD499" s="17" t="str">
        <x:v>Не проверено</x:v>
      </x:c>
      <x:c r="AE499" s="17" t="str">
        <x:v>Не проверено</x:v>
      </x:c>
      <x:c r="AF499" s="17" t="str">
        <x:v>Не проверено</x:v>
      </x:c>
      <x:c r="AG499" s="17" t="str">
        <x:v>Не решено</x:v>
      </x:c>
      <x:c r="AH499" s="17" t="str">
        <x:v>Не проверено</x:v>
      </x:c>
      <x:c r="AI499" s="10" t="str">
        <x:f>IF(AC499="Отклонить","Отклонено",IF(AND(AC499="Взять",COUNTIFS(AD499:AH499,"Да")=5),"Готово","Нужна редактура"))</x:f>
        <x:v>Нужна редактура</x:v>
      </x:c>
      <x:c r="AJ499" s="17" t="str"/>
      <x:c r="AK499" s="9" t="str">
        <x:v>https://www.youtube.com/playlist?list=PLLttfoK87AdUhE_NlEYGOJKSTUu4sZBdM</x:v>
      </x:c>
      <x:c r="AL499" s="9" t="n">
        <x:v>15</x:v>
      </x:c>
      <x:c r="AM499" s="9" t="n">
        <x:v>15</x:v>
      </x:c>
      <x:c r="AN499" s="9" t="n">
        <x:v>0</x:v>
      </x:c>
    </x:row>
    <x:row r="500" ht="60" customHeight="1">
      <x:c r="A500" s="9" t="str">
        <x:v>3te51oqLUos</x:v>
      </x:c>
      <x:c r="B500" s="10" t="str">
        <x:v>ירוסלם | פרק 1</x:v>
      </x:c>
      <x:c r="C500" s="10" t="str">
        <x:v>История общин</x:v>
      </x:c>
      <x:c r="D500" s="9" t="str">
        <x:v>История</x:v>
      </x:c>
      <x:c r="E500" s="10" t="str">
        <x:v>История; алия; разнообразие общества</x:v>
      </x:c>
      <x:c r="F500" s="10" t="str">
        <x:v>B2–C1 (гипотеза)</x:v>
      </x:c>
      <x:c r="G500" s="12" t="n">
        <x:v>57</x:v>
      </x:c>
      <x:c r="H500" s="14" t="n">
        <x:v>128946</x:v>
      </x:c>
      <x:c r="I500" s="15" t="str">
        <x:v>Точный счётчик метаданных видео</x:v>
      </x:c>
      <x:c r="J500" s="14" t="n">
        <x:v>128000</x:v>
      </x:c>
      <x:c r="K500" s="14" t="n">
        <x:v>53000</x:v>
      </x:c>
      <x:c r="L500" s="12" t="n">
        <x:f>IF(COUNT(J500:K500)=2,IF(K500=0,"",J500/K500),"")</x:f>
        <x:v>2.4150943396226414</x:v>
      </x:c>
      <x:c r="M500" s="10" t="str">
        <x:v>Тема: ירוסלם | פרק 1. Просмотры в списке выше медианы выборки этого цикла в 2.42 раза. История эфиопской общины расширяет представление об алие и опыте интеграции.</x:v>
      </x:c>
      <x:c r="N500" s="10" t="str">
        <x:v>Выделить слова пути, принадлежности и идентичности; сравнить два рассказа.</x:v>
      </x:c>
      <x:c r="O500" s="10" t="str">
        <x:v>Расизм, потери, миграционная травма</x:v>
      </x:c>
      <x:c r="P500" s="10" t="str">
        <x:v>Самостоятельное видео</x:v>
      </x:c>
      <x:c r="Q500" s="9" t="str">
        <x:v>Нет</x:v>
      </x:c>
      <x:c r="R500" s="9" t="str">
        <x:v>C032</x:v>
      </x:c>
      <x:c r="S500" s="9" t="str">
        <x:v>C032</x:v>
      </x:c>
      <x:c r="T500" s="10" t="str">
        <x:v>כאן 11 - תאגיד השידור הישראלי</x:v>
      </x:c>
      <x:c r="U500" s="11" t="str">
        <x:v>https://www.youtube.com/watch?v=3te51oqLUos</x:v>
      </x:c>
      <x:c r="V500" s="16" t="n">
        <x:v>46308</x:v>
      </x:c>
      <x:c r="W500" s="16" t="n">
        <x:v>42838</x:v>
      </x:c>
      <x:c r="X500" s="10" t="str">
        <x:v>iw</x:v>
      </x:c>
      <x:c r="Y500" s="10" t="str">
        <x:v>Автоматическая дорожка HE по метаданным</x:v>
      </x:c>
      <x:c r="Z500" s="10" t="str">
        <x:v>Разрешено по метаданным</x:v>
      </x:c>
      <x:c r="AA500" s="10" t="str">
        <x:v>Метаданные видео; воспроизведение и содержание не проверены</x:v>
      </x:c>
      <x:c r="AB500" s="13" t="n">
        <x:f>IF(AND(ISNUMBER(H500),ISNUMBER(W500)),H500/MAX(1,'Обзор'!$B$4-W500),"")</x:f>
        <x:v>37.160230547550434</x:v>
      </x:c>
      <x:c r="AC500" s="17" t="str">
        <x:v>Не решено</x:v>
      </x:c>
      <x:c r="AD500" s="17" t="str">
        <x:v>Не проверено</x:v>
      </x:c>
      <x:c r="AE500" s="17" t="str">
        <x:v>Не проверено</x:v>
      </x:c>
      <x:c r="AF500" s="17" t="str">
        <x:v>Не проверено</x:v>
      </x:c>
      <x:c r="AG500" s="17" t="str">
        <x:v>Не решено</x:v>
      </x:c>
      <x:c r="AH500" s="17" t="str">
        <x:v>Не проверено</x:v>
      </x:c>
      <x:c r="AI500" s="10" t="str">
        <x:f>IF(AC500="Отклонить","Отклонено",IF(AND(AC500="Взять",COUNTIFS(AD500:AH500,"Да")=5),"Готово","Нужна редактура"))</x:f>
        <x:v>Нужна редактура</x:v>
      </x:c>
      <x:c r="AJ500" s="17" t="str"/>
      <x:c r="AK500" s="9" t="str">
        <x:v>https://www.youtube.com/playlist?list=PLLttfoK87AdVjZ0W756Mnwx2MGJJDrTFI</x:v>
      </x:c>
      <x:c r="AL500" s="9" t="n">
        <x:v>1</x:v>
      </x:c>
      <x:c r="AM500" s="9" t="n">
        <x:v>1</x:v>
      </x:c>
      <x:c r="AN500" s="9" t="n">
        <x:v>0</x:v>
      </x:c>
    </x:row>
    <x:row r="501" ht="60" customHeight="1">
      <x:c r="A501" s="9" t="str">
        <x:v>1ahW0_McSvQ</x:v>
      </x:c>
      <x:c r="B501" s="10" t="str">
        <x:v>ירוסלם | פרק 2</x:v>
      </x:c>
      <x:c r="C501" s="10" t="str">
        <x:v>История общин</x:v>
      </x:c>
      <x:c r="D501" s="9" t="str">
        <x:v>История</x:v>
      </x:c>
      <x:c r="E501" s="10" t="str">
        <x:v>История; алия; разнообразие общества</x:v>
      </x:c>
      <x:c r="F501" s="10" t="str">
        <x:v>B2–C1 (гипотеза)</x:v>
      </x:c>
      <x:c r="G501" s="12" t="n">
        <x:v>55.6</x:v>
      </x:c>
      <x:c r="H501" s="14" t="n">
        <x:v>57201</x:v>
      </x:c>
      <x:c r="I501" s="15" t="str">
        <x:v>Точный счётчик метаданных видео</x:v>
      </x:c>
      <x:c r="J501" s="14" t="n">
        <x:v>57000</x:v>
      </x:c>
      <x:c r="K501" s="14" t="n">
        <x:v>53000</x:v>
      </x:c>
      <x:c r="L501" s="12" t="n">
        <x:f>IF(COUNT(J501:K501)=2,IF(K501=0,"",J501/K501),"")</x:f>
        <x:v>1.0754716981132075</x:v>
      </x:c>
      <x:c r="M501" s="10" t="str">
        <x:v>Тема: ירוסלם | פרק 2. История эфиопской общины расширяет представление об алие и опыте интеграции.</x:v>
      </x:c>
      <x:c r="N501" s="10" t="str">
        <x:v>Выделить слова пути, принадлежности и идентичности; сравнить два рассказа.</x:v>
      </x:c>
      <x:c r="O501" s="10" t="str">
        <x:v>Расизм, потери, миграционная травма</x:v>
      </x:c>
      <x:c r="P501" s="10" t="str">
        <x:v>Самостоятельное видео</x:v>
      </x:c>
      <x:c r="Q501" s="9" t="str">
        <x:v>Нет</x:v>
      </x:c>
      <x:c r="R501" s="9" t="str">
        <x:v>C032</x:v>
      </x:c>
      <x:c r="S501" s="9" t="str">
        <x:v>C032</x:v>
      </x:c>
      <x:c r="T501" s="10" t="str">
        <x:v>כאן 11 - תאגיד השידור הישראלי</x:v>
      </x:c>
      <x:c r="U501" s="11" t="str">
        <x:v>https://www.youtube.com/watch?v=1ahW0_McSvQ</x:v>
      </x:c>
      <x:c r="V501" s="16" t="n">
        <x:v>46308</x:v>
      </x:c>
      <x:c r="W501" s="16" t="n">
        <x:v>42845</x:v>
      </x:c>
      <x:c r="X501" s="10" t="str">
        <x:v>iw</x:v>
      </x:c>
      <x:c r="Y501" s="10" t="str">
        <x:v>Автоматическая дорожка HE по метаданным</x:v>
      </x:c>
      <x:c r="Z501" s="10" t="str">
        <x:v>Разрешено по метаданным</x:v>
      </x:c>
      <x:c r="AA501" s="10" t="str">
        <x:v>Метаданные видео; воспроизведение и содержание не проверены</x:v>
      </x:c>
      <x:c r="AB501" s="13" t="n">
        <x:f>IF(AND(ISNUMBER(H501),ISNUMBER(W501)),H501/MAX(1,'Обзор'!$B$4-W501),"")</x:f>
        <x:v>16.51775916835114</x:v>
      </x:c>
      <x:c r="AC501" s="17" t="str">
        <x:v>Не решено</x:v>
      </x:c>
      <x:c r="AD501" s="17" t="str">
        <x:v>Не проверено</x:v>
      </x:c>
      <x:c r="AE501" s="17" t="str">
        <x:v>Не проверено</x:v>
      </x:c>
      <x:c r="AF501" s="17" t="str">
        <x:v>Не проверено</x:v>
      </x:c>
      <x:c r="AG501" s="17" t="str">
        <x:v>Не решено</x:v>
      </x:c>
      <x:c r="AH501" s="17" t="str">
        <x:v>Не проверено</x:v>
      </x:c>
      <x:c r="AI501" s="10" t="str">
        <x:f>IF(AC501="Отклонить","Отклонено",IF(AND(AC501="Взять",COUNTIFS(AD501:AH501,"Да")=5),"Готово","Нужна редактура"))</x:f>
        <x:v>Нужна редактура</x:v>
      </x:c>
      <x:c r="AJ501" s="17" t="str"/>
      <x:c r="AK501" s="9" t="str">
        <x:v>https://www.youtube.com/playlist?list=PLLttfoK87AdVjZ0W756Mnwx2MGJJDrTFI</x:v>
      </x:c>
      <x:c r="AL501" s="9" t="n">
        <x:v>2</x:v>
      </x:c>
      <x:c r="AM501" s="9" t="n">
        <x:v>2</x:v>
      </x:c>
      <x:c r="AN501" s="9" t="n">
        <x:v>0</x:v>
      </x:c>
    </x:row>
    <x:row r="502" ht="60" customHeight="1">
      <x:c r="A502" s="9" t="str">
        <x:v>YYaW_qPnA84</x:v>
      </x:c>
      <x:c r="B502" s="10" t="str">
        <x:v>ירוסלם | פרק 3</x:v>
      </x:c>
      <x:c r="C502" s="10" t="str">
        <x:v>История общин</x:v>
      </x:c>
      <x:c r="D502" s="9" t="str">
        <x:v>История</x:v>
      </x:c>
      <x:c r="E502" s="10" t="str">
        <x:v>История; алия; разнообразие общества</x:v>
      </x:c>
      <x:c r="F502" s="10" t="str">
        <x:v>B2–C1 (гипотеза)</x:v>
      </x:c>
      <x:c r="G502" s="12" t="n">
        <x:v>55.4</x:v>
      </x:c>
      <x:c r="H502" s="14" t="n">
        <x:v>53231</x:v>
      </x:c>
      <x:c r="I502" s="15" t="str">
        <x:v>Точный счётчик метаданных видео</x:v>
      </x:c>
      <x:c r="J502" s="14" t="n">
        <x:v>53000</x:v>
      </x:c>
      <x:c r="K502" s="14" t="n">
        <x:v>53000</x:v>
      </x:c>
      <x:c r="L502" s="12" t="n">
        <x:f>IF(COUNT(J502:K502)=2,IF(K502=0,"",J502/K502),"")</x:f>
        <x:v>1</x:v>
      </x:c>
      <x:c r="M502" s="10" t="str">
        <x:v>Тема: ירוסלם | פרק 3. История эфиопской общины расширяет представление об алие и опыте интеграции.</x:v>
      </x:c>
      <x:c r="N502" s="10" t="str">
        <x:v>Выделить слова пути, принадлежности и идентичности; сравнить два рассказа.</x:v>
      </x:c>
      <x:c r="O502" s="10" t="str">
        <x:v>Расизм, потери, миграционная травма</x:v>
      </x:c>
      <x:c r="P502" s="10" t="str">
        <x:v>Самостоятельное видео</x:v>
      </x:c>
      <x:c r="Q502" s="9" t="str">
        <x:v>Нет</x:v>
      </x:c>
      <x:c r="R502" s="9" t="str">
        <x:v>C032</x:v>
      </x:c>
      <x:c r="S502" s="9" t="str">
        <x:v>C032</x:v>
      </x:c>
      <x:c r="T502" s="10" t="str">
        <x:v>כאן 11 - תאגיד השידור הישראלי</x:v>
      </x:c>
      <x:c r="U502" s="11" t="str">
        <x:v>https://www.youtube.com/watch?v=YYaW_qPnA84</x:v>
      </x:c>
      <x:c r="V502" s="16" t="n">
        <x:v>46308</x:v>
      </x:c>
      <x:c r="W502" s="16" t="n">
        <x:v>42852</x:v>
      </x:c>
      <x:c r="X502" s="10" t="str">
        <x:v>Иврит предполагается по заголовку и источнику</x:v>
      </x:c>
      <x:c r="Y502" s="10" t="str">
        <x:v>Автоматическая дорожка HE по метаданным</x:v>
      </x:c>
      <x:c r="Z502" s="10" t="str">
        <x:v>Разрешено по метаданным</x:v>
      </x:c>
      <x:c r="AA502" s="10" t="str">
        <x:v>Метаданные видео; воспроизведение и содержание не проверены</x:v>
      </x:c>
      <x:c r="AB502" s="13" t="n">
        <x:f>IF(AND(ISNUMBER(H502),ISNUMBER(W502)),H502/MAX(1,'Обзор'!$B$4-W502),"")</x:f>
        <x:v>15.402488425925926</x:v>
      </x:c>
      <x:c r="AC502" s="17" t="str">
        <x:v>Не решено</x:v>
      </x:c>
      <x:c r="AD502" s="17" t="str">
        <x:v>Не проверено</x:v>
      </x:c>
      <x:c r="AE502" s="17" t="str">
        <x:v>Не проверено</x:v>
      </x:c>
      <x:c r="AF502" s="17" t="str">
        <x:v>Не проверено</x:v>
      </x:c>
      <x:c r="AG502" s="17" t="str">
        <x:v>Не решено</x:v>
      </x:c>
      <x:c r="AH502" s="17" t="str">
        <x:v>Не проверено</x:v>
      </x:c>
      <x:c r="AI502" s="10" t="str">
        <x:f>IF(AC502="Отклонить","Отклонено",IF(AND(AC502="Взять",COUNTIFS(AD502:AH502,"Да")=5),"Готово","Нужна редактура"))</x:f>
        <x:v>Нужна редактура</x:v>
      </x:c>
      <x:c r="AJ502" s="17" t="str"/>
      <x:c r="AK502" s="9" t="str">
        <x:v>https://www.youtube.com/playlist?list=PLLttfoK87AdVjZ0W756Mnwx2MGJJDrTFI</x:v>
      </x:c>
      <x:c r="AL502" s="9" t="n">
        <x:v>3</x:v>
      </x:c>
      <x:c r="AM502" s="9" t="n">
        <x:v>3</x:v>
      </x:c>
      <x:c r="AN502" s="9" t="n">
        <x:v>0</x:v>
      </x:c>
    </x:row>
    <x:row r="503" ht="60" customHeight="1">
      <x:c r="A503" s="9" t="str">
        <x:v>wHfnsxkiBbc</x:v>
      </x:c>
      <x:c r="B503" s="10" t="str">
        <x:v>ירוסלם | פרק 4</x:v>
      </x:c>
      <x:c r="C503" s="10" t="str">
        <x:v>История общин</x:v>
      </x:c>
      <x:c r="D503" s="9" t="str">
        <x:v>История</x:v>
      </x:c>
      <x:c r="E503" s="10" t="str">
        <x:v>История; алия; разнообразие общества</x:v>
      </x:c>
      <x:c r="F503" s="10" t="str">
        <x:v>B2–C1 (гипотеза)</x:v>
      </x:c>
      <x:c r="G503" s="12" t="n">
        <x:v>52.1</x:v>
      </x:c>
      <x:c r="H503" s="14" t="n">
        <x:v>33000</x:v>
      </x:c>
      <x:c r="I503" s="15" t="str">
        <x:v>Округлённый счётчик в списке YouTube</x:v>
      </x:c>
      <x:c r="J503" s="14" t="n">
        <x:v>33000</x:v>
      </x:c>
      <x:c r="K503" s="14" t="n">
        <x:v>53000</x:v>
      </x:c>
      <x:c r="L503" s="12" t="n">
        <x:f>IF(COUNT(J503:K503)=2,IF(K503=0,"",J503/K503),"")</x:f>
        <x:v>0.6226415094339622</x:v>
      </x:c>
      <x:c r="M503" s="10" t="str">
        <x:v>Тема: ירוסלם | פרק 4. История эфиопской общины расширяет представление об алие и опыте интеграции.</x:v>
      </x:c>
      <x:c r="N503" s="10" t="str">
        <x:v>Выделить слова пути, принадлежности и идентичности; сравнить два рассказа.</x:v>
      </x:c>
      <x:c r="O503" s="10" t="str">
        <x:v>Расизм, потери, миграционная травма</x:v>
      </x:c>
      <x:c r="P503" s="10" t="str">
        <x:v>Самостоятельное видео</x:v>
      </x:c>
      <x:c r="Q503" s="9" t="str">
        <x:v>Нет</x:v>
      </x:c>
      <x:c r="R503" s="9" t="str">
        <x:v>C032</x:v>
      </x:c>
      <x:c r="S503" s="9" t="str">
        <x:v>C032</x:v>
      </x:c>
      <x:c r="T503" s="10" t="str">
        <x:v>כאן 11 - תאגיד השידור הישראלי</x:v>
      </x:c>
      <x:c r="U503" s="11" t="str">
        <x:v>https://www.youtube.com/watch?v=wHfnsxkiBbc</x:v>
      </x:c>
      <x:c r="V503" s="16" t="n">
        <x:v>46308</x:v>
      </x:c>
      <x:c r="W503" s="16"/>
      <x:c r="X503" s="10" t="str">
        <x:v>Иврит предполагается по заголовку и источнику</x:v>
      </x:c>
      <x:c r="Y503" s="10" t="str">
        <x:v>Не проверено</x:v>
      </x:c>
      <x:c r="Z503" s="10" t="str">
        <x:v>Не проверено</x:v>
      </x:c>
      <x:c r="AA503" s="10" t="str">
        <x:v>Метаданные списка; видео не просмотрено</x:v>
      </x:c>
      <x:c r="AB503" s="13" t="str">
        <x:f>IF(AND(ISNUMBER(H503),ISNUMBER(W503)),H503/MAX(1,'Обзор'!$B$4-W503),"")</x:f>
      </x:c>
      <x:c r="AC503" s="17" t="str">
        <x:v>Не решено</x:v>
      </x:c>
      <x:c r="AD503" s="17" t="str">
        <x:v>Не проверено</x:v>
      </x:c>
      <x:c r="AE503" s="17" t="str">
        <x:v>Не проверено</x:v>
      </x:c>
      <x:c r="AF503" s="17" t="str">
        <x:v>Не проверено</x:v>
      </x:c>
      <x:c r="AG503" s="17" t="str">
        <x:v>Не решено</x:v>
      </x:c>
      <x:c r="AH503" s="17" t="str">
        <x:v>Не проверено</x:v>
      </x:c>
      <x:c r="AI503" s="10" t="str">
        <x:f>IF(AC503="Отклонить","Отклонено",IF(AND(AC503="Взять",COUNTIFS(AD503:AH503,"Да")=5),"Готово","Нужна редактура"))</x:f>
        <x:v>Нужна редактура</x:v>
      </x:c>
      <x:c r="AJ503" s="17" t="str"/>
      <x:c r="AK503" s="9" t="str">
        <x:v>https://www.youtube.com/playlist?list=PLLttfoK87AdVjZ0W756Mnwx2MGJJDrTFI</x:v>
      </x:c>
      <x:c r="AL503" s="9" t="n">
        <x:v>4</x:v>
      </x:c>
      <x:c r="AM503" s="9" t="n">
        <x:v>4</x:v>
      </x:c>
      <x:c r="AN503" s="9"/>
    </x:row>
    <x:row r="504" ht="60" customHeight="1">
      <x:c r="A504" s="9" t="str">
        <x:v>vzvf_3X3wF8</x:v>
      </x:c>
      <x:c r="B504" s="10" t="str">
        <x:v>ירוסלם | פרק 5</x:v>
      </x:c>
      <x:c r="C504" s="10" t="str">
        <x:v>История общин</x:v>
      </x:c>
      <x:c r="D504" s="9" t="str">
        <x:v>История</x:v>
      </x:c>
      <x:c r="E504" s="10" t="str">
        <x:v>История; алия; разнообразие общества</x:v>
      </x:c>
      <x:c r="F504" s="10" t="str">
        <x:v>B2–C1 (гипотеза)</x:v>
      </x:c>
      <x:c r="G504" s="12" t="n">
        <x:v>51.5</x:v>
      </x:c>
      <x:c r="H504" s="14" t="n">
        <x:v>32000</x:v>
      </x:c>
      <x:c r="I504" s="15" t="str">
        <x:v>Округлённый счётчик в списке YouTube</x:v>
      </x:c>
      <x:c r="J504" s="14" t="n">
        <x:v>32000</x:v>
      </x:c>
      <x:c r="K504" s="14" t="n">
        <x:v>53000</x:v>
      </x:c>
      <x:c r="L504" s="12" t="n">
        <x:f>IF(COUNT(J504:K504)=2,IF(K504=0,"",J504/K504),"")</x:f>
        <x:v>0.6037735849056604</x:v>
      </x:c>
      <x:c r="M504" s="10" t="str">
        <x:v>Тема: ירוסלם | פרק 5. История эфиопской общины расширяет представление об алие и опыте интеграции.</x:v>
      </x:c>
      <x:c r="N504" s="10" t="str">
        <x:v>Выделить слова пути, принадлежности и идентичности; сравнить два рассказа.</x:v>
      </x:c>
      <x:c r="O504" s="10" t="str">
        <x:v>Расизм, потери, миграционная травма</x:v>
      </x:c>
      <x:c r="P504" s="10" t="str">
        <x:v>Самостоятельное видео</x:v>
      </x:c>
      <x:c r="Q504" s="9" t="str">
        <x:v>Нет</x:v>
      </x:c>
      <x:c r="R504" s="9" t="str">
        <x:v>C032</x:v>
      </x:c>
      <x:c r="S504" s="9" t="str">
        <x:v>C032</x:v>
      </x:c>
      <x:c r="T504" s="10" t="str">
        <x:v>כאן 11 - תאגיד השידור הישראלי</x:v>
      </x:c>
      <x:c r="U504" s="11" t="str">
        <x:v>https://www.youtube.com/watch?v=vzvf_3X3wF8</x:v>
      </x:c>
      <x:c r="V504" s="16" t="n">
        <x:v>46308</x:v>
      </x:c>
      <x:c r="W504" s="16"/>
      <x:c r="X504" s="10" t="str">
        <x:v>Иврит предполагается по заголовку и источнику</x:v>
      </x:c>
      <x:c r="Y504" s="10" t="str">
        <x:v>Не проверено</x:v>
      </x:c>
      <x:c r="Z504" s="10" t="str">
        <x:v>Не проверено</x:v>
      </x:c>
      <x:c r="AA504" s="10" t="str">
        <x:v>Метаданные списка; видео не просмотрено</x:v>
      </x:c>
      <x:c r="AB504" s="13" t="str">
        <x:f>IF(AND(ISNUMBER(H504),ISNUMBER(W504)),H504/MAX(1,'Обзор'!$B$4-W504),"")</x:f>
      </x:c>
      <x:c r="AC504" s="17" t="str">
        <x:v>Не решено</x:v>
      </x:c>
      <x:c r="AD504" s="17" t="str">
        <x:v>Не проверено</x:v>
      </x:c>
      <x:c r="AE504" s="17" t="str">
        <x:v>Не проверено</x:v>
      </x:c>
      <x:c r="AF504" s="17" t="str">
        <x:v>Не проверено</x:v>
      </x:c>
      <x:c r="AG504" s="17" t="str">
        <x:v>Не решено</x:v>
      </x:c>
      <x:c r="AH504" s="17" t="str">
        <x:v>Не проверено</x:v>
      </x:c>
      <x:c r="AI504" s="10" t="str">
        <x:f>IF(AC504="Отклонить","Отклонено",IF(AND(AC504="Взять",COUNTIFS(AD504:AH504,"Да")=5),"Готово","Нужна редактура"))</x:f>
        <x:v>Нужна редактура</x:v>
      </x:c>
      <x:c r="AJ504" s="17" t="str"/>
      <x:c r="AK504" s="9" t="str">
        <x:v>https://www.youtube.com/playlist?list=PLLttfoK87AdVjZ0W756Mnwx2MGJJDrTFI</x:v>
      </x:c>
      <x:c r="AL504" s="9" t="n">
        <x:v>5</x:v>
      </x:c>
      <x:c r="AM504" s="9" t="n">
        <x:v>5</x:v>
      </x:c>
      <x:c r="AN504" s="9"/>
    </x:row>
    <x:row r="505" ht="60" customHeight="1">
      <x:c r="A505" s="9" t="str">
        <x:v>3ugu16D1Eng</x:v>
      </x:c>
      <x:c r="B505" s="10" t="str">
        <x:v>נייעס 📰 | זכות הציבור שלא לדעת - פרק 1</x:v>
      </x:c>
      <x:c r="C505" s="10" t="str">
        <x:v>Религия и общество</x:v>
      </x:c>
      <x:c r="D505" s="9" t="str">
        <x:v>Общество</x:v>
      </x:c>
      <x:c r="E505" s="10" t="str">
        <x:v>Харедим; медиа; общество</x:v>
      </x:c>
      <x:c r="F505" s="10" t="str">
        <x:v>B2–C1 (гипотеза)</x:v>
      </x:c>
      <x:c r="G505" s="12" t="n">
        <x:v>46.3</x:v>
      </x:c>
      <x:c r="H505" s="14" t="n">
        <x:v>121050</x:v>
      </x:c>
      <x:c r="I505" s="15" t="str">
        <x:v>Точный счётчик метаданных видео</x:v>
      </x:c>
      <x:c r="J505" s="14" t="n">
        <x:v>121000</x:v>
      </x:c>
      <x:c r="K505" s="14" t="n">
        <x:v>75000</x:v>
      </x:c>
      <x:c r="L505" s="12" t="n">
        <x:f>IF(COUNT(J505:K505)=2,IF(K505=0,"",J505/K505),"")</x:f>
        <x:v>1.6133333333333333</x:v>
      </x:c>
      <x:c r="M505" s="10" t="str">
        <x:v>Тема: נייעס 📰 | זכות הציבור שלא לדעת - פרק 1. Просмотры в списке выше медианы выборки этого цикла в 1.61 раза. Медиа внутри харедим дают вход в часто незнакомую культурную среду и лексику.</x:v>
      </x:c>
      <x:c r="N505" s="10" t="str">
        <x:v>Составить словарь институтов и религиозных терминов.</x:v>
      </x:c>
      <x:c r="O505" s="10" t="str">
        <x:v>Не переносить частные примеры на всю общину</x:v>
      </x:c>
      <x:c r="P505" s="10" t="str">
        <x:v>Самостоятельное видео</x:v>
      </x:c>
      <x:c r="Q505" s="9" t="str">
        <x:v>Нет</x:v>
      </x:c>
      <x:c r="R505" s="9" t="str">
        <x:v>C033</x:v>
      </x:c>
      <x:c r="S505" s="9" t="str">
        <x:v>C033</x:v>
      </x:c>
      <x:c r="T505" s="10" t="str">
        <x:v>כאן 11 - תאגיד השידור הישראלי</x:v>
      </x:c>
      <x:c r="U505" s="11" t="str">
        <x:v>https://www.youtube.com/watch?v=3ugu16D1Eng</x:v>
      </x:c>
      <x:c r="V505" s="16" t="n">
        <x:v>46308</x:v>
      </x:c>
      <x:c r="W505" s="16" t="n">
        <x:v>43899</x:v>
      </x:c>
      <x:c r="X505" s="10" t="str">
        <x:v>Иврит предполагается по заголовку и источнику</x:v>
      </x:c>
      <x:c r="Y505" s="10" t="str">
        <x:v>Дорожка HE не найдена в метаданных; вшитые титры не проверены</x:v>
      </x:c>
      <x:c r="Z505" s="10" t="str">
        <x:v>Разрешено по метаданным</x:v>
      </x:c>
      <x:c r="AA505" s="10" t="str">
        <x:v>Метаданные видео; воспроизведение и содержание не проверены</x:v>
      </x:c>
      <x:c r="AB505" s="13" t="n">
        <x:f>IF(AND(ISNUMBER(H505),ISNUMBER(W505)),H505/MAX(1,'Обзор'!$B$4-W505),"")</x:f>
        <x:v>50.24906600249066</x:v>
      </x:c>
      <x:c r="AC505" s="17" t="str">
        <x:v>Не решено</x:v>
      </x:c>
      <x:c r="AD505" s="17" t="str">
        <x:v>Не проверено</x:v>
      </x:c>
      <x:c r="AE505" s="17" t="str">
        <x:v>Не проверено</x:v>
      </x:c>
      <x:c r="AF505" s="17" t="str">
        <x:v>Не проверено</x:v>
      </x:c>
      <x:c r="AG505" s="17" t="str">
        <x:v>Не решено</x:v>
      </x:c>
      <x:c r="AH505" s="17" t="str">
        <x:v>Не проверено</x:v>
      </x:c>
      <x:c r="AI505" s="10" t="str">
        <x:f>IF(AC505="Отклонить","Отклонено",IF(AND(AC505="Взять",COUNTIFS(AD505:AH505,"Да")=5),"Готово","Нужна редактура"))</x:f>
        <x:v>Нужна редактура</x:v>
      </x:c>
      <x:c r="AJ505" s="17" t="str"/>
      <x:c r="AK505" s="9" t="str">
        <x:v>https://www.youtube.com/playlist?list=PLLttfoK87AdXsv0brJ6Ng2hJ3_CZbqfv4</x:v>
      </x:c>
      <x:c r="AL505" s="9" t="n">
        <x:v>1</x:v>
      </x:c>
      <x:c r="AM505" s="9" t="n">
        <x:v>1</x:v>
      </x:c>
      <x:c r="AN505" s="9" t="n">
        <x:v>0</x:v>
      </x:c>
    </x:row>
    <x:row r="506" ht="60" customHeight="1">
      <x:c r="A506" s="9" t="str">
        <x:v>TKwRf6_sXq0</x:v>
      </x:c>
      <x:c r="B506" s="10" t="str">
        <x:v>נייעס 📰 | ככל אשר יורוך - פרק 2</x:v>
      </x:c>
      <x:c r="C506" s="10" t="str">
        <x:v>Религия и общество</x:v>
      </x:c>
      <x:c r="D506" s="9" t="str">
        <x:v>Общество</x:v>
      </x:c>
      <x:c r="E506" s="10" t="str">
        <x:v>Харедим; медиа; общество</x:v>
      </x:c>
      <x:c r="F506" s="10" t="str">
        <x:v>B2–C1 (гипотеза)</x:v>
      </x:c>
      <x:c r="G506" s="12" t="n">
        <x:v>41.2</x:v>
      </x:c>
      <x:c r="H506" s="14" t="n">
        <x:v>65874</x:v>
      </x:c>
      <x:c r="I506" s="15" t="str">
        <x:v>Точный счётчик метаданных видео</x:v>
      </x:c>
      <x:c r="J506" s="14" t="n">
        <x:v>65000</x:v>
      </x:c>
      <x:c r="K506" s="14" t="n">
        <x:v>75000</x:v>
      </x:c>
      <x:c r="L506" s="12" t="n">
        <x:f>IF(COUNT(J506:K506)=2,IF(K506=0,"",J506/K506),"")</x:f>
        <x:v>0.8666666666666667</x:v>
      </x:c>
      <x:c r="M506" s="10" t="str">
        <x:v>Тема: נייעס 📰 | ככל אשר יורוך - פרק 2. Медиа внутри харедим дают вход в часто незнакомую культурную среду и лексику.</x:v>
      </x:c>
      <x:c r="N506" s="10" t="str">
        <x:v>Составить словарь институтов и религиозных терминов.</x:v>
      </x:c>
      <x:c r="O506" s="10" t="str">
        <x:v>Не переносить частные примеры на всю общину</x:v>
      </x:c>
      <x:c r="P506" s="10" t="str">
        <x:v>Самостоятельное видео</x:v>
      </x:c>
      <x:c r="Q506" s="9" t="str">
        <x:v>Нет</x:v>
      </x:c>
      <x:c r="R506" s="9" t="str">
        <x:v>C033</x:v>
      </x:c>
      <x:c r="S506" s="9" t="str">
        <x:v>C033</x:v>
      </x:c>
      <x:c r="T506" s="10" t="str">
        <x:v>כאן 11 - תאגיד השידור הישראלי</x:v>
      </x:c>
      <x:c r="U506" s="11" t="str">
        <x:v>https://www.youtube.com/watch?v=TKwRf6_sXq0</x:v>
      </x:c>
      <x:c r="V506" s="16" t="n">
        <x:v>46308</x:v>
      </x:c>
      <x:c r="W506" s="16" t="n">
        <x:v>43906</x:v>
      </x:c>
      <x:c r="X506" s="10" t="str">
        <x:v>Иврит предполагается по заголовку и источнику</x:v>
      </x:c>
      <x:c r="Y506" s="10" t="str">
        <x:v>Дорожка HE не найдена в метаданных; вшитые титры не проверены</x:v>
      </x:c>
      <x:c r="Z506" s="10" t="str">
        <x:v>Разрешено по метаданным</x:v>
      </x:c>
      <x:c r="AA506" s="10" t="str">
        <x:v>Метаданные видео; воспроизведение и содержание не проверены</x:v>
      </x:c>
      <x:c r="AB506" s="13" t="n">
        <x:f>IF(AND(ISNUMBER(H506),ISNUMBER(W506)),H506/MAX(1,'Обзор'!$B$4-W506),"")</x:f>
        <x:v>27.424646128226478</x:v>
      </x:c>
      <x:c r="AC506" s="17" t="str">
        <x:v>Не решено</x:v>
      </x:c>
      <x:c r="AD506" s="17" t="str">
        <x:v>Не проверено</x:v>
      </x:c>
      <x:c r="AE506" s="17" t="str">
        <x:v>Не проверено</x:v>
      </x:c>
      <x:c r="AF506" s="17" t="str">
        <x:v>Не проверено</x:v>
      </x:c>
      <x:c r="AG506" s="17" t="str">
        <x:v>Не решено</x:v>
      </x:c>
      <x:c r="AH506" s="17" t="str">
        <x:v>Не проверено</x:v>
      </x:c>
      <x:c r="AI506" s="10" t="str">
        <x:f>IF(AC506="Отклонить","Отклонено",IF(AND(AC506="Взять",COUNTIFS(AD506:AH506,"Да")=5),"Готово","Нужна редактура"))</x:f>
        <x:v>Нужна редактура</x:v>
      </x:c>
      <x:c r="AJ506" s="17" t="str"/>
      <x:c r="AK506" s="9" t="str">
        <x:v>https://www.youtube.com/playlist?list=PLLttfoK87AdXsv0brJ6Ng2hJ3_CZbqfv4</x:v>
      </x:c>
      <x:c r="AL506" s="9" t="n">
        <x:v>2</x:v>
      </x:c>
      <x:c r="AM506" s="9" t="n">
        <x:v>2</x:v>
      </x:c>
      <x:c r="AN506" s="9" t="n">
        <x:v>0</x:v>
      </x:c>
    </x:row>
    <x:row r="507" ht="60" customHeight="1">
      <x:c r="A507" s="9" t="str">
        <x:v>pVuwYVdjXMo</x:v>
      </x:c>
      <x:c r="B507" s="10" t="str">
        <x:v>נייעס 📰 | על חומותייך הפקדתי שומרים - פרק 3</x:v>
      </x:c>
      <x:c r="C507" s="10" t="str">
        <x:v>Религия и общество</x:v>
      </x:c>
      <x:c r="D507" s="9" t="str">
        <x:v>Общество</x:v>
      </x:c>
      <x:c r="E507" s="10" t="str">
        <x:v>Харедим; медиа; общество</x:v>
      </x:c>
      <x:c r="F507" s="10" t="str">
        <x:v>B2–C1 (гипотеза)</x:v>
      </x:c>
      <x:c r="G507" s="12" t="n">
        <x:v>43</x:v>
      </x:c>
      <x:c r="H507" s="14" t="n">
        <x:v>97527</x:v>
      </x:c>
      <x:c r="I507" s="15" t="str">
        <x:v>Точный счётчик метаданных видео</x:v>
      </x:c>
      <x:c r="J507" s="14" t="n">
        <x:v>97000</x:v>
      </x:c>
      <x:c r="K507" s="14" t="n">
        <x:v>75000</x:v>
      </x:c>
      <x:c r="L507" s="12" t="n">
        <x:f>IF(COUNT(J507:K507)=2,IF(K507=0,"",J507/K507),"")</x:f>
        <x:v>1.2933333333333332</x:v>
      </x:c>
      <x:c r="M507" s="10" t="str">
        <x:v>Тема: נייעס 📰 | על חומותייך הפקדתי שומרים - פרק 3. Медиа внутри харедим дают вход в часто незнакомую культурную среду и лексику.</x:v>
      </x:c>
      <x:c r="N507" s="10" t="str">
        <x:v>Составить словарь институтов и религиозных терминов.</x:v>
      </x:c>
      <x:c r="O507" s="10" t="str">
        <x:v>Не переносить частные примеры на всю общину</x:v>
      </x:c>
      <x:c r="P507" s="10" t="str">
        <x:v>Самостоятельное видео</x:v>
      </x:c>
      <x:c r="Q507" s="9" t="str">
        <x:v>Нет</x:v>
      </x:c>
      <x:c r="R507" s="9" t="str">
        <x:v>C033</x:v>
      </x:c>
      <x:c r="S507" s="9" t="str">
        <x:v>C033</x:v>
      </x:c>
      <x:c r="T507" s="10" t="str">
        <x:v>כאן 11 - תאגיד השידור הישראלי</x:v>
      </x:c>
      <x:c r="U507" s="11" t="str">
        <x:v>https://www.youtube.com/watch?v=pVuwYVdjXMo</x:v>
      </x:c>
      <x:c r="V507" s="16" t="n">
        <x:v>46308</x:v>
      </x:c>
      <x:c r="W507" s="16" t="n">
        <x:v>43913</x:v>
      </x:c>
      <x:c r="X507" s="10" t="str">
        <x:v>Иврит предполагается по заголовку и источнику</x:v>
      </x:c>
      <x:c r="Y507" s="10" t="str">
        <x:v>Дорожка HE не найдена в метаданных; вшитые титры не проверены</x:v>
      </x:c>
      <x:c r="Z507" s="10" t="str">
        <x:v>Разрешено по метаданным</x:v>
      </x:c>
      <x:c r="AA507" s="10" t="str">
        <x:v>Метаданные видео; воспроизведение и содержание не проверены</x:v>
      </x:c>
      <x:c r="AB507" s="13" t="n">
        <x:f>IF(AND(ISNUMBER(H507),ISNUMBER(W507)),H507/MAX(1,'Обзор'!$B$4-W507),"")</x:f>
        <x:v>40.72108559498956</x:v>
      </x:c>
      <x:c r="AC507" s="17" t="str">
        <x:v>Не решено</x:v>
      </x:c>
      <x:c r="AD507" s="17" t="str">
        <x:v>Не проверено</x:v>
      </x:c>
      <x:c r="AE507" s="17" t="str">
        <x:v>Не проверено</x:v>
      </x:c>
      <x:c r="AF507" s="17" t="str">
        <x:v>Не проверено</x:v>
      </x:c>
      <x:c r="AG507" s="17" t="str">
        <x:v>Не решено</x:v>
      </x:c>
      <x:c r="AH507" s="17" t="str">
        <x:v>Не проверено</x:v>
      </x:c>
      <x:c r="AI507" s="10" t="str">
        <x:f>IF(AC507="Отклонить","Отклонено",IF(AND(AC507="Взять",COUNTIFS(AD507:AH507,"Да")=5),"Готово","Нужна редактура"))</x:f>
        <x:v>Нужна редактура</x:v>
      </x:c>
      <x:c r="AJ507" s="17" t="str"/>
      <x:c r="AK507" s="9" t="str">
        <x:v>https://www.youtube.com/playlist?list=PLLttfoK87AdXsv0brJ6Ng2hJ3_CZbqfv4</x:v>
      </x:c>
      <x:c r="AL507" s="9" t="n">
        <x:v>3</x:v>
      </x:c>
      <x:c r="AM507" s="9" t="n">
        <x:v>3</x:v>
      </x:c>
      <x:c r="AN507" s="9" t="n">
        <x:v>0</x:v>
      </x:c>
    </x:row>
    <x:row r="508" ht="60" customHeight="1">
      <x:c r="A508" s="9" t="str">
        <x:v>sXvU-0cfsIs</x:v>
      </x:c>
      <x:c r="B508" s="10" t="str">
        <x:v>נייעס 📰 | "חֲטאְנו לְפַניךָ" - פרק 4</x:v>
      </x:c>
      <x:c r="C508" s="10" t="str">
        <x:v>Религия и общество</x:v>
      </x:c>
      <x:c r="D508" s="9" t="str">
        <x:v>Общество</x:v>
      </x:c>
      <x:c r="E508" s="10" t="str">
        <x:v>Харедим; медиа; общество</x:v>
      </x:c>
      <x:c r="F508" s="10" t="str">
        <x:v>B2–C1 (гипотеза)</x:v>
      </x:c>
      <x:c r="G508" s="12" t="n">
        <x:v>42.4</x:v>
      </x:c>
      <x:c r="H508" s="14" t="n">
        <x:v>66774</x:v>
      </x:c>
      <x:c r="I508" s="15" t="str">
        <x:v>Точный счётчик метаданных видео</x:v>
      </x:c>
      <x:c r="J508" s="14" t="n">
        <x:v>66000</x:v>
      </x:c>
      <x:c r="K508" s="14" t="n">
        <x:v>75000</x:v>
      </x:c>
      <x:c r="L508" s="12" t="n">
        <x:f>IF(COUNT(J508:K508)=2,IF(K508=0,"",J508/K508),"")</x:f>
        <x:v>0.88</x:v>
      </x:c>
      <x:c r="M508" s="10" t="str">
        <x:v>Тема: נייעס 📰 | "חֲטאְנו לְפַניךָ" - פרק 4. Медиа внутри харедим дают вход в часто незнакомую культурную среду и лексику.</x:v>
      </x:c>
      <x:c r="N508" s="10" t="str">
        <x:v>Составить словарь институтов и религиозных терминов.</x:v>
      </x:c>
      <x:c r="O508" s="10" t="str">
        <x:v>Не переносить частные примеры на всю общину</x:v>
      </x:c>
      <x:c r="P508" s="10" t="str">
        <x:v>Самостоятельное видео</x:v>
      </x:c>
      <x:c r="Q508" s="9" t="str">
        <x:v>Нет</x:v>
      </x:c>
      <x:c r="R508" s="9" t="str">
        <x:v>C033</x:v>
      </x:c>
      <x:c r="S508" s="9" t="str">
        <x:v>C033</x:v>
      </x:c>
      <x:c r="T508" s="10" t="str">
        <x:v>כאן 11 - תאגיד השידור הישראלי</x:v>
      </x:c>
      <x:c r="U508" s="11" t="str">
        <x:v>https://www.youtube.com/watch?v=sXvU-0cfsIs</x:v>
      </x:c>
      <x:c r="V508" s="16" t="n">
        <x:v>46308</x:v>
      </x:c>
      <x:c r="W508" s="16" t="n">
        <x:v>43942</x:v>
      </x:c>
      <x:c r="X508" s="10" t="str">
        <x:v>Иврит предполагается по заголовку и источнику</x:v>
      </x:c>
      <x:c r="Y508" s="10" t="str">
        <x:v>Дорожка HE не найдена в метаданных; вшитые титры не проверены</x:v>
      </x:c>
      <x:c r="Z508" s="10" t="str">
        <x:v>Разрешено по метаданным</x:v>
      </x:c>
      <x:c r="AA508" s="10" t="str">
        <x:v>Метаданные видео; воспроизведение и содержание не проверены</x:v>
      </x:c>
      <x:c r="AB508" s="13" t="n">
        <x:f>IF(AND(ISNUMBER(H508),ISNUMBER(W508)),H508/MAX(1,'Обзор'!$B$4-W508),"")</x:f>
        <x:v>28.22231614539307</x:v>
      </x:c>
      <x:c r="AC508" s="17" t="str">
        <x:v>Не решено</x:v>
      </x:c>
      <x:c r="AD508" s="17" t="str">
        <x:v>Не проверено</x:v>
      </x:c>
      <x:c r="AE508" s="17" t="str">
        <x:v>Не проверено</x:v>
      </x:c>
      <x:c r="AF508" s="17" t="str">
        <x:v>Не проверено</x:v>
      </x:c>
      <x:c r="AG508" s="17" t="str">
        <x:v>Не решено</x:v>
      </x:c>
      <x:c r="AH508" s="17" t="str">
        <x:v>Не проверено</x:v>
      </x:c>
      <x:c r="AI508" s="10" t="str">
        <x:f>IF(AC508="Отклонить","Отклонено",IF(AND(AC508="Взять",COUNTIFS(AD508:AH508,"Да")=5),"Готово","Нужна редактура"))</x:f>
        <x:v>Нужна редактура</x:v>
      </x:c>
      <x:c r="AJ508" s="17" t="str"/>
      <x:c r="AK508" s="9" t="str">
        <x:v>https://www.youtube.com/playlist?list=PLLttfoK87AdXsv0brJ6Ng2hJ3_CZbqfv4</x:v>
      </x:c>
      <x:c r="AL508" s="9" t="n">
        <x:v>4</x:v>
      </x:c>
      <x:c r="AM508" s="9" t="n">
        <x:v>4</x:v>
      </x:c>
      <x:c r="AN508" s="9" t="n">
        <x:v>0</x:v>
      </x:c>
    </x:row>
    <x:row r="509" ht="60" customHeight="1">
      <x:c r="A509" s="9" t="str">
        <x:v>JbzMiIQWd70</x:v>
      </x:c>
      <x:c r="B509" s="10" t="str">
        <x:v>נייעס 📰 | "סוֺף דַבָר הכֺל נשְמַע" - פרק 5 (ואחרון)</x:v>
      </x:c>
      <x:c r="C509" s="10" t="str">
        <x:v>Религия и общество</x:v>
      </x:c>
      <x:c r="D509" s="9" t="str">
        <x:v>Общество</x:v>
      </x:c>
      <x:c r="E509" s="10" t="str">
        <x:v>Харедим; медиа; общество</x:v>
      </x:c>
      <x:c r="F509" s="10" t="str">
        <x:v>B2–C1 (гипотеза)</x:v>
      </x:c>
      <x:c r="G509" s="12" t="n">
        <x:v>45.8</x:v>
      </x:c>
      <x:c r="H509" s="14" t="n">
        <x:v>75805</x:v>
      </x:c>
      <x:c r="I509" s="15" t="str">
        <x:v>Точный счётчик метаданных видео</x:v>
      </x:c>
      <x:c r="J509" s="14" t="n">
        <x:v>75000</x:v>
      </x:c>
      <x:c r="K509" s="14" t="n">
        <x:v>75000</x:v>
      </x:c>
      <x:c r="L509" s="12" t="n">
        <x:f>IF(COUNT(J509:K509)=2,IF(K509=0,"",J509/K509),"")</x:f>
        <x:v>1</x:v>
      </x:c>
      <x:c r="M509" s="10" t="str">
        <x:v>Тема: נייעס 📰 | "סוֺף דַבָר הכֺל נשְמַע" - פרק 5 (ואחרון). Медиа внутри харедим дают вход в часто незнакомую культурную среду и лексику.</x:v>
      </x:c>
      <x:c r="N509" s="10" t="str">
        <x:v>Составить словарь институтов и религиозных терминов.</x:v>
      </x:c>
      <x:c r="O509" s="10" t="str">
        <x:v>Не переносить частные примеры на всю общину</x:v>
      </x:c>
      <x:c r="P509" s="10" t="str">
        <x:v>Самостоятельное видео</x:v>
      </x:c>
      <x:c r="Q509" s="9" t="str">
        <x:v>Нет</x:v>
      </x:c>
      <x:c r="R509" s="9" t="str">
        <x:v>C033</x:v>
      </x:c>
      <x:c r="S509" s="9" t="str">
        <x:v>C033</x:v>
      </x:c>
      <x:c r="T509" s="10" t="str">
        <x:v>כאן 11 - תאגיד השידור הישראלי</x:v>
      </x:c>
      <x:c r="U509" s="11" t="str">
        <x:v>https://www.youtube.com/watch?v=JbzMiIQWd70</x:v>
      </x:c>
      <x:c r="V509" s="16" t="n">
        <x:v>46308</x:v>
      </x:c>
      <x:c r="W509" s="16" t="n">
        <x:v>43969</x:v>
      </x:c>
      <x:c r="X509" s="10" t="str">
        <x:v>Иврит предполагается по заголовку и источнику</x:v>
      </x:c>
      <x:c r="Y509" s="10" t="str">
        <x:v>Дорожка HE не найдена в метаданных; вшитые титры не проверены</x:v>
      </x:c>
      <x:c r="Z509" s="10" t="str">
        <x:v>Разрешено по метаданным</x:v>
      </x:c>
      <x:c r="AA509" s="10" t="str">
        <x:v>Метаданные видео; воспроизведение и содержание не проверены</x:v>
      </x:c>
      <x:c r="AB509" s="13" t="n">
        <x:f>IF(AND(ISNUMBER(H509),ISNUMBER(W509)),H509/MAX(1,'Обзор'!$B$4-W509),"")</x:f>
        <x:v>32.4091492090637</x:v>
      </x:c>
      <x:c r="AC509" s="17" t="str">
        <x:v>Не решено</x:v>
      </x:c>
      <x:c r="AD509" s="17" t="str">
        <x:v>Не проверено</x:v>
      </x:c>
      <x:c r="AE509" s="17" t="str">
        <x:v>Не проверено</x:v>
      </x:c>
      <x:c r="AF509" s="17" t="str">
        <x:v>Не проверено</x:v>
      </x:c>
      <x:c r="AG509" s="17" t="str">
        <x:v>Не решено</x:v>
      </x:c>
      <x:c r="AH509" s="17" t="str">
        <x:v>Не проверено</x:v>
      </x:c>
      <x:c r="AI509" s="10" t="str">
        <x:f>IF(AC509="Отклонить","Отклонено",IF(AND(AC509="Взять",COUNTIFS(AD509:AH509,"Да")=5),"Готово","Нужна редактура"))</x:f>
        <x:v>Нужна редактура</x:v>
      </x:c>
      <x:c r="AJ509" s="17" t="str"/>
      <x:c r="AK509" s="9" t="str">
        <x:v>https://www.youtube.com/playlist?list=PLLttfoK87AdXsv0brJ6Ng2hJ3_CZbqfv4</x:v>
      </x:c>
      <x:c r="AL509" s="9" t="n">
        <x:v>5</x:v>
      </x:c>
      <x:c r="AM509" s="9" t="n">
        <x:v>5</x:v>
      </x:c>
      <x:c r="AN509" s="9" t="n">
        <x:v>0</x:v>
      </x:c>
    </x:row>
    <x:row r="510" ht="60" customHeight="1">
      <x:c r="A510" s="9" t="str">
        <x:v>b--K7OqtGZ8</x:v>
      </x:c>
      <x:c r="B510" s="10" t="str">
        <x:v>סדרה תיעודית חדשה על ההייטק הישראלי 🦄 יוניקורנז | פרק 1 - החלום האמריקאי.קום</x:v>
      </x:c>
      <x:c r="C510" s="10" t="str">
        <x:v>Технологии и работа</x:v>
      </x:c>
      <x:c r="D510" s="9" t="str">
        <x:v>Образование</x:v>
      </x:c>
      <x:c r="E510" s="10" t="str">
        <x:v>Технологии; карьера; предпринимательство</x:v>
      </x:c>
      <x:c r="F510" s="10" t="str">
        <x:v>B2–C1 (гипотеза)</x:v>
      </x:c>
      <x:c r="G510" s="12" t="n">
        <x:v>41.9</x:v>
      </x:c>
      <x:c r="H510" s="14" t="n">
        <x:v>103208</x:v>
      </x:c>
      <x:c r="I510" s="15" t="str">
        <x:v>Точный счётчик метаданных видео</x:v>
      </x:c>
      <x:c r="J510" s="14" t="n">
        <x:v>103000</x:v>
      </x:c>
      <x:c r="K510" s="14"/>
      <x:c r="L510" s="12" t="str">
        <x:f>IF(COUNT(J510:K510)=2,IF(K510=0,"",J510/K510),"")</x:f>
      </x:c>
      <x:c r="M510" s="10" t="str">
        <x:v>Тема: סדרה תיעודית חדשה על ההייטק הישראלי 🦄 יוניקורנז | פרק 1 - החלום האמריקאי.קום. Израильский технологический сектор привлекает профессиональную аудиторию. Нужная лексика работы, бизнеса и инноваций.</x:v>
      </x:c>
      <x:c r="N510" s="10" t="str">
        <x:v>Объяснить идею компании за минуту; выписать заимствования и их употребление.</x:v>
      </x:c>
      <x:c r="O510" s="10" t="str">
        <x:v>Проверить содержание</x:v>
      </x:c>
      <x:c r="P510" s="10" t="str">
        <x:v>Самостоятельное видео</x:v>
      </x:c>
      <x:c r="Q510" s="9" t="str">
        <x:v>Нет</x:v>
      </x:c>
      <x:c r="R510" s="9" t="str">
        <x:v>C034</x:v>
      </x:c>
      <x:c r="S510" s="9" t="str">
        <x:v>C034</x:v>
      </x:c>
      <x:c r="T510" s="10" t="str">
        <x:v>כאן 11 - תאגיד השידור הישראלי</x:v>
      </x:c>
      <x:c r="U510" s="11" t="str">
        <x:v>https://www.youtube.com/watch?v=b--K7OqtGZ8</x:v>
      </x:c>
      <x:c r="V510" s="16" t="n">
        <x:v>46308</x:v>
      </x:c>
      <x:c r="W510" s="16" t="n">
        <x:v>45878</x:v>
      </x:c>
      <x:c r="X510" s="10" t="str">
        <x:v>Иврит предполагается по заголовку и источнику</x:v>
      </x:c>
      <x:c r="Y510" s="10" t="str">
        <x:v>Автоматическая дорожка HE по метаданным</x:v>
      </x:c>
      <x:c r="Z510" s="10" t="str">
        <x:v>Разрешено по метаданным</x:v>
      </x:c>
      <x:c r="AA510" s="10" t="str">
        <x:v>Метаданные видео; воспроизведение и содержание не проверены</x:v>
      </x:c>
      <x:c r="AB510" s="13" t="n">
        <x:f>IF(AND(ISNUMBER(H510),ISNUMBER(W510)),H510/MAX(1,'Обзор'!$B$4-W510),"")</x:f>
        <x:v>240.0186046511628</x:v>
      </x:c>
      <x:c r="AC510" s="17" t="str">
        <x:v>Не решено</x:v>
      </x:c>
      <x:c r="AD510" s="17" t="str">
        <x:v>Не проверено</x:v>
      </x:c>
      <x:c r="AE510" s="17" t="str">
        <x:v>Не проверено</x:v>
      </x:c>
      <x:c r="AF510" s="17" t="str">
        <x:v>Не проверено</x:v>
      </x:c>
      <x:c r="AG510" s="17" t="str">
        <x:v>Не решено</x:v>
      </x:c>
      <x:c r="AH510" s="17" t="str">
        <x:v>Не проверено</x:v>
      </x:c>
      <x:c r="AI510" s="10" t="str">
        <x:f>IF(AC510="Отклонить","Отклонено",IF(AND(AC510="Взять",COUNTIFS(AD510:AH510,"Да")=5),"Готово","Нужна редактура"))</x:f>
        <x:v>Нужна редактура</x:v>
      </x:c>
      <x:c r="AJ510" s="17" t="str"/>
      <x:c r="AK510" s="9" t="str">
        <x:v>https://www.youtube.com/playlist?list=PLLttfoK87AdVWHt2Ze-R79W5IHpYlZ4ec</x:v>
      </x:c>
      <x:c r="AL510" s="9" t="n">
        <x:v>1</x:v>
      </x:c>
      <x:c r="AM510" s="9" t="n">
        <x:v>1</x:v>
      </x:c>
      <x:c r="AN510" s="9" t="n">
        <x:v>0</x:v>
      </x:c>
    </x:row>
    <x:row r="511" ht="60" customHeight="1">
      <x:c r="A511" s="9" t="str">
        <x:v>fKnv4D6k0Fs</x:v>
      </x:c>
      <x:c r="B511" s="10" t="str">
        <x:v>יוניקורנז | פרק 2 - ארץ ההייטק המובטחת</x:v>
      </x:c>
      <x:c r="C511" s="10" t="str">
        <x:v>Технологии и работа</x:v>
      </x:c>
      <x:c r="D511" s="9" t="str">
        <x:v>Образование</x:v>
      </x:c>
      <x:c r="E511" s="10" t="str">
        <x:v>Технологии; карьера; предпринимательство</x:v>
      </x:c>
      <x:c r="F511" s="10" t="str">
        <x:v>B2–C1 (гипотеза)</x:v>
      </x:c>
      <x:c r="G511" s="12" t="n">
        <x:v>41.5</x:v>
      </x:c>
      <x:c r="H511" s="14" t="n">
        <x:v>43135</x:v>
      </x:c>
      <x:c r="I511" s="15" t="str">
        <x:v>Точный счётчик метаданных видео</x:v>
      </x:c>
      <x:c r="J511" s="14" t="n">
        <x:v>43000</x:v>
      </x:c>
      <x:c r="K511" s="14"/>
      <x:c r="L511" s="12" t="str">
        <x:f>IF(COUNT(J511:K511)=2,IF(K511=0,"",J511/K511),"")</x:f>
      </x:c>
      <x:c r="M511" s="10" t="str">
        <x:v>Тема: יוניקורנז | פרק 2 - ארץ ההייטק המובטחת. Израильский технологический сектор привлекает профессиональную аудиторию. Нужная лексика работы, бизнеса и инноваций.</x:v>
      </x:c>
      <x:c r="N511" s="10" t="str">
        <x:v>Объяснить идею компании за минуту; выписать заимствования и их употребление.</x:v>
      </x:c>
      <x:c r="O511" s="10" t="str">
        <x:v>Проверить содержание</x:v>
      </x:c>
      <x:c r="P511" s="10" t="str">
        <x:v>Самостоятельное видео</x:v>
      </x:c>
      <x:c r="Q511" s="9" t="str">
        <x:v>Нет</x:v>
      </x:c>
      <x:c r="R511" s="9" t="str">
        <x:v>C034</x:v>
      </x:c>
      <x:c r="S511" s="9" t="str">
        <x:v>C034</x:v>
      </x:c>
      <x:c r="T511" s="10" t="str">
        <x:v>כאן 11 - תאגיד השידור הישראלי</x:v>
      </x:c>
      <x:c r="U511" s="11" t="str">
        <x:v>https://www.youtube.com/watch?v=fKnv4D6k0Fs</x:v>
      </x:c>
      <x:c r="V511" s="16" t="n">
        <x:v>46308</x:v>
      </x:c>
      <x:c r="W511" s="16" t="n">
        <x:v>45885</x:v>
      </x:c>
      <x:c r="X511" s="10" t="str">
        <x:v>Иврит предполагается по заголовку и источнику</x:v>
      </x:c>
      <x:c r="Y511" s="10" t="str">
        <x:v>Автоматическая дорожка HE по метаданным</x:v>
      </x:c>
      <x:c r="Z511" s="10" t="str">
        <x:v>Разрешено по метаданным</x:v>
      </x:c>
      <x:c r="AA511" s="10" t="str">
        <x:v>Метаданные видео; воспроизведение и содержание не проверены</x:v>
      </x:c>
      <x:c r="AB511" s="13" t="n">
        <x:f>IF(AND(ISNUMBER(H511),ISNUMBER(W511)),H511/MAX(1,'Обзор'!$B$4-W511),"")</x:f>
        <x:v>101.97399527186761</x:v>
      </x:c>
      <x:c r="AC511" s="17" t="str">
        <x:v>Не решено</x:v>
      </x:c>
      <x:c r="AD511" s="17" t="str">
        <x:v>Не проверено</x:v>
      </x:c>
      <x:c r="AE511" s="17" t="str">
        <x:v>Не проверено</x:v>
      </x:c>
      <x:c r="AF511" s="17" t="str">
        <x:v>Не проверено</x:v>
      </x:c>
      <x:c r="AG511" s="17" t="str">
        <x:v>Не решено</x:v>
      </x:c>
      <x:c r="AH511" s="17" t="str">
        <x:v>Не проверено</x:v>
      </x:c>
      <x:c r="AI511" s="10" t="str">
        <x:f>IF(AC511="Отклонить","Отклонено",IF(AND(AC511="Взять",COUNTIFS(AD511:AH511,"Да")=5),"Готово","Нужна редактура"))</x:f>
        <x:v>Нужна редактура</x:v>
      </x:c>
      <x:c r="AJ511" s="17" t="str"/>
      <x:c r="AK511" s="9" t="str">
        <x:v>https://www.youtube.com/playlist?list=PLLttfoK87AdVWHt2Ze-R79W5IHpYlZ4ec</x:v>
      </x:c>
      <x:c r="AL511" s="9" t="n">
        <x:v>2</x:v>
      </x:c>
      <x:c r="AM511" s="9" t="n">
        <x:v>2</x:v>
      </x:c>
      <x:c r="AN511" s="9" t="n">
        <x:v>0</x:v>
      </x:c>
    </x:row>
    <x:row r="512" ht="60" customHeight="1">
      <x:c r="A512" s="9" t="str">
        <x:v>0re04hlL4ck</x:v>
      </x:c>
      <x:c r="B512" s="10" t="str">
        <x:v>יוניקורנז | פרק 3 - אומת הסייבר</x:v>
      </x:c>
      <x:c r="C512" s="10" t="str">
        <x:v>Технологии и работа</x:v>
      </x:c>
      <x:c r="D512" s="9" t="str">
        <x:v>Образование</x:v>
      </x:c>
      <x:c r="E512" s="10" t="str">
        <x:v>Технологии; карьера; предпринимательство</x:v>
      </x:c>
      <x:c r="F512" s="10" t="str">
        <x:v>B2–C1 (гипотеза)</x:v>
      </x:c>
      <x:c r="G512" s="12" t="n">
        <x:v>45.9</x:v>
      </x:c>
      <x:c r="H512" s="14" t="n">
        <x:v>31286</x:v>
      </x:c>
      <x:c r="I512" s="15" t="str">
        <x:v>Точный счётчик метаданных видео</x:v>
      </x:c>
      <x:c r="J512" s="14" t="n">
        <x:v>31000</x:v>
      </x:c>
      <x:c r="K512" s="14"/>
      <x:c r="L512" s="12" t="str">
        <x:f>IF(COUNT(J512:K512)=2,IF(K512=0,"",J512/K512),"")</x:f>
      </x:c>
      <x:c r="M512" s="10" t="str">
        <x:v>Тема: יוניקורנז | פרק 3 - אומת הסייבר. Израильский технологический сектор привлекает профессиональную аудиторию. Нужная лексика работы, бизнеса и инноваций.</x:v>
      </x:c>
      <x:c r="N512" s="10" t="str">
        <x:v>Объяснить идею компании за минуту; выписать заимствования и их употребление.</x:v>
      </x:c>
      <x:c r="O512" s="10" t="str">
        <x:v>Проверить содержание</x:v>
      </x:c>
      <x:c r="P512" s="10" t="str">
        <x:v>Самостоятельное видео</x:v>
      </x:c>
      <x:c r="Q512" s="9" t="str">
        <x:v>Нет</x:v>
      </x:c>
      <x:c r="R512" s="9" t="str">
        <x:v>C034</x:v>
      </x:c>
      <x:c r="S512" s="9" t="str">
        <x:v>C034</x:v>
      </x:c>
      <x:c r="T512" s="10" t="str">
        <x:v>כאן 11 - תאגיד השידור הישראלי</x:v>
      </x:c>
      <x:c r="U512" s="11" t="str">
        <x:v>https://www.youtube.com/watch?v=0re04hlL4ck</x:v>
      </x:c>
      <x:c r="V512" s="16" t="n">
        <x:v>46308</x:v>
      </x:c>
      <x:c r="W512" s="16" t="n">
        <x:v>45892</x:v>
      </x:c>
      <x:c r="X512" s="10" t="str">
        <x:v>iw</x:v>
      </x:c>
      <x:c r="Y512" s="10" t="str">
        <x:v>Автоматическая дорожка HE по метаданным</x:v>
      </x:c>
      <x:c r="Z512" s="10" t="str">
        <x:v>Разрешено по метаданным</x:v>
      </x:c>
      <x:c r="AA512" s="10" t="str">
        <x:v>Метаданные видео; воспроизведение и содержание не проверены</x:v>
      </x:c>
      <x:c r="AB512" s="13" t="n">
        <x:f>IF(AND(ISNUMBER(H512),ISNUMBER(W512)),H512/MAX(1,'Обзор'!$B$4-W512),"")</x:f>
        <x:v>75.20673076923077</x:v>
      </x:c>
      <x:c r="AC512" s="17" t="str">
        <x:v>Не решено</x:v>
      </x:c>
      <x:c r="AD512" s="17" t="str">
        <x:v>Не проверено</x:v>
      </x:c>
      <x:c r="AE512" s="17" t="str">
        <x:v>Не проверено</x:v>
      </x:c>
      <x:c r="AF512" s="17" t="str">
        <x:v>Не проверено</x:v>
      </x:c>
      <x:c r="AG512" s="17" t="str">
        <x:v>Не решено</x:v>
      </x:c>
      <x:c r="AH512" s="17" t="str">
        <x:v>Не проверено</x:v>
      </x:c>
      <x:c r="AI512" s="10" t="str">
        <x:f>IF(AC512="Отклонить","Отклонено",IF(AND(AC512="Взять",COUNTIFS(AD512:AH512,"Да")=5),"Готово","Нужна редактура"))</x:f>
        <x:v>Нужна редактура</x:v>
      </x:c>
      <x:c r="AJ512" s="17" t="str"/>
      <x:c r="AK512" s="9" t="str">
        <x:v>https://www.youtube.com/playlist?list=PLLttfoK87AdVWHt2Ze-R79W5IHpYlZ4ec</x:v>
      </x:c>
      <x:c r="AL512" s="9" t="n">
        <x:v>3</x:v>
      </x:c>
      <x:c r="AM512" s="9" t="n">
        <x:v>3</x:v>
      </x:c>
      <x:c r="AN512" s="9" t="n">
        <x:v>0</x:v>
      </x:c>
    </x:row>
    <x:row r="513" ht="60" customHeight="1">
      <x:c r="A513" s="9" t="str">
        <x:v>WuGLpiPHu-w</x:v>
      </x:c>
      <x:c r="B513" s="10" t="str">
        <x:v>יוניקורנז | פרק 4 ואחרון - מלחמת חדי הקרן</x:v>
      </x:c>
      <x:c r="C513" s="10" t="str">
        <x:v>Технологии и работа</x:v>
      </x:c>
      <x:c r="D513" s="9" t="str">
        <x:v>Образование</x:v>
      </x:c>
      <x:c r="E513" s="10" t="str">
        <x:v>Технологии; карьера; предпринимательство</x:v>
      </x:c>
      <x:c r="F513" s="10" t="str">
        <x:v>B2–C1 (гипотеза)</x:v>
      </x:c>
      <x:c r="G513" s="12" t="n">
        <x:v>44.3</x:v>
      </x:c>
      <x:c r="H513" s="14" t="n">
        <x:v>24762</x:v>
      </x:c>
      <x:c r="I513" s="15" t="str">
        <x:v>Точный счётчик метаданных видео</x:v>
      </x:c>
      <x:c r="J513" s="14" t="n">
        <x:v>24000</x:v>
      </x:c>
      <x:c r="K513" s="14"/>
      <x:c r="L513" s="12" t="str">
        <x:f>IF(COUNT(J513:K513)=2,IF(K513=0,"",J513/K513),"")</x:f>
      </x:c>
      <x:c r="M513" s="10" t="str">
        <x:v>Тема: יוניקורנז | פרק 4 ואחרון - מלחמת חדי הקרן. Израильский технологический сектор привлекает профессиональную аудиторию. Нужная лексика работы, бизнеса и инноваций.</x:v>
      </x:c>
      <x:c r="N513" s="10" t="str">
        <x:v>Объяснить идею компании за минуту; выписать заимствования и их употребление.</x:v>
      </x:c>
      <x:c r="O513" s="10" t="str">
        <x:v>Проверить содержание</x:v>
      </x:c>
      <x:c r="P513" s="10" t="str">
        <x:v>Самостоятельное видео</x:v>
      </x:c>
      <x:c r="Q513" s="9" t="str">
        <x:v>Нет</x:v>
      </x:c>
      <x:c r="R513" s="9" t="str">
        <x:v>C034</x:v>
      </x:c>
      <x:c r="S513" s="9" t="str">
        <x:v>C034</x:v>
      </x:c>
      <x:c r="T513" s="10" t="str">
        <x:v>כאן 11 - תאגיד השידור הישראלי</x:v>
      </x:c>
      <x:c r="U513" s="11" t="str">
        <x:v>https://www.youtube.com/watch?v=WuGLpiPHu-w</x:v>
      </x:c>
      <x:c r="V513" s="16" t="n">
        <x:v>46308</x:v>
      </x:c>
      <x:c r="W513" s="16" t="n">
        <x:v>45899</x:v>
      </x:c>
      <x:c r="X513" s="10" t="str">
        <x:v>Иврит предполагается по заголовку и источнику</x:v>
      </x:c>
      <x:c r="Y513" s="10" t="str">
        <x:v>Автоматическая дорожка HE по метаданным</x:v>
      </x:c>
      <x:c r="Z513" s="10" t="str">
        <x:v>Разрешено по метаданным</x:v>
      </x:c>
      <x:c r="AA513" s="10" t="str">
        <x:v>Метаданные видео; воспроизведение и содержание не проверены</x:v>
      </x:c>
      <x:c r="AB513" s="13" t="n">
        <x:f>IF(AND(ISNUMBER(H513),ISNUMBER(W513)),H513/MAX(1,'Обзор'!$B$4-W513),"")</x:f>
        <x:v>60.54278728606357</x:v>
      </x:c>
      <x:c r="AC513" s="17" t="str">
        <x:v>Не решено</x:v>
      </x:c>
      <x:c r="AD513" s="17" t="str">
        <x:v>Не проверено</x:v>
      </x:c>
      <x:c r="AE513" s="17" t="str">
        <x:v>Не проверено</x:v>
      </x:c>
      <x:c r="AF513" s="17" t="str">
        <x:v>Не проверено</x:v>
      </x:c>
      <x:c r="AG513" s="17" t="str">
        <x:v>Не решено</x:v>
      </x:c>
      <x:c r="AH513" s="17" t="str">
        <x:v>Не проверено</x:v>
      </x:c>
      <x:c r="AI513" s="10" t="str">
        <x:f>IF(AC513="Отклонить","Отклонено",IF(AND(AC513="Взять",COUNTIFS(AD513:AH513,"Да")=5),"Готово","Нужна редактура"))</x:f>
        <x:v>Нужна редактура</x:v>
      </x:c>
      <x:c r="AJ513" s="17" t="str"/>
      <x:c r="AK513" s="9" t="str">
        <x:v>https://www.youtube.com/playlist?list=PLLttfoK87AdVWHt2Ze-R79W5IHpYlZ4ec</x:v>
      </x:c>
      <x:c r="AL513" s="9" t="n">
        <x:v>4</x:v>
      </x:c>
      <x:c r="AM513" s="9" t="n">
        <x:v>4</x:v>
      </x:c>
      <x:c r="AN513" s="9" t="n">
        <x:v>0</x:v>
      </x:c>
    </x:row>
    <x:row r="514" ht="60" customHeight="1">
      <x:c r="A514" s="9" t="str">
        <x:v>oKJxjsrUkBk</x:v>
      </x:c>
      <x:c r="B514" s="10" t="str">
        <x:v>עונה חדשה 🔥 מתחת לבלטות עונה 2 | פרק 1 - החיים במינוס</x:v>
      </x:c>
      <x:c r="C514" s="10" t="str">
        <x:v>Экономика и институты</x:v>
      </x:c>
      <x:c r="D514" s="9" t="str">
        <x:v>Образование</x:v>
      </x:c>
      <x:c r="E514" s="10" t="str">
        <x:v>Экономика; репатрианты; общество</x:v>
      </x:c>
      <x:c r="F514" s="10" t="str">
        <x:v>B2–C1 (гипотеза)</x:v>
      </x:c>
      <x:c r="G514" s="12" t="n">
        <x:v>37.5</x:v>
      </x:c>
      <x:c r="H514" s="14" t="n">
        <x:v>238734</x:v>
      </x:c>
      <x:c r="I514" s="15" t="str">
        <x:v>Точный счётчик метаданных видео</x:v>
      </x:c>
      <x:c r="J514" s="14" t="n">
        <x:v>238000</x:v>
      </x:c>
      <x:c r="K514" s="14" t="n">
        <x:v>173000</x:v>
      </x:c>
      <x:c r="L514" s="12" t="n">
        <x:f>IF(COUNT(J514:K514)=2,IF(K514=0,"",J514/K514),"")</x:f>
        <x:v>1.3757225433526012</x:v>
      </x:c>
      <x:c r="M514" s="10" t="str">
        <x:v>Тема: עונה חדשה 🔥 מתחת לבלטות עונה 2 | פרק 1 - החיים במינוס. Экономические объяснения связывают личные деньги и общественные решения. Это самостоятельная аудитория за пределами сериалов.</x:v>
      </x:c>
      <x:c r="N514" s="10" t="str">
        <x:v>Пересказать механизм причина–следствие; проверить дату чисел и правил.</x:v>
      </x:c>
      <x:c r="O514" s="10" t="str">
        <x:v>Актуальность финансовых утверждений требует повторной проверки</x:v>
      </x:c>
      <x:c r="P514" s="10" t="str">
        <x:v>Самостоятельное видео</x:v>
      </x:c>
      <x:c r="Q514" s="9" t="str">
        <x:v>Нет</x:v>
      </x:c>
      <x:c r="R514" s="9" t="str">
        <x:v>C035</x:v>
      </x:c>
      <x:c r="S514" s="9" t="str">
        <x:v>C035</x:v>
      </x:c>
      <x:c r="T514" s="10" t="str">
        <x:v>כאן 11 - תאגיד השידור הישראלי</x:v>
      </x:c>
      <x:c r="U514" s="11" t="str">
        <x:v>https://www.youtube.com/watch?v=oKJxjsrUkBk</x:v>
      </x:c>
      <x:c r="V514" s="16" t="n">
        <x:v>46308</x:v>
      </x:c>
      <x:c r="W514" s="16" t="n">
        <x:v>46229</x:v>
      </x:c>
      <x:c r="X514" s="10" t="str">
        <x:v>Иврит предполагается по заголовку и источнику</x:v>
      </x:c>
      <x:c r="Y514" s="10" t="str">
        <x:v>Автоматическая дорожка HE по метаданным</x:v>
      </x:c>
      <x:c r="Z514" s="10" t="str">
        <x:v>Разрешено по метаданным</x:v>
      </x:c>
      <x:c r="AA514" s="10" t="str">
        <x:v>Метаданные видео; воспроизведение и содержание не проверены</x:v>
      </x:c>
      <x:c r="AB514" s="13" t="n">
        <x:f>IF(AND(ISNUMBER(H514),ISNUMBER(W514)),H514/MAX(1,'Обзор'!$B$4-W514),"")</x:f>
        <x:v>3021.9493670886077</x:v>
      </x:c>
      <x:c r="AC514" s="17" t="str">
        <x:v>Не решено</x:v>
      </x:c>
      <x:c r="AD514" s="17" t="str">
        <x:v>Не проверено</x:v>
      </x:c>
      <x:c r="AE514" s="17" t="str">
        <x:v>Не проверено</x:v>
      </x:c>
      <x:c r="AF514" s="17" t="str">
        <x:v>Не проверено</x:v>
      </x:c>
      <x:c r="AG514" s="17" t="str">
        <x:v>Не решено</x:v>
      </x:c>
      <x:c r="AH514" s="17" t="str">
        <x:v>Не проверено</x:v>
      </x:c>
      <x:c r="AI514" s="10" t="str">
        <x:f>IF(AC514="Отклонить","Отклонено",IF(AND(AC514="Взять",COUNTIFS(AD514:AH514,"Да")=5),"Готово","Нужна редактура"))</x:f>
        <x:v>Нужна редактура</x:v>
      </x:c>
      <x:c r="AJ514" s="17" t="str"/>
      <x:c r="AK514" s="9" t="str">
        <x:v>https://www.youtube.com/playlist?list=PLLttfoK87AdX4CRge4LcU9seRqCCztT4v</x:v>
      </x:c>
      <x:c r="AL514" s="9" t="n">
        <x:v>6</x:v>
      </x:c>
      <x:c r="AM514" s="9" t="n">
        <x:v>1</x:v>
      </x:c>
      <x:c r="AN514" s="9" t="n">
        <x:v>0</x:v>
      </x:c>
    </x:row>
    <x:row r="515" ht="60" customHeight="1">
      <x:c r="A515" s="9" t="str">
        <x:v>nKS68JM4Q5Q</x:v>
      </x:c>
      <x:c r="B515" s="10" t="str">
        <x:v>מתחת לבלטות עם שאול אמסטרדמסקי | פרק 1 - לקנות או לשכור?</x:v>
      </x:c>
      <x:c r="C515" s="10" t="str">
        <x:v>Экономика и институты</x:v>
      </x:c>
      <x:c r="D515" s="9" t="str">
        <x:v>Образование</x:v>
      </x:c>
      <x:c r="E515" s="10" t="str">
        <x:v>Экономика; репатрианты; общество</x:v>
      </x:c>
      <x:c r="F515" s="10" t="str">
        <x:v>B2–C1 (гипотеза)</x:v>
      </x:c>
      <x:c r="G515" s="12" t="n">
        <x:v>33.4</x:v>
      </x:c>
      <x:c r="H515" s="14" t="n">
        <x:v>314426</x:v>
      </x:c>
      <x:c r="I515" s="15" t="str">
        <x:v>Точный счётчик метаданных видео</x:v>
      </x:c>
      <x:c r="J515" s="14" t="n">
        <x:v>314000</x:v>
      </x:c>
      <x:c r="K515" s="14" t="n">
        <x:v>173000</x:v>
      </x:c>
      <x:c r="L515" s="12" t="n">
        <x:f>IF(COUNT(J515:K515)=2,IF(K515=0,"",J515/K515),"")</x:f>
        <x:v>1.8150289017341041</x:v>
      </x:c>
      <x:c r="M515" s="10" t="str">
        <x:v>Тема: מתחת לבלטות עם שאול אמסטרדמסקי | פרק 1 - לקנות או לשכור?. Просмотры в списке выше медианы выборки этого цикла в 1.82 раза. Экономические объяснения связывают личные деньги и общественные решения. Это самостоятельная аудитория за пределами сериалов.</x:v>
      </x:c>
      <x:c r="N515" s="10" t="str">
        <x:v>Пересказать механизм причина–следствие; проверить дату чисел и правил.</x:v>
      </x:c>
      <x:c r="O515" s="10" t="str">
        <x:v>Актуальность финансовых утверждений требует повторной проверки</x:v>
      </x:c>
      <x:c r="P515" s="10" t="str">
        <x:v>Самостоятельное видео</x:v>
      </x:c>
      <x:c r="Q515" s="9" t="str">
        <x:v>Нет</x:v>
      </x:c>
      <x:c r="R515" s="9" t="str">
        <x:v>C035</x:v>
      </x:c>
      <x:c r="S515" s="9" t="str">
        <x:v>C035</x:v>
      </x:c>
      <x:c r="T515" s="10" t="str">
        <x:v>כאן 11 - תאגיד השידור הישראלי</x:v>
      </x:c>
      <x:c r="U515" s="11" t="str">
        <x:v>https://www.youtube.com/watch?v=nKS68JM4Q5Q</x:v>
      </x:c>
      <x:c r="V515" s="16" t="n">
        <x:v>46308</x:v>
      </x:c>
      <x:c r="W515" s="16" t="n">
        <x:v>45728</x:v>
      </x:c>
      <x:c r="X515" s="10" t="str">
        <x:v>Иврит предполагается по заголовку и источнику</x:v>
      </x:c>
      <x:c r="Y515" s="10" t="str">
        <x:v>Автоматическая дорожка HE по метаданным</x:v>
      </x:c>
      <x:c r="Z515" s="10" t="str">
        <x:v>Разрешено по метаданным</x:v>
      </x:c>
      <x:c r="AA515" s="10" t="str">
        <x:v>Метаданные видео; воспроизведение и содержание не проверены</x:v>
      </x:c>
      <x:c r="AB515" s="13" t="n">
        <x:f>IF(AND(ISNUMBER(H515),ISNUMBER(W515)),H515/MAX(1,'Обзор'!$B$4-W515),"")</x:f>
        <x:v>542.1137931034483</x:v>
      </x:c>
      <x:c r="AC515" s="17" t="str">
        <x:v>Не решено</x:v>
      </x:c>
      <x:c r="AD515" s="17" t="str">
        <x:v>Не проверено</x:v>
      </x:c>
      <x:c r="AE515" s="17" t="str">
        <x:v>Не проверено</x:v>
      </x:c>
      <x:c r="AF515" s="17" t="str">
        <x:v>Не проверено</x:v>
      </x:c>
      <x:c r="AG515" s="17" t="str">
        <x:v>Не решено</x:v>
      </x:c>
      <x:c r="AH515" s="17" t="str">
        <x:v>Не проверено</x:v>
      </x:c>
      <x:c r="AI515" s="10" t="str">
        <x:f>IF(AC515="Отклонить","Отклонено",IF(AND(AC515="Взять",COUNTIFS(AD515:AH515,"Да")=5),"Готово","Нужна редактура"))</x:f>
        <x:v>Нужна редактура</x:v>
      </x:c>
      <x:c r="AJ515" s="17" t="str"/>
      <x:c r="AK515" s="9" t="str">
        <x:v>https://www.youtube.com/playlist?list=PLLttfoK87AdX4CRge4LcU9seRqCCztT4v</x:v>
      </x:c>
      <x:c r="AL515" s="9" t="n">
        <x:v>11</x:v>
      </x:c>
      <x:c r="AM515" s="9" t="n">
        <x:v>1</x:v>
      </x:c>
      <x:c r="AN515" s="9" t="n">
        <x:v>0</x:v>
      </x:c>
    </x:row>
    <x:row r="516" ht="60" customHeight="1">
      <x:c r="A516" s="9" t="str">
        <x:v>9xtj6nybG8E</x:v>
      </x:c>
      <x:c r="B516" s="10" t="str">
        <x:v>מתחת לבלטות עונה 2 | פרק 2 - מהפכת שוק ההון</x:v>
      </x:c>
      <x:c r="C516" s="10" t="str">
        <x:v>Экономика и институты</x:v>
      </x:c>
      <x:c r="D516" s="9" t="str">
        <x:v>Образование</x:v>
      </x:c>
      <x:c r="E516" s="10" t="str">
        <x:v>Экономика; репатрианты; общество</x:v>
      </x:c>
      <x:c r="F516" s="10" t="str">
        <x:v>B2–C1 (гипотеза)</x:v>
      </x:c>
      <x:c r="G516" s="12" t="n">
        <x:v>36.3</x:v>
      </x:c>
      <x:c r="H516" s="14" t="n">
        <x:v>173462</x:v>
      </x:c>
      <x:c r="I516" s="15" t="str">
        <x:v>Точный счётчик метаданных видео</x:v>
      </x:c>
      <x:c r="J516" s="14" t="n">
        <x:v>173000</x:v>
      </x:c>
      <x:c r="K516" s="14" t="n">
        <x:v>173000</x:v>
      </x:c>
      <x:c r="L516" s="12" t="n">
        <x:f>IF(COUNT(J516:K516)=2,IF(K516=0,"",J516/K516),"")</x:f>
        <x:v>1</x:v>
      </x:c>
      <x:c r="M516" s="10" t="str">
        <x:v>Тема: מתחת לבלטות עונה 2 | פרק 2 - מהפכת שוק ההון. Экономические объяснения связывают личные деньги и общественные решения. Это самостоятельная аудитория за пределами сериалов.</x:v>
      </x:c>
      <x:c r="N516" s="10" t="str">
        <x:v>Пересказать механизм причина–следствие; проверить дату чисел и правил.</x:v>
      </x:c>
      <x:c r="O516" s="10" t="str">
        <x:v>Актуальность финансовых утверждений требует повторной проверки</x:v>
      </x:c>
      <x:c r="P516" s="10" t="str">
        <x:v>Самостоятельное видео</x:v>
      </x:c>
      <x:c r="Q516" s="9" t="str">
        <x:v>Нет</x:v>
      </x:c>
      <x:c r="R516" s="9" t="str">
        <x:v>C035</x:v>
      </x:c>
      <x:c r="S516" s="9" t="str">
        <x:v>C035</x:v>
      </x:c>
      <x:c r="T516" s="10" t="str">
        <x:v>כאן 11 - תאגיד השידור הישראלי</x:v>
      </x:c>
      <x:c r="U516" s="11" t="str">
        <x:v>https://www.youtube.com/watch?v=9xtj6nybG8E</x:v>
      </x:c>
      <x:c r="V516" s="16" t="n">
        <x:v>46308</x:v>
      </x:c>
      <x:c r="W516" s="16" t="n">
        <x:v>46236</x:v>
      </x:c>
      <x:c r="X516" s="10" t="str">
        <x:v>Иврит предполагается по заголовку и источнику</x:v>
      </x:c>
      <x:c r="Y516" s="10" t="str">
        <x:v>Автоматическая дорожка HE по метаданным</x:v>
      </x:c>
      <x:c r="Z516" s="10" t="str">
        <x:v>Разрешено по метаданным</x:v>
      </x:c>
      <x:c r="AA516" s="10" t="str">
        <x:v>Метаданные видео; воспроизведение и содержание не проверены</x:v>
      </x:c>
      <x:c r="AB516" s="13" t="n">
        <x:f>IF(AND(ISNUMBER(H516),ISNUMBER(W516)),H516/MAX(1,'Обзор'!$B$4-W516),"")</x:f>
        <x:v>2409.1944444444443</x:v>
      </x:c>
      <x:c r="AC516" s="17" t="str">
        <x:v>Не решено</x:v>
      </x:c>
      <x:c r="AD516" s="17" t="str">
        <x:v>Не проверено</x:v>
      </x:c>
      <x:c r="AE516" s="17" t="str">
        <x:v>Не проверено</x:v>
      </x:c>
      <x:c r="AF516" s="17" t="str">
        <x:v>Не проверено</x:v>
      </x:c>
      <x:c r="AG516" s="17" t="str">
        <x:v>Не решено</x:v>
      </x:c>
      <x:c r="AH516" s="17" t="str">
        <x:v>Не проверено</x:v>
      </x:c>
      <x:c r="AI516" s="10" t="str">
        <x:f>IF(AC516="Отклонить","Отклонено",IF(AND(AC516="Взять",COUNTIFS(AD516:AH516,"Да")=5),"Готово","Нужна редактура"))</x:f>
        <x:v>Нужна редактура</x:v>
      </x:c>
      <x:c r="AJ516" s="17" t="str"/>
      <x:c r="AK516" s="9" t="str">
        <x:v>https://www.youtube.com/playlist?list=PLLttfoK87AdX4CRge4LcU9seRqCCztT4v</x:v>
      </x:c>
      <x:c r="AL516" s="9" t="n">
        <x:v>5</x:v>
      </x:c>
      <x:c r="AM516" s="9" t="n">
        <x:v>2</x:v>
      </x:c>
      <x:c r="AN516" s="9" t="n">
        <x:v>0</x:v>
      </x:c>
    </x:row>
    <x:row r="517" ht="60" customHeight="1">
      <x:c r="A517" s="9" t="str">
        <x:v>HC56b7Ls28U</x:v>
      </x:c>
      <x:c r="B517" s="10" t="str">
        <x:v>מתחת לבלטות | פרק 2 - הדיור החרדי</x:v>
      </x:c>
      <x:c r="C517" s="10" t="str">
        <x:v>Экономика и институты</x:v>
      </x:c>
      <x:c r="D517" s="9" t="str">
        <x:v>Образование</x:v>
      </x:c>
      <x:c r="E517" s="10" t="str">
        <x:v>Экономика; репатрианты; общество</x:v>
      </x:c>
      <x:c r="F517" s="10" t="str">
        <x:v>B2–C1 (гипотеза)</x:v>
      </x:c>
      <x:c r="G517" s="12" t="n">
        <x:v>36.4</x:v>
      </x:c>
      <x:c r="H517" s="14" t="n">
        <x:v>240160</x:v>
      </x:c>
      <x:c r="I517" s="15" t="str">
        <x:v>Точный счётчик метаданных видео</x:v>
      </x:c>
      <x:c r="J517" s="14" t="n">
        <x:v>240000</x:v>
      </x:c>
      <x:c r="K517" s="14" t="n">
        <x:v>173000</x:v>
      </x:c>
      <x:c r="L517" s="12" t="n">
        <x:f>IF(COUNT(J517:K517)=2,IF(K517=0,"",J517/K517),"")</x:f>
        <x:v>1.3872832369942196</x:v>
      </x:c>
      <x:c r="M517" s="10" t="str">
        <x:v>Тема: מתחת לבלטות | פרק 2 - הדיור החרדי. Экономические объяснения связывают личные деньги и общественные решения. Это самостоятельная аудитория за пределами сериалов.</x:v>
      </x:c>
      <x:c r="N517" s="10" t="str">
        <x:v>Пересказать механизм причина–следствие; проверить дату чисел и правил.</x:v>
      </x:c>
      <x:c r="O517" s="10" t="str">
        <x:v>Актуальность финансовых утверждений требует повторной проверки</x:v>
      </x:c>
      <x:c r="P517" s="10" t="str">
        <x:v>Самостоятельное видео</x:v>
      </x:c>
      <x:c r="Q517" s="9" t="str">
        <x:v>Нет</x:v>
      </x:c>
      <x:c r="R517" s="9" t="str">
        <x:v>C035</x:v>
      </x:c>
      <x:c r="S517" s="9" t="str">
        <x:v>C035</x:v>
      </x:c>
      <x:c r="T517" s="10" t="str">
        <x:v>כאן 11 - תאגיד השידור הישראלי</x:v>
      </x:c>
      <x:c r="U517" s="11" t="str">
        <x:v>https://www.youtube.com/watch?v=HC56b7Ls28U</x:v>
      </x:c>
      <x:c r="V517" s="16" t="n">
        <x:v>46308</x:v>
      </x:c>
      <x:c r="W517" s="16" t="n">
        <x:v>45735</x:v>
      </x:c>
      <x:c r="X517" s="10" t="str">
        <x:v>iw</x:v>
      </x:c>
      <x:c r="Y517" s="10" t="str">
        <x:v>Автоматическая дорожка HE по метаданным</x:v>
      </x:c>
      <x:c r="Z517" s="10" t="str">
        <x:v>Разрешено по метаданным</x:v>
      </x:c>
      <x:c r="AA517" s="10" t="str">
        <x:v>Метаданные видео; воспроизведение и содержание не проверены</x:v>
      </x:c>
      <x:c r="AB517" s="13" t="n">
        <x:f>IF(AND(ISNUMBER(H517),ISNUMBER(W517)),H517/MAX(1,'Обзор'!$B$4-W517),"")</x:f>
        <x:v>419.1273996509599</x:v>
      </x:c>
      <x:c r="AC517" s="17" t="str">
        <x:v>Не решено</x:v>
      </x:c>
      <x:c r="AD517" s="17" t="str">
        <x:v>Не проверено</x:v>
      </x:c>
      <x:c r="AE517" s="17" t="str">
        <x:v>Не проверено</x:v>
      </x:c>
      <x:c r="AF517" s="17" t="str">
        <x:v>Не проверено</x:v>
      </x:c>
      <x:c r="AG517" s="17" t="str">
        <x:v>Не решено</x:v>
      </x:c>
      <x:c r="AH517" s="17" t="str">
        <x:v>Не проверено</x:v>
      </x:c>
      <x:c r="AI517" s="10" t="str">
        <x:f>IF(AC517="Отклонить","Отклонено",IF(AND(AC517="Взять",COUNTIFS(AD517:AH517,"Да")=5),"Готово","Нужна редактура"))</x:f>
        <x:v>Нужна редактура</x:v>
      </x:c>
      <x:c r="AJ517" s="17" t="str"/>
      <x:c r="AK517" s="9" t="str">
        <x:v>https://www.youtube.com/playlist?list=PLLttfoK87AdX4CRge4LcU9seRqCCztT4v</x:v>
      </x:c>
      <x:c r="AL517" s="9" t="n">
        <x:v>10</x:v>
      </x:c>
      <x:c r="AM517" s="9" t="n">
        <x:v>2</x:v>
      </x:c>
      <x:c r="AN517" s="9" t="n">
        <x:v>0</x:v>
      </x:c>
    </x:row>
    <x:row r="518" ht="60" customHeight="1">
      <x:c r="A518" s="9" t="str">
        <x:v>IuIYGM1VNo8</x:v>
      </x:c>
      <x:c r="B518" s="10" t="str">
        <x:v>מתחת לבלטות עונה 2 | פרק 3 - לנצח את הבנק</x:v>
      </x:c>
      <x:c r="C518" s="10" t="str">
        <x:v>Экономика и институты</x:v>
      </x:c>
      <x:c r="D518" s="9" t="str">
        <x:v>Образование</x:v>
      </x:c>
      <x:c r="E518" s="10" t="str">
        <x:v>Экономика; репатрианты; общество</x:v>
      </x:c>
      <x:c r="F518" s="10" t="str">
        <x:v>B2–C1 (гипотеза)</x:v>
      </x:c>
      <x:c r="G518" s="12" t="n">
        <x:v>34.3</x:v>
      </x:c>
      <x:c r="H518" s="14" t="n">
        <x:v>153000</x:v>
      </x:c>
      <x:c r="I518" s="15" t="str">
        <x:v>Округлённый счётчик в списке YouTube</x:v>
      </x:c>
      <x:c r="J518" s="14" t="n">
        <x:v>153000</x:v>
      </x:c>
      <x:c r="K518" s="14" t="n">
        <x:v>173000</x:v>
      </x:c>
      <x:c r="L518" s="12" t="n">
        <x:f>IF(COUNT(J518:K518)=2,IF(K518=0,"",J518/K518),"")</x:f>
        <x:v>0.884393063583815</x:v>
      </x:c>
      <x:c r="M518" s="10" t="str">
        <x:v>Тема: מתחת לבלטות עונה 2 | פרק 3 - לנצח את הבנק. Экономические объяснения связывают личные деньги и общественные решения. Это самостоятельная аудитория за пределами сериалов.</x:v>
      </x:c>
      <x:c r="N518" s="10" t="str">
        <x:v>Пересказать механизм причина–следствие; проверить дату чисел и правил.</x:v>
      </x:c>
      <x:c r="O518" s="10" t="str">
        <x:v>Актуальность финансовых утверждений требует повторной проверки</x:v>
      </x:c>
      <x:c r="P518" s="10" t="str">
        <x:v>Самостоятельное видео</x:v>
      </x:c>
      <x:c r="Q518" s="9" t="str">
        <x:v>Нет</x:v>
      </x:c>
      <x:c r="R518" s="9" t="str">
        <x:v>C035</x:v>
      </x:c>
      <x:c r="S518" s="9" t="str">
        <x:v>C035</x:v>
      </x:c>
      <x:c r="T518" s="10" t="str">
        <x:v>כאן 11 - תאגיד השידור הישראלי</x:v>
      </x:c>
      <x:c r="U518" s="11" t="str">
        <x:v>https://www.youtube.com/watch?v=IuIYGM1VNo8</x:v>
      </x:c>
      <x:c r="V518" s="16" t="n">
        <x:v>46308</x:v>
      </x:c>
      <x:c r="W518" s="16"/>
      <x:c r="X518" s="10" t="str">
        <x:v>Иврит предполагается по заголовку и источнику</x:v>
      </x:c>
      <x:c r="Y518" s="10" t="str">
        <x:v>Не проверено</x:v>
      </x:c>
      <x:c r="Z518" s="10" t="str">
        <x:v>Не проверено</x:v>
      </x:c>
      <x:c r="AA518" s="10" t="str">
        <x:v>Метаданные списка; видео не просмотрено</x:v>
      </x:c>
      <x:c r="AB518" s="13" t="str">
        <x:f>IF(AND(ISNUMBER(H518),ISNUMBER(W518)),H518/MAX(1,'Обзор'!$B$4-W518),"")</x:f>
      </x:c>
      <x:c r="AC518" s="17" t="str">
        <x:v>Не решено</x:v>
      </x:c>
      <x:c r="AD518" s="17" t="str">
        <x:v>Не проверено</x:v>
      </x:c>
      <x:c r="AE518" s="17" t="str">
        <x:v>Не проверено</x:v>
      </x:c>
      <x:c r="AF518" s="17" t="str">
        <x:v>Не проверено</x:v>
      </x:c>
      <x:c r="AG518" s="17" t="str">
        <x:v>Не решено</x:v>
      </x:c>
      <x:c r="AH518" s="17" t="str">
        <x:v>Не проверено</x:v>
      </x:c>
      <x:c r="AI518" s="10" t="str">
        <x:f>IF(AC518="Отклонить","Отклонено",IF(AND(AC518="Взять",COUNTIFS(AD518:AH518,"Да")=5),"Готово","Нужна редактура"))</x:f>
        <x:v>Нужна редактура</x:v>
      </x:c>
      <x:c r="AJ518" s="17" t="str"/>
      <x:c r="AK518" s="9" t="str">
        <x:v>https://www.youtube.com/playlist?list=PLLttfoK87AdX4CRge4LcU9seRqCCztT4v</x:v>
      </x:c>
      <x:c r="AL518" s="9" t="n">
        <x:v>4</x:v>
      </x:c>
      <x:c r="AM518" s="9" t="n">
        <x:v>3</x:v>
      </x:c>
      <x:c r="AN518" s="9"/>
    </x:row>
    <x:row r="519" ht="60" customHeight="1">
      <x:c r="A519" s="9" t="str">
        <x:v>EcovZTw1AXU</x:v>
      </x:c>
      <x:c r="B519" s="10" t="str">
        <x:v>מתחת לבלטות | פרק 3 - הדיור בחברה הערבית</x:v>
      </x:c>
      <x:c r="C519" s="10" t="str">
        <x:v>Экономика и институты</x:v>
      </x:c>
      <x:c r="D519" s="9" t="str">
        <x:v>Образование</x:v>
      </x:c>
      <x:c r="E519" s="10" t="str">
        <x:v>Экономика; репатрианты; общество</x:v>
      </x:c>
      <x:c r="F519" s="10" t="str">
        <x:v>B2–C1 (гипотеза)</x:v>
      </x:c>
      <x:c r="G519" s="12" t="n">
        <x:v>31.8</x:v>
      </x:c>
      <x:c r="H519" s="14" t="n">
        <x:v>148000</x:v>
      </x:c>
      <x:c r="I519" s="15" t="str">
        <x:v>Округлённый счётчик в списке YouTube</x:v>
      </x:c>
      <x:c r="J519" s="14" t="n">
        <x:v>148000</x:v>
      </x:c>
      <x:c r="K519" s="14" t="n">
        <x:v>173000</x:v>
      </x:c>
      <x:c r="L519" s="12" t="n">
        <x:f>IF(COUNT(J519:K519)=2,IF(K519=0,"",J519/K519),"")</x:f>
        <x:v>0.8554913294797688</x:v>
      </x:c>
      <x:c r="M519" s="10" t="str">
        <x:v>Тема: מתחת לבלטות | פרק 3 - הדיור בחברה הערבית. Экономические объяснения связывают личные деньги и общественные решения. Это самостоятельная аудитория за пределами сериалов.</x:v>
      </x:c>
      <x:c r="N519" s="10" t="str">
        <x:v>Пересказать механизм причина–следствие; проверить дату чисел и правил.</x:v>
      </x:c>
      <x:c r="O519" s="10" t="str">
        <x:v>Актуальность финансовых утверждений требует повторной проверки</x:v>
      </x:c>
      <x:c r="P519" s="10" t="str">
        <x:v>Самостоятельное видео</x:v>
      </x:c>
      <x:c r="Q519" s="9" t="str">
        <x:v>Нет</x:v>
      </x:c>
      <x:c r="R519" s="9" t="str">
        <x:v>C035</x:v>
      </x:c>
      <x:c r="S519" s="9" t="str">
        <x:v>C035</x:v>
      </x:c>
      <x:c r="T519" s="10" t="str">
        <x:v>כאן 11 - תאגיד השידור הישראלי</x:v>
      </x:c>
      <x:c r="U519" s="11" t="str">
        <x:v>https://www.youtube.com/watch?v=EcovZTw1AXU</x:v>
      </x:c>
      <x:c r="V519" s="16" t="n">
        <x:v>46308</x:v>
      </x:c>
      <x:c r="W519" s="16"/>
      <x:c r="X519" s="10" t="str">
        <x:v>Иврит предполагается по заголовку и источнику</x:v>
      </x:c>
      <x:c r="Y519" s="10" t="str">
        <x:v>Не проверено</x:v>
      </x:c>
      <x:c r="Z519" s="10" t="str">
        <x:v>Не проверено</x:v>
      </x:c>
      <x:c r="AA519" s="10" t="str">
        <x:v>Метаданные списка; видео не просмотрено</x:v>
      </x:c>
      <x:c r="AB519" s="13" t="str">
        <x:f>IF(AND(ISNUMBER(H519),ISNUMBER(W519)),H519/MAX(1,'Обзор'!$B$4-W519),"")</x:f>
      </x:c>
      <x:c r="AC519" s="17" t="str">
        <x:v>Не решено</x:v>
      </x:c>
      <x:c r="AD519" s="17" t="str">
        <x:v>Не проверено</x:v>
      </x:c>
      <x:c r="AE519" s="17" t="str">
        <x:v>Не проверено</x:v>
      </x:c>
      <x:c r="AF519" s="17" t="str">
        <x:v>Не проверено</x:v>
      </x:c>
      <x:c r="AG519" s="17" t="str">
        <x:v>Не решено</x:v>
      </x:c>
      <x:c r="AH519" s="17" t="str">
        <x:v>Не проверено</x:v>
      </x:c>
      <x:c r="AI519" s="10" t="str">
        <x:f>IF(AC519="Отклонить","Отклонено",IF(AND(AC519="Взять",COUNTIFS(AD519:AH519,"Да")=5),"Готово","Нужна редактура"))</x:f>
        <x:v>Нужна редактура</x:v>
      </x:c>
      <x:c r="AJ519" s="17" t="str"/>
      <x:c r="AK519" s="9" t="str">
        <x:v>https://www.youtube.com/playlist?list=PLLttfoK87AdX4CRge4LcU9seRqCCztT4v</x:v>
      </x:c>
      <x:c r="AL519" s="9" t="n">
        <x:v>9</x:v>
      </x:c>
      <x:c r="AM519" s="9" t="n">
        <x:v>3</x:v>
      </x:c>
      <x:c r="AN519" s="9"/>
    </x:row>
    <x:row r="520" ht="60" customHeight="1">
      <x:c r="A520" s="9" t="str">
        <x:v>yt0pshP8uSo</x:v>
      </x:c>
      <x:c r="B520" s="10" t="str">
        <x:v>מתחת לבלטות עונה 2 | פרק 4 - תעלומת הקריפטו</x:v>
      </x:c>
      <x:c r="C520" s="10" t="str">
        <x:v>Экономика и институты</x:v>
      </x:c>
      <x:c r="D520" s="9" t="str">
        <x:v>Образование</x:v>
      </x:c>
      <x:c r="E520" s="10" t="str">
        <x:v>Экономика; репатрианты; общество</x:v>
      </x:c>
      <x:c r="F520" s="10" t="str">
        <x:v>B2–C1 (гипотеза)</x:v>
      </x:c>
      <x:c r="G520" s="12" t="n">
        <x:v>37.2</x:v>
      </x:c>
      <x:c r="H520" s="14" t="n">
        <x:v>128000</x:v>
      </x:c>
      <x:c r="I520" s="15" t="str">
        <x:v>Округлённый счётчик в списке YouTube</x:v>
      </x:c>
      <x:c r="J520" s="14" t="n">
        <x:v>128000</x:v>
      </x:c>
      <x:c r="K520" s="14" t="n">
        <x:v>173000</x:v>
      </x:c>
      <x:c r="L520" s="12" t="n">
        <x:f>IF(COUNT(J520:K520)=2,IF(K520=0,"",J520/K520),"")</x:f>
        <x:v>0.7398843930635838</x:v>
      </x:c>
      <x:c r="M520" s="10" t="str">
        <x:v>Тема: מתחת לבלטות עונה 2 | פרק 4 - תעלומת הקריפטו. Экономические объяснения связывают личные деньги и общественные решения. Это самостоятельная аудитория за пределами сериалов.</x:v>
      </x:c>
      <x:c r="N520" s="10" t="str">
        <x:v>Пересказать механизм причина–следствие; проверить дату чисел и правил.</x:v>
      </x:c>
      <x:c r="O520" s="10" t="str">
        <x:v>Актуальность финансовых утверждений требует повторной проверки</x:v>
      </x:c>
      <x:c r="P520" s="10" t="str">
        <x:v>Самостоятельное видео</x:v>
      </x:c>
      <x:c r="Q520" s="9" t="str">
        <x:v>Нет</x:v>
      </x:c>
      <x:c r="R520" s="9" t="str">
        <x:v>C035</x:v>
      </x:c>
      <x:c r="S520" s="9" t="str">
        <x:v>C035</x:v>
      </x:c>
      <x:c r="T520" s="10" t="str">
        <x:v>כאן 11 - תאגיד השידור הישראלי</x:v>
      </x:c>
      <x:c r="U520" s="11" t="str">
        <x:v>https://www.youtube.com/watch?v=yt0pshP8uSo</x:v>
      </x:c>
      <x:c r="V520" s="16" t="n">
        <x:v>46308</x:v>
      </x:c>
      <x:c r="W520" s="16"/>
      <x:c r="X520" s="10" t="str">
        <x:v>Иврит предполагается по заголовку и источнику</x:v>
      </x:c>
      <x:c r="Y520" s="10" t="str">
        <x:v>Не проверено</x:v>
      </x:c>
      <x:c r="Z520" s="10" t="str">
        <x:v>Не проверено</x:v>
      </x:c>
      <x:c r="AA520" s="10" t="str">
        <x:v>Метаданные списка; видео не просмотрено</x:v>
      </x:c>
      <x:c r="AB520" s="13" t="str">
        <x:f>IF(AND(ISNUMBER(H520),ISNUMBER(W520)),H520/MAX(1,'Обзор'!$B$4-W520),"")</x:f>
      </x:c>
      <x:c r="AC520" s="17" t="str">
        <x:v>Не решено</x:v>
      </x:c>
      <x:c r="AD520" s="17" t="str">
        <x:v>Не проверено</x:v>
      </x:c>
      <x:c r="AE520" s="17" t="str">
        <x:v>Не проверено</x:v>
      </x:c>
      <x:c r="AF520" s="17" t="str">
        <x:v>Не проверено</x:v>
      </x:c>
      <x:c r="AG520" s="17" t="str">
        <x:v>Не решено</x:v>
      </x:c>
      <x:c r="AH520" s="17" t="str">
        <x:v>Не проверено</x:v>
      </x:c>
      <x:c r="AI520" s="10" t="str">
        <x:f>IF(AC520="Отклонить","Отклонено",IF(AND(AC520="Взять",COUNTIFS(AD520:AH520,"Да")=5),"Готово","Нужна редактура"))</x:f>
        <x:v>Нужна редактура</x:v>
      </x:c>
      <x:c r="AJ520" s="17" t="str"/>
      <x:c r="AK520" s="9" t="str">
        <x:v>https://www.youtube.com/playlist?list=PLLttfoK87AdX4CRge4LcU9seRqCCztT4v</x:v>
      </x:c>
      <x:c r="AL520" s="9" t="n">
        <x:v>3</x:v>
      </x:c>
      <x:c r="AM520" s="9" t="n">
        <x:v>4</x:v>
      </x:c>
      <x:c r="AN520" s="9"/>
    </x:row>
    <x:row r="521" ht="60" customHeight="1">
      <x:c r="A521" s="9" t="str">
        <x:v>EaoDXELxTCU</x:v>
      </x:c>
      <x:c r="B521" s="10" t="str">
        <x:v>מתחת לבלטות | פרק 4 - יוצאים מהמרכז</x:v>
      </x:c>
      <x:c r="C521" s="10" t="str">
        <x:v>Экономика и институты</x:v>
      </x:c>
      <x:c r="D521" s="9" t="str">
        <x:v>Образование</x:v>
      </x:c>
      <x:c r="E521" s="10" t="str">
        <x:v>Экономика; репатрианты; общество</x:v>
      </x:c>
      <x:c r="F521" s="10" t="str">
        <x:v>B2–C1 (гипотеза)</x:v>
      </x:c>
      <x:c r="G521" s="12" t="n">
        <x:v>35</x:v>
      </x:c>
      <x:c r="H521" s="14" t="n">
        <x:v>176634</x:v>
      </x:c>
      <x:c r="I521" s="15" t="str">
        <x:v>Точный счётчик метаданных видео</x:v>
      </x:c>
      <x:c r="J521" s="14" t="n">
        <x:v>176000</x:v>
      </x:c>
      <x:c r="K521" s="14" t="n">
        <x:v>173000</x:v>
      </x:c>
      <x:c r="L521" s="12" t="n">
        <x:f>IF(COUNT(J521:K521)=2,IF(K521=0,"",J521/K521),"")</x:f>
        <x:v>1.0173410404624277</x:v>
      </x:c>
      <x:c r="M521" s="10" t="str">
        <x:v>Тема: מתחת לבלטות | פרק 4 - יוצאים מהמרכז. Экономические объяснения связывают личные деньги и общественные решения. Это самостоятельная аудитория за пределами сериалов.</x:v>
      </x:c>
      <x:c r="N521" s="10" t="str">
        <x:v>Пересказать механизм причина–следствие; проверить дату чисел и правил.</x:v>
      </x:c>
      <x:c r="O521" s="10" t="str">
        <x:v>Актуальность финансовых утверждений требует повторной проверки</x:v>
      </x:c>
      <x:c r="P521" s="10" t="str">
        <x:v>Самостоятельное видео</x:v>
      </x:c>
      <x:c r="Q521" s="9" t="str">
        <x:v>Нет</x:v>
      </x:c>
      <x:c r="R521" s="9" t="str">
        <x:v>C035</x:v>
      </x:c>
      <x:c r="S521" s="9" t="str">
        <x:v>C035</x:v>
      </x:c>
      <x:c r="T521" s="10" t="str">
        <x:v>כאן 11 - תאגיד השידור הישראלי</x:v>
      </x:c>
      <x:c r="U521" s="11" t="str">
        <x:v>https://www.youtube.com/watch?v=EaoDXELxTCU</x:v>
      </x:c>
      <x:c r="V521" s="16" t="n">
        <x:v>46308</x:v>
      </x:c>
      <x:c r="W521" s="16" t="n">
        <x:v>45746</x:v>
      </x:c>
      <x:c r="X521" s="10" t="str">
        <x:v>Иврит предполагается по заголовку и источнику</x:v>
      </x:c>
      <x:c r="Y521" s="10" t="str">
        <x:v>Автоматическая дорожка HE по метаданным</x:v>
      </x:c>
      <x:c r="Z521" s="10" t="str">
        <x:v>Разрешено по метаданным</x:v>
      </x:c>
      <x:c r="AA521" s="10" t="str">
        <x:v>Метаданные видео; воспроизведение и содержание не проверены</x:v>
      </x:c>
      <x:c r="AB521" s="13" t="n">
        <x:f>IF(AND(ISNUMBER(H521),ISNUMBER(W521)),H521/MAX(1,'Обзор'!$B$4-W521),"")</x:f>
        <x:v>314.29537366548044</x:v>
      </x:c>
      <x:c r="AC521" s="17" t="str">
        <x:v>Не решено</x:v>
      </x:c>
      <x:c r="AD521" s="17" t="str">
        <x:v>Не проверено</x:v>
      </x:c>
      <x:c r="AE521" s="17" t="str">
        <x:v>Не проверено</x:v>
      </x:c>
      <x:c r="AF521" s="17" t="str">
        <x:v>Не проверено</x:v>
      </x:c>
      <x:c r="AG521" s="17" t="str">
        <x:v>Не решено</x:v>
      </x:c>
      <x:c r="AH521" s="17" t="str">
        <x:v>Не проверено</x:v>
      </x:c>
      <x:c r="AI521" s="10" t="str">
        <x:f>IF(AC521="Отклонить","Отклонено",IF(AND(AC521="Взять",COUNTIFS(AD521:AH521,"Да")=5),"Готово","Нужна редактура"))</x:f>
        <x:v>Нужна редактура</x:v>
      </x:c>
      <x:c r="AJ521" s="17" t="str"/>
      <x:c r="AK521" s="9" t="str">
        <x:v>https://www.youtube.com/playlist?list=PLLttfoK87AdX4CRge4LcU9seRqCCztT4v</x:v>
      </x:c>
      <x:c r="AL521" s="9" t="n">
        <x:v>8</x:v>
      </x:c>
      <x:c r="AM521" s="9" t="n">
        <x:v>4</x:v>
      </x:c>
      <x:c r="AN521" s="9" t="n">
        <x:v>0</x:v>
      </x:c>
    </x:row>
    <x:row r="522" ht="60" customHeight="1">
      <x:c r="A522" s="9" t="str">
        <x:v>LQMw9g07yKo</x:v>
      </x:c>
      <x:c r="B522" s="10" t="str">
        <x:v>מתחת לבלטות עונה 2 | פרק 5 - איך לצאת לפנסיה</x:v>
      </x:c>
      <x:c r="C522" s="10" t="str">
        <x:v>Экономика и институты</x:v>
      </x:c>
      <x:c r="D522" s="9" t="str">
        <x:v>Образование</x:v>
      </x:c>
      <x:c r="E522" s="10" t="str">
        <x:v>Экономика; репатрианты; общество</x:v>
      </x:c>
      <x:c r="F522" s="10" t="str">
        <x:v>B2–C1 (гипотеза)</x:v>
      </x:c>
      <x:c r="G522" s="12" t="n">
        <x:v>35.2</x:v>
      </x:c>
      <x:c r="H522" s="14" t="n">
        <x:v>109000</x:v>
      </x:c>
      <x:c r="I522" s="15" t="str">
        <x:v>Округлённый счётчик в списке YouTube</x:v>
      </x:c>
      <x:c r="J522" s="14" t="n">
        <x:v>109000</x:v>
      </x:c>
      <x:c r="K522" s="14" t="n">
        <x:v>173000</x:v>
      </x:c>
      <x:c r="L522" s="12" t="n">
        <x:f>IF(COUNT(J522:K522)=2,IF(K522=0,"",J522/K522),"")</x:f>
        <x:v>0.630057803468208</x:v>
      </x:c>
      <x:c r="M522" s="10" t="str">
        <x:v>Тема: מתחת לבלטות עונה 2 | פרק 5 - איך לצאת לפנסיה. Экономические объяснения связывают личные деньги и общественные решения. Это самостоятельная аудитория за пределами сериалов.</x:v>
      </x:c>
      <x:c r="N522" s="10" t="str">
        <x:v>Пересказать механизм причина–следствие; проверить дату чисел и правил.</x:v>
      </x:c>
      <x:c r="O522" s="10" t="str">
        <x:v>Актуальность финансовых утверждений требует повторной проверки</x:v>
      </x:c>
      <x:c r="P522" s="10" t="str">
        <x:v>Самостоятельное видео</x:v>
      </x:c>
      <x:c r="Q522" s="9" t="str">
        <x:v>Нет</x:v>
      </x:c>
      <x:c r="R522" s="9" t="str">
        <x:v>C035</x:v>
      </x:c>
      <x:c r="S522" s="9" t="str">
        <x:v>C035</x:v>
      </x:c>
      <x:c r="T522" s="10" t="str">
        <x:v>כאן 11 - תאגיד השידור הישראלי</x:v>
      </x:c>
      <x:c r="U522" s="11" t="str">
        <x:v>https://www.youtube.com/watch?v=LQMw9g07yKo</x:v>
      </x:c>
      <x:c r="V522" s="16" t="n">
        <x:v>46308</x:v>
      </x:c>
      <x:c r="W522" s="16"/>
      <x:c r="X522" s="10" t="str">
        <x:v>Иврит предполагается по заголовку и источнику</x:v>
      </x:c>
      <x:c r="Y522" s="10" t="str">
        <x:v>Не проверено</x:v>
      </x:c>
      <x:c r="Z522" s="10" t="str">
        <x:v>Не проверено</x:v>
      </x:c>
      <x:c r="AA522" s="10" t="str">
        <x:v>Метаданные списка; видео не просмотрено</x:v>
      </x:c>
      <x:c r="AB522" s="13" t="str">
        <x:f>IF(AND(ISNUMBER(H522),ISNUMBER(W522)),H522/MAX(1,'Обзор'!$B$4-W522),"")</x:f>
      </x:c>
      <x:c r="AC522" s="17" t="str">
        <x:v>Не решено</x:v>
      </x:c>
      <x:c r="AD522" s="17" t="str">
        <x:v>Не проверено</x:v>
      </x:c>
      <x:c r="AE522" s="17" t="str">
        <x:v>Не проверено</x:v>
      </x:c>
      <x:c r="AF522" s="17" t="str">
        <x:v>Не проверено</x:v>
      </x:c>
      <x:c r="AG522" s="17" t="str">
        <x:v>Не решено</x:v>
      </x:c>
      <x:c r="AH522" s="17" t="str">
        <x:v>Не проверено</x:v>
      </x:c>
      <x:c r="AI522" s="10" t="str">
        <x:f>IF(AC522="Отклонить","Отклонено",IF(AND(AC522="Взять",COUNTIFS(AD522:AH522,"Да")=5),"Готово","Нужна редактура"))</x:f>
        <x:v>Нужна редактура</x:v>
      </x:c>
      <x:c r="AJ522" s="17" t="str"/>
      <x:c r="AK522" s="9" t="str">
        <x:v>https://www.youtube.com/playlist?list=PLLttfoK87AdX4CRge4LcU9seRqCCztT4v</x:v>
      </x:c>
      <x:c r="AL522" s="9" t="n">
        <x:v>2</x:v>
      </x:c>
      <x:c r="AM522" s="9" t="n">
        <x:v>5</x:v>
      </x:c>
      <x:c r="AN522" s="9"/>
    </x:row>
    <x:row r="523" ht="60" customHeight="1">
      <x:c r="A523" s="9" t="str">
        <x:v>nYiJI4sV6os</x:v>
      </x:c>
      <x:c r="B523" s="10" t="str">
        <x:v>מתחת לבלטות | פרק 5 ואחרון - מי מרוויח מהמחירים הגבוהים?</x:v>
      </x:c>
      <x:c r="C523" s="10" t="str">
        <x:v>Экономика и институты</x:v>
      </x:c>
      <x:c r="D523" s="9" t="str">
        <x:v>Образование</x:v>
      </x:c>
      <x:c r="E523" s="10" t="str">
        <x:v>Экономика; репатрианты; общество</x:v>
      </x:c>
      <x:c r="F523" s="10" t="str">
        <x:v>B2–C1 (гипотеза)</x:v>
      </x:c>
      <x:c r="G523" s="12" t="n">
        <x:v>30.7</x:v>
      </x:c>
      <x:c r="H523" s="14" t="n">
        <x:v>193789</x:v>
      </x:c>
      <x:c r="I523" s="15" t="str">
        <x:v>Точный счётчик метаданных видео</x:v>
      </x:c>
      <x:c r="J523" s="14" t="n">
        <x:v>193000</x:v>
      </x:c>
      <x:c r="K523" s="14" t="n">
        <x:v>173000</x:v>
      </x:c>
      <x:c r="L523" s="12" t="n">
        <x:f>IF(COUNT(J523:K523)=2,IF(K523=0,"",J523/K523),"")</x:f>
        <x:v>1.115606936416185</x:v>
      </x:c>
      <x:c r="M523" s="10" t="str">
        <x:v>Тема: מתחת לבלטות | פרק 5 ואחרון - מי מרוויח מהמחירים הגבוהים?. Экономические объяснения связывают личные деньги и общественные решения. Это самостоятельная аудитория за пределами сериалов.</x:v>
      </x:c>
      <x:c r="N523" s="10" t="str">
        <x:v>Пересказать механизм причина–следствие; проверить дату чисел и правил.</x:v>
      </x:c>
      <x:c r="O523" s="10" t="str">
        <x:v>Актуальность финансовых утверждений требует повторной проверки</x:v>
      </x:c>
      <x:c r="P523" s="10" t="str">
        <x:v>Самостоятельное видео</x:v>
      </x:c>
      <x:c r="Q523" s="9" t="str">
        <x:v>Нет</x:v>
      </x:c>
      <x:c r="R523" s="9" t="str">
        <x:v>C035</x:v>
      </x:c>
      <x:c r="S523" s="9" t="str">
        <x:v>C035</x:v>
      </x:c>
      <x:c r="T523" s="10" t="str">
        <x:v>כאן 11 - תאגיד השידור הישראלי</x:v>
      </x:c>
      <x:c r="U523" s="11" t="str">
        <x:v>https://www.youtube.com/watch?v=nYiJI4sV6os</x:v>
      </x:c>
      <x:c r="V523" s="16" t="n">
        <x:v>46308</x:v>
      </x:c>
      <x:c r="W523" s="16" t="n">
        <x:v>45753</x:v>
      </x:c>
      <x:c r="X523" s="10" t="str">
        <x:v>Иврит предполагается по заголовку и источнику</x:v>
      </x:c>
      <x:c r="Y523" s="10" t="str">
        <x:v>Автоматическая дорожка HE по метаданным</x:v>
      </x:c>
      <x:c r="Z523" s="10" t="str">
        <x:v>Разрешено по метаданным</x:v>
      </x:c>
      <x:c r="AA523" s="10" t="str">
        <x:v>Метаданные видео; воспроизведение и содержание не проверены</x:v>
      </x:c>
      <x:c r="AB523" s="13" t="n">
        <x:f>IF(AND(ISNUMBER(H523),ISNUMBER(W523)),H523/MAX(1,'Обзор'!$B$4-W523),"")</x:f>
        <x:v>349.16936936936935</x:v>
      </x:c>
      <x:c r="AC523" s="17" t="str">
        <x:v>Не решено</x:v>
      </x:c>
      <x:c r="AD523" s="17" t="str">
        <x:v>Не проверено</x:v>
      </x:c>
      <x:c r="AE523" s="17" t="str">
        <x:v>Не проверено</x:v>
      </x:c>
      <x:c r="AF523" s="17" t="str">
        <x:v>Не проверено</x:v>
      </x:c>
      <x:c r="AG523" s="17" t="str">
        <x:v>Не решено</x:v>
      </x:c>
      <x:c r="AH523" s="17" t="str">
        <x:v>Не проверено</x:v>
      </x:c>
      <x:c r="AI523" s="10" t="str">
        <x:f>IF(AC523="Отклонить","Отклонено",IF(AND(AC523="Взять",COUNTIFS(AD523:AH523,"Да")=5),"Готово","Нужна редактура"))</x:f>
        <x:v>Нужна редактура</x:v>
      </x:c>
      <x:c r="AJ523" s="17" t="str"/>
      <x:c r="AK523" s="9" t="str">
        <x:v>https://www.youtube.com/playlist?list=PLLttfoK87AdX4CRge4LcU9seRqCCztT4v</x:v>
      </x:c>
      <x:c r="AL523" s="9" t="n">
        <x:v>7</x:v>
      </x:c>
      <x:c r="AM523" s="9" t="n">
        <x:v>5</x:v>
      </x:c>
      <x:c r="AN523" s="9" t="n">
        <x:v>0</x:v>
      </x:c>
    </x:row>
    <x:row r="524" ht="60" customHeight="1">
      <x:c r="A524" s="9" t="str">
        <x:v>GOfexni4ExI</x:v>
      </x:c>
      <x:c r="B524" s="10" t="str">
        <x:v>מתחת לבלטות עונה 2 | פרק 6 ואחרון לעונה - ביטוחי בריאות</x:v>
      </x:c>
      <x:c r="C524" s="10" t="str">
        <x:v>Экономика и институты</x:v>
      </x:c>
      <x:c r="D524" s="9" t="str">
        <x:v>Образование</x:v>
      </x:c>
      <x:c r="E524" s="10" t="str">
        <x:v>Экономика; репатрианты; общество</x:v>
      </x:c>
      <x:c r="F524" s="10" t="str">
        <x:v>B2–C1 (гипотеза)</x:v>
      </x:c>
      <x:c r="G524" s="12" t="n">
        <x:v>33.1</x:v>
      </x:c>
      <x:c r="H524" s="14" t="n">
        <x:v>136000</x:v>
      </x:c>
      <x:c r="I524" s="15" t="str">
        <x:v>Округлённый счётчик в списке YouTube</x:v>
      </x:c>
      <x:c r="J524" s="14" t="n">
        <x:v>136000</x:v>
      </x:c>
      <x:c r="K524" s="14" t="n">
        <x:v>173000</x:v>
      </x:c>
      <x:c r="L524" s="12" t="n">
        <x:f>IF(COUNT(J524:K524)=2,IF(K524=0,"",J524/K524),"")</x:f>
        <x:v>0.7861271676300579</x:v>
      </x:c>
      <x:c r="M524" s="10" t="str">
        <x:v>Тема: מתחת לבלטות עונה 2 | פרק 6 ואחרון לעונה - ביטוחי בריאות. Экономические объяснения связывают личные деньги и общественные решения. Это самостоятельная аудитория за пределами сериалов.</x:v>
      </x:c>
      <x:c r="N524" s="10" t="str">
        <x:v>Пересказать механизм причина–следствие; проверить дату чисел и правил.</x:v>
      </x:c>
      <x:c r="O524" s="10" t="str">
        <x:v>Актуальность финансовых утверждений требует повторной проверки</x:v>
      </x:c>
      <x:c r="P524" s="10" t="str">
        <x:v>Самостоятельное видео</x:v>
      </x:c>
      <x:c r="Q524" s="9" t="str">
        <x:v>Нет</x:v>
      </x:c>
      <x:c r="R524" s="9" t="str">
        <x:v>C035</x:v>
      </x:c>
      <x:c r="S524" s="9" t="str">
        <x:v>C035</x:v>
      </x:c>
      <x:c r="T524" s="10" t="str">
        <x:v>כאן 11 - תאגיד השידור הישראלי</x:v>
      </x:c>
      <x:c r="U524" s="11" t="str">
        <x:v>https://www.youtube.com/watch?v=GOfexni4ExI</x:v>
      </x:c>
      <x:c r="V524" s="16" t="n">
        <x:v>46308</x:v>
      </x:c>
      <x:c r="W524" s="16"/>
      <x:c r="X524" s="10" t="str">
        <x:v>Иврит предполагается по заголовку и источнику</x:v>
      </x:c>
      <x:c r="Y524" s="10" t="str">
        <x:v>Не проверено</x:v>
      </x:c>
      <x:c r="Z524" s="10" t="str">
        <x:v>Не проверено</x:v>
      </x:c>
      <x:c r="AA524" s="10" t="str">
        <x:v>Метаданные списка; видео не просмотрено</x:v>
      </x:c>
      <x:c r="AB524" s="13" t="str">
        <x:f>IF(AND(ISNUMBER(H524),ISNUMBER(W524)),H524/MAX(1,'Обзор'!$B$4-W524),"")</x:f>
      </x:c>
      <x:c r="AC524" s="17" t="str">
        <x:v>Не решено</x:v>
      </x:c>
      <x:c r="AD524" s="17" t="str">
        <x:v>Не проверено</x:v>
      </x:c>
      <x:c r="AE524" s="17" t="str">
        <x:v>Не проверено</x:v>
      </x:c>
      <x:c r="AF524" s="17" t="str">
        <x:v>Не проверено</x:v>
      </x:c>
      <x:c r="AG524" s="17" t="str">
        <x:v>Не решено</x:v>
      </x:c>
      <x:c r="AH524" s="17" t="str">
        <x:v>Не проверено</x:v>
      </x:c>
      <x:c r="AI524" s="10" t="str">
        <x:f>IF(AC524="Отклонить","Отклонено",IF(AND(AC524="Взять",COUNTIFS(AD524:AH524,"Да")=5),"Готово","Нужна редактура"))</x:f>
        <x:v>Нужна редактура</x:v>
      </x:c>
      <x:c r="AJ524" s="17" t="str"/>
      <x:c r="AK524" s="9" t="str">
        <x:v>https://www.youtube.com/playlist?list=PLLttfoK87AdX4CRge4LcU9seRqCCztT4v</x:v>
      </x:c>
      <x:c r="AL524" s="9" t="n">
        <x:v>1</x:v>
      </x:c>
      <x:c r="AM524" s="9" t="n">
        <x:v>6</x:v>
      </x:c>
      <x:c r="AN524" s="9"/>
    </x:row>
    <x:row r="525" ht="60" customHeight="1">
      <x:c r="A525" s="9" t="str">
        <x:v>0uCk1LM3WzU</x:v>
      </x:c>
      <x:c r="B525" s="10" t="str">
        <x:v>עושים לביתנו 💸 | יום חמישי השחור - פרק 1</x:v>
      </x:c>
      <x:c r="C525" s="10" t="str">
        <x:v>Экономическая история</x:v>
      </x:c>
      <x:c r="D525" s="9" t="str">
        <x:v>История</x:v>
      </x:c>
      <x:c r="E525" s="10" t="str">
        <x:v>История; экономика; общество</x:v>
      </x:c>
      <x:c r="F525" s="10" t="str">
        <x:v>B2–C1 (гипотеза)</x:v>
      </x:c>
      <x:c r="G525" s="12" t="n">
        <x:v>53</x:v>
      </x:c>
      <x:c r="H525" s="14" t="n">
        <x:v>90525</x:v>
      </x:c>
      <x:c r="I525" s="15" t="str">
        <x:v>Точный счётчик метаданных видео</x:v>
      </x:c>
      <x:c r="J525" s="14" t="n">
        <x:v>90000</x:v>
      </x:c>
      <x:c r="K525" s="14" t="n">
        <x:v>90000</x:v>
      </x:c>
      <x:c r="L525" s="12" t="n">
        <x:f>IF(COUNT(J525:K525)=2,IF(K525=0,"",J525/K525),"")</x:f>
        <x:v>1</x:v>
      </x:c>
      <x:c r="M525" s="10" t="str">
        <x:v>Тема: עושים לביתנו 💸 | יום חמישי השחור - פרק 1. История экономических решений объясняет различия в образе жизни и институтах страны.</x:v>
      </x:c>
      <x:c r="N525" s="10" t="str">
        <x:v>Построить цепочку решение–последствия; отделить факт от авторской оценки.</x:v>
      </x:c>
      <x:c r="O525" s="10" t="str">
        <x:v>Проверить содержание</x:v>
      </x:c>
      <x:c r="P525" s="10" t="str">
        <x:v>Самостоятельное видео</x:v>
      </x:c>
      <x:c r="Q525" s="9" t="str">
        <x:v>Нет</x:v>
      </x:c>
      <x:c r="R525" s="9" t="str">
        <x:v>C036</x:v>
      </x:c>
      <x:c r="S525" s="9" t="str">
        <x:v>C036</x:v>
      </x:c>
      <x:c r="T525" s="10" t="str">
        <x:v>כאן 11 - תאגיד השידור הישראלי</x:v>
      </x:c>
      <x:c r="U525" s="11" t="str">
        <x:v>https://www.youtube.com/watch?v=0uCk1LM3WzU</x:v>
      </x:c>
      <x:c r="V525" s="16" t="n">
        <x:v>46308</x:v>
      </x:c>
      <x:c r="W525" s="16" t="n">
        <x:v>43998</x:v>
      </x:c>
      <x:c r="X525" s="10" t="str">
        <x:v>Иврит предполагается по заголовку и источнику</x:v>
      </x:c>
      <x:c r="Y525" s="10" t="str">
        <x:v>Дорожка HE не найдена в метаданных; вшитые титры не проверены</x:v>
      </x:c>
      <x:c r="Z525" s="10" t="str">
        <x:v>Разрешено по метаданным</x:v>
      </x:c>
      <x:c r="AA525" s="10" t="str">
        <x:v>Метаданные видео; воспроизведение и содержание не проверены</x:v>
      </x:c>
      <x:c r="AB525" s="13" t="n">
        <x:f>IF(AND(ISNUMBER(H525),ISNUMBER(W525)),H525/MAX(1,'Обзор'!$B$4-W525),"")</x:f>
        <x:v>39.188311688311686</x:v>
      </x:c>
      <x:c r="AC525" s="17" t="str">
        <x:v>Не решено</x:v>
      </x:c>
      <x:c r="AD525" s="17" t="str">
        <x:v>Не проверено</x:v>
      </x:c>
      <x:c r="AE525" s="17" t="str">
        <x:v>Не проверено</x:v>
      </x:c>
      <x:c r="AF525" s="17" t="str">
        <x:v>Не проверено</x:v>
      </x:c>
      <x:c r="AG525" s="17" t="str">
        <x:v>Не решено</x:v>
      </x:c>
      <x:c r="AH525" s="17" t="str">
        <x:v>Не проверено</x:v>
      </x:c>
      <x:c r="AI525" s="10" t="str">
        <x:f>IF(AC525="Отклонить","Отклонено",IF(AND(AC525="Взять",COUNTIFS(AD525:AH525,"Да")=5),"Готово","Нужна редактура"))</x:f>
        <x:v>Нужна редактура</x:v>
      </x:c>
      <x:c r="AJ525" s="17" t="str"/>
      <x:c r="AK525" s="9" t="str">
        <x:v>https://www.youtube.com/playlist?list=PLLttfoK87AdUVPQKrsDuGRVL6DyCuP7eF</x:v>
      </x:c>
      <x:c r="AL525" s="9" t="n">
        <x:v>5</x:v>
      </x:c>
      <x:c r="AM525" s="9" t="n">
        <x:v>1</x:v>
      </x:c>
      <x:c r="AN525" s="9" t="n">
        <x:v>0</x:v>
      </x:c>
    </x:row>
    <x:row r="526" ht="60" customHeight="1">
      <x:c r="A526" s="9" t="str">
        <x:v>QiRRwsHYYMQ</x:v>
      </x:c>
      <x:c r="B526" s="10" t="str">
        <x:v>עושים לביתנו 💸 | עונת הטייקונים - פרק 2</x:v>
      </x:c>
      <x:c r="C526" s="10" t="str">
        <x:v>Экономическая история</x:v>
      </x:c>
      <x:c r="D526" s="9" t="str">
        <x:v>История</x:v>
      </x:c>
      <x:c r="E526" s="10" t="str">
        <x:v>История; экономика; общество</x:v>
      </x:c>
      <x:c r="F526" s="10" t="str">
        <x:v>B2–C1 (гипотеза)</x:v>
      </x:c>
      <x:c r="G526" s="12" t="n">
        <x:v>52.2</x:v>
      </x:c>
      <x:c r="H526" s="14" t="n">
        <x:v>122069</x:v>
      </x:c>
      <x:c r="I526" s="15" t="str">
        <x:v>Точный счётчик метаданных видео</x:v>
      </x:c>
      <x:c r="J526" s="14" t="n">
        <x:v>122000</x:v>
      </x:c>
      <x:c r="K526" s="14" t="n">
        <x:v>90000</x:v>
      </x:c>
      <x:c r="L526" s="12" t="n">
        <x:f>IF(COUNT(J526:K526)=2,IF(K526=0,"",J526/K526),"")</x:f>
        <x:v>1.3555555555555556</x:v>
      </x:c>
      <x:c r="M526" s="10" t="str">
        <x:v>Тема: עושים לביתנו 💸 | עונת הטייקונים - פרק 2. История экономических решений объясняет различия в образе жизни и институтах страны.</x:v>
      </x:c>
      <x:c r="N526" s="10" t="str">
        <x:v>Построить цепочку решение–последствия; отделить факт от авторской оценки.</x:v>
      </x:c>
      <x:c r="O526" s="10" t="str">
        <x:v>Проверить содержание</x:v>
      </x:c>
      <x:c r="P526" s="10" t="str">
        <x:v>Самостоятельное видео</x:v>
      </x:c>
      <x:c r="Q526" s="9" t="str">
        <x:v>Нет</x:v>
      </x:c>
      <x:c r="R526" s="9" t="str">
        <x:v>C036</x:v>
      </x:c>
      <x:c r="S526" s="9" t="str">
        <x:v>C036</x:v>
      </x:c>
      <x:c r="T526" s="10" t="str">
        <x:v>כאן 11 - תאגיד השידור הישראלי</x:v>
      </x:c>
      <x:c r="U526" s="11" t="str">
        <x:v>https://www.youtube.com/watch?v=QiRRwsHYYMQ</x:v>
      </x:c>
      <x:c r="V526" s="16" t="n">
        <x:v>46308</x:v>
      </x:c>
      <x:c r="W526" s="16" t="n">
        <x:v>44005</x:v>
      </x:c>
      <x:c r="X526" s="10" t="str">
        <x:v>Иврит предполагается по заголовку и источнику</x:v>
      </x:c>
      <x:c r="Y526" s="10" t="str">
        <x:v>Дорожка HE не найдена в метаданных; вшитые титры не проверены</x:v>
      </x:c>
      <x:c r="Z526" s="10" t="str">
        <x:v>Разрешено по метаданным</x:v>
      </x:c>
      <x:c r="AA526" s="10" t="str">
        <x:v>Метаданные видео; воспроизведение и содержание не проверены</x:v>
      </x:c>
      <x:c r="AB526" s="13" t="n">
        <x:f>IF(AND(ISNUMBER(H526),ISNUMBER(W526)),H526/MAX(1,'Обзор'!$B$4-W526),"")</x:f>
        <x:v>53.004342162396874</x:v>
      </x:c>
      <x:c r="AC526" s="17" t="str">
        <x:v>Не решено</x:v>
      </x:c>
      <x:c r="AD526" s="17" t="str">
        <x:v>Не проверено</x:v>
      </x:c>
      <x:c r="AE526" s="17" t="str">
        <x:v>Не проверено</x:v>
      </x:c>
      <x:c r="AF526" s="17" t="str">
        <x:v>Не проверено</x:v>
      </x:c>
      <x:c r="AG526" s="17" t="str">
        <x:v>Не решено</x:v>
      </x:c>
      <x:c r="AH526" s="17" t="str">
        <x:v>Не проверено</x:v>
      </x:c>
      <x:c r="AI526" s="10" t="str">
        <x:f>IF(AC526="Отклонить","Отклонено",IF(AND(AC526="Взять",COUNTIFS(AD526:AH526,"Да")=5),"Готово","Нужна редактура"))</x:f>
        <x:v>Нужна редактура</x:v>
      </x:c>
      <x:c r="AJ526" s="17" t="str"/>
      <x:c r="AK526" s="9" t="str">
        <x:v>https://www.youtube.com/playlist?list=PLLttfoK87AdUVPQKrsDuGRVL6DyCuP7eF</x:v>
      </x:c>
      <x:c r="AL526" s="9" t="n">
        <x:v>4</x:v>
      </x:c>
      <x:c r="AM526" s="9" t="n">
        <x:v>2</x:v>
      </x:c>
      <x:c r="AN526" s="9" t="n">
        <x:v>0</x:v>
      </x:c>
    </x:row>
    <x:row r="527" ht="60" customHeight="1">
      <x:c r="A527" s="9" t="str">
        <x:v>-htOwLuBIIQ</x:v>
      </x:c>
      <x:c r="B527" s="10" t="str">
        <x:v>עושים לביתנו 💸 | חשבון הדמים - פרק 3</x:v>
      </x:c>
      <x:c r="C527" s="10" t="str">
        <x:v>Экономическая история</x:v>
      </x:c>
      <x:c r="D527" s="9" t="str">
        <x:v>История</x:v>
      </x:c>
      <x:c r="E527" s="10" t="str">
        <x:v>История; экономика; общество</x:v>
      </x:c>
      <x:c r="F527" s="10" t="str">
        <x:v>B2–C1 (гипотеза)</x:v>
      </x:c>
      <x:c r="G527" s="12" t="n">
        <x:v>51.8</x:v>
      </x:c>
      <x:c r="H527" s="14" t="n">
        <x:v>42000</x:v>
      </x:c>
      <x:c r="I527" s="15" t="str">
        <x:v>Округлённый счётчик в списке YouTube</x:v>
      </x:c>
      <x:c r="J527" s="14" t="n">
        <x:v>42000</x:v>
      </x:c>
      <x:c r="K527" s="14" t="n">
        <x:v>90000</x:v>
      </x:c>
      <x:c r="L527" s="12" t="n">
        <x:f>IF(COUNT(J527:K527)=2,IF(K527=0,"",J527/K527),"")</x:f>
        <x:v>0.4666666666666667</x:v>
      </x:c>
      <x:c r="M527" s="10" t="str">
        <x:v>Тема: עושים לביתנו 💸 | חשבון הדמים - פרק 3. Просмотры ниже медианы цикла; выбирать за нишевую ценность, а не за массовый охват. История экономических решений объясняет различия в образе жизни и институтах страны.</x:v>
      </x:c>
      <x:c r="N527" s="10" t="str">
        <x:v>Построить цепочку решение–последствия; отделить факт от авторской оценки.</x:v>
      </x:c>
      <x:c r="O527" s="10" t="str">
        <x:v>Проверить содержание</x:v>
      </x:c>
      <x:c r="P527" s="10" t="str">
        <x:v>Самостоятельное видео</x:v>
      </x:c>
      <x:c r="Q527" s="9" t="str">
        <x:v>Нет</x:v>
      </x:c>
      <x:c r="R527" s="9" t="str">
        <x:v>C036</x:v>
      </x:c>
      <x:c r="S527" s="9" t="str">
        <x:v>C036</x:v>
      </x:c>
      <x:c r="T527" s="10" t="str">
        <x:v>כאן 11 - תאגיד השידור הישראלי</x:v>
      </x:c>
      <x:c r="U527" s="11" t="str">
        <x:v>https://www.youtube.com/watch?v=-htOwLuBIIQ</x:v>
      </x:c>
      <x:c r="V527" s="16" t="n">
        <x:v>46308</x:v>
      </x:c>
      <x:c r="W527" s="16"/>
      <x:c r="X527" s="10" t="str">
        <x:v>Иврит предполагается по заголовку и источнику</x:v>
      </x:c>
      <x:c r="Y527" s="10" t="str">
        <x:v>Не проверено</x:v>
      </x:c>
      <x:c r="Z527" s="10" t="str">
        <x:v>Не проверено</x:v>
      </x:c>
      <x:c r="AA527" s="10" t="str">
        <x:v>Метаданные списка; видео не просмотрено</x:v>
      </x:c>
      <x:c r="AB527" s="13" t="str">
        <x:f>IF(AND(ISNUMBER(H527),ISNUMBER(W527)),H527/MAX(1,'Обзор'!$B$4-W527),"")</x:f>
      </x:c>
      <x:c r="AC527" s="17" t="str">
        <x:v>Не решено</x:v>
      </x:c>
      <x:c r="AD527" s="17" t="str">
        <x:v>Не проверено</x:v>
      </x:c>
      <x:c r="AE527" s="17" t="str">
        <x:v>Не проверено</x:v>
      </x:c>
      <x:c r="AF527" s="17" t="str">
        <x:v>Не проверено</x:v>
      </x:c>
      <x:c r="AG527" s="17" t="str">
        <x:v>Не решено</x:v>
      </x:c>
      <x:c r="AH527" s="17" t="str">
        <x:v>Не проверено</x:v>
      </x:c>
      <x:c r="AI527" s="10" t="str">
        <x:f>IF(AC527="Отклонить","Отклонено",IF(AND(AC527="Взять",COUNTIFS(AD527:AH527,"Да")=5),"Готово","Нужна редактура"))</x:f>
        <x:v>Нужна редактура</x:v>
      </x:c>
      <x:c r="AJ527" s="17" t="str"/>
      <x:c r="AK527" s="9" t="str">
        <x:v>https://www.youtube.com/playlist?list=PLLttfoK87AdUVPQKrsDuGRVL6DyCuP7eF</x:v>
      </x:c>
      <x:c r="AL527" s="9" t="n">
        <x:v>3</x:v>
      </x:c>
      <x:c r="AM527" s="9" t="n">
        <x:v>3</x:v>
      </x:c>
      <x:c r="AN527" s="9"/>
    </x:row>
    <x:row r="528" ht="60" customHeight="1">
      <x:c r="A528" s="9" t="str">
        <x:v>5BszTBOrrcM</x:v>
      </x:c>
      <x:c r="B528" s="10" t="str">
        <x:v>עושים לביתנו 💸 | חלומות באוויר - פרק 4</x:v>
      </x:c>
      <x:c r="C528" s="10" t="str">
        <x:v>Экономическая история</x:v>
      </x:c>
      <x:c r="D528" s="9" t="str">
        <x:v>История</x:v>
      </x:c>
      <x:c r="E528" s="10" t="str">
        <x:v>История; экономика; общество</x:v>
      </x:c>
      <x:c r="F528" s="10" t="str">
        <x:v>B2–C1 (гипотеза)</x:v>
      </x:c>
      <x:c r="G528" s="12" t="n">
        <x:v>51.3</x:v>
      </x:c>
      <x:c r="H528" s="14" t="n">
        <x:v>235204</x:v>
      </x:c>
      <x:c r="I528" s="15" t="str">
        <x:v>Точный счётчик метаданных видео</x:v>
      </x:c>
      <x:c r="J528" s="14" t="n">
        <x:v>235000</x:v>
      </x:c>
      <x:c r="K528" s="14" t="n">
        <x:v>90000</x:v>
      </x:c>
      <x:c r="L528" s="12" t="n">
        <x:f>IF(COUNT(J528:K528)=2,IF(K528=0,"",J528/K528),"")</x:f>
        <x:v>2.611111111111111</x:v>
      </x:c>
      <x:c r="M528" s="10" t="str">
        <x:v>Тема: עושים לביתנו 💸 | חלומות באוויר - פרק 4. Просмотры в списке выше медианы выборки этого цикла в 2.61 раза. История экономических решений объясняет различия в образе жизни и институтах страны.</x:v>
      </x:c>
      <x:c r="N528" s="10" t="str">
        <x:v>Построить цепочку решение–последствия; отделить факт от авторской оценки.</x:v>
      </x:c>
      <x:c r="O528" s="10" t="str">
        <x:v>Проверить содержание</x:v>
      </x:c>
      <x:c r="P528" s="10" t="str">
        <x:v>Самостоятельное видео</x:v>
      </x:c>
      <x:c r="Q528" s="9" t="str">
        <x:v>Нет</x:v>
      </x:c>
      <x:c r="R528" s="9" t="str">
        <x:v>C036</x:v>
      </x:c>
      <x:c r="S528" s="9" t="str">
        <x:v>C036</x:v>
      </x:c>
      <x:c r="T528" s="10" t="str">
        <x:v>כאן 11 - תאגיד השידור הישראלי</x:v>
      </x:c>
      <x:c r="U528" s="11" t="str">
        <x:v>https://www.youtube.com/watch?v=5BszTBOrrcM</x:v>
      </x:c>
      <x:c r="V528" s="16" t="n">
        <x:v>46308</x:v>
      </x:c>
      <x:c r="W528" s="16" t="n">
        <x:v>44019</x:v>
      </x:c>
      <x:c r="X528" s="10" t="str">
        <x:v>Иврит предполагается по заголовку и источнику</x:v>
      </x:c>
      <x:c r="Y528" s="10" t="str">
        <x:v>Дорожка HE не найдена в метаданных; вшитые титры не проверены</x:v>
      </x:c>
      <x:c r="Z528" s="10" t="str">
        <x:v>Разрешено по метаданным</x:v>
      </x:c>
      <x:c r="AA528" s="10" t="str">
        <x:v>Метаданные видео; воспроизведение и содержание не проверены</x:v>
      </x:c>
      <x:c r="AB528" s="13" t="n">
        <x:f>IF(AND(ISNUMBER(H528),ISNUMBER(W528)),H528/MAX(1,'Обзор'!$B$4-W528),"")</x:f>
        <x:v>102.75404106596767</x:v>
      </x:c>
      <x:c r="AC528" s="17" t="str">
        <x:v>Не решено</x:v>
      </x:c>
      <x:c r="AD528" s="17" t="str">
        <x:v>Не проверено</x:v>
      </x:c>
      <x:c r="AE528" s="17" t="str">
        <x:v>Не проверено</x:v>
      </x:c>
      <x:c r="AF528" s="17" t="str">
        <x:v>Не проверено</x:v>
      </x:c>
      <x:c r="AG528" s="17" t="str">
        <x:v>Не решено</x:v>
      </x:c>
      <x:c r="AH528" s="17" t="str">
        <x:v>Не проверено</x:v>
      </x:c>
      <x:c r="AI528" s="10" t="str">
        <x:f>IF(AC528="Отклонить","Отклонено",IF(AND(AC528="Взять",COUNTIFS(AD528:AH528,"Да")=5),"Готово","Нужна редактура"))</x:f>
        <x:v>Нужна редактура</x:v>
      </x:c>
      <x:c r="AJ528" s="17" t="str"/>
      <x:c r="AK528" s="9" t="str">
        <x:v>https://www.youtube.com/playlist?list=PLLttfoK87AdUVPQKrsDuGRVL6DyCuP7eF</x:v>
      </x:c>
      <x:c r="AL528" s="9" t="n">
        <x:v>2</x:v>
      </x:c>
      <x:c r="AM528" s="9" t="n">
        <x:v>4</x:v>
      </x:c>
      <x:c r="AN528" s="9" t="n">
        <x:v>0</x:v>
      </x:c>
    </x:row>
    <x:row r="529" ht="60" customHeight="1">
      <x:c r="A529" s="9" t="str">
        <x:v>eoPuFBL5j-Y</x:v>
      </x:c>
      <x:c r="B529" s="10" t="str">
        <x:v>עושים לביתנו | ילדים זה קצבה - פרק 5 ואחרון</x:v>
      </x:c>
      <x:c r="C529" s="10" t="str">
        <x:v>Экономическая история</x:v>
      </x:c>
      <x:c r="D529" s="9" t="str">
        <x:v>История</x:v>
      </x:c>
      <x:c r="E529" s="10" t="str">
        <x:v>История; экономика; общество</x:v>
      </x:c>
      <x:c r="F529" s="10" t="str">
        <x:v>B2–C1 (гипотеза)</x:v>
      </x:c>
      <x:c r="G529" s="12" t="n">
        <x:v>51.3</x:v>
      </x:c>
      <x:c r="H529" s="14" t="n">
        <x:v>44000</x:v>
      </x:c>
      <x:c r="I529" s="15" t="str">
        <x:v>Округлённый счётчик в списке YouTube</x:v>
      </x:c>
      <x:c r="J529" s="14" t="n">
        <x:v>44000</x:v>
      </x:c>
      <x:c r="K529" s="14" t="n">
        <x:v>90000</x:v>
      </x:c>
      <x:c r="L529" s="12" t="n">
        <x:f>IF(COUNT(J529:K529)=2,IF(K529=0,"",J529/K529),"")</x:f>
        <x:v>0.4888888888888889</x:v>
      </x:c>
      <x:c r="M529" s="10" t="str">
        <x:v>Тема: עושים לביתנו | ילדים זה קצבה - פרק 5 ואחרון. Просмотры ниже медианы цикла; выбирать за нишевую ценность, а не за массовый охват. История экономических решений объясняет различия в образе жизни и институтах страны.</x:v>
      </x:c>
      <x:c r="N529" s="10" t="str">
        <x:v>Построить цепочку решение–последствия; отделить факт от авторской оценки.</x:v>
      </x:c>
      <x:c r="O529" s="10" t="str">
        <x:v>Проверить содержание</x:v>
      </x:c>
      <x:c r="P529" s="10" t="str">
        <x:v>Самостоятельное видео</x:v>
      </x:c>
      <x:c r="Q529" s="9" t="str">
        <x:v>Нет</x:v>
      </x:c>
      <x:c r="R529" s="9" t="str">
        <x:v>C036</x:v>
      </x:c>
      <x:c r="S529" s="9" t="str">
        <x:v>C036</x:v>
      </x:c>
      <x:c r="T529" s="10" t="str">
        <x:v>כאן 11 - תאגיד השידור הישראלי</x:v>
      </x:c>
      <x:c r="U529" s="11" t="str">
        <x:v>https://www.youtube.com/watch?v=eoPuFBL5j-Y</x:v>
      </x:c>
      <x:c r="V529" s="16" t="n">
        <x:v>46308</x:v>
      </x:c>
      <x:c r="W529" s="16"/>
      <x:c r="X529" s="10" t="str">
        <x:v>Иврит предполагается по заголовку и источнику</x:v>
      </x:c>
      <x:c r="Y529" s="10" t="str">
        <x:v>Не проверено</x:v>
      </x:c>
      <x:c r="Z529" s="10" t="str">
        <x:v>Не проверено</x:v>
      </x:c>
      <x:c r="AA529" s="10" t="str">
        <x:v>Метаданные списка; видео не просмотрено</x:v>
      </x:c>
      <x:c r="AB529" s="13" t="str">
        <x:f>IF(AND(ISNUMBER(H529),ISNUMBER(W529)),H529/MAX(1,'Обзор'!$B$4-W529),"")</x:f>
      </x:c>
      <x:c r="AC529" s="17" t="str">
        <x:v>Не решено</x:v>
      </x:c>
      <x:c r="AD529" s="17" t="str">
        <x:v>Не проверено</x:v>
      </x:c>
      <x:c r="AE529" s="17" t="str">
        <x:v>Не проверено</x:v>
      </x:c>
      <x:c r="AF529" s="17" t="str">
        <x:v>Не проверено</x:v>
      </x:c>
      <x:c r="AG529" s="17" t="str">
        <x:v>Не решено</x:v>
      </x:c>
      <x:c r="AH529" s="17" t="str">
        <x:v>Не проверено</x:v>
      </x:c>
      <x:c r="AI529" s="10" t="str">
        <x:f>IF(AC529="Отклонить","Отклонено",IF(AND(AC529="Взять",COUNTIFS(AD529:AH529,"Да")=5),"Готово","Нужна редактура"))</x:f>
        <x:v>Нужна редактура</x:v>
      </x:c>
      <x:c r="AJ529" s="17" t="str"/>
      <x:c r="AK529" s="9" t="str">
        <x:v>https://www.youtube.com/playlist?list=PLLttfoK87AdUVPQKrsDuGRVL6DyCuP7eF</x:v>
      </x:c>
      <x:c r="AL529" s="9" t="n">
        <x:v>1</x:v>
      </x:c>
      <x:c r="AM529" s="9" t="n">
        <x:v>5</x:v>
      </x:c>
      <x:c r="AN529" s="9"/>
    </x:row>
    <x:row r="530" ht="60" customHeight="1">
      <x:c r="A530" s="9" t="str">
        <x:v>y_2Ysy_oQR0</x:v>
      </x:c>
      <x:c r="B530" s="10" t="str">
        <x:v>המרדף עונה 9 | פרק 1</x:v>
      </x:c>
      <x:c r="C530" s="10" t="str">
        <x:v>Знания и викторины</x:v>
      </x:c>
      <x:c r="D530" s="9" t="str">
        <x:v>Образование</x:v>
      </x:c>
      <x:c r="E530" s="10" t="str">
        <x:v>Эрудиция; семейный просмотр; короткие задания</x:v>
      </x:c>
      <x:c r="F530" s="10" t="str">
        <x:v>B1–B2 (гипотеза)</x:v>
      </x:c>
      <x:c r="G530" s="12" t="n">
        <x:v>54.6</x:v>
      </x:c>
      <x:c r="H530" s="14" t="n">
        <x:v>101940</x:v>
      </x:c>
      <x:c r="I530" s="15" t="str">
        <x:v>Точный счётчик метаданных видео</x:v>
      </x:c>
      <x:c r="J530" s="14" t="n">
        <x:v>101000</x:v>
      </x:c>
      <x:c r="K530" s="14" t="n">
        <x:v>39500</x:v>
      </x:c>
      <x:c r="L530" s="12" t="n">
        <x:f>IF(COUNT(J530:K530)=2,IF(K530=0,"",J530/K530),"")</x:f>
        <x:v>2.5569620253164556</x:v>
      </x:c>
      <x:c r="M530" s="10" t="str">
        <x:v>Тема: המרדף עונה 9 | פרק 1. Просмотры в списке выше медианы выборки этого цикла в 2.56 раза. Викторина предлагает естественный формат проверки понимания и обсуждения ответа.</x:v>
      </x:c>
      <x:c r="N530" s="10" t="str">
        <x:v>Выбрать блок вопросов; ответить до участника и объяснить выбор.</x:v>
      </x:c>
      <x:c r="O530" s="10" t="str">
        <x:v>Быстрый темп; некоторые вопросы требуют местных знаний</x:v>
      </x:c>
      <x:c r="P530" s="10" t="str">
        <x:v>Самостоятельное видео</x:v>
      </x:c>
      <x:c r="Q530" s="9" t="str">
        <x:v>Нет</x:v>
      </x:c>
      <x:c r="R530" s="9" t="str">
        <x:v>C037</x:v>
      </x:c>
      <x:c r="S530" s="9" t="str">
        <x:v>C037</x:v>
      </x:c>
      <x:c r="T530" s="10" t="str">
        <x:v>כאן 11 - תאגיד השידור הישראלי</x:v>
      </x:c>
      <x:c r="U530" s="11" t="str">
        <x:v>https://www.youtube.com/watch?v=y_2Ysy_oQR0</x:v>
      </x:c>
      <x:c r="V530" s="16" t="n">
        <x:v>46308</x:v>
      </x:c>
      <x:c r="W530" s="16" t="n">
        <x:v>45782</x:v>
      </x:c>
      <x:c r="X530" s="10" t="str">
        <x:v>Иврит предполагается по заголовку и источнику</x:v>
      </x:c>
      <x:c r="Y530" s="10" t="str">
        <x:v>Автоматическая дорожка HE по метаданным</x:v>
      </x:c>
      <x:c r="Z530" s="10" t="str">
        <x:v>Разрешено по метаданным</x:v>
      </x:c>
      <x:c r="AA530" s="10" t="str">
        <x:v>Метаданные видео; воспроизведение и содержание не проверены</x:v>
      </x:c>
      <x:c r="AB530" s="13" t="n">
        <x:f>IF(AND(ISNUMBER(H530),ISNUMBER(W530)),H530/MAX(1,'Обзор'!$B$4-W530),"")</x:f>
        <x:v>193.8022813688213</x:v>
      </x:c>
      <x:c r="AC530" s="17" t="str">
        <x:v>Не решено</x:v>
      </x:c>
      <x:c r="AD530" s="17" t="str">
        <x:v>Не проверено</x:v>
      </x:c>
      <x:c r="AE530" s="17" t="str">
        <x:v>Не проверено</x:v>
      </x:c>
      <x:c r="AF530" s="17" t="str">
        <x:v>Не проверено</x:v>
      </x:c>
      <x:c r="AG530" s="17" t="str">
        <x:v>Не решено</x:v>
      </x:c>
      <x:c r="AH530" s="17" t="str">
        <x:v>Не проверено</x:v>
      </x:c>
      <x:c r="AI530" s="10" t="str">
        <x:f>IF(AC530="Отклонить","Отклонено",IF(AND(AC530="Взять",COUNTIFS(AD530:AH530,"Да")=5),"Готово","Нужна редактура"))</x:f>
        <x:v>Нужна редактура</x:v>
      </x:c>
      <x:c r="AJ530" s="17" t="str"/>
      <x:c r="AK530" s="9" t="str">
        <x:v>https://www.youtube.com/playlist?list=PLLttfoK87AdWYVR5m8cz2bodWIP-vYOaZ</x:v>
      </x:c>
      <x:c r="AL530" s="9" t="n">
        <x:v>1</x:v>
      </x:c>
      <x:c r="AM530" s="9" t="n">
        <x:v>1</x:v>
      </x:c>
      <x:c r="AN530" s="9" t="n">
        <x:v>0</x:v>
      </x:c>
    </x:row>
    <x:row r="531" ht="60" customHeight="1">
      <x:c r="A531" s="9" t="str">
        <x:v>2h5VUxPzMrM</x:v>
      </x:c>
      <x:c r="B531" s="10" t="str">
        <x:v>המרדף עונה 9 | פרק 2</x:v>
      </x:c>
      <x:c r="C531" s="10" t="str">
        <x:v>Знания и викторины</x:v>
      </x:c>
      <x:c r="D531" s="9" t="str">
        <x:v>Образование</x:v>
      </x:c>
      <x:c r="E531" s="10" t="str">
        <x:v>Эрудиция; семейный просмотр; короткие задания</x:v>
      </x:c>
      <x:c r="F531" s="10" t="str">
        <x:v>B1–B2 (гипотеза)</x:v>
      </x:c>
      <x:c r="G531" s="12" t="n">
        <x:v>53.9</x:v>
      </x:c>
      <x:c r="H531" s="14" t="n">
        <x:v>62327</x:v>
      </x:c>
      <x:c r="I531" s="15" t="str">
        <x:v>Точный счётчик метаданных видео</x:v>
      </x:c>
      <x:c r="J531" s="14" t="n">
        <x:v>62000</x:v>
      </x:c>
      <x:c r="K531" s="14" t="n">
        <x:v>39500</x:v>
      </x:c>
      <x:c r="L531" s="12" t="n">
        <x:f>IF(COUNT(J531:K531)=2,IF(K531=0,"",J531/K531),"")</x:f>
        <x:v>1.5696202531645569</x:v>
      </x:c>
      <x:c r="M531" s="10" t="str">
        <x:v>Тема: המרדף עונה 9 | פרק 2. Просмотры в списке выше медианы выборки этого цикла в 1.57 раза. Викторина предлагает естественный формат проверки понимания и обсуждения ответа.</x:v>
      </x:c>
      <x:c r="N531" s="10" t="str">
        <x:v>Выбрать блок вопросов; ответить до участника и объяснить выбор.</x:v>
      </x:c>
      <x:c r="O531" s="10" t="str">
        <x:v>Быстрый темп; некоторые вопросы требуют местных знаний</x:v>
      </x:c>
      <x:c r="P531" s="10" t="str">
        <x:v>Самостоятельное видео</x:v>
      </x:c>
      <x:c r="Q531" s="9" t="str">
        <x:v>Нет</x:v>
      </x:c>
      <x:c r="R531" s="9" t="str">
        <x:v>C037</x:v>
      </x:c>
      <x:c r="S531" s="9" t="str">
        <x:v>C037</x:v>
      </x:c>
      <x:c r="T531" s="10" t="str">
        <x:v>כאן 11 - תאגיד השידור הישראלי</x:v>
      </x:c>
      <x:c r="U531" s="11" t="str">
        <x:v>https://www.youtube.com/watch?v=2h5VUxPzMrM</x:v>
      </x:c>
      <x:c r="V531" s="16" t="n">
        <x:v>46308</x:v>
      </x:c>
      <x:c r="W531" s="16" t="n">
        <x:v>45785</x:v>
      </x:c>
      <x:c r="X531" s="10" t="str">
        <x:v>Иврит предполагается по заголовку и источнику</x:v>
      </x:c>
      <x:c r="Y531" s="10" t="str">
        <x:v>Автоматическая дорожка HE по метаданным</x:v>
      </x:c>
      <x:c r="Z531" s="10" t="str">
        <x:v>Разрешено по метаданным</x:v>
      </x:c>
      <x:c r="AA531" s="10" t="str">
        <x:v>Метаданные видео; воспроизведение и содержание не проверены</x:v>
      </x:c>
      <x:c r="AB531" s="13" t="n">
        <x:f>IF(AND(ISNUMBER(H531),ISNUMBER(W531)),H531/MAX(1,'Обзор'!$B$4-W531),"")</x:f>
        <x:v>119.17208413001912</x:v>
      </x:c>
      <x:c r="AC531" s="17" t="str">
        <x:v>Не решено</x:v>
      </x:c>
      <x:c r="AD531" s="17" t="str">
        <x:v>Не проверено</x:v>
      </x:c>
      <x:c r="AE531" s="17" t="str">
        <x:v>Не проверено</x:v>
      </x:c>
      <x:c r="AF531" s="17" t="str">
        <x:v>Не проверено</x:v>
      </x:c>
      <x:c r="AG531" s="17" t="str">
        <x:v>Не решено</x:v>
      </x:c>
      <x:c r="AH531" s="17" t="str">
        <x:v>Не проверено</x:v>
      </x:c>
      <x:c r="AI531" s="10" t="str">
        <x:f>IF(AC531="Отклонить","Отклонено",IF(AND(AC531="Взять",COUNTIFS(AD531:AH531,"Да")=5),"Готово","Нужна редактура"))</x:f>
        <x:v>Нужна редактура</x:v>
      </x:c>
      <x:c r="AJ531" s="17" t="str"/>
      <x:c r="AK531" s="9" t="str">
        <x:v>https://www.youtube.com/playlist?list=PLLttfoK87AdWYVR5m8cz2bodWIP-vYOaZ</x:v>
      </x:c>
      <x:c r="AL531" s="9" t="n">
        <x:v>2</x:v>
      </x:c>
      <x:c r="AM531" s="9" t="n">
        <x:v>2</x:v>
      </x:c>
      <x:c r="AN531" s="9" t="n">
        <x:v>0</x:v>
      </x:c>
    </x:row>
    <x:row r="532" ht="60" customHeight="1">
      <x:c r="A532" s="9" t="str">
        <x:v>G5N_7WKMwY8</x:v>
      </x:c>
      <x:c r="B532" s="10" t="str">
        <x:v>המרדף עונה 9 | פרק 3</x:v>
      </x:c>
      <x:c r="C532" s="10" t="str">
        <x:v>Знания и викторины</x:v>
      </x:c>
      <x:c r="D532" s="9" t="str">
        <x:v>Образование</x:v>
      </x:c>
      <x:c r="E532" s="10" t="str">
        <x:v>Эрудиция; семейный просмотр; короткие задания</x:v>
      </x:c>
      <x:c r="F532" s="10" t="str">
        <x:v>B1–B2 (гипотеза)</x:v>
      </x:c>
      <x:c r="G532" s="12" t="n">
        <x:v>54.8</x:v>
      </x:c>
      <x:c r="H532" s="14" t="n">
        <x:v>84437</x:v>
      </x:c>
      <x:c r="I532" s="15" t="str">
        <x:v>Точный счётчик метаданных видео</x:v>
      </x:c>
      <x:c r="J532" s="14" t="n">
        <x:v>84000</x:v>
      </x:c>
      <x:c r="K532" s="14" t="n">
        <x:v>39500</x:v>
      </x:c>
      <x:c r="L532" s="12" t="n">
        <x:f>IF(COUNT(J532:K532)=2,IF(K532=0,"",J532/K532),"")</x:f>
        <x:v>2.1265822784810124</x:v>
      </x:c>
      <x:c r="M532" s="10" t="str">
        <x:v>Тема: המרדף עונה 9 | פרק 3. Просмотры в списке выше медианы выборки этого цикла в 2.13 раза. Викторина предлагает естественный формат проверки понимания и обсуждения ответа.</x:v>
      </x:c>
      <x:c r="N532" s="10" t="str">
        <x:v>Выбрать блок вопросов; ответить до участника и объяснить выбор.</x:v>
      </x:c>
      <x:c r="O532" s="10" t="str">
        <x:v>Быстрый темп; некоторые вопросы требуют местных знаний</x:v>
      </x:c>
      <x:c r="P532" s="10" t="str">
        <x:v>Самостоятельное видео</x:v>
      </x:c>
      <x:c r="Q532" s="9" t="str">
        <x:v>Нет</x:v>
      </x:c>
      <x:c r="R532" s="9" t="str">
        <x:v>C037</x:v>
      </x:c>
      <x:c r="S532" s="9" t="str">
        <x:v>C037</x:v>
      </x:c>
      <x:c r="T532" s="10" t="str">
        <x:v>כאן 11 - תאגיד השידור הישראלי</x:v>
      </x:c>
      <x:c r="U532" s="11" t="str">
        <x:v>https://www.youtube.com/watch?v=G5N_7WKMwY8</x:v>
      </x:c>
      <x:c r="V532" s="16" t="n">
        <x:v>46308</x:v>
      </x:c>
      <x:c r="W532" s="16" t="n">
        <x:v>45790</x:v>
      </x:c>
      <x:c r="X532" s="10" t="str">
        <x:v>iw</x:v>
      </x:c>
      <x:c r="Y532" s="10" t="str">
        <x:v>Автоматическая дорожка HE по метаданным</x:v>
      </x:c>
      <x:c r="Z532" s="10" t="str">
        <x:v>Разрешено по метаданным</x:v>
      </x:c>
      <x:c r="AA532" s="10" t="str">
        <x:v>Метаданные видео; воспроизведение и содержание не проверены</x:v>
      </x:c>
      <x:c r="AB532" s="13" t="n">
        <x:f>IF(AND(ISNUMBER(H532),ISNUMBER(W532)),H532/MAX(1,'Обзор'!$B$4-W532),"")</x:f>
        <x:v>163.0057915057915</x:v>
      </x:c>
      <x:c r="AC532" s="17" t="str">
        <x:v>Не решено</x:v>
      </x:c>
      <x:c r="AD532" s="17" t="str">
        <x:v>Не проверено</x:v>
      </x:c>
      <x:c r="AE532" s="17" t="str">
        <x:v>Не проверено</x:v>
      </x:c>
      <x:c r="AF532" s="17" t="str">
        <x:v>Не проверено</x:v>
      </x:c>
      <x:c r="AG532" s="17" t="str">
        <x:v>Не решено</x:v>
      </x:c>
      <x:c r="AH532" s="17" t="str">
        <x:v>Не проверено</x:v>
      </x:c>
      <x:c r="AI532" s="10" t="str">
        <x:f>IF(AC532="Отклонить","Отклонено",IF(AND(AC532="Взять",COUNTIFS(AD532:AH532,"Да")=5),"Готово","Нужна редактура"))</x:f>
        <x:v>Нужна редактура</x:v>
      </x:c>
      <x:c r="AJ532" s="17" t="str"/>
      <x:c r="AK532" s="9" t="str">
        <x:v>https://www.youtube.com/playlist?list=PLLttfoK87AdWYVR5m8cz2bodWIP-vYOaZ</x:v>
      </x:c>
      <x:c r="AL532" s="9" t="n">
        <x:v>3</x:v>
      </x:c>
      <x:c r="AM532" s="9" t="n">
        <x:v>3</x:v>
      </x:c>
      <x:c r="AN532" s="9" t="n">
        <x:v>0</x:v>
      </x:c>
    </x:row>
    <x:row r="533" ht="60" customHeight="1">
      <x:c r="A533" s="9" t="str">
        <x:v>_b96OSMKsII</x:v>
      </x:c>
      <x:c r="B533" s="10" t="str">
        <x:v>המרדף עונה 9 | פרק 4</x:v>
      </x:c>
      <x:c r="C533" s="10" t="str">
        <x:v>Знания и викторины</x:v>
      </x:c>
      <x:c r="D533" s="9" t="str">
        <x:v>Образование</x:v>
      </x:c>
      <x:c r="E533" s="10" t="str">
        <x:v>Эрудиция; семейный просмотр; короткие задания</x:v>
      </x:c>
      <x:c r="F533" s="10" t="str">
        <x:v>B1–B2 (гипотеза)</x:v>
      </x:c>
      <x:c r="G533" s="12" t="n">
        <x:v>54.1</x:v>
      </x:c>
      <x:c r="H533" s="14" t="n">
        <x:v>57048</x:v>
      </x:c>
      <x:c r="I533" s="15" t="str">
        <x:v>Точный счётчик метаданных видео</x:v>
      </x:c>
      <x:c r="J533" s="14" t="n">
        <x:v>57000</x:v>
      </x:c>
      <x:c r="K533" s="14" t="n">
        <x:v>39500</x:v>
      </x:c>
      <x:c r="L533" s="12" t="n">
        <x:f>IF(COUNT(J533:K533)=2,IF(K533=0,"",J533/K533),"")</x:f>
        <x:v>1.4430379746835442</x:v>
      </x:c>
      <x:c r="M533" s="10" t="str">
        <x:v>Тема: המרדף עונה 9 | פרק 4. Викторина предлагает естественный формат проверки понимания и обсуждения ответа.</x:v>
      </x:c>
      <x:c r="N533" s="10" t="str">
        <x:v>Выбрать блок вопросов; ответить до участника и объяснить выбор.</x:v>
      </x:c>
      <x:c r="O533" s="10" t="str">
        <x:v>Быстрый темп; некоторые вопросы требуют местных знаний</x:v>
      </x:c>
      <x:c r="P533" s="10" t="str">
        <x:v>Самостоятельное видео</x:v>
      </x:c>
      <x:c r="Q533" s="9" t="str">
        <x:v>Нет</x:v>
      </x:c>
      <x:c r="R533" s="9" t="str">
        <x:v>C037</x:v>
      </x:c>
      <x:c r="S533" s="9" t="str">
        <x:v>C037</x:v>
      </x:c>
      <x:c r="T533" s="10" t="str">
        <x:v>כאן 11 - תאגיד השידור הישראלי</x:v>
      </x:c>
      <x:c r="U533" s="11" t="str">
        <x:v>https://www.youtube.com/watch?v=_b96OSMKsII</x:v>
      </x:c>
      <x:c r="V533" s="16" t="n">
        <x:v>46308</x:v>
      </x:c>
      <x:c r="W533" s="16" t="n">
        <x:v>45796</x:v>
      </x:c>
      <x:c r="X533" s="10" t="str">
        <x:v>Иврит предполагается по заголовку и источнику</x:v>
      </x:c>
      <x:c r="Y533" s="10" t="str">
        <x:v>Автоматическая дорожка HE по метаданным</x:v>
      </x:c>
      <x:c r="Z533" s="10" t="str">
        <x:v>Разрешено по метаданным</x:v>
      </x:c>
      <x:c r="AA533" s="10" t="str">
        <x:v>Метаданные видео; воспроизведение и содержание не проверены</x:v>
      </x:c>
      <x:c r="AB533" s="13" t="n">
        <x:f>IF(AND(ISNUMBER(H533),ISNUMBER(W533)),H533/MAX(1,'Обзор'!$B$4-W533),"")</x:f>
        <x:v>111.421875</x:v>
      </x:c>
      <x:c r="AC533" s="17" t="str">
        <x:v>Не решено</x:v>
      </x:c>
      <x:c r="AD533" s="17" t="str">
        <x:v>Не проверено</x:v>
      </x:c>
      <x:c r="AE533" s="17" t="str">
        <x:v>Не проверено</x:v>
      </x:c>
      <x:c r="AF533" s="17" t="str">
        <x:v>Не проверено</x:v>
      </x:c>
      <x:c r="AG533" s="17" t="str">
        <x:v>Не решено</x:v>
      </x:c>
      <x:c r="AH533" s="17" t="str">
        <x:v>Не проверено</x:v>
      </x:c>
      <x:c r="AI533" s="10" t="str">
        <x:f>IF(AC533="Отклонить","Отклонено",IF(AND(AC533="Взять",COUNTIFS(AD533:AH533,"Да")=5),"Готово","Нужна редактура"))</x:f>
        <x:v>Нужна редактура</x:v>
      </x:c>
      <x:c r="AJ533" s="17" t="str"/>
      <x:c r="AK533" s="9" t="str">
        <x:v>https://www.youtube.com/playlist?list=PLLttfoK87AdWYVR5m8cz2bodWIP-vYOaZ</x:v>
      </x:c>
      <x:c r="AL533" s="9" t="n">
        <x:v>4</x:v>
      </x:c>
      <x:c r="AM533" s="9" t="n">
        <x:v>4</x:v>
      </x:c>
      <x:c r="AN533" s="9" t="n">
        <x:v>0</x:v>
      </x:c>
    </x:row>
    <x:row r="534" ht="60" customHeight="1">
      <x:c r="A534" s="9" t="str">
        <x:v>HZtB9MUNq_U</x:v>
      </x:c>
      <x:c r="B534" s="10" t="str">
        <x:v>המרדף עונה 9 | פרק 5</x:v>
      </x:c>
      <x:c r="C534" s="10" t="str">
        <x:v>Знания и викторины</x:v>
      </x:c>
      <x:c r="D534" s="9" t="str">
        <x:v>Образование</x:v>
      </x:c>
      <x:c r="E534" s="10" t="str">
        <x:v>Эрудиция; семейный просмотр; короткие задания</x:v>
      </x:c>
      <x:c r="F534" s="10" t="str">
        <x:v>B1–B2 (гипотеза)</x:v>
      </x:c>
      <x:c r="G534" s="12" t="n">
        <x:v>53.5</x:v>
      </x:c>
      <x:c r="H534" s="14" t="n">
        <x:v>61358</x:v>
      </x:c>
      <x:c r="I534" s="15" t="str">
        <x:v>Точный счётчик метаданных видео</x:v>
      </x:c>
      <x:c r="J534" s="14" t="n">
        <x:v>61000</x:v>
      </x:c>
      <x:c r="K534" s="14" t="n">
        <x:v>39500</x:v>
      </x:c>
      <x:c r="L534" s="12" t="n">
        <x:f>IF(COUNT(J534:K534)=2,IF(K534=0,"",J534/K534),"")</x:f>
        <x:v>1.5443037974683544</x:v>
      </x:c>
      <x:c r="M534" s="10" t="str">
        <x:v>Тема: המרדף עונה 9 | פרק 5. Просмотры в списке выше медианы выборки этого цикла в 1.54 раза. Викторина предлагает естественный формат проверки понимания и обсуждения ответа.</x:v>
      </x:c>
      <x:c r="N534" s="10" t="str">
        <x:v>Выбрать блок вопросов; ответить до участника и объяснить выбор.</x:v>
      </x:c>
      <x:c r="O534" s="10" t="str">
        <x:v>Быстрый темп; некоторые вопросы требуют местных знаний</x:v>
      </x:c>
      <x:c r="P534" s="10" t="str">
        <x:v>Самостоятельное видео</x:v>
      </x:c>
      <x:c r="Q534" s="9" t="str">
        <x:v>Нет</x:v>
      </x:c>
      <x:c r="R534" s="9" t="str">
        <x:v>C037</x:v>
      </x:c>
      <x:c r="S534" s="9" t="str">
        <x:v>C037</x:v>
      </x:c>
      <x:c r="T534" s="10" t="str">
        <x:v>כאן 11 - תאגיד השידור הישראלי</x:v>
      </x:c>
      <x:c r="U534" s="11" t="str">
        <x:v>https://www.youtube.com/watch?v=HZtB9MUNq_U</x:v>
      </x:c>
      <x:c r="V534" s="16" t="n">
        <x:v>46308</x:v>
      </x:c>
      <x:c r="W534" s="16" t="n">
        <x:v>45803</x:v>
      </x:c>
      <x:c r="X534" s="10" t="str">
        <x:v>Иврит предполагается по заголовку и источнику</x:v>
      </x:c>
      <x:c r="Y534" s="10" t="str">
        <x:v>Автоматическая дорожка HE по метаданным</x:v>
      </x:c>
      <x:c r="Z534" s="10" t="str">
        <x:v>Разрешено по метаданным</x:v>
      </x:c>
      <x:c r="AA534" s="10" t="str">
        <x:v>Метаданные видео; воспроизведение и содержание не проверены</x:v>
      </x:c>
      <x:c r="AB534" s="13" t="n">
        <x:f>IF(AND(ISNUMBER(H534),ISNUMBER(W534)),H534/MAX(1,'Обзор'!$B$4-W534),"")</x:f>
        <x:v>121.5009900990099</x:v>
      </x:c>
      <x:c r="AC534" s="17" t="str">
        <x:v>Не решено</x:v>
      </x:c>
      <x:c r="AD534" s="17" t="str">
        <x:v>Не проверено</x:v>
      </x:c>
      <x:c r="AE534" s="17" t="str">
        <x:v>Не проверено</x:v>
      </x:c>
      <x:c r="AF534" s="17" t="str">
        <x:v>Не проверено</x:v>
      </x:c>
      <x:c r="AG534" s="17" t="str">
        <x:v>Не решено</x:v>
      </x:c>
      <x:c r="AH534" s="17" t="str">
        <x:v>Не проверено</x:v>
      </x:c>
      <x:c r="AI534" s="10" t="str">
        <x:f>IF(AC534="Отклонить","Отклонено",IF(AND(AC534="Взять",COUNTIFS(AD534:AH534,"Да")=5),"Готово","Нужна редактура"))</x:f>
        <x:v>Нужна редактура</x:v>
      </x:c>
      <x:c r="AJ534" s="17" t="str"/>
      <x:c r="AK534" s="9" t="str">
        <x:v>https://www.youtube.com/playlist?list=PLLttfoK87AdWYVR5m8cz2bodWIP-vYOaZ</x:v>
      </x:c>
      <x:c r="AL534" s="9" t="n">
        <x:v>5</x:v>
      </x:c>
      <x:c r="AM534" s="9" t="n">
        <x:v>5</x:v>
      </x:c>
      <x:c r="AN534" s="9" t="n">
        <x:v>0</x:v>
      </x:c>
    </x:row>
    <x:row r="535" ht="60" customHeight="1">
      <x:c r="A535" s="9" t="str">
        <x:v>ozaz35TTiaE</x:v>
      </x:c>
      <x:c r="B535" s="10" t="str">
        <x:v>המרדף עונה 9 | פרק 6</x:v>
      </x:c>
      <x:c r="C535" s="10" t="str">
        <x:v>Знания и викторины</x:v>
      </x:c>
      <x:c r="D535" s="9" t="str">
        <x:v>Образование</x:v>
      </x:c>
      <x:c r="E535" s="10" t="str">
        <x:v>Эрудиция; семейный просмотр; короткие задания</x:v>
      </x:c>
      <x:c r="F535" s="10" t="str">
        <x:v>B1–B2 (гипотеза)</x:v>
      </x:c>
      <x:c r="G535" s="12" t="n">
        <x:v>54.9</x:v>
      </x:c>
      <x:c r="H535" s="14" t="n">
        <x:v>55911</x:v>
      </x:c>
      <x:c r="I535" s="15" t="str">
        <x:v>Точный счётчик метаданных видео</x:v>
      </x:c>
      <x:c r="J535" s="14" t="n">
        <x:v>55000</x:v>
      </x:c>
      <x:c r="K535" s="14" t="n">
        <x:v>39500</x:v>
      </x:c>
      <x:c r="L535" s="12" t="n">
        <x:f>IF(COUNT(J535:K535)=2,IF(K535=0,"",J535/K535),"")</x:f>
        <x:v>1.3924050632911393</x:v>
      </x:c>
      <x:c r="M535" s="10" t="str">
        <x:v>Тема: המרדף עונה 9 | פרק 6. Викторина предлагает естественный формат проверки понимания и обсуждения ответа.</x:v>
      </x:c>
      <x:c r="N535" s="10" t="str">
        <x:v>Выбрать блок вопросов; ответить до участника и объяснить выбор.</x:v>
      </x:c>
      <x:c r="O535" s="10" t="str">
        <x:v>Быстрый темп; некоторые вопросы требуют местных знаний</x:v>
      </x:c>
      <x:c r="P535" s="10" t="str">
        <x:v>Самостоятельное видео</x:v>
      </x:c>
      <x:c r="Q535" s="9" t="str">
        <x:v>Нет</x:v>
      </x:c>
      <x:c r="R535" s="9" t="str">
        <x:v>C037</x:v>
      </x:c>
      <x:c r="S535" s="9" t="str">
        <x:v>C037</x:v>
      </x:c>
      <x:c r="T535" s="10" t="str">
        <x:v>כאן 11 - תאגיד השידור הישראלי</x:v>
      </x:c>
      <x:c r="U535" s="11" t="str">
        <x:v>https://www.youtube.com/watch?v=ozaz35TTiaE</x:v>
      </x:c>
      <x:c r="V535" s="16" t="n">
        <x:v>46308</x:v>
      </x:c>
      <x:c r="W535" s="16" t="n">
        <x:v>45805</x:v>
      </x:c>
      <x:c r="X535" s="10" t="str">
        <x:v>Иврит предполагается по заголовку и источнику</x:v>
      </x:c>
      <x:c r="Y535" s="10" t="str">
        <x:v>Автоматическая дорожка HE по метаданным</x:v>
      </x:c>
      <x:c r="Z535" s="10" t="str">
        <x:v>Разрешено по метаданным</x:v>
      </x:c>
      <x:c r="AA535" s="10" t="str">
        <x:v>Метаданные видео; воспроизведение и содержание не проверены</x:v>
      </x:c>
      <x:c r="AB535" s="13" t="n">
        <x:f>IF(AND(ISNUMBER(H535),ISNUMBER(W535)),H535/MAX(1,'Обзор'!$B$4-W535),"")</x:f>
        <x:v>111.15506958250496</x:v>
      </x:c>
      <x:c r="AC535" s="17" t="str">
        <x:v>Не решено</x:v>
      </x:c>
      <x:c r="AD535" s="17" t="str">
        <x:v>Не проверено</x:v>
      </x:c>
      <x:c r="AE535" s="17" t="str">
        <x:v>Не проверено</x:v>
      </x:c>
      <x:c r="AF535" s="17" t="str">
        <x:v>Не проверено</x:v>
      </x:c>
      <x:c r="AG535" s="17" t="str">
        <x:v>Не решено</x:v>
      </x:c>
      <x:c r="AH535" s="17" t="str">
        <x:v>Не проверено</x:v>
      </x:c>
      <x:c r="AI535" s="10" t="str">
        <x:f>IF(AC535="Отклонить","Отклонено",IF(AND(AC535="Взять",COUNTIFS(AD535:AH535,"Да")=5),"Готово","Нужна редактура"))</x:f>
        <x:v>Нужна редактура</x:v>
      </x:c>
      <x:c r="AJ535" s="17" t="str"/>
      <x:c r="AK535" s="9" t="str">
        <x:v>https://www.youtube.com/playlist?list=PLLttfoK87AdWYVR5m8cz2bodWIP-vYOaZ</x:v>
      </x:c>
      <x:c r="AL535" s="9" t="n">
        <x:v>6</x:v>
      </x:c>
      <x:c r="AM535" s="9" t="n">
        <x:v>6</x:v>
      </x:c>
      <x:c r="AN535" s="9" t="n">
        <x:v>0</x:v>
      </x:c>
    </x:row>
    <x:row r="536" ht="60" customHeight="1">
      <x:c r="A536" s="9" t="str">
        <x:v>1xpvr6jO45c</x:v>
      </x:c>
      <x:c r="B536" s="10" t="str">
        <x:v>המרדף עונה 9 | פרק 8 - ספיישל קולינרי</x:v>
      </x:c>
      <x:c r="C536" s="10" t="str">
        <x:v>Знания и викторины</x:v>
      </x:c>
      <x:c r="D536" s="9" t="str">
        <x:v>Образование</x:v>
      </x:c>
      <x:c r="E536" s="10" t="str">
        <x:v>Эрудиция; семейный просмотр; короткие задания</x:v>
      </x:c>
      <x:c r="F536" s="10" t="str">
        <x:v>B1–B2 (гипотеза)</x:v>
      </x:c>
      <x:c r="G536" s="12" t="n">
        <x:v>54.2</x:v>
      </x:c>
      <x:c r="H536" s="14" t="n">
        <x:v>52914</x:v>
      </x:c>
      <x:c r="I536" s="15" t="str">
        <x:v>Точный счётчик метаданных видео</x:v>
      </x:c>
      <x:c r="J536" s="14" t="n">
        <x:v>52000</x:v>
      </x:c>
      <x:c r="K536" s="14" t="n">
        <x:v>39500</x:v>
      </x:c>
      <x:c r="L536" s="12" t="n">
        <x:f>IF(COUNT(J536:K536)=2,IF(K536=0,"",J536/K536),"")</x:f>
        <x:v>1.3164556962025316</x:v>
      </x:c>
      <x:c r="M536" s="10" t="str">
        <x:v>Тема: המרדף עונה 9 | פרק 8 - ספיישל קולינרי. Викторина предлагает естественный формат проверки понимания и обсуждения ответа.</x:v>
      </x:c>
      <x:c r="N536" s="10" t="str">
        <x:v>Выбрать блок вопросов; ответить до участника и объяснить выбор.</x:v>
      </x:c>
      <x:c r="O536" s="10" t="str">
        <x:v>Быстрый темп; некоторые вопросы требуют местных знаний</x:v>
      </x:c>
      <x:c r="P536" s="10" t="str">
        <x:v>Самостоятельное видео</x:v>
      </x:c>
      <x:c r="Q536" s="9" t="str">
        <x:v>Нет</x:v>
      </x:c>
      <x:c r="R536" s="9" t="str">
        <x:v>C037</x:v>
      </x:c>
      <x:c r="S536" s="9" t="str">
        <x:v>C037</x:v>
      </x:c>
      <x:c r="T536" s="10" t="str">
        <x:v>כאן 11 - תאגיד השידור הישראלי</x:v>
      </x:c>
      <x:c r="U536" s="11" t="str">
        <x:v>https://www.youtube.com/watch?v=1xpvr6jO45c</x:v>
      </x:c>
      <x:c r="V536" s="16" t="n">
        <x:v>46308</x:v>
      </x:c>
      <x:c r="W536" s="16" t="n">
        <x:v>45829</x:v>
      </x:c>
      <x:c r="X536" s="10" t="str">
        <x:v>Иврит предполагается по заголовку и источнику</x:v>
      </x:c>
      <x:c r="Y536" s="10" t="str">
        <x:v>Автоматическая дорожка HE по метаданным</x:v>
      </x:c>
      <x:c r="Z536" s="10" t="str">
        <x:v>Разрешено по метаданным</x:v>
      </x:c>
      <x:c r="AA536" s="10" t="str">
        <x:v>Метаданные видео; воспроизведение и содержание не проверены</x:v>
      </x:c>
      <x:c r="AB536" s="13" t="n">
        <x:f>IF(AND(ISNUMBER(H536),ISNUMBER(W536)),H536/MAX(1,'Обзор'!$B$4-W536),"")</x:f>
        <x:v>110.46764091858037</x:v>
      </x:c>
      <x:c r="AC536" s="17" t="str">
        <x:v>Не решено</x:v>
      </x:c>
      <x:c r="AD536" s="17" t="str">
        <x:v>Не проверено</x:v>
      </x:c>
      <x:c r="AE536" s="17" t="str">
        <x:v>Не проверено</x:v>
      </x:c>
      <x:c r="AF536" s="17" t="str">
        <x:v>Не проверено</x:v>
      </x:c>
      <x:c r="AG536" s="17" t="str">
        <x:v>Не решено</x:v>
      </x:c>
      <x:c r="AH536" s="17" t="str">
        <x:v>Не проверено</x:v>
      </x:c>
      <x:c r="AI536" s="10" t="str">
        <x:f>IF(AC536="Отклонить","Отклонено",IF(AND(AC536="Взять",COUNTIFS(AD536:AH536,"Да")=5),"Готово","Нужна редактура"))</x:f>
        <x:v>Нужна редактура</x:v>
      </x:c>
      <x:c r="AJ536" s="17" t="str"/>
      <x:c r="AK536" s="9" t="str">
        <x:v>https://www.youtube.com/playlist?list=PLLttfoK87AdWYVR5m8cz2bodWIP-vYOaZ</x:v>
      </x:c>
      <x:c r="AL536" s="9" t="n">
        <x:v>8</x:v>
      </x:c>
      <x:c r="AM536" s="9" t="n">
        <x:v>8</x:v>
      </x:c>
      <x:c r="AN536" s="9" t="n">
        <x:v>0</x:v>
      </x:c>
    </x:row>
    <x:row r="537" ht="60" customHeight="1">
      <x:c r="A537" s="9" t="str">
        <x:v>ge3ewi-BJ_M</x:v>
      </x:c>
      <x:c r="B537" s="10" t="str">
        <x:v>המרדף עונה 9 | פרק 9</x:v>
      </x:c>
      <x:c r="C537" s="10" t="str">
        <x:v>Знания и викторины</x:v>
      </x:c>
      <x:c r="D537" s="9" t="str">
        <x:v>Образование</x:v>
      </x:c>
      <x:c r="E537" s="10" t="str">
        <x:v>Эрудиция; семейный просмотр; короткие задания</x:v>
      </x:c>
      <x:c r="F537" s="10" t="str">
        <x:v>B1–B2 (гипотеза)</x:v>
      </x:c>
      <x:c r="G537" s="12" t="n">
        <x:v>54.4</x:v>
      </x:c>
      <x:c r="H537" s="14" t="n">
        <x:v>39000</x:v>
      </x:c>
      <x:c r="I537" s="15" t="str">
        <x:v>Округлённый счётчик в списке YouTube</x:v>
      </x:c>
      <x:c r="J537" s="14" t="n">
        <x:v>39000</x:v>
      </x:c>
      <x:c r="K537" s="14" t="n">
        <x:v>39500</x:v>
      </x:c>
      <x:c r="L537" s="12" t="n">
        <x:f>IF(COUNT(J537:K537)=2,IF(K537=0,"",J537/K537),"")</x:f>
        <x:v>0.9873417721518988</x:v>
      </x:c>
      <x:c r="M537" s="10" t="str">
        <x:v>Тема: המרדף עונה 9 | פרק 9. Викторина предлагает естественный формат проверки понимания и обсуждения ответа.</x:v>
      </x:c>
      <x:c r="N537" s="10" t="str">
        <x:v>Выбрать блок вопросов; ответить до участника и объяснить выбор.</x:v>
      </x:c>
      <x:c r="O537" s="10" t="str">
        <x:v>Быстрый темп; некоторые вопросы требуют местных знаний</x:v>
      </x:c>
      <x:c r="P537" s="10" t="str">
        <x:v>Самостоятельное видео</x:v>
      </x:c>
      <x:c r="Q537" s="9" t="str">
        <x:v>Нет</x:v>
      </x:c>
      <x:c r="R537" s="9" t="str">
        <x:v>C037</x:v>
      </x:c>
      <x:c r="S537" s="9" t="str">
        <x:v>C037</x:v>
      </x:c>
      <x:c r="T537" s="10" t="str">
        <x:v>כאן 11 - תאגיד השידור הישראלי</x:v>
      </x:c>
      <x:c r="U537" s="11" t="str">
        <x:v>https://www.youtube.com/watch?v=ge3ewi-BJ_M</x:v>
      </x:c>
      <x:c r="V537" s="16" t="n">
        <x:v>46308</x:v>
      </x:c>
      <x:c r="W537" s="16"/>
      <x:c r="X537" s="10" t="str">
        <x:v>Иврит предполагается по заголовку и источнику</x:v>
      </x:c>
      <x:c r="Y537" s="10" t="str">
        <x:v>Не проверено</x:v>
      </x:c>
      <x:c r="Z537" s="10" t="str">
        <x:v>Не проверено</x:v>
      </x:c>
      <x:c r="AA537" s="10" t="str">
        <x:v>Метаданные списка; видео не просмотрено</x:v>
      </x:c>
      <x:c r="AB537" s="13" t="str">
        <x:f>IF(AND(ISNUMBER(H537),ISNUMBER(W537)),H537/MAX(1,'Обзор'!$B$4-W537),"")</x:f>
      </x:c>
      <x:c r="AC537" s="17" t="str">
        <x:v>Не решено</x:v>
      </x:c>
      <x:c r="AD537" s="17" t="str">
        <x:v>Не проверено</x:v>
      </x:c>
      <x:c r="AE537" s="17" t="str">
        <x:v>Не проверено</x:v>
      </x:c>
      <x:c r="AF537" s="17" t="str">
        <x:v>Не проверено</x:v>
      </x:c>
      <x:c r="AG537" s="17" t="str">
        <x:v>Не решено</x:v>
      </x:c>
      <x:c r="AH537" s="17" t="str">
        <x:v>Не проверено</x:v>
      </x:c>
      <x:c r="AI537" s="10" t="str">
        <x:f>IF(AC537="Отклонить","Отклонено",IF(AND(AC537="Взять",COUNTIFS(AD537:AH537,"Да")=5),"Готово","Нужна редактура"))</x:f>
        <x:v>Нужна редактура</x:v>
      </x:c>
      <x:c r="AJ537" s="17" t="str"/>
      <x:c r="AK537" s="9" t="str">
        <x:v>https://www.youtube.com/playlist?list=PLLttfoK87AdWYVR5m8cz2bodWIP-vYOaZ</x:v>
      </x:c>
      <x:c r="AL537" s="9" t="n">
        <x:v>9</x:v>
      </x:c>
      <x:c r="AM537" s="9" t="n">
        <x:v>9</x:v>
      </x:c>
      <x:c r="AN537" s="9"/>
    </x:row>
    <x:row r="538" ht="60" customHeight="1">
      <x:c r="A538" s="9" t="str">
        <x:v>w2kb1NR1hcg</x:v>
      </x:c>
      <x:c r="B538" s="10" t="str">
        <x:v>המרדף עונה 9 | פרק 10 - ספיישל מלון הוטל</x:v>
      </x:c>
      <x:c r="C538" s="10" t="str">
        <x:v>Знания и викторины</x:v>
      </x:c>
      <x:c r="D538" s="9" t="str">
        <x:v>Образование</x:v>
      </x:c>
      <x:c r="E538" s="10" t="str">
        <x:v>Эрудиция; семейный просмотр; короткие задания</x:v>
      </x:c>
      <x:c r="F538" s="10" t="str">
        <x:v>B1–B2 (гипотеза)</x:v>
      </x:c>
      <x:c r="G538" s="12" t="n">
        <x:v>54.9</x:v>
      </x:c>
      <x:c r="H538" s="14" t="n">
        <x:v>148190</x:v>
      </x:c>
      <x:c r="I538" s="15" t="str">
        <x:v>Точный счётчик метаданных видео</x:v>
      </x:c>
      <x:c r="J538" s="14" t="n">
        <x:v>148000</x:v>
      </x:c>
      <x:c r="K538" s="14" t="n">
        <x:v>39500</x:v>
      </x:c>
      <x:c r="L538" s="12" t="n">
        <x:f>IF(COUNT(J538:K538)=2,IF(K538=0,"",J538/K538),"")</x:f>
        <x:v>3.7468354430379747</x:v>
      </x:c>
      <x:c r="M538" s="10" t="str">
        <x:v>Тема: המרדף עונה 9 | פרק 10 - ספיישל מלון הוטל. Просмотры в списке выше медианы выборки этого цикла в 3.75 раза. Викторина предлагает естественный формат проверки понимания и обсуждения ответа.</x:v>
      </x:c>
      <x:c r="N538" s="10" t="str">
        <x:v>Выбрать блок вопросов; ответить до участника и объяснить выбор.</x:v>
      </x:c>
      <x:c r="O538" s="10" t="str">
        <x:v>Быстрый темп; некоторые вопросы требуют местных знаний</x:v>
      </x:c>
      <x:c r="P538" s="10" t="str">
        <x:v>Самостоятельное видео</x:v>
      </x:c>
      <x:c r="Q538" s="9" t="str">
        <x:v>Нет</x:v>
      </x:c>
      <x:c r="R538" s="9" t="str">
        <x:v>C037</x:v>
      </x:c>
      <x:c r="S538" s="9" t="str">
        <x:v>C037</x:v>
      </x:c>
      <x:c r="T538" s="10" t="str">
        <x:v>כאן 11 - תאגיד השידור הישראלי</x:v>
      </x:c>
      <x:c r="U538" s="11" t="str">
        <x:v>https://www.youtube.com/watch?v=w2kb1NR1hcg</x:v>
      </x:c>
      <x:c r="V538" s="16" t="n">
        <x:v>46308</x:v>
      </x:c>
      <x:c r="W538" s="16" t="n">
        <x:v>45837</x:v>
      </x:c>
      <x:c r="X538" s="10" t="str">
        <x:v>Иврит предполагается по заголовку и источнику</x:v>
      </x:c>
      <x:c r="Y538" s="10" t="str">
        <x:v>Автоматическая дорожка HE по метаданным</x:v>
      </x:c>
      <x:c r="Z538" s="10" t="str">
        <x:v>Разрешено по метаданным</x:v>
      </x:c>
      <x:c r="AA538" s="10" t="str">
        <x:v>Метаданные видео; воспроизведение и содержание не проверены</x:v>
      </x:c>
      <x:c r="AB538" s="13" t="n">
        <x:f>IF(AND(ISNUMBER(H538),ISNUMBER(W538)),H538/MAX(1,'Обзор'!$B$4-W538),"")</x:f>
        <x:v>314.6284501061571</x:v>
      </x:c>
      <x:c r="AC538" s="17" t="str">
        <x:v>Не решено</x:v>
      </x:c>
      <x:c r="AD538" s="17" t="str">
        <x:v>Не проверено</x:v>
      </x:c>
      <x:c r="AE538" s="17" t="str">
        <x:v>Не проверено</x:v>
      </x:c>
      <x:c r="AF538" s="17" t="str">
        <x:v>Не проверено</x:v>
      </x:c>
      <x:c r="AG538" s="17" t="str">
        <x:v>Не решено</x:v>
      </x:c>
      <x:c r="AH538" s="17" t="str">
        <x:v>Не проверено</x:v>
      </x:c>
      <x:c r="AI538" s="10" t="str">
        <x:f>IF(AC538="Отклонить","Отклонено",IF(AND(AC538="Взять",COUNTIFS(AD538:AH538,"Да")=5),"Готово","Нужна редактура"))</x:f>
        <x:v>Нужна редактура</x:v>
      </x:c>
      <x:c r="AJ538" s="17" t="str"/>
      <x:c r="AK538" s="9" t="str">
        <x:v>https://www.youtube.com/playlist?list=PLLttfoK87AdWYVR5m8cz2bodWIP-vYOaZ</x:v>
      </x:c>
      <x:c r="AL538" s="9" t="n">
        <x:v>10</x:v>
      </x:c>
      <x:c r="AM538" s="9" t="n">
        <x:v>10</x:v>
      </x:c>
      <x:c r="AN538" s="9" t="n">
        <x:v>0</x:v>
      </x:c>
    </x:row>
    <x:row r="539" ht="60" customHeight="1">
      <x:c r="A539" s="9" t="str">
        <x:v>HcrKtBPVbpk</x:v>
      </x:c>
      <x:c r="B539" s="10" t="str">
        <x:v>המרדף עונה 9 | פרק 11 - צ'ייסר חדש</x:v>
      </x:c>
      <x:c r="C539" s="10" t="str">
        <x:v>Знания и викторины</x:v>
      </x:c>
      <x:c r="D539" s="9" t="str">
        <x:v>Образование</x:v>
      </x:c>
      <x:c r="E539" s="10" t="str">
        <x:v>Эрудиция; семейный просмотр; короткие задания</x:v>
      </x:c>
      <x:c r="F539" s="10" t="str">
        <x:v>B1–B2 (гипотеза)</x:v>
      </x:c>
      <x:c r="G539" s="12" t="n">
        <x:v>53.4</x:v>
      </x:c>
      <x:c r="H539" s="14" t="n">
        <x:v>79756</x:v>
      </x:c>
      <x:c r="I539" s="15" t="str">
        <x:v>Точный счётчик метаданных видео</x:v>
      </x:c>
      <x:c r="J539" s="14" t="n">
        <x:v>79000</x:v>
      </x:c>
      <x:c r="K539" s="14" t="n">
        <x:v>39500</x:v>
      </x:c>
      <x:c r="L539" s="12" t="n">
        <x:f>IF(COUNT(J539:K539)=2,IF(K539=0,"",J539/K539),"")</x:f>
        <x:v>2</x:v>
      </x:c>
      <x:c r="M539" s="10" t="str">
        <x:v>Тема: המרדף עונה 9 | פרק 11 - צ'ייסר חדש. Просмотры в списке выше медианы выборки этого цикла в 2.0 раза. Викторина предлагает естественный формат проверки понимания и обсуждения ответа.</x:v>
      </x:c>
      <x:c r="N539" s="10" t="str">
        <x:v>Выбрать блок вопросов; ответить до участника и объяснить выбор.</x:v>
      </x:c>
      <x:c r="O539" s="10" t="str">
        <x:v>Быстрый темп; некоторые вопросы требуют местных знаний</x:v>
      </x:c>
      <x:c r="P539" s="10" t="str">
        <x:v>Самостоятельное видео</x:v>
      </x:c>
      <x:c r="Q539" s="9" t="str">
        <x:v>Нет</x:v>
      </x:c>
      <x:c r="R539" s="9" t="str">
        <x:v>C037</x:v>
      </x:c>
      <x:c r="S539" s="9" t="str">
        <x:v>C037</x:v>
      </x:c>
      <x:c r="T539" s="10" t="str">
        <x:v>כאן 11 - תאגיד השידור הישראלי</x:v>
      </x:c>
      <x:c r="U539" s="11" t="str">
        <x:v>https://www.youtube.com/watch?v=HcrKtBPVbpk</x:v>
      </x:c>
      <x:c r="V539" s="16" t="n">
        <x:v>46308</x:v>
      </x:c>
      <x:c r="W539" s="16" t="n">
        <x:v>45858</x:v>
      </x:c>
      <x:c r="X539" s="10" t="str">
        <x:v>iw</x:v>
      </x:c>
      <x:c r="Y539" s="10" t="str">
        <x:v>Автоматическая дорожка HE по метаданным</x:v>
      </x:c>
      <x:c r="Z539" s="10" t="str">
        <x:v>Разрешено по метаданным</x:v>
      </x:c>
      <x:c r="AA539" s="10" t="str">
        <x:v>Метаданные видео; воспроизведение и содержание не проверены</x:v>
      </x:c>
      <x:c r="AB539" s="13" t="n">
        <x:f>IF(AND(ISNUMBER(H539),ISNUMBER(W539)),H539/MAX(1,'Обзор'!$B$4-W539),"")</x:f>
        <x:v>177.23555555555555</x:v>
      </x:c>
      <x:c r="AC539" s="17" t="str">
        <x:v>Не решено</x:v>
      </x:c>
      <x:c r="AD539" s="17" t="str">
        <x:v>Не проверено</x:v>
      </x:c>
      <x:c r="AE539" s="17" t="str">
        <x:v>Не проверено</x:v>
      </x:c>
      <x:c r="AF539" s="17" t="str">
        <x:v>Не проверено</x:v>
      </x:c>
      <x:c r="AG539" s="17" t="str">
        <x:v>Не решено</x:v>
      </x:c>
      <x:c r="AH539" s="17" t="str">
        <x:v>Не проверено</x:v>
      </x:c>
      <x:c r="AI539" s="10" t="str">
        <x:f>IF(AC539="Отклонить","Отклонено",IF(AND(AC539="Взять",COUNTIFS(AD539:AH539,"Да")=5),"Готово","Нужна редактура"))</x:f>
        <x:v>Нужна редактура</x:v>
      </x:c>
      <x:c r="AJ539" s="17" t="str"/>
      <x:c r="AK539" s="9" t="str">
        <x:v>https://www.youtube.com/playlist?list=PLLttfoK87AdWYVR5m8cz2bodWIP-vYOaZ</x:v>
      </x:c>
      <x:c r="AL539" s="9" t="n">
        <x:v>11</x:v>
      </x:c>
      <x:c r="AM539" s="9" t="n">
        <x:v>11</x:v>
      </x:c>
      <x:c r="AN539" s="9" t="n">
        <x:v>0</x:v>
      </x:c>
    </x:row>
    <x:row r="540" ht="60" customHeight="1">
      <x:c r="A540" s="9" t="str">
        <x:v>tm3w5BQrB48</x:v>
      </x:c>
      <x:c r="B540" s="10" t="str">
        <x:v>המרדף עונה 9 | פרק 12</x:v>
      </x:c>
      <x:c r="C540" s="10" t="str">
        <x:v>Знания и викторины</x:v>
      </x:c>
      <x:c r="D540" s="9" t="str">
        <x:v>Образование</x:v>
      </x:c>
      <x:c r="E540" s="10" t="str">
        <x:v>Эрудиция; семейный просмотр; короткие задания</x:v>
      </x:c>
      <x:c r="F540" s="10" t="str">
        <x:v>B1–B2 (гипотеза)</x:v>
      </x:c>
      <x:c r="G540" s="12" t="n">
        <x:v>52.9</x:v>
      </x:c>
      <x:c r="H540" s="14" t="n">
        <x:v>76362</x:v>
      </x:c>
      <x:c r="I540" s="15" t="str">
        <x:v>Точный счётчик метаданных видео</x:v>
      </x:c>
      <x:c r="J540" s="14" t="n">
        <x:v>76000</x:v>
      </x:c>
      <x:c r="K540" s="14" t="n">
        <x:v>39500</x:v>
      </x:c>
      <x:c r="L540" s="12" t="n">
        <x:f>IF(COUNT(J540:K540)=2,IF(K540=0,"",J540/K540),"")</x:f>
        <x:v>1.9240506329113924</x:v>
      </x:c>
      <x:c r="M540" s="10" t="str">
        <x:v>Тема: המרדף עונה 9 | פרק 12. Просмотры в списке выше медианы выборки этого цикла в 1.92 раза. Викторина предлагает естественный формат проверки понимания и обсуждения ответа.</x:v>
      </x:c>
      <x:c r="N540" s="10" t="str">
        <x:v>Выбрать блок вопросов; ответить до участника и объяснить выбор.</x:v>
      </x:c>
      <x:c r="O540" s="10" t="str">
        <x:v>Быстрый темп; некоторые вопросы требуют местных знаний</x:v>
      </x:c>
      <x:c r="P540" s="10" t="str">
        <x:v>Самостоятельное видео</x:v>
      </x:c>
      <x:c r="Q540" s="9" t="str">
        <x:v>Нет</x:v>
      </x:c>
      <x:c r="R540" s="9" t="str">
        <x:v>C037</x:v>
      </x:c>
      <x:c r="S540" s="9" t="str">
        <x:v>C037</x:v>
      </x:c>
      <x:c r="T540" s="10" t="str">
        <x:v>כאן 11 - תאגיד השידור הישראלי</x:v>
      </x:c>
      <x:c r="U540" s="11" t="str">
        <x:v>https://www.youtube.com/watch?v=tm3w5BQrB48</x:v>
      </x:c>
      <x:c r="V540" s="16" t="n">
        <x:v>46308</x:v>
      </x:c>
      <x:c r="W540" s="16" t="n">
        <x:v>45861</x:v>
      </x:c>
      <x:c r="X540" s="10" t="str">
        <x:v>Иврит предполагается по заголовку и источнику</x:v>
      </x:c>
      <x:c r="Y540" s="10" t="str">
        <x:v>Автоматическая дорожка HE по метаданным</x:v>
      </x:c>
      <x:c r="Z540" s="10" t="str">
        <x:v>Разрешено по метаданным</x:v>
      </x:c>
      <x:c r="AA540" s="10" t="str">
        <x:v>Метаданные видео; воспроизведение и содержание не проверены</x:v>
      </x:c>
      <x:c r="AB540" s="13" t="n">
        <x:f>IF(AND(ISNUMBER(H540),ISNUMBER(W540)),H540/MAX(1,'Обзор'!$B$4-W540),"")</x:f>
        <x:v>170.83221476510067</x:v>
      </x:c>
      <x:c r="AC540" s="17" t="str">
        <x:v>Не решено</x:v>
      </x:c>
      <x:c r="AD540" s="17" t="str">
        <x:v>Не проверено</x:v>
      </x:c>
      <x:c r="AE540" s="17" t="str">
        <x:v>Не проверено</x:v>
      </x:c>
      <x:c r="AF540" s="17" t="str">
        <x:v>Не проверено</x:v>
      </x:c>
      <x:c r="AG540" s="17" t="str">
        <x:v>Не решено</x:v>
      </x:c>
      <x:c r="AH540" s="17" t="str">
        <x:v>Не проверено</x:v>
      </x:c>
      <x:c r="AI540" s="10" t="str">
        <x:f>IF(AC540="Отклонить","Отклонено",IF(AND(AC540="Взять",COUNTIFS(AD540:AH540,"Да")=5),"Готово","Нужна редактура"))</x:f>
        <x:v>Нужна редактура</x:v>
      </x:c>
      <x:c r="AJ540" s="17" t="str"/>
      <x:c r="AK540" s="9" t="str">
        <x:v>https://www.youtube.com/playlist?list=PLLttfoK87AdWYVR5m8cz2bodWIP-vYOaZ</x:v>
      </x:c>
      <x:c r="AL540" s="9" t="n">
        <x:v>12</x:v>
      </x:c>
      <x:c r="AM540" s="9" t="n">
        <x:v>12</x:v>
      </x:c>
      <x:c r="AN540" s="9" t="n">
        <x:v>0</x:v>
      </x:c>
    </x:row>
    <x:row r="541" ht="60" customHeight="1">
      <x:c r="A541" s="9" t="str">
        <x:v>A6txEf_Q-ak</x:v>
      </x:c>
      <x:c r="B541" s="10" t="str">
        <x:v>המרדף עונה 9 | פרק 13</x:v>
      </x:c>
      <x:c r="C541" s="10" t="str">
        <x:v>Знания и викторины</x:v>
      </x:c>
      <x:c r="D541" s="9" t="str">
        <x:v>Образование</x:v>
      </x:c>
      <x:c r="E541" s="10" t="str">
        <x:v>Эрудиция; семейный просмотр; короткие задания</x:v>
      </x:c>
      <x:c r="F541" s="10" t="str">
        <x:v>B1–B2 (гипотеза)</x:v>
      </x:c>
      <x:c r="G541" s="12" t="n">
        <x:v>54.1</x:v>
      </x:c>
      <x:c r="H541" s="14" t="n">
        <x:v>40906</x:v>
      </x:c>
      <x:c r="I541" s="15" t="str">
        <x:v>Точный счётчик метаданных видео</x:v>
      </x:c>
      <x:c r="J541" s="14" t="n">
        <x:v>40000</x:v>
      </x:c>
      <x:c r="K541" s="14" t="n">
        <x:v>39500</x:v>
      </x:c>
      <x:c r="L541" s="12" t="n">
        <x:f>IF(COUNT(J541:K541)=2,IF(K541=0,"",J541/K541),"")</x:f>
        <x:v>1.0126582278481013</x:v>
      </x:c>
      <x:c r="M541" s="10" t="str">
        <x:v>Тема: המרדף עונה 9 | פרק 13. Викторина предлагает естественный формат проверки понимания и обсуждения ответа.</x:v>
      </x:c>
      <x:c r="N541" s="10" t="str">
        <x:v>Выбрать блок вопросов; ответить до участника и объяснить выбор.</x:v>
      </x:c>
      <x:c r="O541" s="10" t="str">
        <x:v>Быстрый темп; некоторые вопросы требуют местных знаний</x:v>
      </x:c>
      <x:c r="P541" s="10" t="str">
        <x:v>Самостоятельное видео</x:v>
      </x:c>
      <x:c r="Q541" s="9" t="str">
        <x:v>Нет</x:v>
      </x:c>
      <x:c r="R541" s="9" t="str">
        <x:v>C037</x:v>
      </x:c>
      <x:c r="S541" s="9" t="str">
        <x:v>C037</x:v>
      </x:c>
      <x:c r="T541" s="10" t="str">
        <x:v>כאן 11 - תאגיד השידור הישראלי</x:v>
      </x:c>
      <x:c r="U541" s="11" t="str">
        <x:v>https://www.youtube.com/watch?v=A6txEf_Q-ak</x:v>
      </x:c>
      <x:c r="V541" s="16" t="n">
        <x:v>46308</x:v>
      </x:c>
      <x:c r="W541" s="16" t="n">
        <x:v>45865</x:v>
      </x:c>
      <x:c r="X541" s="10" t="str">
        <x:v>Иврит предполагается по заголовку и источнику</x:v>
      </x:c>
      <x:c r="Y541" s="10" t="str">
        <x:v>Автоматическая дорожка HE по метаданным</x:v>
      </x:c>
      <x:c r="Z541" s="10" t="str">
        <x:v>Разрешено по метаданным</x:v>
      </x:c>
      <x:c r="AA541" s="10" t="str">
        <x:v>Метаданные видео; воспроизведение и содержание не проверены</x:v>
      </x:c>
      <x:c r="AB541" s="13" t="n">
        <x:f>IF(AND(ISNUMBER(H541),ISNUMBER(W541)),H541/MAX(1,'Обзор'!$B$4-W541),"")</x:f>
        <x:v>92.33860045146727</x:v>
      </x:c>
      <x:c r="AC541" s="17" t="str">
        <x:v>Не решено</x:v>
      </x:c>
      <x:c r="AD541" s="17" t="str">
        <x:v>Не проверено</x:v>
      </x:c>
      <x:c r="AE541" s="17" t="str">
        <x:v>Не проверено</x:v>
      </x:c>
      <x:c r="AF541" s="17" t="str">
        <x:v>Не проверено</x:v>
      </x:c>
      <x:c r="AG541" s="17" t="str">
        <x:v>Не решено</x:v>
      </x:c>
      <x:c r="AH541" s="17" t="str">
        <x:v>Не проверено</x:v>
      </x:c>
      <x:c r="AI541" s="10" t="str">
        <x:f>IF(AC541="Отклонить","Отклонено",IF(AND(AC541="Взять",COUNTIFS(AD541:AH541,"Да")=5),"Готово","Нужна редактура"))</x:f>
        <x:v>Нужна редактура</x:v>
      </x:c>
      <x:c r="AJ541" s="17" t="str"/>
      <x:c r="AK541" s="9" t="str">
        <x:v>https://www.youtube.com/playlist?list=PLLttfoK87AdWYVR5m8cz2bodWIP-vYOaZ</x:v>
      </x:c>
      <x:c r="AL541" s="9" t="n">
        <x:v>13</x:v>
      </x:c>
      <x:c r="AM541" s="9" t="n">
        <x:v>13</x:v>
      </x:c>
      <x:c r="AN541" s="9" t="n">
        <x:v>0</x:v>
      </x:c>
    </x:row>
    <x:row r="542" ht="60" customHeight="1">
      <x:c r="A542" s="9" t="str">
        <x:v>fePOnCqZxSw</x:v>
      </x:c>
      <x:c r="B542" s="10" t="str">
        <x:v>המרדף עונה 9 | פרק 14</x:v>
      </x:c>
      <x:c r="C542" s="10" t="str">
        <x:v>Знания и викторины</x:v>
      </x:c>
      <x:c r="D542" s="9" t="str">
        <x:v>Образование</x:v>
      </x:c>
      <x:c r="E542" s="10" t="str">
        <x:v>Эрудиция; семейный просмотр; короткие задания</x:v>
      </x:c>
      <x:c r="F542" s="10" t="str">
        <x:v>B1–B2 (гипотеза)</x:v>
      </x:c>
      <x:c r="G542" s="12" t="n">
        <x:v>54.4</x:v>
      </x:c>
      <x:c r="H542" s="14" t="n">
        <x:v>42898</x:v>
      </x:c>
      <x:c r="I542" s="15" t="str">
        <x:v>Точный счётчик метаданных видео</x:v>
      </x:c>
      <x:c r="J542" s="14" t="n">
        <x:v>42000</x:v>
      </x:c>
      <x:c r="K542" s="14" t="n">
        <x:v>39500</x:v>
      </x:c>
      <x:c r="L542" s="12" t="n">
        <x:f>IF(COUNT(J542:K542)=2,IF(K542=0,"",J542/K542),"")</x:f>
        <x:v>1.0632911392405062</x:v>
      </x:c>
      <x:c r="M542" s="10" t="str">
        <x:v>Тема: המרדף עונה 9 | פרק 14. Викторина предлагает естественный формат проверки понимания и обсуждения ответа.</x:v>
      </x:c>
      <x:c r="N542" s="10" t="str">
        <x:v>Выбрать блок вопросов; ответить до участника и объяснить выбор.</x:v>
      </x:c>
      <x:c r="O542" s="10" t="str">
        <x:v>Быстрый темп; некоторые вопросы требуют местных знаний</x:v>
      </x:c>
      <x:c r="P542" s="10" t="str">
        <x:v>Самостоятельное видео</x:v>
      </x:c>
      <x:c r="Q542" s="9" t="str">
        <x:v>Нет</x:v>
      </x:c>
      <x:c r="R542" s="9" t="str">
        <x:v>C037</x:v>
      </x:c>
      <x:c r="S542" s="9" t="str">
        <x:v>C037</x:v>
      </x:c>
      <x:c r="T542" s="10" t="str">
        <x:v>כאן 11 - תאגיד השידור הישראלי</x:v>
      </x:c>
      <x:c r="U542" s="11" t="str">
        <x:v>https://www.youtube.com/watch?v=fePOnCqZxSw</x:v>
      </x:c>
      <x:c r="V542" s="16" t="n">
        <x:v>46308</x:v>
      </x:c>
      <x:c r="W542" s="16" t="n">
        <x:v>45868</x:v>
      </x:c>
      <x:c r="X542" s="10" t="str">
        <x:v>Иврит предполагается по заголовку и источнику</x:v>
      </x:c>
      <x:c r="Y542" s="10" t="str">
        <x:v>Автоматическая дорожка HE по метаданным</x:v>
      </x:c>
      <x:c r="Z542" s="10" t="str">
        <x:v>Разрешено по метаданным</x:v>
      </x:c>
      <x:c r="AA542" s="10" t="str">
        <x:v>Метаданные видео; воспроизведение и содержание не проверены</x:v>
      </x:c>
      <x:c r="AB542" s="13" t="n">
        <x:f>IF(AND(ISNUMBER(H542),ISNUMBER(W542)),H542/MAX(1,'Обзор'!$B$4-W542),"")</x:f>
        <x:v>97.49545454545455</x:v>
      </x:c>
      <x:c r="AC542" s="17" t="str">
        <x:v>Не решено</x:v>
      </x:c>
      <x:c r="AD542" s="17" t="str">
        <x:v>Не проверено</x:v>
      </x:c>
      <x:c r="AE542" s="17" t="str">
        <x:v>Не проверено</x:v>
      </x:c>
      <x:c r="AF542" s="17" t="str">
        <x:v>Не проверено</x:v>
      </x:c>
      <x:c r="AG542" s="17" t="str">
        <x:v>Не решено</x:v>
      </x:c>
      <x:c r="AH542" s="17" t="str">
        <x:v>Не проверено</x:v>
      </x:c>
      <x:c r="AI542" s="10" t="str">
        <x:f>IF(AC542="Отклонить","Отклонено",IF(AND(AC542="Взять",COUNTIFS(AD542:AH542,"Да")=5),"Готово","Нужна редактура"))</x:f>
        <x:v>Нужна редактура</x:v>
      </x:c>
      <x:c r="AJ542" s="17" t="str"/>
      <x:c r="AK542" s="9" t="str">
        <x:v>https://www.youtube.com/playlist?list=PLLttfoK87AdWYVR5m8cz2bodWIP-vYOaZ</x:v>
      </x:c>
      <x:c r="AL542" s="9" t="n">
        <x:v>14</x:v>
      </x:c>
      <x:c r="AM542" s="9" t="n">
        <x:v>14</x:v>
      </x:c>
      <x:c r="AN542" s="9" t="n">
        <x:v>0</x:v>
      </x:c>
    </x:row>
    <x:row r="543" ht="60" customHeight="1">
      <x:c r="A543" s="9" t="str">
        <x:v>ydwskX1xHFE</x:v>
      </x:c>
      <x:c r="B543" s="10" t="str">
        <x:v>המרדף עונה 9 | פרק 15</x:v>
      </x:c>
      <x:c r="C543" s="10" t="str">
        <x:v>Знания и викторины</x:v>
      </x:c>
      <x:c r="D543" s="9" t="str">
        <x:v>Образование</x:v>
      </x:c>
      <x:c r="E543" s="10" t="str">
        <x:v>Эрудиция; семейный просмотр; короткие задания</x:v>
      </x:c>
      <x:c r="F543" s="10" t="str">
        <x:v>B1–B2 (гипотеза)</x:v>
      </x:c>
      <x:c r="G543" s="12" t="n">
        <x:v>54.1</x:v>
      </x:c>
      <x:c r="H543" s="14" t="n">
        <x:v>33000</x:v>
      </x:c>
      <x:c r="I543" s="15" t="str">
        <x:v>Округлённый счётчик в списке YouTube</x:v>
      </x:c>
      <x:c r="J543" s="14" t="n">
        <x:v>33000</x:v>
      </x:c>
      <x:c r="K543" s="14" t="n">
        <x:v>39500</x:v>
      </x:c>
      <x:c r="L543" s="12" t="n">
        <x:f>IF(COUNT(J543:K543)=2,IF(K543=0,"",J543/K543),"")</x:f>
        <x:v>0.8354430379746836</x:v>
      </x:c>
      <x:c r="M543" s="10" t="str">
        <x:v>Тема: המרדף עונה 9 | פרק 15. Викторина предлагает естественный формат проверки понимания и обсуждения ответа.</x:v>
      </x:c>
      <x:c r="N543" s="10" t="str">
        <x:v>Выбрать блок вопросов; ответить до участника и объяснить выбор.</x:v>
      </x:c>
      <x:c r="O543" s="10" t="str">
        <x:v>Быстрый темп; некоторые вопросы требуют местных знаний</x:v>
      </x:c>
      <x:c r="P543" s="10" t="str">
        <x:v>Самостоятельное видео</x:v>
      </x:c>
      <x:c r="Q543" s="9" t="str">
        <x:v>Нет</x:v>
      </x:c>
      <x:c r="R543" s="9" t="str">
        <x:v>C037</x:v>
      </x:c>
      <x:c r="S543" s="9" t="str">
        <x:v>C037</x:v>
      </x:c>
      <x:c r="T543" s="10" t="str">
        <x:v>כאן 11 - תאגיד השידור הישראלי</x:v>
      </x:c>
      <x:c r="U543" s="11" t="str">
        <x:v>https://www.youtube.com/watch?v=ydwskX1xHFE</x:v>
      </x:c>
      <x:c r="V543" s="16" t="n">
        <x:v>46308</x:v>
      </x:c>
      <x:c r="W543" s="16"/>
      <x:c r="X543" s="10" t="str">
        <x:v>Иврит предполагается по заголовку и источнику</x:v>
      </x:c>
      <x:c r="Y543" s="10" t="str">
        <x:v>Не проверено</x:v>
      </x:c>
      <x:c r="Z543" s="10" t="str">
        <x:v>Не проверено</x:v>
      </x:c>
      <x:c r="AA543" s="10" t="str">
        <x:v>Метаданные списка; видео не просмотрено</x:v>
      </x:c>
      <x:c r="AB543" s="13" t="str">
        <x:f>IF(AND(ISNUMBER(H543),ISNUMBER(W543)),H543/MAX(1,'Обзор'!$B$4-W543),"")</x:f>
      </x:c>
      <x:c r="AC543" s="17" t="str">
        <x:v>Не решено</x:v>
      </x:c>
      <x:c r="AD543" s="17" t="str">
        <x:v>Не проверено</x:v>
      </x:c>
      <x:c r="AE543" s="17" t="str">
        <x:v>Не проверено</x:v>
      </x:c>
      <x:c r="AF543" s="17" t="str">
        <x:v>Не проверено</x:v>
      </x:c>
      <x:c r="AG543" s="17" t="str">
        <x:v>Не решено</x:v>
      </x:c>
      <x:c r="AH543" s="17" t="str">
        <x:v>Не проверено</x:v>
      </x:c>
      <x:c r="AI543" s="10" t="str">
        <x:f>IF(AC543="Отклонить","Отклонено",IF(AND(AC543="Взять",COUNTIFS(AD543:AH543,"Да")=5),"Готово","Нужна редактура"))</x:f>
        <x:v>Нужна редактура</x:v>
      </x:c>
      <x:c r="AJ543" s="17" t="str"/>
      <x:c r="AK543" s="9" t="str">
        <x:v>https://www.youtube.com/playlist?list=PLLttfoK87AdWYVR5m8cz2bodWIP-vYOaZ</x:v>
      </x:c>
      <x:c r="AL543" s="9" t="n">
        <x:v>15</x:v>
      </x:c>
      <x:c r="AM543" s="9" t="n">
        <x:v>15</x:v>
      </x:c>
      <x:c r="AN543" s="9"/>
    </x:row>
    <x:row r="544" ht="60" customHeight="1">
      <x:c r="A544" s="9" t="str">
        <x:v>kCyd8FhKNPs</x:v>
      </x:c>
      <x:c r="B544" s="10" t="str">
        <x:v>המרדף עונה 9 | פרק 16</x:v>
      </x:c>
      <x:c r="C544" s="10" t="str">
        <x:v>Знания и викторины</x:v>
      </x:c>
      <x:c r="D544" s="9" t="str">
        <x:v>Образование</x:v>
      </x:c>
      <x:c r="E544" s="10" t="str">
        <x:v>Эрудиция; семейный просмотр; короткие задания</x:v>
      </x:c>
      <x:c r="F544" s="10" t="str">
        <x:v>B1–B2 (гипотеза)</x:v>
      </x:c>
      <x:c r="G544" s="12" t="n">
        <x:v>54.4</x:v>
      </x:c>
      <x:c r="H544" s="14" t="n">
        <x:v>36000</x:v>
      </x:c>
      <x:c r="I544" s="15" t="str">
        <x:v>Округлённый счётчик в списке YouTube</x:v>
      </x:c>
      <x:c r="J544" s="14" t="n">
        <x:v>36000</x:v>
      </x:c>
      <x:c r="K544" s="14" t="n">
        <x:v>39500</x:v>
      </x:c>
      <x:c r="L544" s="12" t="n">
        <x:f>IF(COUNT(J544:K544)=2,IF(K544=0,"",J544/K544),"")</x:f>
        <x:v>0.9113924050632911</x:v>
      </x:c>
      <x:c r="M544" s="10" t="str">
        <x:v>Тема: המרדף עונה 9 | פרק 16. Викторина предлагает естественный формат проверки понимания и обсуждения ответа.</x:v>
      </x:c>
      <x:c r="N544" s="10" t="str">
        <x:v>Выбрать блок вопросов; ответить до участника и объяснить выбор.</x:v>
      </x:c>
      <x:c r="O544" s="10" t="str">
        <x:v>Быстрый темп; некоторые вопросы требуют местных знаний</x:v>
      </x:c>
      <x:c r="P544" s="10" t="str">
        <x:v>Самостоятельное видео</x:v>
      </x:c>
      <x:c r="Q544" s="9" t="str">
        <x:v>Нет</x:v>
      </x:c>
      <x:c r="R544" s="9" t="str">
        <x:v>C037</x:v>
      </x:c>
      <x:c r="S544" s="9" t="str">
        <x:v>C037</x:v>
      </x:c>
      <x:c r="T544" s="10" t="str">
        <x:v>כאן 11 - תאגיד השידור הישראלי</x:v>
      </x:c>
      <x:c r="U544" s="11" t="str">
        <x:v>https://www.youtube.com/watch?v=kCyd8FhKNPs</x:v>
      </x:c>
      <x:c r="V544" s="16" t="n">
        <x:v>46308</x:v>
      </x:c>
      <x:c r="W544" s="16"/>
      <x:c r="X544" s="10" t="str">
        <x:v>Иврит предполагается по заголовку и источнику</x:v>
      </x:c>
      <x:c r="Y544" s="10" t="str">
        <x:v>Не проверено</x:v>
      </x:c>
      <x:c r="Z544" s="10" t="str">
        <x:v>Не проверено</x:v>
      </x:c>
      <x:c r="AA544" s="10" t="str">
        <x:v>Метаданные списка; видео не просмотрено</x:v>
      </x:c>
      <x:c r="AB544" s="13" t="str">
        <x:f>IF(AND(ISNUMBER(H544),ISNUMBER(W544)),H544/MAX(1,'Обзор'!$B$4-W544),"")</x:f>
      </x:c>
      <x:c r="AC544" s="17" t="str">
        <x:v>Не решено</x:v>
      </x:c>
      <x:c r="AD544" s="17" t="str">
        <x:v>Не проверено</x:v>
      </x:c>
      <x:c r="AE544" s="17" t="str">
        <x:v>Не проверено</x:v>
      </x:c>
      <x:c r="AF544" s="17" t="str">
        <x:v>Не проверено</x:v>
      </x:c>
      <x:c r="AG544" s="17" t="str">
        <x:v>Не решено</x:v>
      </x:c>
      <x:c r="AH544" s="17" t="str">
        <x:v>Не проверено</x:v>
      </x:c>
      <x:c r="AI544" s="10" t="str">
        <x:f>IF(AC544="Отклонить","Отклонено",IF(AND(AC544="Взять",COUNTIFS(AD544:AH544,"Да")=5),"Готово","Нужна редактура"))</x:f>
        <x:v>Нужна редактура</x:v>
      </x:c>
      <x:c r="AJ544" s="17" t="str"/>
      <x:c r="AK544" s="9" t="str">
        <x:v>https://www.youtube.com/playlist?list=PLLttfoK87AdWYVR5m8cz2bodWIP-vYOaZ</x:v>
      </x:c>
      <x:c r="AL544" s="9" t="n">
        <x:v>16</x:v>
      </x:c>
      <x:c r="AM544" s="9" t="n">
        <x:v>16</x:v>
      </x:c>
      <x:c r="AN544" s="9"/>
    </x:row>
    <x:row r="545" ht="60" customHeight="1">
      <x:c r="A545" s="9" t="str">
        <x:v>rBRfzCpLf04</x:v>
      </x:c>
      <x:c r="B545" s="10" t="str">
        <x:v>המרדף עונה 9 | פרק 17</x:v>
      </x:c>
      <x:c r="C545" s="10" t="str">
        <x:v>Знания и викторины</x:v>
      </x:c>
      <x:c r="D545" s="9" t="str">
        <x:v>Образование</x:v>
      </x:c>
      <x:c r="E545" s="10" t="str">
        <x:v>Эрудиция; семейный просмотр; короткие задания</x:v>
      </x:c>
      <x:c r="F545" s="10" t="str">
        <x:v>B1–B2 (гипотеза)</x:v>
      </x:c>
      <x:c r="G545" s="12" t="n">
        <x:v>53.8</x:v>
      </x:c>
      <x:c r="H545" s="14" t="n">
        <x:v>34000</x:v>
      </x:c>
      <x:c r="I545" s="15" t="str">
        <x:v>Округлённый счётчик в списке YouTube</x:v>
      </x:c>
      <x:c r="J545" s="14" t="n">
        <x:v>34000</x:v>
      </x:c>
      <x:c r="K545" s="14" t="n">
        <x:v>39500</x:v>
      </x:c>
      <x:c r="L545" s="12" t="n">
        <x:f>IF(COUNT(J545:K545)=2,IF(K545=0,"",J545/K545),"")</x:f>
        <x:v>0.8607594936708861</x:v>
      </x:c>
      <x:c r="M545" s="10" t="str">
        <x:v>Тема: המרדף עונה 9 | פרק 17. Викторина предлагает естественный формат проверки понимания и обсуждения ответа.</x:v>
      </x:c>
      <x:c r="N545" s="10" t="str">
        <x:v>Выбрать блок вопросов; ответить до участника и объяснить выбор.</x:v>
      </x:c>
      <x:c r="O545" s="10" t="str">
        <x:v>Быстрый темп; некоторые вопросы требуют местных знаний</x:v>
      </x:c>
      <x:c r="P545" s="10" t="str">
        <x:v>Самостоятельное видео</x:v>
      </x:c>
      <x:c r="Q545" s="9" t="str">
        <x:v>Нет</x:v>
      </x:c>
      <x:c r="R545" s="9" t="str">
        <x:v>C037</x:v>
      </x:c>
      <x:c r="S545" s="9" t="str">
        <x:v>C037</x:v>
      </x:c>
      <x:c r="T545" s="10" t="str">
        <x:v>כאן 11 - תאגיד השידור הישראלי</x:v>
      </x:c>
      <x:c r="U545" s="11" t="str">
        <x:v>https://www.youtube.com/watch?v=rBRfzCpLf04</x:v>
      </x:c>
      <x:c r="V545" s="16" t="n">
        <x:v>46308</x:v>
      </x:c>
      <x:c r="W545" s="16"/>
      <x:c r="X545" s="10" t="str">
        <x:v>Иврит предполагается по заголовку и источнику</x:v>
      </x:c>
      <x:c r="Y545" s="10" t="str">
        <x:v>Не проверено</x:v>
      </x:c>
      <x:c r="Z545" s="10" t="str">
        <x:v>Не проверено</x:v>
      </x:c>
      <x:c r="AA545" s="10" t="str">
        <x:v>Метаданные списка; видео не просмотрено</x:v>
      </x:c>
      <x:c r="AB545" s="13" t="str">
        <x:f>IF(AND(ISNUMBER(H545),ISNUMBER(W545)),H545/MAX(1,'Обзор'!$B$4-W545),"")</x:f>
      </x:c>
      <x:c r="AC545" s="17" t="str">
        <x:v>Не решено</x:v>
      </x:c>
      <x:c r="AD545" s="17" t="str">
        <x:v>Не проверено</x:v>
      </x:c>
      <x:c r="AE545" s="17" t="str">
        <x:v>Не проверено</x:v>
      </x:c>
      <x:c r="AF545" s="17" t="str">
        <x:v>Не проверено</x:v>
      </x:c>
      <x:c r="AG545" s="17" t="str">
        <x:v>Не решено</x:v>
      </x:c>
      <x:c r="AH545" s="17" t="str">
        <x:v>Не проверено</x:v>
      </x:c>
      <x:c r="AI545" s="10" t="str">
        <x:f>IF(AC545="Отклонить","Отклонено",IF(AND(AC545="Взять",COUNTIFS(AD545:AH545,"Да")=5),"Готово","Нужна редактура"))</x:f>
        <x:v>Нужна редактура</x:v>
      </x:c>
      <x:c r="AJ545" s="17" t="str"/>
      <x:c r="AK545" s="9" t="str">
        <x:v>https://www.youtube.com/playlist?list=PLLttfoK87AdWYVR5m8cz2bodWIP-vYOaZ</x:v>
      </x:c>
      <x:c r="AL545" s="9" t="n">
        <x:v>17</x:v>
      </x:c>
      <x:c r="AM545" s="9" t="n">
        <x:v>17</x:v>
      </x:c>
      <x:c r="AN545" s="9"/>
    </x:row>
    <x:row r="546" ht="60" customHeight="1">
      <x:c r="A546" s="9" t="str">
        <x:v>JHUc0taRWy8</x:v>
      </x:c>
      <x:c r="B546" s="10" t="str">
        <x:v>המרדף עונה 9 | פרק 18</x:v>
      </x:c>
      <x:c r="C546" s="10" t="str">
        <x:v>Знания и викторины</x:v>
      </x:c>
      <x:c r="D546" s="9" t="str">
        <x:v>Образование</x:v>
      </x:c>
      <x:c r="E546" s="10" t="str">
        <x:v>Эрудиция; семейный просмотр; короткие задания</x:v>
      </x:c>
      <x:c r="F546" s="10" t="str">
        <x:v>B1–B2 (гипотеза)</x:v>
      </x:c>
      <x:c r="G546" s="12" t="n">
        <x:v>52.8</x:v>
      </x:c>
      <x:c r="H546" s="14" t="n">
        <x:v>35000</x:v>
      </x:c>
      <x:c r="I546" s="15" t="str">
        <x:v>Округлённый счётчик в списке YouTube</x:v>
      </x:c>
      <x:c r="J546" s="14" t="n">
        <x:v>35000</x:v>
      </x:c>
      <x:c r="K546" s="14" t="n">
        <x:v>39500</x:v>
      </x:c>
      <x:c r="L546" s="12" t="n">
        <x:f>IF(COUNT(J546:K546)=2,IF(K546=0,"",J546/K546),"")</x:f>
        <x:v>0.8860759493670886</x:v>
      </x:c>
      <x:c r="M546" s="10" t="str">
        <x:v>Тема: המרדף עונה 9 | פרק 18. Викторина предлагает естественный формат проверки понимания и обсуждения ответа.</x:v>
      </x:c>
      <x:c r="N546" s="10" t="str">
        <x:v>Выбрать блок вопросов; ответить до участника и объяснить выбор.</x:v>
      </x:c>
      <x:c r="O546" s="10" t="str">
        <x:v>Быстрый темп; некоторые вопросы требуют местных знаний</x:v>
      </x:c>
      <x:c r="P546" s="10" t="str">
        <x:v>Самостоятельное видео</x:v>
      </x:c>
      <x:c r="Q546" s="9" t="str">
        <x:v>Нет</x:v>
      </x:c>
      <x:c r="R546" s="9" t="str">
        <x:v>C037</x:v>
      </x:c>
      <x:c r="S546" s="9" t="str">
        <x:v>C037</x:v>
      </x:c>
      <x:c r="T546" s="10" t="str">
        <x:v>כאן 11 - תאגיד השידור הישראלי</x:v>
      </x:c>
      <x:c r="U546" s="11" t="str">
        <x:v>https://www.youtube.com/watch?v=JHUc0taRWy8</x:v>
      </x:c>
      <x:c r="V546" s="16" t="n">
        <x:v>46308</x:v>
      </x:c>
      <x:c r="W546" s="16"/>
      <x:c r="X546" s="10" t="str">
        <x:v>Иврит предполагается по заголовку и источнику</x:v>
      </x:c>
      <x:c r="Y546" s="10" t="str">
        <x:v>Не проверено</x:v>
      </x:c>
      <x:c r="Z546" s="10" t="str">
        <x:v>Не проверено</x:v>
      </x:c>
      <x:c r="AA546" s="10" t="str">
        <x:v>Метаданные списка; видео не просмотрено</x:v>
      </x:c>
      <x:c r="AB546" s="13" t="str">
        <x:f>IF(AND(ISNUMBER(H546),ISNUMBER(W546)),H546/MAX(1,'Обзор'!$B$4-W546),"")</x:f>
      </x:c>
      <x:c r="AC546" s="17" t="str">
        <x:v>Не решено</x:v>
      </x:c>
      <x:c r="AD546" s="17" t="str">
        <x:v>Не проверено</x:v>
      </x:c>
      <x:c r="AE546" s="17" t="str">
        <x:v>Не проверено</x:v>
      </x:c>
      <x:c r="AF546" s="17" t="str">
        <x:v>Не проверено</x:v>
      </x:c>
      <x:c r="AG546" s="17" t="str">
        <x:v>Не решено</x:v>
      </x:c>
      <x:c r="AH546" s="17" t="str">
        <x:v>Не проверено</x:v>
      </x:c>
      <x:c r="AI546" s="10" t="str">
        <x:f>IF(AC546="Отклонить","Отклонено",IF(AND(AC546="Взять",COUNTIFS(AD546:AH546,"Да")=5),"Готово","Нужна редактура"))</x:f>
        <x:v>Нужна редактура</x:v>
      </x:c>
      <x:c r="AJ546" s="17" t="str"/>
      <x:c r="AK546" s="9" t="str">
        <x:v>https://www.youtube.com/playlist?list=PLLttfoK87AdWYVR5m8cz2bodWIP-vYOaZ</x:v>
      </x:c>
      <x:c r="AL546" s="9" t="n">
        <x:v>18</x:v>
      </x:c>
      <x:c r="AM546" s="9" t="n">
        <x:v>18</x:v>
      </x:c>
      <x:c r="AN546" s="9"/>
    </x:row>
    <x:row r="547" ht="60" customHeight="1">
      <x:c r="A547" s="9" t="str">
        <x:v>MB2ST2c9-_U</x:v>
      </x:c>
      <x:c r="B547" s="10" t="str">
        <x:v>המרדף עונה 9 | פרק 19</x:v>
      </x:c>
      <x:c r="C547" s="10" t="str">
        <x:v>Знания и викторины</x:v>
      </x:c>
      <x:c r="D547" s="9" t="str">
        <x:v>Образование</x:v>
      </x:c>
      <x:c r="E547" s="10" t="str">
        <x:v>Эрудиция; семейный просмотр; короткие задания</x:v>
      </x:c>
      <x:c r="F547" s="10" t="str">
        <x:v>B1–B2 (гипотеза)</x:v>
      </x:c>
      <x:c r="G547" s="12" t="n">
        <x:v>54.5</x:v>
      </x:c>
      <x:c r="H547" s="14" t="n">
        <x:v>32000</x:v>
      </x:c>
      <x:c r="I547" s="15" t="str">
        <x:v>Округлённый счётчик в списке YouTube</x:v>
      </x:c>
      <x:c r="J547" s="14" t="n">
        <x:v>32000</x:v>
      </x:c>
      <x:c r="K547" s="14" t="n">
        <x:v>39500</x:v>
      </x:c>
      <x:c r="L547" s="12" t="n">
        <x:f>IF(COUNT(J547:K547)=2,IF(K547=0,"",J547/K547),"")</x:f>
        <x:v>0.810126582278481</x:v>
      </x:c>
      <x:c r="M547" s="10" t="str">
        <x:v>Тема: המרדף עונה 9 | פרק 19. Викторина предлагает естественный формат проверки понимания и обсуждения ответа.</x:v>
      </x:c>
      <x:c r="N547" s="10" t="str">
        <x:v>Выбрать блок вопросов; ответить до участника и объяснить выбор.</x:v>
      </x:c>
      <x:c r="O547" s="10" t="str">
        <x:v>Быстрый темп; некоторые вопросы требуют местных знаний</x:v>
      </x:c>
      <x:c r="P547" s="10" t="str">
        <x:v>Самостоятельное видео</x:v>
      </x:c>
      <x:c r="Q547" s="9" t="str">
        <x:v>Нет</x:v>
      </x:c>
      <x:c r="R547" s="9" t="str">
        <x:v>C037</x:v>
      </x:c>
      <x:c r="S547" s="9" t="str">
        <x:v>C037</x:v>
      </x:c>
      <x:c r="T547" s="10" t="str">
        <x:v>כאן 11 - תאגיד השידור הישראלי</x:v>
      </x:c>
      <x:c r="U547" s="11" t="str">
        <x:v>https://www.youtube.com/watch?v=MB2ST2c9-_U</x:v>
      </x:c>
      <x:c r="V547" s="16" t="n">
        <x:v>46308</x:v>
      </x:c>
      <x:c r="W547" s="16"/>
      <x:c r="X547" s="10" t="str">
        <x:v>Иврит предполагается по заголовку и источнику</x:v>
      </x:c>
      <x:c r="Y547" s="10" t="str">
        <x:v>Не проверено</x:v>
      </x:c>
      <x:c r="Z547" s="10" t="str">
        <x:v>Не проверено</x:v>
      </x:c>
      <x:c r="AA547" s="10" t="str">
        <x:v>Метаданные списка; видео не просмотрено</x:v>
      </x:c>
      <x:c r="AB547" s="13" t="str">
        <x:f>IF(AND(ISNUMBER(H547),ISNUMBER(W547)),H547/MAX(1,'Обзор'!$B$4-W547),"")</x:f>
      </x:c>
      <x:c r="AC547" s="17" t="str">
        <x:v>Не решено</x:v>
      </x:c>
      <x:c r="AD547" s="17" t="str">
        <x:v>Не проверено</x:v>
      </x:c>
      <x:c r="AE547" s="17" t="str">
        <x:v>Не проверено</x:v>
      </x:c>
      <x:c r="AF547" s="17" t="str">
        <x:v>Не проверено</x:v>
      </x:c>
      <x:c r="AG547" s="17" t="str">
        <x:v>Не решено</x:v>
      </x:c>
      <x:c r="AH547" s="17" t="str">
        <x:v>Не проверено</x:v>
      </x:c>
      <x:c r="AI547" s="10" t="str">
        <x:f>IF(AC547="Отклонить","Отклонено",IF(AND(AC547="Взять",COUNTIFS(AD547:AH547,"Да")=5),"Готово","Нужна редактура"))</x:f>
        <x:v>Нужна редактура</x:v>
      </x:c>
      <x:c r="AJ547" s="17" t="str"/>
      <x:c r="AK547" s="9" t="str">
        <x:v>https://www.youtube.com/playlist?list=PLLttfoK87AdWYVR5m8cz2bodWIP-vYOaZ</x:v>
      </x:c>
      <x:c r="AL547" s="9" t="n">
        <x:v>19</x:v>
      </x:c>
      <x:c r="AM547" s="9" t="n">
        <x:v>19</x:v>
      </x:c>
      <x:c r="AN547" s="9"/>
    </x:row>
    <x:row r="548" ht="60" customHeight="1">
      <x:c r="A548" s="9" t="str">
        <x:v>L4FUlTvVJXQ</x:v>
      </x:c>
      <x:c r="B548" s="10" t="str">
        <x:v>המרדף עונה 9 | פרק 20</x:v>
      </x:c>
      <x:c r="C548" s="10" t="str">
        <x:v>Знания и викторины</x:v>
      </x:c>
      <x:c r="D548" s="9" t="str">
        <x:v>Образование</x:v>
      </x:c>
      <x:c r="E548" s="10" t="str">
        <x:v>Эрудиция; семейный просмотр; короткие задания</x:v>
      </x:c>
      <x:c r="F548" s="10" t="str">
        <x:v>B1–B2 (гипотеза)</x:v>
      </x:c>
      <x:c r="G548" s="12" t="n">
        <x:v>54</x:v>
      </x:c>
      <x:c r="H548" s="14" t="n">
        <x:v>37000</x:v>
      </x:c>
      <x:c r="I548" s="15" t="str">
        <x:v>Округлённый счётчик в списке YouTube</x:v>
      </x:c>
      <x:c r="J548" s="14" t="n">
        <x:v>37000</x:v>
      </x:c>
      <x:c r="K548" s="14" t="n">
        <x:v>39500</x:v>
      </x:c>
      <x:c r="L548" s="12" t="n">
        <x:f>IF(COUNT(J548:K548)=2,IF(K548=0,"",J548/K548),"")</x:f>
        <x:v>0.9367088607594937</x:v>
      </x:c>
      <x:c r="M548" s="10" t="str">
        <x:v>Тема: המרדף עונה 9 | פרק 20. Викторина предлагает естественный формат проверки понимания и обсуждения ответа.</x:v>
      </x:c>
      <x:c r="N548" s="10" t="str">
        <x:v>Выбрать блок вопросов; ответить до участника и объяснить выбор.</x:v>
      </x:c>
      <x:c r="O548" s="10" t="str">
        <x:v>Быстрый темп; некоторые вопросы требуют местных знаний</x:v>
      </x:c>
      <x:c r="P548" s="10" t="str">
        <x:v>Самостоятельное видео</x:v>
      </x:c>
      <x:c r="Q548" s="9" t="str">
        <x:v>Нет</x:v>
      </x:c>
      <x:c r="R548" s="9" t="str">
        <x:v>C037</x:v>
      </x:c>
      <x:c r="S548" s="9" t="str">
        <x:v>C037</x:v>
      </x:c>
      <x:c r="T548" s="10" t="str">
        <x:v>כאן 11 - תאגיד השידור הישראלי</x:v>
      </x:c>
      <x:c r="U548" s="11" t="str">
        <x:v>https://www.youtube.com/watch?v=L4FUlTvVJXQ</x:v>
      </x:c>
      <x:c r="V548" s="16" t="n">
        <x:v>46308</x:v>
      </x:c>
      <x:c r="W548" s="16"/>
      <x:c r="X548" s="10" t="str">
        <x:v>Иврит предполагается по заголовку и источнику</x:v>
      </x:c>
      <x:c r="Y548" s="10" t="str">
        <x:v>Не проверено</x:v>
      </x:c>
      <x:c r="Z548" s="10" t="str">
        <x:v>Не проверено</x:v>
      </x:c>
      <x:c r="AA548" s="10" t="str">
        <x:v>Метаданные списка; видео не просмотрено</x:v>
      </x:c>
      <x:c r="AB548" s="13" t="str">
        <x:f>IF(AND(ISNUMBER(H548),ISNUMBER(W548)),H548/MAX(1,'Обзор'!$B$4-W548),"")</x:f>
      </x:c>
      <x:c r="AC548" s="17" t="str">
        <x:v>Не решено</x:v>
      </x:c>
      <x:c r="AD548" s="17" t="str">
        <x:v>Не проверено</x:v>
      </x:c>
      <x:c r="AE548" s="17" t="str">
        <x:v>Не проверено</x:v>
      </x:c>
      <x:c r="AF548" s="17" t="str">
        <x:v>Не проверено</x:v>
      </x:c>
      <x:c r="AG548" s="17" t="str">
        <x:v>Не решено</x:v>
      </x:c>
      <x:c r="AH548" s="17" t="str">
        <x:v>Не проверено</x:v>
      </x:c>
      <x:c r="AI548" s="10" t="str">
        <x:f>IF(AC548="Отклонить","Отклонено",IF(AND(AC548="Взять",COUNTIFS(AD548:AH548,"Да")=5),"Готово","Нужна редактура"))</x:f>
        <x:v>Нужна редактура</x:v>
      </x:c>
      <x:c r="AJ548" s="17" t="str"/>
      <x:c r="AK548" s="9" t="str">
        <x:v>https://www.youtube.com/playlist?list=PLLttfoK87AdWYVR5m8cz2bodWIP-vYOaZ</x:v>
      </x:c>
      <x:c r="AL548" s="9" t="n">
        <x:v>20</x:v>
      </x:c>
      <x:c r="AM548" s="9" t="n">
        <x:v>20</x:v>
      </x:c>
      <x:c r="AN548" s="9"/>
    </x:row>
    <x:row r="549" ht="60" customHeight="1">
      <x:c r="A549" s="9" t="str">
        <x:v>W3qx5HpdJ60</x:v>
      </x:c>
      <x:c r="B549" s="10" t="str">
        <x:v>המרדף עונה 9 | פרק 21</x:v>
      </x:c>
      <x:c r="C549" s="10" t="str">
        <x:v>Знания и викторины</x:v>
      </x:c>
      <x:c r="D549" s="9" t="str">
        <x:v>Образование</x:v>
      </x:c>
      <x:c r="E549" s="10" t="str">
        <x:v>Эрудиция; семейный просмотр; короткие задания</x:v>
      </x:c>
      <x:c r="F549" s="10" t="str">
        <x:v>B1–B2 (гипотеза)</x:v>
      </x:c>
      <x:c r="G549" s="12" t="n">
        <x:v>53.9</x:v>
      </x:c>
      <x:c r="H549" s="14" t="n">
        <x:v>30000</x:v>
      </x:c>
      <x:c r="I549" s="15" t="str">
        <x:v>Округлённый счётчик в списке YouTube</x:v>
      </x:c>
      <x:c r="J549" s="14" t="n">
        <x:v>30000</x:v>
      </x:c>
      <x:c r="K549" s="14" t="n">
        <x:v>39500</x:v>
      </x:c>
      <x:c r="L549" s="12" t="n">
        <x:f>IF(COUNT(J549:K549)=2,IF(K549=0,"",J549/K549),"")</x:f>
        <x:v>0.759493670886076</x:v>
      </x:c>
      <x:c r="M549" s="10" t="str">
        <x:v>Тема: המרדף עונה 9 | פרק 21. Викторина предлагает естественный формат проверки понимания и обсуждения ответа.</x:v>
      </x:c>
      <x:c r="N549" s="10" t="str">
        <x:v>Выбрать блок вопросов; ответить до участника и объяснить выбор.</x:v>
      </x:c>
      <x:c r="O549" s="10" t="str">
        <x:v>Быстрый темп; некоторые вопросы требуют местных знаний</x:v>
      </x:c>
      <x:c r="P549" s="10" t="str">
        <x:v>Самостоятельное видео</x:v>
      </x:c>
      <x:c r="Q549" s="9" t="str">
        <x:v>Нет</x:v>
      </x:c>
      <x:c r="R549" s="9" t="str">
        <x:v>C037</x:v>
      </x:c>
      <x:c r="S549" s="9" t="str">
        <x:v>C037</x:v>
      </x:c>
      <x:c r="T549" s="10" t="str">
        <x:v>כאן 11 - תאגיד השידור הישראלי</x:v>
      </x:c>
      <x:c r="U549" s="11" t="str">
        <x:v>https://www.youtube.com/watch?v=W3qx5HpdJ60</x:v>
      </x:c>
      <x:c r="V549" s="16" t="n">
        <x:v>46308</x:v>
      </x:c>
      <x:c r="W549" s="16"/>
      <x:c r="X549" s="10" t="str">
        <x:v>Иврит предполагается по заголовку и источнику</x:v>
      </x:c>
      <x:c r="Y549" s="10" t="str">
        <x:v>Не проверено</x:v>
      </x:c>
      <x:c r="Z549" s="10" t="str">
        <x:v>Не проверено</x:v>
      </x:c>
      <x:c r="AA549" s="10" t="str">
        <x:v>Метаданные списка; видео не просмотрено</x:v>
      </x:c>
      <x:c r="AB549" s="13" t="str">
        <x:f>IF(AND(ISNUMBER(H549),ISNUMBER(W549)),H549/MAX(1,'Обзор'!$B$4-W549),"")</x:f>
      </x:c>
      <x:c r="AC549" s="17" t="str">
        <x:v>Не решено</x:v>
      </x:c>
      <x:c r="AD549" s="17" t="str">
        <x:v>Не проверено</x:v>
      </x:c>
      <x:c r="AE549" s="17" t="str">
        <x:v>Не проверено</x:v>
      </x:c>
      <x:c r="AF549" s="17" t="str">
        <x:v>Не проверено</x:v>
      </x:c>
      <x:c r="AG549" s="17" t="str">
        <x:v>Не решено</x:v>
      </x:c>
      <x:c r="AH549" s="17" t="str">
        <x:v>Не проверено</x:v>
      </x:c>
      <x:c r="AI549" s="10" t="str">
        <x:f>IF(AC549="Отклонить","Отклонено",IF(AND(AC549="Взять",COUNTIFS(AD549:AH549,"Да")=5),"Готово","Нужна редактура"))</x:f>
        <x:v>Нужна редактура</x:v>
      </x:c>
      <x:c r="AJ549" s="17" t="str"/>
      <x:c r="AK549" s="9" t="str">
        <x:v>https://www.youtube.com/playlist?list=PLLttfoK87AdWYVR5m8cz2bodWIP-vYOaZ</x:v>
      </x:c>
      <x:c r="AL549" s="9" t="n">
        <x:v>21</x:v>
      </x:c>
      <x:c r="AM549" s="9" t="n">
        <x:v>21</x:v>
      </x:c>
      <x:c r="AN549" s="9"/>
    </x:row>
    <x:row r="550" ht="60" customHeight="1">
      <x:c r="A550" s="9" t="str">
        <x:v>1iZEEKILgwU</x:v>
      </x:c>
      <x:c r="B550" s="10" t="str">
        <x:v>המרדף עונה 9 | פרק 22 - ספיישל חזרה ללימודים</x:v>
      </x:c>
      <x:c r="C550" s="10" t="str">
        <x:v>Знания и викторины</x:v>
      </x:c>
      <x:c r="D550" s="9" t="str">
        <x:v>Образование</x:v>
      </x:c>
      <x:c r="E550" s="10" t="str">
        <x:v>Эрудиция; семейный просмотр; короткие задания</x:v>
      </x:c>
      <x:c r="F550" s="10" t="str">
        <x:v>B1–B2 (гипотеза)</x:v>
      </x:c>
      <x:c r="G550" s="12" t="n">
        <x:v>54.5</x:v>
      </x:c>
      <x:c r="H550" s="14" t="n">
        <x:v>38000</x:v>
      </x:c>
      <x:c r="I550" s="15" t="str">
        <x:v>Округлённый счётчик в списке YouTube</x:v>
      </x:c>
      <x:c r="J550" s="14" t="n">
        <x:v>38000</x:v>
      </x:c>
      <x:c r="K550" s="14" t="n">
        <x:v>39500</x:v>
      </x:c>
      <x:c r="L550" s="12" t="n">
        <x:f>IF(COUNT(J550:K550)=2,IF(K550=0,"",J550/K550),"")</x:f>
        <x:v>0.9620253164556962</x:v>
      </x:c>
      <x:c r="M550" s="10" t="str">
        <x:v>Тема: המרדף עונה 9 | פרק 22 - ספיישל חזרה ללימודים. Викторина предлагает естественный формат проверки понимания и обсуждения ответа.</x:v>
      </x:c>
      <x:c r="N550" s="10" t="str">
        <x:v>Выбрать блок вопросов; ответить до участника и объяснить выбор.</x:v>
      </x:c>
      <x:c r="O550" s="10" t="str">
        <x:v>Быстрый темп; некоторые вопросы требуют местных знаний</x:v>
      </x:c>
      <x:c r="P550" s="10" t="str">
        <x:v>Самостоятельное видео</x:v>
      </x:c>
      <x:c r="Q550" s="9" t="str">
        <x:v>Нет</x:v>
      </x:c>
      <x:c r="R550" s="9" t="str">
        <x:v>C037</x:v>
      </x:c>
      <x:c r="S550" s="9" t="str">
        <x:v>C037</x:v>
      </x:c>
      <x:c r="T550" s="10" t="str">
        <x:v>כאן 11 - תאגיד השידור הישראלי</x:v>
      </x:c>
      <x:c r="U550" s="11" t="str">
        <x:v>https://www.youtube.com/watch?v=1iZEEKILgwU</x:v>
      </x:c>
      <x:c r="V550" s="16" t="n">
        <x:v>46308</x:v>
      </x:c>
      <x:c r="W550" s="16"/>
      <x:c r="X550" s="10" t="str">
        <x:v>Иврит предполагается по заголовку и источнику</x:v>
      </x:c>
      <x:c r="Y550" s="10" t="str">
        <x:v>Не проверено</x:v>
      </x:c>
      <x:c r="Z550" s="10" t="str">
        <x:v>Не проверено</x:v>
      </x:c>
      <x:c r="AA550" s="10" t="str">
        <x:v>Метаданные списка; видео не просмотрено</x:v>
      </x:c>
      <x:c r="AB550" s="13" t="str">
        <x:f>IF(AND(ISNUMBER(H550),ISNUMBER(W550)),H550/MAX(1,'Обзор'!$B$4-W550),"")</x:f>
      </x:c>
      <x:c r="AC550" s="17" t="str">
        <x:v>Не решено</x:v>
      </x:c>
      <x:c r="AD550" s="17" t="str">
        <x:v>Не проверено</x:v>
      </x:c>
      <x:c r="AE550" s="17" t="str">
        <x:v>Не проверено</x:v>
      </x:c>
      <x:c r="AF550" s="17" t="str">
        <x:v>Не проверено</x:v>
      </x:c>
      <x:c r="AG550" s="17" t="str">
        <x:v>Не решено</x:v>
      </x:c>
      <x:c r="AH550" s="17" t="str">
        <x:v>Не проверено</x:v>
      </x:c>
      <x:c r="AI550" s="10" t="str">
        <x:f>IF(AC550="Отклонить","Отклонено",IF(AND(AC550="Взять",COUNTIFS(AD550:AH550,"Да")=5),"Готово","Нужна редактура"))</x:f>
        <x:v>Нужна редактура</x:v>
      </x:c>
      <x:c r="AJ550" s="17" t="str"/>
      <x:c r="AK550" s="9" t="str">
        <x:v>https://www.youtube.com/playlist?list=PLLttfoK87AdWYVR5m8cz2bodWIP-vYOaZ</x:v>
      </x:c>
      <x:c r="AL550" s="9" t="n">
        <x:v>22</x:v>
      </x:c>
      <x:c r="AM550" s="9" t="n">
        <x:v>22</x:v>
      </x:c>
      <x:c r="AN550" s="9"/>
    </x:row>
    <x:row r="551" ht="60" customHeight="1">
      <x:c r="A551" s="9" t="str">
        <x:v>s-wRF-lYPUE</x:v>
      </x:c>
      <x:c r="B551" s="10" t="str">
        <x:v>המרדף עונה 9 | פרק 23</x:v>
      </x:c>
      <x:c r="C551" s="10" t="str">
        <x:v>Знания и викторины</x:v>
      </x:c>
      <x:c r="D551" s="9" t="str">
        <x:v>Образование</x:v>
      </x:c>
      <x:c r="E551" s="10" t="str">
        <x:v>Эрудиция; семейный просмотр; короткие задания</x:v>
      </x:c>
      <x:c r="F551" s="10" t="str">
        <x:v>B1–B2 (гипотеза)</x:v>
      </x:c>
      <x:c r="G551" s="12" t="n">
        <x:v>53.9</x:v>
      </x:c>
      <x:c r="H551" s="14" t="n">
        <x:v>32000</x:v>
      </x:c>
      <x:c r="I551" s="15" t="str">
        <x:v>Округлённый счётчик в списке YouTube</x:v>
      </x:c>
      <x:c r="J551" s="14" t="n">
        <x:v>32000</x:v>
      </x:c>
      <x:c r="K551" s="14" t="n">
        <x:v>39500</x:v>
      </x:c>
      <x:c r="L551" s="12" t="n">
        <x:f>IF(COUNT(J551:K551)=2,IF(K551=0,"",J551/K551),"")</x:f>
        <x:v>0.810126582278481</x:v>
      </x:c>
      <x:c r="M551" s="10" t="str">
        <x:v>Тема: המרדף עונה 9 | פרק 23. Викторина предлагает естественный формат проверки понимания и обсуждения ответа.</x:v>
      </x:c>
      <x:c r="N551" s="10" t="str">
        <x:v>Выбрать блок вопросов; ответить до участника и объяснить выбор.</x:v>
      </x:c>
      <x:c r="O551" s="10" t="str">
        <x:v>Быстрый темп; некоторые вопросы требуют местных знаний</x:v>
      </x:c>
      <x:c r="P551" s="10" t="str">
        <x:v>Самостоятельное видео</x:v>
      </x:c>
      <x:c r="Q551" s="9" t="str">
        <x:v>Нет</x:v>
      </x:c>
      <x:c r="R551" s="9" t="str">
        <x:v>C037</x:v>
      </x:c>
      <x:c r="S551" s="9" t="str">
        <x:v>C037</x:v>
      </x:c>
      <x:c r="T551" s="10" t="str">
        <x:v>כאן 11 - תאגיד השידור הישראלי</x:v>
      </x:c>
      <x:c r="U551" s="11" t="str">
        <x:v>https://www.youtube.com/watch?v=s-wRF-lYPUE</x:v>
      </x:c>
      <x:c r="V551" s="16" t="n">
        <x:v>46308</x:v>
      </x:c>
      <x:c r="W551" s="16"/>
      <x:c r="X551" s="10" t="str">
        <x:v>Иврит предполагается по заголовку и источнику</x:v>
      </x:c>
      <x:c r="Y551" s="10" t="str">
        <x:v>Не проверено</x:v>
      </x:c>
      <x:c r="Z551" s="10" t="str">
        <x:v>Не проверено</x:v>
      </x:c>
      <x:c r="AA551" s="10" t="str">
        <x:v>Метаданные списка; видео не просмотрено</x:v>
      </x:c>
      <x:c r="AB551" s="13" t="str">
        <x:f>IF(AND(ISNUMBER(H551),ISNUMBER(W551)),H551/MAX(1,'Обзор'!$B$4-W551),"")</x:f>
      </x:c>
      <x:c r="AC551" s="17" t="str">
        <x:v>Не решено</x:v>
      </x:c>
      <x:c r="AD551" s="17" t="str">
        <x:v>Не проверено</x:v>
      </x:c>
      <x:c r="AE551" s="17" t="str">
        <x:v>Не проверено</x:v>
      </x:c>
      <x:c r="AF551" s="17" t="str">
        <x:v>Не проверено</x:v>
      </x:c>
      <x:c r="AG551" s="17" t="str">
        <x:v>Не решено</x:v>
      </x:c>
      <x:c r="AH551" s="17" t="str">
        <x:v>Не проверено</x:v>
      </x:c>
      <x:c r="AI551" s="10" t="str">
        <x:f>IF(AC551="Отклонить","Отклонено",IF(AND(AC551="Взять",COUNTIFS(AD551:AH551,"Да")=5),"Готово","Нужна редактура"))</x:f>
        <x:v>Нужна редактура</x:v>
      </x:c>
      <x:c r="AJ551" s="17" t="str"/>
      <x:c r="AK551" s="9" t="str">
        <x:v>https://www.youtube.com/playlist?list=PLLttfoK87AdWYVR5m8cz2bodWIP-vYOaZ</x:v>
      </x:c>
      <x:c r="AL551" s="9" t="n">
        <x:v>23</x:v>
      </x:c>
      <x:c r="AM551" s="9" t="n">
        <x:v>23</x:v>
      </x:c>
      <x:c r="AN551" s="9"/>
    </x:row>
    <x:row r="552" ht="60" customHeight="1">
      <x:c r="A552" s="9" t="str">
        <x:v>-cHmta32mn0</x:v>
      </x:c>
      <x:c r="B552" s="10" t="str">
        <x:v>המרדף עונה 9 | פרק 24</x:v>
      </x:c>
      <x:c r="C552" s="10" t="str">
        <x:v>Знания и викторины</x:v>
      </x:c>
      <x:c r="D552" s="9" t="str">
        <x:v>Образование</x:v>
      </x:c>
      <x:c r="E552" s="10" t="str">
        <x:v>Эрудиция; семейный просмотр; короткие задания</x:v>
      </x:c>
      <x:c r="F552" s="10" t="str">
        <x:v>B1–B2 (гипотеза)</x:v>
      </x:c>
      <x:c r="G552" s="12" t="n">
        <x:v>53.7</x:v>
      </x:c>
      <x:c r="H552" s="14" t="n">
        <x:v>27000</x:v>
      </x:c>
      <x:c r="I552" s="15" t="str">
        <x:v>Округлённый счётчик в списке YouTube</x:v>
      </x:c>
      <x:c r="J552" s="14" t="n">
        <x:v>27000</x:v>
      </x:c>
      <x:c r="K552" s="14" t="n">
        <x:v>39500</x:v>
      </x:c>
      <x:c r="L552" s="12" t="n">
        <x:f>IF(COUNT(J552:K552)=2,IF(K552=0,"",J552/K552),"")</x:f>
        <x:v>0.6835443037974683</x:v>
      </x:c>
      <x:c r="M552" s="10" t="str">
        <x:v>Тема: המרדף עונה 9 | פרק 24. Викторина предлагает естественный формат проверки понимания и обсуждения ответа.</x:v>
      </x:c>
      <x:c r="N552" s="10" t="str">
        <x:v>Выбрать блок вопросов; ответить до участника и объяснить выбор.</x:v>
      </x:c>
      <x:c r="O552" s="10" t="str">
        <x:v>Быстрый темп; некоторые вопросы требуют местных знаний</x:v>
      </x:c>
      <x:c r="P552" s="10" t="str">
        <x:v>Самостоятельное видео</x:v>
      </x:c>
      <x:c r="Q552" s="9" t="str">
        <x:v>Нет</x:v>
      </x:c>
      <x:c r="R552" s="9" t="str">
        <x:v>C037</x:v>
      </x:c>
      <x:c r="S552" s="9" t="str">
        <x:v>C037</x:v>
      </x:c>
      <x:c r="T552" s="10" t="str">
        <x:v>כאן 11 - תאגיד השידור הישראלי</x:v>
      </x:c>
      <x:c r="U552" s="11" t="str">
        <x:v>https://www.youtube.com/watch?v=-cHmta32mn0</x:v>
      </x:c>
      <x:c r="V552" s="16" t="n">
        <x:v>46308</x:v>
      </x:c>
      <x:c r="W552" s="16"/>
      <x:c r="X552" s="10" t="str">
        <x:v>Иврит предполагается по заголовку и источнику</x:v>
      </x:c>
      <x:c r="Y552" s="10" t="str">
        <x:v>Не проверено</x:v>
      </x:c>
      <x:c r="Z552" s="10" t="str">
        <x:v>Не проверено</x:v>
      </x:c>
      <x:c r="AA552" s="10" t="str">
        <x:v>Метаданные списка; видео не просмотрено</x:v>
      </x:c>
      <x:c r="AB552" s="13" t="str">
        <x:f>IF(AND(ISNUMBER(H552),ISNUMBER(W552)),H552/MAX(1,'Обзор'!$B$4-W552),"")</x:f>
      </x:c>
      <x:c r="AC552" s="17" t="str">
        <x:v>Не решено</x:v>
      </x:c>
      <x:c r="AD552" s="17" t="str">
        <x:v>Не проверено</x:v>
      </x:c>
      <x:c r="AE552" s="17" t="str">
        <x:v>Не проверено</x:v>
      </x:c>
      <x:c r="AF552" s="17" t="str">
        <x:v>Не проверено</x:v>
      </x:c>
      <x:c r="AG552" s="17" t="str">
        <x:v>Не решено</x:v>
      </x:c>
      <x:c r="AH552" s="17" t="str">
        <x:v>Не проверено</x:v>
      </x:c>
      <x:c r="AI552" s="10" t="str">
        <x:f>IF(AC552="Отклонить","Отклонено",IF(AND(AC552="Взять",COUNTIFS(AD552:AH552,"Да")=5),"Готово","Нужна редактура"))</x:f>
        <x:v>Нужна редактура</x:v>
      </x:c>
      <x:c r="AJ552" s="17" t="str"/>
      <x:c r="AK552" s="9" t="str">
        <x:v>https://www.youtube.com/playlist?list=PLLttfoK87AdWYVR5m8cz2bodWIP-vYOaZ</x:v>
      </x:c>
      <x:c r="AL552" s="9" t="n">
        <x:v>24</x:v>
      </x:c>
      <x:c r="AM552" s="9" t="n">
        <x:v>24</x:v>
      </x:c>
      <x:c r="AN552" s="9"/>
    </x:row>
    <x:row r="553" ht="60" customHeight="1">
      <x:c r="A553" s="9" t="str">
        <x:v>wEO_VYqmAJo</x:v>
      </x:c>
      <x:c r="B553" s="10" t="str">
        <x:v>המרדף עונה 9 | פרק 25</x:v>
      </x:c>
      <x:c r="C553" s="10" t="str">
        <x:v>Знания и викторины</x:v>
      </x:c>
      <x:c r="D553" s="9" t="str">
        <x:v>Образование</x:v>
      </x:c>
      <x:c r="E553" s="10" t="str">
        <x:v>Эрудиция; семейный просмотр; короткие задания</x:v>
      </x:c>
      <x:c r="F553" s="10" t="str">
        <x:v>B1–B2 (гипотеза)</x:v>
      </x:c>
      <x:c r="G553" s="12" t="n">
        <x:v>53.6</x:v>
      </x:c>
      <x:c r="H553" s="14" t="n">
        <x:v>29000</x:v>
      </x:c>
      <x:c r="I553" s="15" t="str">
        <x:v>Округлённый счётчик в списке YouTube</x:v>
      </x:c>
      <x:c r="J553" s="14" t="n">
        <x:v>29000</x:v>
      </x:c>
      <x:c r="K553" s="14" t="n">
        <x:v>39500</x:v>
      </x:c>
      <x:c r="L553" s="12" t="n">
        <x:f>IF(COUNT(J553:K553)=2,IF(K553=0,"",J553/K553),"")</x:f>
        <x:v>0.7341772151898734</x:v>
      </x:c>
      <x:c r="M553" s="10" t="str">
        <x:v>Тема: המרדף עונה 9 | פרק 25. Викторина предлагает естественный формат проверки понимания и обсуждения ответа.</x:v>
      </x:c>
      <x:c r="N553" s="10" t="str">
        <x:v>Выбрать блок вопросов; ответить до участника и объяснить выбор.</x:v>
      </x:c>
      <x:c r="O553" s="10" t="str">
        <x:v>Быстрый темп; некоторые вопросы требуют местных знаний</x:v>
      </x:c>
      <x:c r="P553" s="10" t="str">
        <x:v>Самостоятельное видео</x:v>
      </x:c>
      <x:c r="Q553" s="9" t="str">
        <x:v>Нет</x:v>
      </x:c>
      <x:c r="R553" s="9" t="str">
        <x:v>C037</x:v>
      </x:c>
      <x:c r="S553" s="9" t="str">
        <x:v>C037</x:v>
      </x:c>
      <x:c r="T553" s="10" t="str">
        <x:v>כאן 11 - תאגיד השידור הישראלי</x:v>
      </x:c>
      <x:c r="U553" s="11" t="str">
        <x:v>https://www.youtube.com/watch?v=wEO_VYqmAJo</x:v>
      </x:c>
      <x:c r="V553" s="16" t="n">
        <x:v>46308</x:v>
      </x:c>
      <x:c r="W553" s="16"/>
      <x:c r="X553" s="10" t="str">
        <x:v>Иврит предполагается по заголовку и источнику</x:v>
      </x:c>
      <x:c r="Y553" s="10" t="str">
        <x:v>Не проверено</x:v>
      </x:c>
      <x:c r="Z553" s="10" t="str">
        <x:v>Не проверено</x:v>
      </x:c>
      <x:c r="AA553" s="10" t="str">
        <x:v>Метаданные списка; видео не просмотрено</x:v>
      </x:c>
      <x:c r="AB553" s="13" t="str">
        <x:f>IF(AND(ISNUMBER(H553),ISNUMBER(W553)),H553/MAX(1,'Обзор'!$B$4-W553),"")</x:f>
      </x:c>
      <x:c r="AC553" s="17" t="str">
        <x:v>Не решено</x:v>
      </x:c>
      <x:c r="AD553" s="17" t="str">
        <x:v>Не проверено</x:v>
      </x:c>
      <x:c r="AE553" s="17" t="str">
        <x:v>Не проверено</x:v>
      </x:c>
      <x:c r="AF553" s="17" t="str">
        <x:v>Не проверено</x:v>
      </x:c>
      <x:c r="AG553" s="17" t="str">
        <x:v>Не решено</x:v>
      </x:c>
      <x:c r="AH553" s="17" t="str">
        <x:v>Не проверено</x:v>
      </x:c>
      <x:c r="AI553" s="10" t="str">
        <x:f>IF(AC553="Отклонить","Отклонено",IF(AND(AC553="Взять",COUNTIFS(AD553:AH553,"Да")=5),"Готово","Нужна редактура"))</x:f>
        <x:v>Нужна редактура</x:v>
      </x:c>
      <x:c r="AJ553" s="17" t="str"/>
      <x:c r="AK553" s="9" t="str">
        <x:v>https://www.youtube.com/playlist?list=PLLttfoK87AdWYVR5m8cz2bodWIP-vYOaZ</x:v>
      </x:c>
      <x:c r="AL553" s="9" t="n">
        <x:v>25</x:v>
      </x:c>
      <x:c r="AM553" s="9" t="n">
        <x:v>25</x:v>
      </x:c>
      <x:c r="AN553" s="9"/>
    </x:row>
    <x:row r="554" ht="60" customHeight="1">
      <x:c r="A554" s="9" t="str">
        <x:v>i2tTSSGCKJ4</x:v>
      </x:c>
      <x:c r="B554" s="10" t="str">
        <x:v>טיול אחרי צבא - סובב ישראל 🚐🇮🇱 | פרק 1 - חנית בחניתה</x:v>
      </x:c>
      <x:c r="C554" s="10" t="str">
        <x:v>География и путешествия</x:v>
      </x:c>
      <x:c r="D554" s="9" t="str">
        <x:v>Быт</x:v>
      </x:c>
      <x:c r="E554" s="10" t="str">
        <x:v>Путешествия; Израиль; лёгкий просмотр</x:v>
      </x:c>
      <x:c r="F554" s="10" t="str">
        <x:v>B1–B2 (гипотеза)</x:v>
      </x:c>
      <x:c r="G554" s="12" t="n">
        <x:v>48.5</x:v>
      </x:c>
      <x:c r="H554" s="14" t="n">
        <x:v>130614</x:v>
      </x:c>
      <x:c r="I554" s="15" t="str">
        <x:v>Точный счётчик метаданных видео</x:v>
      </x:c>
      <x:c r="J554" s="14" t="n">
        <x:v>130000</x:v>
      </x:c>
      <x:c r="K554" s="14" t="n">
        <x:v>56500</x:v>
      </x:c>
      <x:c r="L554" s="12" t="n">
        <x:f>IF(COUNT(J554:K554)=2,IF(K554=0,"",J554/K554),"")</x:f>
        <x:v>2.3008849557522124</x:v>
      </x:c>
      <x:c r="M554" s="10" t="str">
        <x:v>Тема: טיול אחרי צבא - סובב ישראל 🚐🇮🇱 | פרק 1 - חנית בחניתה. Просмотры в списке выше медианы выборки этого цикла в 2.3 раза. Маршрут по стране помогает связывать язык с местами и планами путешествия. Визуальные подсказки облегчают понимание.</x:v>
      </x:c>
      <x:c r="N554" s="10" t="str">
        <x:v>Описать маршрут и дать рекомендацию другу.</x:v>
      </x:c>
      <x:c r="O554" s="10" t="str">
        <x:v>Проверить содержание</x:v>
      </x:c>
      <x:c r="P554" s="10" t="str">
        <x:v>Самостоятельное видео</x:v>
      </x:c>
      <x:c r="Q554" s="9" t="str">
        <x:v>Нет</x:v>
      </x:c>
      <x:c r="R554" s="9" t="str">
        <x:v>C038</x:v>
      </x:c>
      <x:c r="S554" s="9" t="str">
        <x:v>C038</x:v>
      </x:c>
      <x:c r="T554" s="10" t="str">
        <x:v>כאן 11 - תאגיד השידור הישראלי</x:v>
      </x:c>
      <x:c r="U554" s="11" t="str">
        <x:v>https://www.youtube.com/watch?v=i2tTSSGCKJ4</x:v>
      </x:c>
      <x:c r="V554" s="16" t="n">
        <x:v>46308</x:v>
      </x:c>
      <x:c r="W554" s="16" t="n">
        <x:v>44404</x:v>
      </x:c>
      <x:c r="X554" s="10" t="str">
        <x:v>Иврит предполагается по заголовку и источнику</x:v>
      </x:c>
      <x:c r="Y554" s="10" t="str">
        <x:v>Автоматическая дорожка HE по метаданным</x:v>
      </x:c>
      <x:c r="Z554" s="10" t="str">
        <x:v>Разрешено по метаданным</x:v>
      </x:c>
      <x:c r="AA554" s="10" t="str">
        <x:v>Метаданные видео; воспроизведение и содержание не проверены</x:v>
      </x:c>
      <x:c r="AB554" s="13" t="n">
        <x:f>IF(AND(ISNUMBER(H554),ISNUMBER(W554)),H554/MAX(1,'Обзор'!$B$4-W554),"")</x:f>
        <x:v>68.59978991596638</x:v>
      </x:c>
      <x:c r="AC554" s="17" t="str">
        <x:v>Не решено</x:v>
      </x:c>
      <x:c r="AD554" s="17" t="str">
        <x:v>Не проверено</x:v>
      </x:c>
      <x:c r="AE554" s="17" t="str">
        <x:v>Не проверено</x:v>
      </x:c>
      <x:c r="AF554" s="17" t="str">
        <x:v>Не проверено</x:v>
      </x:c>
      <x:c r="AG554" s="17" t="str">
        <x:v>Не решено</x:v>
      </x:c>
      <x:c r="AH554" s="17" t="str">
        <x:v>Не проверено</x:v>
      </x:c>
      <x:c r="AI554" s="10" t="str">
        <x:f>IF(AC554="Отклонить","Отклонено",IF(AND(AC554="Взять",COUNTIFS(AD554:AH554,"Да")=5),"Готово","Нужна редактура"))</x:f>
        <x:v>Нужна редактура</x:v>
      </x:c>
      <x:c r="AJ554" s="17" t="str"/>
      <x:c r="AK554" s="9" t="str">
        <x:v>https://www.youtube.com/playlist?list=PLLttfoK87AdVKpcGez7bBwY_0bQHTxqNo</x:v>
      </x:c>
      <x:c r="AL554" s="9" t="n">
        <x:v>1</x:v>
      </x:c>
      <x:c r="AM554" s="9" t="n">
        <x:v>1</x:v>
      </x:c>
      <x:c r="AN554" s="9" t="n">
        <x:v>0</x:v>
      </x:c>
    </x:row>
    <x:row r="555" ht="60" customHeight="1">
      <x:c r="A555" s="9" t="str">
        <x:v>UAKmESRIA2U</x:v>
      </x:c>
      <x:c r="B555" s="10" t="str">
        <x:v>טיול אחרי צבא - סובב ישראל 🚐🇮🇱 | פרק 2 - חשיפה לצפון</x:v>
      </x:c>
      <x:c r="C555" s="10" t="str">
        <x:v>География и путешествия</x:v>
      </x:c>
      <x:c r="D555" s="9" t="str">
        <x:v>Быт</x:v>
      </x:c>
      <x:c r="E555" s="10" t="str">
        <x:v>Путешествия; Израиль; лёгкий просмотр</x:v>
      </x:c>
      <x:c r="F555" s="10" t="str">
        <x:v>B1–B2 (гипотеза)</x:v>
      </x:c>
      <x:c r="G555" s="12" t="n">
        <x:v>46.7</x:v>
      </x:c>
      <x:c r="H555" s="14" t="n">
        <x:v>78335</x:v>
      </x:c>
      <x:c r="I555" s="15" t="str">
        <x:v>Точный счётчик метаданных видео</x:v>
      </x:c>
      <x:c r="J555" s="14" t="n">
        <x:v>78000</x:v>
      </x:c>
      <x:c r="K555" s="14" t="n">
        <x:v>56500</x:v>
      </x:c>
      <x:c r="L555" s="12" t="n">
        <x:f>IF(COUNT(J555:K555)=2,IF(K555=0,"",J555/K555),"")</x:f>
        <x:v>1.3805309734513274</x:v>
      </x:c>
      <x:c r="M555" s="10" t="str">
        <x:v>Тема: טיול אחרי צבא - סובב ישראל 🚐🇮🇱 | פרק 2 - חשיפה לצפון. Маршрут по стране помогает связывать язык с местами и планами путешествия. Визуальные подсказки облегчают понимание.</x:v>
      </x:c>
      <x:c r="N555" s="10" t="str">
        <x:v>Описать маршрут и дать рекомендацию другу.</x:v>
      </x:c>
      <x:c r="O555" s="10" t="str">
        <x:v>Проверить содержание</x:v>
      </x:c>
      <x:c r="P555" s="10" t="str">
        <x:v>Самостоятельное видео</x:v>
      </x:c>
      <x:c r="Q555" s="9" t="str">
        <x:v>Нет</x:v>
      </x:c>
      <x:c r="R555" s="9" t="str">
        <x:v>C038</x:v>
      </x:c>
      <x:c r="S555" s="9" t="str">
        <x:v>C038</x:v>
      </x:c>
      <x:c r="T555" s="10" t="str">
        <x:v>כאן 11 - תאגיד השידור הישראלי</x:v>
      </x:c>
      <x:c r="U555" s="11" t="str">
        <x:v>https://www.youtube.com/watch?v=UAKmESRIA2U</x:v>
      </x:c>
      <x:c r="V555" s="16" t="n">
        <x:v>46308</x:v>
      </x:c>
      <x:c r="W555" s="16" t="n">
        <x:v>44411</x:v>
      </x:c>
      <x:c r="X555" s="10" t="str">
        <x:v>Иврит предполагается по заголовку и источнику</x:v>
      </x:c>
      <x:c r="Y555" s="10" t="str">
        <x:v>Дорожка HE не найдена в метаданных; вшитые титры не проверены</x:v>
      </x:c>
      <x:c r="Z555" s="10" t="str">
        <x:v>Разрешено по метаданным</x:v>
      </x:c>
      <x:c r="AA555" s="10" t="str">
        <x:v>Метаданные видео; воспроизведение и содержание не проверены</x:v>
      </x:c>
      <x:c r="AB555" s="13" t="n">
        <x:f>IF(AND(ISNUMBER(H555),ISNUMBER(W555)),H555/MAX(1,'Обзор'!$B$4-W555),"")</x:f>
        <x:v>41.294148655772275</x:v>
      </x:c>
      <x:c r="AC555" s="17" t="str">
        <x:v>Не решено</x:v>
      </x:c>
      <x:c r="AD555" s="17" t="str">
        <x:v>Не проверено</x:v>
      </x:c>
      <x:c r="AE555" s="17" t="str">
        <x:v>Не проверено</x:v>
      </x:c>
      <x:c r="AF555" s="17" t="str">
        <x:v>Не проверено</x:v>
      </x:c>
      <x:c r="AG555" s="17" t="str">
        <x:v>Не решено</x:v>
      </x:c>
      <x:c r="AH555" s="17" t="str">
        <x:v>Не проверено</x:v>
      </x:c>
      <x:c r="AI555" s="10" t="str">
        <x:f>IF(AC555="Отклонить","Отклонено",IF(AND(AC555="Взять",COUNTIFS(AD555:AH555,"Да")=5),"Готово","Нужна редактура"))</x:f>
        <x:v>Нужна редактура</x:v>
      </x:c>
      <x:c r="AJ555" s="17" t="str"/>
      <x:c r="AK555" s="9" t="str">
        <x:v>https://www.youtube.com/playlist?list=PLLttfoK87AdVKpcGez7bBwY_0bQHTxqNo</x:v>
      </x:c>
      <x:c r="AL555" s="9" t="n">
        <x:v>2</x:v>
      </x:c>
      <x:c r="AM555" s="9" t="n">
        <x:v>2</x:v>
      </x:c>
      <x:c r="AN555" s="9" t="n">
        <x:v>0</x:v>
      </x:c>
    </x:row>
    <x:row r="556" ht="60" customHeight="1">
      <x:c r="A556" s="9" t="str">
        <x:v>2_xcIAlraQw</x:v>
      </x:c>
      <x:c r="B556" s="10" t="str">
        <x:v>טיול אחרי צבא - סובב ישראל 🚐🇮🇱 | פרק 3 - כאן היה ביתי</x:v>
      </x:c>
      <x:c r="C556" s="10" t="str">
        <x:v>География и путешествия</x:v>
      </x:c>
      <x:c r="D556" s="9" t="str">
        <x:v>Быт</x:v>
      </x:c>
      <x:c r="E556" s="10" t="str">
        <x:v>Путешествия; Израиль; лёгкий просмотр</x:v>
      </x:c>
      <x:c r="F556" s="10" t="str">
        <x:v>B1–B2 (гипотеза)</x:v>
      </x:c>
      <x:c r="G556" s="12" t="n">
        <x:v>46.7</x:v>
      </x:c>
      <x:c r="H556" s="14" t="n">
        <x:v>73845</x:v>
      </x:c>
      <x:c r="I556" s="15" t="str">
        <x:v>Точный счётчик метаданных видео</x:v>
      </x:c>
      <x:c r="J556" s="14" t="n">
        <x:v>73000</x:v>
      </x:c>
      <x:c r="K556" s="14" t="n">
        <x:v>56500</x:v>
      </x:c>
      <x:c r="L556" s="12" t="n">
        <x:f>IF(COUNT(J556:K556)=2,IF(K556=0,"",J556/K556),"")</x:f>
        <x:v>1.2920353982300885</x:v>
      </x:c>
      <x:c r="M556" s="10" t="str">
        <x:v>Тема: טיול אחרי צבא - סובב ישראל 🚐🇮🇱 | פרק 3 - כאן היה ביתי. Маршрут по стране помогает связывать язык с местами и планами путешествия. Визуальные подсказки облегчают понимание.</x:v>
      </x:c>
      <x:c r="N556" s="10" t="str">
        <x:v>Описать маршрут и дать рекомендацию другу.</x:v>
      </x:c>
      <x:c r="O556" s="10" t="str">
        <x:v>Проверить содержание</x:v>
      </x:c>
      <x:c r="P556" s="10" t="str">
        <x:v>Самостоятельное видео</x:v>
      </x:c>
      <x:c r="Q556" s="9" t="str">
        <x:v>Нет</x:v>
      </x:c>
      <x:c r="R556" s="9" t="str">
        <x:v>C038</x:v>
      </x:c>
      <x:c r="S556" s="9" t="str">
        <x:v>C038</x:v>
      </x:c>
      <x:c r="T556" s="10" t="str">
        <x:v>כאן 11 - תאגיד השידור הישראלי</x:v>
      </x:c>
      <x:c r="U556" s="11" t="str">
        <x:v>https://www.youtube.com/watch?v=2_xcIAlraQw</x:v>
      </x:c>
      <x:c r="V556" s="16" t="n">
        <x:v>46308</x:v>
      </x:c>
      <x:c r="W556" s="16" t="n">
        <x:v>44418</x:v>
      </x:c>
      <x:c r="X556" s="10" t="str">
        <x:v>iw</x:v>
      </x:c>
      <x:c r="Y556" s="10" t="str">
        <x:v>Автоматическая дорожка HE по метаданным</x:v>
      </x:c>
      <x:c r="Z556" s="10" t="str">
        <x:v>Разрешено по метаданным</x:v>
      </x:c>
      <x:c r="AA556" s="10" t="str">
        <x:v>Метаданные видео; воспроизведение и содержание не проверены</x:v>
      </x:c>
      <x:c r="AB556" s="13" t="n">
        <x:f>IF(AND(ISNUMBER(H556),ISNUMBER(W556)),H556/MAX(1,'Обзор'!$B$4-W556),"")</x:f>
        <x:v>39.07142857142857</x:v>
      </x:c>
      <x:c r="AC556" s="17" t="str">
        <x:v>Не решено</x:v>
      </x:c>
      <x:c r="AD556" s="17" t="str">
        <x:v>Не проверено</x:v>
      </x:c>
      <x:c r="AE556" s="17" t="str">
        <x:v>Не проверено</x:v>
      </x:c>
      <x:c r="AF556" s="17" t="str">
        <x:v>Не проверено</x:v>
      </x:c>
      <x:c r="AG556" s="17" t="str">
        <x:v>Не решено</x:v>
      </x:c>
      <x:c r="AH556" s="17" t="str">
        <x:v>Не проверено</x:v>
      </x:c>
      <x:c r="AI556" s="10" t="str">
        <x:f>IF(AC556="Отклонить","Отклонено",IF(AND(AC556="Взять",COUNTIFS(AD556:AH556,"Да")=5),"Готово","Нужна редактура"))</x:f>
        <x:v>Нужна редактура</x:v>
      </x:c>
      <x:c r="AJ556" s="17" t="str"/>
      <x:c r="AK556" s="9" t="str">
        <x:v>https://www.youtube.com/playlist?list=PLLttfoK87AdVKpcGez7bBwY_0bQHTxqNo</x:v>
      </x:c>
      <x:c r="AL556" s="9" t="n">
        <x:v>3</x:v>
      </x:c>
      <x:c r="AM556" s="9" t="n">
        <x:v>3</x:v>
      </x:c>
      <x:c r="AN556" s="9" t="n">
        <x:v>0</x:v>
      </x:c>
    </x:row>
    <x:row r="557" ht="60" customHeight="1">
      <x:c r="A557" s="9" t="str">
        <x:v>8boWw2m6IEQ</x:v>
      </x:c>
      <x:c r="B557" s="10" t="str">
        <x:v>טיול אחרי צבא - סובב ישראל 🚐🇮🇱 | פרק 4 - משל המערה</x:v>
      </x:c>
      <x:c r="C557" s="10" t="str">
        <x:v>География и путешествия</x:v>
      </x:c>
      <x:c r="D557" s="9" t="str">
        <x:v>Быт</x:v>
      </x:c>
      <x:c r="E557" s="10" t="str">
        <x:v>Путешествия; Израиль; лёгкий просмотр</x:v>
      </x:c>
      <x:c r="F557" s="10" t="str">
        <x:v>B1–B2 (гипотеза)</x:v>
      </x:c>
      <x:c r="G557" s="12" t="n">
        <x:v>45.9</x:v>
      </x:c>
      <x:c r="H557" s="14" t="n">
        <x:v>58680</x:v>
      </x:c>
      <x:c r="I557" s="15" t="str">
        <x:v>Точный счётчик метаданных видео</x:v>
      </x:c>
      <x:c r="J557" s="14" t="n">
        <x:v>58000</x:v>
      </x:c>
      <x:c r="K557" s="14" t="n">
        <x:v>56500</x:v>
      </x:c>
      <x:c r="L557" s="12" t="n">
        <x:f>IF(COUNT(J557:K557)=2,IF(K557=0,"",J557/K557),"")</x:f>
        <x:v>1.0265486725663717</x:v>
      </x:c>
      <x:c r="M557" s="10" t="str">
        <x:v>Тема: טיול אחרי צבא - סובב ישראל 🚐🇮🇱 | פרק 4 - משל המערה. Маршрут по стране помогает связывать язык с местами и планами путешествия. Визуальные подсказки облегчают понимание.</x:v>
      </x:c>
      <x:c r="N557" s="10" t="str">
        <x:v>Описать маршрут и дать рекомендацию другу.</x:v>
      </x:c>
      <x:c r="O557" s="10" t="str">
        <x:v>Проверить содержание</x:v>
      </x:c>
      <x:c r="P557" s="10" t="str">
        <x:v>Самостоятельное видео</x:v>
      </x:c>
      <x:c r="Q557" s="9" t="str">
        <x:v>Нет</x:v>
      </x:c>
      <x:c r="R557" s="9" t="str">
        <x:v>C038</x:v>
      </x:c>
      <x:c r="S557" s="9" t="str">
        <x:v>C038</x:v>
      </x:c>
      <x:c r="T557" s="10" t="str">
        <x:v>כאן 11 - תאגיד השידור הישראלי</x:v>
      </x:c>
      <x:c r="U557" s="11" t="str">
        <x:v>https://www.youtube.com/watch?v=8boWw2m6IEQ</x:v>
      </x:c>
      <x:c r="V557" s="16" t="n">
        <x:v>46308</x:v>
      </x:c>
      <x:c r="W557" s="16" t="n">
        <x:v>44425</x:v>
      </x:c>
      <x:c r="X557" s="10" t="str">
        <x:v>iw</x:v>
      </x:c>
      <x:c r="Y557" s="10" t="str">
        <x:v>Автоматическая дорожка HE по метаданным</x:v>
      </x:c>
      <x:c r="Z557" s="10" t="str">
        <x:v>Разрешено по метаданным</x:v>
      </x:c>
      <x:c r="AA557" s="10" t="str">
        <x:v>Метаданные видео; воспроизведение и содержание не проверены</x:v>
      </x:c>
      <x:c r="AB557" s="13" t="n">
        <x:f>IF(AND(ISNUMBER(H557),ISNUMBER(W557)),H557/MAX(1,'Обзор'!$B$4-W557),"")</x:f>
        <x:v>31.163037705788636</x:v>
      </x:c>
      <x:c r="AC557" s="17" t="str">
        <x:v>Не решено</x:v>
      </x:c>
      <x:c r="AD557" s="17" t="str">
        <x:v>Не проверено</x:v>
      </x:c>
      <x:c r="AE557" s="17" t="str">
        <x:v>Не проверено</x:v>
      </x:c>
      <x:c r="AF557" s="17" t="str">
        <x:v>Не проверено</x:v>
      </x:c>
      <x:c r="AG557" s="17" t="str">
        <x:v>Не решено</x:v>
      </x:c>
      <x:c r="AH557" s="17" t="str">
        <x:v>Не проверено</x:v>
      </x:c>
      <x:c r="AI557" s="10" t="str">
        <x:f>IF(AC557="Отклонить","Отклонено",IF(AND(AC557="Взять",COUNTIFS(AD557:AH557,"Да")=5),"Готово","Нужна редактура"))</x:f>
        <x:v>Нужна редактура</x:v>
      </x:c>
      <x:c r="AJ557" s="17" t="str"/>
      <x:c r="AK557" s="9" t="str">
        <x:v>https://www.youtube.com/playlist?list=PLLttfoK87AdVKpcGez7bBwY_0bQHTxqNo</x:v>
      </x:c>
      <x:c r="AL557" s="9" t="n">
        <x:v>4</x:v>
      </x:c>
      <x:c r="AM557" s="9" t="n">
        <x:v>4</x:v>
      </x:c>
      <x:c r="AN557" s="9" t="n">
        <x:v>0</x:v>
      </x:c>
    </x:row>
    <x:row r="558" ht="60" customHeight="1">
      <x:c r="A558" s="9" t="str">
        <x:v>zzrt-R_zUGw</x:v>
      </x:c>
      <x:c r="B558" s="10" t="str">
        <x:v>טיול אחרי צבא - סובב ישראל 🚐🇮🇱 | פרק 5 -  מה שקורה באילת</x:v>
      </x:c>
      <x:c r="C558" s="10" t="str">
        <x:v>География и путешествия</x:v>
      </x:c>
      <x:c r="D558" s="9" t="str">
        <x:v>Быт</x:v>
      </x:c>
      <x:c r="E558" s="10" t="str">
        <x:v>Путешествия; Израиль; лёгкий просмотр</x:v>
      </x:c>
      <x:c r="F558" s="10" t="str">
        <x:v>B1–B2 (гипотеза)</x:v>
      </x:c>
      <x:c r="G558" s="12" t="n">
        <x:v>45.3</x:v>
      </x:c>
      <x:c r="H558" s="14" t="n">
        <x:v>55348</x:v>
      </x:c>
      <x:c r="I558" s="15" t="str">
        <x:v>Точный счётчик метаданных видео</x:v>
      </x:c>
      <x:c r="J558" s="14" t="n">
        <x:v>55000</x:v>
      </x:c>
      <x:c r="K558" s="14" t="n">
        <x:v>56500</x:v>
      </x:c>
      <x:c r="L558" s="12" t="n">
        <x:f>IF(COUNT(J558:K558)=2,IF(K558=0,"",J558/K558),"")</x:f>
        <x:v>0.9734513274336283</x:v>
      </x:c>
      <x:c r="M558" s="10" t="str">
        <x:v>Тема: טיול אחרי צבא - סובב ישראל 🚐🇮🇱 | פרק 5 -  מה שקורה באילת. Маршрут по стране помогает связывать язык с местами и планами путешествия. Визуальные подсказки облегчают понимание.</x:v>
      </x:c>
      <x:c r="N558" s="10" t="str">
        <x:v>Описать маршрут и дать рекомендацию другу.</x:v>
      </x:c>
      <x:c r="O558" s="10" t="str">
        <x:v>Проверить содержание</x:v>
      </x:c>
      <x:c r="P558" s="10" t="str">
        <x:v>Самостоятельное видео</x:v>
      </x:c>
      <x:c r="Q558" s="9" t="str">
        <x:v>Нет</x:v>
      </x:c>
      <x:c r="R558" s="9" t="str">
        <x:v>C038</x:v>
      </x:c>
      <x:c r="S558" s="9" t="str">
        <x:v>C038</x:v>
      </x:c>
      <x:c r="T558" s="10" t="str">
        <x:v>כאן 11 - תאגיד השידור הישראלי</x:v>
      </x:c>
      <x:c r="U558" s="11" t="str">
        <x:v>https://www.youtube.com/watch?v=zzrt-R_zUGw</x:v>
      </x:c>
      <x:c r="V558" s="16" t="n">
        <x:v>46308</x:v>
      </x:c>
      <x:c r="W558" s="16" t="n">
        <x:v>44432</x:v>
      </x:c>
      <x:c r="X558" s="10" t="str">
        <x:v>Иврит предполагается по заголовку и источнику</x:v>
      </x:c>
      <x:c r="Y558" s="10" t="str">
        <x:v>Дорожка HE не найдена в метаданных; вшитые титры не проверены</x:v>
      </x:c>
      <x:c r="Z558" s="10" t="str">
        <x:v>Разрешено по метаданным</x:v>
      </x:c>
      <x:c r="AA558" s="10" t="str">
        <x:v>Метаданные видео; воспроизведение и содержание не проверены</x:v>
      </x:c>
      <x:c r="AB558" s="13" t="n">
        <x:f>IF(AND(ISNUMBER(H558),ISNUMBER(W558)),H558/MAX(1,'Обзор'!$B$4-W558),"")</x:f>
        <x:v>29.50319829424307</x:v>
      </x:c>
      <x:c r="AC558" s="17" t="str">
        <x:v>Не решено</x:v>
      </x:c>
      <x:c r="AD558" s="17" t="str">
        <x:v>Не проверено</x:v>
      </x:c>
      <x:c r="AE558" s="17" t="str">
        <x:v>Не проверено</x:v>
      </x:c>
      <x:c r="AF558" s="17" t="str">
        <x:v>Не проверено</x:v>
      </x:c>
      <x:c r="AG558" s="17" t="str">
        <x:v>Не решено</x:v>
      </x:c>
      <x:c r="AH558" s="17" t="str">
        <x:v>Не проверено</x:v>
      </x:c>
      <x:c r="AI558" s="10" t="str">
        <x:f>IF(AC558="Отклонить","Отклонено",IF(AND(AC558="Взять",COUNTIFS(AD558:AH558,"Да")=5),"Готово","Нужна редактура"))</x:f>
        <x:v>Нужна редактура</x:v>
      </x:c>
      <x:c r="AJ558" s="17" t="str"/>
      <x:c r="AK558" s="9" t="str">
        <x:v>https://www.youtube.com/playlist?list=PLLttfoK87AdVKpcGez7bBwY_0bQHTxqNo</x:v>
      </x:c>
      <x:c r="AL558" s="9" t="n">
        <x:v>5</x:v>
      </x:c>
      <x:c r="AM558" s="9" t="n">
        <x:v>5</x:v>
      </x:c>
      <x:c r="AN558" s="9" t="n">
        <x:v>0</x:v>
      </x:c>
    </x:row>
    <x:row r="559" ht="60" customHeight="1">
      <x:c r="A559" s="9" t="str">
        <x:v>BHMu-tuyG0A</x:v>
      </x:c>
      <x:c r="B559" s="10" t="str">
        <x:v>טיול אחרי צבא - סובב ישראל 🚐🇮🇱 | פרק 6 (ואחרון) - הביתה</x:v>
      </x:c>
      <x:c r="C559" s="10" t="str">
        <x:v>География и путешествия</x:v>
      </x:c>
      <x:c r="D559" s="9" t="str">
        <x:v>Быт</x:v>
      </x:c>
      <x:c r="E559" s="10" t="str">
        <x:v>Путешествия; Израиль; лёгкий просмотр</x:v>
      </x:c>
      <x:c r="F559" s="10" t="str">
        <x:v>B1–B2 (гипотеза)</x:v>
      </x:c>
      <x:c r="G559" s="12" t="n">
        <x:v>45.4</x:v>
      </x:c>
      <x:c r="H559" s="14" t="n">
        <x:v>46971</x:v>
      </x:c>
      <x:c r="I559" s="15" t="str">
        <x:v>Точный счётчик метаданных видео</x:v>
      </x:c>
      <x:c r="J559" s="14" t="n">
        <x:v>46000</x:v>
      </x:c>
      <x:c r="K559" s="14" t="n">
        <x:v>56500</x:v>
      </x:c>
      <x:c r="L559" s="12" t="n">
        <x:f>IF(COUNT(J559:K559)=2,IF(K559=0,"",J559/K559),"")</x:f>
        <x:v>0.8141592920353983</x:v>
      </x:c>
      <x:c r="M559" s="10" t="str">
        <x:v>Тема: טיול אחרי צבא - סובב ישראל 🚐🇮🇱 | פרק 6 (ואחרון) - הביתה. Маршрут по стране помогает связывать язык с местами и планами путешествия. Визуальные подсказки облегчают понимание.</x:v>
      </x:c>
      <x:c r="N559" s="10" t="str">
        <x:v>Описать маршрут и дать рекомендацию другу.</x:v>
      </x:c>
      <x:c r="O559" s="10" t="str">
        <x:v>Проверить содержание</x:v>
      </x:c>
      <x:c r="P559" s="10" t="str">
        <x:v>Самостоятельное видео</x:v>
      </x:c>
      <x:c r="Q559" s="9" t="str">
        <x:v>Нет</x:v>
      </x:c>
      <x:c r="R559" s="9" t="str">
        <x:v>C038</x:v>
      </x:c>
      <x:c r="S559" s="9" t="str">
        <x:v>C038</x:v>
      </x:c>
      <x:c r="T559" s="10" t="str">
        <x:v>כאן 11 - תאגיד השידור הישראלי</x:v>
      </x:c>
      <x:c r="U559" s="11" t="str">
        <x:v>https://www.youtube.com/watch?v=BHMu-tuyG0A</x:v>
      </x:c>
      <x:c r="V559" s="16" t="n">
        <x:v>46308</x:v>
      </x:c>
      <x:c r="W559" s="16" t="n">
        <x:v>44439</x:v>
      </x:c>
      <x:c r="X559" s="10" t="str">
        <x:v>iw</x:v>
      </x:c>
      <x:c r="Y559" s="10" t="str">
        <x:v>Автоматическая дорожка HE по метаданным</x:v>
      </x:c>
      <x:c r="Z559" s="10" t="str">
        <x:v>Разрешено по метаданным</x:v>
      </x:c>
      <x:c r="AA559" s="10" t="str">
        <x:v>Метаданные видео; воспроизведение и содержание не проверены</x:v>
      </x:c>
      <x:c r="AB559" s="13" t="n">
        <x:f>IF(AND(ISNUMBER(H559),ISNUMBER(W559)),H559/MAX(1,'Обзор'!$B$4-W559),"")</x:f>
        <x:v>25.131621187800963</x:v>
      </x:c>
      <x:c r="AC559" s="17" t="str">
        <x:v>Не решено</x:v>
      </x:c>
      <x:c r="AD559" s="17" t="str">
        <x:v>Не проверено</x:v>
      </x:c>
      <x:c r="AE559" s="17" t="str">
        <x:v>Не проверено</x:v>
      </x:c>
      <x:c r="AF559" s="17" t="str">
        <x:v>Не проверено</x:v>
      </x:c>
      <x:c r="AG559" s="17" t="str">
        <x:v>Не решено</x:v>
      </x:c>
      <x:c r="AH559" s="17" t="str">
        <x:v>Не проверено</x:v>
      </x:c>
      <x:c r="AI559" s="10" t="str">
        <x:f>IF(AC559="Отклонить","Отклонено",IF(AND(AC559="Взять",COUNTIFS(AD559:AH559,"Да")=5),"Готово","Нужна редактура"))</x:f>
        <x:v>Нужна редактура</x:v>
      </x:c>
      <x:c r="AJ559" s="17" t="str"/>
      <x:c r="AK559" s="9" t="str">
        <x:v>https://www.youtube.com/playlist?list=PLLttfoK87AdVKpcGez7bBwY_0bQHTxqNo</x:v>
      </x:c>
      <x:c r="AL559" s="9" t="n">
        <x:v>6</x:v>
      </x:c>
      <x:c r="AM559" s="9" t="n">
        <x:v>6</x:v>
      </x:c>
      <x:c r="AN559" s="9" t="n">
        <x:v>0</x:v>
      </x:c>
    </x:row>
    <x:row r="560" ht="60" customHeight="1">
      <x:c r="A560" s="9" t="str">
        <x:v>_-4MOR6vMPs</x:v>
      </x:c>
      <x:c r="B560" s="10" t="str">
        <x:v>טיול אחרי צבא | מסע בין לוחמים - חלק א'</x:v>
      </x:c>
      <x:c r="C560" s="10" t="str">
        <x:v>География и путешествия</x:v>
      </x:c>
      <x:c r="D560" s="9" t="str">
        <x:v>Быт</x:v>
      </x:c>
      <x:c r="E560" s="10" t="str">
        <x:v>Путешествия; Израиль; лёгкий просмотр</x:v>
      </x:c>
      <x:c r="F560" s="10" t="str">
        <x:v>B1–B2 (гипотеза)</x:v>
      </x:c>
      <x:c r="G560" s="12" t="n">
        <x:v>28.9</x:v>
      </x:c>
      <x:c r="H560" s="14" t="n">
        <x:v>23000</x:v>
      </x:c>
      <x:c r="I560" s="15" t="str">
        <x:v>Округлённый счётчик в списке YouTube</x:v>
      </x:c>
      <x:c r="J560" s="14" t="n">
        <x:v>23000</x:v>
      </x:c>
      <x:c r="K560" s="14" t="n">
        <x:v>56500</x:v>
      </x:c>
      <x:c r="L560" s="12" t="n">
        <x:f>IF(COUNT(J560:K560)=2,IF(K560=0,"",J560/K560),"")</x:f>
        <x:v>0.40707964601769914</x:v>
      </x:c>
      <x:c r="M560" s="10" t="str">
        <x:v>Тема: טיול אחרי צבא | מסע בין לוחמים - חלק א'. Просмотры ниже медианы цикла; выбирать за нишевую ценность, а не за массовый охват. Маршрут по стране помогает связывать язык с местами и планами путешествия. Визуальные подсказки облегчают понимание.</x:v>
      </x:c>
      <x:c r="N560" s="10" t="str">
        <x:v>Описать маршрут и дать рекомендацию другу.</x:v>
      </x:c>
      <x:c r="O560" s="10" t="str">
        <x:v>Проверить содержание</x:v>
      </x:c>
      <x:c r="P560" s="10" t="str">
        <x:v>Самостоятельное видео</x:v>
      </x:c>
      <x:c r="Q560" s="9" t="str">
        <x:v>Нет</x:v>
      </x:c>
      <x:c r="R560" s="9" t="str">
        <x:v>C038</x:v>
      </x:c>
      <x:c r="S560" s="9" t="str">
        <x:v>C038</x:v>
      </x:c>
      <x:c r="T560" s="10" t="str">
        <x:v>כאן 11 - תאגיד השידור הישראלי</x:v>
      </x:c>
      <x:c r="U560" s="11" t="str">
        <x:v>https://www.youtube.com/watch?v=_-4MOR6vMPs</x:v>
      </x:c>
      <x:c r="V560" s="16" t="n">
        <x:v>46308</x:v>
      </x:c>
      <x:c r="W560" s="16"/>
      <x:c r="X560" s="10" t="str">
        <x:v>Иврит предполагается по заголовку и источнику</x:v>
      </x:c>
      <x:c r="Y560" s="10" t="str">
        <x:v>Не проверено</x:v>
      </x:c>
      <x:c r="Z560" s="10" t="str">
        <x:v>Не проверено</x:v>
      </x:c>
      <x:c r="AA560" s="10" t="str">
        <x:v>Метаданные списка; видео не просмотрено</x:v>
      </x:c>
      <x:c r="AB560" s="13" t="str">
        <x:f>IF(AND(ISNUMBER(H560),ISNUMBER(W560)),H560/MAX(1,'Обзор'!$B$4-W560),"")</x:f>
      </x:c>
      <x:c r="AC560" s="17" t="str">
        <x:v>Не решено</x:v>
      </x:c>
      <x:c r="AD560" s="17" t="str">
        <x:v>Не проверено</x:v>
      </x:c>
      <x:c r="AE560" s="17" t="str">
        <x:v>Не проверено</x:v>
      </x:c>
      <x:c r="AF560" s="17" t="str">
        <x:v>Не проверено</x:v>
      </x:c>
      <x:c r="AG560" s="17" t="str">
        <x:v>Не решено</x:v>
      </x:c>
      <x:c r="AH560" s="17" t="str">
        <x:v>Не проверено</x:v>
      </x:c>
      <x:c r="AI560" s="10" t="str">
        <x:f>IF(AC560="Отклонить","Отклонено",IF(AND(AC560="Взять",COUNTIFS(AD560:AH560,"Да")=5),"Готово","Нужна редактура"))</x:f>
        <x:v>Нужна редактура</x:v>
      </x:c>
      <x:c r="AJ560" s="17" t="str"/>
      <x:c r="AK560" s="9" t="str">
        <x:v>https://www.youtube.com/playlist?list=PLLttfoK87AdVKpcGez7bBwY_0bQHTxqNo</x:v>
      </x:c>
      <x:c r="AL560" s="9" t="n">
        <x:v>7</x:v>
      </x:c>
      <x:c r="AM560" s="9"/>
      <x:c r="AN560" s="9"/>
    </x:row>
    <x:row r="561" ht="60" customHeight="1">
      <x:c r="A561" s="9" t="str">
        <x:v>TW9vCQQD_zo</x:v>
      </x:c>
      <x:c r="B561" s="10" t="str">
        <x:v>טיול אחרי צבא | מסע בין לוחמים - חלק ב'</x:v>
      </x:c>
      <x:c r="C561" s="10" t="str">
        <x:v>География и путешествия</x:v>
      </x:c>
      <x:c r="D561" s="9" t="str">
        <x:v>Быт</x:v>
      </x:c>
      <x:c r="E561" s="10" t="str">
        <x:v>Путешествия; Израиль; лёгкий просмотр</x:v>
      </x:c>
      <x:c r="F561" s="10" t="str">
        <x:v>B1–B2 (гипотеза)</x:v>
      </x:c>
      <x:c r="G561" s="12" t="n">
        <x:v>30.1</x:v>
      </x:c>
      <x:c r="H561" s="14" t="n">
        <x:v>12000</x:v>
      </x:c>
      <x:c r="I561" s="15" t="str">
        <x:v>Округлённый счётчик в списке YouTube</x:v>
      </x:c>
      <x:c r="J561" s="14" t="n">
        <x:v>12000</x:v>
      </x:c>
      <x:c r="K561" s="14" t="n">
        <x:v>56500</x:v>
      </x:c>
      <x:c r="L561" s="12" t="n">
        <x:f>IF(COUNT(J561:K561)=2,IF(K561=0,"",J561/K561),"")</x:f>
        <x:v>0.21238938053097345</x:v>
      </x:c>
      <x:c r="M561" s="10" t="str">
        <x:v>Тема: טיול אחרי צבא | מסע בין לוחמים - חלק ב'. Просмотры ниже медианы цикла; выбирать за нишевую ценность, а не за массовый охват. Маршрут по стране помогает связывать язык с местами и планами путешествия. Визуальные подсказки облегчают понимание.</x:v>
      </x:c>
      <x:c r="N561" s="10" t="str">
        <x:v>Описать маршрут и дать рекомендацию другу.</x:v>
      </x:c>
      <x:c r="O561" s="10" t="str">
        <x:v>Проверить содержание</x:v>
      </x:c>
      <x:c r="P561" s="10" t="str">
        <x:v>Самостоятельное видео</x:v>
      </x:c>
      <x:c r="Q561" s="9" t="str">
        <x:v>Нет</x:v>
      </x:c>
      <x:c r="R561" s="9" t="str">
        <x:v>C038</x:v>
      </x:c>
      <x:c r="S561" s="9" t="str">
        <x:v>C038</x:v>
      </x:c>
      <x:c r="T561" s="10" t="str">
        <x:v>כאן 11 - תאגיד השידור הישראלי</x:v>
      </x:c>
      <x:c r="U561" s="11" t="str">
        <x:v>https://www.youtube.com/watch?v=TW9vCQQD_zo</x:v>
      </x:c>
      <x:c r="V561" s="16" t="n">
        <x:v>46308</x:v>
      </x:c>
      <x:c r="W561" s="16"/>
      <x:c r="X561" s="10" t="str">
        <x:v>Иврит предполагается по заголовку и источнику</x:v>
      </x:c>
      <x:c r="Y561" s="10" t="str">
        <x:v>Не проверено</x:v>
      </x:c>
      <x:c r="Z561" s="10" t="str">
        <x:v>Не проверено</x:v>
      </x:c>
      <x:c r="AA561" s="10" t="str">
        <x:v>Метаданные списка; видео не просмотрено</x:v>
      </x:c>
      <x:c r="AB561" s="13" t="str">
        <x:f>IF(AND(ISNUMBER(H561),ISNUMBER(W561)),H561/MAX(1,'Обзор'!$B$4-W561),"")</x:f>
      </x:c>
      <x:c r="AC561" s="17" t="str">
        <x:v>Не решено</x:v>
      </x:c>
      <x:c r="AD561" s="17" t="str">
        <x:v>Не проверено</x:v>
      </x:c>
      <x:c r="AE561" s="17" t="str">
        <x:v>Не проверено</x:v>
      </x:c>
      <x:c r="AF561" s="17" t="str">
        <x:v>Не проверено</x:v>
      </x:c>
      <x:c r="AG561" s="17" t="str">
        <x:v>Не решено</x:v>
      </x:c>
      <x:c r="AH561" s="17" t="str">
        <x:v>Не проверено</x:v>
      </x:c>
      <x:c r="AI561" s="10" t="str">
        <x:f>IF(AC561="Отклонить","Отклонено",IF(AND(AC561="Взять",COUNTIFS(AD561:AH561,"Да")=5),"Готово","Нужна редактура"))</x:f>
        <x:v>Нужна редактура</x:v>
      </x:c>
      <x:c r="AJ561" s="17" t="str"/>
      <x:c r="AK561" s="9" t="str">
        <x:v>https://www.youtube.com/playlist?list=PLLttfoK87AdVKpcGez7bBwY_0bQHTxqNo</x:v>
      </x:c>
      <x:c r="AL561" s="9" t="n">
        <x:v>8</x:v>
      </x:c>
      <x:c r="AM561" s="9"/>
      <x:c r="AN561" s="9"/>
    </x:row>
    <x:row r="562" ht="60" customHeight="1">
      <x:c r="A562" s="9" t="str">
        <x:v>1Hx3KYNPZyQ</x:v>
      </x:c>
      <x:c r="B562" s="10" t="str">
        <x:v>כנסיית השכל – אף פעם לא תלכי לבד | שיר הנושא של הסדרה ליגה ג' ⚽</x:v>
      </x:c>
      <x:c r="C562" s="10" t="str">
        <x:v>Спорт и периферия</x:v>
      </x:c>
      <x:c r="D562" s="9" t="str">
        <x:v>Быт</x:v>
      </x:c>
      <x:c r="E562" s="10" t="str">
        <x:v>Спорт; общество; разговорный иврит</x:v>
      </x:c>
      <x:c r="F562" s="10" t="str">
        <x:v>B2–C1 (гипотеза)</x:v>
      </x:c>
      <x:c r="G562" s="12" t="n">
        <x:v>3.6</x:v>
      </x:c>
      <x:c r="H562" s="14" t="n">
        <x:v>26000</x:v>
      </x:c>
      <x:c r="I562" s="15" t="str">
        <x:v>Округлённый счётчик в списке YouTube</x:v>
      </x:c>
      <x:c r="J562" s="14" t="n">
        <x:v>26000</x:v>
      </x:c>
      <x:c r="K562" s="14" t="n">
        <x:v>221000</x:v>
      </x:c>
      <x:c r="L562" s="12" t="n">
        <x:f>IF(COUNT(J562:K562)=2,IF(K562=0,"",J562/K562),"")</x:f>
        <x:v>0.11764705882352941</x:v>
      </x:c>
      <x:c r="M562" s="10" t="str">
        <x:v>Завершённый короткий просмотр около 4 мин. Просмотры ниже медианы цикла; выбирать за нишевую ценность, а не за массовый охват. Любительский футбол показывает местные сообщества вне привычного образа Тель-Авива.</x:v>
      </x:c>
      <x:c r="N562" s="10" t="str">
        <x:v>Пересказать матч и разговор команды; собрать эмоциональные реплики.</x:v>
      </x:c>
      <x:c r="O562" s="10" t="str">
        <x:v>Грубая речь, конфликты</x:v>
      </x:c>
      <x:c r="P562" s="10" t="str">
        <x:v>Самостоятельное видео</x:v>
      </x:c>
      <x:c r="Q562" s="9" t="str">
        <x:v>Нет</x:v>
      </x:c>
      <x:c r="R562" s="9" t="str">
        <x:v>C039</x:v>
      </x:c>
      <x:c r="S562" s="9" t="str">
        <x:v>C039</x:v>
      </x:c>
      <x:c r="T562" s="10" t="str">
        <x:v>כאן 11 - תאגיד השידור הישראלי</x:v>
      </x:c>
      <x:c r="U562" s="11" t="str">
        <x:v>https://www.youtube.com/watch?v=1Hx3KYNPZyQ</x:v>
      </x:c>
      <x:c r="V562" s="16" t="n">
        <x:v>46308</x:v>
      </x:c>
      <x:c r="W562" s="16"/>
      <x:c r="X562" s="10" t="str">
        <x:v>Иврит предполагается по заголовку и источнику</x:v>
      </x:c>
      <x:c r="Y562" s="10" t="str">
        <x:v>Не проверено</x:v>
      </x:c>
      <x:c r="Z562" s="10" t="str">
        <x:v>Не проверено</x:v>
      </x:c>
      <x:c r="AA562" s="10" t="str">
        <x:v>Метаданные списка; видео не просмотрено</x:v>
      </x:c>
      <x:c r="AB562" s="13" t="str">
        <x:f>IF(AND(ISNUMBER(H562),ISNUMBER(W562)),H562/MAX(1,'Обзор'!$B$4-W562),"")</x:f>
      </x:c>
      <x:c r="AC562" s="17" t="str">
        <x:v>Не решено</x:v>
      </x:c>
      <x:c r="AD562" s="17" t="str">
        <x:v>Не проверено</x:v>
      </x:c>
      <x:c r="AE562" s="17" t="str">
        <x:v>Не проверено</x:v>
      </x:c>
      <x:c r="AF562" s="17" t="str">
        <x:v>Не проверено</x:v>
      </x:c>
      <x:c r="AG562" s="17" t="str">
        <x:v>Не решено</x:v>
      </x:c>
      <x:c r="AH562" s="17" t="str">
        <x:v>Не проверено</x:v>
      </x:c>
      <x:c r="AI562" s="10" t="str">
        <x:f>IF(AC562="Отклонить","Отклонено",IF(AND(AC562="Взять",COUNTIFS(AD562:AH562,"Да")=5),"Готово","Нужна редактура"))</x:f>
        <x:v>Нужна редактура</x:v>
      </x:c>
      <x:c r="AJ562" s="17" t="str"/>
      <x:c r="AK562" s="9" t="str">
        <x:v>https://www.youtube.com/playlist?list=PLLttfoK87AdXVFkRFILwjsVSkLw542jld</x:v>
      </x:c>
      <x:c r="AL562" s="9" t="n">
        <x:v>1</x:v>
      </x:c>
      <x:c r="AM562" s="9"/>
      <x:c r="AN562" s="9"/>
    </x:row>
    <x:row r="563" ht="60" customHeight="1">
      <x:c r="A563" s="9" t="str">
        <x:v>DmOkeAgiC6s</x:v>
      </x:c>
      <x:c r="B563" s="10" t="str">
        <x:v>ליגה ג' ⚽ | הליגה האחרונה - פרק 1</x:v>
      </x:c>
      <x:c r="C563" s="10" t="str">
        <x:v>Спорт и периферия</x:v>
      </x:c>
      <x:c r="D563" s="9" t="str">
        <x:v>Быт</x:v>
      </x:c>
      <x:c r="E563" s="10" t="str">
        <x:v>Спорт; общество; разговорный иврит</x:v>
      </x:c>
      <x:c r="F563" s="10" t="str">
        <x:v>B2–C1 (гипотеза)</x:v>
      </x:c>
      <x:c r="G563" s="12" t="n">
        <x:v>42.3</x:v>
      </x:c>
      <x:c r="H563" s="14" t="n">
        <x:v>392068</x:v>
      </x:c>
      <x:c r="I563" s="15" t="str">
        <x:v>Точный счётчик метаданных видео</x:v>
      </x:c>
      <x:c r="J563" s="14" t="n">
        <x:v>392000</x:v>
      </x:c>
      <x:c r="K563" s="14" t="n">
        <x:v>221000</x:v>
      </x:c>
      <x:c r="L563" s="12" t="n">
        <x:f>IF(COUNT(J563:K563)=2,IF(K563=0,"",J563/K563),"")</x:f>
        <x:v>1.7737556561085972</x:v>
      </x:c>
      <x:c r="M563" s="10" t="str">
        <x:v>Тема: ליגה ג' ⚽ | הליגה האחרונה - פרק 1. Просмотры в списке выше медианы выборки этого цикла в 1.77 раза. Любительский футбол показывает местные сообщества вне привычного образа Тель-Авива.</x:v>
      </x:c>
      <x:c r="N563" s="10" t="str">
        <x:v>Пересказать матч и разговор команды; собрать эмоциональные реплики.</x:v>
      </x:c>
      <x:c r="O563" s="10" t="str">
        <x:v>Грубая речь, конфликты</x:v>
      </x:c>
      <x:c r="P563" s="10" t="str">
        <x:v>Самостоятельное видео</x:v>
      </x:c>
      <x:c r="Q563" s="9" t="str">
        <x:v>Нет</x:v>
      </x:c>
      <x:c r="R563" s="9" t="str">
        <x:v>C039</x:v>
      </x:c>
      <x:c r="S563" s="9" t="str">
        <x:v>C039</x:v>
      </x:c>
      <x:c r="T563" s="10" t="str">
        <x:v>כאן 11 - תאגיד השידור הישראלי</x:v>
      </x:c>
      <x:c r="U563" s="11" t="str">
        <x:v>https://www.youtube.com/watch?v=DmOkeAgiC6s</x:v>
      </x:c>
      <x:c r="V563" s="16" t="n">
        <x:v>46308</x:v>
      </x:c>
      <x:c r="W563" s="16" t="n">
        <x:v>43643</x:v>
      </x:c>
      <x:c r="X563" s="10" t="str">
        <x:v>Иврит предполагается по заголовку и источнику</x:v>
      </x:c>
      <x:c r="Y563" s="10" t="str">
        <x:v>Дорожка HE не найдена в метаданных; вшитые титры не проверены</x:v>
      </x:c>
      <x:c r="Z563" s="10" t="str">
        <x:v>Разрешено по метаданным</x:v>
      </x:c>
      <x:c r="AA563" s="10" t="str">
        <x:v>Метаданные видео; воспроизведение и содержание не проверены</x:v>
      </x:c>
      <x:c r="AB563" s="13" t="n">
        <x:f>IF(AND(ISNUMBER(H563),ISNUMBER(W563)),H563/MAX(1,'Обзор'!$B$4-W563),"")</x:f>
        <x:v>147.11744840525327</x:v>
      </x:c>
      <x:c r="AC563" s="17" t="str">
        <x:v>Не решено</x:v>
      </x:c>
      <x:c r="AD563" s="17" t="str">
        <x:v>Не проверено</x:v>
      </x:c>
      <x:c r="AE563" s="17" t="str">
        <x:v>Не проверено</x:v>
      </x:c>
      <x:c r="AF563" s="17" t="str">
        <x:v>Не проверено</x:v>
      </x:c>
      <x:c r="AG563" s="17" t="str">
        <x:v>Не решено</x:v>
      </x:c>
      <x:c r="AH563" s="17" t="str">
        <x:v>Не проверено</x:v>
      </x:c>
      <x:c r="AI563" s="10" t="str">
        <x:f>IF(AC563="Отклонить","Отклонено",IF(AND(AC563="Взять",COUNTIFS(AD563:AH563,"Да")=5),"Готово","Нужна редактура"))</x:f>
        <x:v>Нужна редактура</x:v>
      </x:c>
      <x:c r="AJ563" s="17" t="str"/>
      <x:c r="AK563" s="9" t="str">
        <x:v>https://www.youtube.com/playlist?list=PLLttfoK87AdXVFkRFILwjsVSkLw542jld</x:v>
      </x:c>
      <x:c r="AL563" s="9" t="n">
        <x:v>2</x:v>
      </x:c>
      <x:c r="AM563" s="9" t="n">
        <x:v>1</x:v>
      </x:c>
      <x:c r="AN563" s="9" t="n">
        <x:v>0</x:v>
      </x:c>
    </x:row>
    <x:row r="564" ht="60" customHeight="1">
      <x:c r="A564" s="9" t="str">
        <x:v>wBBM_M5SDm0</x:v>
      </x:c>
      <x:c r="B564" s="10" t="str">
        <x:v>ליגה ג' ⚽ | גבר הולך לאיבוד - פרק 2</x:v>
      </x:c>
      <x:c r="C564" s="10" t="str">
        <x:v>Спорт и периферия</x:v>
      </x:c>
      <x:c r="D564" s="9" t="str">
        <x:v>Быт</x:v>
      </x:c>
      <x:c r="E564" s="10" t="str">
        <x:v>Спорт; общество; разговорный иврит</x:v>
      </x:c>
      <x:c r="F564" s="10" t="str">
        <x:v>B2–C1 (гипотеза)</x:v>
      </x:c>
      <x:c r="G564" s="12" t="n">
        <x:v>40.4</x:v>
      </x:c>
      <x:c r="H564" s="14" t="n">
        <x:v>283093</x:v>
      </x:c>
      <x:c r="I564" s="15" t="str">
        <x:v>Точный счётчик метаданных видео</x:v>
      </x:c>
      <x:c r="J564" s="14" t="n">
        <x:v>283000</x:v>
      </x:c>
      <x:c r="K564" s="14" t="n">
        <x:v>221000</x:v>
      </x:c>
      <x:c r="L564" s="12" t="n">
        <x:f>IF(COUNT(J564:K564)=2,IF(K564=0,"",J564/K564),"")</x:f>
        <x:v>1.2805429864253393</x:v>
      </x:c>
      <x:c r="M564" s="10" t="str">
        <x:v>Тема: ליגה ג' ⚽ | גבר הולך לאיבוד - פרק 2. Любительский футбол показывает местные сообщества вне привычного образа Тель-Авива.</x:v>
      </x:c>
      <x:c r="N564" s="10" t="str">
        <x:v>Пересказать матч и разговор команды; собрать эмоциональные реплики.</x:v>
      </x:c>
      <x:c r="O564" s="10" t="str">
        <x:v>Грубая речь, конфликты</x:v>
      </x:c>
      <x:c r="P564" s="10" t="str">
        <x:v>Самостоятельное видео</x:v>
      </x:c>
      <x:c r="Q564" s="9" t="str">
        <x:v>Нет</x:v>
      </x:c>
      <x:c r="R564" s="9" t="str">
        <x:v>C039</x:v>
      </x:c>
      <x:c r="S564" s="9" t="str">
        <x:v>C039</x:v>
      </x:c>
      <x:c r="T564" s="10" t="str">
        <x:v>כאן 11 - תאגיד השידור הישראלי</x:v>
      </x:c>
      <x:c r="U564" s="11" t="str">
        <x:v>https://www.youtube.com/watch?v=wBBM_M5SDm0</x:v>
      </x:c>
      <x:c r="V564" s="16" t="n">
        <x:v>46308</x:v>
      </x:c>
      <x:c r="W564" s="16" t="n">
        <x:v>43650</x:v>
      </x:c>
      <x:c r="X564" s="10" t="str">
        <x:v>Иврит предполагается по заголовку и источнику</x:v>
      </x:c>
      <x:c r="Y564" s="10" t="str">
        <x:v>Дорожка HE не найдена в метаданных; вшитые титры не проверены</x:v>
      </x:c>
      <x:c r="Z564" s="10" t="str">
        <x:v>Разрешено по метаданным</x:v>
      </x:c>
      <x:c r="AA564" s="10" t="str">
        <x:v>Метаданные видео; воспроизведение и содержание не проверены</x:v>
      </x:c>
      <x:c r="AB564" s="13" t="n">
        <x:f>IF(AND(ISNUMBER(H564),ISNUMBER(W564)),H564/MAX(1,'Обзор'!$B$4-W564),"")</x:f>
        <x:v>106.50601956358165</x:v>
      </x:c>
      <x:c r="AC564" s="17" t="str">
        <x:v>Не решено</x:v>
      </x:c>
      <x:c r="AD564" s="17" t="str">
        <x:v>Не проверено</x:v>
      </x:c>
      <x:c r="AE564" s="17" t="str">
        <x:v>Не проверено</x:v>
      </x:c>
      <x:c r="AF564" s="17" t="str">
        <x:v>Не проверено</x:v>
      </x:c>
      <x:c r="AG564" s="17" t="str">
        <x:v>Не решено</x:v>
      </x:c>
      <x:c r="AH564" s="17" t="str">
        <x:v>Не проверено</x:v>
      </x:c>
      <x:c r="AI564" s="10" t="str">
        <x:f>IF(AC564="Отклонить","Отклонено",IF(AND(AC564="Взять",COUNTIFS(AD564:AH564,"Да")=5),"Готово","Нужна редактура"))</x:f>
        <x:v>Нужна редактура</x:v>
      </x:c>
      <x:c r="AJ564" s="17" t="str"/>
      <x:c r="AK564" s="9" t="str">
        <x:v>https://www.youtube.com/playlist?list=PLLttfoK87AdXVFkRFILwjsVSkLw542jld</x:v>
      </x:c>
      <x:c r="AL564" s="9" t="n">
        <x:v>3</x:v>
      </x:c>
      <x:c r="AM564" s="9" t="n">
        <x:v>2</x:v>
      </x:c>
      <x:c r="AN564" s="9" t="n">
        <x:v>0</x:v>
      </x:c>
    </x:row>
    <x:row r="565" ht="60" customHeight="1">
      <x:c r="A565" s="9" t="str">
        <x:v>Ec0nI7734NU</x:v>
      </x:c>
      <x:c r="B565" s="10" t="str">
        <x:v>ליגה ג' ⚽ | כדורגל זה לא אופרה - פרק 3</x:v>
      </x:c>
      <x:c r="C565" s="10" t="str">
        <x:v>Спорт и периферия</x:v>
      </x:c>
      <x:c r="D565" s="9" t="str">
        <x:v>Быт</x:v>
      </x:c>
      <x:c r="E565" s="10" t="str">
        <x:v>Спорт; общество; разговорный иврит</x:v>
      </x:c>
      <x:c r="F565" s="10" t="str">
        <x:v>B2–C1 (гипотеза)</x:v>
      </x:c>
      <x:c r="G565" s="12" t="n">
        <x:v>38.7</x:v>
      </x:c>
      <x:c r="H565" s="14" t="n">
        <x:v>224502</x:v>
      </x:c>
      <x:c r="I565" s="15" t="str">
        <x:v>Точный счётчик метаданных видео</x:v>
      </x:c>
      <x:c r="J565" s="14" t="n">
        <x:v>224000</x:v>
      </x:c>
      <x:c r="K565" s="14" t="n">
        <x:v>221000</x:v>
      </x:c>
      <x:c r="L565" s="12" t="n">
        <x:f>IF(COUNT(J565:K565)=2,IF(K565=0,"",J565/K565),"")</x:f>
        <x:v>1.0135746606334841</x:v>
      </x:c>
      <x:c r="M565" s="10" t="str">
        <x:v>Тема: ליגה ג' ⚽ | כדורגל זה לא אופרה - פרק 3. Любительский футбол показывает местные сообщества вне привычного образа Тель-Авива.</x:v>
      </x:c>
      <x:c r="N565" s="10" t="str">
        <x:v>Пересказать матч и разговор команды; собрать эмоциональные реплики.</x:v>
      </x:c>
      <x:c r="O565" s="10" t="str">
        <x:v>Грубая речь, конфликты</x:v>
      </x:c>
      <x:c r="P565" s="10" t="str">
        <x:v>Самостоятельное видео</x:v>
      </x:c>
      <x:c r="Q565" s="9" t="str">
        <x:v>Нет</x:v>
      </x:c>
      <x:c r="R565" s="9" t="str">
        <x:v>C039</x:v>
      </x:c>
      <x:c r="S565" s="9" t="str">
        <x:v>C039</x:v>
      </x:c>
      <x:c r="T565" s="10" t="str">
        <x:v>כאן 11 - תאגיד השידור הישראלי</x:v>
      </x:c>
      <x:c r="U565" s="11" t="str">
        <x:v>https://www.youtube.com/watch?v=Ec0nI7734NU</x:v>
      </x:c>
      <x:c r="V565" s="16" t="n">
        <x:v>46308</x:v>
      </x:c>
      <x:c r="W565" s="16" t="n">
        <x:v>43657</x:v>
      </x:c>
      <x:c r="X565" s="10" t="str">
        <x:v>Иврит предполагается по заголовку и источнику</x:v>
      </x:c>
      <x:c r="Y565" s="10" t="str">
        <x:v>Дорожка HE не найдена в метаданных; вшитые титры не проверены</x:v>
      </x:c>
      <x:c r="Z565" s="10" t="str">
        <x:v>Разрешено по метаданным</x:v>
      </x:c>
      <x:c r="AA565" s="10" t="str">
        <x:v>Метаданные видео; воспроизведение и содержание не проверены</x:v>
      </x:c>
      <x:c r="AB565" s="13" t="n">
        <x:f>IF(AND(ISNUMBER(H565),ISNUMBER(W565)),H565/MAX(1,'Обзор'!$B$4-W565),"")</x:f>
        <x:v>84.68577895133912</x:v>
      </x:c>
      <x:c r="AC565" s="17" t="str">
        <x:v>Не решено</x:v>
      </x:c>
      <x:c r="AD565" s="17" t="str">
        <x:v>Не проверено</x:v>
      </x:c>
      <x:c r="AE565" s="17" t="str">
        <x:v>Не проверено</x:v>
      </x:c>
      <x:c r="AF565" s="17" t="str">
        <x:v>Не проверено</x:v>
      </x:c>
      <x:c r="AG565" s="17" t="str">
        <x:v>Не решено</x:v>
      </x:c>
      <x:c r="AH565" s="17" t="str">
        <x:v>Не проверено</x:v>
      </x:c>
      <x:c r="AI565" s="10" t="str">
        <x:f>IF(AC565="Отклонить","Отклонено",IF(AND(AC565="Взять",COUNTIFS(AD565:AH565,"Да")=5),"Готово","Нужна редактура"))</x:f>
        <x:v>Нужна редактура</x:v>
      </x:c>
      <x:c r="AJ565" s="17" t="str"/>
      <x:c r="AK565" s="9" t="str">
        <x:v>https://www.youtube.com/playlist?list=PLLttfoK87AdXVFkRFILwjsVSkLw542jld</x:v>
      </x:c>
      <x:c r="AL565" s="9" t="n">
        <x:v>4</x:v>
      </x:c>
      <x:c r="AM565" s="9" t="n">
        <x:v>3</x:v>
      </x:c>
      <x:c r="AN565" s="9" t="n">
        <x:v>0</x:v>
      </x:c>
    </x:row>
    <x:row r="566" ht="60" customHeight="1">
      <x:c r="A566" s="9" t="str">
        <x:v>nqOkc_XaZoQ</x:v>
      </x:c>
      <x:c r="B566" s="10" t="str">
        <x:v>ליגה ג' ⚽ | הסורים על הגדרות - פרק 4</x:v>
      </x:c>
      <x:c r="C566" s="10" t="str">
        <x:v>Спорт и периферия</x:v>
      </x:c>
      <x:c r="D566" s="9" t="str">
        <x:v>Быт</x:v>
      </x:c>
      <x:c r="E566" s="10" t="str">
        <x:v>Спорт; общество; разговорный иврит</x:v>
      </x:c>
      <x:c r="F566" s="10" t="str">
        <x:v>B2–C1 (гипотеза)</x:v>
      </x:c>
      <x:c r="G566" s="12" t="n">
        <x:v>39.3</x:v>
      </x:c>
      <x:c r="H566" s="14" t="n">
        <x:v>209297</x:v>
      </x:c>
      <x:c r="I566" s="15" t="str">
        <x:v>Точный счётчик метаданных видео</x:v>
      </x:c>
      <x:c r="J566" s="14" t="n">
        <x:v>209000</x:v>
      </x:c>
      <x:c r="K566" s="14" t="n">
        <x:v>221000</x:v>
      </x:c>
      <x:c r="L566" s="12" t="n">
        <x:f>IF(COUNT(J566:K566)=2,IF(K566=0,"",J566/K566),"")</x:f>
        <x:v>0.9457013574660633</x:v>
      </x:c>
      <x:c r="M566" s="10" t="str">
        <x:v>Тема: ליגה ג' ⚽ | הסורים על הגדרות - פרק 4. Любительский футбол показывает местные сообщества вне привычного образа Тель-Авива.</x:v>
      </x:c>
      <x:c r="N566" s="10" t="str">
        <x:v>Пересказать матч и разговор команды; собрать эмоциональные реплики.</x:v>
      </x:c>
      <x:c r="O566" s="10" t="str">
        <x:v>Грубая речь, конфликты</x:v>
      </x:c>
      <x:c r="P566" s="10" t="str">
        <x:v>Самостоятельное видео</x:v>
      </x:c>
      <x:c r="Q566" s="9" t="str">
        <x:v>Нет</x:v>
      </x:c>
      <x:c r="R566" s="9" t="str">
        <x:v>C039</x:v>
      </x:c>
      <x:c r="S566" s="9" t="str">
        <x:v>C039</x:v>
      </x:c>
      <x:c r="T566" s="10" t="str">
        <x:v>כאן 11 - תאגיד השידור הישראלי</x:v>
      </x:c>
      <x:c r="U566" s="11" t="str">
        <x:v>https://www.youtube.com/watch?v=nqOkc_XaZoQ</x:v>
      </x:c>
      <x:c r="V566" s="16" t="n">
        <x:v>46308</x:v>
      </x:c>
      <x:c r="W566" s="16" t="n">
        <x:v>43664</x:v>
      </x:c>
      <x:c r="X566" s="10" t="str">
        <x:v>Иврит предполагается по заголовку и источнику</x:v>
      </x:c>
      <x:c r="Y566" s="10" t="str">
        <x:v>Дорожка HE не найдена в метаданных; вшитые титры не проверены</x:v>
      </x:c>
      <x:c r="Z566" s="10" t="str">
        <x:v>Разрешено по метаданным</x:v>
      </x:c>
      <x:c r="AA566" s="10" t="str">
        <x:v>Метаданные видео; воспроизведение и содержание не проверены</x:v>
      </x:c>
      <x:c r="AB566" s="13" t="n">
        <x:f>IF(AND(ISNUMBER(H566),ISNUMBER(W566)),H566/MAX(1,'Обзор'!$B$4-W566),"")</x:f>
        <x:v>79.15922844175492</x:v>
      </x:c>
      <x:c r="AC566" s="17" t="str">
        <x:v>Не решено</x:v>
      </x:c>
      <x:c r="AD566" s="17" t="str">
        <x:v>Не проверено</x:v>
      </x:c>
      <x:c r="AE566" s="17" t="str">
        <x:v>Не проверено</x:v>
      </x:c>
      <x:c r="AF566" s="17" t="str">
        <x:v>Не проверено</x:v>
      </x:c>
      <x:c r="AG566" s="17" t="str">
        <x:v>Не решено</x:v>
      </x:c>
      <x:c r="AH566" s="17" t="str">
        <x:v>Не проверено</x:v>
      </x:c>
      <x:c r="AI566" s="10" t="str">
        <x:f>IF(AC566="Отклонить","Отклонено",IF(AND(AC566="Взять",COUNTIFS(AD566:AH566,"Да")=5),"Готово","Нужна редактура"))</x:f>
        <x:v>Нужна редактура</x:v>
      </x:c>
      <x:c r="AJ566" s="17" t="str"/>
      <x:c r="AK566" s="9" t="str">
        <x:v>https://www.youtube.com/playlist?list=PLLttfoK87AdXVFkRFILwjsVSkLw542jld</x:v>
      </x:c>
      <x:c r="AL566" s="9" t="n">
        <x:v>5</x:v>
      </x:c>
      <x:c r="AM566" s="9" t="n">
        <x:v>4</x:v>
      </x:c>
      <x:c r="AN566" s="9" t="n">
        <x:v>0</x:v>
      </x:c>
    </x:row>
    <x:row r="567" ht="60" customHeight="1">
      <x:c r="A567" s="9" t="str">
        <x:v>wmQNGOyX7BE</x:v>
      </x:c>
      <x:c r="B567" s="10" t="str">
        <x:v>ליגה ג' ⚽ | אף פעם לא תלכי לבד - פרק 5 - פרק הסיום!</x:v>
      </x:c>
      <x:c r="C567" s="10" t="str">
        <x:v>Спорт и периферия</x:v>
      </x:c>
      <x:c r="D567" s="9" t="str">
        <x:v>Быт</x:v>
      </x:c>
      <x:c r="E567" s="10" t="str">
        <x:v>Спорт; общество; разговорный иврит</x:v>
      </x:c>
      <x:c r="F567" s="10" t="str">
        <x:v>B2–C1 (гипотеза)</x:v>
      </x:c>
      <x:c r="G567" s="12" t="n">
        <x:v>41.9</x:v>
      </x:c>
      <x:c r="H567" s="14" t="n">
        <x:v>221256</x:v>
      </x:c>
      <x:c r="I567" s="15" t="str">
        <x:v>Точный счётчик метаданных видео</x:v>
      </x:c>
      <x:c r="J567" s="14" t="n">
        <x:v>221000</x:v>
      </x:c>
      <x:c r="K567" s="14" t="n">
        <x:v>221000</x:v>
      </x:c>
      <x:c r="L567" s="12" t="n">
        <x:f>IF(COUNT(J567:K567)=2,IF(K567=0,"",J567/K567),"")</x:f>
        <x:v>1</x:v>
      </x:c>
      <x:c r="M567" s="10" t="str">
        <x:v>Тема: ליגה ג' ⚽ | אף פעם לא תלכי לבד - פרק 5 - פרק הסיום!. Любительский футбол показывает местные сообщества вне привычного образа Тель-Авива.</x:v>
      </x:c>
      <x:c r="N567" s="10" t="str">
        <x:v>Пересказать матч и разговор команды; собрать эмоциональные реплики.</x:v>
      </x:c>
      <x:c r="O567" s="10" t="str">
        <x:v>Грубая речь, конфликты</x:v>
      </x:c>
      <x:c r="P567" s="10" t="str">
        <x:v>Самостоятельное видео</x:v>
      </x:c>
      <x:c r="Q567" s="9" t="str">
        <x:v>Нет</x:v>
      </x:c>
      <x:c r="R567" s="9" t="str">
        <x:v>C039</x:v>
      </x:c>
      <x:c r="S567" s="9" t="str">
        <x:v>C039</x:v>
      </x:c>
      <x:c r="T567" s="10" t="str">
        <x:v>כאן 11 - תאגיד השידור הישראלי</x:v>
      </x:c>
      <x:c r="U567" s="11" t="str">
        <x:v>https://www.youtube.com/watch?v=wmQNGOyX7BE</x:v>
      </x:c>
      <x:c r="V567" s="16" t="n">
        <x:v>46308</x:v>
      </x:c>
      <x:c r="W567" s="16" t="n">
        <x:v>43671</x:v>
      </x:c>
      <x:c r="X567" s="10" t="str">
        <x:v>Иврит предполагается по заголовку и источнику</x:v>
      </x:c>
      <x:c r="Y567" s="10" t="str">
        <x:v>Дорожка HE не найдена в метаданных; вшитые титры не проверены</x:v>
      </x:c>
      <x:c r="Z567" s="10" t="str">
        <x:v>Разрешено по метаданным</x:v>
      </x:c>
      <x:c r="AA567" s="10" t="str">
        <x:v>Метаданные видео; воспроизведение и содержание не проверены</x:v>
      </x:c>
      <x:c r="AB567" s="13" t="n">
        <x:f>IF(AND(ISNUMBER(H567),ISNUMBER(W567)),H567/MAX(1,'Обзор'!$B$4-W567),"")</x:f>
        <x:v>83.90443686006826</x:v>
      </x:c>
      <x:c r="AC567" s="17" t="str">
        <x:v>Не решено</x:v>
      </x:c>
      <x:c r="AD567" s="17" t="str">
        <x:v>Не проверено</x:v>
      </x:c>
      <x:c r="AE567" s="17" t="str">
        <x:v>Не проверено</x:v>
      </x:c>
      <x:c r="AF567" s="17" t="str">
        <x:v>Не проверено</x:v>
      </x:c>
      <x:c r="AG567" s="17" t="str">
        <x:v>Не решено</x:v>
      </x:c>
      <x:c r="AH567" s="17" t="str">
        <x:v>Не проверено</x:v>
      </x:c>
      <x:c r="AI567" s="10" t="str">
        <x:f>IF(AC567="Отклонить","Отклонено",IF(AND(AC567="Взять",COUNTIFS(AD567:AH567,"Да")=5),"Готово","Нужна редактура"))</x:f>
        <x:v>Нужна редактура</x:v>
      </x:c>
      <x:c r="AJ567" s="17" t="str"/>
      <x:c r="AK567" s="9" t="str">
        <x:v>https://www.youtube.com/playlist?list=PLLttfoK87AdXVFkRFILwjsVSkLw542jld</x:v>
      </x:c>
      <x:c r="AL567" s="9" t="n">
        <x:v>6</x:v>
      </x:c>
      <x:c r="AM567" s="9" t="n">
        <x:v>5</x:v>
      </x:c>
      <x:c r="AN567" s="9" t="n">
        <x:v>0</x:v>
      </x:c>
    </x:row>
    <x:row r="568" ht="60" customHeight="1">
      <x:c r="A568" s="9" t="str">
        <x:v>ZXzI7sylxRc</x:v>
      </x:c>
      <x:c r="B568" s="10" t="str">
        <x:v>אבי פרץ שר את ''כשתגדל'' - מתוך ליגה ג' ⚽</x:v>
      </x:c>
      <x:c r="C568" s="10" t="str">
        <x:v>Спорт и периферия</x:v>
      </x:c>
      <x:c r="D568" s="9" t="str">
        <x:v>Быт</x:v>
      </x:c>
      <x:c r="E568" s="10" t="str">
        <x:v>Спорт; общество; разговорный иврит</x:v>
      </x:c>
      <x:c r="F568" s="10" t="str">
        <x:v>B2–C1 (гипотеза)</x:v>
      </x:c>
      <x:c r="G568" s="12" t="n">
        <x:v>2.4</x:v>
      </x:c>
      <x:c r="H568" s="14" t="n">
        <x:v>64348</x:v>
      </x:c>
      <x:c r="I568" s="15" t="str">
        <x:v>Точный счётчик метаданных видео</x:v>
      </x:c>
      <x:c r="J568" s="14" t="n">
        <x:v>64000</x:v>
      </x:c>
      <x:c r="K568" s="14" t="n">
        <x:v>221000</x:v>
      </x:c>
      <x:c r="L568" s="12" t="n">
        <x:f>IF(COUNT(J568:K568)=2,IF(K568=0,"",J568/K568),"")</x:f>
        <x:v>0.2895927601809955</x:v>
      </x:c>
      <x:c r="M568" s="10" t="str">
        <x:v>Завершённый короткий просмотр около 2 мин. Просмотры ниже медианы цикла; выбирать за нишевую ценность, а не за массовый охват. Любительский футбол показывает местные сообщества вне привычного образа Тель-Авива.</x:v>
      </x:c>
      <x:c r="N568" s="10" t="str">
        <x:v>Пересказать матч и разговор команды; собрать эмоциональные реплики.</x:v>
      </x:c>
      <x:c r="O568" s="10" t="str">
        <x:v>Грубая речь, конфликты</x:v>
      </x:c>
      <x:c r="P568" s="10" t="str">
        <x:v>Самостоятельное видео</x:v>
      </x:c>
      <x:c r="Q568" s="9" t="str">
        <x:v>Нет</x:v>
      </x:c>
      <x:c r="R568" s="9" t="str">
        <x:v>C039</x:v>
      </x:c>
      <x:c r="S568" s="9" t="str">
        <x:v>C039</x:v>
      </x:c>
      <x:c r="T568" s="10" t="str">
        <x:v>כאן 11 - תאגיד השידור הישראלי</x:v>
      </x:c>
      <x:c r="U568" s="11" t="str">
        <x:v>https://www.youtube.com/watch?v=ZXzI7sylxRc</x:v>
      </x:c>
      <x:c r="V568" s="16" t="n">
        <x:v>46308</x:v>
      </x:c>
      <x:c r="W568" s="16" t="n">
        <x:v>43663</x:v>
      </x:c>
      <x:c r="X568" s="10" t="str">
        <x:v>Иврит предполагается по заголовку и источнику</x:v>
      </x:c>
      <x:c r="Y568" s="10" t="str">
        <x:v>Дорожка HE не найдена в метаданных; вшитые титры не проверены</x:v>
      </x:c>
      <x:c r="Z568" s="10" t="str">
        <x:v>Разрешено по метаданным</x:v>
      </x:c>
      <x:c r="AA568" s="10" t="str">
        <x:v>Метаданные видео; воспроизведение и содержание не проверены</x:v>
      </x:c>
      <x:c r="AB568" s="13" t="n">
        <x:f>IF(AND(ISNUMBER(H568),ISNUMBER(W568)),H568/MAX(1,'Обзор'!$B$4-W568),"")</x:f>
        <x:v>24.328166351606804</x:v>
      </x:c>
      <x:c r="AC568" s="17" t="str">
        <x:v>Не решено</x:v>
      </x:c>
      <x:c r="AD568" s="17" t="str">
        <x:v>Не проверено</x:v>
      </x:c>
      <x:c r="AE568" s="17" t="str">
        <x:v>Не проверено</x:v>
      </x:c>
      <x:c r="AF568" s="17" t="str">
        <x:v>Не проверено</x:v>
      </x:c>
      <x:c r="AG568" s="17" t="str">
        <x:v>Не решено</x:v>
      </x:c>
      <x:c r="AH568" s="17" t="str">
        <x:v>Не проверено</x:v>
      </x:c>
      <x:c r="AI568" s="10" t="str">
        <x:f>IF(AC568="Отклонить","Отклонено",IF(AND(AC568="Взять",COUNTIFS(AD568:AH568,"Да")=5),"Готово","Нужна редактура"))</x:f>
        <x:v>Нужна редактура</x:v>
      </x:c>
      <x:c r="AJ568" s="17" t="str"/>
      <x:c r="AK568" s="9" t="str">
        <x:v>https://www.youtube.com/playlist?list=PLLttfoK87AdXVFkRFILwjsVSkLw542jld</x:v>
      </x:c>
      <x:c r="AL568" s="9" t="n">
        <x:v>7</x:v>
      </x:c>
      <x:c r="AM568" s="9"/>
      <x:c r="AN568" s="9" t="n">
        <x:v>0</x:v>
      </x:c>
    </x:row>
    <x:row r="569" ht="60" customHeight="1">
      <x:c r="A569" s="9" t="str">
        <x:v>J-Kk_das1jc</x:v>
      </x:c>
      <x:c r="B569" s="10" t="str">
        <x:v>זמן אמת עונה 9 | פרק 2 - 10 ימים בספטמבר: כך חיסלנו את נסראללה</x:v>
      </x:c>
      <x:c r="C569" s="10" t="str">
        <x:v>Журналистика и общество</x:v>
      </x:c>
      <x:c r="D569" s="9" t="str">
        <x:v>Общество</x:v>
      </x:c>
      <x:c r="E569" s="10" t="str">
        <x:v>Документалистика; расследования; продвинутые</x:v>
      </x:c>
      <x:c r="F569" s="10" t="str">
        <x:v>B2–C1 (гипотеза)</x:v>
      </x:c>
      <x:c r="G569" s="12" t="n">
        <x:v>57.8</x:v>
      </x:c>
      <x:c r="H569" s="14" t="n">
        <x:v>536808</x:v>
      </x:c>
      <x:c r="I569" s="15" t="str">
        <x:v>Точный счётчик метаданных видео</x:v>
      </x:c>
      <x:c r="J569" s="14" t="n">
        <x:v>536000</x:v>
      </x:c>
      <x:c r="K569" s="14" t="n">
        <x:v>110000</x:v>
      </x:c>
      <x:c r="L569" s="12" t="n">
        <x:f>IF(COUNT(J569:K569)=2,IF(K569=0,"",J569/K569),"")</x:f>
        <x:v>4.872727272727273</x:v>
      </x:c>
      <x:c r="M569" s="10" t="str">
        <x:v>Тема: זמן אמת עונה 9 | פרק 2 - 10 ימים בספטמבר: כך חיסלנו את נסראללה. Просмотры в списке выше медианы выборки этого цикла в 4.87 раза. Расследования привлекают любителей документального жанра и дают материал для критического чтения медиа.</x:v>
      </x:c>
      <x:c r="N569" s="10" t="str">
        <x:v>Разделить утверждение, источник, ответ стороны и вывод автора.</x:v>
      </x:c>
      <x:c r="O569" s="10" t="str">
        <x:v>Обвинения и чувствительные темы; проверять обновления и право ответа</x:v>
      </x:c>
      <x:c r="P569" s="10" t="str">
        <x:v>Самостоятельное видео</x:v>
      </x:c>
      <x:c r="Q569" s="9" t="str">
        <x:v>Нет</x:v>
      </x:c>
      <x:c r="R569" s="9" t="str">
        <x:v>C040</x:v>
      </x:c>
      <x:c r="S569" s="9" t="str">
        <x:v>C040</x:v>
      </x:c>
      <x:c r="T569" s="10" t="str">
        <x:v>כאן 11 - תאגיד השידור הישראלי</x:v>
      </x:c>
      <x:c r="U569" s="11" t="str">
        <x:v>https://www.youtube.com/watch?v=J-Kk_das1jc</x:v>
      </x:c>
      <x:c r="V569" s="16" t="n">
        <x:v>46308</x:v>
      </x:c>
      <x:c r="W569" s="16" t="n">
        <x:v>45775</x:v>
      </x:c>
      <x:c r="X569" s="10" t="str">
        <x:v>iw</x:v>
      </x:c>
      <x:c r="Y569" s="10" t="str">
        <x:v>Автоматическая дорожка HE по метаданным</x:v>
      </x:c>
      <x:c r="Z569" s="10" t="str">
        <x:v>Разрешено по метаданным</x:v>
      </x:c>
      <x:c r="AA569" s="10" t="str">
        <x:v>Метаданные видео; воспроизведение и содержание не проверены</x:v>
      </x:c>
      <x:c r="AB569" s="13" t="n">
        <x:f>IF(AND(ISNUMBER(H569),ISNUMBER(W569)),H569/MAX(1,'Обзор'!$B$4-W569),"")</x:f>
        <x:v>1007.1444652908068</x:v>
      </x:c>
      <x:c r="AC569" s="17" t="str">
        <x:v>Не решено</x:v>
      </x:c>
      <x:c r="AD569" s="17" t="str">
        <x:v>Не проверено</x:v>
      </x:c>
      <x:c r="AE569" s="17" t="str">
        <x:v>Не проверено</x:v>
      </x:c>
      <x:c r="AF569" s="17" t="str">
        <x:v>Не проверено</x:v>
      </x:c>
      <x:c r="AG569" s="17" t="str">
        <x:v>Не решено</x:v>
      </x:c>
      <x:c r="AH569" s="17" t="str">
        <x:v>Не проверено</x:v>
      </x:c>
      <x:c r="AI569" s="10" t="str">
        <x:f>IF(AC569="Отклонить","Отклонено",IF(AND(AC569="Взять",COUNTIFS(AD569:AH569,"Да")=5),"Готово","Нужна редактура"))</x:f>
        <x:v>Нужна редактура</x:v>
      </x:c>
      <x:c r="AJ569" s="17" t="str"/>
      <x:c r="AK569" s="9" t="str">
        <x:v>https://www.youtube.com/playlist?list=PLLttfoK87AdXkzXkA2plDEOAN-1UCXGIV</x:v>
      </x:c>
      <x:c r="AL569" s="9" t="n">
        <x:v>11</x:v>
      </x:c>
      <x:c r="AM569" s="9" t="n">
        <x:v>2</x:v>
      </x:c>
      <x:c r="AN569" s="9" t="n">
        <x:v>0</x:v>
      </x:c>
    </x:row>
    <x:row r="570" ht="60" customHeight="1">
      <x:c r="A570" s="9" t="str">
        <x:v>DXRlVnD2Sn0</x:v>
      </x:c>
      <x:c r="B570" s="10" t="str">
        <x:v>זמן אמת עונה 9 | פרק 3 - משפט שדה: מה באמת קרה בשדה תימן?</x:v>
      </x:c>
      <x:c r="C570" s="10" t="str">
        <x:v>Журналистика и общество</x:v>
      </x:c>
      <x:c r="D570" s="9" t="str">
        <x:v>Общество</x:v>
      </x:c>
      <x:c r="E570" s="10" t="str">
        <x:v>Документалистика; расследования; продвинутые</x:v>
      </x:c>
      <x:c r="F570" s="10" t="str">
        <x:v>B2–C1 (гипотеза)</x:v>
      </x:c>
      <x:c r="G570" s="12" t="n">
        <x:v>62.5</x:v>
      </x:c>
      <x:c r="H570" s="14" t="n">
        <x:v>110219</x:v>
      </x:c>
      <x:c r="I570" s="15" t="str">
        <x:v>Точный счётчик метаданных видео</x:v>
      </x:c>
      <x:c r="J570" s="14" t="n">
        <x:v>110000</x:v>
      </x:c>
      <x:c r="K570" s="14" t="n">
        <x:v>110000</x:v>
      </x:c>
      <x:c r="L570" s="12" t="n">
        <x:f>IF(COUNT(J570:K570)=2,IF(K570=0,"",J570/K570),"")</x:f>
        <x:v>1</x:v>
      </x:c>
      <x:c r="M570" s="10" t="str">
        <x:v>Тема: זמן אמת עונה 9 | פרק 3 - משפט שדה: מה באמת קרה בשדה תימן?. Расследования привлекают любителей документального жанра и дают материал для критического чтения медиа.</x:v>
      </x:c>
      <x:c r="N570" s="10" t="str">
        <x:v>Разделить утверждение, источник, ответ стороны и вывод автора.</x:v>
      </x:c>
      <x:c r="O570" s="10" t="str">
        <x:v>Обвинения и чувствительные темы; проверять обновления и право ответа</x:v>
      </x:c>
      <x:c r="P570" s="10" t="str">
        <x:v>Самостоятельное видео</x:v>
      </x:c>
      <x:c r="Q570" s="9" t="str">
        <x:v>Нет</x:v>
      </x:c>
      <x:c r="R570" s="9" t="str">
        <x:v>C040</x:v>
      </x:c>
      <x:c r="S570" s="9" t="str">
        <x:v>C040</x:v>
      </x:c>
      <x:c r="T570" s="10" t="str">
        <x:v>כאן 11 - תאגיד השידור הישראלי</x:v>
      </x:c>
      <x:c r="U570" s="11" t="str">
        <x:v>https://www.youtube.com/watch?v=DXRlVnD2Sn0</x:v>
      </x:c>
      <x:c r="V570" s="16" t="n">
        <x:v>46308</x:v>
      </x:c>
      <x:c r="W570" s="16" t="n">
        <x:v>45783</x:v>
      </x:c>
      <x:c r="X570" s="10" t="str">
        <x:v>iw</x:v>
      </x:c>
      <x:c r="Y570" s="10" t="str">
        <x:v>Автоматическая дорожка HE по метаданным</x:v>
      </x:c>
      <x:c r="Z570" s="10" t="str">
        <x:v>Разрешено по метаданным</x:v>
      </x:c>
      <x:c r="AA570" s="10" t="str">
        <x:v>Метаданные видео; воспроизведение и содержание не проверены</x:v>
      </x:c>
      <x:c r="AB570" s="13" t="n">
        <x:f>IF(AND(ISNUMBER(H570),ISNUMBER(W570)),H570/MAX(1,'Обзор'!$B$4-W570),"")</x:f>
        <x:v>209.94095238095238</x:v>
      </x:c>
      <x:c r="AC570" s="17" t="str">
        <x:v>Не решено</x:v>
      </x:c>
      <x:c r="AD570" s="17" t="str">
        <x:v>Не проверено</x:v>
      </x:c>
      <x:c r="AE570" s="17" t="str">
        <x:v>Не проверено</x:v>
      </x:c>
      <x:c r="AF570" s="17" t="str">
        <x:v>Не проверено</x:v>
      </x:c>
      <x:c r="AG570" s="17" t="str">
        <x:v>Не решено</x:v>
      </x:c>
      <x:c r="AH570" s="17" t="str">
        <x:v>Не проверено</x:v>
      </x:c>
      <x:c r="AI570" s="10" t="str">
        <x:f>IF(AC570="Отклонить","Отклонено",IF(AND(AC570="Взять",COUNTIFS(AD570:AH570,"Да")=5),"Готово","Нужна редактура"))</x:f>
        <x:v>Нужна редактура</x:v>
      </x:c>
      <x:c r="AJ570" s="17" t="str"/>
      <x:c r="AK570" s="9" t="str">
        <x:v>https://www.youtube.com/playlist?list=PLLttfoK87AdXkzXkA2plDEOAN-1UCXGIV</x:v>
      </x:c>
      <x:c r="AL570" s="9" t="n">
        <x:v>10</x:v>
      </x:c>
      <x:c r="AM570" s="9" t="n">
        <x:v>3</x:v>
      </x:c>
      <x:c r="AN570" s="9" t="n">
        <x:v>0</x:v>
      </x:c>
    </x:row>
    <x:row r="571" ht="60" customHeight="1">
      <x:c r="A571" s="9" t="str">
        <x:v>gWCGAtH2s-c</x:v>
      </x:c>
      <x:c r="B571" s="10" t="str">
        <x:v>זמן אמת עונה 9 | פרק 4 - להכות במטה: כך פעלו לנטרל ולהחליש את מטה משפחות החטופים</x:v>
      </x:c>
      <x:c r="C571" s="10" t="str">
        <x:v>Журналистика и общество</x:v>
      </x:c>
      <x:c r="D571" s="9" t="str">
        <x:v>Общество</x:v>
      </x:c>
      <x:c r="E571" s="10" t="str">
        <x:v>Документалистика; расследования; продвинутые</x:v>
      </x:c>
      <x:c r="F571" s="10" t="str">
        <x:v>B2–C1 (гипотеза)</x:v>
      </x:c>
      <x:c r="G571" s="12" t="n">
        <x:v>58.7</x:v>
      </x:c>
      <x:c r="H571" s="14" t="n">
        <x:v>61000</x:v>
      </x:c>
      <x:c r="I571" s="15" t="str">
        <x:v>Округлённый счётчик в списке YouTube</x:v>
      </x:c>
      <x:c r="J571" s="14" t="n">
        <x:v>61000</x:v>
      </x:c>
      <x:c r="K571" s="14" t="n">
        <x:v>110000</x:v>
      </x:c>
      <x:c r="L571" s="12" t="n">
        <x:f>IF(COUNT(J571:K571)=2,IF(K571=0,"",J571/K571),"")</x:f>
        <x:v>0.5545454545454546</x:v>
      </x:c>
      <x:c r="M571" s="10" t="str">
        <x:v>Тема: זמן אמת עונה 9 | פרק 4 - להכות במטה: כך פעלו לנטרל ולהחליש את מטה משפחות החטופים. Расследования привлекают любителей документального жанра и дают материал для критического чтения медиа.</x:v>
      </x:c>
      <x:c r="N571" s="10" t="str">
        <x:v>Разделить утверждение, источник, ответ стороны и вывод автора.</x:v>
      </x:c>
      <x:c r="O571" s="10" t="str">
        <x:v>В заголовке есть чувствительная тема: предварительный просмотр и добровольный выбор. Обвинения и чувствительные темы; проверять обновления и право ответа</x:v>
      </x:c>
      <x:c r="P571" s="10" t="str">
        <x:v>Самостоятельное видео</x:v>
      </x:c>
      <x:c r="Q571" s="9" t="str">
        <x:v>Нет</x:v>
      </x:c>
      <x:c r="R571" s="9" t="str">
        <x:v>C040</x:v>
      </x:c>
      <x:c r="S571" s="9" t="str">
        <x:v>C040</x:v>
      </x:c>
      <x:c r="T571" s="10" t="str">
        <x:v>כאן 11 - תאגיד השידור הישראלי</x:v>
      </x:c>
      <x:c r="U571" s="11" t="str">
        <x:v>https://www.youtube.com/watch?v=gWCGAtH2s-c</x:v>
      </x:c>
      <x:c r="V571" s="16" t="n">
        <x:v>46308</x:v>
      </x:c>
      <x:c r="W571" s="16"/>
      <x:c r="X571" s="10" t="str">
        <x:v>Иврит предполагается по заголовку и источнику</x:v>
      </x:c>
      <x:c r="Y571" s="10" t="str">
        <x:v>Не проверено</x:v>
      </x:c>
      <x:c r="Z571" s="10" t="str">
        <x:v>Не проверено</x:v>
      </x:c>
      <x:c r="AA571" s="10" t="str">
        <x:v>Метаданные списка; видео не просмотрено</x:v>
      </x:c>
      <x:c r="AB571" s="13" t="str">
        <x:f>IF(AND(ISNUMBER(H571),ISNUMBER(W571)),H571/MAX(1,'Обзор'!$B$4-W571),"")</x:f>
      </x:c>
      <x:c r="AC571" s="17" t="str">
        <x:v>Не решено</x:v>
      </x:c>
      <x:c r="AD571" s="17" t="str">
        <x:v>Не проверено</x:v>
      </x:c>
      <x:c r="AE571" s="17" t="str">
        <x:v>Не проверено</x:v>
      </x:c>
      <x:c r="AF571" s="17" t="str">
        <x:v>Не проверено</x:v>
      </x:c>
      <x:c r="AG571" s="17" t="str">
        <x:v>Не решено</x:v>
      </x:c>
      <x:c r="AH571" s="17" t="str">
        <x:v>Не проверено</x:v>
      </x:c>
      <x:c r="AI571" s="10" t="str">
        <x:f>IF(AC571="Отклонить","Отклонено",IF(AND(AC571="Взять",COUNTIFS(AD571:AH571,"Да")=5),"Готово","Нужна редактура"))</x:f>
        <x:v>Нужна редактура</x:v>
      </x:c>
      <x:c r="AJ571" s="17" t="str"/>
      <x:c r="AK571" s="9" t="str">
        <x:v>https://www.youtube.com/playlist?list=PLLttfoK87AdXkzXkA2plDEOAN-1UCXGIV</x:v>
      </x:c>
      <x:c r="AL571" s="9" t="n">
        <x:v>9</x:v>
      </x:c>
      <x:c r="AM571" s="9" t="n">
        <x:v>4</x:v>
      </x:c>
      <x:c r="AN571" s="9"/>
    </x:row>
    <x:row r="572" ht="60" customHeight="1">
      <x:c r="A572" s="9" t="str">
        <x:v>0soc7lXQiyA</x:v>
      </x:c>
      <x:c r="B572" s="10" t="str">
        <x:v>זמן אמת עונה 9 | פרק 5 - החגיגה נגמרת: תחקיר על איש העסקים משה חוגג</x:v>
      </x:c>
      <x:c r="C572" s="10" t="str">
        <x:v>Журналистика и общество</x:v>
      </x:c>
      <x:c r="D572" s="9" t="str">
        <x:v>Общество</x:v>
      </x:c>
      <x:c r="E572" s="10" t="str">
        <x:v>Документалистика; расследования; продвинутые</x:v>
      </x:c>
      <x:c r="F572" s="10" t="str">
        <x:v>B2–C1 (гипотеза)</x:v>
      </x:c>
      <x:c r="G572" s="12" t="n">
        <x:v>64.3</x:v>
      </x:c>
      <x:c r="H572" s="14" t="n">
        <x:v>238197</x:v>
      </x:c>
      <x:c r="I572" s="15" t="str">
        <x:v>Точный счётчик метаданных видео</x:v>
      </x:c>
      <x:c r="J572" s="14" t="n">
        <x:v>238000</x:v>
      </x:c>
      <x:c r="K572" s="14" t="n">
        <x:v>110000</x:v>
      </x:c>
      <x:c r="L572" s="12" t="n">
        <x:f>IF(COUNT(J572:K572)=2,IF(K572=0,"",J572/K572),"")</x:f>
        <x:v>2.1636363636363636</x:v>
      </x:c>
      <x:c r="M572" s="10" t="str">
        <x:v>Тема: זמן אמת עונה 9 | פרק 5 - החגיגה נגמרת: תחקיר על איש העסקים משה חוגג. Просмотры в списке выше медианы выборки этого цикла в 2.16 раза. Расследования привлекают любителей документального жанра и дают материал для критического чтения медиа.</x:v>
      </x:c>
      <x:c r="N572" s="10" t="str">
        <x:v>Разделить утверждение, источник, ответ стороны и вывод автора.</x:v>
      </x:c>
      <x:c r="O572" s="10" t="str">
        <x:v>Обвинения и чувствительные темы; проверять обновления и право ответа</x:v>
      </x:c>
      <x:c r="P572" s="10" t="str">
        <x:v>Самостоятельное видео</x:v>
      </x:c>
      <x:c r="Q572" s="9" t="str">
        <x:v>Нет</x:v>
      </x:c>
      <x:c r="R572" s="9" t="str">
        <x:v>C040</x:v>
      </x:c>
      <x:c r="S572" s="9" t="str">
        <x:v>C040</x:v>
      </x:c>
      <x:c r="T572" s="10" t="str">
        <x:v>כאן 11 - תאגיד השידור הישראלי</x:v>
      </x:c>
      <x:c r="U572" s="11" t="str">
        <x:v>https://www.youtube.com/watch?v=0soc7lXQiyA</x:v>
      </x:c>
      <x:c r="V572" s="16" t="n">
        <x:v>46308</x:v>
      </x:c>
      <x:c r="W572" s="16" t="n">
        <x:v>45798</x:v>
      </x:c>
      <x:c r="X572" s="10" t="str">
        <x:v>iw</x:v>
      </x:c>
      <x:c r="Y572" s="10" t="str">
        <x:v>Автоматическая дорожка HE по метаданным</x:v>
      </x:c>
      <x:c r="Z572" s="10" t="str">
        <x:v>Разрешено по метаданным</x:v>
      </x:c>
      <x:c r="AA572" s="10" t="str">
        <x:v>Метаданные видео; воспроизведение и содержание не проверены</x:v>
      </x:c>
      <x:c r="AB572" s="13" t="n">
        <x:f>IF(AND(ISNUMBER(H572),ISNUMBER(W572)),H572/MAX(1,'Обзор'!$B$4-W572),"")</x:f>
        <x:v>467.0529411764706</x:v>
      </x:c>
      <x:c r="AC572" s="17" t="str">
        <x:v>Не решено</x:v>
      </x:c>
      <x:c r="AD572" s="17" t="str">
        <x:v>Не проверено</x:v>
      </x:c>
      <x:c r="AE572" s="17" t="str">
        <x:v>Не проверено</x:v>
      </x:c>
      <x:c r="AF572" s="17" t="str">
        <x:v>Не проверено</x:v>
      </x:c>
      <x:c r="AG572" s="17" t="str">
        <x:v>Не решено</x:v>
      </x:c>
      <x:c r="AH572" s="17" t="str">
        <x:v>Не проверено</x:v>
      </x:c>
      <x:c r="AI572" s="10" t="str">
        <x:f>IF(AC572="Отклонить","Отклонено",IF(AND(AC572="Взять",COUNTIFS(AD572:AH572,"Да")=5),"Готово","Нужна редактура"))</x:f>
        <x:v>Нужна редактура</x:v>
      </x:c>
      <x:c r="AJ572" s="17" t="str"/>
      <x:c r="AK572" s="9" t="str">
        <x:v>https://www.youtube.com/playlist?list=PLLttfoK87AdXkzXkA2plDEOAN-1UCXGIV</x:v>
      </x:c>
      <x:c r="AL572" s="9" t="n">
        <x:v>8</x:v>
      </x:c>
      <x:c r="AM572" s="9" t="n">
        <x:v>5</x:v>
      </x:c>
      <x:c r="AN572" s="9" t="n">
        <x:v>0</x:v>
      </x:c>
    </x:row>
    <x:row r="573" ht="60" customHeight="1">
      <x:c r="A573" s="9" t="str">
        <x:v>hfnK7_o8iMw</x:v>
      </x:c>
      <x:c r="B573" s="10" t="str">
        <x:v>זמן אמת עונה 9 | פרק 6 - שטח פרוץ: מה עשו אהוד ברק ומפקד 8200 עם נשק אסטרטגי של מדינת ישראל?</x:v>
      </x:c>
      <x:c r="C573" s="10" t="str">
        <x:v>Журналистика и общество</x:v>
      </x:c>
      <x:c r="D573" s="9" t="str">
        <x:v>Общество</x:v>
      </x:c>
      <x:c r="E573" s="10" t="str">
        <x:v>Документалистика; расследования; продвинутые</x:v>
      </x:c>
      <x:c r="F573" s="10" t="str">
        <x:v>B2–C1 (гипотеза)</x:v>
      </x:c>
      <x:c r="G573" s="12" t="n">
        <x:v>60.7</x:v>
      </x:c>
      <x:c r="H573" s="14" t="n">
        <x:v>229898</x:v>
      </x:c>
      <x:c r="I573" s="15" t="str">
        <x:v>Точный счётчик метаданных видео</x:v>
      </x:c>
      <x:c r="J573" s="14" t="n">
        <x:v>229000</x:v>
      </x:c>
      <x:c r="K573" s="14" t="n">
        <x:v>110000</x:v>
      </x:c>
      <x:c r="L573" s="12" t="n">
        <x:f>IF(COUNT(J573:K573)=2,IF(K573=0,"",J573/K573),"")</x:f>
        <x:v>2.081818181818182</x:v>
      </x:c>
      <x:c r="M573" s="10" t="str">
        <x:v>Тема: זמן אמת עונה 9 | פרק 6 - שטח פרוץ: מה עשו אהוד ברק ומפקד 8200 עם נשק אסטרטגי של מדינת ישראל?. Просмотры в списке выше медианы выборки этого цикла в 2.08 раза. Расследования привлекают любителей документального жанра и дают материал для критического чтения медиа.</x:v>
      </x:c>
      <x:c r="N573" s="10" t="str">
        <x:v>Разделить утверждение, источник, ответ стороны и вывод автора.</x:v>
      </x:c>
      <x:c r="O573" s="10" t="str">
        <x:v>Обвинения и чувствительные темы; проверять обновления и право ответа</x:v>
      </x:c>
      <x:c r="P573" s="10" t="str">
        <x:v>Самостоятельное видео</x:v>
      </x:c>
      <x:c r="Q573" s="9" t="str">
        <x:v>Нет</x:v>
      </x:c>
      <x:c r="R573" s="9" t="str">
        <x:v>C040</x:v>
      </x:c>
      <x:c r="S573" s="9" t="str">
        <x:v>C040</x:v>
      </x:c>
      <x:c r="T573" s="10" t="str">
        <x:v>כאן 11 - תאגיד השידור הישראלי</x:v>
      </x:c>
      <x:c r="U573" s="11" t="str">
        <x:v>https://www.youtube.com/watch?v=hfnK7_o8iMw</x:v>
      </x:c>
      <x:c r="V573" s="16" t="n">
        <x:v>46308</x:v>
      </x:c>
      <x:c r="W573" s="16" t="n">
        <x:v>45812</x:v>
      </x:c>
      <x:c r="X573" s="10" t="str">
        <x:v>Иврит предполагается по заголовку и источнику</x:v>
      </x:c>
      <x:c r="Y573" s="10" t="str">
        <x:v>Автоматическая дорожка HE по метаданным</x:v>
      </x:c>
      <x:c r="Z573" s="10" t="str">
        <x:v>Разрешено по метаданным</x:v>
      </x:c>
      <x:c r="AA573" s="10" t="str">
        <x:v>Метаданные видео; воспроизведение и содержание не проверены</x:v>
      </x:c>
      <x:c r="AB573" s="13" t="n">
        <x:f>IF(AND(ISNUMBER(H573),ISNUMBER(W573)),H573/MAX(1,'Обзор'!$B$4-W573),"")</x:f>
        <x:v>463.5040322580645</x:v>
      </x:c>
      <x:c r="AC573" s="17" t="str">
        <x:v>Не решено</x:v>
      </x:c>
      <x:c r="AD573" s="17" t="str">
        <x:v>Не проверено</x:v>
      </x:c>
      <x:c r="AE573" s="17" t="str">
        <x:v>Не проверено</x:v>
      </x:c>
      <x:c r="AF573" s="17" t="str">
        <x:v>Не проверено</x:v>
      </x:c>
      <x:c r="AG573" s="17" t="str">
        <x:v>Не решено</x:v>
      </x:c>
      <x:c r="AH573" s="17" t="str">
        <x:v>Не проверено</x:v>
      </x:c>
      <x:c r="AI573" s="10" t="str">
        <x:f>IF(AC573="Отклонить","Отклонено",IF(AND(AC573="Взять",COUNTIFS(AD573:AH573,"Да")=5),"Готово","Нужна редактура"))</x:f>
        <x:v>Нужна редактура</x:v>
      </x:c>
      <x:c r="AJ573" s="17" t="str"/>
      <x:c r="AK573" s="9" t="str">
        <x:v>https://www.youtube.com/playlist?list=PLLttfoK87AdXkzXkA2plDEOAN-1UCXGIV</x:v>
      </x:c>
      <x:c r="AL573" s="9" t="n">
        <x:v>7</x:v>
      </x:c>
      <x:c r="AM573" s="9" t="n">
        <x:v>6</x:v>
      </x:c>
      <x:c r="AN573" s="9" t="n">
        <x:v>0</x:v>
      </x:c>
    </x:row>
    <x:row r="574" ht="60" customHeight="1">
      <x:c r="A574" s="9" t="str">
        <x:v>cLfsAjJO8no</x:v>
      </x:c>
      <x:c r="B574" s="10" t="str">
        <x:v>זמן אמת עונה 9 | פרק 7 - בר קופרשטיין מדבר</x:v>
      </x:c>
      <x:c r="C574" s="10" t="str">
        <x:v>Журналистика и общество</x:v>
      </x:c>
      <x:c r="D574" s="9" t="str">
        <x:v>Общество</x:v>
      </x:c>
      <x:c r="E574" s="10" t="str">
        <x:v>Документалистика; расследования; продвинутые</x:v>
      </x:c>
      <x:c r="F574" s="10" t="str">
        <x:v>B2–C1 (гипотеза)</x:v>
      </x:c>
      <x:c r="G574" s="12" t="n">
        <x:v>74.7</x:v>
      </x:c>
      <x:c r="H574" s="14" t="n">
        <x:v>129806</x:v>
      </x:c>
      <x:c r="I574" s="15" t="str">
        <x:v>Точный счётчик метаданных видео</x:v>
      </x:c>
      <x:c r="J574" s="14" t="n">
        <x:v>129000</x:v>
      </x:c>
      <x:c r="K574" s="14" t="n">
        <x:v>110000</x:v>
      </x:c>
      <x:c r="L574" s="12" t="n">
        <x:f>IF(COUNT(J574:K574)=2,IF(K574=0,"",J574/K574),"")</x:f>
        <x:v>1.1727272727272726</x:v>
      </x:c>
      <x:c r="M574" s="10" t="str">
        <x:v>Тема: זמן אמת עונה 9 | פרק 7 - בר קופרשטיין מדבר. Расследования привлекают любителей документального жанра и дают материал для критического чтения медиа.</x:v>
      </x:c>
      <x:c r="N574" s="10" t="str">
        <x:v>Разделить утверждение, источник, ответ стороны и вывод автора.</x:v>
      </x:c>
      <x:c r="O574" s="10" t="str">
        <x:v>Обвинения и чувствительные темы; проверять обновления и право ответа</x:v>
      </x:c>
      <x:c r="P574" s="10" t="str">
        <x:v>Самостоятельное видео</x:v>
      </x:c>
      <x:c r="Q574" s="9" t="str">
        <x:v>Нет</x:v>
      </x:c>
      <x:c r="R574" s="9" t="str">
        <x:v>C040</x:v>
      </x:c>
      <x:c r="S574" s="9" t="str">
        <x:v>C040</x:v>
      </x:c>
      <x:c r="T574" s="10" t="str">
        <x:v>כאן 11 - תאגיד השידור הישראלי</x:v>
      </x:c>
      <x:c r="U574" s="11" t="str">
        <x:v>https://www.youtube.com/watch?v=cLfsAjJO8no</x:v>
      </x:c>
      <x:c r="V574" s="16" t="n">
        <x:v>46308</x:v>
      </x:c>
      <x:c r="W574" s="16" t="n">
        <x:v>45958</x:v>
      </x:c>
      <x:c r="X574" s="10" t="str">
        <x:v>Иврит предполагается по заголовку и источнику</x:v>
      </x:c>
      <x:c r="Y574" s="10" t="str">
        <x:v>Автоматическая дорожка HE по метаданным</x:v>
      </x:c>
      <x:c r="Z574" s="10" t="str">
        <x:v>Разрешено по метаданным</x:v>
      </x:c>
      <x:c r="AA574" s="10" t="str">
        <x:v>Метаданные видео; воспроизведение и содержание не проверены</x:v>
      </x:c>
      <x:c r="AB574" s="13" t="n">
        <x:f>IF(AND(ISNUMBER(H574),ISNUMBER(W574)),H574/MAX(1,'Обзор'!$B$4-W574),"")</x:f>
        <x:v>370.8742857142857</x:v>
      </x:c>
      <x:c r="AC574" s="17" t="str">
        <x:v>Не решено</x:v>
      </x:c>
      <x:c r="AD574" s="17" t="str">
        <x:v>Не проверено</x:v>
      </x:c>
      <x:c r="AE574" s="17" t="str">
        <x:v>Не проверено</x:v>
      </x:c>
      <x:c r="AF574" s="17" t="str">
        <x:v>Не проверено</x:v>
      </x:c>
      <x:c r="AG574" s="17" t="str">
        <x:v>Не решено</x:v>
      </x:c>
      <x:c r="AH574" s="17" t="str">
        <x:v>Не проверено</x:v>
      </x:c>
      <x:c r="AI574" s="10" t="str">
        <x:f>IF(AC574="Отклонить","Отклонено",IF(AND(AC574="Взять",COUNTIFS(AD574:AH574,"Да")=5),"Готово","Нужна редактура"))</x:f>
        <x:v>Нужна редактура</x:v>
      </x:c>
      <x:c r="AJ574" s="17" t="str"/>
      <x:c r="AK574" s="9" t="str">
        <x:v>https://www.youtube.com/playlist?list=PLLttfoK87AdXkzXkA2plDEOAN-1UCXGIV</x:v>
      </x:c>
      <x:c r="AL574" s="9" t="n">
        <x:v>6</x:v>
      </x:c>
      <x:c r="AM574" s="9" t="n">
        <x:v>7</x:v>
      </x:c>
      <x:c r="AN574" s="9" t="n">
        <x:v>0</x:v>
      </x:c>
    </x:row>
    <x:row r="575" ht="60" customHeight="1">
      <x:c r="A575" s="9" t="str">
        <x:v>shQYVExPUQ4</x:v>
      </x:c>
      <x:c r="B575" s="10" t="str">
        <x:v>זמן אמת עונה 9 | פרק 8 - גרעין של אמת - האם באמת הצלחנו להביס את האיראנים?</x:v>
      </x:c>
      <x:c r="C575" s="10" t="str">
        <x:v>Журналистика и общество</x:v>
      </x:c>
      <x:c r="D575" s="9" t="str">
        <x:v>Общество</x:v>
      </x:c>
      <x:c r="E575" s="10" t="str">
        <x:v>Документалистика; расследования; продвинутые</x:v>
      </x:c>
      <x:c r="F575" s="10" t="str">
        <x:v>B2–C1 (гипотеза)</x:v>
      </x:c>
      <x:c r="G575" s="12" t="n">
        <x:v>65.4</x:v>
      </x:c>
      <x:c r="H575" s="14" t="n">
        <x:v>127391</x:v>
      </x:c>
      <x:c r="I575" s="15" t="str">
        <x:v>Точный счётчик метаданных видео</x:v>
      </x:c>
      <x:c r="J575" s="14" t="n">
        <x:v>127000</x:v>
      </x:c>
      <x:c r="K575" s="14" t="n">
        <x:v>110000</x:v>
      </x:c>
      <x:c r="L575" s="12" t="n">
        <x:f>IF(COUNT(J575:K575)=2,IF(K575=0,"",J575/K575),"")</x:f>
        <x:v>1.1545454545454545</x:v>
      </x:c>
      <x:c r="M575" s="10" t="str">
        <x:v>Тема: זמן אמת עונה 9 | פרק 8 - גרעין של אמת - האם באמת הצלחנו להביס את האיראנים?. Расследования привлекают любителей документального жанра и дают материал для критического чтения медиа.</x:v>
      </x:c>
      <x:c r="N575" s="10" t="str">
        <x:v>Разделить утверждение, источник, ответ стороны и вывод автора.</x:v>
      </x:c>
      <x:c r="O575" s="10" t="str">
        <x:v>Обвинения и чувствительные темы; проверять обновления и право ответа</x:v>
      </x:c>
      <x:c r="P575" s="10" t="str">
        <x:v>Самостоятельное видео</x:v>
      </x:c>
      <x:c r="Q575" s="9" t="str">
        <x:v>Нет</x:v>
      </x:c>
      <x:c r="R575" s="9" t="str">
        <x:v>C040</x:v>
      </x:c>
      <x:c r="S575" s="9" t="str">
        <x:v>C040</x:v>
      </x:c>
      <x:c r="T575" s="10" t="str">
        <x:v>כאן 11 - תאגיד השידור הישראלי</x:v>
      </x:c>
      <x:c r="U575" s="11" t="str">
        <x:v>https://www.youtube.com/watch?v=shQYVExPUQ4</x:v>
      </x:c>
      <x:c r="V575" s="16" t="n">
        <x:v>46308</x:v>
      </x:c>
      <x:c r="W575" s="16" t="n">
        <x:v>45985</x:v>
      </x:c>
      <x:c r="X575" s="10" t="str">
        <x:v>Иврит предполагается по заголовку и источнику</x:v>
      </x:c>
      <x:c r="Y575" s="10" t="str">
        <x:v>Автоматическая дорожка HE по метаданным</x:v>
      </x:c>
      <x:c r="Z575" s="10" t="str">
        <x:v>Разрешено по метаданным</x:v>
      </x:c>
      <x:c r="AA575" s="10" t="str">
        <x:v>Метаданные видео; воспроизведение и содержание не проверены</x:v>
      </x:c>
      <x:c r="AB575" s="13" t="n">
        <x:f>IF(AND(ISNUMBER(H575),ISNUMBER(W575)),H575/MAX(1,'Обзор'!$B$4-W575),"")</x:f>
        <x:v>394.3993808049536</x:v>
      </x:c>
      <x:c r="AC575" s="17" t="str">
        <x:v>Не решено</x:v>
      </x:c>
      <x:c r="AD575" s="17" t="str">
        <x:v>Не проверено</x:v>
      </x:c>
      <x:c r="AE575" s="17" t="str">
        <x:v>Не проверено</x:v>
      </x:c>
      <x:c r="AF575" s="17" t="str">
        <x:v>Не проверено</x:v>
      </x:c>
      <x:c r="AG575" s="17" t="str">
        <x:v>Не решено</x:v>
      </x:c>
      <x:c r="AH575" s="17" t="str">
        <x:v>Не проверено</x:v>
      </x:c>
      <x:c r="AI575" s="10" t="str">
        <x:f>IF(AC575="Отклонить","Отклонено",IF(AND(AC575="Взять",COUNTIFS(AD575:AH575,"Да")=5),"Готово","Нужна редактура"))</x:f>
        <x:v>Нужна редактура</x:v>
      </x:c>
      <x:c r="AJ575" s="17" t="str"/>
      <x:c r="AK575" s="9" t="str">
        <x:v>https://www.youtube.com/playlist?list=PLLttfoK87AdXkzXkA2plDEOAN-1UCXGIV</x:v>
      </x:c>
      <x:c r="AL575" s="9" t="n">
        <x:v>5</x:v>
      </x:c>
      <x:c r="AM575" s="9" t="n">
        <x:v>8</x:v>
      </x:c>
      <x:c r="AN575" s="9" t="n">
        <x:v>0</x:v>
      </x:c>
    </x:row>
    <x:row r="576" ht="60" customHeight="1">
      <x:c r="A576" s="9" t="str">
        <x:v>RtIGX1B2MIw</x:v>
      </x:c>
      <x:c r="B576" s="10" t="str">
        <x:v>זמן אמת עונה 9 | פרק 9 - התחקיר שלא היה: השאלות הקשות על תפקוד צמרת המשטרה ב-7.10</x:v>
      </x:c>
      <x:c r="C576" s="10" t="str">
        <x:v>Журналистика и общество</x:v>
      </x:c>
      <x:c r="D576" s="9" t="str">
        <x:v>Общество</x:v>
      </x:c>
      <x:c r="E576" s="10" t="str">
        <x:v>Документалистика; расследования; продвинутые</x:v>
      </x:c>
      <x:c r="F576" s="10" t="str">
        <x:v>B2–C1 (гипотеза)</x:v>
      </x:c>
      <x:c r="G576" s="12" t="n">
        <x:v>68.2</x:v>
      </x:c>
      <x:c r="H576" s="14" t="n">
        <x:v>50000</x:v>
      </x:c>
      <x:c r="I576" s="15" t="str">
        <x:v>Округлённый счётчик в списке YouTube</x:v>
      </x:c>
      <x:c r="J576" s="14" t="n">
        <x:v>50000</x:v>
      </x:c>
      <x:c r="K576" s="14" t="n">
        <x:v>110000</x:v>
      </x:c>
      <x:c r="L576" s="12" t="n">
        <x:f>IF(COUNT(J576:K576)=2,IF(K576=0,"",J576/K576),"")</x:f>
        <x:v>0.45454545454545453</x:v>
      </x:c>
      <x:c r="M576" s="10" t="str">
        <x:v>Тема: זמן אמת עונה 9 | פרק 9 - התחקיר שלא היה: השאלות הקשות על תפקוד צמרת המשטרה ב-7.10. Просмотры ниже медианы цикла; выбирать за нишевую ценность, а не за массовый охват. Расследования привлекают любителей документального жанра и дают материал для критического чтения медиа.</x:v>
      </x:c>
      <x:c r="N576" s="10" t="str">
        <x:v>Разделить утверждение, источник, ответ стороны и вывод автора.</x:v>
      </x:c>
      <x:c r="O576" s="10" t="str">
        <x:v>Обвинения и чувствительные темы; проверять обновления и право ответа</x:v>
      </x:c>
      <x:c r="P576" s="10" t="str">
        <x:v>Самостоятельное видео</x:v>
      </x:c>
      <x:c r="Q576" s="9" t="str">
        <x:v>Нет</x:v>
      </x:c>
      <x:c r="R576" s="9" t="str">
        <x:v>C040</x:v>
      </x:c>
      <x:c r="S576" s="9" t="str">
        <x:v>C040</x:v>
      </x:c>
      <x:c r="T576" s="10" t="str">
        <x:v>כאן 11 - תאגיד השידור הישראלי</x:v>
      </x:c>
      <x:c r="U576" s="11" t="str">
        <x:v>https://www.youtube.com/watch?v=RtIGX1B2MIw</x:v>
      </x:c>
      <x:c r="V576" s="16" t="n">
        <x:v>46308</x:v>
      </x:c>
      <x:c r="W576" s="16"/>
      <x:c r="X576" s="10" t="str">
        <x:v>Иврит предполагается по заголовку и источнику</x:v>
      </x:c>
      <x:c r="Y576" s="10" t="str">
        <x:v>Не проверено</x:v>
      </x:c>
      <x:c r="Z576" s="10" t="str">
        <x:v>Не проверено</x:v>
      </x:c>
      <x:c r="AA576" s="10" t="str">
        <x:v>Метаданные списка; видео не просмотрено</x:v>
      </x:c>
      <x:c r="AB576" s="13" t="str">
        <x:f>IF(AND(ISNUMBER(H576),ISNUMBER(W576)),H576/MAX(1,'Обзор'!$B$4-W576),"")</x:f>
      </x:c>
      <x:c r="AC576" s="17" t="str">
        <x:v>Не решено</x:v>
      </x:c>
      <x:c r="AD576" s="17" t="str">
        <x:v>Не проверено</x:v>
      </x:c>
      <x:c r="AE576" s="17" t="str">
        <x:v>Не проверено</x:v>
      </x:c>
      <x:c r="AF576" s="17" t="str">
        <x:v>Не проверено</x:v>
      </x:c>
      <x:c r="AG576" s="17" t="str">
        <x:v>Не решено</x:v>
      </x:c>
      <x:c r="AH576" s="17" t="str">
        <x:v>Не проверено</x:v>
      </x:c>
      <x:c r="AI576" s="10" t="str">
        <x:f>IF(AC576="Отклонить","Отклонено",IF(AND(AC576="Взять",COUNTIFS(AD576:AH576,"Да")=5),"Готово","Нужна редактура"))</x:f>
        <x:v>Нужна редактура</x:v>
      </x:c>
      <x:c r="AJ576" s="17" t="str"/>
      <x:c r="AK576" s="9" t="str">
        <x:v>https://www.youtube.com/playlist?list=PLLttfoK87AdXkzXkA2plDEOAN-1UCXGIV</x:v>
      </x:c>
      <x:c r="AL576" s="9" t="n">
        <x:v>4</x:v>
      </x:c>
      <x:c r="AM576" s="9" t="n">
        <x:v>9</x:v>
      </x:c>
      <x:c r="AN576" s="9"/>
    </x:row>
    <x:row r="577" ht="60" customHeight="1">
      <x:c r="A577" s="9" t="str">
        <x:v>KyTNosEW4SE</x:v>
      </x:c>
      <x:c r="B577" s="10" t="str">
        <x:v>זמן אמת עונה 9 | פרק 10 - בעלי הבית - איך הצליחו שרי הימין לחולל מהפכה ביהודה ושומרון?</x:v>
      </x:c>
      <x:c r="C577" s="10" t="str">
        <x:v>Журналистика и общество</x:v>
      </x:c>
      <x:c r="D577" s="9" t="str">
        <x:v>Общество</x:v>
      </x:c>
      <x:c r="E577" s="10" t="str">
        <x:v>Документалистика; расследования; продвинутые</x:v>
      </x:c>
      <x:c r="F577" s="10" t="str">
        <x:v>B2–C1 (гипотеза)</x:v>
      </x:c>
      <x:c r="G577" s="12" t="n">
        <x:v>68.5</x:v>
      </x:c>
      <x:c r="H577" s="14" t="n">
        <x:v>57000</x:v>
      </x:c>
      <x:c r="I577" s="15" t="str">
        <x:v>Округлённый счётчик в списке YouTube</x:v>
      </x:c>
      <x:c r="J577" s="14" t="n">
        <x:v>57000</x:v>
      </x:c>
      <x:c r="K577" s="14" t="n">
        <x:v>110000</x:v>
      </x:c>
      <x:c r="L577" s="12" t="n">
        <x:f>IF(COUNT(J577:K577)=2,IF(K577=0,"",J577/K577),"")</x:f>
        <x:v>0.5181818181818182</x:v>
      </x:c>
      <x:c r="M577" s="10" t="str">
        <x:v>Тема: זמן אמת עונה 9 | פרק 10 - בעלי הבית - איך הצליחו שרי הימין לחולל מהפכה ביהודה ושומרון?. Расследования привлекают любителей документального жанра и дают материал для критического чтения медиа.</x:v>
      </x:c>
      <x:c r="N577" s="10" t="str">
        <x:v>Разделить утверждение, источник, ответ стороны и вывод автора.</x:v>
      </x:c>
      <x:c r="O577" s="10" t="str">
        <x:v>Обвинения и чувствительные темы; проверять обновления и право ответа</x:v>
      </x:c>
      <x:c r="P577" s="10" t="str">
        <x:v>Самостоятельное видео</x:v>
      </x:c>
      <x:c r="Q577" s="9" t="str">
        <x:v>Нет</x:v>
      </x:c>
      <x:c r="R577" s="9" t="str">
        <x:v>C040</x:v>
      </x:c>
      <x:c r="S577" s="9" t="str">
        <x:v>C040</x:v>
      </x:c>
      <x:c r="T577" s="10" t="str">
        <x:v>כאן 11 - תאגיד השידור הישראלי</x:v>
      </x:c>
      <x:c r="U577" s="11" t="str">
        <x:v>https://www.youtube.com/watch?v=KyTNosEW4SE</x:v>
      </x:c>
      <x:c r="V577" s="16" t="n">
        <x:v>46308</x:v>
      </x:c>
      <x:c r="W577" s="16"/>
      <x:c r="X577" s="10" t="str">
        <x:v>Иврит предполагается по заголовку и источнику</x:v>
      </x:c>
      <x:c r="Y577" s="10" t="str">
        <x:v>Не проверено</x:v>
      </x:c>
      <x:c r="Z577" s="10" t="str">
        <x:v>Не проверено</x:v>
      </x:c>
      <x:c r="AA577" s="10" t="str">
        <x:v>Метаданные списка; видео не просмотрено</x:v>
      </x:c>
      <x:c r="AB577" s="13" t="str">
        <x:f>IF(AND(ISNUMBER(H577),ISNUMBER(W577)),H577/MAX(1,'Обзор'!$B$4-W577),"")</x:f>
      </x:c>
      <x:c r="AC577" s="17" t="str">
        <x:v>Не решено</x:v>
      </x:c>
      <x:c r="AD577" s="17" t="str">
        <x:v>Не проверено</x:v>
      </x:c>
      <x:c r="AE577" s="17" t="str">
        <x:v>Не проверено</x:v>
      </x:c>
      <x:c r="AF577" s="17" t="str">
        <x:v>Не проверено</x:v>
      </x:c>
      <x:c r="AG577" s="17" t="str">
        <x:v>Не решено</x:v>
      </x:c>
      <x:c r="AH577" s="17" t="str">
        <x:v>Не проверено</x:v>
      </x:c>
      <x:c r="AI577" s="10" t="str">
        <x:f>IF(AC577="Отклонить","Отклонено",IF(AND(AC577="Взять",COUNTIFS(AD577:AH577,"Да")=5),"Готово","Нужна редактура"))</x:f>
        <x:v>Нужна редактура</x:v>
      </x:c>
      <x:c r="AJ577" s="17" t="str"/>
      <x:c r="AK577" s="9" t="str">
        <x:v>https://www.youtube.com/playlist?list=PLLttfoK87AdXkzXkA2plDEOAN-1UCXGIV</x:v>
      </x:c>
      <x:c r="AL577" s="9" t="n">
        <x:v>3</x:v>
      </x:c>
      <x:c r="AM577" s="9" t="n">
        <x:v>10</x:v>
      </x:c>
      <x:c r="AN577" s="9"/>
    </x:row>
    <x:row r="578" ht="60" customHeight="1">
      <x:c r="A578" s="9" t="str">
        <x:v>DVAtGPfDHnY</x:v>
      </x:c>
      <x:c r="B578" s="10" t="str">
        <x:v>זמן אמת עונה 9 | פרק 11 - המחדל שנשטף - חשיפת התחקיר המשטרתי על השיטפון שבו נהרגו מעיין וסהר עשור</x:v>
      </x:c>
      <x:c r="C578" s="10" t="str">
        <x:v>Журналистика и общество</x:v>
      </x:c>
      <x:c r="D578" s="9" t="str">
        <x:v>Общество</x:v>
      </x:c>
      <x:c r="E578" s="10" t="str">
        <x:v>Документалистика; расследования; продвинутые</x:v>
      </x:c>
      <x:c r="F578" s="10" t="str">
        <x:v>B2–C1 (гипотеза)</x:v>
      </x:c>
      <x:c r="G578" s="12" t="n">
        <x:v>59.4</x:v>
      </x:c>
      <x:c r="H578" s="14" t="n">
        <x:v>67000</x:v>
      </x:c>
      <x:c r="I578" s="15" t="str">
        <x:v>Округлённый счётчик в списке YouTube</x:v>
      </x:c>
      <x:c r="J578" s="14" t="n">
        <x:v>67000</x:v>
      </x:c>
      <x:c r="K578" s="14" t="n">
        <x:v>110000</x:v>
      </x:c>
      <x:c r="L578" s="12" t="n">
        <x:f>IF(COUNT(J578:K578)=2,IF(K578=0,"",J578/K578),"")</x:f>
        <x:v>0.6090909090909091</x:v>
      </x:c>
      <x:c r="M578" s="10" t="str">
        <x:v>Тема: זמן אמת עונה 9 | פרק 11 - המחדל שנשטף - חשיפת התחקיר המשטרתי על השיטפון שבו נהרגו מעיין וסהר עשור. Расследования привлекают любителей документального жанра и дают материал для критического чтения медиа.</x:v>
      </x:c>
      <x:c r="N578" s="10" t="str">
        <x:v>Разделить утверждение, источник, ответ стороны и вывод автора.</x:v>
      </x:c>
      <x:c r="O578" s="10" t="str">
        <x:v>Обвинения и чувствительные темы; проверять обновления и право ответа</x:v>
      </x:c>
      <x:c r="P578" s="10" t="str">
        <x:v>Самостоятельное видео</x:v>
      </x:c>
      <x:c r="Q578" s="9" t="str">
        <x:v>Нет</x:v>
      </x:c>
      <x:c r="R578" s="9" t="str">
        <x:v>C040</x:v>
      </x:c>
      <x:c r="S578" s="9" t="str">
        <x:v>C040</x:v>
      </x:c>
      <x:c r="T578" s="10" t="str">
        <x:v>כאן 11 - תאגיד השידור הישראלי</x:v>
      </x:c>
      <x:c r="U578" s="11" t="str">
        <x:v>https://www.youtube.com/watch?v=DVAtGPfDHnY</x:v>
      </x:c>
      <x:c r="V578" s="16" t="n">
        <x:v>46308</x:v>
      </x:c>
      <x:c r="W578" s="16"/>
      <x:c r="X578" s="10" t="str">
        <x:v>Иврит предполагается по заголовку и источнику</x:v>
      </x:c>
      <x:c r="Y578" s="10" t="str">
        <x:v>Не проверено</x:v>
      </x:c>
      <x:c r="Z578" s="10" t="str">
        <x:v>Не проверено</x:v>
      </x:c>
      <x:c r="AA578" s="10" t="str">
        <x:v>Метаданные списка; видео не просмотрено</x:v>
      </x:c>
      <x:c r="AB578" s="13" t="str">
        <x:f>IF(AND(ISNUMBER(H578),ISNUMBER(W578)),H578/MAX(1,'Обзор'!$B$4-W578),"")</x:f>
      </x:c>
      <x:c r="AC578" s="17" t="str">
        <x:v>Не решено</x:v>
      </x:c>
      <x:c r="AD578" s="17" t="str">
        <x:v>Не проверено</x:v>
      </x:c>
      <x:c r="AE578" s="17" t="str">
        <x:v>Не проверено</x:v>
      </x:c>
      <x:c r="AF578" s="17" t="str">
        <x:v>Не проверено</x:v>
      </x:c>
      <x:c r="AG578" s="17" t="str">
        <x:v>Не решено</x:v>
      </x:c>
      <x:c r="AH578" s="17" t="str">
        <x:v>Не проверено</x:v>
      </x:c>
      <x:c r="AI578" s="10" t="str">
        <x:f>IF(AC578="Отклонить","Отклонено",IF(AND(AC578="Взять",COUNTIFS(AD578:AH578,"Да")=5),"Готово","Нужна редактура"))</x:f>
        <x:v>Нужна редактура</x:v>
      </x:c>
      <x:c r="AJ578" s="17" t="str"/>
      <x:c r="AK578" s="9" t="str">
        <x:v>https://www.youtube.com/playlist?list=PLLttfoK87AdXkzXkA2plDEOAN-1UCXGIV</x:v>
      </x:c>
      <x:c r="AL578" s="9" t="n">
        <x:v>2</x:v>
      </x:c>
      <x:c r="AM578" s="9" t="n">
        <x:v>11</x:v>
      </x:c>
      <x:c r="AN578" s="9"/>
    </x:row>
    <x:row r="579" ht="60" customHeight="1">
      <x:c r="A579" s="9" t="str">
        <x:v>gWekqT2tW2Q</x:v>
      </x:c>
      <x:c r="B579" s="10" t="str">
        <x:v>זמן אמת עונה 9 | פרק 12 ואחרון לעונה - משני תודעה - איך הצליח רה"מ להתאושש פוליטית מהשבעה באוקטובר?</x:v>
      </x:c>
      <x:c r="C579" s="10" t="str">
        <x:v>Журналистика и общество</x:v>
      </x:c>
      <x:c r="D579" s="9" t="str">
        <x:v>Общество</x:v>
      </x:c>
      <x:c r="E579" s="10" t="str">
        <x:v>Документалистика; расследования; продвинутые</x:v>
      </x:c>
      <x:c r="F579" s="10" t="str">
        <x:v>B2–C1 (гипотеза)</x:v>
      </x:c>
      <x:c r="G579" s="12" t="n">
        <x:v>73.3</x:v>
      </x:c>
      <x:c r="H579" s="14" t="n">
        <x:v>73000</x:v>
      </x:c>
      <x:c r="I579" s="15" t="str">
        <x:v>Округлённый счётчик в списке YouTube</x:v>
      </x:c>
      <x:c r="J579" s="14" t="n">
        <x:v>73000</x:v>
      </x:c>
      <x:c r="K579" s="14" t="n">
        <x:v>110000</x:v>
      </x:c>
      <x:c r="L579" s="12" t="n">
        <x:f>IF(COUNT(J579:K579)=2,IF(K579=0,"",J579/K579),"")</x:f>
        <x:v>0.6636363636363637</x:v>
      </x:c>
      <x:c r="M579" s="10" t="str">
        <x:v>Тема: זמן אמת עונה 9 | פרק 12 ואחרון לעונה - משני תודעה - איך הצליח רה"מ להתאושש פוליטית מהשבעה באוקטובר?. Расследования привлекают любителей документального жанра и дают материал для критического чтения медиа.</x:v>
      </x:c>
      <x:c r="N579" s="10" t="str">
        <x:v>Разделить утверждение, источник, ответ стороны и вывод автора.</x:v>
      </x:c>
      <x:c r="O579" s="10" t="str">
        <x:v>Обвинения и чувствительные темы; проверять обновления и право ответа</x:v>
      </x:c>
      <x:c r="P579" s="10" t="str">
        <x:v>Самостоятельное видео</x:v>
      </x:c>
      <x:c r="Q579" s="9" t="str">
        <x:v>Нет</x:v>
      </x:c>
      <x:c r="R579" s="9" t="str">
        <x:v>C040</x:v>
      </x:c>
      <x:c r="S579" s="9" t="str">
        <x:v>C040</x:v>
      </x:c>
      <x:c r="T579" s="10" t="str">
        <x:v>כאן 11 - תאגיד השידור הישראלי</x:v>
      </x:c>
      <x:c r="U579" s="11" t="str">
        <x:v>https://www.youtube.com/watch?v=gWekqT2tW2Q</x:v>
      </x:c>
      <x:c r="V579" s="16" t="n">
        <x:v>46308</x:v>
      </x:c>
      <x:c r="W579" s="16"/>
      <x:c r="X579" s="10" t="str">
        <x:v>Иврит предполагается по заголовку и источнику</x:v>
      </x:c>
      <x:c r="Y579" s="10" t="str">
        <x:v>Не проверено</x:v>
      </x:c>
      <x:c r="Z579" s="10" t="str">
        <x:v>Не проверено</x:v>
      </x:c>
      <x:c r="AA579" s="10" t="str">
        <x:v>Метаданные списка; видео не просмотрено</x:v>
      </x:c>
      <x:c r="AB579" s="13" t="str">
        <x:f>IF(AND(ISNUMBER(H579),ISNUMBER(W579)),H579/MAX(1,'Обзор'!$B$4-W579),"")</x:f>
      </x:c>
      <x:c r="AC579" s="17" t="str">
        <x:v>Не решено</x:v>
      </x:c>
      <x:c r="AD579" s="17" t="str">
        <x:v>Не проверено</x:v>
      </x:c>
      <x:c r="AE579" s="17" t="str">
        <x:v>Не проверено</x:v>
      </x:c>
      <x:c r="AF579" s="17" t="str">
        <x:v>Не проверено</x:v>
      </x:c>
      <x:c r="AG579" s="17" t="str">
        <x:v>Не решено</x:v>
      </x:c>
      <x:c r="AH579" s="17" t="str">
        <x:v>Не проверено</x:v>
      </x:c>
      <x:c r="AI579" s="10" t="str">
        <x:f>IF(AC579="Отклонить","Отклонено",IF(AND(AC579="Взять",COUNTIFS(AD579:AH579,"Да")=5),"Готово","Нужна редактура"))</x:f>
        <x:v>Нужна редактура</x:v>
      </x:c>
      <x:c r="AJ579" s="17" t="str"/>
      <x:c r="AK579" s="9" t="str">
        <x:v>https://www.youtube.com/playlist?list=PLLttfoK87AdXkzXkA2plDEOAN-1UCXGIV</x:v>
      </x:c>
      <x:c r="AL579" s="9" t="n">
        <x:v>1</x:v>
      </x:c>
      <x:c r="AM579" s="9" t="n">
        <x:v>12</x:v>
      </x:c>
      <x:c r="AN579" s="9"/>
    </x:row>
    <x:row r="580" ht="60" customHeight="1">
      <x:c r="A580" s="9" t="str">
        <x:v>VBNxvU5hw0w</x:v>
      </x:c>
      <x:c r="B580" s="10" t="str">
        <x:v>סדרה תיעודית חדשה | כפר עזה - 95% גן עדן | פרק 1 - חורבן</x:v>
      </x:c>
      <x:c r="C580" s="10" t="str">
        <x:v>7 октября и память</x:v>
      </x:c>
      <x:c r="D580" s="9" t="str">
        <x:v>Память</x:v>
      </x:c>
      <x:c r="E580" s="10" t="str">
        <x:v>Память; история; взрослые</x:v>
      </x:c>
      <x:c r="F580" s="10" t="str">
        <x:v>B2–C1 (гипотеза)</x:v>
      </x:c>
      <x:c r="G580" s="12" t="n">
        <x:v>47.1</x:v>
      </x:c>
      <x:c r="H580" s="14" t="n">
        <x:v>117000</x:v>
      </x:c>
      <x:c r="I580" s="15" t="str">
        <x:v>Округлённый счётчик в списке YouTube</x:v>
      </x:c>
      <x:c r="J580" s="14" t="n">
        <x:v>117000</x:v>
      </x:c>
      <x:c r="K580" s="14"/>
      <x:c r="L580" s="12" t="str">
        <x:f>IF(COUNT(J580:K580)=2,IF(K580=0,"",J580/K580),"")</x:f>
      </x:c>
      <x:c r="M580" s="10" t="str">
        <x:v>Тема: סדרה תיעודית חדשה | כפר עזה - 95% גן עדן | פרק 1 - חורבן. История конкретного сообщества сохраняет человеческий масштаб трагедии.</x:v>
      </x:c>
      <x:c r="N580" s="10" t="str">
        <x:v>Короткий добровольный фрагмент: хронология и бережный пересказ без проверки памяти на травматических деталях.</x:v>
      </x:c>
      <x:c r="O580" s="10" t="str">
        <x:v>Тяжёлая травма, гибель людей; предупреждение и добровольный выбор</x:v>
      </x:c>
      <x:c r="P580" s="10" t="str">
        <x:v>Самостоятельное видео</x:v>
      </x:c>
      <x:c r="Q580" s="9" t="str">
        <x:v>Да</x:v>
      </x:c>
      <x:c r="R580" s="9" t="str">
        <x:v>C041</x:v>
      </x:c>
      <x:c r="S580" s="9" t="str">
        <x:v>C041</x:v>
      </x:c>
      <x:c r="T580" s="10" t="str">
        <x:v>כאן 11 - תאגיד השידור הישראלי</x:v>
      </x:c>
      <x:c r="U580" s="11" t="str">
        <x:v>https://www.youtube.com/watch?v=VBNxvU5hw0w</x:v>
      </x:c>
      <x:c r="V580" s="16" t="n">
        <x:v>46308</x:v>
      </x:c>
      <x:c r="W580" s="16"/>
      <x:c r="X580" s="10" t="str">
        <x:v>Иврит предполагается по заголовку и источнику</x:v>
      </x:c>
      <x:c r="Y580" s="10" t="str">
        <x:v>Не проверено</x:v>
      </x:c>
      <x:c r="Z580" s="10" t="str">
        <x:v>Не проверено</x:v>
      </x:c>
      <x:c r="AA580" s="10" t="str">
        <x:v>Метаданные списка; видео не просмотрено</x:v>
      </x:c>
      <x:c r="AB580" s="13" t="str">
        <x:f>IF(AND(ISNUMBER(H580),ISNUMBER(W580)),H580/MAX(1,'Обзор'!$B$4-W580),"")</x:f>
      </x:c>
      <x:c r="AC580" s="17" t="str">
        <x:v>Не решено</x:v>
      </x:c>
      <x:c r="AD580" s="17" t="str">
        <x:v>Не проверено</x:v>
      </x:c>
      <x:c r="AE580" s="17" t="str">
        <x:v>Не проверено</x:v>
      </x:c>
      <x:c r="AF580" s="17" t="str">
        <x:v>Не проверено</x:v>
      </x:c>
      <x:c r="AG580" s="17" t="str">
        <x:v>Не решено</x:v>
      </x:c>
      <x:c r="AH580" s="17" t="str">
        <x:v>Не проверено</x:v>
      </x:c>
      <x:c r="AI580" s="10" t="str">
        <x:f>IF(AC580="Отклонить","Отклонено",IF(AND(AC580="Взять",COUNTIFS(AD580:AH580,"Да")=5),"Готово","Нужна редактура"))</x:f>
        <x:v>Нужна редактура</x:v>
      </x:c>
      <x:c r="AJ580" s="17" t="str"/>
      <x:c r="AK580" s="9" t="str">
        <x:v>https://www.youtube.com/playlist?list=PLLttfoK87AdU097JIwS6F47lOusOzOzKw</x:v>
      </x:c>
      <x:c r="AL580" s="9" t="n">
        <x:v>1</x:v>
      </x:c>
      <x:c r="AM580" s="9" t="n">
        <x:v>1</x:v>
      </x:c>
      <x:c r="AN580" s="9"/>
    </x:row>
    <x:row r="581" ht="60" customHeight="1">
      <x:c r="A581" s="9" t="str">
        <x:v>XW4PDlJ7-K8</x:v>
      </x:c>
      <x:c r="B581" s="10" t="str">
        <x:v>כפר עזה - 95% גן עדן | פרק 2 - עת לקום</x:v>
      </x:c>
      <x:c r="C581" s="10" t="str">
        <x:v>7 октября и память</x:v>
      </x:c>
      <x:c r="D581" s="9" t="str">
        <x:v>Память</x:v>
      </x:c>
      <x:c r="E581" s="10" t="str">
        <x:v>Память; история; взрослые</x:v>
      </x:c>
      <x:c r="F581" s="10" t="str">
        <x:v>B2–C1 (гипотеза)</x:v>
      </x:c>
      <x:c r="G581" s="12" t="n">
        <x:v>56.4</x:v>
      </x:c>
      <x:c r="H581" s="14" t="n">
        <x:v>21648</x:v>
      </x:c>
      <x:c r="I581" s="15" t="str">
        <x:v>Точный счётчик метаданных видео</x:v>
      </x:c>
      <x:c r="J581" s="14" t="n">
        <x:v>21000</x:v>
      </x:c>
      <x:c r="K581" s="14"/>
      <x:c r="L581" s="12" t="str">
        <x:f>IF(COUNT(J581:K581)=2,IF(K581=0,"",J581/K581),"")</x:f>
      </x:c>
      <x:c r="M581" s="10" t="str">
        <x:v>Тема: כפר עזה - 95% גן עדן | פרק 2 - עת לקום. История конкретного сообщества сохраняет человеческий масштаб трагедии.</x:v>
      </x:c>
      <x:c r="N581" s="10" t="str">
        <x:v>Короткий добровольный фрагмент: хронология и бережный пересказ без проверки памяти на травматических деталях.</x:v>
      </x:c>
      <x:c r="O581" s="10" t="str">
        <x:v>Тяжёлая травма, гибель людей; предупреждение и добровольный выбор</x:v>
      </x:c>
      <x:c r="P581" s="10" t="str">
        <x:v>Самостоятельное видео</x:v>
      </x:c>
      <x:c r="Q581" s="9" t="str">
        <x:v>Нет</x:v>
      </x:c>
      <x:c r="R581" s="9" t="str">
        <x:v>C041</x:v>
      </x:c>
      <x:c r="S581" s="9" t="str">
        <x:v>C041</x:v>
      </x:c>
      <x:c r="T581" s="10" t="str">
        <x:v>כאן 11 - תאגיד השידור הישראלי</x:v>
      </x:c>
      <x:c r="U581" s="11" t="str">
        <x:v>https://www.youtube.com/watch?v=XW4PDlJ7-K8</x:v>
      </x:c>
      <x:c r="V581" s="16" t="n">
        <x:v>46308</x:v>
      </x:c>
      <x:c r="W581" s="16" t="n">
        <x:v>45946</x:v>
      </x:c>
      <x:c r="X581" s="10" t="str">
        <x:v>Иврит предполагается по заголовку и источнику</x:v>
      </x:c>
      <x:c r="Y581" s="10" t="str">
        <x:v>Автоматическая дорожка HE по метаданным</x:v>
      </x:c>
      <x:c r="Z581" s="10" t="str">
        <x:v>Разрешено по метаданным</x:v>
      </x:c>
      <x:c r="AA581" s="10" t="str">
        <x:v>Метаданные видео; воспроизведение и содержание не проверены</x:v>
      </x:c>
      <x:c r="AB581" s="13" t="n">
        <x:f>IF(AND(ISNUMBER(H581),ISNUMBER(W581)),H581/MAX(1,'Обзор'!$B$4-W581),"")</x:f>
        <x:v>59.80110497237569</x:v>
      </x:c>
      <x:c r="AC581" s="17" t="str">
        <x:v>Не решено</x:v>
      </x:c>
      <x:c r="AD581" s="17" t="str">
        <x:v>Не проверено</x:v>
      </x:c>
      <x:c r="AE581" s="17" t="str">
        <x:v>Не проверено</x:v>
      </x:c>
      <x:c r="AF581" s="17" t="str">
        <x:v>Не проверено</x:v>
      </x:c>
      <x:c r="AG581" s="17" t="str">
        <x:v>Не решено</x:v>
      </x:c>
      <x:c r="AH581" s="17" t="str">
        <x:v>Не проверено</x:v>
      </x:c>
      <x:c r="AI581" s="10" t="str">
        <x:f>IF(AC581="Отклонить","Отклонено",IF(AND(AC581="Взять",COUNTIFS(AD581:AH581,"Да")=5),"Готово","Нужна редактура"))</x:f>
        <x:v>Нужна редактура</x:v>
      </x:c>
      <x:c r="AJ581" s="17" t="str"/>
      <x:c r="AK581" s="9" t="str">
        <x:v>https://www.youtube.com/playlist?list=PLLttfoK87AdU097JIwS6F47lOusOzOzKw</x:v>
      </x:c>
      <x:c r="AL581" s="9" t="n">
        <x:v>2</x:v>
      </x:c>
      <x:c r="AM581" s="9" t="n">
        <x:v>2</x:v>
      </x:c>
      <x:c r="AN581" s="9" t="n">
        <x:v>0</x:v>
      </x:c>
    </x:row>
    <x:row r="582" ht="60" customHeight="1">
      <x:c r="A582" s="9" t="str">
        <x:v>grYnnaPC0VI</x:v>
      </x:c>
      <x:c r="B582" s="10" t="str">
        <x:v>כפר עזה - 95% גן עדן | פרק 3 - הביתה?</x:v>
      </x:c>
      <x:c r="C582" s="10" t="str">
        <x:v>7 октября и память</x:v>
      </x:c>
      <x:c r="D582" s="9" t="str">
        <x:v>Память</x:v>
      </x:c>
      <x:c r="E582" s="10" t="str">
        <x:v>Память; история; взрослые</x:v>
      </x:c>
      <x:c r="F582" s="10" t="str">
        <x:v>B2–C1 (гипотеза)</x:v>
      </x:c>
      <x:c r="G582" s="12" t="n">
        <x:v>54.6</x:v>
      </x:c>
      <x:c r="H582" s="14" t="n">
        <x:v>14402</x:v>
      </x:c>
      <x:c r="I582" s="15" t="str">
        <x:v>Точный счётчик метаданных видео</x:v>
      </x:c>
      <x:c r="J582" s="14" t="n">
        <x:v>14000</x:v>
      </x:c>
      <x:c r="K582" s="14"/>
      <x:c r="L582" s="12" t="str">
        <x:f>IF(COUNT(J582:K582)=2,IF(K582=0,"",J582/K582),"")</x:f>
      </x:c>
      <x:c r="M582" s="10" t="str">
        <x:v>Тема: כפר עזה - 95% גן עדן | פרק 3 - הביתה?. История конкретного сообщества сохраняет человеческий масштаб трагедии.</x:v>
      </x:c>
      <x:c r="N582" s="10" t="str">
        <x:v>Короткий добровольный фрагмент: хронология и бережный пересказ без проверки памяти на травматических деталях.</x:v>
      </x:c>
      <x:c r="O582" s="10" t="str">
        <x:v>Тяжёлая травма, гибель людей; предупреждение и добровольный выбор</x:v>
      </x:c>
      <x:c r="P582" s="10" t="str">
        <x:v>Самостоятельное видео</x:v>
      </x:c>
      <x:c r="Q582" s="9" t="str">
        <x:v>Нет</x:v>
      </x:c>
      <x:c r="R582" s="9" t="str">
        <x:v>C041</x:v>
      </x:c>
      <x:c r="S582" s="9" t="str">
        <x:v>C041</x:v>
      </x:c>
      <x:c r="T582" s="10" t="str">
        <x:v>כאן 11 - תאגיד השידור הישראלי</x:v>
      </x:c>
      <x:c r="U582" s="11" t="str">
        <x:v>https://www.youtube.com/watch?v=grYnnaPC0VI</x:v>
      </x:c>
      <x:c r="V582" s="16" t="n">
        <x:v>46308</x:v>
      </x:c>
      <x:c r="W582" s="16" t="n">
        <x:v>45946</x:v>
      </x:c>
      <x:c r="X582" s="10" t="str">
        <x:v>Иврит предполагается по заголовку и источнику</x:v>
      </x:c>
      <x:c r="Y582" s="10" t="str">
        <x:v>Автоматическая дорожка HE по метаданным</x:v>
      </x:c>
      <x:c r="Z582" s="10" t="str">
        <x:v>Разрешено по метаданным</x:v>
      </x:c>
      <x:c r="AA582" s="10" t="str">
        <x:v>Метаданные видео; воспроизведение и содержание не проверены</x:v>
      </x:c>
      <x:c r="AB582" s="13" t="n">
        <x:f>IF(AND(ISNUMBER(H582),ISNUMBER(W582)),H582/MAX(1,'Обзор'!$B$4-W582),"")</x:f>
        <x:v>39.78453038674033</x:v>
      </x:c>
      <x:c r="AC582" s="17" t="str">
        <x:v>Не решено</x:v>
      </x:c>
      <x:c r="AD582" s="17" t="str">
        <x:v>Не проверено</x:v>
      </x:c>
      <x:c r="AE582" s="17" t="str">
        <x:v>Не проверено</x:v>
      </x:c>
      <x:c r="AF582" s="17" t="str">
        <x:v>Не проверено</x:v>
      </x:c>
      <x:c r="AG582" s="17" t="str">
        <x:v>Не решено</x:v>
      </x:c>
      <x:c r="AH582" s="17" t="str">
        <x:v>Не проверено</x:v>
      </x:c>
      <x:c r="AI582" s="10" t="str">
        <x:f>IF(AC582="Отклонить","Отклонено",IF(AND(AC582="Взять",COUNTIFS(AD582:AH582,"Да")=5),"Готово","Нужна редактура"))</x:f>
        <x:v>Нужна редактура</x:v>
      </x:c>
      <x:c r="AJ582" s="17" t="str"/>
      <x:c r="AK582" s="9" t="str">
        <x:v>https://www.youtube.com/playlist?list=PLLttfoK87AdU097JIwS6F47lOusOzOzKw</x:v>
      </x:c>
      <x:c r="AL582" s="9" t="n">
        <x:v>3</x:v>
      </x:c>
      <x:c r="AM582" s="9" t="n">
        <x:v>3</x:v>
      </x:c>
      <x:c r="AN582" s="9" t="n">
        <x:v>0</x:v>
      </x:c>
    </x:row>
    <x:row r="583" ht="60" customHeight="1">
      <x:c r="A583" s="9" t="str">
        <x:v>YncbYhkol3k</x:v>
      </x:c>
      <x:c r="B583" s="10" t="str">
        <x:v>חוץ. יום. שבת - סרטי דוקו של יוצרים צעירים מהעוטף על ה-7.10 | לא גיבורים - סרטו של צבי דוד</x:v>
      </x:c>
      <x:c r="C583" s="10" t="str">
        <x:v>7 октября и память</x:v>
      </x:c>
      <x:c r="D583" s="9" t="str">
        <x:v>Память</x:v>
      </x:c>
      <x:c r="E583" s="10" t="str">
        <x:v>Память; документалистика; взрослые</x:v>
      </x:c>
      <x:c r="F583" s="10" t="str">
        <x:v>B2–C1 (гипотеза)</x:v>
      </x:c>
      <x:c r="G583" s="12" t="n">
        <x:v>12</x:v>
      </x:c>
      <x:c r="H583" s="14" t="n">
        <x:v>6135</x:v>
      </x:c>
      <x:c r="I583" s="15" t="str">
        <x:v>Точный счётчик метаданных видео</x:v>
      </x:c>
      <x:c r="J583" s="14" t="n">
        <x:v>6100</x:v>
      </x:c>
      <x:c r="K583" s="14" t="n">
        <x:v>4200</x:v>
      </x:c>
      <x:c r="L583" s="12" t="n">
        <x:f>IF(COUNT(J583:K583)=2,IF(K583=0,"",J583/K583),"")</x:f>
        <x:v>1.4523809523809523</x:v>
      </x:c>
      <x:c r="M583" s="10" t="str">
        <x:v>Тема: חוץ. יום. שבת - סרטי דוקו של יוצרים צעירים מהעוטף על ה-7.10 | לא גיבורים - סרטו של צבי דוד. Взгляд молодых авторов добавляет личную перспективу к журналистским реконструкциям.</x:v>
      </x:c>
      <x:c r="N583" s="10" t="str">
        <x:v>Обсудить точку зрения автора и способы выразить переживание.</x:v>
      </x:c>
      <x:c r="O583" s="10" t="str">
        <x:v>Тяжёлый контент; предварительный просмотр целиком</x:v>
      </x:c>
      <x:c r="P583" s="10" t="str">
        <x:v>Самостоятельное видео</x:v>
      </x:c>
      <x:c r="Q583" s="9" t="str">
        <x:v>Нет</x:v>
      </x:c>
      <x:c r="R583" s="9" t="str">
        <x:v>C042</x:v>
      </x:c>
      <x:c r="S583" s="9" t="str">
        <x:v>C042</x:v>
      </x:c>
      <x:c r="T583" s="10" t="str">
        <x:v>כאן 11 - תאגיד השידור הישראלי</x:v>
      </x:c>
      <x:c r="U583" s="11" t="str">
        <x:v>https://www.youtube.com/watch?v=YncbYhkol3k</x:v>
      </x:c>
      <x:c r="V583" s="16" t="n">
        <x:v>46308</x:v>
      </x:c>
      <x:c r="W583" s="16" t="n">
        <x:v>45571</x:v>
      </x:c>
      <x:c r="X583" s="10" t="str">
        <x:v>Иврит предполагается по заголовку и источнику</x:v>
      </x:c>
      <x:c r="Y583" s="10" t="str">
        <x:v>Автоматическая дорожка HE по метаданным</x:v>
      </x:c>
      <x:c r="Z583" s="10" t="str">
        <x:v>Разрешено по метаданным</x:v>
      </x:c>
      <x:c r="AA583" s="10" t="str">
        <x:v>Метаданные видео; воспроизведение и содержание не проверены</x:v>
      </x:c>
      <x:c r="AB583" s="13" t="n">
        <x:f>IF(AND(ISNUMBER(H583),ISNUMBER(W583)),H583/MAX(1,'Обзор'!$B$4-W583),"")</x:f>
        <x:v>8.324287652645861</x:v>
      </x:c>
      <x:c r="AC583" s="17" t="str">
        <x:v>Не решено</x:v>
      </x:c>
      <x:c r="AD583" s="17" t="str">
        <x:v>Не проверено</x:v>
      </x:c>
      <x:c r="AE583" s="17" t="str">
        <x:v>Не проверено</x:v>
      </x:c>
      <x:c r="AF583" s="17" t="str">
        <x:v>Не проверено</x:v>
      </x:c>
      <x:c r="AG583" s="17" t="str">
        <x:v>Не решено</x:v>
      </x:c>
      <x:c r="AH583" s="17" t="str">
        <x:v>Не проверено</x:v>
      </x:c>
      <x:c r="AI583" s="10" t="str">
        <x:f>IF(AC583="Отклонить","Отклонено",IF(AND(AC583="Взять",COUNTIFS(AD583:AH583,"Да")=5),"Готово","Нужна редактура"))</x:f>
        <x:v>Нужна редактура</x:v>
      </x:c>
      <x:c r="AJ583" s="17" t="str"/>
      <x:c r="AK583" s="9" t="str">
        <x:v>https://www.youtube.com/playlist?list=PLLttfoK87AdXKOL7whkogOliwWIsfFuZk</x:v>
      </x:c>
      <x:c r="AL583" s="9" t="n">
        <x:v>1</x:v>
      </x:c>
      <x:c r="AM583" s="9"/>
      <x:c r="AN583" s="9" t="n">
        <x:v>0</x:v>
      </x:c>
    </x:row>
    <x:row r="584" ht="60" customHeight="1">
      <x:c r="A584" s="9" t="str">
        <x:v>9bG_Jaj02is</x:v>
      </x:c>
      <x:c r="B584" s="10" t="str">
        <x:v>חוץ. יום. שבת - סרטי דוקו של יוצרים צעירים מהעוטף על ה-7.10 | בין הסדינים - סרטה של רותם אלקיים</x:v>
      </x:c>
      <x:c r="C584" s="10" t="str">
        <x:v>7 октября и память</x:v>
      </x:c>
      <x:c r="D584" s="9" t="str">
        <x:v>Память</x:v>
      </x:c>
      <x:c r="E584" s="10" t="str">
        <x:v>Память; документалистика; взрослые</x:v>
      </x:c>
      <x:c r="F584" s="10" t="str">
        <x:v>B2–C1 (гипотеза)</x:v>
      </x:c>
      <x:c r="G584" s="12" t="n">
        <x:v>15.3</x:v>
      </x:c>
      <x:c r="H584" s="14" t="n">
        <x:v>2794</x:v>
      </x:c>
      <x:c r="I584" s="15" t="str">
        <x:v>Точный счётчик метаданных видео</x:v>
      </x:c>
      <x:c r="J584" s="14" t="n">
        <x:v>2700</x:v>
      </x:c>
      <x:c r="K584" s="14" t="n">
        <x:v>4200</x:v>
      </x:c>
      <x:c r="L584" s="12" t="n">
        <x:f>IF(COUNT(J584:K584)=2,IF(K584=0,"",J584/K584),"")</x:f>
        <x:v>0.6428571428571429</x:v>
      </x:c>
      <x:c r="M584" s="10" t="str">
        <x:v>Тема: חוץ. יום. שבת - סרטי דוקו של יוצרים צעירים מהעוטף על ה-7.10 | בין הסדינים - סרטה של רותם אלקיים. Взгляд молодых авторов добавляет личную перспективу к журналистским реконструкциям.</x:v>
      </x:c>
      <x:c r="N584" s="10" t="str">
        <x:v>Обсудить точку зрения автора и способы выразить переживание.</x:v>
      </x:c>
      <x:c r="O584" s="10" t="str">
        <x:v>Тяжёлый контент; предварительный просмотр целиком</x:v>
      </x:c>
      <x:c r="P584" s="10" t="str">
        <x:v>Самостоятельное видео</x:v>
      </x:c>
      <x:c r="Q584" s="9" t="str">
        <x:v>Нет</x:v>
      </x:c>
      <x:c r="R584" s="9" t="str">
        <x:v>C042</x:v>
      </x:c>
      <x:c r="S584" s="9" t="str">
        <x:v>C042</x:v>
      </x:c>
      <x:c r="T584" s="10" t="str">
        <x:v>כאן 11 - תאגיד השידור הישראלי</x:v>
      </x:c>
      <x:c r="U584" s="11" t="str">
        <x:v>https://www.youtube.com/watch?v=9bG_Jaj02is</x:v>
      </x:c>
      <x:c r="V584" s="16" t="n">
        <x:v>46308</x:v>
      </x:c>
      <x:c r="W584" s="16" t="n">
        <x:v>45571</x:v>
      </x:c>
      <x:c r="X584" s="10" t="str">
        <x:v>Иврит предполагается по заголовку и источнику</x:v>
      </x:c>
      <x:c r="Y584" s="10" t="str">
        <x:v>Автоматическая дорожка HE по метаданным</x:v>
      </x:c>
      <x:c r="Z584" s="10" t="str">
        <x:v>Разрешено по метаданным</x:v>
      </x:c>
      <x:c r="AA584" s="10" t="str">
        <x:v>Метаданные видео; воспроизведение и содержание не проверены</x:v>
      </x:c>
      <x:c r="AB584" s="13" t="n">
        <x:f>IF(AND(ISNUMBER(H584),ISNUMBER(W584)),H584/MAX(1,'Обзор'!$B$4-W584),"")</x:f>
        <x:v>3.791044776119403</x:v>
      </x:c>
      <x:c r="AC584" s="17" t="str">
        <x:v>Не решено</x:v>
      </x:c>
      <x:c r="AD584" s="17" t="str">
        <x:v>Не проверено</x:v>
      </x:c>
      <x:c r="AE584" s="17" t="str">
        <x:v>Не проверено</x:v>
      </x:c>
      <x:c r="AF584" s="17" t="str">
        <x:v>Не проверено</x:v>
      </x:c>
      <x:c r="AG584" s="17" t="str">
        <x:v>Не решено</x:v>
      </x:c>
      <x:c r="AH584" s="17" t="str">
        <x:v>Не проверено</x:v>
      </x:c>
      <x:c r="AI584" s="10" t="str">
        <x:f>IF(AC584="Отклонить","Отклонено",IF(AND(AC584="Взять",COUNTIFS(AD584:AH584,"Да")=5),"Готово","Нужна редактура"))</x:f>
        <x:v>Нужна редактура</x:v>
      </x:c>
      <x:c r="AJ584" s="17" t="str"/>
      <x:c r="AK584" s="9" t="str">
        <x:v>https://www.youtube.com/playlist?list=PLLttfoK87AdXKOL7whkogOliwWIsfFuZk</x:v>
      </x:c>
      <x:c r="AL584" s="9" t="n">
        <x:v>2</x:v>
      </x:c>
      <x:c r="AM584" s="9"/>
      <x:c r="AN584" s="9" t="n">
        <x:v>0</x:v>
      </x:c>
    </x:row>
    <x:row r="585" ht="60" customHeight="1">
      <x:c r="A585" s="9" t="str">
        <x:v>s-W__-Yij20</x:v>
      </x:c>
      <x:c r="B585" s="10" t="str">
        <x:v>חוץ. יום. שבת - סרטי דוקו של יוצרים צעירים מהעוטף על ה-7.10 | צ'ק פוינט - סרטה של כינר דר</x:v>
      </x:c>
      <x:c r="C585" s="10" t="str">
        <x:v>7 октября и память</x:v>
      </x:c>
      <x:c r="D585" s="9" t="str">
        <x:v>Память</x:v>
      </x:c>
      <x:c r="E585" s="10" t="str">
        <x:v>Память; документалистика; взрослые</x:v>
      </x:c>
      <x:c r="F585" s="10" t="str">
        <x:v>B2–C1 (гипотеза)</x:v>
      </x:c>
      <x:c r="G585" s="12" t="n">
        <x:v>10.4</x:v>
      </x:c>
      <x:c r="H585" s="14" t="n">
        <x:v>3691</x:v>
      </x:c>
      <x:c r="I585" s="15" t="str">
        <x:v>Точный счётчик метаданных видео</x:v>
      </x:c>
      <x:c r="J585" s="14" t="n">
        <x:v>3600</x:v>
      </x:c>
      <x:c r="K585" s="14" t="n">
        <x:v>4200</x:v>
      </x:c>
      <x:c r="L585" s="12" t="n">
        <x:f>IF(COUNT(J585:K585)=2,IF(K585=0,"",J585/K585),"")</x:f>
        <x:v>0.8571428571428571</x:v>
      </x:c>
      <x:c r="M585" s="10" t="str">
        <x:v>Тема: חוץ. יום. שבת - סרטי דוקו של יוצרים צעירים מהעוטף על ה-7.10 | צ'ק פוינט - סרטה של כינר דר. Взгляд молодых авторов добавляет личную перспективу к журналистским реконструкциям.</x:v>
      </x:c>
      <x:c r="N585" s="10" t="str">
        <x:v>Обсудить точку зрения автора и способы выразить переживание.</x:v>
      </x:c>
      <x:c r="O585" s="10" t="str">
        <x:v>Тяжёлый контент; предварительный просмотр целиком</x:v>
      </x:c>
      <x:c r="P585" s="10" t="str">
        <x:v>Самостоятельное видео</x:v>
      </x:c>
      <x:c r="Q585" s="9" t="str">
        <x:v>Нет</x:v>
      </x:c>
      <x:c r="R585" s="9" t="str">
        <x:v>C042</x:v>
      </x:c>
      <x:c r="S585" s="9" t="str">
        <x:v>C042</x:v>
      </x:c>
      <x:c r="T585" s="10" t="str">
        <x:v>כאן 11 - תאגיד השידור הישראלי</x:v>
      </x:c>
      <x:c r="U585" s="11" t="str">
        <x:v>https://www.youtube.com/watch?v=s-W__-Yij20</x:v>
      </x:c>
      <x:c r="V585" s="16" t="n">
        <x:v>46308</x:v>
      </x:c>
      <x:c r="W585" s="16" t="n">
        <x:v>45571</x:v>
      </x:c>
      <x:c r="X585" s="10" t="str">
        <x:v>Иврит предполагается по заголовку и источнику</x:v>
      </x:c>
      <x:c r="Y585" s="10" t="str">
        <x:v>Автоматическая дорожка HE по метаданным</x:v>
      </x:c>
      <x:c r="Z585" s="10" t="str">
        <x:v>Разрешено по метаданным</x:v>
      </x:c>
      <x:c r="AA585" s="10" t="str">
        <x:v>Метаданные видео; воспроизведение и содержание не проверены</x:v>
      </x:c>
      <x:c r="AB585" s="13" t="n">
        <x:f>IF(AND(ISNUMBER(H585),ISNUMBER(W585)),H585/MAX(1,'Обзор'!$B$4-W585),"")</x:f>
        <x:v>5.008141112618724</x:v>
      </x:c>
      <x:c r="AC585" s="17" t="str">
        <x:v>Не решено</x:v>
      </x:c>
      <x:c r="AD585" s="17" t="str">
        <x:v>Не проверено</x:v>
      </x:c>
      <x:c r="AE585" s="17" t="str">
        <x:v>Не проверено</x:v>
      </x:c>
      <x:c r="AF585" s="17" t="str">
        <x:v>Не проверено</x:v>
      </x:c>
      <x:c r="AG585" s="17" t="str">
        <x:v>Не решено</x:v>
      </x:c>
      <x:c r="AH585" s="17" t="str">
        <x:v>Не проверено</x:v>
      </x:c>
      <x:c r="AI585" s="10" t="str">
        <x:f>IF(AC585="Отклонить","Отклонено",IF(AND(AC585="Взять",COUNTIFS(AD585:AH585,"Да")=5),"Готово","Нужна редактура"))</x:f>
        <x:v>Нужна редактура</x:v>
      </x:c>
      <x:c r="AJ585" s="17" t="str"/>
      <x:c r="AK585" s="9" t="str">
        <x:v>https://www.youtube.com/playlist?list=PLLttfoK87AdXKOL7whkogOliwWIsfFuZk</x:v>
      </x:c>
      <x:c r="AL585" s="9" t="n">
        <x:v>3</x:v>
      </x:c>
      <x:c r="AM585" s="9"/>
      <x:c r="AN585" s="9" t="n">
        <x:v>0</x:v>
      </x:c>
    </x:row>
    <x:row r="586" ht="60" customHeight="1">
      <x:c r="A586" s="9" t="str">
        <x:v>aVo1Mf3suoo</x:v>
      </x:c>
      <x:c r="B586" s="10" t="str">
        <x:v>חוץ. יום. שבת - סרטי דוקו של יוצרים צעירים מהעוטף על ה-7.10 | וידויים- סרטם של עמית אראל ועומר דאידה</x:v>
      </x:c>
      <x:c r="C586" s="10" t="str">
        <x:v>7 октября и память</x:v>
      </x:c>
      <x:c r="D586" s="9" t="str">
        <x:v>Память</x:v>
      </x:c>
      <x:c r="E586" s="10" t="str">
        <x:v>Память; документалистика; взрослые</x:v>
      </x:c>
      <x:c r="F586" s="10" t="str">
        <x:v>B2–C1 (гипотеза)</x:v>
      </x:c>
      <x:c r="G586" s="12" t="n">
        <x:v>12.7</x:v>
      </x:c>
      <x:c r="H586" s="14" t="n">
        <x:v>3071</x:v>
      </x:c>
      <x:c r="I586" s="15" t="str">
        <x:v>Точный счётчик метаданных видео</x:v>
      </x:c>
      <x:c r="J586" s="14" t="n">
        <x:v>3000</x:v>
      </x:c>
      <x:c r="K586" s="14" t="n">
        <x:v>4200</x:v>
      </x:c>
      <x:c r="L586" s="12" t="n">
        <x:f>IF(COUNT(J586:K586)=2,IF(K586=0,"",J586/K586),"")</x:f>
        <x:v>0.7142857142857143</x:v>
      </x:c>
      <x:c r="M586" s="10" t="str">
        <x:v>Тема: חוץ. יום. שבת - סרטי דוקו של יוצרים צעירים מהעוטף על ה-7.10 | וידויים- סרטם של עמית אראל ועומר דאידה. Взгляд молодых авторов добавляет личную перспективу к журналистским реконструкциям.</x:v>
      </x:c>
      <x:c r="N586" s="10" t="str">
        <x:v>Обсудить точку зрения автора и способы выразить переживание.</x:v>
      </x:c>
      <x:c r="O586" s="10" t="str">
        <x:v>Тяжёлый контент; предварительный просмотр целиком</x:v>
      </x:c>
      <x:c r="P586" s="10" t="str">
        <x:v>Самостоятельное видео</x:v>
      </x:c>
      <x:c r="Q586" s="9" t="str">
        <x:v>Нет</x:v>
      </x:c>
      <x:c r="R586" s="9" t="str">
        <x:v>C042</x:v>
      </x:c>
      <x:c r="S586" s="9" t="str">
        <x:v>C042</x:v>
      </x:c>
      <x:c r="T586" s="10" t="str">
        <x:v>כאן 11 - תאגיד השידור הישראלי</x:v>
      </x:c>
      <x:c r="U586" s="11" t="str">
        <x:v>https://www.youtube.com/watch?v=aVo1Mf3suoo</x:v>
      </x:c>
      <x:c r="V586" s="16" t="n">
        <x:v>46308</x:v>
      </x:c>
      <x:c r="W586" s="16" t="n">
        <x:v>45571</x:v>
      </x:c>
      <x:c r="X586" s="10" t="str">
        <x:v>Иврит предполагается по заголовку и источнику</x:v>
      </x:c>
      <x:c r="Y586" s="10" t="str">
        <x:v>Автоматическая дорожка HE по метаданным</x:v>
      </x:c>
      <x:c r="Z586" s="10" t="str">
        <x:v>Разрешено по метаданным</x:v>
      </x:c>
      <x:c r="AA586" s="10" t="str">
        <x:v>Метаданные видео; воспроизведение и содержание не проверены</x:v>
      </x:c>
      <x:c r="AB586" s="13" t="n">
        <x:f>IF(AND(ISNUMBER(H586),ISNUMBER(W586)),H586/MAX(1,'Обзор'!$B$4-W586),"")</x:f>
        <x:v>4.166892808683853</x:v>
      </x:c>
      <x:c r="AC586" s="17" t="str">
        <x:v>Не решено</x:v>
      </x:c>
      <x:c r="AD586" s="17" t="str">
        <x:v>Не проверено</x:v>
      </x:c>
      <x:c r="AE586" s="17" t="str">
        <x:v>Не проверено</x:v>
      </x:c>
      <x:c r="AF586" s="17" t="str">
        <x:v>Не проверено</x:v>
      </x:c>
      <x:c r="AG586" s="17" t="str">
        <x:v>Не решено</x:v>
      </x:c>
      <x:c r="AH586" s="17" t="str">
        <x:v>Не проверено</x:v>
      </x:c>
      <x:c r="AI586" s="10" t="str">
        <x:f>IF(AC586="Отклонить","Отклонено",IF(AND(AC586="Взять",COUNTIFS(AD586:AH586,"Да")=5),"Готово","Нужна редактура"))</x:f>
        <x:v>Нужна редактура</x:v>
      </x:c>
      <x:c r="AJ586" s="17" t="str"/>
      <x:c r="AK586" s="9" t="str">
        <x:v>https://www.youtube.com/playlist?list=PLLttfoK87AdXKOL7whkogOliwWIsfFuZk</x:v>
      </x:c>
      <x:c r="AL586" s="9" t="n">
        <x:v>4</x:v>
      </x:c>
      <x:c r="AM586" s="9"/>
      <x:c r="AN586" s="9" t="n">
        <x:v>0</x:v>
      </x:c>
    </x:row>
    <x:row r="587" ht="60" customHeight="1">
      <x:c r="A587" s="9" t="str">
        <x:v>0r05gCwvTVw</x:v>
      </x:c>
      <x:c r="B587" s="10" t="str">
        <x:v>חוץ. יום. שבת - סרטי דוקו של יוצרים צעירים מהעוטף על ה-7.10 | ישראל אהובתי - סרטה של אנאבל טרגובניק</x:v>
      </x:c>
      <x:c r="C587" s="10" t="str">
        <x:v>7 октября и память</x:v>
      </x:c>
      <x:c r="D587" s="9" t="str">
        <x:v>Память</x:v>
      </x:c>
      <x:c r="E587" s="10" t="str">
        <x:v>Память; документалистика; взрослые</x:v>
      </x:c>
      <x:c r="F587" s="10" t="str">
        <x:v>B2–C1 (гипотеза)</x:v>
      </x:c>
      <x:c r="G587" s="12" t="n">
        <x:v>13.5</x:v>
      </x:c>
      <x:c r="H587" s="14" t="n">
        <x:v>4827</x:v>
      </x:c>
      <x:c r="I587" s="15" t="str">
        <x:v>Точный счётчик метаданных видео</x:v>
      </x:c>
      <x:c r="J587" s="14" t="n">
        <x:v>4800</x:v>
      </x:c>
      <x:c r="K587" s="14" t="n">
        <x:v>4200</x:v>
      </x:c>
      <x:c r="L587" s="12" t="n">
        <x:f>IF(COUNT(J587:K587)=2,IF(K587=0,"",J587/K587),"")</x:f>
        <x:v>1.1428571428571428</x:v>
      </x:c>
      <x:c r="M587" s="10" t="str">
        <x:v>Тема: חוץ. יום. שבת - סרטי דוקו של יוצרים צעירים מהעוטף על ה-7.10 | ישראל אהובתי - סרטה של אנאבל טרגובניק. Взгляд молодых авторов добавляет личную перспективу к журналистским реконструкциям.</x:v>
      </x:c>
      <x:c r="N587" s="10" t="str">
        <x:v>Обсудить точку зрения автора и способы выразить переживание.</x:v>
      </x:c>
      <x:c r="O587" s="10" t="str">
        <x:v>Тяжёлый контент; предварительный просмотр целиком</x:v>
      </x:c>
      <x:c r="P587" s="10" t="str">
        <x:v>Самостоятельное видео</x:v>
      </x:c>
      <x:c r="Q587" s="9" t="str">
        <x:v>Нет</x:v>
      </x:c>
      <x:c r="R587" s="9" t="str">
        <x:v>C042</x:v>
      </x:c>
      <x:c r="S587" s="9" t="str">
        <x:v>C042</x:v>
      </x:c>
      <x:c r="T587" s="10" t="str">
        <x:v>כאן 11 - תאגיד השידור הישראלי</x:v>
      </x:c>
      <x:c r="U587" s="11" t="str">
        <x:v>https://www.youtube.com/watch?v=0r05gCwvTVw</x:v>
      </x:c>
      <x:c r="V587" s="16" t="n">
        <x:v>46308</x:v>
      </x:c>
      <x:c r="W587" s="16" t="n">
        <x:v>45570</x:v>
      </x:c>
      <x:c r="X587" s="10" t="str">
        <x:v>Иврит предполагается по заголовку и источнику</x:v>
      </x:c>
      <x:c r="Y587" s="10" t="str">
        <x:v>Автоматическая дорожка HE по метаданным</x:v>
      </x:c>
      <x:c r="Z587" s="10" t="str">
        <x:v>Разрешено по метаданным</x:v>
      </x:c>
      <x:c r="AA587" s="10" t="str">
        <x:v>Метаданные видео; воспроизведение и содержание не проверены</x:v>
      </x:c>
      <x:c r="AB587" s="13" t="n">
        <x:f>IF(AND(ISNUMBER(H587),ISNUMBER(W587)),H587/MAX(1,'Обзор'!$B$4-W587),"")</x:f>
        <x:v>6.540650406504065</x:v>
      </x:c>
      <x:c r="AC587" s="17" t="str">
        <x:v>Не решено</x:v>
      </x:c>
      <x:c r="AD587" s="17" t="str">
        <x:v>Не проверено</x:v>
      </x:c>
      <x:c r="AE587" s="17" t="str">
        <x:v>Не проверено</x:v>
      </x:c>
      <x:c r="AF587" s="17" t="str">
        <x:v>Не проверено</x:v>
      </x:c>
      <x:c r="AG587" s="17" t="str">
        <x:v>Не решено</x:v>
      </x:c>
      <x:c r="AH587" s="17" t="str">
        <x:v>Не проверено</x:v>
      </x:c>
      <x:c r="AI587" s="10" t="str">
        <x:f>IF(AC587="Отклонить","Отклонено",IF(AND(AC587="Взять",COUNTIFS(AD587:AH587,"Да")=5),"Готово","Нужна редактура"))</x:f>
        <x:v>Нужна редактура</x:v>
      </x:c>
      <x:c r="AJ587" s="17" t="str"/>
      <x:c r="AK587" s="9" t="str">
        <x:v>https://www.youtube.com/playlist?list=PLLttfoK87AdXKOL7whkogOliwWIsfFuZk</x:v>
      </x:c>
      <x:c r="AL587" s="9" t="n">
        <x:v>5</x:v>
      </x:c>
      <x:c r="AM587" s="9"/>
      <x:c r="AN587" s="9" t="n">
        <x:v>0</x:v>
      </x:c>
    </x:row>
    <x:row r="588" ht="60" customHeight="1">
      <x:c r="A588" s="9" t="str">
        <x:v>VEm1Lm85cMo</x:v>
      </x:c>
      <x:c r="B588" s="10" t="str">
        <x:v>חוץ. יום. שבת - סרטי דוקו של יוצרים צעירים מהעוטף על ה-7.10 | לברוח מגן עדן - סרטה של שני כהן</x:v>
      </x:c>
      <x:c r="C588" s="10" t="str">
        <x:v>7 октября и память</x:v>
      </x:c>
      <x:c r="D588" s="9" t="str">
        <x:v>Память</x:v>
      </x:c>
      <x:c r="E588" s="10" t="str">
        <x:v>Память; документалистика; взрослые</x:v>
      </x:c>
      <x:c r="F588" s="10" t="str">
        <x:v>B2–C1 (гипотеза)</x:v>
      </x:c>
      <x:c r="G588" s="12" t="n">
        <x:v>14.1</x:v>
      </x:c>
      <x:c r="H588" s="14" t="n">
        <x:v>13702</x:v>
      </x:c>
      <x:c r="I588" s="15" t="str">
        <x:v>Точный счётчик метаданных видео</x:v>
      </x:c>
      <x:c r="J588" s="14" t="n">
        <x:v>13000</x:v>
      </x:c>
      <x:c r="K588" s="14" t="n">
        <x:v>4200</x:v>
      </x:c>
      <x:c r="L588" s="12" t="n">
        <x:f>IF(COUNT(J588:K588)=2,IF(K588=0,"",J588/K588),"")</x:f>
        <x:v>3.0952380952380953</x:v>
      </x:c>
      <x:c r="M588" s="10" t="str">
        <x:v>Тема: חוץ. יום. שבת - סרטי דוקו של יוצרים צעירים מהעוטף על ה-7.10 | לברוח מגן עדן - סרטה של שני כהן. Просмотры в списке выше медианы выборки этого цикла в 3.1 раза. Взгляд молодых авторов добавляет личную перспективу к журналистским реконструкциям.</x:v>
      </x:c>
      <x:c r="N588" s="10" t="str">
        <x:v>Обсудить точку зрения автора и способы выразить переживание.</x:v>
      </x:c>
      <x:c r="O588" s="10" t="str">
        <x:v>Тяжёлый контент; предварительный просмотр целиком</x:v>
      </x:c>
      <x:c r="P588" s="10" t="str">
        <x:v>Самостоятельное видео</x:v>
      </x:c>
      <x:c r="Q588" s="9" t="str">
        <x:v>Нет</x:v>
      </x:c>
      <x:c r="R588" s="9" t="str">
        <x:v>C042</x:v>
      </x:c>
      <x:c r="S588" s="9" t="str">
        <x:v>C042</x:v>
      </x:c>
      <x:c r="T588" s="10" t="str">
        <x:v>כאן 11 - תאגיד השידור הישראלי</x:v>
      </x:c>
      <x:c r="U588" s="11" t="str">
        <x:v>https://www.youtube.com/watch?v=VEm1Lm85cMo</x:v>
      </x:c>
      <x:c r="V588" s="16" t="n">
        <x:v>46308</x:v>
      </x:c>
      <x:c r="W588" s="16" t="n">
        <x:v>45570</x:v>
      </x:c>
      <x:c r="X588" s="10" t="str">
        <x:v>Иврит предполагается по заголовку и источнику</x:v>
      </x:c>
      <x:c r="Y588" s="10" t="str">
        <x:v>Дорожка HE не найдена в метаданных; вшитые титры не проверены</x:v>
      </x:c>
      <x:c r="Z588" s="10" t="str">
        <x:v>Разрешено по метаданным</x:v>
      </x:c>
      <x:c r="AA588" s="10" t="str">
        <x:v>Метаданные видео; воспроизведение и содержание не проверены</x:v>
      </x:c>
      <x:c r="AB588" s="13" t="n">
        <x:f>IF(AND(ISNUMBER(H588),ISNUMBER(W588)),H588/MAX(1,'Обзор'!$B$4-W588),"")</x:f>
        <x:v>18.56639566395664</x:v>
      </x:c>
      <x:c r="AC588" s="17" t="str">
        <x:v>Не решено</x:v>
      </x:c>
      <x:c r="AD588" s="17" t="str">
        <x:v>Не проверено</x:v>
      </x:c>
      <x:c r="AE588" s="17" t="str">
        <x:v>Не проверено</x:v>
      </x:c>
      <x:c r="AF588" s="17" t="str">
        <x:v>Не проверено</x:v>
      </x:c>
      <x:c r="AG588" s="17" t="str">
        <x:v>Не решено</x:v>
      </x:c>
      <x:c r="AH588" s="17" t="str">
        <x:v>Не проверено</x:v>
      </x:c>
      <x:c r="AI588" s="10" t="str">
        <x:f>IF(AC588="Отклонить","Отклонено",IF(AND(AC588="Взять",COUNTIFS(AD588:AH588,"Да")=5),"Готово","Нужна редактура"))</x:f>
        <x:v>Нужна редактура</x:v>
      </x:c>
      <x:c r="AJ588" s="17" t="str"/>
      <x:c r="AK588" s="9" t="str">
        <x:v>https://www.youtube.com/playlist?list=PLLttfoK87AdXKOL7whkogOliwWIsfFuZk</x:v>
      </x:c>
      <x:c r="AL588" s="9" t="n">
        <x:v>6</x:v>
      </x:c>
      <x:c r="AM588" s="9"/>
      <x:c r="AN588" s="9" t="n">
        <x:v>0</x:v>
      </x:c>
    </x:row>
    <x:row r="589" ht="60" customHeight="1">
      <x:c r="A589" s="9" t="str">
        <x:v>4dQ311Bd8ZY</x:v>
      </x:c>
      <x:c r="B589" s="10" t="str">
        <x:v>דוקותיים | סבא ג'פטו הישראלי: עזרא, בן 95, מייצר צעצועים מעץ</x:v>
      </x:c>
      <x:c r="C589" s="10" t="str">
        <x:v>Люди и повседневность</x:v>
      </x:c>
      <x:c r="D589" s="9" t="str">
        <x:v>Быт</x:v>
      </x:c>
      <x:c r="E589" s="10" t="str">
        <x:v>Репатрианты; общество; занятые взрослые</x:v>
      </x:c>
      <x:c r="F589" s="10" t="str">
        <x:v>B1–B2 (гипотеза)</x:v>
      </x:c>
      <x:c r="G589" s="12" t="n">
        <x:v>4.5</x:v>
      </x:c>
      <x:c r="H589" s="14" t="n">
        <x:v>71941</x:v>
      </x:c>
      <x:c r="I589" s="15" t="str">
        <x:v>Точный счётчик метаданных видео</x:v>
      </x:c>
      <x:c r="J589" s="14" t="n">
        <x:v>71000</x:v>
      </x:c>
      <x:c r="K589" s="14" t="n">
        <x:v>32500</x:v>
      </x:c>
      <x:c r="L589" s="12" t="n">
        <x:f>IF(COUNT(J589:K589)=2,IF(K589=0,"",J589/K589),"")</x:f>
        <x:v>2.1846153846153844</x:v>
      </x:c>
      <x:c r="M589" s="10" t="str">
        <x:v>Завершённый короткий просмотр около 5 мин. Просмотры в списке выше медианы выборки этого цикла в 2.18 раза. Короткая история реального человека подходит для ежедневной привычки. Разные профессии и места расширяют взгляд на страну.</x:v>
      </x:c>
      <x:c r="N589" s="10" t="str">
        <x:v>Прослушать 2–5 минут, выписать 6 фраз и пересказать историю в 3 предложениях.</x:v>
      </x:c>
      <x:c r="O589" s="10" t="str">
        <x:v>Проверить содержание</x:v>
      </x:c>
      <x:c r="P589" s="10" t="str">
        <x:v>Самостоятельное видео</x:v>
      </x:c>
      <x:c r="Q589" s="9" t="str">
        <x:v>Нет</x:v>
      </x:c>
      <x:c r="R589" s="9" t="str">
        <x:v>C043</x:v>
      </x:c>
      <x:c r="S589" s="9" t="str">
        <x:v>C043</x:v>
      </x:c>
      <x:c r="T589" s="10" t="str">
        <x:v>כאן | דיגיטל - תאגיד השידור הישראלי</x:v>
      </x:c>
      <x:c r="U589" s="11" t="str">
        <x:v>https://www.youtube.com/watch?v=4dQ311Bd8ZY</x:v>
      </x:c>
      <x:c r="V589" s="16" t="n">
        <x:v>46308</x:v>
      </x:c>
      <x:c r="W589" s="16" t="n">
        <x:v>46294</x:v>
      </x:c>
      <x:c r="X589" s="10" t="str">
        <x:v>iw</x:v>
      </x:c>
      <x:c r="Y589" s="10" t="str">
        <x:v>Автоматическая дорожка HE по метаданным</x:v>
      </x:c>
      <x:c r="Z589" s="10" t="str">
        <x:v>Разрешено по метаданным</x:v>
      </x:c>
      <x:c r="AA589" s="10" t="str">
        <x:v>Метаданные видео; воспроизведение и содержание не проверены</x:v>
      </x:c>
      <x:c r="AB589" s="13" t="n">
        <x:f>IF(AND(ISNUMBER(H589),ISNUMBER(W589)),H589/MAX(1,'Обзор'!$B$4-W589),"")</x:f>
        <x:v>5138.642857142857</x:v>
      </x:c>
      <x:c r="AC589" s="17" t="str">
        <x:v>Не решено</x:v>
      </x:c>
      <x:c r="AD589" s="17" t="str">
        <x:v>Не проверено</x:v>
      </x:c>
      <x:c r="AE589" s="17" t="str">
        <x:v>Не проверено</x:v>
      </x:c>
      <x:c r="AF589" s="17" t="str">
        <x:v>Не проверено</x:v>
      </x:c>
      <x:c r="AG589" s="17" t="str">
        <x:v>Не решено</x:v>
      </x:c>
      <x:c r="AH589" s="17" t="str">
        <x:v>Не проверено</x:v>
      </x:c>
      <x:c r="AI589" s="10" t="str">
        <x:f>IF(AC589="Отклонить","Отклонено",IF(AND(AC589="Взять",COUNTIFS(AD589:AH589,"Да")=5),"Готово","Нужна редактура"))</x:f>
        <x:v>Нужна редактура</x:v>
      </x:c>
      <x:c r="AJ589" s="17" t="str"/>
      <x:c r="AK589" s="9" t="str">
        <x:v>https://www.youtube.com/playlist?list=PLXv9BeKApRvwx9zh3LqZl-UexiIKULA-7</x:v>
      </x:c>
      <x:c r="AL589" s="9" t="n">
        <x:v>1</x:v>
      </x:c>
      <x:c r="AM589" s="9"/>
      <x:c r="AN589" s="9" t="n">
        <x:v>0</x:v>
      </x:c>
    </x:row>
    <x:row r="590" ht="60" customHeight="1">
      <x:c r="A590" s="9" t="str">
        <x:v>xXXVQY6hWYg</x:v>
      </x:c>
      <x:c r="B590" s="10" t="str">
        <x:v>דוקותיים | שלו מעצב נעליים יחודיות לאנשים מיוחדים</x:v>
      </x:c>
      <x:c r="C590" s="10" t="str">
        <x:v>Люди и повседневность</x:v>
      </x:c>
      <x:c r="D590" s="9" t="str">
        <x:v>Быт</x:v>
      </x:c>
      <x:c r="E590" s="10" t="str">
        <x:v>Репатрианты; общество; занятые взрослые</x:v>
      </x:c>
      <x:c r="F590" s="10" t="str">
        <x:v>B1–B2 (гипотеза)</x:v>
      </x:c>
      <x:c r="G590" s="12" t="n">
        <x:v>6.1</x:v>
      </x:c>
      <x:c r="H590" s="14" t="n">
        <x:v>250947</x:v>
      </x:c>
      <x:c r="I590" s="15" t="str">
        <x:v>Точный счётчик метаданных видео</x:v>
      </x:c>
      <x:c r="J590" s="14" t="n">
        <x:v>250000</x:v>
      </x:c>
      <x:c r="K590" s="14" t="n">
        <x:v>32500</x:v>
      </x:c>
      <x:c r="L590" s="12" t="n">
        <x:f>IF(COUNT(J590:K590)=2,IF(K590=0,"",J590/K590),"")</x:f>
        <x:v>7.6923076923076925</x:v>
      </x:c>
      <x:c r="M590" s="10" t="str">
        <x:v>Завершённый короткий просмотр около 6 мин. Просмотры в списке выше медианы выборки этого цикла в 7.69 раза. Короткая история реального человека подходит для ежедневной привычки. Разные профессии и места расширяют взгляд на страну.</x:v>
      </x:c>
      <x:c r="N590" s="10" t="str">
        <x:v>Прослушать 2–5 минут, выписать 6 фраз и пересказать историю в 3 предложениях.</x:v>
      </x:c>
      <x:c r="O590" s="10" t="str">
        <x:v>Проверить содержание</x:v>
      </x:c>
      <x:c r="P590" s="10" t="str">
        <x:v>Самостоятельное видео</x:v>
      </x:c>
      <x:c r="Q590" s="9" t="str">
        <x:v>Нет</x:v>
      </x:c>
      <x:c r="R590" s="9" t="str">
        <x:v>C043</x:v>
      </x:c>
      <x:c r="S590" s="9" t="str">
        <x:v>C043</x:v>
      </x:c>
      <x:c r="T590" s="10" t="str">
        <x:v>כאן | דיגיטל - תאגיד השידור הישראלי</x:v>
      </x:c>
      <x:c r="U590" s="11" t="str">
        <x:v>https://www.youtube.com/watch?v=xXXVQY6hWYg</x:v>
      </x:c>
      <x:c r="V590" s="16" t="n">
        <x:v>46308</x:v>
      </x:c>
      <x:c r="W590" s="16" t="n">
        <x:v>46280</x:v>
      </x:c>
      <x:c r="X590" s="10" t="str">
        <x:v>Иврит предполагается по заголовку и источнику</x:v>
      </x:c>
      <x:c r="Y590" s="10" t="str">
        <x:v>Автоматическая дорожка HE по метаданным</x:v>
      </x:c>
      <x:c r="Z590" s="10" t="str">
        <x:v>Разрешено по метаданным</x:v>
      </x:c>
      <x:c r="AA590" s="10" t="str">
        <x:v>Метаданные видео; воспроизведение и содержание не проверены</x:v>
      </x:c>
      <x:c r="AB590" s="13" t="n">
        <x:f>IF(AND(ISNUMBER(H590),ISNUMBER(W590)),H590/MAX(1,'Обзор'!$B$4-W590),"")</x:f>
        <x:v>8962.392857142857</x:v>
      </x:c>
      <x:c r="AC590" s="17" t="str">
        <x:v>Не решено</x:v>
      </x:c>
      <x:c r="AD590" s="17" t="str">
        <x:v>Не проверено</x:v>
      </x:c>
      <x:c r="AE590" s="17" t="str">
        <x:v>Не проверено</x:v>
      </x:c>
      <x:c r="AF590" s="17" t="str">
        <x:v>Не проверено</x:v>
      </x:c>
      <x:c r="AG590" s="17" t="str">
        <x:v>Не решено</x:v>
      </x:c>
      <x:c r="AH590" s="17" t="str">
        <x:v>Не проверено</x:v>
      </x:c>
      <x:c r="AI590" s="10" t="str">
        <x:f>IF(AC590="Отклонить","Отклонено",IF(AND(AC590="Взять",COUNTIFS(AD590:AH590,"Да")=5),"Готово","Нужна редактура"))</x:f>
        <x:v>Нужна редактура</x:v>
      </x:c>
      <x:c r="AJ590" s="17" t="str"/>
      <x:c r="AK590" s="9" t="str">
        <x:v>https://www.youtube.com/playlist?list=PLXv9BeKApRvwx9zh3LqZl-UexiIKULA-7</x:v>
      </x:c>
      <x:c r="AL590" s="9" t="n">
        <x:v>2</x:v>
      </x:c>
      <x:c r="AM590" s="9"/>
      <x:c r="AN590" s="9" t="n">
        <x:v>0</x:v>
      </x:c>
    </x:row>
    <x:row r="591" ht="60" customHeight="1">
      <x:c r="A591" s="9" t="str">
        <x:v>TBvFftSefAQ</x:v>
      </x:c>
      <x:c r="B591" s="10" t="str">
        <x:v>דוקותיים | פרק שלא תצליחו להוריד ממנו את העיניים</x:v>
      </x:c>
      <x:c r="C591" s="10" t="str">
        <x:v>Люди и повседневность</x:v>
      </x:c>
      <x:c r="D591" s="9" t="str">
        <x:v>Быт</x:v>
      </x:c>
      <x:c r="E591" s="10" t="str">
        <x:v>Репатрианты; общество; занятые взрослые</x:v>
      </x:c>
      <x:c r="F591" s="10" t="str">
        <x:v>B1–B2 (гипотеза)</x:v>
      </x:c>
      <x:c r="G591" s="12" t="n">
        <x:v>6</x:v>
      </x:c>
      <x:c r="H591" s="14" t="n">
        <x:v>87594</x:v>
      </x:c>
      <x:c r="I591" s="15" t="str">
        <x:v>Точный счётчик метаданных видео</x:v>
      </x:c>
      <x:c r="J591" s="14" t="n">
        <x:v>87000</x:v>
      </x:c>
      <x:c r="K591" s="14" t="n">
        <x:v>32500</x:v>
      </x:c>
      <x:c r="L591" s="12" t="n">
        <x:f>IF(COUNT(J591:K591)=2,IF(K591=0,"",J591/K591),"")</x:f>
        <x:v>2.6769230769230767</x:v>
      </x:c>
      <x:c r="M591" s="10" t="str">
        <x:v>Завершённый короткий просмотр около 6 мин. Просмотры в списке выше медианы выборки этого цикла в 2.68 раза. Короткая история реального человека подходит для ежедневной привычки. Разные профессии и места расширяют взгляд на страну.</x:v>
      </x:c>
      <x:c r="N591" s="10" t="str">
        <x:v>Прослушать 2–5 минут, выписать 6 фраз и пересказать историю в 3 предложениях.</x:v>
      </x:c>
      <x:c r="O591" s="10" t="str">
        <x:v>Проверить содержание</x:v>
      </x:c>
      <x:c r="P591" s="10" t="str">
        <x:v>Самостоятельное видео</x:v>
      </x:c>
      <x:c r="Q591" s="9" t="str">
        <x:v>Нет</x:v>
      </x:c>
      <x:c r="R591" s="9" t="str">
        <x:v>C043</x:v>
      </x:c>
      <x:c r="S591" s="9" t="str">
        <x:v>C043</x:v>
      </x:c>
      <x:c r="T591" s="10" t="str">
        <x:v>כאן | דיגיטל - תאגיד השידור הישראלי</x:v>
      </x:c>
      <x:c r="U591" s="11" t="str">
        <x:v>https://www.youtube.com/watch?v=TBvFftSefAQ</x:v>
      </x:c>
      <x:c r="V591" s="16" t="n">
        <x:v>46308</x:v>
      </x:c>
      <x:c r="W591" s="16" t="n">
        <x:v>46273</x:v>
      </x:c>
      <x:c r="X591" s="10" t="str">
        <x:v>Иврит предполагается по заголовку и источнику</x:v>
      </x:c>
      <x:c r="Y591" s="10" t="str">
        <x:v>Автоматическая дорожка HE по метаданным</x:v>
      </x:c>
      <x:c r="Z591" s="10" t="str">
        <x:v>Разрешено по метаданным</x:v>
      </x:c>
      <x:c r="AA591" s="10" t="str">
        <x:v>Метаданные видео; воспроизведение и содержание не проверены</x:v>
      </x:c>
      <x:c r="AB591" s="13" t="n">
        <x:f>IF(AND(ISNUMBER(H591),ISNUMBER(W591)),H591/MAX(1,'Обзор'!$B$4-W591),"")</x:f>
        <x:v>2502.6857142857143</x:v>
      </x:c>
      <x:c r="AC591" s="17" t="str">
        <x:v>Не решено</x:v>
      </x:c>
      <x:c r="AD591" s="17" t="str">
        <x:v>Не проверено</x:v>
      </x:c>
      <x:c r="AE591" s="17" t="str">
        <x:v>Не проверено</x:v>
      </x:c>
      <x:c r="AF591" s="17" t="str">
        <x:v>Не проверено</x:v>
      </x:c>
      <x:c r="AG591" s="17" t="str">
        <x:v>Не решено</x:v>
      </x:c>
      <x:c r="AH591" s="17" t="str">
        <x:v>Не проверено</x:v>
      </x:c>
      <x:c r="AI591" s="10" t="str">
        <x:f>IF(AC591="Отклонить","Отклонено",IF(AND(AC591="Взять",COUNTIFS(AD591:AH591,"Да")=5),"Готово","Нужна редактура"))</x:f>
        <x:v>Нужна редактура</x:v>
      </x:c>
      <x:c r="AJ591" s="17" t="str"/>
      <x:c r="AK591" s="9" t="str">
        <x:v>https://www.youtube.com/playlist?list=PLXv9BeKApRvwx9zh3LqZl-UexiIKULA-7</x:v>
      </x:c>
      <x:c r="AL591" s="9" t="n">
        <x:v>3</x:v>
      </x:c>
      <x:c r="AM591" s="9"/>
      <x:c r="AN591" s="9" t="n">
        <x:v>0</x:v>
      </x:c>
    </x:row>
    <x:row r="592" ht="60" customHeight="1">
      <x:c r="A592" s="9" t="str">
        <x:v>RpXJ7hFk-rg</x:v>
      </x:c>
      <x:c r="B592" s="10" t="str">
        <x:v>דוקותיים | בני ואסתר יצאו מחומש עם ילד אחד וחוזרים, אחרי 15 שנה, עם עשרה</x:v>
      </x:c>
      <x:c r="C592" s="10" t="str">
        <x:v>Люди и повседневность</x:v>
      </x:c>
      <x:c r="D592" s="9" t="str">
        <x:v>Быт</x:v>
      </x:c>
      <x:c r="E592" s="10" t="str">
        <x:v>Репатрианты; общество; занятые взрослые</x:v>
      </x:c>
      <x:c r="F592" s="10" t="str">
        <x:v>B1–B2 (гипотеза)</x:v>
      </x:c>
      <x:c r="G592" s="12" t="n">
        <x:v>4.6</x:v>
      </x:c>
      <x:c r="H592" s="14" t="n">
        <x:v>15000</x:v>
      </x:c>
      <x:c r="I592" s="15" t="str">
        <x:v>Округлённый счётчик в списке YouTube</x:v>
      </x:c>
      <x:c r="J592" s="14" t="n">
        <x:v>15000</x:v>
      </x:c>
      <x:c r="K592" s="14" t="n">
        <x:v>32500</x:v>
      </x:c>
      <x:c r="L592" s="12" t="n">
        <x:f>IF(COUNT(J592:K592)=2,IF(K592=0,"",J592/K592),"")</x:f>
        <x:v>0.46153846153846156</x:v>
      </x:c>
      <x:c r="M592" s="10" t="str">
        <x:v>Завершённый короткий просмотр около 5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592" s="10" t="str">
        <x:v>Прослушать 2–5 минут, выписать 6 фраз и пересказать историю в 3 предложениях.</x:v>
      </x:c>
      <x:c r="O592" s="10" t="str">
        <x:v>Проверить содержание</x:v>
      </x:c>
      <x:c r="P592" s="10" t="str">
        <x:v>Самостоятельное видео</x:v>
      </x:c>
      <x:c r="Q592" s="9" t="str">
        <x:v>Нет</x:v>
      </x:c>
      <x:c r="R592" s="9" t="str">
        <x:v>C043</x:v>
      </x:c>
      <x:c r="S592" s="9" t="str">
        <x:v>C043</x:v>
      </x:c>
      <x:c r="T592" s="10" t="str">
        <x:v>כאן | דיגיטל - תאגיד השידור הישראלי</x:v>
      </x:c>
      <x:c r="U592" s="11" t="str">
        <x:v>https://www.youtube.com/watch?v=RpXJ7hFk-rg</x:v>
      </x:c>
      <x:c r="V592" s="16" t="n">
        <x:v>46308</x:v>
      </x:c>
      <x:c r="W592" s="16"/>
      <x:c r="X592" s="10" t="str">
        <x:v>Иврит предполагается по заголовку и источнику</x:v>
      </x:c>
      <x:c r="Y592" s="10" t="str">
        <x:v>Не проверено</x:v>
      </x:c>
      <x:c r="Z592" s="10" t="str">
        <x:v>Не проверено</x:v>
      </x:c>
      <x:c r="AA592" s="10" t="str">
        <x:v>Метаданные списка; видео не просмотрено</x:v>
      </x:c>
      <x:c r="AB592" s="13" t="str">
        <x:f>IF(AND(ISNUMBER(H592),ISNUMBER(W592)),H592/MAX(1,'Обзор'!$B$4-W592),"")</x:f>
      </x:c>
      <x:c r="AC592" s="17" t="str">
        <x:v>Не решено</x:v>
      </x:c>
      <x:c r="AD592" s="17" t="str">
        <x:v>Не проверено</x:v>
      </x:c>
      <x:c r="AE592" s="17" t="str">
        <x:v>Не проверено</x:v>
      </x:c>
      <x:c r="AF592" s="17" t="str">
        <x:v>Не проверено</x:v>
      </x:c>
      <x:c r="AG592" s="17" t="str">
        <x:v>Не решено</x:v>
      </x:c>
      <x:c r="AH592" s="17" t="str">
        <x:v>Не проверено</x:v>
      </x:c>
      <x:c r="AI592" s="10" t="str">
        <x:f>IF(AC592="Отклонить","Отклонено",IF(AND(AC592="Взять",COUNTIFS(AD592:AH592,"Да")=5),"Готово","Нужна редактура"))</x:f>
        <x:v>Нужна редактура</x:v>
      </x:c>
      <x:c r="AJ592" s="17" t="str"/>
      <x:c r="AK592" s="9" t="str">
        <x:v>https://www.youtube.com/playlist?list=PLXv9BeKApRvwx9zh3LqZl-UexiIKULA-7</x:v>
      </x:c>
      <x:c r="AL592" s="9" t="n">
        <x:v>4</x:v>
      </x:c>
      <x:c r="AM592" s="9"/>
      <x:c r="AN592" s="9"/>
    </x:row>
    <x:row r="593" ht="60" customHeight="1">
      <x:c r="A593" s="9" t="str">
        <x:v>JXu5RFOPvXA</x:v>
      </x:c>
      <x:c r="B593" s="10" t="str">
        <x:v>דוקותיים | עו"ד אורית חיון מייצגת אנשים שנחשדו בריגול לטובת איראן</x:v>
      </x:c>
      <x:c r="C593" s="10" t="str">
        <x:v>Люди и повседневность</x:v>
      </x:c>
      <x:c r="D593" s="9" t="str">
        <x:v>Быт</x:v>
      </x:c>
      <x:c r="E593" s="10" t="str">
        <x:v>Репатрианты; общество; занятые взрослые</x:v>
      </x:c>
      <x:c r="F593" s="10" t="str">
        <x:v>B1–B2 (гипотеза)</x:v>
      </x:c>
      <x:c r="G593" s="12" t="n">
        <x:v>5.7</x:v>
      </x:c>
      <x:c r="H593" s="14" t="n">
        <x:v>13000</x:v>
      </x:c>
      <x:c r="I593" s="15" t="str">
        <x:v>Округлённый счётчик в списке YouTube</x:v>
      </x:c>
      <x:c r="J593" s="14" t="n">
        <x:v>13000</x:v>
      </x:c>
      <x:c r="K593" s="14" t="n">
        <x:v>32500</x:v>
      </x:c>
      <x:c r="L593" s="12" t="n">
        <x:f>IF(COUNT(J593:K593)=2,IF(K593=0,"",J593/K593),"")</x:f>
        <x:v>0.4</x:v>
      </x:c>
      <x:c r="M593" s="10" t="str">
        <x:v>Завершённый короткий просмотр около 6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593" s="10" t="str">
        <x:v>Прослушать 2–5 минут, выписать 6 фраз и пересказать историю в 3 предложениях.</x:v>
      </x:c>
      <x:c r="O593" s="10" t="str">
        <x:v>Проверить содержание</x:v>
      </x:c>
      <x:c r="P593" s="10" t="str">
        <x:v>Самостоятельное видео</x:v>
      </x:c>
      <x:c r="Q593" s="9" t="str">
        <x:v>Нет</x:v>
      </x:c>
      <x:c r="R593" s="9" t="str">
        <x:v>C043</x:v>
      </x:c>
      <x:c r="S593" s="9" t="str">
        <x:v>C043</x:v>
      </x:c>
      <x:c r="T593" s="10" t="str">
        <x:v>כאן | דיגיטל - תאגיד השידור הישראלי</x:v>
      </x:c>
      <x:c r="U593" s="11" t="str">
        <x:v>https://www.youtube.com/watch?v=JXu5RFOPvXA</x:v>
      </x:c>
      <x:c r="V593" s="16" t="n">
        <x:v>46308</x:v>
      </x:c>
      <x:c r="W593" s="16"/>
      <x:c r="X593" s="10" t="str">
        <x:v>Иврит предполагается по заголовку и источнику</x:v>
      </x:c>
      <x:c r="Y593" s="10" t="str">
        <x:v>Не проверено</x:v>
      </x:c>
      <x:c r="Z593" s="10" t="str">
        <x:v>Не проверено</x:v>
      </x:c>
      <x:c r="AA593" s="10" t="str">
        <x:v>Метаданные списка; видео не просмотрено</x:v>
      </x:c>
      <x:c r="AB593" s="13" t="str">
        <x:f>IF(AND(ISNUMBER(H593),ISNUMBER(W593)),H593/MAX(1,'Обзор'!$B$4-W593),"")</x:f>
      </x:c>
      <x:c r="AC593" s="17" t="str">
        <x:v>Не решено</x:v>
      </x:c>
      <x:c r="AD593" s="17" t="str">
        <x:v>Не проверено</x:v>
      </x:c>
      <x:c r="AE593" s="17" t="str">
        <x:v>Не проверено</x:v>
      </x:c>
      <x:c r="AF593" s="17" t="str">
        <x:v>Не проверено</x:v>
      </x:c>
      <x:c r="AG593" s="17" t="str">
        <x:v>Не решено</x:v>
      </x:c>
      <x:c r="AH593" s="17" t="str">
        <x:v>Не проверено</x:v>
      </x:c>
      <x:c r="AI593" s="10" t="str">
        <x:f>IF(AC593="Отклонить","Отклонено",IF(AND(AC593="Взять",COUNTIFS(AD593:AH593,"Да")=5),"Готово","Нужна редактура"))</x:f>
        <x:v>Нужна редактура</x:v>
      </x:c>
      <x:c r="AJ593" s="17" t="str"/>
      <x:c r="AK593" s="9" t="str">
        <x:v>https://www.youtube.com/playlist?list=PLXv9BeKApRvwx9zh3LqZl-UexiIKULA-7</x:v>
      </x:c>
      <x:c r="AL593" s="9" t="n">
        <x:v>5</x:v>
      </x:c>
      <x:c r="AM593" s="9"/>
      <x:c r="AN593" s="9"/>
    </x:row>
    <x:row r="594" ht="60" customHeight="1">
      <x:c r="A594" s="9" t="str">
        <x:v>dGNEvbcbQjw</x:v>
      </x:c>
      <x:c r="B594" s="10" t="str">
        <x:v>דוקותיים | מדרום אפריקה ליפו: לולי רוקדת כבר 10 שנים בלהקת בת שבע</x:v>
      </x:c>
      <x:c r="C594" s="10" t="str">
        <x:v>Люди и повседневность</x:v>
      </x:c>
      <x:c r="D594" s="9" t="str">
        <x:v>Быт</x:v>
      </x:c>
      <x:c r="E594" s="10" t="str">
        <x:v>Репатрианты; общество; занятые взрослые</x:v>
      </x:c>
      <x:c r="F594" s="10" t="str">
        <x:v>B1–B2 (гипотеза)</x:v>
      </x:c>
      <x:c r="G594" s="12" t="n">
        <x:v>4.7</x:v>
      </x:c>
      <x:c r="H594" s="14" t="n">
        <x:v>17000</x:v>
      </x:c>
      <x:c r="I594" s="15" t="str">
        <x:v>Округлённый счётчик в списке YouTube</x:v>
      </x:c>
      <x:c r="J594" s="14" t="n">
        <x:v>17000</x:v>
      </x:c>
      <x:c r="K594" s="14" t="n">
        <x:v>32500</x:v>
      </x:c>
      <x:c r="L594" s="12" t="n">
        <x:f>IF(COUNT(J594:K594)=2,IF(K594=0,"",J594/K594),"")</x:f>
        <x:v>0.5230769230769231</x:v>
      </x:c>
      <x:c r="M594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594" s="10" t="str">
        <x:v>Прослушать 2–5 минут, выписать 6 фраз и пересказать историю в 3 предложениях.</x:v>
      </x:c>
      <x:c r="O594" s="10" t="str">
        <x:v>Проверить содержание</x:v>
      </x:c>
      <x:c r="P594" s="10" t="str">
        <x:v>Самостоятельное видео</x:v>
      </x:c>
      <x:c r="Q594" s="9" t="str">
        <x:v>Нет</x:v>
      </x:c>
      <x:c r="R594" s="9" t="str">
        <x:v>C043</x:v>
      </x:c>
      <x:c r="S594" s="9" t="str">
        <x:v>C043</x:v>
      </x:c>
      <x:c r="T594" s="10" t="str">
        <x:v>כאן | דיגיטל - תאגיד השידור הישראלי</x:v>
      </x:c>
      <x:c r="U594" s="11" t="str">
        <x:v>https://www.youtube.com/watch?v=dGNEvbcbQjw</x:v>
      </x:c>
      <x:c r="V594" s="16" t="n">
        <x:v>46308</x:v>
      </x:c>
      <x:c r="W594" s="16"/>
      <x:c r="X594" s="10" t="str">
        <x:v>Иврит предполагается по заголовку и источнику</x:v>
      </x:c>
      <x:c r="Y594" s="10" t="str">
        <x:v>Не проверено</x:v>
      </x:c>
      <x:c r="Z594" s="10" t="str">
        <x:v>Не проверено</x:v>
      </x:c>
      <x:c r="AA594" s="10" t="str">
        <x:v>Метаданные списка; видео не просмотрено</x:v>
      </x:c>
      <x:c r="AB594" s="13" t="str">
        <x:f>IF(AND(ISNUMBER(H594),ISNUMBER(W594)),H594/MAX(1,'Обзор'!$B$4-W594),"")</x:f>
      </x:c>
      <x:c r="AC594" s="17" t="str">
        <x:v>Не решено</x:v>
      </x:c>
      <x:c r="AD594" s="17" t="str">
        <x:v>Не проверено</x:v>
      </x:c>
      <x:c r="AE594" s="17" t="str">
        <x:v>Не проверено</x:v>
      </x:c>
      <x:c r="AF594" s="17" t="str">
        <x:v>Не проверено</x:v>
      </x:c>
      <x:c r="AG594" s="17" t="str">
        <x:v>Не решено</x:v>
      </x:c>
      <x:c r="AH594" s="17" t="str">
        <x:v>Не проверено</x:v>
      </x:c>
      <x:c r="AI594" s="10" t="str">
        <x:f>IF(AC594="Отклонить","Отклонено",IF(AND(AC594="Взять",COUNTIFS(AD594:AH594,"Да")=5),"Готово","Нужна редактура"))</x:f>
        <x:v>Нужна редактура</x:v>
      </x:c>
      <x:c r="AJ594" s="17" t="str"/>
      <x:c r="AK594" s="9" t="str">
        <x:v>https://www.youtube.com/playlist?list=PLXv9BeKApRvwx9zh3LqZl-UexiIKULA-7</x:v>
      </x:c>
      <x:c r="AL594" s="9" t="n">
        <x:v>6</x:v>
      </x:c>
      <x:c r="AM594" s="9"/>
      <x:c r="AN594" s="9"/>
    </x:row>
    <x:row r="595" ht="60" customHeight="1">
      <x:c r="A595" s="9" t="str">
        <x:v>AzQlX3D6Plo</x:v>
      </x:c>
      <x:c r="B595" s="10" t="str">
        <x:v>דוקותיים | מה נשאר מהמנהרות של חמאס בעזה?</x:v>
      </x:c>
      <x:c r="C595" s="10" t="str">
        <x:v>Люди и повседневность</x:v>
      </x:c>
      <x:c r="D595" s="9" t="str">
        <x:v>Быт</x:v>
      </x:c>
      <x:c r="E595" s="10" t="str">
        <x:v>Репатрианты; общество; занятые взрослые</x:v>
      </x:c>
      <x:c r="F595" s="10" t="str">
        <x:v>B1–B2 (гипотеза)</x:v>
      </x:c>
      <x:c r="G595" s="12" t="n">
        <x:v>7</x:v>
      </x:c>
      <x:c r="H595" s="14" t="n">
        <x:v>102497</x:v>
      </x:c>
      <x:c r="I595" s="15" t="str">
        <x:v>Точный счётчик метаданных видео</x:v>
      </x:c>
      <x:c r="J595" s="14" t="n">
        <x:v>102000</x:v>
      </x:c>
      <x:c r="K595" s="14" t="n">
        <x:v>32500</x:v>
      </x:c>
      <x:c r="L595" s="12" t="n">
        <x:f>IF(COUNT(J595:K595)=2,IF(K595=0,"",J595/K595),"")</x:f>
        <x:v>3.1384615384615384</x:v>
      </x:c>
      <x:c r="M595" s="10" t="str">
        <x:v>Завершённый короткий просмотр около 7 мин. Просмотры в списке выше медианы выборки этого цикла в 3.14 раза. Короткая история реального человека подходит для ежедневной привычки. Разные профессии и места расширяют взгляд на страну.</x:v>
      </x:c>
      <x:c r="N595" s="10" t="str">
        <x:v>Прослушать 2–5 минут, выписать 6 фраз и пересказать историю в 3 предложениях.</x:v>
      </x:c>
      <x:c r="O595" s="10" t="str">
        <x:v>В заголовке есть чувствительная тема: предварительный просмотр и добровольный выбор. Проверить содержание</x:v>
      </x:c>
      <x:c r="P595" s="10" t="str">
        <x:v>Самостоятельное видео</x:v>
      </x:c>
      <x:c r="Q595" s="9" t="str">
        <x:v>Нет</x:v>
      </x:c>
      <x:c r="R595" s="9" t="str">
        <x:v>C043</x:v>
      </x:c>
      <x:c r="S595" s="9" t="str">
        <x:v>C043</x:v>
      </x:c>
      <x:c r="T595" s="10" t="str">
        <x:v>כאן | דיגיטל - תאגיד השידור הישראלי</x:v>
      </x:c>
      <x:c r="U595" s="11" t="str">
        <x:v>https://www.youtube.com/watch?v=AzQlX3D6Plo</x:v>
      </x:c>
      <x:c r="V595" s="16" t="n">
        <x:v>46308</x:v>
      </x:c>
      <x:c r="W595" s="16" t="n">
        <x:v>46224</x:v>
      </x:c>
      <x:c r="X595" s="10" t="str">
        <x:v>iw</x:v>
      </x:c>
      <x:c r="Y595" s="10" t="str">
        <x:v>Автоматическая дорожка HE по метаданным</x:v>
      </x:c>
      <x:c r="Z595" s="10" t="str">
        <x:v>Разрешено по метаданным</x:v>
      </x:c>
      <x:c r="AA595" s="10" t="str">
        <x:v>Метаданные видео; воспроизведение и содержание не проверены</x:v>
      </x:c>
      <x:c r="AB595" s="13" t="n">
        <x:f>IF(AND(ISNUMBER(H595),ISNUMBER(W595)),H595/MAX(1,'Обзор'!$B$4-W595),"")</x:f>
        <x:v>1220.202380952381</x:v>
      </x:c>
      <x:c r="AC595" s="17" t="str">
        <x:v>Не решено</x:v>
      </x:c>
      <x:c r="AD595" s="17" t="str">
        <x:v>Не проверено</x:v>
      </x:c>
      <x:c r="AE595" s="17" t="str">
        <x:v>Не проверено</x:v>
      </x:c>
      <x:c r="AF595" s="17" t="str">
        <x:v>Не проверено</x:v>
      </x:c>
      <x:c r="AG595" s="17" t="str">
        <x:v>Не решено</x:v>
      </x:c>
      <x:c r="AH595" s="17" t="str">
        <x:v>Не проверено</x:v>
      </x:c>
      <x:c r="AI595" s="10" t="str">
        <x:f>IF(AC595="Отклонить","Отклонено",IF(AND(AC595="Взять",COUNTIFS(AD595:AH595,"Да")=5),"Готово","Нужна редактура"))</x:f>
        <x:v>Нужна редактура</x:v>
      </x:c>
      <x:c r="AJ595" s="17" t="str"/>
      <x:c r="AK595" s="9" t="str">
        <x:v>https://www.youtube.com/playlist?list=PLXv9BeKApRvwx9zh3LqZl-UexiIKULA-7</x:v>
      </x:c>
      <x:c r="AL595" s="9" t="n">
        <x:v>7</x:v>
      </x:c>
      <x:c r="AM595" s="9"/>
      <x:c r="AN595" s="9" t="n">
        <x:v>0</x:v>
      </x:c>
    </x:row>
    <x:row r="596" ht="60" customHeight="1">
      <x:c r="A596" s="9" t="str">
        <x:v>aF9Qme9LnGs</x:v>
      </x:c>
      <x:c r="B596" s="10" t="str">
        <x:v>דוקותיים | יחידת נס"א של צה"ל גילתה שרשת של שערי כדורגל עוצרת לא רק כדורים אלא גם רחפני נפץ</x:v>
      </x:c>
      <x:c r="C596" s="10" t="str">
        <x:v>Люди и повседневность</x:v>
      </x:c>
      <x:c r="D596" s="9" t="str">
        <x:v>Быт</x:v>
      </x:c>
      <x:c r="E596" s="10" t="str">
        <x:v>Репатрианты; общество; занятые взрослые</x:v>
      </x:c>
      <x:c r="F596" s="10" t="str">
        <x:v>B1–B2 (гипотеза)</x:v>
      </x:c>
      <x:c r="G596" s="12" t="n">
        <x:v>5.3</x:v>
      </x:c>
      <x:c r="H596" s="14" t="n">
        <x:v>51484</x:v>
      </x:c>
      <x:c r="I596" s="15" t="str">
        <x:v>Точный счётчик метаданных видео</x:v>
      </x:c>
      <x:c r="J596" s="14" t="n">
        <x:v>51000</x:v>
      </x:c>
      <x:c r="K596" s="14" t="n">
        <x:v>32500</x:v>
      </x:c>
      <x:c r="L596" s="12" t="n">
        <x:f>IF(COUNT(J596:K596)=2,IF(K596=0,"",J596/K596),"")</x:f>
        <x:v>1.5692307692307692</x:v>
      </x:c>
      <x:c r="M596" s="10" t="str">
        <x:v>Завершённый короткий просмотр около 5 мин. Просмотры в списке выше медианы выборки этого цикла в 1.57 раза. Короткая история реального человека подходит для ежедневной привычки. Разные профессии и места расширяют взгляд на страну.</x:v>
      </x:c>
      <x:c r="N596" s="10" t="str">
        <x:v>Прослушать 2–5 минут, выписать 6 фраз и пересказать историю в 3 предложениях.</x:v>
      </x:c>
      <x:c r="O596" s="10" t="str">
        <x:v>Проверить содержание</x:v>
      </x:c>
      <x:c r="P596" s="10" t="str">
        <x:v>Самостоятельное видео</x:v>
      </x:c>
      <x:c r="Q596" s="9" t="str">
        <x:v>Нет</x:v>
      </x:c>
      <x:c r="R596" s="9" t="str">
        <x:v>C043</x:v>
      </x:c>
      <x:c r="S596" s="9" t="str">
        <x:v>C043</x:v>
      </x:c>
      <x:c r="T596" s="10" t="str">
        <x:v>כאן | דיגיטל - תאגיד השידור הישראלי</x:v>
      </x:c>
      <x:c r="U596" s="11" t="str">
        <x:v>https://www.youtube.com/watch?v=aF9Qme9LnGs</x:v>
      </x:c>
      <x:c r="V596" s="16" t="n">
        <x:v>46308</x:v>
      </x:c>
      <x:c r="W596" s="16" t="n">
        <x:v>46210</x:v>
      </x:c>
      <x:c r="X596" s="10" t="str">
        <x:v>Иврит предполагается по заголовку и источнику</x:v>
      </x:c>
      <x:c r="Y596" s="10" t="str">
        <x:v>Автоматическая дорожка HE по метаданным</x:v>
      </x:c>
      <x:c r="Z596" s="10" t="str">
        <x:v>Разрешено по метаданным</x:v>
      </x:c>
      <x:c r="AA596" s="10" t="str">
        <x:v>Метаданные видео; воспроизведение и содержание не проверены</x:v>
      </x:c>
      <x:c r="AB596" s="13" t="n">
        <x:f>IF(AND(ISNUMBER(H596),ISNUMBER(W596)),H596/MAX(1,'Обзор'!$B$4-W596),"")</x:f>
        <x:v>525.3469387755102</x:v>
      </x:c>
      <x:c r="AC596" s="17" t="str">
        <x:v>Не решено</x:v>
      </x:c>
      <x:c r="AD596" s="17" t="str">
        <x:v>Не проверено</x:v>
      </x:c>
      <x:c r="AE596" s="17" t="str">
        <x:v>Не проверено</x:v>
      </x:c>
      <x:c r="AF596" s="17" t="str">
        <x:v>Не проверено</x:v>
      </x:c>
      <x:c r="AG596" s="17" t="str">
        <x:v>Не решено</x:v>
      </x:c>
      <x:c r="AH596" s="17" t="str">
        <x:v>Не проверено</x:v>
      </x:c>
      <x:c r="AI596" s="10" t="str">
        <x:f>IF(AC596="Отклонить","Отклонено",IF(AND(AC596="Взять",COUNTIFS(AD596:AH596,"Да")=5),"Готово","Нужна редактура"))</x:f>
        <x:v>Нужна редактура</x:v>
      </x:c>
      <x:c r="AJ596" s="17" t="str"/>
      <x:c r="AK596" s="9" t="str">
        <x:v>https://www.youtube.com/playlist?list=PLXv9BeKApRvwx9zh3LqZl-UexiIKULA-7</x:v>
      </x:c>
      <x:c r="AL596" s="9" t="n">
        <x:v>8</x:v>
      </x:c>
      <x:c r="AM596" s="9"/>
      <x:c r="AN596" s="9" t="n">
        <x:v>0</x:v>
      </x:c>
    </x:row>
    <x:row r="597" ht="60" customHeight="1">
      <x:c r="A597" s="9" t="str">
        <x:v>tO5zJhQp_iA</x:v>
      </x:c>
      <x:c r="B597" s="10" t="str">
        <x:v>דוקתיים | מיטל חן לא מוותרת לגוף שלה בדרך לאליפות העולם באקרובטיקה אווירית</x:v>
      </x:c>
      <x:c r="C597" s="10" t="str">
        <x:v>Люди и повседневность</x:v>
      </x:c>
      <x:c r="D597" s="9" t="str">
        <x:v>Быт</x:v>
      </x:c>
      <x:c r="E597" s="10" t="str">
        <x:v>Репатрианты; общество; занятые взрослые</x:v>
      </x:c>
      <x:c r="F597" s="10" t="str">
        <x:v>B1–B2 (гипотеза)</x:v>
      </x:c>
      <x:c r="G597" s="12" t="n">
        <x:v>6</x:v>
      </x:c>
      <x:c r="H597" s="14" t="n">
        <x:v>9200</x:v>
      </x:c>
      <x:c r="I597" s="15" t="str">
        <x:v>Округлённый счётчик в списке YouTube</x:v>
      </x:c>
      <x:c r="J597" s="14" t="n">
        <x:v>9200</x:v>
      </x:c>
      <x:c r="K597" s="14" t="n">
        <x:v>32500</x:v>
      </x:c>
      <x:c r="L597" s="12" t="n">
        <x:f>IF(COUNT(J597:K597)=2,IF(K597=0,"",J597/K597),"")</x:f>
        <x:v>0.28307692307692306</x:v>
      </x:c>
      <x:c r="M597" s="10" t="str">
        <x:v>Завершённый короткий просмотр около 6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597" s="10" t="str">
        <x:v>Прослушать 2–5 минут, выписать 6 фраз и пересказать историю в 3 предложениях.</x:v>
      </x:c>
      <x:c r="O597" s="10" t="str">
        <x:v>Проверить содержание</x:v>
      </x:c>
      <x:c r="P597" s="10" t="str">
        <x:v>Самостоятельное видео</x:v>
      </x:c>
      <x:c r="Q597" s="9" t="str">
        <x:v>Нет</x:v>
      </x:c>
      <x:c r="R597" s="9" t="str">
        <x:v>C043</x:v>
      </x:c>
      <x:c r="S597" s="9" t="str">
        <x:v>C043</x:v>
      </x:c>
      <x:c r="T597" s="10" t="str">
        <x:v>כאן | דיגיטל - תאגיד השידור הישראלי</x:v>
      </x:c>
      <x:c r="U597" s="11" t="str">
        <x:v>https://www.youtube.com/watch?v=tO5zJhQp_iA</x:v>
      </x:c>
      <x:c r="V597" s="16" t="n">
        <x:v>46308</x:v>
      </x:c>
      <x:c r="W597" s="16"/>
      <x:c r="X597" s="10" t="str">
        <x:v>Иврит предполагается по заголовку и источнику</x:v>
      </x:c>
      <x:c r="Y597" s="10" t="str">
        <x:v>Не проверено</x:v>
      </x:c>
      <x:c r="Z597" s="10" t="str">
        <x:v>Не проверено</x:v>
      </x:c>
      <x:c r="AA597" s="10" t="str">
        <x:v>Метаданные списка; видео не просмотрено</x:v>
      </x:c>
      <x:c r="AB597" s="13" t="str">
        <x:f>IF(AND(ISNUMBER(H597),ISNUMBER(W597)),H597/MAX(1,'Обзор'!$B$4-W597),"")</x:f>
      </x:c>
      <x:c r="AC597" s="17" t="str">
        <x:v>Не решено</x:v>
      </x:c>
      <x:c r="AD597" s="17" t="str">
        <x:v>Не проверено</x:v>
      </x:c>
      <x:c r="AE597" s="17" t="str">
        <x:v>Не проверено</x:v>
      </x:c>
      <x:c r="AF597" s="17" t="str">
        <x:v>Не проверено</x:v>
      </x:c>
      <x:c r="AG597" s="17" t="str">
        <x:v>Не решено</x:v>
      </x:c>
      <x:c r="AH597" s="17" t="str">
        <x:v>Не проверено</x:v>
      </x:c>
      <x:c r="AI597" s="10" t="str">
        <x:f>IF(AC597="Отклонить","Отклонено",IF(AND(AC597="Взять",COUNTIFS(AD597:AH597,"Да")=5),"Готово","Нужна редактура"))</x:f>
        <x:v>Нужна редактура</x:v>
      </x:c>
      <x:c r="AJ597" s="17" t="str"/>
      <x:c r="AK597" s="9" t="str">
        <x:v>https://www.youtube.com/playlist?list=PLXv9BeKApRvwx9zh3LqZl-UexiIKULA-7</x:v>
      </x:c>
      <x:c r="AL597" s="9" t="n">
        <x:v>9</x:v>
      </x:c>
      <x:c r="AM597" s="9"/>
      <x:c r="AN597" s="9"/>
    </x:row>
    <x:row r="598" ht="60" customHeight="1">
      <x:c r="A598" s="9" t="str">
        <x:v>5LZSSkQfcoE</x:v>
      </x:c>
      <x:c r="B598" s="10" t="str">
        <x:v>דוקותיים | *בסרטון נשמעות התרעות מוקלטות" רבש"ץ הקיבוץ משגב עם שכבר לא מפחד מרחפנים</x:v>
      </x:c>
      <x:c r="C598" s="10" t="str">
        <x:v>Люди и повседневность</x:v>
      </x:c>
      <x:c r="D598" s="9" t="str">
        <x:v>Быт</x:v>
      </x:c>
      <x:c r="E598" s="10" t="str">
        <x:v>Репатрианты; общество; занятые взрослые</x:v>
      </x:c>
      <x:c r="F598" s="10" t="str">
        <x:v>B1–B2 (гипотеза)</x:v>
      </x:c>
      <x:c r="G598" s="12" t="n">
        <x:v>6.4</x:v>
      </x:c>
      <x:c r="H598" s="14" t="n">
        <x:v>20000</x:v>
      </x:c>
      <x:c r="I598" s="15" t="str">
        <x:v>Округлённый счётчик в списке YouTube</x:v>
      </x:c>
      <x:c r="J598" s="14" t="n">
        <x:v>20000</x:v>
      </x:c>
      <x:c r="K598" s="14" t="n">
        <x:v>32500</x:v>
      </x:c>
      <x:c r="L598" s="12" t="n">
        <x:f>IF(COUNT(J598:K598)=2,IF(K598=0,"",J598/K598),"")</x:f>
        <x:v>0.6153846153846154</x:v>
      </x:c>
      <x:c r="M598" s="10" t="str">
        <x:v>Завершённый короткий просмотр около 6 мин. Короткая история реального человека подходит для ежедневной привычки. Разные профессии и места расширяют взгляд на страну.</x:v>
      </x:c>
      <x:c r="N598" s="10" t="str">
        <x:v>Прослушать 2–5 минут, выписать 6 фраз и пересказать историю в 3 предложениях.</x:v>
      </x:c>
      <x:c r="O598" s="10" t="str">
        <x:v>Проверить содержание</x:v>
      </x:c>
      <x:c r="P598" s="10" t="str">
        <x:v>Самостоятельное видео</x:v>
      </x:c>
      <x:c r="Q598" s="9" t="str">
        <x:v>Нет</x:v>
      </x:c>
      <x:c r="R598" s="9" t="str">
        <x:v>C043</x:v>
      </x:c>
      <x:c r="S598" s="9" t="str">
        <x:v>C043</x:v>
      </x:c>
      <x:c r="T598" s="10" t="str">
        <x:v>כאן | דיגיטל - תאגיד השידור הישראלי</x:v>
      </x:c>
      <x:c r="U598" s="11" t="str">
        <x:v>https://www.youtube.com/watch?v=5LZSSkQfcoE</x:v>
      </x:c>
      <x:c r="V598" s="16" t="n">
        <x:v>46308</x:v>
      </x:c>
      <x:c r="W598" s="16"/>
      <x:c r="X598" s="10" t="str">
        <x:v>Иврит предполагается по заголовку и источнику</x:v>
      </x:c>
      <x:c r="Y598" s="10" t="str">
        <x:v>Не проверено</x:v>
      </x:c>
      <x:c r="Z598" s="10" t="str">
        <x:v>Не проверено</x:v>
      </x:c>
      <x:c r="AA598" s="10" t="str">
        <x:v>Метаданные списка; видео не просмотрено</x:v>
      </x:c>
      <x:c r="AB598" s="13" t="str">
        <x:f>IF(AND(ISNUMBER(H598),ISNUMBER(W598)),H598/MAX(1,'Обзор'!$B$4-W598),"")</x:f>
      </x:c>
      <x:c r="AC598" s="17" t="str">
        <x:v>Не решено</x:v>
      </x:c>
      <x:c r="AD598" s="17" t="str">
        <x:v>Не проверено</x:v>
      </x:c>
      <x:c r="AE598" s="17" t="str">
        <x:v>Не проверено</x:v>
      </x:c>
      <x:c r="AF598" s="17" t="str">
        <x:v>Не проверено</x:v>
      </x:c>
      <x:c r="AG598" s="17" t="str">
        <x:v>Не решено</x:v>
      </x:c>
      <x:c r="AH598" s="17" t="str">
        <x:v>Не проверено</x:v>
      </x:c>
      <x:c r="AI598" s="10" t="str">
        <x:f>IF(AC598="Отклонить","Отклонено",IF(AND(AC598="Взять",COUNTIFS(AD598:AH598,"Да")=5),"Готово","Нужна редактура"))</x:f>
        <x:v>Нужна редактура</x:v>
      </x:c>
      <x:c r="AJ598" s="17" t="str"/>
      <x:c r="AK598" s="9" t="str">
        <x:v>https://www.youtube.com/playlist?list=PLXv9BeKApRvwx9zh3LqZl-UexiIKULA-7</x:v>
      </x:c>
      <x:c r="AL598" s="9" t="n">
        <x:v>10</x:v>
      </x:c>
      <x:c r="AM598" s="9"/>
      <x:c r="AN598" s="9"/>
    </x:row>
    <x:row r="599" ht="60" customHeight="1">
      <x:c r="A599" s="9" t="str">
        <x:v>eIJ7_dlQ4I8</x:v>
      </x:c>
      <x:c r="B599" s="10" t="str">
        <x:v>דוקותיים | החיילים בבסיס רמת דוד עובדים סביב השעון כדי שכולנו נרגיש בטוחים</x:v>
      </x:c>
      <x:c r="C599" s="10" t="str">
        <x:v>Люди и повседневность</x:v>
      </x:c>
      <x:c r="D599" s="9" t="str">
        <x:v>Быт</x:v>
      </x:c>
      <x:c r="E599" s="10" t="str">
        <x:v>Репатрианты; общество; занятые взрослые</x:v>
      </x:c>
      <x:c r="F599" s="10" t="str">
        <x:v>B1–B2 (гипотеза)</x:v>
      </x:c>
      <x:c r="G599" s="12" t="n">
        <x:v>3.5</x:v>
      </x:c>
      <x:c r="H599" s="14" t="n">
        <x:v>7400</x:v>
      </x:c>
      <x:c r="I599" s="15" t="str">
        <x:v>Округлённый счётчик в списке YouTube</x:v>
      </x:c>
      <x:c r="J599" s="14" t="n">
        <x:v>7400</x:v>
      </x:c>
      <x:c r="K599" s="14" t="n">
        <x:v>32500</x:v>
      </x:c>
      <x:c r="L599" s="12" t="n">
        <x:f>IF(COUNT(J599:K599)=2,IF(K599=0,"",J599/K599),"")</x:f>
        <x:v>0.2276923076923077</x:v>
      </x:c>
      <x:c r="M599" s="10" t="str">
        <x:v>Завершённый короткий просмотр около 4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599" s="10" t="str">
        <x:v>Прослушать 2–5 минут, выписать 6 фраз и пересказать историю в 3 предложениях.</x:v>
      </x:c>
      <x:c r="O599" s="10" t="str">
        <x:v>Проверить содержание</x:v>
      </x:c>
      <x:c r="P599" s="10" t="str">
        <x:v>Самостоятельное видео</x:v>
      </x:c>
      <x:c r="Q599" s="9" t="str">
        <x:v>Нет</x:v>
      </x:c>
      <x:c r="R599" s="9" t="str">
        <x:v>C043</x:v>
      </x:c>
      <x:c r="S599" s="9" t="str">
        <x:v>C043</x:v>
      </x:c>
      <x:c r="T599" s="10" t="str">
        <x:v>כאן | דיגיטל - תאגיד השידור הישראלי</x:v>
      </x:c>
      <x:c r="U599" s="11" t="str">
        <x:v>https://www.youtube.com/watch?v=eIJ7_dlQ4I8</x:v>
      </x:c>
      <x:c r="V599" s="16" t="n">
        <x:v>46308</x:v>
      </x:c>
      <x:c r="W599" s="16"/>
      <x:c r="X599" s="10" t="str">
        <x:v>Иврит предполагается по заголовку и источнику</x:v>
      </x:c>
      <x:c r="Y599" s="10" t="str">
        <x:v>Не проверено</x:v>
      </x:c>
      <x:c r="Z599" s="10" t="str">
        <x:v>Не проверено</x:v>
      </x:c>
      <x:c r="AA599" s="10" t="str">
        <x:v>Метаданные списка; видео не просмотрено</x:v>
      </x:c>
      <x:c r="AB599" s="13" t="str">
        <x:f>IF(AND(ISNUMBER(H599),ISNUMBER(W599)),H599/MAX(1,'Обзор'!$B$4-W599),"")</x:f>
      </x:c>
      <x:c r="AC599" s="17" t="str">
        <x:v>Не решено</x:v>
      </x:c>
      <x:c r="AD599" s="17" t="str">
        <x:v>Не проверено</x:v>
      </x:c>
      <x:c r="AE599" s="17" t="str">
        <x:v>Не проверено</x:v>
      </x:c>
      <x:c r="AF599" s="17" t="str">
        <x:v>Не проверено</x:v>
      </x:c>
      <x:c r="AG599" s="17" t="str">
        <x:v>Не решено</x:v>
      </x:c>
      <x:c r="AH599" s="17" t="str">
        <x:v>Не проверено</x:v>
      </x:c>
      <x:c r="AI599" s="10" t="str">
        <x:f>IF(AC599="Отклонить","Отклонено",IF(AND(AC599="Взять",COUNTIFS(AD599:AH599,"Да")=5),"Готово","Нужна редактура"))</x:f>
        <x:v>Нужна редактура</x:v>
      </x:c>
      <x:c r="AJ599" s="17" t="str"/>
      <x:c r="AK599" s="9" t="str">
        <x:v>https://www.youtube.com/playlist?list=PLXv9BeKApRvwx9zh3LqZl-UexiIKULA-7</x:v>
      </x:c>
      <x:c r="AL599" s="9" t="n">
        <x:v>11</x:v>
      </x:c>
      <x:c r="AM599" s="9"/>
      <x:c r="AN599" s="9"/>
    </x:row>
    <x:row r="600" ht="60" customHeight="1">
      <x:c r="A600" s="9" t="str">
        <x:v>MjVReufxDR0</x:v>
      </x:c>
      <x:c r="B600" s="10" t="str">
        <x:v>דוקותיים | איל, בן 19, מציף את יהודה ושומרון בדגלי ישראל לכבוד ריבונו של עולם</x:v>
      </x:c>
      <x:c r="C600" s="10" t="str">
        <x:v>Люди и повседневность</x:v>
      </x:c>
      <x:c r="D600" s="9" t="str">
        <x:v>Быт</x:v>
      </x:c>
      <x:c r="E600" s="10" t="str">
        <x:v>Репатрианты; общество; занятые взрослые</x:v>
      </x:c>
      <x:c r="F600" s="10" t="str">
        <x:v>B1–B2 (гипотеза)</x:v>
      </x:c>
      <x:c r="G600" s="12" t="n">
        <x:v>5.1</x:v>
      </x:c>
      <x:c r="H600" s="14" t="n">
        <x:v>46560</x:v>
      </x:c>
      <x:c r="I600" s="15" t="str">
        <x:v>Точный счётчик метаданных видео</x:v>
      </x:c>
      <x:c r="J600" s="14" t="n">
        <x:v>46000</x:v>
      </x:c>
      <x:c r="K600" s="14" t="n">
        <x:v>32500</x:v>
      </x:c>
      <x:c r="L600" s="12" t="n">
        <x:f>IF(COUNT(J600:K600)=2,IF(K600=0,"",J600/K600),"")</x:f>
        <x:v>1.4153846153846155</x:v>
      </x:c>
      <x:c r="M600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600" s="10" t="str">
        <x:v>Прослушать 2–5 минут, выписать 6 фраз и пересказать историю в 3 предложениях.</x:v>
      </x:c>
      <x:c r="O600" s="10" t="str">
        <x:v>Проверить содержание</x:v>
      </x:c>
      <x:c r="P600" s="10" t="str">
        <x:v>Самостоятельное видео</x:v>
      </x:c>
      <x:c r="Q600" s="9" t="str">
        <x:v>Нет</x:v>
      </x:c>
      <x:c r="R600" s="9" t="str">
        <x:v>C043</x:v>
      </x:c>
      <x:c r="S600" s="9" t="str">
        <x:v>C043</x:v>
      </x:c>
      <x:c r="T600" s="10" t="str">
        <x:v>כאן | דיגיטל - תאגיד השידור הישראלי</x:v>
      </x:c>
      <x:c r="U600" s="11" t="str">
        <x:v>https://www.youtube.com/watch?v=MjVReufxDR0</x:v>
      </x:c>
      <x:c r="V600" s="16" t="n">
        <x:v>46308</x:v>
      </x:c>
      <x:c r="W600" s="16" t="n">
        <x:v>46175</x:v>
      </x:c>
      <x:c r="X600" s="10" t="str">
        <x:v>Иврит предполагается по заголовку и источнику</x:v>
      </x:c>
      <x:c r="Y600" s="10" t="str">
        <x:v>Автоматическая дорожка HE по метаданным</x:v>
      </x:c>
      <x:c r="Z600" s="10" t="str">
        <x:v>Разрешено по метаданным</x:v>
      </x:c>
      <x:c r="AA600" s="10" t="str">
        <x:v>Метаданные видео; воспроизведение и содержание не проверены</x:v>
      </x:c>
      <x:c r="AB600" s="13" t="n">
        <x:f>IF(AND(ISNUMBER(H600),ISNUMBER(W600)),H600/MAX(1,'Обзор'!$B$4-W600),"")</x:f>
        <x:v>350.0751879699248</x:v>
      </x:c>
      <x:c r="AC600" s="17" t="str">
        <x:v>Не решено</x:v>
      </x:c>
      <x:c r="AD600" s="17" t="str">
        <x:v>Не проверено</x:v>
      </x:c>
      <x:c r="AE600" s="17" t="str">
        <x:v>Не проверено</x:v>
      </x:c>
      <x:c r="AF600" s="17" t="str">
        <x:v>Не проверено</x:v>
      </x:c>
      <x:c r="AG600" s="17" t="str">
        <x:v>Не решено</x:v>
      </x:c>
      <x:c r="AH600" s="17" t="str">
        <x:v>Не проверено</x:v>
      </x:c>
      <x:c r="AI600" s="10" t="str">
        <x:f>IF(AC600="Отклонить","Отклонено",IF(AND(AC600="Взять",COUNTIFS(AD600:AH600,"Да")=5),"Готово","Нужна редактура"))</x:f>
        <x:v>Нужна редактура</x:v>
      </x:c>
      <x:c r="AJ600" s="17" t="str"/>
      <x:c r="AK600" s="9" t="str">
        <x:v>https://www.youtube.com/playlist?list=PLXv9BeKApRvwx9zh3LqZl-UexiIKULA-7</x:v>
      </x:c>
      <x:c r="AL600" s="9" t="n">
        <x:v>12</x:v>
      </x:c>
      <x:c r="AM600" s="9"/>
      <x:c r="AN600" s="9" t="n">
        <x:v>0</x:v>
      </x:c>
    </x:row>
    <x:row r="601" ht="60" customHeight="1">
      <x:c r="A601" s="9" t="str">
        <x:v>oAO2F-EssOM</x:v>
      </x:c>
      <x:c r="B601" s="10" t="str">
        <x:v>דוקותיים | מתן הגשים את חלום ילדותו והפך לרקדן בטן</x:v>
      </x:c>
      <x:c r="C601" s="10" t="str">
        <x:v>Люди и повседневность</x:v>
      </x:c>
      <x:c r="D601" s="9" t="str">
        <x:v>Быт</x:v>
      </x:c>
      <x:c r="E601" s="10" t="str">
        <x:v>Репатрианты; общество; занятые взрослые</x:v>
      </x:c>
      <x:c r="F601" s="10" t="str">
        <x:v>B1–B2 (гипотеза)</x:v>
      </x:c>
      <x:c r="G601" s="12" t="n">
        <x:v>7.2</x:v>
      </x:c>
      <x:c r="H601" s="14" t="n">
        <x:v>8700</x:v>
      </x:c>
      <x:c r="I601" s="15" t="str">
        <x:v>Округлённый счётчик в списке YouTube</x:v>
      </x:c>
      <x:c r="J601" s="14" t="n">
        <x:v>8700</x:v>
      </x:c>
      <x:c r="K601" s="14" t="n">
        <x:v>32500</x:v>
      </x:c>
      <x:c r="L601" s="12" t="n">
        <x:f>IF(COUNT(J601:K601)=2,IF(K601=0,"",J601/K601),"")</x:f>
        <x:v>0.2676923076923077</x:v>
      </x:c>
      <x:c r="M601" s="10" t="str">
        <x:v>Завершённый короткий просмотр около 7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01" s="10" t="str">
        <x:v>Прослушать 2–5 минут, выписать 6 фраз и пересказать историю в 3 предложениях.</x:v>
      </x:c>
      <x:c r="O601" s="10" t="str">
        <x:v>Проверить содержание</x:v>
      </x:c>
      <x:c r="P601" s="10" t="str">
        <x:v>Самостоятельное видео</x:v>
      </x:c>
      <x:c r="Q601" s="9" t="str">
        <x:v>Нет</x:v>
      </x:c>
      <x:c r="R601" s="9" t="str">
        <x:v>C043</x:v>
      </x:c>
      <x:c r="S601" s="9" t="str">
        <x:v>C043</x:v>
      </x:c>
      <x:c r="T601" s="10" t="str">
        <x:v>כאן | דיגיטל - תאגיד השידור הישראלי</x:v>
      </x:c>
      <x:c r="U601" s="11" t="str">
        <x:v>https://www.youtube.com/watch?v=oAO2F-EssOM</x:v>
      </x:c>
      <x:c r="V601" s="16" t="n">
        <x:v>46308</x:v>
      </x:c>
      <x:c r="W601" s="16"/>
      <x:c r="X601" s="10" t="str">
        <x:v>Иврит предполагается по заголовку и источнику</x:v>
      </x:c>
      <x:c r="Y601" s="10" t="str">
        <x:v>Не проверено</x:v>
      </x:c>
      <x:c r="Z601" s="10" t="str">
        <x:v>Не проверено</x:v>
      </x:c>
      <x:c r="AA601" s="10" t="str">
        <x:v>Метаданные списка; видео не просмотрено</x:v>
      </x:c>
      <x:c r="AB601" s="13" t="str">
        <x:f>IF(AND(ISNUMBER(H601),ISNUMBER(W601)),H601/MAX(1,'Обзор'!$B$4-W601),"")</x:f>
      </x:c>
      <x:c r="AC601" s="17" t="str">
        <x:v>Не решено</x:v>
      </x:c>
      <x:c r="AD601" s="17" t="str">
        <x:v>Не проверено</x:v>
      </x:c>
      <x:c r="AE601" s="17" t="str">
        <x:v>Не проверено</x:v>
      </x:c>
      <x:c r="AF601" s="17" t="str">
        <x:v>Не проверено</x:v>
      </x:c>
      <x:c r="AG601" s="17" t="str">
        <x:v>Не решено</x:v>
      </x:c>
      <x:c r="AH601" s="17" t="str">
        <x:v>Не проверено</x:v>
      </x:c>
      <x:c r="AI601" s="10" t="str">
        <x:f>IF(AC601="Отклонить","Отклонено",IF(AND(AC601="Взять",COUNTIFS(AD601:AH601,"Да")=5),"Готово","Нужна редактура"))</x:f>
        <x:v>Нужна редактура</x:v>
      </x:c>
      <x:c r="AJ601" s="17" t="str"/>
      <x:c r="AK601" s="9" t="str">
        <x:v>https://www.youtube.com/playlist?list=PLXv9BeKApRvwx9zh3LqZl-UexiIKULA-7</x:v>
      </x:c>
      <x:c r="AL601" s="9" t="n">
        <x:v>13</x:v>
      </x:c>
      <x:c r="AM601" s="9"/>
      <x:c r="AN601" s="9"/>
    </x:row>
    <x:row r="602" ht="60" customHeight="1">
      <x:c r="A602" s="9" t="str">
        <x:v>bUcXhJylojw</x:v>
      </x:c>
      <x:c r="B602" s="10" t="str">
        <x:v>דוקותיים | די-ג'יי עדי אפל איבד את כל רכושו בפגיעת טיל על ביתו אבל הוא לא מוותר על המוזיקה</x:v>
      </x:c>
      <x:c r="C602" s="10" t="str">
        <x:v>Люди и повседневность</x:v>
      </x:c>
      <x:c r="D602" s="9" t="str">
        <x:v>Быт</x:v>
      </x:c>
      <x:c r="E602" s="10" t="str">
        <x:v>Репатрианты; общество; занятые взрослые</x:v>
      </x:c>
      <x:c r="F602" s="10" t="str">
        <x:v>B1–B2 (гипотеза)</x:v>
      </x:c>
      <x:c r="G602" s="12" t="n">
        <x:v>5.4</x:v>
      </x:c>
      <x:c r="H602" s="14" t="n">
        <x:v>10000</x:v>
      </x:c>
      <x:c r="I602" s="15" t="str">
        <x:v>Округлённый счётчик в списке YouTube</x:v>
      </x:c>
      <x:c r="J602" s="14" t="n">
        <x:v>10000</x:v>
      </x:c>
      <x:c r="K602" s="14" t="n">
        <x:v>32500</x:v>
      </x:c>
      <x:c r="L602" s="12" t="n">
        <x:f>IF(COUNT(J602:K602)=2,IF(K602=0,"",J602/K602),"")</x:f>
        <x:v>0.3076923076923077</x:v>
      </x:c>
      <x:c r="M602" s="10" t="str">
        <x:v>Завершённый короткий просмотр около 5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02" s="10" t="str">
        <x:v>Прослушать 2–5 минут, выписать 6 фраз и пересказать историю в 3 предложениях.</x:v>
      </x:c>
      <x:c r="O602" s="10" t="str">
        <x:v>Проверить содержание</x:v>
      </x:c>
      <x:c r="P602" s="10" t="str">
        <x:v>Самостоятельное видео</x:v>
      </x:c>
      <x:c r="Q602" s="9" t="str">
        <x:v>Нет</x:v>
      </x:c>
      <x:c r="R602" s="9" t="str">
        <x:v>C043</x:v>
      </x:c>
      <x:c r="S602" s="9" t="str">
        <x:v>C043</x:v>
      </x:c>
      <x:c r="T602" s="10" t="str">
        <x:v>כאן | דיגיטל - תאגיד השידור הישראלי</x:v>
      </x:c>
      <x:c r="U602" s="11" t="str">
        <x:v>https://www.youtube.com/watch?v=bUcXhJylojw</x:v>
      </x:c>
      <x:c r="V602" s="16" t="n">
        <x:v>46308</x:v>
      </x:c>
      <x:c r="W602" s="16"/>
      <x:c r="X602" s="10" t="str">
        <x:v>Иврит предполагается по заголовку и источнику</x:v>
      </x:c>
      <x:c r="Y602" s="10" t="str">
        <x:v>Не проверено</x:v>
      </x:c>
      <x:c r="Z602" s="10" t="str">
        <x:v>Не проверено</x:v>
      </x:c>
      <x:c r="AA602" s="10" t="str">
        <x:v>Метаданные списка; видео не просмотрено</x:v>
      </x:c>
      <x:c r="AB602" s="13" t="str">
        <x:f>IF(AND(ISNUMBER(H602),ISNUMBER(W602)),H602/MAX(1,'Обзор'!$B$4-W602),"")</x:f>
      </x:c>
      <x:c r="AC602" s="17" t="str">
        <x:v>Не решено</x:v>
      </x:c>
      <x:c r="AD602" s="17" t="str">
        <x:v>Не проверено</x:v>
      </x:c>
      <x:c r="AE602" s="17" t="str">
        <x:v>Не проверено</x:v>
      </x:c>
      <x:c r="AF602" s="17" t="str">
        <x:v>Не проверено</x:v>
      </x:c>
      <x:c r="AG602" s="17" t="str">
        <x:v>Не решено</x:v>
      </x:c>
      <x:c r="AH602" s="17" t="str">
        <x:v>Не проверено</x:v>
      </x:c>
      <x:c r="AI602" s="10" t="str">
        <x:f>IF(AC602="Отклонить","Отклонено",IF(AND(AC602="Взять",COUNTIFS(AD602:AH602,"Да")=5),"Готово","Нужна редактура"))</x:f>
        <x:v>Нужна редактура</x:v>
      </x:c>
      <x:c r="AJ602" s="17" t="str"/>
      <x:c r="AK602" s="9" t="str">
        <x:v>https://www.youtube.com/playlist?list=PLXv9BeKApRvwx9zh3LqZl-UexiIKULA-7</x:v>
      </x:c>
      <x:c r="AL602" s="9" t="n">
        <x:v>14</x:v>
      </x:c>
      <x:c r="AM602" s="9"/>
      <x:c r="AN602" s="9"/>
    </x:row>
    <x:row r="603" ht="60" customHeight="1">
      <x:c r="A603" s="9" t="str">
        <x:v>GDBJrotrDGg</x:v>
      </x:c>
      <x:c r="B603" s="10" t="str">
        <x:v>דוקותיים | עומר מדבר עם קופים במקלט הכי גדול בעולם</x:v>
      </x:c>
      <x:c r="C603" s="10" t="str">
        <x:v>Люди и повседневность</x:v>
      </x:c>
      <x:c r="D603" s="9" t="str">
        <x:v>Быт</x:v>
      </x:c>
      <x:c r="E603" s="10" t="str">
        <x:v>Репатрианты; общество; занятые взрослые</x:v>
      </x:c>
      <x:c r="F603" s="10" t="str">
        <x:v>B1–B2 (гипотеза)</x:v>
      </x:c>
      <x:c r="G603" s="12" t="n">
        <x:v>4.4</x:v>
      </x:c>
      <x:c r="H603" s="14" t="n">
        <x:v>33715</x:v>
      </x:c>
      <x:c r="I603" s="15" t="str">
        <x:v>Точный счётчик метаданных видео</x:v>
      </x:c>
      <x:c r="J603" s="14" t="n">
        <x:v>33000</x:v>
      </x:c>
      <x:c r="K603" s="14" t="n">
        <x:v>32500</x:v>
      </x:c>
      <x:c r="L603" s="12" t="n">
        <x:f>IF(COUNT(J603:K603)=2,IF(K603=0,"",J603/K603),"")</x:f>
        <x:v>1.0153846153846153</x:v>
      </x:c>
      <x:c r="M603" s="10" t="str">
        <x:v>Завершённый короткий просмотр около 4 мин. Короткая история реального человека подходит для ежедневной привычки. Разные профессии и места расширяют взгляд на страну.</x:v>
      </x:c>
      <x:c r="N603" s="10" t="str">
        <x:v>Прослушать 2–5 минут, выписать 6 фраз и пересказать историю в 3 предложениях.</x:v>
      </x:c>
      <x:c r="O603" s="10" t="str">
        <x:v>Проверить содержание</x:v>
      </x:c>
      <x:c r="P603" s="10" t="str">
        <x:v>Самостоятельное видео</x:v>
      </x:c>
      <x:c r="Q603" s="9" t="str">
        <x:v>Нет</x:v>
      </x:c>
      <x:c r="R603" s="9" t="str">
        <x:v>C043</x:v>
      </x:c>
      <x:c r="S603" s="9" t="str">
        <x:v>C043</x:v>
      </x:c>
      <x:c r="T603" s="10" t="str">
        <x:v>כאן | דיגיטל - תאגיד השידור הישראלי</x:v>
      </x:c>
      <x:c r="U603" s="11" t="str">
        <x:v>https://www.youtube.com/watch?v=GDBJrotrDGg</x:v>
      </x:c>
      <x:c r="V603" s="16" t="n">
        <x:v>46308</x:v>
      </x:c>
      <x:c r="W603" s="16" t="n">
        <x:v>46147</x:v>
      </x:c>
      <x:c r="X603" s="10" t="str">
        <x:v>Иврит предполагается по заголовку и источнику</x:v>
      </x:c>
      <x:c r="Y603" s="10" t="str">
        <x:v>Автоматическая дорожка HE по метаданным</x:v>
      </x:c>
      <x:c r="Z603" s="10" t="str">
        <x:v>Разрешено по метаданным</x:v>
      </x:c>
      <x:c r="AA603" s="10" t="str">
        <x:v>Метаданные видео; воспроизведение и содержание не проверены</x:v>
      </x:c>
      <x:c r="AB603" s="13" t="n">
        <x:f>IF(AND(ISNUMBER(H603),ISNUMBER(W603)),H603/MAX(1,'Обзор'!$B$4-W603),"")</x:f>
        <x:v>209.40993788819875</x:v>
      </x:c>
      <x:c r="AC603" s="17" t="str">
        <x:v>Не решено</x:v>
      </x:c>
      <x:c r="AD603" s="17" t="str">
        <x:v>Не проверено</x:v>
      </x:c>
      <x:c r="AE603" s="17" t="str">
        <x:v>Не проверено</x:v>
      </x:c>
      <x:c r="AF603" s="17" t="str">
        <x:v>Не проверено</x:v>
      </x:c>
      <x:c r="AG603" s="17" t="str">
        <x:v>Не решено</x:v>
      </x:c>
      <x:c r="AH603" s="17" t="str">
        <x:v>Не проверено</x:v>
      </x:c>
      <x:c r="AI603" s="10" t="str">
        <x:f>IF(AC603="Отклонить","Отклонено",IF(AND(AC603="Взять",COUNTIFS(AD603:AH603,"Да")=5),"Готово","Нужна редактура"))</x:f>
        <x:v>Нужна редактура</x:v>
      </x:c>
      <x:c r="AJ603" s="17" t="str"/>
      <x:c r="AK603" s="9" t="str">
        <x:v>https://www.youtube.com/playlist?list=PLXv9BeKApRvwx9zh3LqZl-UexiIKULA-7</x:v>
      </x:c>
      <x:c r="AL603" s="9" t="n">
        <x:v>15</x:v>
      </x:c>
      <x:c r="AM603" s="9"/>
      <x:c r="AN603" s="9" t="n">
        <x:v>0</x:v>
      </x:c>
    </x:row>
    <x:row r="604" ht="60" customHeight="1">
      <x:c r="A604" s="9" t="str">
        <x:v>mlebPwzO4wY</x:v>
      </x:c>
      <x:c r="B604" s="10" t="str">
        <x:v>דוקותיים | אלי טהר, יו"ר יד לבנים, פגש את השכול 3 פעמים והפך את האובדן לשליחות חייו</x:v>
      </x:c>
      <x:c r="C604" s="10" t="str">
        <x:v>Люди и повседневность</x:v>
      </x:c>
      <x:c r="D604" s="9" t="str">
        <x:v>Быт</x:v>
      </x:c>
      <x:c r="E604" s="10" t="str">
        <x:v>Репатрианты; общество; занятые взрослые</x:v>
      </x:c>
      <x:c r="F604" s="10" t="str">
        <x:v>B1–B2 (гипотеза)</x:v>
      </x:c>
      <x:c r="G604" s="12" t="n">
        <x:v>6.1</x:v>
      </x:c>
      <x:c r="H604" s="14" t="n">
        <x:v>10000</x:v>
      </x:c>
      <x:c r="I604" s="15" t="str">
        <x:v>Округлённый счётчик в списке YouTube</x:v>
      </x:c>
      <x:c r="J604" s="14" t="n">
        <x:v>10000</x:v>
      </x:c>
      <x:c r="K604" s="14" t="n">
        <x:v>32500</x:v>
      </x:c>
      <x:c r="L604" s="12" t="n">
        <x:f>IF(COUNT(J604:K604)=2,IF(K604=0,"",J604/K604),"")</x:f>
        <x:v>0.3076923076923077</x:v>
      </x:c>
      <x:c r="M604" s="10" t="str">
        <x:v>Завершённый короткий просмотр около 6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04" s="10" t="str">
        <x:v>Прослушать 2–5 минут, выписать 6 фраз и пересказать историю в 3 предложениях.</x:v>
      </x:c>
      <x:c r="O604" s="10" t="str">
        <x:v>Проверить содержание</x:v>
      </x:c>
      <x:c r="P604" s="10" t="str">
        <x:v>Самостоятельное видео</x:v>
      </x:c>
      <x:c r="Q604" s="9" t="str">
        <x:v>Нет</x:v>
      </x:c>
      <x:c r="R604" s="9" t="str">
        <x:v>C043</x:v>
      </x:c>
      <x:c r="S604" s="9" t="str">
        <x:v>C043</x:v>
      </x:c>
      <x:c r="T604" s="10" t="str">
        <x:v>כאן | דיגיטל - תאגיד השידור הישראלי</x:v>
      </x:c>
      <x:c r="U604" s="11" t="str">
        <x:v>https://www.youtube.com/watch?v=mlebPwzO4wY</x:v>
      </x:c>
      <x:c r="V604" s="16" t="n">
        <x:v>46308</x:v>
      </x:c>
      <x:c r="W604" s="16"/>
      <x:c r="X604" s="10" t="str">
        <x:v>Иврит предполагается по заголовку и источнику</x:v>
      </x:c>
      <x:c r="Y604" s="10" t="str">
        <x:v>Не проверено</x:v>
      </x:c>
      <x:c r="Z604" s="10" t="str">
        <x:v>Не проверено</x:v>
      </x:c>
      <x:c r="AA604" s="10" t="str">
        <x:v>Метаданные списка; видео не просмотрено</x:v>
      </x:c>
      <x:c r="AB604" s="13" t="str">
        <x:f>IF(AND(ISNUMBER(H604),ISNUMBER(W604)),H604/MAX(1,'Обзор'!$B$4-W604),"")</x:f>
      </x:c>
      <x:c r="AC604" s="17" t="str">
        <x:v>Не решено</x:v>
      </x:c>
      <x:c r="AD604" s="17" t="str">
        <x:v>Не проверено</x:v>
      </x:c>
      <x:c r="AE604" s="17" t="str">
        <x:v>Не проверено</x:v>
      </x:c>
      <x:c r="AF604" s="17" t="str">
        <x:v>Не проверено</x:v>
      </x:c>
      <x:c r="AG604" s="17" t="str">
        <x:v>Не решено</x:v>
      </x:c>
      <x:c r="AH604" s="17" t="str">
        <x:v>Не проверено</x:v>
      </x:c>
      <x:c r="AI604" s="10" t="str">
        <x:f>IF(AC604="Отклонить","Отклонено",IF(AND(AC604="Взять",COUNTIFS(AD604:AH604,"Да")=5),"Готово","Нужна редактура"))</x:f>
        <x:v>Нужна редактура</x:v>
      </x:c>
      <x:c r="AJ604" s="17" t="str"/>
      <x:c r="AK604" s="9" t="str">
        <x:v>https://www.youtube.com/playlist?list=PLXv9BeKApRvwx9zh3LqZl-UexiIKULA-7</x:v>
      </x:c>
      <x:c r="AL604" s="9" t="n">
        <x:v>16</x:v>
      </x:c>
      <x:c r="AM604" s="9"/>
      <x:c r="AN604" s="9"/>
    </x:row>
    <x:row r="605" ht="60" customHeight="1">
      <x:c r="A605" s="9" t="str">
        <x:v>zJ5RKsTu9FM</x:v>
      </x:c>
      <x:c r="B605" s="10" t="str">
        <x:v>דוקותיים | יצחק ביטון מנסה למלא את המכתש בליבו אחרי ששלושה מילדיו נהרגו מטיל שפגע במקלט בבית שמש</x:v>
      </x:c>
      <x:c r="C605" s="10" t="str">
        <x:v>Люди и повседневность</x:v>
      </x:c>
      <x:c r="D605" s="9" t="str">
        <x:v>Быт</x:v>
      </x:c>
      <x:c r="E605" s="10" t="str">
        <x:v>Репатрианты; общество; занятые взрослые</x:v>
      </x:c>
      <x:c r="F605" s="10" t="str">
        <x:v>B1–B2 (гипотеза)</x:v>
      </x:c>
      <x:c r="G605" s="12" t="n">
        <x:v>5</x:v>
      </x:c>
      <x:c r="H605" s="14" t="n">
        <x:v>4300</x:v>
      </x:c>
      <x:c r="I605" s="15" t="str">
        <x:v>Округлённый счётчик в списке YouTube</x:v>
      </x:c>
      <x:c r="J605" s="14" t="n">
        <x:v>4300</x:v>
      </x:c>
      <x:c r="K605" s="14" t="n">
        <x:v>32500</x:v>
      </x:c>
      <x:c r="L605" s="12" t="n">
        <x:f>IF(COUNT(J605:K605)=2,IF(K605=0,"",J605/K605),"")</x:f>
        <x:v>0.13230769230769232</x:v>
      </x:c>
      <x:c r="M605" s="10" t="str">
        <x:v>Завершённый короткий просмотр около 5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05" s="10" t="str">
        <x:v>Прослушать 2–5 минут, выписать 6 фраз и пересказать историю в 3 предложениях.</x:v>
      </x:c>
      <x:c r="O605" s="10" t="str">
        <x:v>Проверить содержание</x:v>
      </x:c>
      <x:c r="P605" s="10" t="str">
        <x:v>Самостоятельное видео</x:v>
      </x:c>
      <x:c r="Q605" s="9" t="str">
        <x:v>Нет</x:v>
      </x:c>
      <x:c r="R605" s="9" t="str">
        <x:v>C043</x:v>
      </x:c>
      <x:c r="S605" s="9" t="str">
        <x:v>C043</x:v>
      </x:c>
      <x:c r="T605" s="10" t="str">
        <x:v>כאן | דיגיטל - תאגיד השידור הישראלי</x:v>
      </x:c>
      <x:c r="U605" s="11" t="str">
        <x:v>https://www.youtube.com/watch?v=zJ5RKsTu9FM</x:v>
      </x:c>
      <x:c r="V605" s="16" t="n">
        <x:v>46308</x:v>
      </x:c>
      <x:c r="W605" s="16"/>
      <x:c r="X605" s="10" t="str">
        <x:v>Иврит предполагается по заголовку и источнику</x:v>
      </x:c>
      <x:c r="Y605" s="10" t="str">
        <x:v>Не проверено</x:v>
      </x:c>
      <x:c r="Z605" s="10" t="str">
        <x:v>Не проверено</x:v>
      </x:c>
      <x:c r="AA605" s="10" t="str">
        <x:v>Метаданные списка; видео не просмотрено</x:v>
      </x:c>
      <x:c r="AB605" s="13" t="str">
        <x:f>IF(AND(ISNUMBER(H605),ISNUMBER(W605)),H605/MAX(1,'Обзор'!$B$4-W605),"")</x:f>
      </x:c>
      <x:c r="AC605" s="17" t="str">
        <x:v>Не решено</x:v>
      </x:c>
      <x:c r="AD605" s="17" t="str">
        <x:v>Не проверено</x:v>
      </x:c>
      <x:c r="AE605" s="17" t="str">
        <x:v>Не проверено</x:v>
      </x:c>
      <x:c r="AF605" s="17" t="str">
        <x:v>Не проверено</x:v>
      </x:c>
      <x:c r="AG605" s="17" t="str">
        <x:v>Не решено</x:v>
      </x:c>
      <x:c r="AH605" s="17" t="str">
        <x:v>Не проверено</x:v>
      </x:c>
      <x:c r="AI605" s="10" t="str">
        <x:f>IF(AC605="Отклонить","Отклонено",IF(AND(AC605="Взять",COUNTIFS(AD605:AH605,"Да")=5),"Готово","Нужна редактура"))</x:f>
        <x:v>Нужна редактура</x:v>
      </x:c>
      <x:c r="AJ605" s="17" t="str"/>
      <x:c r="AK605" s="9" t="str">
        <x:v>https://www.youtube.com/playlist?list=PLXv9BeKApRvwx9zh3LqZl-UexiIKULA-7</x:v>
      </x:c>
      <x:c r="AL605" s="9" t="n">
        <x:v>17</x:v>
      </x:c>
      <x:c r="AM605" s="9"/>
      <x:c r="AN605" s="9"/>
    </x:row>
    <x:row r="606" ht="60" customHeight="1">
      <x:c r="A606" s="9" t="str">
        <x:v>GbcRoRYCRWA</x:v>
      </x:c>
      <x:c r="B606" s="10" t="str">
        <x:v>דוקותיים | *הסרטון מכיל התרעה מוקלטת* עיר תחתית בתחנה המרכזית</x:v>
      </x:c>
      <x:c r="C606" s="10" t="str">
        <x:v>Люди и повседневность</x:v>
      </x:c>
      <x:c r="D606" s="9" t="str">
        <x:v>Быт</x:v>
      </x:c>
      <x:c r="E606" s="10" t="str">
        <x:v>Репатрианты; общество; занятые взрослые</x:v>
      </x:c>
      <x:c r="F606" s="10" t="str">
        <x:v>B1–B2 (гипотеза)</x:v>
      </x:c>
      <x:c r="G606" s="12" t="n">
        <x:v>2.9</x:v>
      </x:c>
      <x:c r="H606" s="14" t="n">
        <x:v>21000</x:v>
      </x:c>
      <x:c r="I606" s="15" t="str">
        <x:v>Округлённый счётчик в списке YouTube</x:v>
      </x:c>
      <x:c r="J606" s="14" t="n">
        <x:v>21000</x:v>
      </x:c>
      <x:c r="K606" s="14" t="n">
        <x:v>32500</x:v>
      </x:c>
      <x:c r="L606" s="12" t="n">
        <x:f>IF(COUNT(J606:K606)=2,IF(K606=0,"",J606/K606),"")</x:f>
        <x:v>0.6461538461538462</x:v>
      </x:c>
      <x:c r="M606" s="10" t="str">
        <x:v>Завершённый короткий просмотр около 3 мин. Короткая история реального человека подходит для ежедневной привычки. Разные профессии и места расширяют взгляд на страну.</x:v>
      </x:c>
      <x:c r="N606" s="10" t="str">
        <x:v>Прослушать 2–5 минут, выписать 6 фраз и пересказать историю в 3 предложениях.</x:v>
      </x:c>
      <x:c r="O606" s="10" t="str">
        <x:v>Проверить содержание</x:v>
      </x:c>
      <x:c r="P606" s="10" t="str">
        <x:v>Самостоятельное видео</x:v>
      </x:c>
      <x:c r="Q606" s="9" t="str">
        <x:v>Нет</x:v>
      </x:c>
      <x:c r="R606" s="9" t="str">
        <x:v>C043</x:v>
      </x:c>
      <x:c r="S606" s="9" t="str">
        <x:v>C043</x:v>
      </x:c>
      <x:c r="T606" s="10" t="str">
        <x:v>כאן | דיגיטל - תאגיד השידור הישראלי</x:v>
      </x:c>
      <x:c r="U606" s="11" t="str">
        <x:v>https://www.youtube.com/watch?v=GbcRoRYCRWA</x:v>
      </x:c>
      <x:c r="V606" s="16" t="n">
        <x:v>46308</x:v>
      </x:c>
      <x:c r="W606" s="16"/>
      <x:c r="X606" s="10" t="str">
        <x:v>Иврит предполагается по заголовку и источнику</x:v>
      </x:c>
      <x:c r="Y606" s="10" t="str">
        <x:v>Не проверено</x:v>
      </x:c>
      <x:c r="Z606" s="10" t="str">
        <x:v>Не проверено</x:v>
      </x:c>
      <x:c r="AA606" s="10" t="str">
        <x:v>Метаданные списка; видео не просмотрено</x:v>
      </x:c>
      <x:c r="AB606" s="13" t="str">
        <x:f>IF(AND(ISNUMBER(H606),ISNUMBER(W606)),H606/MAX(1,'Обзор'!$B$4-W606),"")</x:f>
      </x:c>
      <x:c r="AC606" s="17" t="str">
        <x:v>Не решено</x:v>
      </x:c>
      <x:c r="AD606" s="17" t="str">
        <x:v>Не проверено</x:v>
      </x:c>
      <x:c r="AE606" s="17" t="str">
        <x:v>Не проверено</x:v>
      </x:c>
      <x:c r="AF606" s="17" t="str">
        <x:v>Не проверено</x:v>
      </x:c>
      <x:c r="AG606" s="17" t="str">
        <x:v>Не решено</x:v>
      </x:c>
      <x:c r="AH606" s="17" t="str">
        <x:v>Не проверено</x:v>
      </x:c>
      <x:c r="AI606" s="10" t="str">
        <x:f>IF(AC606="Отклонить","Отклонено",IF(AND(AC606="Взять",COUNTIFS(AD606:AH606,"Да")=5),"Готово","Нужна редактура"))</x:f>
        <x:v>Нужна редактура</x:v>
      </x:c>
      <x:c r="AJ606" s="17" t="str"/>
      <x:c r="AK606" s="9" t="str">
        <x:v>https://www.youtube.com/playlist?list=PLXv9BeKApRvwx9zh3LqZl-UexiIKULA-7</x:v>
      </x:c>
      <x:c r="AL606" s="9" t="n">
        <x:v>18</x:v>
      </x:c>
      <x:c r="AM606" s="9"/>
      <x:c r="AN606" s="9"/>
    </x:row>
    <x:row r="607" ht="60" customHeight="1">
      <x:c r="A607" s="9" t="str">
        <x:v>Krh4QlEwGsE</x:v>
      </x:c>
      <x:c r="B607" s="10" t="str">
        <x:v>דוקותיים | מה האיראנים רוצים מדימונה? זה בסך הכל מפעל טקסטיל</x:v>
      </x:c>
      <x:c r="C607" s="10" t="str">
        <x:v>Люди и повседневность</x:v>
      </x:c>
      <x:c r="D607" s="9" t="str">
        <x:v>Быт</x:v>
      </x:c>
      <x:c r="E607" s="10" t="str">
        <x:v>Репатрианты; общество; занятые взрослые</x:v>
      </x:c>
      <x:c r="F607" s="10" t="str">
        <x:v>B1–B2 (гипотеза)</x:v>
      </x:c>
      <x:c r="G607" s="12" t="n">
        <x:v>2.1</x:v>
      </x:c>
      <x:c r="H607" s="14" t="n">
        <x:v>20000</x:v>
      </x:c>
      <x:c r="I607" s="15" t="str">
        <x:v>Округлённый счётчик в списке YouTube</x:v>
      </x:c>
      <x:c r="J607" s="14" t="n">
        <x:v>20000</x:v>
      </x:c>
      <x:c r="K607" s="14" t="n">
        <x:v>32500</x:v>
      </x:c>
      <x:c r="L607" s="12" t="n">
        <x:f>IF(COUNT(J607:K607)=2,IF(K607=0,"",J607/K607),"")</x:f>
        <x:v>0.6153846153846154</x:v>
      </x:c>
      <x:c r="M607" s="10" t="str">
        <x:v>Завершённый короткий просмотр около 2 мин. Короткая история реального человека подходит для ежедневной привычки. Разные профессии и места расширяют взгляд на страну.</x:v>
      </x:c>
      <x:c r="N607" s="10" t="str">
        <x:v>Прослушать 2–5 минут, выписать 6 фраз и пересказать историю в 3 предложениях.</x:v>
      </x:c>
      <x:c r="O607" s="10" t="str">
        <x:v>Проверить содержание</x:v>
      </x:c>
      <x:c r="P607" s="10" t="str">
        <x:v>Самостоятельное видео</x:v>
      </x:c>
      <x:c r="Q607" s="9" t="str">
        <x:v>Нет</x:v>
      </x:c>
      <x:c r="R607" s="9" t="str">
        <x:v>C043</x:v>
      </x:c>
      <x:c r="S607" s="9" t="str">
        <x:v>C043</x:v>
      </x:c>
      <x:c r="T607" s="10" t="str">
        <x:v>כאן | דיגיטל - תאגיד השידור הישראלי</x:v>
      </x:c>
      <x:c r="U607" s="11" t="str">
        <x:v>https://www.youtube.com/watch?v=Krh4QlEwGsE</x:v>
      </x:c>
      <x:c r="V607" s="16" t="n">
        <x:v>46308</x:v>
      </x:c>
      <x:c r="W607" s="16"/>
      <x:c r="X607" s="10" t="str">
        <x:v>Иврит предполагается по заголовку и источнику</x:v>
      </x:c>
      <x:c r="Y607" s="10" t="str">
        <x:v>Не проверено</x:v>
      </x:c>
      <x:c r="Z607" s="10" t="str">
        <x:v>Не проверено</x:v>
      </x:c>
      <x:c r="AA607" s="10" t="str">
        <x:v>Метаданные списка; видео не просмотрено</x:v>
      </x:c>
      <x:c r="AB607" s="13" t="str">
        <x:f>IF(AND(ISNUMBER(H607),ISNUMBER(W607)),H607/MAX(1,'Обзор'!$B$4-W607),"")</x:f>
      </x:c>
      <x:c r="AC607" s="17" t="str">
        <x:v>Не решено</x:v>
      </x:c>
      <x:c r="AD607" s="17" t="str">
        <x:v>Не проверено</x:v>
      </x:c>
      <x:c r="AE607" s="17" t="str">
        <x:v>Не проверено</x:v>
      </x:c>
      <x:c r="AF607" s="17" t="str">
        <x:v>Не проверено</x:v>
      </x:c>
      <x:c r="AG607" s="17" t="str">
        <x:v>Не решено</x:v>
      </x:c>
      <x:c r="AH607" s="17" t="str">
        <x:v>Не проверено</x:v>
      </x:c>
      <x:c r="AI607" s="10" t="str">
        <x:f>IF(AC607="Отклонить","Отклонено",IF(AND(AC607="Взять",COUNTIFS(AD607:AH607,"Да")=5),"Готово","Нужна редактура"))</x:f>
        <x:v>Нужна редактура</x:v>
      </x:c>
      <x:c r="AJ607" s="17" t="str"/>
      <x:c r="AK607" s="9" t="str">
        <x:v>https://www.youtube.com/playlist?list=PLXv9BeKApRvwx9zh3LqZl-UexiIKULA-7</x:v>
      </x:c>
      <x:c r="AL607" s="9" t="n">
        <x:v>19</x:v>
      </x:c>
      <x:c r="AM607" s="9"/>
      <x:c r="AN607" s="9"/>
    </x:row>
    <x:row r="608" ht="60" customHeight="1">
      <x:c r="A608" s="9" t="str">
        <x:v>r_Q8TyNvTCo</x:v>
      </x:c>
      <x:c r="B608" s="10" t="str">
        <x:v>דוקותיים | איתי אשר יצא לתעד את הפגיעה הקשה בערד</x:v>
      </x:c>
      <x:c r="C608" s="10" t="str">
        <x:v>Люди и повседневность</x:v>
      </x:c>
      <x:c r="D608" s="9" t="str">
        <x:v>Быт</x:v>
      </x:c>
      <x:c r="E608" s="10" t="str">
        <x:v>Репатрианты; общество; занятые взрослые</x:v>
      </x:c>
      <x:c r="F608" s="10" t="str">
        <x:v>B1–B2 (гипотеза)</x:v>
      </x:c>
      <x:c r="G608" s="12" t="n">
        <x:v>3.2</x:v>
      </x:c>
      <x:c r="H608" s="14" t="n">
        <x:v>7700</x:v>
      </x:c>
      <x:c r="I608" s="15" t="str">
        <x:v>Округлённый счётчик в списке YouTube</x:v>
      </x:c>
      <x:c r="J608" s="14" t="n">
        <x:v>7700</x:v>
      </x:c>
      <x:c r="K608" s="14" t="n">
        <x:v>32500</x:v>
      </x:c>
      <x:c r="L608" s="12" t="n">
        <x:f>IF(COUNT(J608:K608)=2,IF(K608=0,"",J608/K608),"")</x:f>
        <x:v>0.23692307692307693</x:v>
      </x:c>
      <x:c r="M608" s="10" t="str">
        <x:v>Завершённый короткий просмотр около 3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08" s="10" t="str">
        <x:v>Прослушать 2–5 минут, выписать 6 фраз и пересказать историю в 3 предложениях.</x:v>
      </x:c>
      <x:c r="O608" s="10" t="str">
        <x:v>Проверить содержание</x:v>
      </x:c>
      <x:c r="P608" s="10" t="str">
        <x:v>Самостоятельное видео</x:v>
      </x:c>
      <x:c r="Q608" s="9" t="str">
        <x:v>Нет</x:v>
      </x:c>
      <x:c r="R608" s="9" t="str">
        <x:v>C043</x:v>
      </x:c>
      <x:c r="S608" s="9" t="str">
        <x:v>C043</x:v>
      </x:c>
      <x:c r="T608" s="10" t="str">
        <x:v>כאן | דיגיטל - תאגיד השידור הישראלי</x:v>
      </x:c>
      <x:c r="U608" s="11" t="str">
        <x:v>https://www.youtube.com/watch?v=r_Q8TyNvTCo</x:v>
      </x:c>
      <x:c r="V608" s="16" t="n">
        <x:v>46308</x:v>
      </x:c>
      <x:c r="W608" s="16"/>
      <x:c r="X608" s="10" t="str">
        <x:v>Иврит предполагается по заголовку и источнику</x:v>
      </x:c>
      <x:c r="Y608" s="10" t="str">
        <x:v>Не проверено</x:v>
      </x:c>
      <x:c r="Z608" s="10" t="str">
        <x:v>Не проверено</x:v>
      </x:c>
      <x:c r="AA608" s="10" t="str">
        <x:v>Метаданные списка; видео не просмотрено</x:v>
      </x:c>
      <x:c r="AB608" s="13" t="str">
        <x:f>IF(AND(ISNUMBER(H608),ISNUMBER(W608)),H608/MAX(1,'Обзор'!$B$4-W608),"")</x:f>
      </x:c>
      <x:c r="AC608" s="17" t="str">
        <x:v>Не решено</x:v>
      </x:c>
      <x:c r="AD608" s="17" t="str">
        <x:v>Не проверено</x:v>
      </x:c>
      <x:c r="AE608" s="17" t="str">
        <x:v>Не проверено</x:v>
      </x:c>
      <x:c r="AF608" s="17" t="str">
        <x:v>Не проверено</x:v>
      </x:c>
      <x:c r="AG608" s="17" t="str">
        <x:v>Не решено</x:v>
      </x:c>
      <x:c r="AH608" s="17" t="str">
        <x:v>Не проверено</x:v>
      </x:c>
      <x:c r="AI608" s="10" t="str">
        <x:f>IF(AC608="Отклонить","Отклонено",IF(AND(AC608="Взять",COUNTIFS(AD608:AH608,"Да")=5),"Готово","Нужна редактура"))</x:f>
        <x:v>Нужна редактура</x:v>
      </x:c>
      <x:c r="AJ608" s="17" t="str"/>
      <x:c r="AK608" s="9" t="str">
        <x:v>https://www.youtube.com/playlist?list=PLXv9BeKApRvwx9zh3LqZl-UexiIKULA-7</x:v>
      </x:c>
      <x:c r="AL608" s="9" t="n">
        <x:v>20</x:v>
      </x:c>
      <x:c r="AM608" s="9"/>
      <x:c r="AN608" s="9"/>
    </x:row>
    <x:row r="609" ht="60" customHeight="1">
      <x:c r="A609" s="9" t="str">
        <x:v>FZooF7pzBkA</x:v>
      </x:c>
      <x:c r="B609" s="10" t="str">
        <x:v>דוקותיים | המלחמה קשה לכולם, במיוחד למתמודדי נפש</x:v>
      </x:c>
      <x:c r="C609" s="10" t="str">
        <x:v>Люди и повседневность</x:v>
      </x:c>
      <x:c r="D609" s="9" t="str">
        <x:v>Быт</x:v>
      </x:c>
      <x:c r="E609" s="10" t="str">
        <x:v>Репатрианты; общество; занятые взрослые</x:v>
      </x:c>
      <x:c r="F609" s="10" t="str">
        <x:v>B1–B2 (гипотеза)</x:v>
      </x:c>
      <x:c r="G609" s="12" t="n">
        <x:v>3</x:v>
      </x:c>
      <x:c r="H609" s="14" t="n">
        <x:v>29000</x:v>
      </x:c>
      <x:c r="I609" s="15" t="str">
        <x:v>Округлённый счётчик в списке YouTube</x:v>
      </x:c>
      <x:c r="J609" s="14" t="n">
        <x:v>29000</x:v>
      </x:c>
      <x:c r="K609" s="14" t="n">
        <x:v>32500</x:v>
      </x:c>
      <x:c r="L609" s="12" t="n">
        <x:f>IF(COUNT(J609:K609)=2,IF(K609=0,"",J609/K609),"")</x:f>
        <x:v>0.8923076923076924</x:v>
      </x:c>
      <x:c r="M609" s="10" t="str">
        <x:v>Завершённый короткий просмотр около 3 мин. Короткая история реального человека подходит для ежедневной привычки. Разные профессии и места расширяют взгляд на страну.</x:v>
      </x:c>
      <x:c r="N609" s="10" t="str">
        <x:v>Прослушать 2–5 минут, выписать 6 фраз и пересказать историю в 3 предложениях.</x:v>
      </x:c>
      <x:c r="O609" s="10" t="str">
        <x:v>Проверить содержание</x:v>
      </x:c>
      <x:c r="P609" s="10" t="str">
        <x:v>Самостоятельное видео</x:v>
      </x:c>
      <x:c r="Q609" s="9" t="str">
        <x:v>Нет</x:v>
      </x:c>
      <x:c r="R609" s="9" t="str">
        <x:v>C043</x:v>
      </x:c>
      <x:c r="S609" s="9" t="str">
        <x:v>C043</x:v>
      </x:c>
      <x:c r="T609" s="10" t="str">
        <x:v>כאן | דיגיטל - תאגיד השידור הישראלי</x:v>
      </x:c>
      <x:c r="U609" s="11" t="str">
        <x:v>https://www.youtube.com/watch?v=FZooF7pzBkA</x:v>
      </x:c>
      <x:c r="V609" s="16" t="n">
        <x:v>46308</x:v>
      </x:c>
      <x:c r="W609" s="16"/>
      <x:c r="X609" s="10" t="str">
        <x:v>Иврит предполагается по заголовку и источнику</x:v>
      </x:c>
      <x:c r="Y609" s="10" t="str">
        <x:v>Не проверено</x:v>
      </x:c>
      <x:c r="Z609" s="10" t="str">
        <x:v>Не проверено</x:v>
      </x:c>
      <x:c r="AA609" s="10" t="str">
        <x:v>Метаданные списка; видео не просмотрено</x:v>
      </x:c>
      <x:c r="AB609" s="13" t="str">
        <x:f>IF(AND(ISNUMBER(H609),ISNUMBER(W609)),H609/MAX(1,'Обзор'!$B$4-W609),"")</x:f>
      </x:c>
      <x:c r="AC609" s="17" t="str">
        <x:v>Не решено</x:v>
      </x:c>
      <x:c r="AD609" s="17" t="str">
        <x:v>Не проверено</x:v>
      </x:c>
      <x:c r="AE609" s="17" t="str">
        <x:v>Не проверено</x:v>
      </x:c>
      <x:c r="AF609" s="17" t="str">
        <x:v>Не проверено</x:v>
      </x:c>
      <x:c r="AG609" s="17" t="str">
        <x:v>Не решено</x:v>
      </x:c>
      <x:c r="AH609" s="17" t="str">
        <x:v>Не проверено</x:v>
      </x:c>
      <x:c r="AI609" s="10" t="str">
        <x:f>IF(AC609="Отклонить","Отклонено",IF(AND(AC609="Взять",COUNTIFS(AD609:AH609,"Да")=5),"Готово","Нужна редактура"))</x:f>
        <x:v>Нужна редактура</x:v>
      </x:c>
      <x:c r="AJ609" s="17" t="str"/>
      <x:c r="AK609" s="9" t="str">
        <x:v>https://www.youtube.com/playlist?list=PLXv9BeKApRvwx9zh3LqZl-UexiIKULA-7</x:v>
      </x:c>
      <x:c r="AL609" s="9" t="n">
        <x:v>21</x:v>
      </x:c>
      <x:c r="AM609" s="9"/>
      <x:c r="AN609" s="9"/>
    </x:row>
    <x:row r="610" ht="60" customHeight="1">
      <x:c r="A610" s="9" t="str">
        <x:v>xVAn_F1BUN4</x:v>
      </x:c>
      <x:c r="B610" s="10" t="str">
        <x:v>דוקותיים | מג”ב במרדף אחרי הכנופייה האלימה שלא מפסיקה לפעול - גם בזמן אזעקות מאיראן</x:v>
      </x:c>
      <x:c r="C610" s="10" t="str">
        <x:v>Люди и повседневность</x:v>
      </x:c>
      <x:c r="D610" s="9" t="str">
        <x:v>Быт</x:v>
      </x:c>
      <x:c r="E610" s="10" t="str">
        <x:v>Репатрианты; общество; занятые взрослые</x:v>
      </x:c>
      <x:c r="F610" s="10" t="str">
        <x:v>B1–B2 (гипотеза)</x:v>
      </x:c>
      <x:c r="G610" s="12" t="n">
        <x:v>4</x:v>
      </x:c>
      <x:c r="H610" s="14" t="n">
        <x:v>25000</x:v>
      </x:c>
      <x:c r="I610" s="15" t="str">
        <x:v>Округлённый счётчик в списке YouTube</x:v>
      </x:c>
      <x:c r="J610" s="14" t="n">
        <x:v>25000</x:v>
      </x:c>
      <x:c r="K610" s="14" t="n">
        <x:v>32500</x:v>
      </x:c>
      <x:c r="L610" s="12" t="n">
        <x:f>IF(COUNT(J610:K610)=2,IF(K610=0,"",J610/K610),"")</x:f>
        <x:v>0.7692307692307693</x:v>
      </x:c>
      <x:c r="M610" s="10" t="str">
        <x:v>Завершённый короткий просмотр около 4 мин. Короткая история реального человека подходит для ежедневной привычки. Разные профессии и места расширяют взгляд на страну.</x:v>
      </x:c>
      <x:c r="N610" s="10" t="str">
        <x:v>Прослушать 2–5 минут, выписать 6 фраз и пересказать историю в 3 предложениях.</x:v>
      </x:c>
      <x:c r="O610" s="10" t="str">
        <x:v>Проверить содержание</x:v>
      </x:c>
      <x:c r="P610" s="10" t="str">
        <x:v>Самостоятельное видео</x:v>
      </x:c>
      <x:c r="Q610" s="9" t="str">
        <x:v>Нет</x:v>
      </x:c>
      <x:c r="R610" s="9" t="str">
        <x:v>C043</x:v>
      </x:c>
      <x:c r="S610" s="9" t="str">
        <x:v>C043</x:v>
      </x:c>
      <x:c r="T610" s="10" t="str">
        <x:v>כאן | דיגיטל - תאגיד השידור הישראלי</x:v>
      </x:c>
      <x:c r="U610" s="11" t="str">
        <x:v>https://www.youtube.com/watch?v=xVAn_F1BUN4</x:v>
      </x:c>
      <x:c r="V610" s="16" t="n">
        <x:v>46308</x:v>
      </x:c>
      <x:c r="W610" s="16"/>
      <x:c r="X610" s="10" t="str">
        <x:v>Иврит предполагается по заголовку и источнику</x:v>
      </x:c>
      <x:c r="Y610" s="10" t="str">
        <x:v>Не проверено</x:v>
      </x:c>
      <x:c r="Z610" s="10" t="str">
        <x:v>Не проверено</x:v>
      </x:c>
      <x:c r="AA610" s="10" t="str">
        <x:v>Метаданные списка; видео не просмотрено</x:v>
      </x:c>
      <x:c r="AB610" s="13" t="str">
        <x:f>IF(AND(ISNUMBER(H610),ISNUMBER(W610)),H610/MAX(1,'Обзор'!$B$4-W610),"")</x:f>
      </x:c>
      <x:c r="AC610" s="17" t="str">
        <x:v>Не решено</x:v>
      </x:c>
      <x:c r="AD610" s="17" t="str">
        <x:v>Не проверено</x:v>
      </x:c>
      <x:c r="AE610" s="17" t="str">
        <x:v>Не проверено</x:v>
      </x:c>
      <x:c r="AF610" s="17" t="str">
        <x:v>Не проверено</x:v>
      </x:c>
      <x:c r="AG610" s="17" t="str">
        <x:v>Не решено</x:v>
      </x:c>
      <x:c r="AH610" s="17" t="str">
        <x:v>Не проверено</x:v>
      </x:c>
      <x:c r="AI610" s="10" t="str">
        <x:f>IF(AC610="Отклонить","Отклонено",IF(AND(AC610="Взять",COUNTIFS(AD610:AH610,"Да")=5),"Готово","Нужна редактура"))</x:f>
        <x:v>Нужна редактура</x:v>
      </x:c>
      <x:c r="AJ610" s="17" t="str"/>
      <x:c r="AK610" s="9" t="str">
        <x:v>https://www.youtube.com/playlist?list=PLXv9BeKApRvwx9zh3LqZl-UexiIKULA-7</x:v>
      </x:c>
      <x:c r="AL610" s="9" t="n">
        <x:v>22</x:v>
      </x:c>
      <x:c r="AM610" s="9"/>
      <x:c r="AN610" s="9"/>
    </x:row>
    <x:row r="611" ht="60" customHeight="1">
      <x:c r="A611" s="9" t="str">
        <x:v>opTfVxua3J0</x:v>
      </x:c>
      <x:c r="B611" s="10" t="str">
        <x:v>דוקותיים | *הסרטון מכיל אזעקה מוקלטת* זהבה ניישטיין לא עוזבת את מטולה למרות האזעקות</x:v>
      </x:c>
      <x:c r="C611" s="10" t="str">
        <x:v>Люди и повседневность</x:v>
      </x:c>
      <x:c r="D611" s="9" t="str">
        <x:v>Быт</x:v>
      </x:c>
      <x:c r="E611" s="10" t="str">
        <x:v>Репатрианты; общество; занятые взрослые</x:v>
      </x:c>
      <x:c r="F611" s="10" t="str">
        <x:v>B1–B2 (гипотеза)</x:v>
      </x:c>
      <x:c r="G611" s="12" t="n">
        <x:v>2.9</x:v>
      </x:c>
      <x:c r="H611" s="14" t="n">
        <x:v>19000</x:v>
      </x:c>
      <x:c r="I611" s="15" t="str">
        <x:v>Округлённый счётчик в списке YouTube</x:v>
      </x:c>
      <x:c r="J611" s="14" t="n">
        <x:v>19000</x:v>
      </x:c>
      <x:c r="K611" s="14" t="n">
        <x:v>32500</x:v>
      </x:c>
      <x:c r="L611" s="12" t="n">
        <x:f>IF(COUNT(J611:K611)=2,IF(K611=0,"",J611/K611),"")</x:f>
        <x:v>0.5846153846153846</x:v>
      </x:c>
      <x:c r="M611" s="10" t="str">
        <x:v>Завершённый короткий просмотр около 3 мин. Короткая история реального человека подходит для ежедневной привычки. Разные профессии и места расширяют взгляд на страну.</x:v>
      </x:c>
      <x:c r="N611" s="10" t="str">
        <x:v>Прослушать 2–5 минут, выписать 6 фраз и пересказать историю в 3 предложениях.</x:v>
      </x:c>
      <x:c r="O611" s="10" t="str">
        <x:v>Проверить содержание</x:v>
      </x:c>
      <x:c r="P611" s="10" t="str">
        <x:v>Самостоятельное видео</x:v>
      </x:c>
      <x:c r="Q611" s="9" t="str">
        <x:v>Нет</x:v>
      </x:c>
      <x:c r="R611" s="9" t="str">
        <x:v>C043</x:v>
      </x:c>
      <x:c r="S611" s="9" t="str">
        <x:v>C043</x:v>
      </x:c>
      <x:c r="T611" s="10" t="str">
        <x:v>כאן | דיגיטל - תאגיד השידור הישראלי</x:v>
      </x:c>
      <x:c r="U611" s="11" t="str">
        <x:v>https://www.youtube.com/watch?v=opTfVxua3J0</x:v>
      </x:c>
      <x:c r="V611" s="16" t="n">
        <x:v>46308</x:v>
      </x:c>
      <x:c r="W611" s="16"/>
      <x:c r="X611" s="10" t="str">
        <x:v>Иврит предполагается по заголовку и источнику</x:v>
      </x:c>
      <x:c r="Y611" s="10" t="str">
        <x:v>Не проверено</x:v>
      </x:c>
      <x:c r="Z611" s="10" t="str">
        <x:v>Не проверено</x:v>
      </x:c>
      <x:c r="AA611" s="10" t="str">
        <x:v>Метаданные списка; видео не просмотрено</x:v>
      </x:c>
      <x:c r="AB611" s="13" t="str">
        <x:f>IF(AND(ISNUMBER(H611),ISNUMBER(W611)),H611/MAX(1,'Обзор'!$B$4-W611),"")</x:f>
      </x:c>
      <x:c r="AC611" s="17" t="str">
        <x:v>Не решено</x:v>
      </x:c>
      <x:c r="AD611" s="17" t="str">
        <x:v>Не проверено</x:v>
      </x:c>
      <x:c r="AE611" s="17" t="str">
        <x:v>Не проверено</x:v>
      </x:c>
      <x:c r="AF611" s="17" t="str">
        <x:v>Не проверено</x:v>
      </x:c>
      <x:c r="AG611" s="17" t="str">
        <x:v>Не решено</x:v>
      </x:c>
      <x:c r="AH611" s="17" t="str">
        <x:v>Не проверено</x:v>
      </x:c>
      <x:c r="AI611" s="10" t="str">
        <x:f>IF(AC611="Отклонить","Отклонено",IF(AND(AC611="Взять",COUNTIFS(AD611:AH611,"Да")=5),"Готово","Нужна редактура"))</x:f>
        <x:v>Нужна редактура</x:v>
      </x:c>
      <x:c r="AJ611" s="17" t="str"/>
      <x:c r="AK611" s="9" t="str">
        <x:v>https://www.youtube.com/playlist?list=PLXv9BeKApRvwx9zh3LqZl-UexiIKULA-7</x:v>
      </x:c>
      <x:c r="AL611" s="9" t="n">
        <x:v>23</x:v>
      </x:c>
      <x:c r="AM611" s="9"/>
      <x:c r="AN611" s="9"/>
    </x:row>
    <x:row r="612" ht="60" customHeight="1">
      <x:c r="A612" s="9" t="str">
        <x:v>nkTOs-_bS-Q</x:v>
      </x:c>
      <x:c r="B612" s="10" t="str">
        <x:v>דוקותיים | אף מלחמה לא יכולה על שושן פורים בירושלים</x:v>
      </x:c>
      <x:c r="C612" s="10" t="str">
        <x:v>Люди и повседневность</x:v>
      </x:c>
      <x:c r="D612" s="9" t="str">
        <x:v>Быт</x:v>
      </x:c>
      <x:c r="E612" s="10" t="str">
        <x:v>Репатрианты; общество; занятые взрослые</x:v>
      </x:c>
      <x:c r="F612" s="10" t="str">
        <x:v>B1–B2 (гипотеза)</x:v>
      </x:c>
      <x:c r="G612" s="12" t="n">
        <x:v>3</x:v>
      </x:c>
      <x:c r="H612" s="14" t="n">
        <x:v>19960</x:v>
      </x:c>
      <x:c r="I612" s="15" t="str">
        <x:v>Точный счётчик метаданных видео</x:v>
      </x:c>
      <x:c r="J612" s="14" t="n">
        <x:v>19000</x:v>
      </x:c>
      <x:c r="K612" s="14" t="n">
        <x:v>32500</x:v>
      </x:c>
      <x:c r="L612" s="12" t="n">
        <x:f>IF(COUNT(J612:K612)=2,IF(K612=0,"",J612/K612),"")</x:f>
        <x:v>0.5846153846153846</x:v>
      </x:c>
      <x:c r="M612" s="10" t="str">
        <x:v>Завершённый короткий просмотр около 3 мин. Короткая история реального человека подходит для ежедневной привычки. Разные профессии и места расширяют взгляд на страну.</x:v>
      </x:c>
      <x:c r="N612" s="10" t="str">
        <x:v>Прослушать 2–5 минут, выписать 6 фраз и пересказать историю в 3 предложениях.</x:v>
      </x:c>
      <x:c r="O612" s="10" t="str">
        <x:v>Проверить содержание</x:v>
      </x:c>
      <x:c r="P612" s="10" t="str">
        <x:v>Самостоятельное видео</x:v>
      </x:c>
      <x:c r="Q612" s="9" t="str">
        <x:v>Нет</x:v>
      </x:c>
      <x:c r="R612" s="9" t="str">
        <x:v>C043</x:v>
      </x:c>
      <x:c r="S612" s="9" t="str">
        <x:v>C043</x:v>
      </x:c>
      <x:c r="T612" s="10" t="str">
        <x:v>כאן | דיגיטל - תאגיד השידור הישראלי</x:v>
      </x:c>
      <x:c r="U612" s="11" t="str">
        <x:v>https://www.youtube.com/watch?v=nkTOs-_bS-Q</x:v>
      </x:c>
      <x:c r="V612" s="16" t="n">
        <x:v>46308</x:v>
      </x:c>
      <x:c r="W612" s="16" t="n">
        <x:v>46090</x:v>
      </x:c>
      <x:c r="X612" s="10" t="str">
        <x:v>iw</x:v>
      </x:c>
      <x:c r="Y612" s="10" t="str">
        <x:v>Автоматическая дорожка HE по метаданным</x:v>
      </x:c>
      <x:c r="Z612" s="10" t="str">
        <x:v>Разрешено по метаданным</x:v>
      </x:c>
      <x:c r="AA612" s="10" t="str">
        <x:v>Метаданные видео; воспроизведение и содержание не проверены</x:v>
      </x:c>
      <x:c r="AB612" s="13" t="n">
        <x:f>IF(AND(ISNUMBER(H612),ISNUMBER(W612)),H612/MAX(1,'Обзор'!$B$4-W612),"")</x:f>
        <x:v>91.55963302752293</x:v>
      </x:c>
      <x:c r="AC612" s="17" t="str">
        <x:v>Не решено</x:v>
      </x:c>
      <x:c r="AD612" s="17" t="str">
        <x:v>Не проверено</x:v>
      </x:c>
      <x:c r="AE612" s="17" t="str">
        <x:v>Не проверено</x:v>
      </x:c>
      <x:c r="AF612" s="17" t="str">
        <x:v>Не проверено</x:v>
      </x:c>
      <x:c r="AG612" s="17" t="str">
        <x:v>Не решено</x:v>
      </x:c>
      <x:c r="AH612" s="17" t="str">
        <x:v>Не проверено</x:v>
      </x:c>
      <x:c r="AI612" s="10" t="str">
        <x:f>IF(AC612="Отклонить","Отклонено",IF(AND(AC612="Взять",COUNTIFS(AD612:AH612,"Да")=5),"Готово","Нужна редактура"))</x:f>
        <x:v>Нужна редактура</x:v>
      </x:c>
      <x:c r="AJ612" s="17" t="str"/>
      <x:c r="AK612" s="9" t="str">
        <x:v>https://www.youtube.com/playlist?list=PLXv9BeKApRvwx9zh3LqZl-UexiIKULA-7</x:v>
      </x:c>
      <x:c r="AL612" s="9" t="n">
        <x:v>24</x:v>
      </x:c>
      <x:c r="AM612" s="9"/>
      <x:c r="AN612" s="9" t="n">
        <x:v>0</x:v>
      </x:c>
    </x:row>
    <x:row r="613" ht="60" customHeight="1">
      <x:c r="A613" s="9" t="str">
        <x:v>WagcwfyBz_o</x:v>
      </x:c>
      <x:c r="B613" s="10" t="str">
        <x:v>דוקותיים | גלית מיילדת גם בזמן אזעקות</x:v>
      </x:c>
      <x:c r="C613" s="10" t="str">
        <x:v>Люди и повседневность</x:v>
      </x:c>
      <x:c r="D613" s="9" t="str">
        <x:v>Быт</x:v>
      </x:c>
      <x:c r="E613" s="10" t="str">
        <x:v>Репатрианты; общество; занятые взрослые</x:v>
      </x:c>
      <x:c r="F613" s="10" t="str">
        <x:v>B1–B2 (гипотеза)</x:v>
      </x:c>
      <x:c r="G613" s="12" t="n">
        <x:v>2.6</x:v>
      </x:c>
      <x:c r="H613" s="14" t="n">
        <x:v>143735</x:v>
      </x:c>
      <x:c r="I613" s="15" t="str">
        <x:v>Точный счётчик метаданных видео</x:v>
      </x:c>
      <x:c r="J613" s="14" t="n">
        <x:v>143000</x:v>
      </x:c>
      <x:c r="K613" s="14" t="n">
        <x:v>32500</x:v>
      </x:c>
      <x:c r="L613" s="12" t="n">
        <x:f>IF(COUNT(J613:K613)=2,IF(K613=0,"",J613/K613),"")</x:f>
        <x:v>4.4</x:v>
      </x:c>
      <x:c r="M613" s="10" t="str">
        <x:v>Завершённый короткий просмотр около 3 мин. Просмотры в списке выше медианы выборки этого цикла в 4.4 раза. Короткая история реального человека подходит для ежедневной привычки. Разные профессии и места расширяют взгляд на страну.</x:v>
      </x:c>
      <x:c r="N613" s="10" t="str">
        <x:v>Прослушать 2–5 минут, выписать 6 фраз и пересказать историю в 3 предложениях.</x:v>
      </x:c>
      <x:c r="O613" s="10" t="str">
        <x:v>Проверить содержание</x:v>
      </x:c>
      <x:c r="P613" s="10" t="str">
        <x:v>Самостоятельное видео</x:v>
      </x:c>
      <x:c r="Q613" s="9" t="str">
        <x:v>Нет</x:v>
      </x:c>
      <x:c r="R613" s="9" t="str">
        <x:v>C043</x:v>
      </x:c>
      <x:c r="S613" s="9" t="str">
        <x:v>C043</x:v>
      </x:c>
      <x:c r="T613" s="10" t="str">
        <x:v>כאן | דיגיטל - תאגיד השידור הישראלי</x:v>
      </x:c>
      <x:c r="U613" s="11" t="str">
        <x:v>https://www.youtube.com/watch?v=WagcwfyBz_o</x:v>
      </x:c>
      <x:c r="V613" s="16" t="n">
        <x:v>46308</x:v>
      </x:c>
      <x:c r="W613" s="16" t="n">
        <x:v>46086</x:v>
      </x:c>
      <x:c r="X613" s="10" t="str">
        <x:v>Иврит предполагается по заголовку и источнику</x:v>
      </x:c>
      <x:c r="Y613" s="10" t="str">
        <x:v>Автоматическая дорожка HE по метаданным</x:v>
      </x:c>
      <x:c r="Z613" s="10" t="str">
        <x:v>Разрешено по метаданным</x:v>
      </x:c>
      <x:c r="AA613" s="10" t="str">
        <x:v>Метаданные видео; воспроизведение и содержание не проверены</x:v>
      </x:c>
      <x:c r="AB613" s="13" t="n">
        <x:f>IF(AND(ISNUMBER(H613),ISNUMBER(W613)),H613/MAX(1,'Обзор'!$B$4-W613),"")</x:f>
        <x:v>647.4549549549549</x:v>
      </x:c>
      <x:c r="AC613" s="17" t="str">
        <x:v>Не решено</x:v>
      </x:c>
      <x:c r="AD613" s="17" t="str">
        <x:v>Не проверено</x:v>
      </x:c>
      <x:c r="AE613" s="17" t="str">
        <x:v>Не проверено</x:v>
      </x:c>
      <x:c r="AF613" s="17" t="str">
        <x:v>Не проверено</x:v>
      </x:c>
      <x:c r="AG613" s="17" t="str">
        <x:v>Не решено</x:v>
      </x:c>
      <x:c r="AH613" s="17" t="str">
        <x:v>Не проверено</x:v>
      </x:c>
      <x:c r="AI613" s="10" t="str">
        <x:f>IF(AC613="Отклонить","Отклонено",IF(AND(AC613="Взять",COUNTIFS(AD613:AH613,"Да")=5),"Готово","Нужна редактура"))</x:f>
        <x:v>Нужна редактура</x:v>
      </x:c>
      <x:c r="AJ613" s="17" t="str"/>
      <x:c r="AK613" s="9" t="str">
        <x:v>https://www.youtube.com/playlist?list=PLXv9BeKApRvwx9zh3LqZl-UexiIKULA-7</x:v>
      </x:c>
      <x:c r="AL613" s="9" t="n">
        <x:v>25</x:v>
      </x:c>
      <x:c r="AM613" s="9"/>
      <x:c r="AN613" s="9" t="n">
        <x:v>0</x:v>
      </x:c>
    </x:row>
    <x:row r="614" ht="60" customHeight="1">
      <x:c r="A614" s="9" t="str">
        <x:v>S_xM55s4_lc</x:v>
      </x:c>
      <x:c r="B614" s="10" t="str">
        <x:v>דוקותיים | רכבת בפיג׳מה: איתי אשר הלך לבקר את האנשים שעברו לישון במרחב המוגן בתחנת הרכבת הקלה</x:v>
      </x:c>
      <x:c r="C614" s="10" t="str">
        <x:v>Люди и повседневность</x:v>
      </x:c>
      <x:c r="D614" s="9" t="str">
        <x:v>Быт</x:v>
      </x:c>
      <x:c r="E614" s="10" t="str">
        <x:v>Репатрианты; общество; занятые взрослые</x:v>
      </x:c>
      <x:c r="F614" s="10" t="str">
        <x:v>B1–B2 (гипотеза)</x:v>
      </x:c>
      <x:c r="G614" s="12" t="n">
        <x:v>2.9</x:v>
      </x:c>
      <x:c r="H614" s="14" t="n">
        <x:v>121957</x:v>
      </x:c>
      <x:c r="I614" s="15" t="str">
        <x:v>Точный счётчик метаданных видео</x:v>
      </x:c>
      <x:c r="J614" s="14" t="n">
        <x:v>121000</x:v>
      </x:c>
      <x:c r="K614" s="14" t="n">
        <x:v>32500</x:v>
      </x:c>
      <x:c r="L614" s="12" t="n">
        <x:f>IF(COUNT(J614:K614)=2,IF(K614=0,"",J614/K614),"")</x:f>
        <x:v>3.723076923076923</x:v>
      </x:c>
      <x:c r="M614" s="10" t="str">
        <x:v>Завершённый короткий просмотр около 3 мин. Просмотры в списке выше медианы выборки этого цикла в 3.72 раза. Короткая история реального человека подходит для ежедневной привычки. Разные профессии и места расширяют взгляд на страну.</x:v>
      </x:c>
      <x:c r="N614" s="10" t="str">
        <x:v>Прослушать 2–5 минут, выписать 6 фраз и пересказать историю в 3 предложениях.</x:v>
      </x:c>
      <x:c r="O614" s="10" t="str">
        <x:v>Проверить содержание</x:v>
      </x:c>
      <x:c r="P614" s="10" t="str">
        <x:v>Самостоятельное видео</x:v>
      </x:c>
      <x:c r="Q614" s="9" t="str">
        <x:v>Нет</x:v>
      </x:c>
      <x:c r="R614" s="9" t="str">
        <x:v>C043</x:v>
      </x:c>
      <x:c r="S614" s="9" t="str">
        <x:v>C043</x:v>
      </x:c>
      <x:c r="T614" s="10" t="str">
        <x:v>כאן | דיגיטל - תאגיד השידור הישראלי</x:v>
      </x:c>
      <x:c r="U614" s="11" t="str">
        <x:v>https://www.youtube.com/watch?v=S_xM55s4_lc</x:v>
      </x:c>
      <x:c r="V614" s="16" t="n">
        <x:v>46308</x:v>
      </x:c>
      <x:c r="W614" s="16" t="n">
        <x:v>46085</x:v>
      </x:c>
      <x:c r="X614" s="10" t="str">
        <x:v>Иврит предполагается по заголовку и источнику</x:v>
      </x:c>
      <x:c r="Y614" s="10" t="str">
        <x:v>Автоматическая дорожка HE по метаданным</x:v>
      </x:c>
      <x:c r="Z614" s="10" t="str">
        <x:v>Разрешено по метаданным</x:v>
      </x:c>
      <x:c r="AA614" s="10" t="str">
        <x:v>Метаданные видео; воспроизведение и содержание не проверены</x:v>
      </x:c>
      <x:c r="AB614" s="13" t="n">
        <x:f>IF(AND(ISNUMBER(H614),ISNUMBER(W614)),H614/MAX(1,'Обзор'!$B$4-W614),"")</x:f>
        <x:v>546.8923766816143</x:v>
      </x:c>
      <x:c r="AC614" s="17" t="str">
        <x:v>Не решено</x:v>
      </x:c>
      <x:c r="AD614" s="17" t="str">
        <x:v>Не проверено</x:v>
      </x:c>
      <x:c r="AE614" s="17" t="str">
        <x:v>Не проверено</x:v>
      </x:c>
      <x:c r="AF614" s="17" t="str">
        <x:v>Не проверено</x:v>
      </x:c>
      <x:c r="AG614" s="17" t="str">
        <x:v>Не решено</x:v>
      </x:c>
      <x:c r="AH614" s="17" t="str">
        <x:v>Не проверено</x:v>
      </x:c>
      <x:c r="AI614" s="10" t="str">
        <x:f>IF(AC614="Отклонить","Отклонено",IF(AND(AC614="Взять",COUNTIFS(AD614:AH614,"Да")=5),"Готово","Нужна редактура"))</x:f>
        <x:v>Нужна редактура</x:v>
      </x:c>
      <x:c r="AJ614" s="17" t="str"/>
      <x:c r="AK614" s="9" t="str">
        <x:v>https://www.youtube.com/playlist?list=PLXv9BeKApRvwx9zh3LqZl-UexiIKULA-7</x:v>
      </x:c>
      <x:c r="AL614" s="9" t="n">
        <x:v>26</x:v>
      </x:c>
      <x:c r="AM614" s="9"/>
      <x:c r="AN614" s="9" t="n">
        <x:v>0</x:v>
      </x:c>
    </x:row>
    <x:row r="615" ht="60" customHeight="1">
      <x:c r="A615" s="9" t="str">
        <x:v>zII-uaWzbhQ</x:v>
      </x:c>
      <x:c r="B615" s="10" t="str">
        <x:v>דוקותיים | נחי וגילי מלמדים חרדים לשעבר שמותר לגעת</x:v>
      </x:c>
      <x:c r="C615" s="10" t="str">
        <x:v>Люди и повседневность</x:v>
      </x:c>
      <x:c r="D615" s="9" t="str">
        <x:v>Быт</x:v>
      </x:c>
      <x:c r="E615" s="10" t="str">
        <x:v>Репатрианты; общество; занятые взрослые</x:v>
      </x:c>
      <x:c r="F615" s="10" t="str">
        <x:v>B1–B2 (гипотеза)</x:v>
      </x:c>
      <x:c r="G615" s="12" t="n">
        <x:v>5.4</x:v>
      </x:c>
      <x:c r="H615" s="14" t="n">
        <x:v>52459</x:v>
      </x:c>
      <x:c r="I615" s="15" t="str">
        <x:v>Точный счётчик метаданных видео</x:v>
      </x:c>
      <x:c r="J615" s="14" t="n">
        <x:v>52000</x:v>
      </x:c>
      <x:c r="K615" s="14" t="n">
        <x:v>32500</x:v>
      </x:c>
      <x:c r="L615" s="12" t="n">
        <x:f>IF(COUNT(J615:K615)=2,IF(K615=0,"",J615/K615),"")</x:f>
        <x:v>1.6</x:v>
      </x:c>
      <x:c r="M615" s="10" t="str">
        <x:v>Завершённый короткий просмотр около 5 мин. Просмотры в списке выше медианы выборки этого цикла в 1.6 раза. Короткая история реального человека подходит для ежедневной привычки. Разные профессии и места расширяют взгляд на страну.</x:v>
      </x:c>
      <x:c r="N615" s="10" t="str">
        <x:v>Прослушать 2–5 минут, выписать 6 фраз и пересказать историю в 3 предложениях.</x:v>
      </x:c>
      <x:c r="O615" s="10" t="str">
        <x:v>Проверить содержание</x:v>
      </x:c>
      <x:c r="P615" s="10" t="str">
        <x:v>Самостоятельное видео</x:v>
      </x:c>
      <x:c r="Q615" s="9" t="str">
        <x:v>Нет</x:v>
      </x:c>
      <x:c r="R615" s="9" t="str">
        <x:v>C043</x:v>
      </x:c>
      <x:c r="S615" s="9" t="str">
        <x:v>C043</x:v>
      </x:c>
      <x:c r="T615" s="10" t="str">
        <x:v>כאן | דיגיטל - תאגיד השידור הישראלי</x:v>
      </x:c>
      <x:c r="U615" s="11" t="str">
        <x:v>https://www.youtube.com/watch?v=zII-uaWzbhQ</x:v>
      </x:c>
      <x:c r="V615" s="16" t="n">
        <x:v>46308</x:v>
      </x:c>
      <x:c r="W615" s="16" t="n">
        <x:v>46077</x:v>
      </x:c>
      <x:c r="X615" s="10" t="str">
        <x:v>Иврит предполагается по заголовку и источнику</x:v>
      </x:c>
      <x:c r="Y615" s="10" t="str">
        <x:v>Автоматическая дорожка HE по метаданным</x:v>
      </x:c>
      <x:c r="Z615" s="10" t="str">
        <x:v>Разрешено по метаданным</x:v>
      </x:c>
      <x:c r="AA615" s="10" t="str">
        <x:v>Метаданные видео; воспроизведение и содержание не проверены</x:v>
      </x:c>
      <x:c r="AB615" s="13" t="n">
        <x:f>IF(AND(ISNUMBER(H615),ISNUMBER(W615)),H615/MAX(1,'Обзор'!$B$4-W615),"")</x:f>
        <x:v>227.0952380952381</x:v>
      </x:c>
      <x:c r="AC615" s="17" t="str">
        <x:v>Не решено</x:v>
      </x:c>
      <x:c r="AD615" s="17" t="str">
        <x:v>Не проверено</x:v>
      </x:c>
      <x:c r="AE615" s="17" t="str">
        <x:v>Не проверено</x:v>
      </x:c>
      <x:c r="AF615" s="17" t="str">
        <x:v>Не проверено</x:v>
      </x:c>
      <x:c r="AG615" s="17" t="str">
        <x:v>Не решено</x:v>
      </x:c>
      <x:c r="AH615" s="17" t="str">
        <x:v>Не проверено</x:v>
      </x:c>
      <x:c r="AI615" s="10" t="str">
        <x:f>IF(AC615="Отклонить","Отклонено",IF(AND(AC615="Взять",COUNTIFS(AD615:AH615,"Да")=5),"Готово","Нужна редактура"))</x:f>
        <x:v>Нужна редактура</x:v>
      </x:c>
      <x:c r="AJ615" s="17" t="str"/>
      <x:c r="AK615" s="9" t="str">
        <x:v>https://www.youtube.com/playlist?list=PLXv9BeKApRvwx9zh3LqZl-UexiIKULA-7</x:v>
      </x:c>
      <x:c r="AL615" s="9" t="n">
        <x:v>27</x:v>
      </x:c>
      <x:c r="AM615" s="9"/>
      <x:c r="AN615" s="9" t="n">
        <x:v>0</x:v>
      </x:c>
    </x:row>
    <x:row r="616" ht="60" customHeight="1">
      <x:c r="A616" s="9" t="str">
        <x:v>ZQw5fpwnbyY</x:v>
      </x:c>
      <x:c r="B616" s="10" t="str">
        <x:v>דוקותיים | שחקן השש-בש הכי טוב בארץ לא מאמין במזל</x:v>
      </x:c>
      <x:c r="C616" s="10" t="str">
        <x:v>Люди и повседневность</x:v>
      </x:c>
      <x:c r="D616" s="9" t="str">
        <x:v>Быт</x:v>
      </x:c>
      <x:c r="E616" s="10" t="str">
        <x:v>Репатрианты; общество; занятые взрослые</x:v>
      </x:c>
      <x:c r="F616" s="10" t="str">
        <x:v>B1–B2 (гипотеза)</x:v>
      </x:c>
      <x:c r="G616" s="12" t="n">
        <x:v>5.9</x:v>
      </x:c>
      <x:c r="H616" s="14" t="n">
        <x:v>119630</x:v>
      </x:c>
      <x:c r="I616" s="15" t="str">
        <x:v>Точный счётчик метаданных видео</x:v>
      </x:c>
      <x:c r="J616" s="14" t="n">
        <x:v>119000</x:v>
      </x:c>
      <x:c r="K616" s="14" t="n">
        <x:v>32500</x:v>
      </x:c>
      <x:c r="L616" s="12" t="n">
        <x:f>IF(COUNT(J616:K616)=2,IF(K616=0,"",J616/K616),"")</x:f>
        <x:v>3.6615384615384614</x:v>
      </x:c>
      <x:c r="M616" s="10" t="str">
        <x:v>Завершённый короткий просмотр около 6 мин. Просмотры в списке выше медианы выборки этого цикла в 3.66 раза. Короткая история реального человека подходит для ежедневной привычки. Разные профессии и места расширяют взгляд на страну.</x:v>
      </x:c>
      <x:c r="N616" s="10" t="str">
        <x:v>Прослушать 2–5 минут, выписать 6 фраз и пересказать историю в 3 предложениях.</x:v>
      </x:c>
      <x:c r="O616" s="10" t="str">
        <x:v>Проверить содержание</x:v>
      </x:c>
      <x:c r="P616" s="10" t="str">
        <x:v>Самостоятельное видео</x:v>
      </x:c>
      <x:c r="Q616" s="9" t="str">
        <x:v>Нет</x:v>
      </x:c>
      <x:c r="R616" s="9" t="str">
        <x:v>C043</x:v>
      </x:c>
      <x:c r="S616" s="9" t="str">
        <x:v>C043</x:v>
      </x:c>
      <x:c r="T616" s="10" t="str">
        <x:v>כאן | דיגיטל - תאגיד השידור הישראלי</x:v>
      </x:c>
      <x:c r="U616" s="11" t="str">
        <x:v>https://www.youtube.com/watch?v=ZQw5fpwnbyY</x:v>
      </x:c>
      <x:c r="V616" s="16" t="n">
        <x:v>46308</x:v>
      </x:c>
      <x:c r="W616" s="16" t="n">
        <x:v>46070</x:v>
      </x:c>
      <x:c r="X616" s="10" t="str">
        <x:v>Иврит предполагается по заголовку и источнику</x:v>
      </x:c>
      <x:c r="Y616" s="10" t="str">
        <x:v>Автоматическая дорожка HE по метаданным</x:v>
      </x:c>
      <x:c r="Z616" s="10" t="str">
        <x:v>Разрешено по метаданным</x:v>
      </x:c>
      <x:c r="AA616" s="10" t="str">
        <x:v>Метаданные видео; воспроизведение и содержание не проверены</x:v>
      </x:c>
      <x:c r="AB616" s="13" t="n">
        <x:f>IF(AND(ISNUMBER(H616),ISNUMBER(W616)),H616/MAX(1,'Обзор'!$B$4-W616),"")</x:f>
        <x:v>502.6470588235294</x:v>
      </x:c>
      <x:c r="AC616" s="17" t="str">
        <x:v>Не решено</x:v>
      </x:c>
      <x:c r="AD616" s="17" t="str">
        <x:v>Не проверено</x:v>
      </x:c>
      <x:c r="AE616" s="17" t="str">
        <x:v>Не проверено</x:v>
      </x:c>
      <x:c r="AF616" s="17" t="str">
        <x:v>Не проверено</x:v>
      </x:c>
      <x:c r="AG616" s="17" t="str">
        <x:v>Не решено</x:v>
      </x:c>
      <x:c r="AH616" s="17" t="str">
        <x:v>Не проверено</x:v>
      </x:c>
      <x:c r="AI616" s="10" t="str">
        <x:f>IF(AC616="Отклонить","Отклонено",IF(AND(AC616="Взять",COUNTIFS(AD616:AH616,"Да")=5),"Готово","Нужна редактура"))</x:f>
        <x:v>Нужна редактура</x:v>
      </x:c>
      <x:c r="AJ616" s="17" t="str"/>
      <x:c r="AK616" s="9" t="str">
        <x:v>https://www.youtube.com/playlist?list=PLXv9BeKApRvwx9zh3LqZl-UexiIKULA-7</x:v>
      </x:c>
      <x:c r="AL616" s="9" t="n">
        <x:v>28</x:v>
      </x:c>
      <x:c r="AM616" s="9"/>
      <x:c r="AN616" s="9" t="n">
        <x:v>0</x:v>
      </x:c>
    </x:row>
    <x:row r="617" ht="60" customHeight="1">
      <x:c r="A617" s="9" t="str">
        <x:v>GASccH14UuI</x:v>
      </x:c>
      <x:c r="B617" s="10" t="str">
        <x:v>דוקותיים | בעקבות השבעה באוקטובר, משה עזב את הישיבה והתגייס לצה"ל</x:v>
      </x:c>
      <x:c r="C617" s="10" t="str">
        <x:v>Люди и повседневность</x:v>
      </x:c>
      <x:c r="D617" s="9" t="str">
        <x:v>Быт</x:v>
      </x:c>
      <x:c r="E617" s="10" t="str">
        <x:v>Репатрианты; общество; занятые взрослые</x:v>
      </x:c>
      <x:c r="F617" s="10" t="str">
        <x:v>B1–B2 (гипотеза)</x:v>
      </x:c>
      <x:c r="G617" s="12" t="n">
        <x:v>8</x:v>
      </x:c>
      <x:c r="H617" s="14" t="n">
        <x:v>55786</x:v>
      </x:c>
      <x:c r="I617" s="15" t="str">
        <x:v>Точный счётчик метаданных видео</x:v>
      </x:c>
      <x:c r="J617" s="14" t="n">
        <x:v>55000</x:v>
      </x:c>
      <x:c r="K617" s="14" t="n">
        <x:v>32500</x:v>
      </x:c>
      <x:c r="L617" s="12" t="n">
        <x:f>IF(COUNT(J617:K617)=2,IF(K617=0,"",J617/K617),"")</x:f>
        <x:v>1.6923076923076923</x:v>
      </x:c>
      <x:c r="M617" s="10" t="str">
        <x:v>Завершённый короткий просмотр около 8 мин. Просмотры в списке выше медианы выборки этого цикла в 1.69 раза. Короткая история реального человека подходит для ежедневной привычки. Разные профессии и места расширяют взгляд на страну.</x:v>
      </x:c>
      <x:c r="N617" s="10" t="str">
        <x:v>Прослушать 2–5 минут, выписать 6 фраз и пересказать историю в 3 предложениях.</x:v>
      </x:c>
      <x:c r="O617" s="10" t="str">
        <x:v>Проверить содержание</x:v>
      </x:c>
      <x:c r="P617" s="10" t="str">
        <x:v>Самостоятельное видео</x:v>
      </x:c>
      <x:c r="Q617" s="9" t="str">
        <x:v>Нет</x:v>
      </x:c>
      <x:c r="R617" s="9" t="str">
        <x:v>C043</x:v>
      </x:c>
      <x:c r="S617" s="9" t="str">
        <x:v>C043</x:v>
      </x:c>
      <x:c r="T617" s="10" t="str">
        <x:v>כאן | דיגיטל - תאגיד השידור הישראלי</x:v>
      </x:c>
      <x:c r="U617" s="11" t="str">
        <x:v>https://www.youtube.com/watch?v=GASccH14UuI</x:v>
      </x:c>
      <x:c r="V617" s="16" t="n">
        <x:v>46308</x:v>
      </x:c>
      <x:c r="W617" s="16" t="n">
        <x:v>46056</x:v>
      </x:c>
      <x:c r="X617" s="10" t="str">
        <x:v>iw</x:v>
      </x:c>
      <x:c r="Y617" s="10" t="str">
        <x:v>Автоматическая дорожка HE по метаданным</x:v>
      </x:c>
      <x:c r="Z617" s="10" t="str">
        <x:v>Разрешено по метаданным</x:v>
      </x:c>
      <x:c r="AA617" s="10" t="str">
        <x:v>Метаданные видео; воспроизведение и содержание не проверены</x:v>
      </x:c>
      <x:c r="AB617" s="13" t="n">
        <x:f>IF(AND(ISNUMBER(H617),ISNUMBER(W617)),H617/MAX(1,'Обзор'!$B$4-W617),"")</x:f>
        <x:v>221.37301587301587</x:v>
      </x:c>
      <x:c r="AC617" s="17" t="str">
        <x:v>Не решено</x:v>
      </x:c>
      <x:c r="AD617" s="17" t="str">
        <x:v>Не проверено</x:v>
      </x:c>
      <x:c r="AE617" s="17" t="str">
        <x:v>Не проверено</x:v>
      </x:c>
      <x:c r="AF617" s="17" t="str">
        <x:v>Не проверено</x:v>
      </x:c>
      <x:c r="AG617" s="17" t="str">
        <x:v>Не решено</x:v>
      </x:c>
      <x:c r="AH617" s="17" t="str">
        <x:v>Не проверено</x:v>
      </x:c>
      <x:c r="AI617" s="10" t="str">
        <x:f>IF(AC617="Отклонить","Отклонено",IF(AND(AC617="Взять",COUNTIFS(AD617:AH617,"Да")=5),"Готово","Нужна редактура"))</x:f>
        <x:v>Нужна редактура</x:v>
      </x:c>
      <x:c r="AJ617" s="17" t="str"/>
      <x:c r="AK617" s="9" t="str">
        <x:v>https://www.youtube.com/playlist?list=PLXv9BeKApRvwx9zh3LqZl-UexiIKULA-7</x:v>
      </x:c>
      <x:c r="AL617" s="9" t="n">
        <x:v>29</x:v>
      </x:c>
      <x:c r="AM617" s="9"/>
      <x:c r="AN617" s="9" t="n">
        <x:v>0</x:v>
      </x:c>
    </x:row>
    <x:row r="618" ht="60" customHeight="1">
      <x:c r="A618" s="9" t="str">
        <x:v>jyy4MiRnqkE</x:v>
      </x:c>
      <x:c r="B618" s="10" t="str">
        <x:v>דוקותיים | סיימון בנה את לגונת הגלישה המלאכותית הכי גדולה בעולם</x:v>
      </x:c>
      <x:c r="C618" s="10" t="str">
        <x:v>Люди и повседневность</x:v>
      </x:c>
      <x:c r="D618" s="9" t="str">
        <x:v>Быт</x:v>
      </x:c>
      <x:c r="E618" s="10" t="str">
        <x:v>Репатрианты; общество; занятые взрослые</x:v>
      </x:c>
      <x:c r="F618" s="10" t="str">
        <x:v>B1–B2 (гипотеза)</x:v>
      </x:c>
      <x:c r="G618" s="12" t="n">
        <x:v>5.2</x:v>
      </x:c>
      <x:c r="H618" s="14" t="n">
        <x:v>47799</x:v>
      </x:c>
      <x:c r="I618" s="15" t="str">
        <x:v>Точный счётчик метаданных видео</x:v>
      </x:c>
      <x:c r="J618" s="14" t="n">
        <x:v>47000</x:v>
      </x:c>
      <x:c r="K618" s="14" t="n">
        <x:v>32500</x:v>
      </x:c>
      <x:c r="L618" s="12" t="n">
        <x:f>IF(COUNT(J618:K618)=2,IF(K618=0,"",J618/K618),"")</x:f>
        <x:v>1.4461538461538461</x:v>
      </x:c>
      <x:c r="M618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618" s="10" t="str">
        <x:v>Прослушать 2–5 минут, выписать 6 фраз и пересказать историю в 3 предложениях.</x:v>
      </x:c>
      <x:c r="O618" s="10" t="str">
        <x:v>Проверить содержание</x:v>
      </x:c>
      <x:c r="P618" s="10" t="str">
        <x:v>Самостоятельное видео</x:v>
      </x:c>
      <x:c r="Q618" s="9" t="str">
        <x:v>Нет</x:v>
      </x:c>
      <x:c r="R618" s="9" t="str">
        <x:v>C043</x:v>
      </x:c>
      <x:c r="S618" s="9" t="str">
        <x:v>C043</x:v>
      </x:c>
      <x:c r="T618" s="10" t="str">
        <x:v>כאן | דיגיטל - תאגיד השידור הישראלי</x:v>
      </x:c>
      <x:c r="U618" s="11" t="str">
        <x:v>https://www.youtube.com/watch?v=jyy4MiRnqkE</x:v>
      </x:c>
      <x:c r="V618" s="16" t="n">
        <x:v>46308</x:v>
      </x:c>
      <x:c r="W618" s="16" t="n">
        <x:v>46044</x:v>
      </x:c>
      <x:c r="X618" s="10" t="str">
        <x:v>Иврит предполагается по заголовку и источнику</x:v>
      </x:c>
      <x:c r="Y618" s="10" t="str">
        <x:v>Автоматическая дорожка HE по метаданным</x:v>
      </x:c>
      <x:c r="Z618" s="10" t="str">
        <x:v>Разрешено по метаданным</x:v>
      </x:c>
      <x:c r="AA618" s="10" t="str">
        <x:v>Метаданные видео; воспроизведение и содержание не проверены</x:v>
      </x:c>
      <x:c r="AB618" s="13" t="n">
        <x:f>IF(AND(ISNUMBER(H618),ISNUMBER(W618)),H618/MAX(1,'Обзор'!$B$4-W618),"")</x:f>
        <x:v>181.0568181818182</x:v>
      </x:c>
      <x:c r="AC618" s="17" t="str">
        <x:v>Не решено</x:v>
      </x:c>
      <x:c r="AD618" s="17" t="str">
        <x:v>Не проверено</x:v>
      </x:c>
      <x:c r="AE618" s="17" t="str">
        <x:v>Не проверено</x:v>
      </x:c>
      <x:c r="AF618" s="17" t="str">
        <x:v>Не проверено</x:v>
      </x:c>
      <x:c r="AG618" s="17" t="str">
        <x:v>Не решено</x:v>
      </x:c>
      <x:c r="AH618" s="17" t="str">
        <x:v>Не проверено</x:v>
      </x:c>
      <x:c r="AI618" s="10" t="str">
        <x:f>IF(AC618="Отклонить","Отклонено",IF(AND(AC618="Взять",COUNTIFS(AD618:AH618,"Да")=5),"Готово","Нужна редактура"))</x:f>
        <x:v>Нужна редактура</x:v>
      </x:c>
      <x:c r="AJ618" s="17" t="str"/>
      <x:c r="AK618" s="9" t="str">
        <x:v>https://www.youtube.com/playlist?list=PLXv9BeKApRvwx9zh3LqZl-UexiIKULA-7</x:v>
      </x:c>
      <x:c r="AL618" s="9" t="n">
        <x:v>30</x:v>
      </x:c>
      <x:c r="AM618" s="9"/>
      <x:c r="AN618" s="9" t="n">
        <x:v>0</x:v>
      </x:c>
    </x:row>
    <x:row r="619" ht="60" customHeight="1">
      <x:c r="A619" s="9" t="str">
        <x:v>qmoQy2EnaJI</x:v>
      </x:c>
      <x:c r="B619" s="10" t="str">
        <x:v>דוקותיים | עדן עשתה ניתוח להסרת חזה וסוף סוף יכולה ללכת בלי חולצה</x:v>
      </x:c>
      <x:c r="C619" s="10" t="str">
        <x:v>Люди и повседневность</x:v>
      </x:c>
      <x:c r="D619" s="9" t="str">
        <x:v>Быт</x:v>
      </x:c>
      <x:c r="E619" s="10" t="str">
        <x:v>Репатрианты; общество; занятые взрослые</x:v>
      </x:c>
      <x:c r="F619" s="10" t="str">
        <x:v>B1–B2 (гипотеза)</x:v>
      </x:c>
      <x:c r="G619" s="12" t="n">
        <x:v>4.1</x:v>
      </x:c>
      <x:c r="H619" s="14" t="n">
        <x:v>32000</x:v>
      </x:c>
      <x:c r="I619" s="15" t="str">
        <x:v>Округлённый счётчик в списке YouTube</x:v>
      </x:c>
      <x:c r="J619" s="14" t="n">
        <x:v>32000</x:v>
      </x:c>
      <x:c r="K619" s="14" t="n">
        <x:v>32500</x:v>
      </x:c>
      <x:c r="L619" s="12" t="n">
        <x:f>IF(COUNT(J619:K619)=2,IF(K619=0,"",J619/K619),"")</x:f>
        <x:v>0.9846153846153847</x:v>
      </x:c>
      <x:c r="M619" s="10" t="str">
        <x:v>Завершённый короткий просмотр около 4 мин. Короткая история реального человека подходит для ежедневной привычки. Разные профессии и места расширяют взгляд на страну.</x:v>
      </x:c>
      <x:c r="N619" s="10" t="str">
        <x:v>Прослушать 2–5 минут, выписать 6 фраз и пересказать историю в 3 предложениях.</x:v>
      </x:c>
      <x:c r="O619" s="10" t="str">
        <x:v>Проверить содержание</x:v>
      </x:c>
      <x:c r="P619" s="10" t="str">
        <x:v>Самостоятельное видео</x:v>
      </x:c>
      <x:c r="Q619" s="9" t="str">
        <x:v>Нет</x:v>
      </x:c>
      <x:c r="R619" s="9" t="str">
        <x:v>C043</x:v>
      </x:c>
      <x:c r="S619" s="9" t="str">
        <x:v>C043</x:v>
      </x:c>
      <x:c r="T619" s="10" t="str">
        <x:v>כאן | דיגיטל - תאגיד השידור הישראלי</x:v>
      </x:c>
      <x:c r="U619" s="11" t="str">
        <x:v>https://www.youtube.com/watch?v=qmoQy2EnaJI</x:v>
      </x:c>
      <x:c r="V619" s="16" t="n">
        <x:v>46308</x:v>
      </x:c>
      <x:c r="W619" s="16"/>
      <x:c r="X619" s="10" t="str">
        <x:v>Иврит предполагается по заголовку и источнику</x:v>
      </x:c>
      <x:c r="Y619" s="10" t="str">
        <x:v>Не проверено</x:v>
      </x:c>
      <x:c r="Z619" s="10" t="str">
        <x:v>Не проверено</x:v>
      </x:c>
      <x:c r="AA619" s="10" t="str">
        <x:v>Метаданные списка; видео не просмотрено</x:v>
      </x:c>
      <x:c r="AB619" s="13" t="str">
        <x:f>IF(AND(ISNUMBER(H619),ISNUMBER(W619)),H619/MAX(1,'Обзор'!$B$4-W619),"")</x:f>
      </x:c>
      <x:c r="AC619" s="17" t="str">
        <x:v>Не решено</x:v>
      </x:c>
      <x:c r="AD619" s="17" t="str">
        <x:v>Не проверено</x:v>
      </x:c>
      <x:c r="AE619" s="17" t="str">
        <x:v>Не проверено</x:v>
      </x:c>
      <x:c r="AF619" s="17" t="str">
        <x:v>Не проверено</x:v>
      </x:c>
      <x:c r="AG619" s="17" t="str">
        <x:v>Не решено</x:v>
      </x:c>
      <x:c r="AH619" s="17" t="str">
        <x:v>Не проверено</x:v>
      </x:c>
      <x:c r="AI619" s="10" t="str">
        <x:f>IF(AC619="Отклонить","Отклонено",IF(AND(AC619="Взять",COUNTIFS(AD619:AH619,"Да")=5),"Готово","Нужна редактура"))</x:f>
        <x:v>Нужна редактура</x:v>
      </x:c>
      <x:c r="AJ619" s="17" t="str"/>
      <x:c r="AK619" s="9" t="str">
        <x:v>https://www.youtube.com/playlist?list=PLXv9BeKApRvwx9zh3LqZl-UexiIKULA-7</x:v>
      </x:c>
      <x:c r="AL619" s="9" t="n">
        <x:v>31</x:v>
      </x:c>
      <x:c r="AM619" s="9"/>
      <x:c r="AN619" s="9"/>
    </x:row>
    <x:row r="620" ht="60" customHeight="1">
      <x:c r="A620" s="9" t="str">
        <x:v>dsNxsE6tfnk</x:v>
      </x:c>
      <x:c r="B620" s="10" t="str">
        <x:v>דוקותיים | לב הוא ראש העיר של מידברן</x:v>
      </x:c>
      <x:c r="C620" s="10" t="str">
        <x:v>Люди и повседневность</x:v>
      </x:c>
      <x:c r="D620" s="9" t="str">
        <x:v>Быт</x:v>
      </x:c>
      <x:c r="E620" s="10" t="str">
        <x:v>Репатрианты; общество; занятые взрослые</x:v>
      </x:c>
      <x:c r="F620" s="10" t="str">
        <x:v>B1–B2 (гипотеза)</x:v>
      </x:c>
      <x:c r="G620" s="12" t="n">
        <x:v>10.4</x:v>
      </x:c>
      <x:c r="H620" s="14" t="n">
        <x:v>76429</x:v>
      </x:c>
      <x:c r="I620" s="15" t="str">
        <x:v>Точный счётчик метаданных видео</x:v>
      </x:c>
      <x:c r="J620" s="14" t="n">
        <x:v>76000</x:v>
      </x:c>
      <x:c r="K620" s="14" t="n">
        <x:v>32500</x:v>
      </x:c>
      <x:c r="L620" s="12" t="n">
        <x:f>IF(COUNT(J620:K620)=2,IF(K620=0,"",J620/K620),"")</x:f>
        <x:v>2.3384615384615386</x:v>
      </x:c>
      <x:c r="M620" s="10" t="str">
        <x:v>Тема: דוקותיים | לב הוא ראש העיר של מידברן. Просмотры в списке выше медианы выборки этого цикла в 2.34 раза. Короткая история реального человека подходит для ежедневной привычки. Разные профессии и места расширяют взгляд на страну.</x:v>
      </x:c>
      <x:c r="N620" s="10" t="str">
        <x:v>Прослушать 2–5 минут, выписать 6 фраз и пересказать историю в 3 предложениях.</x:v>
      </x:c>
      <x:c r="O620" s="10" t="str">
        <x:v>Проверить содержание</x:v>
      </x:c>
      <x:c r="P620" s="10" t="str">
        <x:v>Самостоятельное видео</x:v>
      </x:c>
      <x:c r="Q620" s="9" t="str">
        <x:v>Нет</x:v>
      </x:c>
      <x:c r="R620" s="9" t="str">
        <x:v>C043</x:v>
      </x:c>
      <x:c r="S620" s="9" t="str">
        <x:v>C043</x:v>
      </x:c>
      <x:c r="T620" s="10" t="str">
        <x:v>כאן | דיגיטל - תאגיד השידור הישראלי</x:v>
      </x:c>
      <x:c r="U620" s="11" t="str">
        <x:v>https://www.youtube.com/watch?v=dsNxsE6tfnk</x:v>
      </x:c>
      <x:c r="V620" s="16" t="n">
        <x:v>46308</x:v>
      </x:c>
      <x:c r="W620" s="16" t="n">
        <x:v>46028</x:v>
      </x:c>
      <x:c r="X620" s="10" t="str">
        <x:v>Иврит предполагается по заголовку и источнику</x:v>
      </x:c>
      <x:c r="Y620" s="10" t="str">
        <x:v>Автоматическая дорожка HE по метаданным</x:v>
      </x:c>
      <x:c r="Z620" s="10" t="str">
        <x:v>Разрешено по метаданным</x:v>
      </x:c>
      <x:c r="AA620" s="10" t="str">
        <x:v>Метаданные видео; воспроизведение и содержание не проверены</x:v>
      </x:c>
      <x:c r="AB620" s="13" t="n">
        <x:f>IF(AND(ISNUMBER(H620),ISNUMBER(W620)),H620/MAX(1,'Обзор'!$B$4-W620),"")</x:f>
        <x:v>272.9607142857143</x:v>
      </x:c>
      <x:c r="AC620" s="17" t="str">
        <x:v>Не решено</x:v>
      </x:c>
      <x:c r="AD620" s="17" t="str">
        <x:v>Не проверено</x:v>
      </x:c>
      <x:c r="AE620" s="17" t="str">
        <x:v>Не проверено</x:v>
      </x:c>
      <x:c r="AF620" s="17" t="str">
        <x:v>Не проверено</x:v>
      </x:c>
      <x:c r="AG620" s="17" t="str">
        <x:v>Не решено</x:v>
      </x:c>
      <x:c r="AH620" s="17" t="str">
        <x:v>Не проверено</x:v>
      </x:c>
      <x:c r="AI620" s="10" t="str">
        <x:f>IF(AC620="Отклонить","Отклонено",IF(AND(AC620="Взять",COUNTIFS(AD620:AH620,"Да")=5),"Готово","Нужна редактура"))</x:f>
        <x:v>Нужна редактура</x:v>
      </x:c>
      <x:c r="AJ620" s="17" t="str"/>
      <x:c r="AK620" s="9" t="str">
        <x:v>https://www.youtube.com/playlist?list=PLXv9BeKApRvwx9zh3LqZl-UexiIKULA-7</x:v>
      </x:c>
      <x:c r="AL620" s="9" t="n">
        <x:v>32</x:v>
      </x:c>
      <x:c r="AM620" s="9"/>
      <x:c r="AN620" s="9" t="n">
        <x:v>0</x:v>
      </x:c>
    </x:row>
    <x:row r="621" ht="60" customHeight="1">
      <x:c r="A621" s="9" t="str">
        <x:v>hKGlWissGsQ</x:v>
      </x:c>
      <x:c r="B621" s="10" t="str">
        <x:v>דוקותיים | אפרת היא המורה היהודיה היחידה בכפר בדואי בנגב</x:v>
      </x:c>
      <x:c r="C621" s="10" t="str">
        <x:v>Люди и повседневность</x:v>
      </x:c>
      <x:c r="D621" s="9" t="str">
        <x:v>Быт</x:v>
      </x:c>
      <x:c r="E621" s="10" t="str">
        <x:v>Репатрианты; общество; занятые взрослые</x:v>
      </x:c>
      <x:c r="F621" s="10" t="str">
        <x:v>B1–B2 (гипотеза)</x:v>
      </x:c>
      <x:c r="G621" s="12" t="n">
        <x:v>5.8</x:v>
      </x:c>
      <x:c r="H621" s="14" t="n">
        <x:v>39677</x:v>
      </x:c>
      <x:c r="I621" s="15" t="str">
        <x:v>Точный счётчик метаданных видео</x:v>
      </x:c>
      <x:c r="J621" s="14" t="n">
        <x:v>39000</x:v>
      </x:c>
      <x:c r="K621" s="14" t="n">
        <x:v>32500</x:v>
      </x:c>
      <x:c r="L621" s="12" t="n">
        <x:f>IF(COUNT(J621:K621)=2,IF(K621=0,"",J621/K621),"")</x:f>
        <x:v>1.2</x:v>
      </x:c>
      <x:c r="M621" s="10" t="str">
        <x:v>Завершённый короткий просмотр около 6 мин. Короткая история реального человека подходит для ежедневной привычки. Разные профессии и места расширяют взгляд на страну.</x:v>
      </x:c>
      <x:c r="N621" s="10" t="str">
        <x:v>Прослушать 2–5 минут, выписать 6 фраз и пересказать историю в 3 предложениях.</x:v>
      </x:c>
      <x:c r="O621" s="10" t="str">
        <x:v>Проверить содержание</x:v>
      </x:c>
      <x:c r="P621" s="10" t="str">
        <x:v>Самостоятельное видео</x:v>
      </x:c>
      <x:c r="Q621" s="9" t="str">
        <x:v>Нет</x:v>
      </x:c>
      <x:c r="R621" s="9" t="str">
        <x:v>C043</x:v>
      </x:c>
      <x:c r="S621" s="9" t="str">
        <x:v>C043</x:v>
      </x:c>
      <x:c r="T621" s="10" t="str">
        <x:v>כאן | דיגיטל - תאגיד השידור הישראלי</x:v>
      </x:c>
      <x:c r="U621" s="11" t="str">
        <x:v>https://www.youtube.com/watch?v=hKGlWissGsQ</x:v>
      </x:c>
      <x:c r="V621" s="16" t="n">
        <x:v>46308</x:v>
      </x:c>
      <x:c r="W621" s="16" t="n">
        <x:v>46015</x:v>
      </x:c>
      <x:c r="X621" s="10" t="str">
        <x:v>Иврит предполагается по заголовку и источнику</x:v>
      </x:c>
      <x:c r="Y621" s="10" t="str">
        <x:v>Автоматическая дорожка HE по метаданным</x:v>
      </x:c>
      <x:c r="Z621" s="10" t="str">
        <x:v>Разрешено по метаданным</x:v>
      </x:c>
      <x:c r="AA621" s="10" t="str">
        <x:v>Метаданные видео; воспроизведение и содержание не проверены</x:v>
      </x:c>
      <x:c r="AB621" s="13" t="n">
        <x:f>IF(AND(ISNUMBER(H621),ISNUMBER(W621)),H621/MAX(1,'Обзор'!$B$4-W621),"")</x:f>
        <x:v>135.4163822525597</x:v>
      </x:c>
      <x:c r="AC621" s="17" t="str">
        <x:v>Не решено</x:v>
      </x:c>
      <x:c r="AD621" s="17" t="str">
        <x:v>Не проверено</x:v>
      </x:c>
      <x:c r="AE621" s="17" t="str">
        <x:v>Не проверено</x:v>
      </x:c>
      <x:c r="AF621" s="17" t="str">
        <x:v>Не проверено</x:v>
      </x:c>
      <x:c r="AG621" s="17" t="str">
        <x:v>Не решено</x:v>
      </x:c>
      <x:c r="AH621" s="17" t="str">
        <x:v>Не проверено</x:v>
      </x:c>
      <x:c r="AI621" s="10" t="str">
        <x:f>IF(AC621="Отклонить","Отклонено",IF(AND(AC621="Взять",COUNTIFS(AD621:AH621,"Да")=5),"Готово","Нужна редактура"))</x:f>
        <x:v>Нужна редактура</x:v>
      </x:c>
      <x:c r="AJ621" s="17" t="str"/>
      <x:c r="AK621" s="9" t="str">
        <x:v>https://www.youtube.com/playlist?list=PLXv9BeKApRvwx9zh3LqZl-UexiIKULA-7</x:v>
      </x:c>
      <x:c r="AL621" s="9" t="n">
        <x:v>33</x:v>
      </x:c>
      <x:c r="AM621" s="9"/>
      <x:c r="AN621" s="9" t="n">
        <x:v>0</x:v>
      </x:c>
    </x:row>
    <x:row r="622" ht="60" customHeight="1">
      <x:c r="A622" s="9" t="str">
        <x:v>VlbtjDjf1Qo</x:v>
      </x:c>
      <x:c r="B622" s="10" t="str">
        <x:v>דוקותיים | הפסוליה של דייזי - להקת הרוק הכי פרועה בישראל</x:v>
      </x:c>
      <x:c r="C622" s="10" t="str">
        <x:v>Люди и повседневность</x:v>
      </x:c>
      <x:c r="D622" s="9" t="str">
        <x:v>Быт</x:v>
      </x:c>
      <x:c r="E622" s="10" t="str">
        <x:v>Репатрианты; общество; занятые взрослые</x:v>
      </x:c>
      <x:c r="F622" s="10" t="str">
        <x:v>B1–B2 (гипотеза)</x:v>
      </x:c>
      <x:c r="G622" s="12" t="n">
        <x:v>5.4</x:v>
      </x:c>
      <x:c r="H622" s="14" t="n">
        <x:v>24000</x:v>
      </x:c>
      <x:c r="I622" s="15" t="str">
        <x:v>Округлённый счётчик в списке YouTube</x:v>
      </x:c>
      <x:c r="J622" s="14" t="n">
        <x:v>24000</x:v>
      </x:c>
      <x:c r="K622" s="14" t="n">
        <x:v>32500</x:v>
      </x:c>
      <x:c r="L622" s="12" t="n">
        <x:f>IF(COUNT(J622:K622)=2,IF(K622=0,"",J622/K622),"")</x:f>
        <x:v>0.7384615384615385</x:v>
      </x:c>
      <x:c r="M622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622" s="10" t="str">
        <x:v>Прослушать 2–5 минут, выписать 6 фраз и пересказать историю в 3 предложениях.</x:v>
      </x:c>
      <x:c r="O622" s="10" t="str">
        <x:v>Проверить содержание</x:v>
      </x:c>
      <x:c r="P622" s="10" t="str">
        <x:v>Самостоятельное видео</x:v>
      </x:c>
      <x:c r="Q622" s="9" t="str">
        <x:v>Нет</x:v>
      </x:c>
      <x:c r="R622" s="9" t="str">
        <x:v>C043</x:v>
      </x:c>
      <x:c r="S622" s="9" t="str">
        <x:v>C043</x:v>
      </x:c>
      <x:c r="T622" s="10" t="str">
        <x:v>כאן | דיגיטל - תאגיד השידור הישראלי</x:v>
      </x:c>
      <x:c r="U622" s="11" t="str">
        <x:v>https://www.youtube.com/watch?v=VlbtjDjf1Qo</x:v>
      </x:c>
      <x:c r="V622" s="16" t="n">
        <x:v>46308</x:v>
      </x:c>
      <x:c r="W622" s="16"/>
      <x:c r="X622" s="10" t="str">
        <x:v>Иврит предполагается по заголовку и источнику</x:v>
      </x:c>
      <x:c r="Y622" s="10" t="str">
        <x:v>Не проверено</x:v>
      </x:c>
      <x:c r="Z622" s="10" t="str">
        <x:v>Не проверено</x:v>
      </x:c>
      <x:c r="AA622" s="10" t="str">
        <x:v>Метаданные списка; видео не просмотрено</x:v>
      </x:c>
      <x:c r="AB622" s="13" t="str">
        <x:f>IF(AND(ISNUMBER(H622),ISNUMBER(W622)),H622/MAX(1,'Обзор'!$B$4-W622),"")</x:f>
      </x:c>
      <x:c r="AC622" s="17" t="str">
        <x:v>Не решено</x:v>
      </x:c>
      <x:c r="AD622" s="17" t="str">
        <x:v>Не проверено</x:v>
      </x:c>
      <x:c r="AE622" s="17" t="str">
        <x:v>Не проверено</x:v>
      </x:c>
      <x:c r="AF622" s="17" t="str">
        <x:v>Не проверено</x:v>
      </x:c>
      <x:c r="AG622" s="17" t="str">
        <x:v>Не решено</x:v>
      </x:c>
      <x:c r="AH622" s="17" t="str">
        <x:v>Не проверено</x:v>
      </x:c>
      <x:c r="AI622" s="10" t="str">
        <x:f>IF(AC622="Отклонить","Отклонено",IF(AND(AC622="Взять",COUNTIFS(AD622:AH622,"Да")=5),"Готово","Нужна редактура"))</x:f>
        <x:v>Нужна редактура</x:v>
      </x:c>
      <x:c r="AJ622" s="17" t="str"/>
      <x:c r="AK622" s="9" t="str">
        <x:v>https://www.youtube.com/playlist?list=PLXv9BeKApRvwx9zh3LqZl-UexiIKULA-7</x:v>
      </x:c>
      <x:c r="AL622" s="9" t="n">
        <x:v>34</x:v>
      </x:c>
      <x:c r="AM622" s="9"/>
      <x:c r="AN622" s="9"/>
    </x:row>
    <x:row r="623" ht="60" customHeight="1">
      <x:c r="A623" s="9" t="str">
        <x:v>Rkayn7Lzu5k</x:v>
      </x:c>
      <x:c r="B623" s="10" t="str">
        <x:v>דוקותיים | בן ישראל סלע מתופף ברחוב</x:v>
      </x:c>
      <x:c r="C623" s="10" t="str">
        <x:v>Люди и повседневность</x:v>
      </x:c>
      <x:c r="D623" s="9" t="str">
        <x:v>Быт</x:v>
      </x:c>
      <x:c r="E623" s="10" t="str">
        <x:v>Репатрианты; общество; занятые взрослые</x:v>
      </x:c>
      <x:c r="F623" s="10" t="str">
        <x:v>B1–B2 (гипотеза)</x:v>
      </x:c>
      <x:c r="G623" s="12" t="n">
        <x:v>3.5</x:v>
      </x:c>
      <x:c r="H623" s="14" t="n">
        <x:v>34169</x:v>
      </x:c>
      <x:c r="I623" s="15" t="str">
        <x:v>Точный счётчик метаданных видео</x:v>
      </x:c>
      <x:c r="J623" s="14" t="n">
        <x:v>34000</x:v>
      </x:c>
      <x:c r="K623" s="14" t="n">
        <x:v>32500</x:v>
      </x:c>
      <x:c r="L623" s="12" t="n">
        <x:f>IF(COUNT(J623:K623)=2,IF(K623=0,"",J623/K623),"")</x:f>
        <x:v>1.0461538461538462</x:v>
      </x:c>
      <x:c r="M623" s="10" t="str">
        <x:v>Завершённый короткий просмотр около 4 мин. Короткая история реального человека подходит для ежедневной привычки. Разные профессии и места расширяют взгляд на страну.</x:v>
      </x:c>
      <x:c r="N623" s="10" t="str">
        <x:v>Прослушать 2–5 минут, выписать 6 фраз и пересказать историю в 3 предложениях.</x:v>
      </x:c>
      <x:c r="O623" s="10" t="str">
        <x:v>Проверить содержание</x:v>
      </x:c>
      <x:c r="P623" s="10" t="str">
        <x:v>Самостоятельное видео</x:v>
      </x:c>
      <x:c r="Q623" s="9" t="str">
        <x:v>Нет</x:v>
      </x:c>
      <x:c r="R623" s="9" t="str">
        <x:v>C043</x:v>
      </x:c>
      <x:c r="S623" s="9" t="str">
        <x:v>C043</x:v>
      </x:c>
      <x:c r="T623" s="10" t="str">
        <x:v>כאן | דיגיטל - תאגיד השידור הישראלי</x:v>
      </x:c>
      <x:c r="U623" s="11" t="str">
        <x:v>https://www.youtube.com/watch?v=Rkayn7Lzu5k</x:v>
      </x:c>
      <x:c r="V623" s="16" t="n">
        <x:v>46308</x:v>
      </x:c>
      <x:c r="W623" s="16" t="n">
        <x:v>45986</x:v>
      </x:c>
      <x:c r="X623" s="10" t="str">
        <x:v>Иврит предполагается по заголовку и источнику</x:v>
      </x:c>
      <x:c r="Y623" s="10" t="str">
        <x:v>Ручная дорожка HE по метаданным</x:v>
      </x:c>
      <x:c r="Z623" s="10" t="str">
        <x:v>Разрешено по метаданным</x:v>
      </x:c>
      <x:c r="AA623" s="10" t="str">
        <x:v>Метаданные видео; воспроизведение и содержание не проверены</x:v>
      </x:c>
      <x:c r="AB623" s="13" t="n">
        <x:f>IF(AND(ISNUMBER(H623),ISNUMBER(W623)),H623/MAX(1,'Обзор'!$B$4-W623),"")</x:f>
        <x:v>106.11490683229813</x:v>
      </x:c>
      <x:c r="AC623" s="17" t="str">
        <x:v>Не решено</x:v>
      </x:c>
      <x:c r="AD623" s="17" t="str">
        <x:v>Не проверено</x:v>
      </x:c>
      <x:c r="AE623" s="17" t="str">
        <x:v>Не проверено</x:v>
      </x:c>
      <x:c r="AF623" s="17" t="str">
        <x:v>Не проверено</x:v>
      </x:c>
      <x:c r="AG623" s="17" t="str">
        <x:v>Не решено</x:v>
      </x:c>
      <x:c r="AH623" s="17" t="str">
        <x:v>Не проверено</x:v>
      </x:c>
      <x:c r="AI623" s="10" t="str">
        <x:f>IF(AC623="Отклонить","Отклонено",IF(AND(AC623="Взять",COUNTIFS(AD623:AH623,"Да")=5),"Готово","Нужна редактура"))</x:f>
        <x:v>Нужна редактура</x:v>
      </x:c>
      <x:c r="AJ623" s="17" t="str"/>
      <x:c r="AK623" s="9" t="str">
        <x:v>https://www.youtube.com/playlist?list=PLXv9BeKApRvwx9zh3LqZl-UexiIKULA-7</x:v>
      </x:c>
      <x:c r="AL623" s="9" t="n">
        <x:v>35</x:v>
      </x:c>
      <x:c r="AM623" s="9"/>
      <x:c r="AN623" s="9" t="n">
        <x:v>0</x:v>
      </x:c>
    </x:row>
    <x:row r="624" ht="60" customHeight="1">
      <x:c r="A624" s="9" t="str">
        <x:v>fHqmuGv0pn4</x:v>
      </x:c>
      <x:c r="B624" s="10" t="str">
        <x:v>ערבים ויהודים נלחמים זה בזה - אבל לא כמו שאתם חושבים | דוקותיים</x:v>
      </x:c>
      <x:c r="C624" s="10" t="str">
        <x:v>Люди и повседневность</x:v>
      </x:c>
      <x:c r="D624" s="9" t="str">
        <x:v>Быт</x:v>
      </x:c>
      <x:c r="E624" s="10" t="str">
        <x:v>Репатрианты; общество; занятые взрослые</x:v>
      </x:c>
      <x:c r="F624" s="10" t="str">
        <x:v>B1–B2 (гипотеза)</x:v>
      </x:c>
      <x:c r="G624" s="12" t="n">
        <x:v>5.1</x:v>
      </x:c>
      <x:c r="H624" s="14" t="n">
        <x:v>15000</x:v>
      </x:c>
      <x:c r="I624" s="15" t="str">
        <x:v>Округлённый счётчик в списке YouTube</x:v>
      </x:c>
      <x:c r="J624" s="14" t="n">
        <x:v>15000</x:v>
      </x:c>
      <x:c r="K624" s="14" t="n">
        <x:v>32500</x:v>
      </x:c>
      <x:c r="L624" s="12" t="n">
        <x:f>IF(COUNT(J624:K624)=2,IF(K624=0,"",J624/K624),"")</x:f>
        <x:v>0.46153846153846156</x:v>
      </x:c>
      <x:c r="M624" s="10" t="str">
        <x:v>Завершённый короткий просмотр около 5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24" s="10" t="str">
        <x:v>Прослушать 2–5 минут, выписать 6 фраз и пересказать историю в 3 предложениях.</x:v>
      </x:c>
      <x:c r="O624" s="10" t="str">
        <x:v>Проверить содержание</x:v>
      </x:c>
      <x:c r="P624" s="10" t="str">
        <x:v>Самостоятельное видео</x:v>
      </x:c>
      <x:c r="Q624" s="9" t="str">
        <x:v>Нет</x:v>
      </x:c>
      <x:c r="R624" s="9" t="str">
        <x:v>C043</x:v>
      </x:c>
      <x:c r="S624" s="9" t="str">
        <x:v>C043</x:v>
      </x:c>
      <x:c r="T624" s="10" t="str">
        <x:v>כאן | דיגיטל - תאגיד השידור הישראלי</x:v>
      </x:c>
      <x:c r="U624" s="11" t="str">
        <x:v>https://www.youtube.com/watch?v=fHqmuGv0pn4</x:v>
      </x:c>
      <x:c r="V624" s="16" t="n">
        <x:v>46308</x:v>
      </x:c>
      <x:c r="W624" s="16"/>
      <x:c r="X624" s="10" t="str">
        <x:v>Иврит предполагается по заголовку и источнику</x:v>
      </x:c>
      <x:c r="Y624" s="10" t="str">
        <x:v>Не проверено</x:v>
      </x:c>
      <x:c r="Z624" s="10" t="str">
        <x:v>Не проверено</x:v>
      </x:c>
      <x:c r="AA624" s="10" t="str">
        <x:v>Метаданные списка; видео не просмотрено</x:v>
      </x:c>
      <x:c r="AB624" s="13" t="str">
        <x:f>IF(AND(ISNUMBER(H624),ISNUMBER(W624)),H624/MAX(1,'Обзор'!$B$4-W624),"")</x:f>
      </x:c>
      <x:c r="AC624" s="17" t="str">
        <x:v>Не решено</x:v>
      </x:c>
      <x:c r="AD624" s="17" t="str">
        <x:v>Не проверено</x:v>
      </x:c>
      <x:c r="AE624" s="17" t="str">
        <x:v>Не проверено</x:v>
      </x:c>
      <x:c r="AF624" s="17" t="str">
        <x:v>Не проверено</x:v>
      </x:c>
      <x:c r="AG624" s="17" t="str">
        <x:v>Не решено</x:v>
      </x:c>
      <x:c r="AH624" s="17" t="str">
        <x:v>Не проверено</x:v>
      </x:c>
      <x:c r="AI624" s="10" t="str">
        <x:f>IF(AC624="Отклонить","Отклонено",IF(AND(AC624="Взять",COUNTIFS(AD624:AH624,"Да")=5),"Готово","Нужна редактура"))</x:f>
        <x:v>Нужна редактура</x:v>
      </x:c>
      <x:c r="AJ624" s="17" t="str"/>
      <x:c r="AK624" s="9" t="str">
        <x:v>https://www.youtube.com/playlist?list=PLXv9BeKApRvwx9zh3LqZl-UexiIKULA-7</x:v>
      </x:c>
      <x:c r="AL624" s="9" t="n">
        <x:v>36</x:v>
      </x:c>
      <x:c r="AM624" s="9"/>
      <x:c r="AN624" s="9"/>
    </x:row>
    <x:row r="625" ht="60" customHeight="1">
      <x:c r="A625" s="9" t="str">
        <x:v>YhOVNYR1iHQ</x:v>
      </x:c>
      <x:c r="B625" s="10" t="str">
        <x:v>לוחם השייטת גל הכהן גולש עם סטיב הכלב שלו | דוקותיים</x:v>
      </x:c>
      <x:c r="C625" s="10" t="str">
        <x:v>Люди и повседневность</x:v>
      </x:c>
      <x:c r="D625" s="9" t="str">
        <x:v>Быт</x:v>
      </x:c>
      <x:c r="E625" s="10" t="str">
        <x:v>Репатрианты; общество; занятые взрослые</x:v>
      </x:c>
      <x:c r="F625" s="10" t="str">
        <x:v>B1–B2 (гипотеза)</x:v>
      </x:c>
      <x:c r="G625" s="12" t="n">
        <x:v>5.8</x:v>
      </x:c>
      <x:c r="H625" s="14" t="n">
        <x:v>49497</x:v>
      </x:c>
      <x:c r="I625" s="15" t="str">
        <x:v>Точный счётчик метаданных видео</x:v>
      </x:c>
      <x:c r="J625" s="14" t="n">
        <x:v>49000</x:v>
      </x:c>
      <x:c r="K625" s="14" t="n">
        <x:v>32500</x:v>
      </x:c>
      <x:c r="L625" s="12" t="n">
        <x:f>IF(COUNT(J625:K625)=2,IF(K625=0,"",J625/K625),"")</x:f>
        <x:v>1.5076923076923077</x:v>
      </x:c>
      <x:c r="M625" s="10" t="str">
        <x:v>Завершённый короткий просмотр около 6 мин. Просмотры в списке выше медианы выборки этого цикла в 1.51 раза. Короткая история реального человека подходит для ежедневной привычки. Разные профессии и места расширяют взгляд на страну.</x:v>
      </x:c>
      <x:c r="N625" s="10" t="str">
        <x:v>Прослушать 2–5 минут, выписать 6 фраз и пересказать историю в 3 предложениях.</x:v>
      </x:c>
      <x:c r="O625" s="10" t="str">
        <x:v>Проверить содержание</x:v>
      </x:c>
      <x:c r="P625" s="10" t="str">
        <x:v>Самостоятельное видео</x:v>
      </x:c>
      <x:c r="Q625" s="9" t="str">
        <x:v>Нет</x:v>
      </x:c>
      <x:c r="R625" s="9" t="str">
        <x:v>C043</x:v>
      </x:c>
      <x:c r="S625" s="9" t="str">
        <x:v>C043</x:v>
      </x:c>
      <x:c r="T625" s="10" t="str">
        <x:v>כאן | דיגיטל - תאגיד השידור הישראלי</x:v>
      </x:c>
      <x:c r="U625" s="11" t="str">
        <x:v>https://www.youtube.com/watch?v=YhOVNYR1iHQ</x:v>
      </x:c>
      <x:c r="V625" s="16" t="n">
        <x:v>46308</x:v>
      </x:c>
      <x:c r="W625" s="16" t="n">
        <x:v>45956</x:v>
      </x:c>
      <x:c r="X625" s="10" t="str">
        <x:v>Иврит предполагается по заголовку и источнику</x:v>
      </x:c>
      <x:c r="Y625" s="10" t="str">
        <x:v>Автоматическая дорожка HE по метаданным</x:v>
      </x:c>
      <x:c r="Z625" s="10" t="str">
        <x:v>Разрешено по метаданным</x:v>
      </x:c>
      <x:c r="AA625" s="10" t="str">
        <x:v>Метаданные видео; воспроизведение и содержание не проверены</x:v>
      </x:c>
      <x:c r="AB625" s="13" t="n">
        <x:f>IF(AND(ISNUMBER(H625),ISNUMBER(W625)),H625/MAX(1,'Обзор'!$B$4-W625),"")</x:f>
        <x:v>140.61647727272728</x:v>
      </x:c>
      <x:c r="AC625" s="17" t="str">
        <x:v>Не решено</x:v>
      </x:c>
      <x:c r="AD625" s="17" t="str">
        <x:v>Не проверено</x:v>
      </x:c>
      <x:c r="AE625" s="17" t="str">
        <x:v>Не проверено</x:v>
      </x:c>
      <x:c r="AF625" s="17" t="str">
        <x:v>Не проверено</x:v>
      </x:c>
      <x:c r="AG625" s="17" t="str">
        <x:v>Не решено</x:v>
      </x:c>
      <x:c r="AH625" s="17" t="str">
        <x:v>Не проверено</x:v>
      </x:c>
      <x:c r="AI625" s="10" t="str">
        <x:f>IF(AC625="Отклонить","Отклонено",IF(AND(AC625="Взять",COUNTIFS(AD625:AH625,"Да")=5),"Готово","Нужна редактура"))</x:f>
        <x:v>Нужна редактура</x:v>
      </x:c>
      <x:c r="AJ625" s="17" t="str"/>
      <x:c r="AK625" s="9" t="str">
        <x:v>https://www.youtube.com/playlist?list=PLXv9BeKApRvwx9zh3LqZl-UexiIKULA-7</x:v>
      </x:c>
      <x:c r="AL625" s="9" t="n">
        <x:v>37</x:v>
      </x:c>
      <x:c r="AM625" s="9"/>
      <x:c r="AN625" s="9" t="n">
        <x:v>0</x:v>
      </x:c>
    </x:row>
    <x:row r="626" ht="60" customHeight="1">
      <x:c r="A626" s="9" t="str">
        <x:v>Bthtoclo_38</x:v>
      </x:c>
      <x:c r="B626" s="10" t="str">
        <x:v>גל בונה מחדש את היקב בקיבוץ ניר עוז | דוקותיים</x:v>
      </x:c>
      <x:c r="C626" s="10" t="str">
        <x:v>Люди и повседневность</x:v>
      </x:c>
      <x:c r="D626" s="9" t="str">
        <x:v>Быт</x:v>
      </x:c>
      <x:c r="E626" s="10" t="str">
        <x:v>Репатрианты; общество; занятые взрослые</x:v>
      </x:c>
      <x:c r="F626" s="10" t="str">
        <x:v>B1–B2 (гипотеза)</x:v>
      </x:c>
      <x:c r="G626" s="12" t="n">
        <x:v>4.2</x:v>
      </x:c>
      <x:c r="H626" s="14" t="n">
        <x:v>30000</x:v>
      </x:c>
      <x:c r="I626" s="15" t="str">
        <x:v>Округлённый счётчик в списке YouTube</x:v>
      </x:c>
      <x:c r="J626" s="14" t="n">
        <x:v>30000</x:v>
      </x:c>
      <x:c r="K626" s="14" t="n">
        <x:v>32500</x:v>
      </x:c>
      <x:c r="L626" s="12" t="n">
        <x:f>IF(COUNT(J626:K626)=2,IF(K626=0,"",J626/K626),"")</x:f>
        <x:v>0.9230769230769231</x:v>
      </x:c>
      <x:c r="M626" s="10" t="str">
        <x:v>Завершённый короткий просмотр около 4 мин. Короткая история реального человека подходит для ежедневной привычки. Разные профессии и места расширяют взгляд на страну.</x:v>
      </x:c>
      <x:c r="N626" s="10" t="str">
        <x:v>Прослушать 2–5 минут, выписать 6 фраз и пересказать историю в 3 предложениях.</x:v>
      </x:c>
      <x:c r="O626" s="10" t="str">
        <x:v>Проверить содержание</x:v>
      </x:c>
      <x:c r="P626" s="10" t="str">
        <x:v>Самостоятельное видео</x:v>
      </x:c>
      <x:c r="Q626" s="9" t="str">
        <x:v>Нет</x:v>
      </x:c>
      <x:c r="R626" s="9" t="str">
        <x:v>C043</x:v>
      </x:c>
      <x:c r="S626" s="9" t="str">
        <x:v>C043</x:v>
      </x:c>
      <x:c r="T626" s="10" t="str">
        <x:v>כאן | דיגיטל - תאגיד השידור הישראלי</x:v>
      </x:c>
      <x:c r="U626" s="11" t="str">
        <x:v>https://www.youtube.com/watch?v=Bthtoclo_38</x:v>
      </x:c>
      <x:c r="V626" s="16" t="n">
        <x:v>46308</x:v>
      </x:c>
      <x:c r="W626" s="16"/>
      <x:c r="X626" s="10" t="str">
        <x:v>Иврит предполагается по заголовку и источнику</x:v>
      </x:c>
      <x:c r="Y626" s="10" t="str">
        <x:v>Не проверено</x:v>
      </x:c>
      <x:c r="Z626" s="10" t="str">
        <x:v>Не проверено</x:v>
      </x:c>
      <x:c r="AA626" s="10" t="str">
        <x:v>Метаданные списка; видео не просмотрено</x:v>
      </x:c>
      <x:c r="AB626" s="13" t="str">
        <x:f>IF(AND(ISNUMBER(H626),ISNUMBER(W626)),H626/MAX(1,'Обзор'!$B$4-W626),"")</x:f>
      </x:c>
      <x:c r="AC626" s="17" t="str">
        <x:v>Не решено</x:v>
      </x:c>
      <x:c r="AD626" s="17" t="str">
        <x:v>Не проверено</x:v>
      </x:c>
      <x:c r="AE626" s="17" t="str">
        <x:v>Не проверено</x:v>
      </x:c>
      <x:c r="AF626" s="17" t="str">
        <x:v>Не проверено</x:v>
      </x:c>
      <x:c r="AG626" s="17" t="str">
        <x:v>Не решено</x:v>
      </x:c>
      <x:c r="AH626" s="17" t="str">
        <x:v>Не проверено</x:v>
      </x:c>
      <x:c r="AI626" s="10" t="str">
        <x:f>IF(AC626="Отклонить","Отклонено",IF(AND(AC626="Взять",COUNTIFS(AD626:AH626,"Да")=5),"Готово","Нужна редактура"))</x:f>
        <x:v>Нужна редактура</x:v>
      </x:c>
      <x:c r="AJ626" s="17" t="str"/>
      <x:c r="AK626" s="9" t="str">
        <x:v>https://www.youtube.com/playlist?list=PLXv9BeKApRvwx9zh3LqZl-UexiIKULA-7</x:v>
      </x:c>
      <x:c r="AL626" s="9" t="n">
        <x:v>38</x:v>
      </x:c>
      <x:c r="AM626" s="9"/>
      <x:c r="AN626" s="9"/>
    </x:row>
    <x:row r="627" ht="60" customHeight="1">
      <x:c r="A627" s="9" t="str">
        <x:v>C2Hp4ufszuI</x:v>
      </x:c>
      <x:c r="B627" s="10" t="str">
        <x:v>הוריו של בר קופרשטיין מחכים לו בכיכר החטופים והלב מתפוצץ מהתרגשות</x:v>
      </x:c>
      <x:c r="C627" s="10" t="str">
        <x:v>Люди и повседневность</x:v>
      </x:c>
      <x:c r="D627" s="9" t="str">
        <x:v>Быт</x:v>
      </x:c>
      <x:c r="E627" s="10" t="str">
        <x:v>Репатрианты; общество; занятые взрослые</x:v>
      </x:c>
      <x:c r="F627" s="10" t="str">
        <x:v>B1–B2 (гипотеза)</x:v>
      </x:c>
      <x:c r="G627" s="12" t="n">
        <x:v>3.1</x:v>
      </x:c>
      <x:c r="H627" s="14" t="n">
        <x:v>27000</x:v>
      </x:c>
      <x:c r="I627" s="15" t="str">
        <x:v>Округлённый счётчик в списке YouTube</x:v>
      </x:c>
      <x:c r="J627" s="14" t="n">
        <x:v>27000</x:v>
      </x:c>
      <x:c r="K627" s="14" t="n">
        <x:v>32500</x:v>
      </x:c>
      <x:c r="L627" s="12" t="n">
        <x:f>IF(COUNT(J627:K627)=2,IF(K627=0,"",J627/K627),"")</x:f>
        <x:v>0.8307692307692308</x:v>
      </x:c>
      <x:c r="M627" s="10" t="str">
        <x:v>Завершённый короткий просмотр около 3 мин. Короткая история реального человека подходит для ежедневной привычки. Разные профессии и места расширяют взгляд на страну.</x:v>
      </x:c>
      <x:c r="N627" s="10" t="str">
        <x:v>Прослушать 2–5 минут, выписать 6 фраз и пересказать историю в 3 предложениях.</x:v>
      </x:c>
      <x:c r="O627" s="10" t="str">
        <x:v>В заголовке есть чувствительная тема: предварительный просмотр и добровольный выбор. Проверить содержание</x:v>
      </x:c>
      <x:c r="P627" s="10" t="str">
        <x:v>Самостоятельное видео</x:v>
      </x:c>
      <x:c r="Q627" s="9" t="str">
        <x:v>Нет</x:v>
      </x:c>
      <x:c r="R627" s="9" t="str">
        <x:v>C043</x:v>
      </x:c>
      <x:c r="S627" s="9" t="str">
        <x:v>C043</x:v>
      </x:c>
      <x:c r="T627" s="10" t="str">
        <x:v>כאן | דיגיטל - תאגיד השידור הישראלי</x:v>
      </x:c>
      <x:c r="U627" s="11" t="str">
        <x:v>https://www.youtube.com/watch?v=C2Hp4ufszuI</x:v>
      </x:c>
      <x:c r="V627" s="16" t="n">
        <x:v>46308</x:v>
      </x:c>
      <x:c r="W627" s="16"/>
      <x:c r="X627" s="10" t="str">
        <x:v>Иврит предполагается по заголовку и источнику</x:v>
      </x:c>
      <x:c r="Y627" s="10" t="str">
        <x:v>Не проверено</x:v>
      </x:c>
      <x:c r="Z627" s="10" t="str">
        <x:v>Не проверено</x:v>
      </x:c>
      <x:c r="AA627" s="10" t="str">
        <x:v>Метаданные списка; видео не просмотрено</x:v>
      </x:c>
      <x:c r="AB627" s="13" t="str">
        <x:f>IF(AND(ISNUMBER(H627),ISNUMBER(W627)),H627/MAX(1,'Обзор'!$B$4-W627),"")</x:f>
      </x:c>
      <x:c r="AC627" s="17" t="str">
        <x:v>Не решено</x:v>
      </x:c>
      <x:c r="AD627" s="17" t="str">
        <x:v>Не проверено</x:v>
      </x:c>
      <x:c r="AE627" s="17" t="str">
        <x:v>Не проверено</x:v>
      </x:c>
      <x:c r="AF627" s="17" t="str">
        <x:v>Не проверено</x:v>
      </x:c>
      <x:c r="AG627" s="17" t="str">
        <x:v>Не решено</x:v>
      </x:c>
      <x:c r="AH627" s="17" t="str">
        <x:v>Не проверено</x:v>
      </x:c>
      <x:c r="AI627" s="10" t="str">
        <x:f>IF(AC627="Отклонить","Отклонено",IF(AND(AC627="Взять",COUNTIFS(AD627:AH627,"Да")=5),"Готово","Нужна редактура"))</x:f>
        <x:v>Нужна редактура</x:v>
      </x:c>
      <x:c r="AJ627" s="17" t="str"/>
      <x:c r="AK627" s="9" t="str">
        <x:v>https://www.youtube.com/playlist?list=PLXv9BeKApRvwx9zh3LqZl-UexiIKULA-7</x:v>
      </x:c>
      <x:c r="AL627" s="9" t="n">
        <x:v>39</x:v>
      </x:c>
      <x:c r="AM627" s="9"/>
      <x:c r="AN627" s="9"/>
    </x:row>
    <x:row r="628" ht="60" customHeight="1">
      <x:c r="A628" s="9" t="str">
        <x:v>oZ6clHmu5oM</x:v>
      </x:c>
      <x:c r="B628" s="10" t="str">
        <x:v>תלמה עושה פופ תל אביבי, ואין לה בעיה עם הייט. היא אפילו אוהבת אותו | דוקותיים</x:v>
      </x:c>
      <x:c r="C628" s="10" t="str">
        <x:v>Люди и повседневность</x:v>
      </x:c>
      <x:c r="D628" s="9" t="str">
        <x:v>Быт</x:v>
      </x:c>
      <x:c r="E628" s="10" t="str">
        <x:v>Репатрианты; общество; занятые взрослые</x:v>
      </x:c>
      <x:c r="F628" s="10" t="str">
        <x:v>B1–B2 (гипотеза)</x:v>
      </x:c>
      <x:c r="G628" s="12" t="n">
        <x:v>4.1</x:v>
      </x:c>
      <x:c r="H628" s="14" t="n">
        <x:v>18000</x:v>
      </x:c>
      <x:c r="I628" s="15" t="str">
        <x:v>Округлённый счётчик в списке YouTube</x:v>
      </x:c>
      <x:c r="J628" s="14" t="n">
        <x:v>18000</x:v>
      </x:c>
      <x:c r="K628" s="14" t="n">
        <x:v>32500</x:v>
      </x:c>
      <x:c r="L628" s="12" t="n">
        <x:f>IF(COUNT(J628:K628)=2,IF(K628=0,"",J628/K628),"")</x:f>
        <x:v>0.5538461538461539</x:v>
      </x:c>
      <x:c r="M628" s="10" t="str">
        <x:v>Завершённый короткий просмотр около 4 мин. Короткая история реального человека подходит для ежедневной привычки. Разные профессии и места расширяют взгляд на страну.</x:v>
      </x:c>
      <x:c r="N628" s="10" t="str">
        <x:v>Прослушать 2–5 минут, выписать 6 фраз и пересказать историю в 3 предложениях.</x:v>
      </x:c>
      <x:c r="O628" s="10" t="str">
        <x:v>Проверить содержание</x:v>
      </x:c>
      <x:c r="P628" s="10" t="str">
        <x:v>Самостоятельное видео</x:v>
      </x:c>
      <x:c r="Q628" s="9" t="str">
        <x:v>Нет</x:v>
      </x:c>
      <x:c r="R628" s="9" t="str">
        <x:v>C043</x:v>
      </x:c>
      <x:c r="S628" s="9" t="str">
        <x:v>C043</x:v>
      </x:c>
      <x:c r="T628" s="10" t="str">
        <x:v>כאן | דיגיטל - תאגיד השידור הישראלי</x:v>
      </x:c>
      <x:c r="U628" s="11" t="str">
        <x:v>https://www.youtube.com/watch?v=oZ6clHmu5oM</x:v>
      </x:c>
      <x:c r="V628" s="16" t="n">
        <x:v>46308</x:v>
      </x:c>
      <x:c r="W628" s="16"/>
      <x:c r="X628" s="10" t="str">
        <x:v>Иврит предполагается по заголовку и источнику</x:v>
      </x:c>
      <x:c r="Y628" s="10" t="str">
        <x:v>Не проверено</x:v>
      </x:c>
      <x:c r="Z628" s="10" t="str">
        <x:v>Не проверено</x:v>
      </x:c>
      <x:c r="AA628" s="10" t="str">
        <x:v>Метаданные списка; видео не просмотрено</x:v>
      </x:c>
      <x:c r="AB628" s="13" t="str">
        <x:f>IF(AND(ISNUMBER(H628),ISNUMBER(W628)),H628/MAX(1,'Обзор'!$B$4-W628),"")</x:f>
      </x:c>
      <x:c r="AC628" s="17" t="str">
        <x:v>Не решено</x:v>
      </x:c>
      <x:c r="AD628" s="17" t="str">
        <x:v>Не проверено</x:v>
      </x:c>
      <x:c r="AE628" s="17" t="str">
        <x:v>Не проверено</x:v>
      </x:c>
      <x:c r="AF628" s="17" t="str">
        <x:v>Не проверено</x:v>
      </x:c>
      <x:c r="AG628" s="17" t="str">
        <x:v>Не решено</x:v>
      </x:c>
      <x:c r="AH628" s="17" t="str">
        <x:v>Не проверено</x:v>
      </x:c>
      <x:c r="AI628" s="10" t="str">
        <x:f>IF(AC628="Отклонить","Отклонено",IF(AND(AC628="Взять",COUNTIFS(AD628:AH628,"Да")=5),"Готово","Нужна редактура"))</x:f>
        <x:v>Нужна редактура</x:v>
      </x:c>
      <x:c r="AJ628" s="17" t="str"/>
      <x:c r="AK628" s="9" t="str">
        <x:v>https://www.youtube.com/playlist?list=PLXv9BeKApRvwx9zh3LqZl-UexiIKULA-7</x:v>
      </x:c>
      <x:c r="AL628" s="9" t="n">
        <x:v>40</x:v>
      </x:c>
      <x:c r="AM628" s="9"/>
      <x:c r="AN628" s="9"/>
    </x:row>
    <x:row r="629" ht="60" customHeight="1">
      <x:c r="A629" s="9" t="str">
        <x:v>fOxlMPdyIo4</x:v>
      </x:c>
      <x:c r="B629" s="10" t="str">
        <x:v>דיאנה רחמני מבשלת אוכל פרסי בטיקטוק ומקללת את מי שצריך | דוקותיים</x:v>
      </x:c>
      <x:c r="C629" s="10" t="str">
        <x:v>Люди и повседневность</x:v>
      </x:c>
      <x:c r="D629" s="9" t="str">
        <x:v>Быт</x:v>
      </x:c>
      <x:c r="E629" s="10" t="str">
        <x:v>Репатрианты; общество; занятые взрослые</x:v>
      </x:c>
      <x:c r="F629" s="10" t="str">
        <x:v>B1–B2 (гипотеза)</x:v>
      </x:c>
      <x:c r="G629" s="12" t="n">
        <x:v>4.9</x:v>
      </x:c>
      <x:c r="H629" s="14" t="n">
        <x:v>7000</x:v>
      </x:c>
      <x:c r="I629" s="15" t="str">
        <x:v>Округлённый счётчик в списке YouTube</x:v>
      </x:c>
      <x:c r="J629" s="14" t="n">
        <x:v>7000</x:v>
      </x:c>
      <x:c r="K629" s="14" t="n">
        <x:v>32500</x:v>
      </x:c>
      <x:c r="L629" s="12" t="n">
        <x:f>IF(COUNT(J629:K629)=2,IF(K629=0,"",J629/K629),"")</x:f>
        <x:v>0.2153846153846154</x:v>
      </x:c>
      <x:c r="M629" s="10" t="str">
        <x:v>Завершённый короткий просмотр около 5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29" s="10" t="str">
        <x:v>Прослушать 2–5 минут, выписать 6 фраз и пересказать историю в 3 предложениях.</x:v>
      </x:c>
      <x:c r="O629" s="10" t="str">
        <x:v>Проверить содержание</x:v>
      </x:c>
      <x:c r="P629" s="10" t="str">
        <x:v>Самостоятельное видео</x:v>
      </x:c>
      <x:c r="Q629" s="9" t="str">
        <x:v>Нет</x:v>
      </x:c>
      <x:c r="R629" s="9" t="str">
        <x:v>C043</x:v>
      </x:c>
      <x:c r="S629" s="9" t="str">
        <x:v>C043</x:v>
      </x:c>
      <x:c r="T629" s="10" t="str">
        <x:v>כאן | דיגיטל - תאגיד השידור הישראלי</x:v>
      </x:c>
      <x:c r="U629" s="11" t="str">
        <x:v>https://www.youtube.com/watch?v=fOxlMPdyIo4</x:v>
      </x:c>
      <x:c r="V629" s="16" t="n">
        <x:v>46308</x:v>
      </x:c>
      <x:c r="W629" s="16"/>
      <x:c r="X629" s="10" t="str">
        <x:v>Иврит предполагается по заголовку и источнику</x:v>
      </x:c>
      <x:c r="Y629" s="10" t="str">
        <x:v>Не проверено</x:v>
      </x:c>
      <x:c r="Z629" s="10" t="str">
        <x:v>Не проверено</x:v>
      </x:c>
      <x:c r="AA629" s="10" t="str">
        <x:v>Метаданные списка; видео не просмотрено</x:v>
      </x:c>
      <x:c r="AB629" s="13" t="str">
        <x:f>IF(AND(ISNUMBER(H629),ISNUMBER(W629)),H629/MAX(1,'Обзор'!$B$4-W629),"")</x:f>
      </x:c>
      <x:c r="AC629" s="17" t="str">
        <x:v>Не решено</x:v>
      </x:c>
      <x:c r="AD629" s="17" t="str">
        <x:v>Не проверено</x:v>
      </x:c>
      <x:c r="AE629" s="17" t="str">
        <x:v>Не проверено</x:v>
      </x:c>
      <x:c r="AF629" s="17" t="str">
        <x:v>Не проверено</x:v>
      </x:c>
      <x:c r="AG629" s="17" t="str">
        <x:v>Не решено</x:v>
      </x:c>
      <x:c r="AH629" s="17" t="str">
        <x:v>Не проверено</x:v>
      </x:c>
      <x:c r="AI629" s="10" t="str">
        <x:f>IF(AC629="Отклонить","Отклонено",IF(AND(AC629="Взять",COUNTIFS(AD629:AH629,"Да")=5),"Готово","Нужна редактура"))</x:f>
        <x:v>Нужна редактура</x:v>
      </x:c>
      <x:c r="AJ629" s="17" t="str"/>
      <x:c r="AK629" s="9" t="str">
        <x:v>https://www.youtube.com/playlist?list=PLXv9BeKApRvwx9zh3LqZl-UexiIKULA-7</x:v>
      </x:c>
      <x:c r="AL629" s="9" t="n">
        <x:v>41</x:v>
      </x:c>
      <x:c r="AM629" s="9"/>
      <x:c r="AN629" s="9"/>
    </x:row>
    <x:row r="630" ht="60" customHeight="1">
      <x:c r="A630" s="9" t="str">
        <x:v>hxquqCRIoeo</x:v>
      </x:c>
      <x:c r="B630" s="10" t="str">
        <x:v>גלריה לסטלנים 🍀 דוקותיים</x:v>
      </x:c>
      <x:c r="C630" s="10" t="str">
        <x:v>Люди и повседневность</x:v>
      </x:c>
      <x:c r="D630" s="9" t="str">
        <x:v>Быт</x:v>
      </x:c>
      <x:c r="E630" s="10" t="str">
        <x:v>Репатрианты; общество; занятые взрослые</x:v>
      </x:c>
      <x:c r="F630" s="10" t="str">
        <x:v>B1–B2 (гипотеза)</x:v>
      </x:c>
      <x:c r="G630" s="12" t="n">
        <x:v>6.1</x:v>
      </x:c>
      <x:c r="H630" s="14" t="n">
        <x:v>89648</x:v>
      </x:c>
      <x:c r="I630" s="15" t="str">
        <x:v>Точный счётчик метаданных видео</x:v>
      </x:c>
      <x:c r="J630" s="14" t="n">
        <x:v>89000</x:v>
      </x:c>
      <x:c r="K630" s="14" t="n">
        <x:v>32500</x:v>
      </x:c>
      <x:c r="L630" s="12" t="n">
        <x:f>IF(COUNT(J630:K630)=2,IF(K630=0,"",J630/K630),"")</x:f>
        <x:v>2.7384615384615385</x:v>
      </x:c>
      <x:c r="M630" s="10" t="str">
        <x:v>Завершённый короткий просмотр около 6 мин. Просмотры в списке выше медианы выборки этого цикла в 2.74 раза. Короткая история реального человека подходит для ежедневной привычки. Разные профессии и места расширяют взгляд на страну.</x:v>
      </x:c>
      <x:c r="N630" s="10" t="str">
        <x:v>Прослушать 2–5 минут, выписать 6 фраз и пересказать историю в 3 предложениях.</x:v>
      </x:c>
      <x:c r="O630" s="10" t="str">
        <x:v>Проверить содержание</x:v>
      </x:c>
      <x:c r="P630" s="10" t="str">
        <x:v>Самостоятельное видео</x:v>
      </x:c>
      <x:c r="Q630" s="9" t="str">
        <x:v>Нет</x:v>
      </x:c>
      <x:c r="R630" s="9" t="str">
        <x:v>C043</x:v>
      </x:c>
      <x:c r="S630" s="9" t="str">
        <x:v>C043</x:v>
      </x:c>
      <x:c r="T630" s="10" t="str">
        <x:v>כאן | דיגיטל - תאגיד השידור הישראלי</x:v>
      </x:c>
      <x:c r="U630" s="11" t="str">
        <x:v>https://www.youtube.com/watch?v=hxquqCRIoeo</x:v>
      </x:c>
      <x:c r="V630" s="16" t="n">
        <x:v>46308</x:v>
      </x:c>
      <x:c r="W630" s="16" t="n">
        <x:v>45854</x:v>
      </x:c>
      <x:c r="X630" s="10" t="str">
        <x:v>Иврит предполагается по заголовку и источнику</x:v>
      </x:c>
      <x:c r="Y630" s="10" t="str">
        <x:v>Автоматическая дорожка HE по метаданным</x:v>
      </x:c>
      <x:c r="Z630" s="10" t="str">
        <x:v>Разрешено по метаданным</x:v>
      </x:c>
      <x:c r="AA630" s="10" t="str">
        <x:v>Метаданные видео; воспроизведение и содержание не проверены</x:v>
      </x:c>
      <x:c r="AB630" s="13" t="n">
        <x:f>IF(AND(ISNUMBER(H630),ISNUMBER(W630)),H630/MAX(1,'Обзор'!$B$4-W630),"")</x:f>
        <x:v>197.4625550660793</x:v>
      </x:c>
      <x:c r="AC630" s="17" t="str">
        <x:v>Не решено</x:v>
      </x:c>
      <x:c r="AD630" s="17" t="str">
        <x:v>Не проверено</x:v>
      </x:c>
      <x:c r="AE630" s="17" t="str">
        <x:v>Не проверено</x:v>
      </x:c>
      <x:c r="AF630" s="17" t="str">
        <x:v>Не проверено</x:v>
      </x:c>
      <x:c r="AG630" s="17" t="str">
        <x:v>Не решено</x:v>
      </x:c>
      <x:c r="AH630" s="17" t="str">
        <x:v>Не проверено</x:v>
      </x:c>
      <x:c r="AI630" s="10" t="str">
        <x:f>IF(AC630="Отклонить","Отклонено",IF(AND(AC630="Взять",COUNTIFS(AD630:AH630,"Да")=5),"Готово","Нужна редактура"))</x:f>
        <x:v>Нужна редактура</x:v>
      </x:c>
      <x:c r="AJ630" s="17" t="str"/>
      <x:c r="AK630" s="9" t="str">
        <x:v>https://www.youtube.com/playlist?list=PLXv9BeKApRvwx9zh3LqZl-UexiIKULA-7</x:v>
      </x:c>
      <x:c r="AL630" s="9" t="n">
        <x:v>42</x:v>
      </x:c>
      <x:c r="AM630" s="9"/>
      <x:c r="AN630" s="9" t="n">
        <x:v>0</x:v>
      </x:c>
    </x:row>
    <x:row r="631" ht="60" customHeight="1">
      <x:c r="A631" s="9" t="str">
        <x:v>8ZLYjiWMALQ</x:v>
      </x:c>
      <x:c r="B631" s="10" t="str">
        <x:v>דוקותיים | איך פועל גדוד חילוץ של פיקוד העורף אחרי נפילה?</x:v>
      </x:c>
      <x:c r="C631" s="10" t="str">
        <x:v>Люди и повседневность</x:v>
      </x:c>
      <x:c r="D631" s="9" t="str">
        <x:v>Быт</x:v>
      </x:c>
      <x:c r="E631" s="10" t="str">
        <x:v>Репатрианты; общество; занятые взрослые</x:v>
      </x:c>
      <x:c r="F631" s="10" t="str">
        <x:v>B1–B2 (гипотеза)</x:v>
      </x:c>
      <x:c r="G631" s="12" t="n">
        <x:v>4.4</x:v>
      </x:c>
      <x:c r="H631" s="14" t="n">
        <x:v>8500</x:v>
      </x:c>
      <x:c r="I631" s="15" t="str">
        <x:v>Округлённый счётчик в списке YouTube</x:v>
      </x:c>
      <x:c r="J631" s="14" t="n">
        <x:v>8500</x:v>
      </x:c>
      <x:c r="K631" s="14" t="n">
        <x:v>32500</x:v>
      </x:c>
      <x:c r="L631" s="12" t="n">
        <x:f>IF(COUNT(J631:K631)=2,IF(K631=0,"",J631/K631),"")</x:f>
        <x:v>0.26153846153846155</x:v>
      </x:c>
      <x:c r="M631" s="10" t="str">
        <x:v>Завершённый короткий просмотр около 4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31" s="10" t="str">
        <x:v>Прослушать 2–5 минут, выписать 6 фраз и пересказать историю в 3 предложениях.</x:v>
      </x:c>
      <x:c r="O631" s="10" t="str">
        <x:v>Проверить содержание</x:v>
      </x:c>
      <x:c r="P631" s="10" t="str">
        <x:v>Самостоятельное видео</x:v>
      </x:c>
      <x:c r="Q631" s="9" t="str">
        <x:v>Нет</x:v>
      </x:c>
      <x:c r="R631" s="9" t="str">
        <x:v>C043</x:v>
      </x:c>
      <x:c r="S631" s="9" t="str">
        <x:v>C043</x:v>
      </x:c>
      <x:c r="T631" s="10" t="str">
        <x:v>כאן | דיגיטל - תאגיד השידור הישראלי</x:v>
      </x:c>
      <x:c r="U631" s="11" t="str">
        <x:v>https://www.youtube.com/watch?v=8ZLYjiWMALQ</x:v>
      </x:c>
      <x:c r="V631" s="16" t="n">
        <x:v>46308</x:v>
      </x:c>
      <x:c r="W631" s="16"/>
      <x:c r="X631" s="10" t="str">
        <x:v>Иврит предполагается по заголовку и источнику</x:v>
      </x:c>
      <x:c r="Y631" s="10" t="str">
        <x:v>Не проверено</x:v>
      </x:c>
      <x:c r="Z631" s="10" t="str">
        <x:v>Не проверено</x:v>
      </x:c>
      <x:c r="AA631" s="10" t="str">
        <x:v>Метаданные списка; видео не просмотрено</x:v>
      </x:c>
      <x:c r="AB631" s="13" t="str">
        <x:f>IF(AND(ISNUMBER(H631),ISNUMBER(W631)),H631/MAX(1,'Обзор'!$B$4-W631),"")</x:f>
      </x:c>
      <x:c r="AC631" s="17" t="str">
        <x:v>Не решено</x:v>
      </x:c>
      <x:c r="AD631" s="17" t="str">
        <x:v>Не проверено</x:v>
      </x:c>
      <x:c r="AE631" s="17" t="str">
        <x:v>Не проверено</x:v>
      </x:c>
      <x:c r="AF631" s="17" t="str">
        <x:v>Не проверено</x:v>
      </x:c>
      <x:c r="AG631" s="17" t="str">
        <x:v>Не решено</x:v>
      </x:c>
      <x:c r="AH631" s="17" t="str">
        <x:v>Не проверено</x:v>
      </x:c>
      <x:c r="AI631" s="10" t="str">
        <x:f>IF(AC631="Отклонить","Отклонено",IF(AND(AC631="Взять",COUNTIFS(AD631:AH631,"Да")=5),"Готово","Нужна редактура"))</x:f>
        <x:v>Нужна редактура</x:v>
      </x:c>
      <x:c r="AJ631" s="17" t="str"/>
      <x:c r="AK631" s="9" t="str">
        <x:v>https://www.youtube.com/playlist?list=PLXv9BeKApRvwx9zh3LqZl-UexiIKULA-7</x:v>
      </x:c>
      <x:c r="AL631" s="9" t="n">
        <x:v>43</x:v>
      </x:c>
      <x:c r="AM631" s="9"/>
      <x:c r="AN631" s="9"/>
    </x:row>
    <x:row r="632" ht="60" customHeight="1">
      <x:c r="A632" s="9" t="str">
        <x:v>ODSJm9d0-5E</x:v>
      </x:c>
      <x:c r="B632" s="10" t="str">
        <x:v>דוקותיים | אביהוא שרווד מציל את הציפורים שנפגעו מהטילים האיראנים</x:v>
      </x:c>
      <x:c r="C632" s="10" t="str">
        <x:v>Люди и повседневность</x:v>
      </x:c>
      <x:c r="D632" s="9" t="str">
        <x:v>Быт</x:v>
      </x:c>
      <x:c r="E632" s="10" t="str">
        <x:v>Репатрианты; общество; занятые взрослые</x:v>
      </x:c>
      <x:c r="F632" s="10" t="str">
        <x:v>B1–B2 (гипотеза)</x:v>
      </x:c>
      <x:c r="G632" s="12" t="n">
        <x:v>3.8</x:v>
      </x:c>
      <x:c r="H632" s="14" t="n">
        <x:v>15000</x:v>
      </x:c>
      <x:c r="I632" s="15" t="str">
        <x:v>Округлённый счётчик в списке YouTube</x:v>
      </x:c>
      <x:c r="J632" s="14" t="n">
        <x:v>15000</x:v>
      </x:c>
      <x:c r="K632" s="14" t="n">
        <x:v>32500</x:v>
      </x:c>
      <x:c r="L632" s="12" t="n">
        <x:f>IF(COUNT(J632:K632)=2,IF(K632=0,"",J632/K632),"")</x:f>
        <x:v>0.46153846153846156</x:v>
      </x:c>
      <x:c r="M632" s="10" t="str">
        <x:v>Завершённый короткий просмотр около 4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32" s="10" t="str">
        <x:v>Прослушать 2–5 минут, выписать 6 фраз и пересказать историю в 3 предложениях.</x:v>
      </x:c>
      <x:c r="O632" s="10" t="str">
        <x:v>Проверить содержание</x:v>
      </x:c>
      <x:c r="P632" s="10" t="str">
        <x:v>Самостоятельное видео</x:v>
      </x:c>
      <x:c r="Q632" s="9" t="str">
        <x:v>Нет</x:v>
      </x:c>
      <x:c r="R632" s="9" t="str">
        <x:v>C043</x:v>
      </x:c>
      <x:c r="S632" s="9" t="str">
        <x:v>C043</x:v>
      </x:c>
      <x:c r="T632" s="10" t="str">
        <x:v>כאן | דיגיטל - תאגיד השידור הישראלי</x:v>
      </x:c>
      <x:c r="U632" s="11" t="str">
        <x:v>https://www.youtube.com/watch?v=ODSJm9d0-5E</x:v>
      </x:c>
      <x:c r="V632" s="16" t="n">
        <x:v>46308</x:v>
      </x:c>
      <x:c r="W632" s="16"/>
      <x:c r="X632" s="10" t="str">
        <x:v>Иврит предполагается по заголовку и источнику</x:v>
      </x:c>
      <x:c r="Y632" s="10" t="str">
        <x:v>Не проверено</x:v>
      </x:c>
      <x:c r="Z632" s="10" t="str">
        <x:v>Не проверено</x:v>
      </x:c>
      <x:c r="AA632" s="10" t="str">
        <x:v>Метаданные списка; видео не просмотрено</x:v>
      </x:c>
      <x:c r="AB632" s="13" t="str">
        <x:f>IF(AND(ISNUMBER(H632),ISNUMBER(W632)),H632/MAX(1,'Обзор'!$B$4-W632),"")</x:f>
      </x:c>
      <x:c r="AC632" s="17" t="str">
        <x:v>Не решено</x:v>
      </x:c>
      <x:c r="AD632" s="17" t="str">
        <x:v>Не проверено</x:v>
      </x:c>
      <x:c r="AE632" s="17" t="str">
        <x:v>Не проверено</x:v>
      </x:c>
      <x:c r="AF632" s="17" t="str">
        <x:v>Не проверено</x:v>
      </x:c>
      <x:c r="AG632" s="17" t="str">
        <x:v>Не решено</x:v>
      </x:c>
      <x:c r="AH632" s="17" t="str">
        <x:v>Не проверено</x:v>
      </x:c>
      <x:c r="AI632" s="10" t="str">
        <x:f>IF(AC632="Отклонить","Отклонено",IF(AND(AC632="Взять",COUNTIFS(AD632:AH632,"Да")=5),"Готово","Нужна редактура"))</x:f>
        <x:v>Нужна редактура</x:v>
      </x:c>
      <x:c r="AJ632" s="17" t="str"/>
      <x:c r="AK632" s="9" t="str">
        <x:v>https://www.youtube.com/playlist?list=PLXv9BeKApRvwx9zh3LqZl-UexiIKULA-7</x:v>
      </x:c>
      <x:c r="AL632" s="9" t="n">
        <x:v>44</x:v>
      </x:c>
      <x:c r="AM632" s="9"/>
      <x:c r="AN632" s="9"/>
    </x:row>
    <x:row r="633" ht="60" customHeight="1">
      <x:c r="A633" s="9" t="str">
        <x:v>lWMGrQgaGr0</x:v>
      </x:c>
      <x:c r="B633" s="10" t="str">
        <x:v>דוקותיים | מה עושים דרי רחוב בזמן אזעקה?</x:v>
      </x:c>
      <x:c r="C633" s="10" t="str">
        <x:v>Люди и повседневность</x:v>
      </x:c>
      <x:c r="D633" s="9" t="str">
        <x:v>Быт</x:v>
      </x:c>
      <x:c r="E633" s="10" t="str">
        <x:v>Репатрианты; общество; занятые взрослые</x:v>
      </x:c>
      <x:c r="F633" s="10" t="str">
        <x:v>B1–B2 (гипотеза)</x:v>
      </x:c>
      <x:c r="G633" s="12" t="n">
        <x:v>4.2</x:v>
      </x:c>
      <x:c r="H633" s="14" t="n">
        <x:v>52871</x:v>
      </x:c>
      <x:c r="I633" s="15" t="str">
        <x:v>Точный счётчик метаданных видео</x:v>
      </x:c>
      <x:c r="J633" s="14" t="n">
        <x:v>52000</x:v>
      </x:c>
      <x:c r="K633" s="14" t="n">
        <x:v>32500</x:v>
      </x:c>
      <x:c r="L633" s="12" t="n">
        <x:f>IF(COUNT(J633:K633)=2,IF(K633=0,"",J633/K633),"")</x:f>
        <x:v>1.6</x:v>
      </x:c>
      <x:c r="M633" s="10" t="str">
        <x:v>Завершённый короткий просмотр около 4 мин. Просмотры в списке выше медианы выборки этого цикла в 1.6 раза. Короткая история реального человека подходит для ежедневной привычки. Разные профессии и места расширяют взгляд на страну.</x:v>
      </x:c>
      <x:c r="N633" s="10" t="str">
        <x:v>Прослушать 2–5 минут, выписать 6 фраз и пересказать историю в 3 предложениях.</x:v>
      </x:c>
      <x:c r="O633" s="10" t="str">
        <x:v>Проверить содержание</x:v>
      </x:c>
      <x:c r="P633" s="10" t="str">
        <x:v>Самостоятельное видео</x:v>
      </x:c>
      <x:c r="Q633" s="9" t="str">
        <x:v>Нет</x:v>
      </x:c>
      <x:c r="R633" s="9" t="str">
        <x:v>C043</x:v>
      </x:c>
      <x:c r="S633" s="9" t="str">
        <x:v>C043</x:v>
      </x:c>
      <x:c r="T633" s="10" t="str">
        <x:v>כאן | דיגיטל - תאגיד השידור הישראלי</x:v>
      </x:c>
      <x:c r="U633" s="11" t="str">
        <x:v>https://www.youtube.com/watch?v=lWMGrQgaGr0</x:v>
      </x:c>
      <x:c r="V633" s="16" t="n">
        <x:v>46308</x:v>
      </x:c>
      <x:c r="W633" s="16" t="n">
        <x:v>45832</x:v>
      </x:c>
      <x:c r="X633" s="10" t="str">
        <x:v>Иврит предполагается по заголовку и источнику</x:v>
      </x:c>
      <x:c r="Y633" s="10" t="str">
        <x:v>Автоматическая дорожка HE по метаданным</x:v>
      </x:c>
      <x:c r="Z633" s="10" t="str">
        <x:v>Разрешено по метаданным</x:v>
      </x:c>
      <x:c r="AA633" s="10" t="str">
        <x:v>Метаданные видео; воспроизведение и содержание не проверены</x:v>
      </x:c>
      <x:c r="AB633" s="13" t="n">
        <x:f>IF(AND(ISNUMBER(H633),ISNUMBER(W633)),H633/MAX(1,'Обзор'!$B$4-W633),"")</x:f>
        <x:v>111.07352941176471</x:v>
      </x:c>
      <x:c r="AC633" s="17" t="str">
        <x:v>Не решено</x:v>
      </x:c>
      <x:c r="AD633" s="17" t="str">
        <x:v>Не проверено</x:v>
      </x:c>
      <x:c r="AE633" s="17" t="str">
        <x:v>Не проверено</x:v>
      </x:c>
      <x:c r="AF633" s="17" t="str">
        <x:v>Не проверено</x:v>
      </x:c>
      <x:c r="AG633" s="17" t="str">
        <x:v>Не решено</x:v>
      </x:c>
      <x:c r="AH633" s="17" t="str">
        <x:v>Не проверено</x:v>
      </x:c>
      <x:c r="AI633" s="10" t="str">
        <x:f>IF(AC633="Отклонить","Отклонено",IF(AND(AC633="Взять",COUNTIFS(AD633:AH633,"Да")=5),"Готово","Нужна редактура"))</x:f>
        <x:v>Нужна редактура</x:v>
      </x:c>
      <x:c r="AJ633" s="17" t="str"/>
      <x:c r="AK633" s="9" t="str">
        <x:v>https://www.youtube.com/playlist?list=PLXv9BeKApRvwx9zh3LqZl-UexiIKULA-7</x:v>
      </x:c>
      <x:c r="AL633" s="9" t="n">
        <x:v>45</x:v>
      </x:c>
      <x:c r="AM633" s="9"/>
      <x:c r="AN633" s="9" t="n">
        <x:v>0</x:v>
      </x:c>
    </x:row>
    <x:row r="634" ht="60" customHeight="1">
      <x:c r="A634" s="9" t="str">
        <x:v>0udlWaRpYPw</x:v>
      </x:c>
      <x:c r="B634" s="10" t="str">
        <x:v>דוקותיים | המסע המופלא של ארי התינוק ואבא להתאחד עם אימא בחו"ל</x:v>
      </x:c>
      <x:c r="C634" s="10" t="str">
        <x:v>Люди и повседневность</x:v>
      </x:c>
      <x:c r="D634" s="9" t="str">
        <x:v>Быт</x:v>
      </x:c>
      <x:c r="E634" s="10" t="str">
        <x:v>Репатрианты; общество; занятые взрослые</x:v>
      </x:c>
      <x:c r="F634" s="10" t="str">
        <x:v>B1–B2 (гипотеза)</x:v>
      </x:c>
      <x:c r="G634" s="12" t="n">
        <x:v>2.9</x:v>
      </x:c>
      <x:c r="H634" s="14" t="n">
        <x:v>13000</x:v>
      </x:c>
      <x:c r="I634" s="15" t="str">
        <x:v>Округлённый счётчик в списке YouTube</x:v>
      </x:c>
      <x:c r="J634" s="14" t="n">
        <x:v>13000</x:v>
      </x:c>
      <x:c r="K634" s="14" t="n">
        <x:v>32500</x:v>
      </x:c>
      <x:c r="L634" s="12" t="n">
        <x:f>IF(COUNT(J634:K634)=2,IF(K634=0,"",J634/K634),"")</x:f>
        <x:v>0.4</x:v>
      </x:c>
      <x:c r="M634" s="10" t="str">
        <x:v>Завершённый короткий просмотр около 3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34" s="10" t="str">
        <x:v>Прослушать 2–5 минут, выписать 6 фраз и пересказать историю в 3 предложениях.</x:v>
      </x:c>
      <x:c r="O634" s="10" t="str">
        <x:v>Проверить содержание</x:v>
      </x:c>
      <x:c r="P634" s="10" t="str">
        <x:v>Самостоятельное видео</x:v>
      </x:c>
      <x:c r="Q634" s="9" t="str">
        <x:v>Нет</x:v>
      </x:c>
      <x:c r="R634" s="9" t="str">
        <x:v>C043</x:v>
      </x:c>
      <x:c r="S634" s="9" t="str">
        <x:v>C043</x:v>
      </x:c>
      <x:c r="T634" s="10" t="str">
        <x:v>כאן | דיגיטל - תאגיד השידור הישראלי</x:v>
      </x:c>
      <x:c r="U634" s="11" t="str">
        <x:v>https://www.youtube.com/watch?v=0udlWaRpYPw</x:v>
      </x:c>
      <x:c r="V634" s="16" t="n">
        <x:v>46308</x:v>
      </x:c>
      <x:c r="W634" s="16"/>
      <x:c r="X634" s="10" t="str">
        <x:v>Иврит предполагается по заголовку и источнику</x:v>
      </x:c>
      <x:c r="Y634" s="10" t="str">
        <x:v>Не проверено</x:v>
      </x:c>
      <x:c r="Z634" s="10" t="str">
        <x:v>Не проверено</x:v>
      </x:c>
      <x:c r="AA634" s="10" t="str">
        <x:v>Метаданные списка; видео не просмотрено</x:v>
      </x:c>
      <x:c r="AB634" s="13" t="str">
        <x:f>IF(AND(ISNUMBER(H634),ISNUMBER(W634)),H634/MAX(1,'Обзор'!$B$4-W634),"")</x:f>
      </x:c>
      <x:c r="AC634" s="17" t="str">
        <x:v>Не решено</x:v>
      </x:c>
      <x:c r="AD634" s="17" t="str">
        <x:v>Не проверено</x:v>
      </x:c>
      <x:c r="AE634" s="17" t="str">
        <x:v>Не проверено</x:v>
      </x:c>
      <x:c r="AF634" s="17" t="str">
        <x:v>Не проверено</x:v>
      </x:c>
      <x:c r="AG634" s="17" t="str">
        <x:v>Не решено</x:v>
      </x:c>
      <x:c r="AH634" s="17" t="str">
        <x:v>Не проверено</x:v>
      </x:c>
      <x:c r="AI634" s="10" t="str">
        <x:f>IF(AC634="Отклонить","Отклонено",IF(AND(AC634="Взять",COUNTIFS(AD634:AH634,"Да")=5),"Готово","Нужна редактура"))</x:f>
        <x:v>Нужна редактура</x:v>
      </x:c>
      <x:c r="AJ634" s="17" t="str"/>
      <x:c r="AK634" s="9" t="str">
        <x:v>https://www.youtube.com/playlist?list=PLXv9BeKApRvwx9zh3LqZl-UexiIKULA-7</x:v>
      </x:c>
      <x:c r="AL634" s="9" t="n">
        <x:v>46</x:v>
      </x:c>
      <x:c r="AM634" s="9"/>
      <x:c r="AN634" s="9"/>
    </x:row>
    <x:row r="635" ht="60" customHeight="1">
      <x:c r="A635" s="9" t="str">
        <x:v>fxbLuPGM9SE</x:v>
      </x:c>
      <x:c r="B635" s="10" t="str">
        <x:v>דוקותיים | אוהד פתח בר בסלון ביתו ומוזג בירה למי שזקוק לנחמה</x:v>
      </x:c>
      <x:c r="C635" s="10" t="str">
        <x:v>Люди и повседневность</x:v>
      </x:c>
      <x:c r="D635" s="9" t="str">
        <x:v>Быт</x:v>
      </x:c>
      <x:c r="E635" s="10" t="str">
        <x:v>Репатрианты; общество; занятые взрослые</x:v>
      </x:c>
      <x:c r="F635" s="10" t="str">
        <x:v>B1–B2 (гипотеза)</x:v>
      </x:c>
      <x:c r="G635" s="12" t="n">
        <x:v>4.2</x:v>
      </x:c>
      <x:c r="H635" s="14" t="n">
        <x:v>30000</x:v>
      </x:c>
      <x:c r="I635" s="15" t="str">
        <x:v>Округлённый счётчик в списке YouTube</x:v>
      </x:c>
      <x:c r="J635" s="14" t="n">
        <x:v>30000</x:v>
      </x:c>
      <x:c r="K635" s="14" t="n">
        <x:v>32500</x:v>
      </x:c>
      <x:c r="L635" s="12" t="n">
        <x:f>IF(COUNT(J635:K635)=2,IF(K635=0,"",J635/K635),"")</x:f>
        <x:v>0.9230769230769231</x:v>
      </x:c>
      <x:c r="M635" s="10" t="str">
        <x:v>Завершённый короткий просмотр около 4 мин. Короткая история реального человека подходит для ежедневной привычки. Разные профессии и места расширяют взгляд на страну.</x:v>
      </x:c>
      <x:c r="N635" s="10" t="str">
        <x:v>Прослушать 2–5 минут, выписать 6 фраз и пересказать историю в 3 предложениях.</x:v>
      </x:c>
      <x:c r="O635" s="10" t="str">
        <x:v>Проверить содержание</x:v>
      </x:c>
      <x:c r="P635" s="10" t="str">
        <x:v>Самостоятельное видео</x:v>
      </x:c>
      <x:c r="Q635" s="9" t="str">
        <x:v>Нет</x:v>
      </x:c>
      <x:c r="R635" s="9" t="str">
        <x:v>C043</x:v>
      </x:c>
      <x:c r="S635" s="9" t="str">
        <x:v>C043</x:v>
      </x:c>
      <x:c r="T635" s="10" t="str">
        <x:v>כאן | דיגיטל - תאגיד השידור הישראלי</x:v>
      </x:c>
      <x:c r="U635" s="11" t="str">
        <x:v>https://www.youtube.com/watch?v=fxbLuPGM9SE</x:v>
      </x:c>
      <x:c r="V635" s="16" t="n">
        <x:v>46308</x:v>
      </x:c>
      <x:c r="W635" s="16"/>
      <x:c r="X635" s="10" t="str">
        <x:v>Иврит предполагается по заголовку и источнику</x:v>
      </x:c>
      <x:c r="Y635" s="10" t="str">
        <x:v>Не проверено</x:v>
      </x:c>
      <x:c r="Z635" s="10" t="str">
        <x:v>Не проверено</x:v>
      </x:c>
      <x:c r="AA635" s="10" t="str">
        <x:v>Метаданные списка; видео не просмотрено</x:v>
      </x:c>
      <x:c r="AB635" s="13" t="str">
        <x:f>IF(AND(ISNUMBER(H635),ISNUMBER(W635)),H635/MAX(1,'Обзор'!$B$4-W635),"")</x:f>
      </x:c>
      <x:c r="AC635" s="17" t="str">
        <x:v>Не решено</x:v>
      </x:c>
      <x:c r="AD635" s="17" t="str">
        <x:v>Не проверено</x:v>
      </x:c>
      <x:c r="AE635" s="17" t="str">
        <x:v>Не проверено</x:v>
      </x:c>
      <x:c r="AF635" s="17" t="str">
        <x:v>Не проверено</x:v>
      </x:c>
      <x:c r="AG635" s="17" t="str">
        <x:v>Не решено</x:v>
      </x:c>
      <x:c r="AH635" s="17" t="str">
        <x:v>Не проверено</x:v>
      </x:c>
      <x:c r="AI635" s="10" t="str">
        <x:f>IF(AC635="Отклонить","Отклонено",IF(AND(AC635="Взять",COUNTIFS(AD635:AH635,"Да")=5),"Готово","Нужна редактура"))</x:f>
        <x:v>Нужна редактура</x:v>
      </x:c>
      <x:c r="AJ635" s="17" t="str"/>
      <x:c r="AK635" s="9" t="str">
        <x:v>https://www.youtube.com/playlist?list=PLXv9BeKApRvwx9zh3LqZl-UexiIKULA-7</x:v>
      </x:c>
      <x:c r="AL635" s="9" t="n">
        <x:v>47</x:v>
      </x:c>
      <x:c r="AM635" s="9"/>
      <x:c r="AN635" s="9"/>
    </x:row>
    <x:row r="636" ht="60" customHeight="1">
      <x:c r="A636" s="9" t="str">
        <x:v>SUJQ2AsLCaE</x:v>
      </x:c>
      <x:c r="B636" s="10" t="str">
        <x:v>דוקותיים עם לוחמי האש בבת ים אחרי נפילת הטיל האיראני</x:v>
      </x:c>
      <x:c r="C636" s="10" t="str">
        <x:v>Люди и повседневность</x:v>
      </x:c>
      <x:c r="D636" s="9" t="str">
        <x:v>Быт</x:v>
      </x:c>
      <x:c r="E636" s="10" t="str">
        <x:v>Репатрианты; общество; занятые взрослые</x:v>
      </x:c>
      <x:c r="F636" s="10" t="str">
        <x:v>B1–B2 (гипотеза)</x:v>
      </x:c>
      <x:c r="G636" s="12" t="n">
        <x:v>4</x:v>
      </x:c>
      <x:c r="H636" s="14" t="n">
        <x:v>32000</x:v>
      </x:c>
      <x:c r="I636" s="15" t="str">
        <x:v>Округлённый счётчик в списке YouTube</x:v>
      </x:c>
      <x:c r="J636" s="14" t="n">
        <x:v>32000</x:v>
      </x:c>
      <x:c r="K636" s="14" t="n">
        <x:v>32500</x:v>
      </x:c>
      <x:c r="L636" s="12" t="n">
        <x:f>IF(COUNT(J636:K636)=2,IF(K636=0,"",J636/K636),"")</x:f>
        <x:v>0.9846153846153847</x:v>
      </x:c>
      <x:c r="M636" s="10" t="str">
        <x:v>Завершённый короткий просмотр около 4 мин. Короткая история реального человека подходит для ежедневной привычки. Разные профессии и места расширяют взгляд на страну.</x:v>
      </x:c>
      <x:c r="N636" s="10" t="str">
        <x:v>Прослушать 2–5 минут, выписать 6 фраз и пересказать историю в 3 предложениях.</x:v>
      </x:c>
      <x:c r="O636" s="10" t="str">
        <x:v>Проверить содержание</x:v>
      </x:c>
      <x:c r="P636" s="10" t="str">
        <x:v>Самостоятельное видео</x:v>
      </x:c>
      <x:c r="Q636" s="9" t="str">
        <x:v>Нет</x:v>
      </x:c>
      <x:c r="R636" s="9" t="str">
        <x:v>C043</x:v>
      </x:c>
      <x:c r="S636" s="9" t="str">
        <x:v>C043</x:v>
      </x:c>
      <x:c r="T636" s="10" t="str">
        <x:v>כאן | דיגיטל - תאגיד השידור הישראלי</x:v>
      </x:c>
      <x:c r="U636" s="11" t="str">
        <x:v>https://www.youtube.com/watch?v=SUJQ2AsLCaE</x:v>
      </x:c>
      <x:c r="V636" s="16" t="n">
        <x:v>46308</x:v>
      </x:c>
      <x:c r="W636" s="16"/>
      <x:c r="X636" s="10" t="str">
        <x:v>Иврит предполагается по заголовку и источнику</x:v>
      </x:c>
      <x:c r="Y636" s="10" t="str">
        <x:v>Не проверено</x:v>
      </x:c>
      <x:c r="Z636" s="10" t="str">
        <x:v>Не проверено</x:v>
      </x:c>
      <x:c r="AA636" s="10" t="str">
        <x:v>Метаданные списка; видео не просмотрено</x:v>
      </x:c>
      <x:c r="AB636" s="13" t="str">
        <x:f>IF(AND(ISNUMBER(H636),ISNUMBER(W636)),H636/MAX(1,'Обзор'!$B$4-W636),"")</x:f>
      </x:c>
      <x:c r="AC636" s="17" t="str">
        <x:v>Не решено</x:v>
      </x:c>
      <x:c r="AD636" s="17" t="str">
        <x:v>Не проверено</x:v>
      </x:c>
      <x:c r="AE636" s="17" t="str">
        <x:v>Не проверено</x:v>
      </x:c>
      <x:c r="AF636" s="17" t="str">
        <x:v>Не проверено</x:v>
      </x:c>
      <x:c r="AG636" s="17" t="str">
        <x:v>Не решено</x:v>
      </x:c>
      <x:c r="AH636" s="17" t="str">
        <x:v>Не проверено</x:v>
      </x:c>
      <x:c r="AI636" s="10" t="str">
        <x:f>IF(AC636="Отклонить","Отклонено",IF(AND(AC636="Взять",COUNTIFS(AD636:AH636,"Да")=5),"Готово","Нужна редактура"))</x:f>
        <x:v>Нужна редактура</x:v>
      </x:c>
      <x:c r="AJ636" s="17" t="str"/>
      <x:c r="AK636" s="9" t="str">
        <x:v>https://www.youtube.com/playlist?list=PLXv9BeKApRvwx9zh3LqZl-UexiIKULA-7</x:v>
      </x:c>
      <x:c r="AL636" s="9" t="n">
        <x:v>48</x:v>
      </x:c>
      <x:c r="AM636" s="9"/>
      <x:c r="AN636" s="9"/>
    </x:row>
    <x:row r="637" ht="60" customHeight="1">
      <x:c r="A637" s="9" t="str">
        <x:v>FAXI1eAnp0A</x:v>
      </x:c>
      <x:c r="B637" s="10" t="str">
        <x:v>דוקותיים: דור אוסף פוקימונים כבר 30 שנה</x:v>
      </x:c>
      <x:c r="C637" s="10" t="str">
        <x:v>Люди и повседневность</x:v>
      </x:c>
      <x:c r="D637" s="9" t="str">
        <x:v>Быт</x:v>
      </x:c>
      <x:c r="E637" s="10" t="str">
        <x:v>Репатрианты; общество; занятые взрослые</x:v>
      </x:c>
      <x:c r="F637" s="10" t="str">
        <x:v>B1–B2 (гипотеза)</x:v>
      </x:c>
      <x:c r="G637" s="12" t="n">
        <x:v>5</x:v>
      </x:c>
      <x:c r="H637" s="14" t="n">
        <x:v>38779</x:v>
      </x:c>
      <x:c r="I637" s="15" t="str">
        <x:v>Точный счётчик метаданных видео</x:v>
      </x:c>
      <x:c r="J637" s="14" t="n">
        <x:v>38000</x:v>
      </x:c>
      <x:c r="K637" s="14" t="n">
        <x:v>32500</x:v>
      </x:c>
      <x:c r="L637" s="12" t="n">
        <x:f>IF(COUNT(J637:K637)=2,IF(K637=0,"",J637/K637),"")</x:f>
        <x:v>1.1692307692307693</x:v>
      </x:c>
      <x:c r="M637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637" s="10" t="str">
        <x:v>Прослушать 2–5 минут, выписать 6 фраз и пересказать историю в 3 предложениях.</x:v>
      </x:c>
      <x:c r="O637" s="10" t="str">
        <x:v>Проверить содержание</x:v>
      </x:c>
      <x:c r="P637" s="10" t="str">
        <x:v>Самостоятельное видео</x:v>
      </x:c>
      <x:c r="Q637" s="9" t="str">
        <x:v>Нет</x:v>
      </x:c>
      <x:c r="R637" s="9" t="str">
        <x:v>C043</x:v>
      </x:c>
      <x:c r="S637" s="9" t="str">
        <x:v>C043</x:v>
      </x:c>
      <x:c r="T637" s="10" t="str">
        <x:v>כאן | דיגיטל - תאגיד השידור הישראלי</x:v>
      </x:c>
      <x:c r="U637" s="11" t="str">
        <x:v>https://www.youtube.com/watch?v=FAXI1eAnp0A</x:v>
      </x:c>
      <x:c r="V637" s="16" t="n">
        <x:v>46308</x:v>
      </x:c>
      <x:c r="W637" s="16" t="n">
        <x:v>45804</x:v>
      </x:c>
      <x:c r="X637" s="10" t="str">
        <x:v>iw</x:v>
      </x:c>
      <x:c r="Y637" s="10" t="str">
        <x:v>Ручная дорожка HE по метаданным</x:v>
      </x:c>
      <x:c r="Z637" s="10" t="str">
        <x:v>Разрешено по метаданным</x:v>
      </x:c>
      <x:c r="AA637" s="10" t="str">
        <x:v>Метаданные видео; воспроизведение и содержание не проверены</x:v>
      </x:c>
      <x:c r="AB637" s="13" t="n">
        <x:f>IF(AND(ISNUMBER(H637),ISNUMBER(W637)),H637/MAX(1,'Обзор'!$B$4-W637),"")</x:f>
        <x:v>76.94246031746032</x:v>
      </x:c>
      <x:c r="AC637" s="17" t="str">
        <x:v>Не решено</x:v>
      </x:c>
      <x:c r="AD637" s="17" t="str">
        <x:v>Не проверено</x:v>
      </x:c>
      <x:c r="AE637" s="17" t="str">
        <x:v>Не проверено</x:v>
      </x:c>
      <x:c r="AF637" s="17" t="str">
        <x:v>Не проверено</x:v>
      </x:c>
      <x:c r="AG637" s="17" t="str">
        <x:v>Не решено</x:v>
      </x:c>
      <x:c r="AH637" s="17" t="str">
        <x:v>Не проверено</x:v>
      </x:c>
      <x:c r="AI637" s="10" t="str">
        <x:f>IF(AC637="Отклонить","Отклонено",IF(AND(AC637="Взять",COUNTIFS(AD637:AH637,"Да")=5),"Готово","Нужна редактура"))</x:f>
        <x:v>Нужна редактура</x:v>
      </x:c>
      <x:c r="AJ637" s="17" t="str"/>
      <x:c r="AK637" s="9" t="str">
        <x:v>https://www.youtube.com/playlist?list=PLXv9BeKApRvwx9zh3LqZl-UexiIKULA-7</x:v>
      </x:c>
      <x:c r="AL637" s="9" t="n">
        <x:v>49</x:v>
      </x:c>
      <x:c r="AM637" s="9"/>
      <x:c r="AN637" s="9" t="n">
        <x:v>0</x:v>
      </x:c>
    </x:row>
    <x:row r="638" ht="60" customHeight="1">
      <x:c r="A638" s="9" t="str">
        <x:v>9of99mr3aLg</x:v>
      </x:c>
      <x:c r="B638" s="10" t="str">
        <x:v>"פוליטיקאים פלסטינים התחילו להגיד שלא היה שם בית מקדש" | הארכאולוג שמוצא בהר הבית פיסות מבית המקדש</x:v>
      </x:c>
      <x:c r="C638" s="10" t="str">
        <x:v>Люди и повседневность</x:v>
      </x:c>
      <x:c r="D638" s="9" t="str">
        <x:v>Быт</x:v>
      </x:c>
      <x:c r="E638" s="10" t="str">
        <x:v>Репатрианты; общество; занятые взрослые</x:v>
      </x:c>
      <x:c r="F638" s="10" t="str">
        <x:v>B1–B2 (гипотеза)</x:v>
      </x:c>
      <x:c r="G638" s="12" t="n">
        <x:v>5.5</x:v>
      </x:c>
      <x:c r="H638" s="14" t="n">
        <x:v>52541</x:v>
      </x:c>
      <x:c r="I638" s="15" t="str">
        <x:v>Точный счётчик метаданных видео</x:v>
      </x:c>
      <x:c r="J638" s="14" t="n">
        <x:v>52000</x:v>
      </x:c>
      <x:c r="K638" s="14" t="n">
        <x:v>32500</x:v>
      </x:c>
      <x:c r="L638" s="12" t="n">
        <x:f>IF(COUNT(J638:K638)=2,IF(K638=0,"",J638/K638),"")</x:f>
        <x:v>1.6</x:v>
      </x:c>
      <x:c r="M638" s="10" t="str">
        <x:v>Завершённый короткий просмотр около 5 мин. Просмотры в списке выше медианы выборки этого цикла в 1.6 раза. Короткая история реального человека подходит для ежедневной привычки. Разные профессии и места расширяют взгляд на страну.</x:v>
      </x:c>
      <x:c r="N638" s="10" t="str">
        <x:v>Прослушать 2–5 минут, выписать 6 фраз и пересказать историю в 3 предложениях.</x:v>
      </x:c>
      <x:c r="O638" s="10" t="str">
        <x:v>Проверить содержание</x:v>
      </x:c>
      <x:c r="P638" s="10" t="str">
        <x:v>Самостоятельное видео</x:v>
      </x:c>
      <x:c r="Q638" s="9" t="str">
        <x:v>Нет</x:v>
      </x:c>
      <x:c r="R638" s="9" t="str">
        <x:v>C043</x:v>
      </x:c>
      <x:c r="S638" s="9" t="str">
        <x:v>C043</x:v>
      </x:c>
      <x:c r="T638" s="10" t="str">
        <x:v>כאן | דיגיטל - תאגיד השידור הישראלי</x:v>
      </x:c>
      <x:c r="U638" s="11" t="str">
        <x:v>https://www.youtube.com/watch?v=9of99mr3aLg</x:v>
      </x:c>
      <x:c r="V638" s="16" t="n">
        <x:v>46308</x:v>
      </x:c>
      <x:c r="W638" s="16" t="n">
        <x:v>45790</x:v>
      </x:c>
      <x:c r="X638" s="10" t="str">
        <x:v>iw</x:v>
      </x:c>
      <x:c r="Y638" s="10" t="str">
        <x:v>Автоматическая дорожка HE по метаданным</x:v>
      </x:c>
      <x:c r="Z638" s="10" t="str">
        <x:v>Разрешено по метаданным</x:v>
      </x:c>
      <x:c r="AA638" s="10" t="str">
        <x:v>Метаданные видео; воспроизведение и содержание не проверены</x:v>
      </x:c>
      <x:c r="AB638" s="13" t="n">
        <x:f>IF(AND(ISNUMBER(H638),ISNUMBER(W638)),H638/MAX(1,'Обзор'!$B$4-W638),"")</x:f>
        <x:v>101.43050193050193</x:v>
      </x:c>
      <x:c r="AC638" s="17" t="str">
        <x:v>Не решено</x:v>
      </x:c>
      <x:c r="AD638" s="17" t="str">
        <x:v>Не проверено</x:v>
      </x:c>
      <x:c r="AE638" s="17" t="str">
        <x:v>Не проверено</x:v>
      </x:c>
      <x:c r="AF638" s="17" t="str">
        <x:v>Не проверено</x:v>
      </x:c>
      <x:c r="AG638" s="17" t="str">
        <x:v>Не решено</x:v>
      </x:c>
      <x:c r="AH638" s="17" t="str">
        <x:v>Не проверено</x:v>
      </x:c>
      <x:c r="AI638" s="10" t="str">
        <x:f>IF(AC638="Отклонить","Отклонено",IF(AND(AC638="Взять",COUNTIFS(AD638:AH638,"Да")=5),"Готово","Нужна редактура"))</x:f>
        <x:v>Нужна редактура</x:v>
      </x:c>
      <x:c r="AJ638" s="17" t="str"/>
      <x:c r="AK638" s="9" t="str">
        <x:v>https://www.youtube.com/playlist?list=PLXv9BeKApRvwx9zh3LqZl-UexiIKULA-7</x:v>
      </x:c>
      <x:c r="AL638" s="9" t="n">
        <x:v>50</x:v>
      </x:c>
      <x:c r="AM638" s="9"/>
      <x:c r="AN638" s="9" t="n">
        <x:v>0</x:v>
      </x:c>
    </x:row>
    <x:row r="639" ht="60" customHeight="1">
      <x:c r="A639" s="9" t="str">
        <x:v>i8WhAsUQ1Ic</x:v>
      </x:c>
      <x:c r="B639" s="10" t="str">
        <x:v>"איפה שאתה הולך, יש הרואין בירושלים" | דוקותיים עם המלאכית של המכורים בעיר הקודש</x:v>
      </x:c>
      <x:c r="C639" s="10" t="str">
        <x:v>Люди и повседневность</x:v>
      </x:c>
      <x:c r="D639" s="9" t="str">
        <x:v>Быт</x:v>
      </x:c>
      <x:c r="E639" s="10" t="str">
        <x:v>Репатрианты; общество; занятые взрослые</x:v>
      </x:c>
      <x:c r="F639" s="10" t="str">
        <x:v>B1–B2 (гипотеза)</x:v>
      </x:c>
      <x:c r="G639" s="12" t="n">
        <x:v>6.5</x:v>
      </x:c>
      <x:c r="H639" s="14" t="n">
        <x:v>72825</x:v>
      </x:c>
      <x:c r="I639" s="15" t="str">
        <x:v>Точный счётчик метаданных видео</x:v>
      </x:c>
      <x:c r="J639" s="14" t="n">
        <x:v>72000</x:v>
      </x:c>
      <x:c r="K639" s="14" t="n">
        <x:v>32500</x:v>
      </x:c>
      <x:c r="L639" s="12" t="n">
        <x:f>IF(COUNT(J639:K639)=2,IF(K639=0,"",J639/K639),"")</x:f>
        <x:v>2.2153846153846155</x:v>
      </x:c>
      <x:c r="M639" s="10" t="str">
        <x:v>Завершённый короткий просмотр около 7 мин. Просмотры в списке выше медианы выборки этого цикла в 2.22 раза. Короткая история реального человека подходит для ежедневной привычки. Разные профессии и места расширяют взгляд на страну.</x:v>
      </x:c>
      <x:c r="N639" s="10" t="str">
        <x:v>Прослушать 2–5 минут, выписать 6 фраз и пересказать историю в 3 предложениях.</x:v>
      </x:c>
      <x:c r="O639" s="10" t="str">
        <x:v>Проверить содержание</x:v>
      </x:c>
      <x:c r="P639" s="10" t="str">
        <x:v>Самостоятельное видео</x:v>
      </x:c>
      <x:c r="Q639" s="9" t="str">
        <x:v>Нет</x:v>
      </x:c>
      <x:c r="R639" s="9" t="str">
        <x:v>C043</x:v>
      </x:c>
      <x:c r="S639" s="9" t="str">
        <x:v>C043</x:v>
      </x:c>
      <x:c r="T639" s="10" t="str">
        <x:v>כאן | דיגיטל - תאגיד השידור הישראלי</x:v>
      </x:c>
      <x:c r="U639" s="11" t="str">
        <x:v>https://www.youtube.com/watch?v=i8WhAsUQ1Ic</x:v>
      </x:c>
      <x:c r="V639" s="16" t="n">
        <x:v>46308</x:v>
      </x:c>
      <x:c r="W639" s="16" t="n">
        <x:v>45783</x:v>
      </x:c>
      <x:c r="X639" s="10" t="str">
        <x:v>Иврит предполагается по заголовку и источнику</x:v>
      </x:c>
      <x:c r="Y639" s="10" t="str">
        <x:v>Ручная дорожка HE по метаданным</x:v>
      </x:c>
      <x:c r="Z639" s="10" t="str">
        <x:v>Разрешено по метаданным</x:v>
      </x:c>
      <x:c r="AA639" s="10" t="str">
        <x:v>Метаданные видео; воспроизведение и содержание не проверены</x:v>
      </x:c>
      <x:c r="AB639" s="13" t="n">
        <x:f>IF(AND(ISNUMBER(H639),ISNUMBER(W639)),H639/MAX(1,'Обзор'!$B$4-W639),"")</x:f>
        <x:v>138.71428571428572</x:v>
      </x:c>
      <x:c r="AC639" s="17" t="str">
        <x:v>Не решено</x:v>
      </x:c>
      <x:c r="AD639" s="17" t="str">
        <x:v>Не проверено</x:v>
      </x:c>
      <x:c r="AE639" s="17" t="str">
        <x:v>Не проверено</x:v>
      </x:c>
      <x:c r="AF639" s="17" t="str">
        <x:v>Не проверено</x:v>
      </x:c>
      <x:c r="AG639" s="17" t="str">
        <x:v>Не решено</x:v>
      </x:c>
      <x:c r="AH639" s="17" t="str">
        <x:v>Не проверено</x:v>
      </x:c>
      <x:c r="AI639" s="10" t="str">
        <x:f>IF(AC639="Отклонить","Отклонено",IF(AND(AC639="Взять",COUNTIFS(AD639:AH639,"Да")=5),"Готово","Нужна редактура"))</x:f>
        <x:v>Нужна редактура</x:v>
      </x:c>
      <x:c r="AJ639" s="17" t="str"/>
      <x:c r="AK639" s="9" t="str">
        <x:v>https://www.youtube.com/playlist?list=PLXv9BeKApRvwx9zh3LqZl-UexiIKULA-7</x:v>
      </x:c>
      <x:c r="AL639" s="9" t="n">
        <x:v>51</x:v>
      </x:c>
      <x:c r="AM639" s="9"/>
      <x:c r="AN639" s="9" t="n">
        <x:v>0</x:v>
      </x:c>
    </x:row>
    <x:row r="640" ht="60" customHeight="1">
      <x:c r="A640" s="9" t="str">
        <x:v>3_UzGdnvI9Y</x:v>
      </x:c>
      <x:c r="B640" s="10" t="str">
        <x:v>דוקותיים עם כוכב הטיקטוק מטירה</x:v>
      </x:c>
      <x:c r="C640" s="10" t="str">
        <x:v>Люди и повседневность</x:v>
      </x:c>
      <x:c r="D640" s="9" t="str">
        <x:v>Быт</x:v>
      </x:c>
      <x:c r="E640" s="10" t="str">
        <x:v>Репатрианты; общество; занятые взрослые</x:v>
      </x:c>
      <x:c r="F640" s="10" t="str">
        <x:v>B1–B2 (гипотеза)</x:v>
      </x:c>
      <x:c r="G640" s="12" t="n">
        <x:v>7.6</x:v>
      </x:c>
      <x:c r="H640" s="14" t="n">
        <x:v>34435</x:v>
      </x:c>
      <x:c r="I640" s="15" t="str">
        <x:v>Точный счётчик метаданных видео</x:v>
      </x:c>
      <x:c r="J640" s="14" t="n">
        <x:v>34000</x:v>
      </x:c>
      <x:c r="K640" s="14" t="n">
        <x:v>32500</x:v>
      </x:c>
      <x:c r="L640" s="12" t="n">
        <x:f>IF(COUNT(J640:K640)=2,IF(K640=0,"",J640/K640),"")</x:f>
        <x:v>1.0461538461538462</x:v>
      </x:c>
      <x:c r="M640" s="10" t="str">
        <x:v>Завершённый короткий просмотр около 8 мин. Короткая история реального человека подходит для ежедневной привычки. Разные профессии и места расширяют взгляд на страну.</x:v>
      </x:c>
      <x:c r="N640" s="10" t="str">
        <x:v>Прослушать 2–5 минут, выписать 6 фраз и пересказать историю в 3 предложениях.</x:v>
      </x:c>
      <x:c r="O640" s="10" t="str">
        <x:v>Проверить содержание</x:v>
      </x:c>
      <x:c r="P640" s="10" t="str">
        <x:v>Самостоятельное видео</x:v>
      </x:c>
      <x:c r="Q640" s="9" t="str">
        <x:v>Нет</x:v>
      </x:c>
      <x:c r="R640" s="9" t="str">
        <x:v>C043</x:v>
      </x:c>
      <x:c r="S640" s="9" t="str">
        <x:v>C043</x:v>
      </x:c>
      <x:c r="T640" s="10" t="str">
        <x:v>כאן | דיגיטל - תאגיד השידור הישראלי</x:v>
      </x:c>
      <x:c r="U640" s="11" t="str">
        <x:v>https://www.youtube.com/watch?v=3_UzGdnvI9Y</x:v>
      </x:c>
      <x:c r="V640" s="16" t="n">
        <x:v>46308</x:v>
      </x:c>
      <x:c r="W640" s="16" t="n">
        <x:v>45741</x:v>
      </x:c>
      <x:c r="X640" s="10" t="str">
        <x:v>Иврит предполагается по заголовку и источнику</x:v>
      </x:c>
      <x:c r="Y640" s="10" t="str">
        <x:v>Ручная дорожка HE по метаданным</x:v>
      </x:c>
      <x:c r="Z640" s="10" t="str">
        <x:v>Разрешено по метаданным</x:v>
      </x:c>
      <x:c r="AA640" s="10" t="str">
        <x:v>Метаданные видео; воспроизведение и содержание не проверены</x:v>
      </x:c>
      <x:c r="AB640" s="13" t="n">
        <x:f>IF(AND(ISNUMBER(H640),ISNUMBER(W640)),H640/MAX(1,'Обзор'!$B$4-W640),"")</x:f>
        <x:v>60.73192239858906</x:v>
      </x:c>
      <x:c r="AC640" s="17" t="str">
        <x:v>Не решено</x:v>
      </x:c>
      <x:c r="AD640" s="17" t="str">
        <x:v>Не проверено</x:v>
      </x:c>
      <x:c r="AE640" s="17" t="str">
        <x:v>Не проверено</x:v>
      </x:c>
      <x:c r="AF640" s="17" t="str">
        <x:v>Не проверено</x:v>
      </x:c>
      <x:c r="AG640" s="17" t="str">
        <x:v>Не решено</x:v>
      </x:c>
      <x:c r="AH640" s="17" t="str">
        <x:v>Не проверено</x:v>
      </x:c>
      <x:c r="AI640" s="10" t="str">
        <x:f>IF(AC640="Отклонить","Отклонено",IF(AND(AC640="Взять",COUNTIFS(AD640:AH640,"Да")=5),"Готово","Нужна редактура"))</x:f>
        <x:v>Нужна редактура</x:v>
      </x:c>
      <x:c r="AJ640" s="17" t="str"/>
      <x:c r="AK640" s="9" t="str">
        <x:v>https://www.youtube.com/playlist?list=PLXv9BeKApRvwx9zh3LqZl-UexiIKULA-7</x:v>
      </x:c>
      <x:c r="AL640" s="9" t="n">
        <x:v>52</x:v>
      </x:c>
      <x:c r="AM640" s="9"/>
      <x:c r="AN640" s="9" t="n">
        <x:v>0</x:v>
      </x:c>
    </x:row>
    <x:row r="641" ht="60" customHeight="1">
      <x:c r="A641" s="9" t="str">
        <x:v>TIS_ksWRLuQ</x:v>
      </x:c>
      <x:c r="B641" s="10" t="str">
        <x:v>התצפיתניות מהחמ"ל בעוטף עזה מרגישות שעכשיו לוקחים אותן יותר ברצינות | דוקותיים</x:v>
      </x:c>
      <x:c r="C641" s="10" t="str">
        <x:v>Люди и повседневность</x:v>
      </x:c>
      <x:c r="D641" s="9" t="str">
        <x:v>Быт</x:v>
      </x:c>
      <x:c r="E641" s="10" t="str">
        <x:v>Репатрианты; общество; занятые взрослые</x:v>
      </x:c>
      <x:c r="F641" s="10" t="str">
        <x:v>B1–B2 (гипотеза)</x:v>
      </x:c>
      <x:c r="G641" s="12" t="n">
        <x:v>2.5</x:v>
      </x:c>
      <x:c r="H641" s="14" t="n">
        <x:v>76231</x:v>
      </x:c>
      <x:c r="I641" s="15" t="str">
        <x:v>Точный счётчик метаданных видео</x:v>
      </x:c>
      <x:c r="J641" s="14" t="n">
        <x:v>76000</x:v>
      </x:c>
      <x:c r="K641" s="14" t="n">
        <x:v>32500</x:v>
      </x:c>
      <x:c r="L641" s="12" t="n">
        <x:f>IF(COUNT(J641:K641)=2,IF(K641=0,"",J641/K641),"")</x:f>
        <x:v>2.3384615384615386</x:v>
      </x:c>
      <x:c r="M641" s="10" t="str">
        <x:v>Завершённый короткий просмотр около 2 мин. Просмотры в списке выше медианы выборки этого цикла в 2.34 раза. Короткая история реального человека подходит для ежедневной привычки. Разные профессии и места расширяют взгляд на страну.</x:v>
      </x:c>
      <x:c r="N641" s="10" t="str">
        <x:v>Прослушать 2–5 минут, выписать 6 фраз и пересказать историю в 3 предложениях.</x:v>
      </x:c>
      <x:c r="O641" s="10" t="str">
        <x:v>Проверить содержание</x:v>
      </x:c>
      <x:c r="P641" s="10" t="str">
        <x:v>Самостоятельное видео</x:v>
      </x:c>
      <x:c r="Q641" s="9" t="str">
        <x:v>Нет</x:v>
      </x:c>
      <x:c r="R641" s="9" t="str">
        <x:v>C043</x:v>
      </x:c>
      <x:c r="S641" s="9" t="str">
        <x:v>C043</x:v>
      </x:c>
      <x:c r="T641" s="10" t="str">
        <x:v>כאן | דיגיטל - תאגיד השידור הישראלי</x:v>
      </x:c>
      <x:c r="U641" s="11" t="str">
        <x:v>https://www.youtube.com/watch?v=TIS_ksWRLuQ</x:v>
      </x:c>
      <x:c r="V641" s="16" t="n">
        <x:v>46308</x:v>
      </x:c>
      <x:c r="W641" s="16" t="n">
        <x:v>45734</x:v>
      </x:c>
      <x:c r="X641" s="10" t="str">
        <x:v>Иврит предполагается по заголовку и источнику</x:v>
      </x:c>
      <x:c r="Y641" s="10" t="str">
        <x:v>Автоматическая дорожка HE по метаданным</x:v>
      </x:c>
      <x:c r="Z641" s="10" t="str">
        <x:v>Разрешено по метаданным</x:v>
      </x:c>
      <x:c r="AA641" s="10" t="str">
        <x:v>Метаданные видео; воспроизведение и содержание не проверены</x:v>
      </x:c>
      <x:c r="AB641" s="13" t="n">
        <x:f>IF(AND(ISNUMBER(H641),ISNUMBER(W641)),H641/MAX(1,'Обзор'!$B$4-W641),"")</x:f>
        <x:v>132.80662020905925</x:v>
      </x:c>
      <x:c r="AC641" s="17" t="str">
        <x:v>Не решено</x:v>
      </x:c>
      <x:c r="AD641" s="17" t="str">
        <x:v>Не проверено</x:v>
      </x:c>
      <x:c r="AE641" s="17" t="str">
        <x:v>Не проверено</x:v>
      </x:c>
      <x:c r="AF641" s="17" t="str">
        <x:v>Не проверено</x:v>
      </x:c>
      <x:c r="AG641" s="17" t="str">
        <x:v>Не решено</x:v>
      </x:c>
      <x:c r="AH641" s="17" t="str">
        <x:v>Не проверено</x:v>
      </x:c>
      <x:c r="AI641" s="10" t="str">
        <x:f>IF(AC641="Отклонить","Отклонено",IF(AND(AC641="Взять",COUNTIFS(AD641:AH641,"Да")=5),"Готово","Нужна редактура"))</x:f>
        <x:v>Нужна редактура</x:v>
      </x:c>
      <x:c r="AJ641" s="17" t="str"/>
      <x:c r="AK641" s="9" t="str">
        <x:v>https://www.youtube.com/playlist?list=PLXv9BeKApRvwx9zh3LqZl-UexiIKULA-7</x:v>
      </x:c>
      <x:c r="AL641" s="9" t="n">
        <x:v>53</x:v>
      </x:c>
      <x:c r="AM641" s="9"/>
      <x:c r="AN641" s="9" t="n">
        <x:v>0</x:v>
      </x:c>
    </x:row>
    <x:row r="642" ht="60" customHeight="1">
      <x:c r="A642" s="9" t="str">
        <x:v>LWlC34AneKw</x:v>
      </x:c>
      <x:c r="B642" s="10" t="str">
        <x:v>איתן נהרג בקרב ויעל ממשיכה לגדל 7 ילדים | דוקותיים</x:v>
      </x:c>
      <x:c r="C642" s="10" t="str">
        <x:v>Люди и повседневность</x:v>
      </x:c>
      <x:c r="D642" s="9" t="str">
        <x:v>Быт</x:v>
      </x:c>
      <x:c r="E642" s="10" t="str">
        <x:v>Репатрианты; общество; занятые взрослые</x:v>
      </x:c>
      <x:c r="F642" s="10" t="str">
        <x:v>B1–B2 (гипотеза)</x:v>
      </x:c>
      <x:c r="G642" s="12" t="n">
        <x:v>5.6</x:v>
      </x:c>
      <x:c r="H642" s="14" t="n">
        <x:v>34767</x:v>
      </x:c>
      <x:c r="I642" s="15" t="str">
        <x:v>Точный счётчик метаданных видео</x:v>
      </x:c>
      <x:c r="J642" s="14" t="n">
        <x:v>34000</x:v>
      </x:c>
      <x:c r="K642" s="14" t="n">
        <x:v>32500</x:v>
      </x:c>
      <x:c r="L642" s="12" t="n">
        <x:f>IF(COUNT(J642:K642)=2,IF(K642=0,"",J642/K642),"")</x:f>
        <x:v>1.0461538461538462</x:v>
      </x:c>
      <x:c r="M642" s="10" t="str">
        <x:v>Завершённый короткий просмотр около 6 мин. Короткая история реального человека подходит для ежедневной привычки. Разные профессии и места расширяют взгляд на страну.</x:v>
      </x:c>
      <x:c r="N642" s="10" t="str">
        <x:v>Прослушать 2–5 минут, выписать 6 фраз и пересказать историю в 3 предложениях.</x:v>
      </x:c>
      <x:c r="O642" s="10" t="str">
        <x:v>Проверить содержание</x:v>
      </x:c>
      <x:c r="P642" s="10" t="str">
        <x:v>Самостоятельное видео</x:v>
      </x:c>
      <x:c r="Q642" s="9" t="str">
        <x:v>Нет</x:v>
      </x:c>
      <x:c r="R642" s="9" t="str">
        <x:v>C043</x:v>
      </x:c>
      <x:c r="S642" s="9" t="str">
        <x:v>C043</x:v>
      </x:c>
      <x:c r="T642" s="10" t="str">
        <x:v>כאן | דיגיטל - תאגיד השידור הישראלי</x:v>
      </x:c>
      <x:c r="U642" s="11" t="str">
        <x:v>https://www.youtube.com/watch?v=LWlC34AneKw</x:v>
      </x:c>
      <x:c r="V642" s="16" t="n">
        <x:v>46308</x:v>
      </x:c>
      <x:c r="W642" s="16" t="n">
        <x:v>45720</x:v>
      </x:c>
      <x:c r="X642" s="10" t="str">
        <x:v>Иврит предполагается по заголовку и источнику</x:v>
      </x:c>
      <x:c r="Y642" s="10" t="str">
        <x:v>Автоматическая дорожка HE по метаданным</x:v>
      </x:c>
      <x:c r="Z642" s="10" t="str">
        <x:v>Разрешено по метаданным</x:v>
      </x:c>
      <x:c r="AA642" s="10" t="str">
        <x:v>Метаданные видео; воспроизведение и содержание не проверены</x:v>
      </x:c>
      <x:c r="AB642" s="13" t="n">
        <x:f>IF(AND(ISNUMBER(H642),ISNUMBER(W642)),H642/MAX(1,'Обзор'!$B$4-W642),"")</x:f>
        <x:v>59.12755102040816</x:v>
      </x:c>
      <x:c r="AC642" s="17" t="str">
        <x:v>Не решено</x:v>
      </x:c>
      <x:c r="AD642" s="17" t="str">
        <x:v>Не проверено</x:v>
      </x:c>
      <x:c r="AE642" s="17" t="str">
        <x:v>Не проверено</x:v>
      </x:c>
      <x:c r="AF642" s="17" t="str">
        <x:v>Не проверено</x:v>
      </x:c>
      <x:c r="AG642" s="17" t="str">
        <x:v>Не решено</x:v>
      </x:c>
      <x:c r="AH642" s="17" t="str">
        <x:v>Не проверено</x:v>
      </x:c>
      <x:c r="AI642" s="10" t="str">
        <x:f>IF(AC642="Отклонить","Отклонено",IF(AND(AC642="Взять",COUNTIFS(AD642:AH642,"Да")=5),"Готово","Нужна редактура"))</x:f>
        <x:v>Нужна редактура</x:v>
      </x:c>
      <x:c r="AJ642" s="17" t="str"/>
      <x:c r="AK642" s="9" t="str">
        <x:v>https://www.youtube.com/playlist?list=PLXv9BeKApRvwx9zh3LqZl-UexiIKULA-7</x:v>
      </x:c>
      <x:c r="AL642" s="9" t="n">
        <x:v>54</x:v>
      </x:c>
      <x:c r="AM642" s="9"/>
      <x:c r="AN642" s="9" t="n">
        <x:v>0</x:v>
      </x:c>
    </x:row>
    <x:row r="643" ht="60" customHeight="1">
      <x:c r="A643" s="9" t="str">
        <x:v>oszQUDZNrtg</x:v>
      </x:c>
      <x:c r="B643" s="10" t="str">
        <x:v>דוקותיים עם המפגינות למען החטופים</x:v>
      </x:c>
      <x:c r="C643" s="10" t="str">
        <x:v>Люди и повседневность</x:v>
      </x:c>
      <x:c r="D643" s="9" t="str">
        <x:v>Быт</x:v>
      </x:c>
      <x:c r="E643" s="10" t="str">
        <x:v>Репатрианты; общество; занятые взрослые</x:v>
      </x:c>
      <x:c r="F643" s="10" t="str">
        <x:v>B1–B2 (гипотеза)</x:v>
      </x:c>
      <x:c r="G643" s="12" t="n">
        <x:v>5.9</x:v>
      </x:c>
      <x:c r="H643" s="14" t="n">
        <x:v>6600</x:v>
      </x:c>
      <x:c r="I643" s="15" t="str">
        <x:v>Округлённый счётчик в списке YouTube</x:v>
      </x:c>
      <x:c r="J643" s="14" t="n">
        <x:v>6600</x:v>
      </x:c>
      <x:c r="K643" s="14" t="n">
        <x:v>32500</x:v>
      </x:c>
      <x:c r="L643" s="12" t="n">
        <x:f>IF(COUNT(J643:K643)=2,IF(K643=0,"",J643/K643),"")</x:f>
        <x:v>0.20307692307692307</x:v>
      </x:c>
      <x:c r="M643" s="10" t="str">
        <x:v>Завершённый короткий просмотр около 6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43" s="10" t="str">
        <x:v>Прослушать 2–5 минут, выписать 6 фраз и пересказать историю в 3 предложениях.</x:v>
      </x:c>
      <x:c r="O643" s="10" t="str">
        <x:v>В заголовке есть чувствительная тема: предварительный просмотр и добровольный выбор. Проверить содержание</x:v>
      </x:c>
      <x:c r="P643" s="10" t="str">
        <x:v>Самостоятельное видео</x:v>
      </x:c>
      <x:c r="Q643" s="9" t="str">
        <x:v>Нет</x:v>
      </x:c>
      <x:c r="R643" s="9" t="str">
        <x:v>C043</x:v>
      </x:c>
      <x:c r="S643" s="9" t="str">
        <x:v>C043</x:v>
      </x:c>
      <x:c r="T643" s="10" t="str">
        <x:v>כאן | דיגיטל - תאגיד השידור הישראלי</x:v>
      </x:c>
      <x:c r="U643" s="11" t="str">
        <x:v>https://www.youtube.com/watch?v=oszQUDZNrtg</x:v>
      </x:c>
      <x:c r="V643" s="16" t="n">
        <x:v>46308</x:v>
      </x:c>
      <x:c r="W643" s="16"/>
      <x:c r="X643" s="10" t="str">
        <x:v>Иврит предполагается по заголовку и источнику</x:v>
      </x:c>
      <x:c r="Y643" s="10" t="str">
        <x:v>Не проверено</x:v>
      </x:c>
      <x:c r="Z643" s="10" t="str">
        <x:v>Не проверено</x:v>
      </x:c>
      <x:c r="AA643" s="10" t="str">
        <x:v>Метаданные списка; видео не просмотрено</x:v>
      </x:c>
      <x:c r="AB643" s="13" t="str">
        <x:f>IF(AND(ISNUMBER(H643),ISNUMBER(W643)),H643/MAX(1,'Обзор'!$B$4-W643),"")</x:f>
      </x:c>
      <x:c r="AC643" s="17" t="str">
        <x:v>Не решено</x:v>
      </x:c>
      <x:c r="AD643" s="17" t="str">
        <x:v>Не проверено</x:v>
      </x:c>
      <x:c r="AE643" s="17" t="str">
        <x:v>Не проверено</x:v>
      </x:c>
      <x:c r="AF643" s="17" t="str">
        <x:v>Не проверено</x:v>
      </x:c>
      <x:c r="AG643" s="17" t="str">
        <x:v>Не решено</x:v>
      </x:c>
      <x:c r="AH643" s="17" t="str">
        <x:v>Не проверено</x:v>
      </x:c>
      <x:c r="AI643" s="10" t="str">
        <x:f>IF(AC643="Отклонить","Отклонено",IF(AND(AC643="Взять",COUNTIFS(AD643:AH643,"Да")=5),"Готово","Нужна редактура"))</x:f>
        <x:v>Нужна редактура</x:v>
      </x:c>
      <x:c r="AJ643" s="17" t="str"/>
      <x:c r="AK643" s="9" t="str">
        <x:v>https://www.youtube.com/playlist?list=PLXv9BeKApRvwx9zh3LqZl-UexiIKULA-7</x:v>
      </x:c>
      <x:c r="AL643" s="9" t="n">
        <x:v>55</x:v>
      </x:c>
      <x:c r="AM643" s="9"/>
      <x:c r="AN643" s="9"/>
    </x:row>
    <x:row r="644" ht="60" customHeight="1">
      <x:c r="A644" s="9" t="str">
        <x:v>NxpjwstRE5w</x:v>
      </x:c>
      <x:c r="B644" s="10" t="str">
        <x:v>דוקותיים: רפאל נשבע להנציח את בנו עד יומו האחרון</x:v>
      </x:c>
      <x:c r="C644" s="10" t="str">
        <x:v>Люди и повседневность</x:v>
      </x:c>
      <x:c r="D644" s="9" t="str">
        <x:v>Быт</x:v>
      </x:c>
      <x:c r="E644" s="10" t="str">
        <x:v>Репатрианты; общество; занятые взрослые</x:v>
      </x:c>
      <x:c r="F644" s="10" t="str">
        <x:v>B1–B2 (гипотеза)</x:v>
      </x:c>
      <x:c r="G644" s="12" t="n">
        <x:v>4.1</x:v>
      </x:c>
      <x:c r="H644" s="14" t="n">
        <x:v>25000</x:v>
      </x:c>
      <x:c r="I644" s="15" t="str">
        <x:v>Округлённый счётчик в списке YouTube</x:v>
      </x:c>
      <x:c r="J644" s="14" t="n">
        <x:v>25000</x:v>
      </x:c>
      <x:c r="K644" s="14" t="n">
        <x:v>32500</x:v>
      </x:c>
      <x:c r="L644" s="12" t="n">
        <x:f>IF(COUNT(J644:K644)=2,IF(K644=0,"",J644/K644),"")</x:f>
        <x:v>0.7692307692307693</x:v>
      </x:c>
      <x:c r="M644" s="10" t="str">
        <x:v>Завершённый короткий просмотр около 4 мин. Короткая история реального человека подходит для ежедневной привычки. Разные профессии и места расширяют взгляд на страну.</x:v>
      </x:c>
      <x:c r="N644" s="10" t="str">
        <x:v>Прослушать 2–5 минут, выписать 6 фраз и пересказать историю в 3 предложениях.</x:v>
      </x:c>
      <x:c r="O644" s="10" t="str">
        <x:v>Проверить содержание</x:v>
      </x:c>
      <x:c r="P644" s="10" t="str">
        <x:v>Самостоятельное видео</x:v>
      </x:c>
      <x:c r="Q644" s="9" t="str">
        <x:v>Нет</x:v>
      </x:c>
      <x:c r="R644" s="9" t="str">
        <x:v>C043</x:v>
      </x:c>
      <x:c r="S644" s="9" t="str">
        <x:v>C043</x:v>
      </x:c>
      <x:c r="T644" s="10" t="str">
        <x:v>כאן | דיגיטל - תאגיד השידור הישראלי</x:v>
      </x:c>
      <x:c r="U644" s="11" t="str">
        <x:v>https://www.youtube.com/watch?v=NxpjwstRE5w</x:v>
      </x:c>
      <x:c r="V644" s="16" t="n">
        <x:v>46308</x:v>
      </x:c>
      <x:c r="W644" s="16"/>
      <x:c r="X644" s="10" t="str">
        <x:v>Иврит предполагается по заголовку и источнику</x:v>
      </x:c>
      <x:c r="Y644" s="10" t="str">
        <x:v>Не проверено</x:v>
      </x:c>
      <x:c r="Z644" s="10" t="str">
        <x:v>Не проверено</x:v>
      </x:c>
      <x:c r="AA644" s="10" t="str">
        <x:v>Метаданные списка; видео не просмотрено</x:v>
      </x:c>
      <x:c r="AB644" s="13" t="str">
        <x:f>IF(AND(ISNUMBER(H644),ISNUMBER(W644)),H644/MAX(1,'Обзор'!$B$4-W644),"")</x:f>
      </x:c>
      <x:c r="AC644" s="17" t="str">
        <x:v>Не решено</x:v>
      </x:c>
      <x:c r="AD644" s="17" t="str">
        <x:v>Не проверено</x:v>
      </x:c>
      <x:c r="AE644" s="17" t="str">
        <x:v>Не проверено</x:v>
      </x:c>
      <x:c r="AF644" s="17" t="str">
        <x:v>Не проверено</x:v>
      </x:c>
      <x:c r="AG644" s="17" t="str">
        <x:v>Не решено</x:v>
      </x:c>
      <x:c r="AH644" s="17" t="str">
        <x:v>Не проверено</x:v>
      </x:c>
      <x:c r="AI644" s="10" t="str">
        <x:f>IF(AC644="Отклонить","Отклонено",IF(AND(AC644="Взять",COUNTIFS(AD644:AH644,"Да")=5),"Готово","Нужна редактура"))</x:f>
        <x:v>Нужна редактура</x:v>
      </x:c>
      <x:c r="AJ644" s="17" t="str"/>
      <x:c r="AK644" s="9" t="str">
        <x:v>https://www.youtube.com/playlist?list=PLXv9BeKApRvwx9zh3LqZl-UexiIKULA-7</x:v>
      </x:c>
      <x:c r="AL644" s="9" t="n">
        <x:v>56</x:v>
      </x:c>
      <x:c r="AM644" s="9"/>
      <x:c r="AN644" s="9"/>
    </x:row>
    <x:row r="645" ht="60" customHeight="1">
      <x:c r="A645" s="9" t="str">
        <x:v>9zxNvYZCd9E</x:v>
      </x:c>
      <x:c r="B645" s="10" t="str">
        <x:v>עירית פאוקר מניר עוז מארגנת מדי שבוע את העצרת להחזרת החטופים ומתמודדת עם "אשמת הניצול" | דוקותיים</x:v>
      </x:c>
      <x:c r="C645" s="10" t="str">
        <x:v>Люди и повседневность</x:v>
      </x:c>
      <x:c r="D645" s="9" t="str">
        <x:v>Быт</x:v>
      </x:c>
      <x:c r="E645" s="10" t="str">
        <x:v>Репатрианты; общество; занятые взрослые</x:v>
      </x:c>
      <x:c r="F645" s="10" t="str">
        <x:v>B1–B2 (гипотеза)</x:v>
      </x:c>
      <x:c r="G645" s="12" t="n">
        <x:v>5.8</x:v>
      </x:c>
      <x:c r="H645" s="14" t="n">
        <x:v>14000</x:v>
      </x:c>
      <x:c r="I645" s="15" t="str">
        <x:v>Округлённый счётчик в списке YouTube</x:v>
      </x:c>
      <x:c r="J645" s="14" t="n">
        <x:v>14000</x:v>
      </x:c>
      <x:c r="K645" s="14" t="n">
        <x:v>32500</x:v>
      </x:c>
      <x:c r="L645" s="12" t="n">
        <x:f>IF(COUNT(J645:K645)=2,IF(K645=0,"",J645/K645),"")</x:f>
        <x:v>0.4307692307692308</x:v>
      </x:c>
      <x:c r="M645" s="10" t="str">
        <x:v>Завершённый короткий просмотр около 6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45" s="10" t="str">
        <x:v>Прослушать 2–5 минут, выписать 6 фраз и пересказать историю в 3 предложениях.</x:v>
      </x:c>
      <x:c r="O645" s="10" t="str">
        <x:v>В заголовке есть чувствительная тема: предварительный просмотр и добровольный выбор. Проверить содержание</x:v>
      </x:c>
      <x:c r="P645" s="10" t="str">
        <x:v>Самостоятельное видео</x:v>
      </x:c>
      <x:c r="Q645" s="9" t="str">
        <x:v>Нет</x:v>
      </x:c>
      <x:c r="R645" s="9" t="str">
        <x:v>C043</x:v>
      </x:c>
      <x:c r="S645" s="9" t="str">
        <x:v>C043</x:v>
      </x:c>
      <x:c r="T645" s="10" t="str">
        <x:v>כאן | דיגיטל - תאגיד השידור הישראלי</x:v>
      </x:c>
      <x:c r="U645" s="11" t="str">
        <x:v>https://www.youtube.com/watch?v=9zxNvYZCd9E</x:v>
      </x:c>
      <x:c r="V645" s="16" t="n">
        <x:v>46308</x:v>
      </x:c>
      <x:c r="W645" s="16"/>
      <x:c r="X645" s="10" t="str">
        <x:v>Иврит предполагается по заголовку и источнику</x:v>
      </x:c>
      <x:c r="Y645" s="10" t="str">
        <x:v>Не проверено</x:v>
      </x:c>
      <x:c r="Z645" s="10" t="str">
        <x:v>Не проверено</x:v>
      </x:c>
      <x:c r="AA645" s="10" t="str">
        <x:v>Метаданные списка; видео не просмотрено</x:v>
      </x:c>
      <x:c r="AB645" s="13" t="str">
        <x:f>IF(AND(ISNUMBER(H645),ISNUMBER(W645)),H645/MAX(1,'Обзор'!$B$4-W645),"")</x:f>
      </x:c>
      <x:c r="AC645" s="17" t="str">
        <x:v>Не решено</x:v>
      </x:c>
      <x:c r="AD645" s="17" t="str">
        <x:v>Не проверено</x:v>
      </x:c>
      <x:c r="AE645" s="17" t="str">
        <x:v>Не проверено</x:v>
      </x:c>
      <x:c r="AF645" s="17" t="str">
        <x:v>Не проверено</x:v>
      </x:c>
      <x:c r="AG645" s="17" t="str">
        <x:v>Не решено</x:v>
      </x:c>
      <x:c r="AH645" s="17" t="str">
        <x:v>Не проверено</x:v>
      </x:c>
      <x:c r="AI645" s="10" t="str">
        <x:f>IF(AC645="Отклонить","Отклонено",IF(AND(AC645="Взять",COUNTIFS(AD645:AH645,"Да")=5),"Готово","Нужна редактура"))</x:f>
        <x:v>Нужна редактура</x:v>
      </x:c>
      <x:c r="AJ645" s="17" t="str"/>
      <x:c r="AK645" s="9" t="str">
        <x:v>https://www.youtube.com/playlist?list=PLXv9BeKApRvwx9zh3LqZl-UexiIKULA-7</x:v>
      </x:c>
      <x:c r="AL645" s="9" t="n">
        <x:v>57</x:v>
      </x:c>
      <x:c r="AM645" s="9"/>
      <x:c r="AN645" s="9"/>
    </x:row>
    <x:row r="646" ht="60" customHeight="1">
      <x:c r="A646" s="9" t="str">
        <x:v>Auf6nO1903o</x:v>
      </x:c>
      <x:c r="B646" s="10" t="str">
        <x:v>איך להתנהג עם חטופים שחוזרים | דוקותיים</x:v>
      </x:c>
      <x:c r="C646" s="10" t="str">
        <x:v>Люди и повседневность</x:v>
      </x:c>
      <x:c r="D646" s="9" t="str">
        <x:v>Быт</x:v>
      </x:c>
      <x:c r="E646" s="10" t="str">
        <x:v>Репатрианты; общество; занятые взрослые</x:v>
      </x:c>
      <x:c r="F646" s="10" t="str">
        <x:v>B1–B2 (гипотеза)</x:v>
      </x:c>
      <x:c r="G646" s="12" t="n">
        <x:v>1.7</x:v>
      </x:c>
      <x:c r="H646" s="14" t="n">
        <x:v>8700</x:v>
      </x:c>
      <x:c r="I646" s="15" t="str">
        <x:v>Округлённый счётчик в списке YouTube</x:v>
      </x:c>
      <x:c r="J646" s="14" t="n">
        <x:v>8700</x:v>
      </x:c>
      <x:c r="K646" s="14" t="n">
        <x:v>32500</x:v>
      </x:c>
      <x:c r="L646" s="12" t="n">
        <x:f>IF(COUNT(J646:K646)=2,IF(K646=0,"",J646/K646),"")</x:f>
        <x:v>0.2676923076923077</x:v>
      </x:c>
      <x:c r="M646" s="10" t="str">
        <x:v>Завершённый короткий просмотр около 2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46" s="10" t="str">
        <x:v>Прослушать 2–5 минут, выписать 6 фраз и пересказать историю в 3 предложениях.</x:v>
      </x:c>
      <x:c r="O646" s="10" t="str">
        <x:v>В заголовке есть чувствительная тема: предварительный просмотр и добровольный выбор. Проверить содержание</x:v>
      </x:c>
      <x:c r="P646" s="10" t="str">
        <x:v>Самостоятельное видео</x:v>
      </x:c>
      <x:c r="Q646" s="9" t="str">
        <x:v>Нет</x:v>
      </x:c>
      <x:c r="R646" s="9" t="str">
        <x:v>C043</x:v>
      </x:c>
      <x:c r="S646" s="9" t="str">
        <x:v>C043</x:v>
      </x:c>
      <x:c r="T646" s="10" t="str">
        <x:v>כאן | דיגיטל - תאגיד השידור הישראלי</x:v>
      </x:c>
      <x:c r="U646" s="11" t="str">
        <x:v>https://www.youtube.com/watch?v=Auf6nO1903o</x:v>
      </x:c>
      <x:c r="V646" s="16" t="n">
        <x:v>46308</x:v>
      </x:c>
      <x:c r="W646" s="16"/>
      <x:c r="X646" s="10" t="str">
        <x:v>Иврит предполагается по заголовку и источнику</x:v>
      </x:c>
      <x:c r="Y646" s="10" t="str">
        <x:v>Не проверено</x:v>
      </x:c>
      <x:c r="Z646" s="10" t="str">
        <x:v>Не проверено</x:v>
      </x:c>
      <x:c r="AA646" s="10" t="str">
        <x:v>Метаданные списка; видео не просмотрено</x:v>
      </x:c>
      <x:c r="AB646" s="13" t="str">
        <x:f>IF(AND(ISNUMBER(H646),ISNUMBER(W646)),H646/MAX(1,'Обзор'!$B$4-W646),"")</x:f>
      </x:c>
      <x:c r="AC646" s="17" t="str">
        <x:v>Не решено</x:v>
      </x:c>
      <x:c r="AD646" s="17" t="str">
        <x:v>Не проверено</x:v>
      </x:c>
      <x:c r="AE646" s="17" t="str">
        <x:v>Не проверено</x:v>
      </x:c>
      <x:c r="AF646" s="17" t="str">
        <x:v>Не проверено</x:v>
      </x:c>
      <x:c r="AG646" s="17" t="str">
        <x:v>Не решено</x:v>
      </x:c>
      <x:c r="AH646" s="17" t="str">
        <x:v>Не проверено</x:v>
      </x:c>
      <x:c r="AI646" s="10" t="str">
        <x:f>IF(AC646="Отклонить","Отклонено",IF(AND(AC646="Взять",COUNTIFS(AD646:AH646,"Да")=5),"Готово","Нужна редактура"))</x:f>
        <x:v>Нужна редактура</x:v>
      </x:c>
      <x:c r="AJ646" s="17" t="str"/>
      <x:c r="AK646" s="9" t="str">
        <x:v>https://www.youtube.com/playlist?list=PLXv9BeKApRvwx9zh3LqZl-UexiIKULA-7</x:v>
      </x:c>
      <x:c r="AL646" s="9" t="n">
        <x:v>58</x:v>
      </x:c>
      <x:c r="AM646" s="9"/>
      <x:c r="AN646" s="9"/>
    </x:row>
    <x:row r="647" ht="60" customHeight="1">
      <x:c r="A647" s="9" t="str">
        <x:v>qSLwYw-eluw</x:v>
      </x:c>
      <x:c r="B647" s="10" t="str">
        <x:v>פותחים ת'שריטה בכושר קרבי | דוקותיים</x:v>
      </x:c>
      <x:c r="C647" s="10" t="str">
        <x:v>Люди и повседневность</x:v>
      </x:c>
      <x:c r="D647" s="9" t="str">
        <x:v>Быт</x:v>
      </x:c>
      <x:c r="E647" s="10" t="str">
        <x:v>Репатрианты; общество; занятые взрослые</x:v>
      </x:c>
      <x:c r="F647" s="10" t="str">
        <x:v>B1–B2 (гипотеза)</x:v>
      </x:c>
      <x:c r="G647" s="12" t="n">
        <x:v>5.4</x:v>
      </x:c>
      <x:c r="H647" s="14" t="n">
        <x:v>58862</x:v>
      </x:c>
      <x:c r="I647" s="15" t="str">
        <x:v>Точный счётчик метаданных видео</x:v>
      </x:c>
      <x:c r="J647" s="14" t="n">
        <x:v>58000</x:v>
      </x:c>
      <x:c r="K647" s="14" t="n">
        <x:v>32500</x:v>
      </x:c>
      <x:c r="L647" s="12" t="n">
        <x:f>IF(COUNT(J647:K647)=2,IF(K647=0,"",J647/K647),"")</x:f>
        <x:v>1.7846153846153847</x:v>
      </x:c>
      <x:c r="M647" s="10" t="str">
        <x:v>Завершённый короткий просмотр около 5 мин. Просмотры в списке выше медианы выборки этого цикла в 1.78 раза. Короткая история реального человека подходит для ежедневной привычки. Разные профессии и места расширяют взгляд на страну.</x:v>
      </x:c>
      <x:c r="N647" s="10" t="str">
        <x:v>Прослушать 2–5 минут, выписать 6 фраз и пересказать историю в 3 предложениях.</x:v>
      </x:c>
      <x:c r="O647" s="10" t="str">
        <x:v>Проверить содержание</x:v>
      </x:c>
      <x:c r="P647" s="10" t="str">
        <x:v>Самостоятельное видео</x:v>
      </x:c>
      <x:c r="Q647" s="9" t="str">
        <x:v>Нет</x:v>
      </x:c>
      <x:c r="R647" s="9" t="str">
        <x:v>C043</x:v>
      </x:c>
      <x:c r="S647" s="9" t="str">
        <x:v>C043</x:v>
      </x:c>
      <x:c r="T647" s="10" t="str">
        <x:v>כאן | דיגיטל - תאגיד השידור הישראלי</x:v>
      </x:c>
      <x:c r="U647" s="11" t="str">
        <x:v>https://www.youtube.com/watch?v=qSLwYw-eluw</x:v>
      </x:c>
      <x:c r="V647" s="16" t="n">
        <x:v>46308</x:v>
      </x:c>
      <x:c r="W647" s="16" t="n">
        <x:v>45671</x:v>
      </x:c>
      <x:c r="X647" s="10" t="str">
        <x:v>Иврит предполагается по заголовку и источнику</x:v>
      </x:c>
      <x:c r="Y647" s="10" t="str">
        <x:v>Автоматическая дорожка HE по метаданным</x:v>
      </x:c>
      <x:c r="Z647" s="10" t="str">
        <x:v>Разрешено по метаданным</x:v>
      </x:c>
      <x:c r="AA647" s="10" t="str">
        <x:v>Метаданные видео; воспроизведение и содержание не проверены</x:v>
      </x:c>
      <x:c r="AB647" s="13" t="n">
        <x:f>IF(AND(ISNUMBER(H647),ISNUMBER(W647)),H647/MAX(1,'Обзор'!$B$4-W647),"")</x:f>
        <x:v>92.40502354788069</x:v>
      </x:c>
      <x:c r="AC647" s="17" t="str">
        <x:v>Не решено</x:v>
      </x:c>
      <x:c r="AD647" s="17" t="str">
        <x:v>Не проверено</x:v>
      </x:c>
      <x:c r="AE647" s="17" t="str">
        <x:v>Не проверено</x:v>
      </x:c>
      <x:c r="AF647" s="17" t="str">
        <x:v>Не проверено</x:v>
      </x:c>
      <x:c r="AG647" s="17" t="str">
        <x:v>Не решено</x:v>
      </x:c>
      <x:c r="AH647" s="17" t="str">
        <x:v>Не проверено</x:v>
      </x:c>
      <x:c r="AI647" s="10" t="str">
        <x:f>IF(AC647="Отклонить","Отклонено",IF(AND(AC647="Взять",COUNTIFS(AD647:AH647,"Да")=5),"Готово","Нужна редактура"))</x:f>
        <x:v>Нужна редактура</x:v>
      </x:c>
      <x:c r="AJ647" s="17" t="str"/>
      <x:c r="AK647" s="9" t="str">
        <x:v>https://www.youtube.com/playlist?list=PLXv9BeKApRvwx9zh3LqZl-UexiIKULA-7</x:v>
      </x:c>
      <x:c r="AL647" s="9" t="n">
        <x:v>59</x:v>
      </x:c>
      <x:c r="AM647" s="9"/>
      <x:c r="AN647" s="9" t="n">
        <x:v>0</x:v>
      </x:c>
    </x:row>
    <x:row r="648" ht="60" customHeight="1">
      <x:c r="A648" s="9" t="str">
        <x:v>51ayBJtzlCs</x:v>
      </x:c>
      <x:c r="B648" s="10" t="str">
        <x:v>דובר צה"ל בפרסית מאמין שח'מינאי הוציא עליו גזר דין מוות | דוקותיים</x:v>
      </x:c>
      <x:c r="C648" s="10" t="str">
        <x:v>Люди и повседневность</x:v>
      </x:c>
      <x:c r="D648" s="9" t="str">
        <x:v>Быт</x:v>
      </x:c>
      <x:c r="E648" s="10" t="str">
        <x:v>Репатрианты; общество; занятые взрослые</x:v>
      </x:c>
      <x:c r="F648" s="10" t="str">
        <x:v>B1–B2 (гипотеза)</x:v>
      </x:c>
      <x:c r="G648" s="12" t="n">
        <x:v>5</x:v>
      </x:c>
      <x:c r="H648" s="14" t="n">
        <x:v>41786</x:v>
      </x:c>
      <x:c r="I648" s="15" t="str">
        <x:v>Точный счётчик метаданных видео</x:v>
      </x:c>
      <x:c r="J648" s="14" t="n">
        <x:v>41000</x:v>
      </x:c>
      <x:c r="K648" s="14" t="n">
        <x:v>32500</x:v>
      </x:c>
      <x:c r="L648" s="12" t="n">
        <x:f>IF(COUNT(J648:K648)=2,IF(K648=0,"",J648/K648),"")</x:f>
        <x:v>1.2615384615384615</x:v>
      </x:c>
      <x:c r="M648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648" s="10" t="str">
        <x:v>Прослушать 2–5 минут, выписать 6 фраз и пересказать историю в 3 предложениях.</x:v>
      </x:c>
      <x:c r="O648" s="10" t="str">
        <x:v>Проверить содержание</x:v>
      </x:c>
      <x:c r="P648" s="10" t="str">
        <x:v>Самостоятельное видео</x:v>
      </x:c>
      <x:c r="Q648" s="9" t="str">
        <x:v>Нет</x:v>
      </x:c>
      <x:c r="R648" s="9" t="str">
        <x:v>C043</x:v>
      </x:c>
      <x:c r="S648" s="9" t="str">
        <x:v>C043</x:v>
      </x:c>
      <x:c r="T648" s="10" t="str">
        <x:v>כאן | דיגיטל - תאגיד השידור הישראלי</x:v>
      </x:c>
      <x:c r="U648" s="11" t="str">
        <x:v>https://www.youtube.com/watch?v=51ayBJtzlCs</x:v>
      </x:c>
      <x:c r="V648" s="16" t="n">
        <x:v>46308</x:v>
      </x:c>
      <x:c r="W648" s="16" t="n">
        <x:v>45636</x:v>
      </x:c>
      <x:c r="X648" s="10" t="str">
        <x:v>iw</x:v>
      </x:c>
      <x:c r="Y648" s="10" t="str">
        <x:v>Автоматическая дорожка HE по метаданным</x:v>
      </x:c>
      <x:c r="Z648" s="10" t="str">
        <x:v>Разрешено по метаданным</x:v>
      </x:c>
      <x:c r="AA648" s="10" t="str">
        <x:v>Метаданные видео; воспроизведение и содержание не проверены</x:v>
      </x:c>
      <x:c r="AB648" s="13" t="n">
        <x:f>IF(AND(ISNUMBER(H648),ISNUMBER(W648)),H648/MAX(1,'Обзор'!$B$4-W648),"")</x:f>
        <x:v>62.18154761904762</x:v>
      </x:c>
      <x:c r="AC648" s="17" t="str">
        <x:v>Не решено</x:v>
      </x:c>
      <x:c r="AD648" s="17" t="str">
        <x:v>Не проверено</x:v>
      </x:c>
      <x:c r="AE648" s="17" t="str">
        <x:v>Не проверено</x:v>
      </x:c>
      <x:c r="AF648" s="17" t="str">
        <x:v>Не проверено</x:v>
      </x:c>
      <x:c r="AG648" s="17" t="str">
        <x:v>Не решено</x:v>
      </x:c>
      <x:c r="AH648" s="17" t="str">
        <x:v>Не проверено</x:v>
      </x:c>
      <x:c r="AI648" s="10" t="str">
        <x:f>IF(AC648="Отклонить","Отклонено",IF(AND(AC648="Взять",COUNTIFS(AD648:AH648,"Да")=5),"Готово","Нужна редактура"))</x:f>
        <x:v>Нужна редактура</x:v>
      </x:c>
      <x:c r="AJ648" s="17" t="str"/>
      <x:c r="AK648" s="9" t="str">
        <x:v>https://www.youtube.com/playlist?list=PLXv9BeKApRvwx9zh3LqZl-UexiIKULA-7</x:v>
      </x:c>
      <x:c r="AL648" s="9" t="n">
        <x:v>61</x:v>
      </x:c>
      <x:c r="AM648" s="9"/>
      <x:c r="AN648" s="9" t="n">
        <x:v>0</x:v>
      </x:c>
    </x:row>
    <x:row r="649" ht="60" customHeight="1">
      <x:c r="A649" s="9" t="str">
        <x:v>sog03AOKRj4</x:v>
      </x:c>
      <x:c r="B649" s="10" t="str">
        <x:v>דוקותיים | איתי אשר נכנס עם הלוחמים לעזה</x:v>
      </x:c>
      <x:c r="C649" s="10" t="str">
        <x:v>Люди и повседневность</x:v>
      </x:c>
      <x:c r="D649" s="9" t="str">
        <x:v>Быт</x:v>
      </x:c>
      <x:c r="E649" s="10" t="str">
        <x:v>Репатрианты; общество; занятые взрослые</x:v>
      </x:c>
      <x:c r="F649" s="10" t="str">
        <x:v>B1–B2 (гипотеза)</x:v>
      </x:c>
      <x:c r="G649" s="12" t="n">
        <x:v>10.9</x:v>
      </x:c>
      <x:c r="H649" s="14" t="n">
        <x:v>89034</x:v>
      </x:c>
      <x:c r="I649" s="15" t="str">
        <x:v>Точный счётчик метаданных видео</x:v>
      </x:c>
      <x:c r="J649" s="14" t="n">
        <x:v>89000</x:v>
      </x:c>
      <x:c r="K649" s="14" t="n">
        <x:v>32500</x:v>
      </x:c>
      <x:c r="L649" s="12" t="n">
        <x:f>IF(COUNT(J649:K649)=2,IF(K649=0,"",J649/K649),"")</x:f>
        <x:v>2.7384615384615385</x:v>
      </x:c>
      <x:c r="M649" s="10" t="str">
        <x:v>Тема: דוקותיים | איתי אשר נכנס עם הלוחמים לעזה. Просмотры в списке выше медианы выборки этого цикла в 2.74 раза. Короткая история реального человека подходит для ежедневной привычки. Разные профессии и места расширяют взгляд на страну.</x:v>
      </x:c>
      <x:c r="N649" s="10" t="str">
        <x:v>Прослушать 2–5 минут, выписать 6 фраз и пересказать историю в 3 предложениях.</x:v>
      </x:c>
      <x:c r="O649" s="10" t="str">
        <x:v>Проверить содержание</x:v>
      </x:c>
      <x:c r="P649" s="10" t="str">
        <x:v>Самостоятельное видео</x:v>
      </x:c>
      <x:c r="Q649" s="9" t="str">
        <x:v>Нет</x:v>
      </x:c>
      <x:c r="R649" s="9" t="str">
        <x:v>C043</x:v>
      </x:c>
      <x:c r="S649" s="9" t="str">
        <x:v>C043</x:v>
      </x:c>
      <x:c r="T649" s="10" t="str">
        <x:v>כאן | דיגיטל - תאגיד השידור הישראלי</x:v>
      </x:c>
      <x:c r="U649" s="11" t="str">
        <x:v>https://www.youtube.com/watch?v=sog03AOKRj4</x:v>
      </x:c>
      <x:c r="V649" s="16" t="n">
        <x:v>46308</x:v>
      </x:c>
      <x:c r="W649" s="16" t="n">
        <x:v>45629</x:v>
      </x:c>
      <x:c r="X649" s="10" t="str">
        <x:v>Иврит предполагается по заголовку и источнику</x:v>
      </x:c>
      <x:c r="Y649" s="10" t="str">
        <x:v>Автоматическая дорожка HE по метаданным</x:v>
      </x:c>
      <x:c r="Z649" s="10" t="str">
        <x:v>Разрешено по метаданным</x:v>
      </x:c>
      <x:c r="AA649" s="10" t="str">
        <x:v>Метаданные видео; воспроизведение и содержание не проверены</x:v>
      </x:c>
      <x:c r="AB649" s="13" t="n">
        <x:f>IF(AND(ISNUMBER(H649),ISNUMBER(W649)),H649/MAX(1,'Обзор'!$B$4-W649),"")</x:f>
        <x:v>131.12518409425627</x:v>
      </x:c>
      <x:c r="AC649" s="17" t="str">
        <x:v>Не решено</x:v>
      </x:c>
      <x:c r="AD649" s="17" t="str">
        <x:v>Не проверено</x:v>
      </x:c>
      <x:c r="AE649" s="17" t="str">
        <x:v>Не проверено</x:v>
      </x:c>
      <x:c r="AF649" s="17" t="str">
        <x:v>Не проверено</x:v>
      </x:c>
      <x:c r="AG649" s="17" t="str">
        <x:v>Не решено</x:v>
      </x:c>
      <x:c r="AH649" s="17" t="str">
        <x:v>Не проверено</x:v>
      </x:c>
      <x:c r="AI649" s="10" t="str">
        <x:f>IF(AC649="Отклонить","Отклонено",IF(AND(AC649="Взять",COUNTIFS(AD649:AH649,"Да")=5),"Готово","Нужна редактура"))</x:f>
        <x:v>Нужна редактура</x:v>
      </x:c>
      <x:c r="AJ649" s="17" t="str"/>
      <x:c r="AK649" s="9" t="str">
        <x:v>https://www.youtube.com/playlist?list=PLXv9BeKApRvwx9zh3LqZl-UexiIKULA-7</x:v>
      </x:c>
      <x:c r="AL649" s="9" t="n">
        <x:v>62</x:v>
      </x:c>
      <x:c r="AM649" s="9"/>
      <x:c r="AN649" s="9" t="n">
        <x:v>0</x:v>
      </x:c>
    </x:row>
    <x:row r="650" ht="60" customHeight="1">
      <x:c r="A650" s="9" t="str">
        <x:v>ayFQEPoiDXo</x:v>
      </x:c>
      <x:c r="B650" s="10" t="str">
        <x:v>איבדה כבר 7 קילו: רוני שובתת רעב למען החטופים</x:v>
      </x:c>
      <x:c r="C650" s="10" t="str">
        <x:v>Люди и повседневность</x:v>
      </x:c>
      <x:c r="D650" s="9" t="str">
        <x:v>Быт</x:v>
      </x:c>
      <x:c r="E650" s="10" t="str">
        <x:v>Репатрианты; общество; занятые взрослые</x:v>
      </x:c>
      <x:c r="F650" s="10" t="str">
        <x:v>B1–B2 (гипотеза)</x:v>
      </x:c>
      <x:c r="G650" s="12" t="n">
        <x:v>5.9</x:v>
      </x:c>
      <x:c r="H650" s="14" t="n">
        <x:v>8100</x:v>
      </x:c>
      <x:c r="I650" s="15" t="str">
        <x:v>Округлённый счётчик в списке YouTube</x:v>
      </x:c>
      <x:c r="J650" s="14" t="n">
        <x:v>8100</x:v>
      </x:c>
      <x:c r="K650" s="14" t="n">
        <x:v>32500</x:v>
      </x:c>
      <x:c r="L650" s="12" t="n">
        <x:f>IF(COUNT(J650:K650)=2,IF(K650=0,"",J650/K650),"")</x:f>
        <x:v>0.24923076923076923</x:v>
      </x:c>
      <x:c r="M650" s="10" t="str">
        <x:v>Завершённый короткий просмотр около 6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50" s="10" t="str">
        <x:v>Прослушать 2–5 минут, выписать 6 фраз и пересказать историю в 3 предложениях.</x:v>
      </x:c>
      <x:c r="O650" s="10" t="str">
        <x:v>В заголовке есть чувствительная тема: предварительный просмотр и добровольный выбор. Проверить содержание</x:v>
      </x:c>
      <x:c r="P650" s="10" t="str">
        <x:v>Самостоятельное видео</x:v>
      </x:c>
      <x:c r="Q650" s="9" t="str">
        <x:v>Нет</x:v>
      </x:c>
      <x:c r="R650" s="9" t="str">
        <x:v>C043</x:v>
      </x:c>
      <x:c r="S650" s="9" t="str">
        <x:v>C043</x:v>
      </x:c>
      <x:c r="T650" s="10" t="str">
        <x:v>כאן | דיגיטל - תאגיד השידור הישראלי</x:v>
      </x:c>
      <x:c r="U650" s="11" t="str">
        <x:v>https://www.youtube.com/watch?v=ayFQEPoiDXo</x:v>
      </x:c>
      <x:c r="V650" s="16" t="n">
        <x:v>46308</x:v>
      </x:c>
      <x:c r="W650" s="16"/>
      <x:c r="X650" s="10" t="str">
        <x:v>Иврит предполагается по заголовку и источнику</x:v>
      </x:c>
      <x:c r="Y650" s="10" t="str">
        <x:v>Не проверено</x:v>
      </x:c>
      <x:c r="Z650" s="10" t="str">
        <x:v>Не проверено</x:v>
      </x:c>
      <x:c r="AA650" s="10" t="str">
        <x:v>Метаданные списка; видео не просмотрено</x:v>
      </x:c>
      <x:c r="AB650" s="13" t="str">
        <x:f>IF(AND(ISNUMBER(H650),ISNUMBER(W650)),H650/MAX(1,'Обзор'!$B$4-W650),"")</x:f>
      </x:c>
      <x:c r="AC650" s="17" t="str">
        <x:v>Не решено</x:v>
      </x:c>
      <x:c r="AD650" s="17" t="str">
        <x:v>Не проверено</x:v>
      </x:c>
      <x:c r="AE650" s="17" t="str">
        <x:v>Не проверено</x:v>
      </x:c>
      <x:c r="AF650" s="17" t="str">
        <x:v>Не проверено</x:v>
      </x:c>
      <x:c r="AG650" s="17" t="str">
        <x:v>Не решено</x:v>
      </x:c>
      <x:c r="AH650" s="17" t="str">
        <x:v>Не проверено</x:v>
      </x:c>
      <x:c r="AI650" s="10" t="str">
        <x:f>IF(AC650="Отклонить","Отклонено",IF(AND(AC650="Взять",COUNTIFS(AD650:AH650,"Да")=5),"Готово","Нужна редактура"))</x:f>
        <x:v>Нужна редактура</x:v>
      </x:c>
      <x:c r="AJ650" s="17" t="str"/>
      <x:c r="AK650" s="9" t="str">
        <x:v>https://www.youtube.com/playlist?list=PLXv9BeKApRvwx9zh3LqZl-UexiIKULA-7</x:v>
      </x:c>
      <x:c r="AL650" s="9" t="n">
        <x:v>63</x:v>
      </x:c>
      <x:c r="AM650" s="9"/>
      <x:c r="AN650" s="9"/>
    </x:row>
    <x:row r="651" ht="60" customHeight="1">
      <x:c r="A651" s="9" t="str">
        <x:v>hdJeLswDP7U</x:v>
      </x:c>
      <x:c r="B651" s="10" t="str">
        <x:v>"נבואת עזה" של הפרופסור</x:v>
      </x:c>
      <x:c r="C651" s="10" t="str">
        <x:v>Люди и повседневность</x:v>
      </x:c>
      <x:c r="D651" s="9" t="str">
        <x:v>Быт</x:v>
      </x:c>
      <x:c r="E651" s="10" t="str">
        <x:v>Репатрианты; общество; занятые взрослые</x:v>
      </x:c>
      <x:c r="F651" s="10" t="str">
        <x:v>B1–B2 (гипотеза)</x:v>
      </x:c>
      <x:c r="G651" s="12" t="n">
        <x:v>6.3</x:v>
      </x:c>
      <x:c r="H651" s="14" t="n">
        <x:v>37813</x:v>
      </x:c>
      <x:c r="I651" s="15" t="str">
        <x:v>Точный счётчик метаданных видео</x:v>
      </x:c>
      <x:c r="J651" s="14" t="n">
        <x:v>37000</x:v>
      </x:c>
      <x:c r="K651" s="14" t="n">
        <x:v>32500</x:v>
      </x:c>
      <x:c r="L651" s="12" t="n">
        <x:f>IF(COUNT(J651:K651)=2,IF(K651=0,"",J651/K651),"")</x:f>
        <x:v>1.1384615384615384</x:v>
      </x:c>
      <x:c r="M651" s="10" t="str">
        <x:v>Завершённый короткий просмотр около 6 мин. Короткая история реального человека подходит для ежедневной привычки. Разные профессии и места расширяют взгляд на страну.</x:v>
      </x:c>
      <x:c r="N651" s="10" t="str">
        <x:v>Прослушать 2–5 минут, выписать 6 фраз и пересказать историю в 3 предложениях.</x:v>
      </x:c>
      <x:c r="O651" s="10" t="str">
        <x:v>Проверить содержание</x:v>
      </x:c>
      <x:c r="P651" s="10" t="str">
        <x:v>Самостоятельное видео</x:v>
      </x:c>
      <x:c r="Q651" s="9" t="str">
        <x:v>Нет</x:v>
      </x:c>
      <x:c r="R651" s="9" t="str">
        <x:v>C043</x:v>
      </x:c>
      <x:c r="S651" s="9" t="str">
        <x:v>C043</x:v>
      </x:c>
      <x:c r="T651" s="10" t="str">
        <x:v>כאן | דיגיטל - תאגיד השידור הישראלי</x:v>
      </x:c>
      <x:c r="U651" s="11" t="str">
        <x:v>https://www.youtube.com/watch?v=hdJeLswDP7U</x:v>
      </x:c>
      <x:c r="V651" s="16" t="n">
        <x:v>46308</x:v>
      </x:c>
      <x:c r="W651" s="16" t="n">
        <x:v>45615</x:v>
      </x:c>
      <x:c r="X651" s="10" t="str">
        <x:v>Иврит предполагается по заголовку и источнику</x:v>
      </x:c>
      <x:c r="Y651" s="10" t="str">
        <x:v>Автоматическая дорожка HE по метаданным</x:v>
      </x:c>
      <x:c r="Z651" s="10" t="str">
        <x:v>Разрешено по метаданным</x:v>
      </x:c>
      <x:c r="AA651" s="10" t="str">
        <x:v>Метаданные видео; воспроизведение и содержание не проверены</x:v>
      </x:c>
      <x:c r="AB651" s="13" t="n">
        <x:f>IF(AND(ISNUMBER(H651),ISNUMBER(W651)),H651/MAX(1,'Обзор'!$B$4-W651),"")</x:f>
        <x:v>54.56421356421357</x:v>
      </x:c>
      <x:c r="AC651" s="17" t="str">
        <x:v>Не решено</x:v>
      </x:c>
      <x:c r="AD651" s="17" t="str">
        <x:v>Не проверено</x:v>
      </x:c>
      <x:c r="AE651" s="17" t="str">
        <x:v>Не проверено</x:v>
      </x:c>
      <x:c r="AF651" s="17" t="str">
        <x:v>Не проверено</x:v>
      </x:c>
      <x:c r="AG651" s="17" t="str">
        <x:v>Не решено</x:v>
      </x:c>
      <x:c r="AH651" s="17" t="str">
        <x:v>Не проверено</x:v>
      </x:c>
      <x:c r="AI651" s="10" t="str">
        <x:f>IF(AC651="Отклонить","Отклонено",IF(AND(AC651="Взять",COUNTIFS(AD651:AH651,"Да")=5),"Готово","Нужна редактура"))</x:f>
        <x:v>Нужна редактура</x:v>
      </x:c>
      <x:c r="AJ651" s="17" t="str"/>
      <x:c r="AK651" s="9" t="str">
        <x:v>https://www.youtube.com/playlist?list=PLXv9BeKApRvwx9zh3LqZl-UexiIKULA-7</x:v>
      </x:c>
      <x:c r="AL651" s="9" t="n">
        <x:v>64</x:v>
      </x:c>
      <x:c r="AM651" s="9"/>
      <x:c r="AN651" s="9" t="n">
        <x:v>0</x:v>
      </x:c>
    </x:row>
    <x:row r="652" ht="60" customHeight="1">
      <x:c r="A652" s="9" t="str">
        <x:v>Qw-kcsiyuMs</x:v>
      </x:c>
      <x:c r="B652" s="10" t="str">
        <x:v>"הדוס על הבמה ולא מפריע לו ערומים ערומות" | דוקותיים עם די ג'יי חרדי</x:v>
      </x:c>
      <x:c r="C652" s="10" t="str">
        <x:v>Люди и повседневность</x:v>
      </x:c>
      <x:c r="D652" s="9" t="str">
        <x:v>Быт</x:v>
      </x:c>
      <x:c r="E652" s="10" t="str">
        <x:v>Репатрианты; общество; занятые взрослые</x:v>
      </x:c>
      <x:c r="F652" s="10" t="str">
        <x:v>B1–B2 (гипотеза)</x:v>
      </x:c>
      <x:c r="G652" s="12" t="n">
        <x:v>6.8</x:v>
      </x:c>
      <x:c r="H652" s="14" t="n">
        <x:v>130952</x:v>
      </x:c>
      <x:c r="I652" s="15" t="str">
        <x:v>Точный счётчик метаданных видео</x:v>
      </x:c>
      <x:c r="J652" s="14" t="n">
        <x:v>130000</x:v>
      </x:c>
      <x:c r="K652" s="14" t="n">
        <x:v>32500</x:v>
      </x:c>
      <x:c r="L652" s="12" t="n">
        <x:f>IF(COUNT(J652:K652)=2,IF(K652=0,"",J652/K652),"")</x:f>
        <x:v>4</x:v>
      </x:c>
      <x:c r="M652" s="10" t="str">
        <x:v>Завершённый короткий просмотр около 7 мин. Просмотры в списке выше медианы выборки этого цикла в 4.0 раза. Короткая история реального человека подходит для ежедневной привычки. Разные профессии и места расширяют взгляд на страну.</x:v>
      </x:c>
      <x:c r="N652" s="10" t="str">
        <x:v>Прослушать 2–5 минут, выписать 6 фраз и пересказать историю в 3 предложениях.</x:v>
      </x:c>
      <x:c r="O652" s="10" t="str">
        <x:v>Проверить содержание</x:v>
      </x:c>
      <x:c r="P652" s="10" t="str">
        <x:v>Самостоятельное видео</x:v>
      </x:c>
      <x:c r="Q652" s="9" t="str">
        <x:v>Нет</x:v>
      </x:c>
      <x:c r="R652" s="9" t="str">
        <x:v>C043</x:v>
      </x:c>
      <x:c r="S652" s="9" t="str">
        <x:v>C043</x:v>
      </x:c>
      <x:c r="T652" s="10" t="str">
        <x:v>כאן | דיגיטל - תאגיד השידור הישראלי</x:v>
      </x:c>
      <x:c r="U652" s="11" t="str">
        <x:v>https://www.youtube.com/watch?v=Qw-kcsiyuMs</x:v>
      </x:c>
      <x:c r="V652" s="16" t="n">
        <x:v>46308</x:v>
      </x:c>
      <x:c r="W652" s="16" t="n">
        <x:v>45608</x:v>
      </x:c>
      <x:c r="X652" s="10" t="str">
        <x:v>Иврит предполагается по заголовку и источнику</x:v>
      </x:c>
      <x:c r="Y652" s="10" t="str">
        <x:v>Автоматическая дорожка HE по метаданным</x:v>
      </x:c>
      <x:c r="Z652" s="10" t="str">
        <x:v>Разрешено по метаданным</x:v>
      </x:c>
      <x:c r="AA652" s="10" t="str">
        <x:v>Метаданные видео; воспроизведение и содержание не проверены</x:v>
      </x:c>
      <x:c r="AB652" s="13" t="n">
        <x:f>IF(AND(ISNUMBER(H652),ISNUMBER(W652)),H652/MAX(1,'Обзор'!$B$4-W652),"")</x:f>
        <x:v>187.0742857142857</x:v>
      </x:c>
      <x:c r="AC652" s="17" t="str">
        <x:v>Не решено</x:v>
      </x:c>
      <x:c r="AD652" s="17" t="str">
        <x:v>Не проверено</x:v>
      </x:c>
      <x:c r="AE652" s="17" t="str">
        <x:v>Не проверено</x:v>
      </x:c>
      <x:c r="AF652" s="17" t="str">
        <x:v>Не проверено</x:v>
      </x:c>
      <x:c r="AG652" s="17" t="str">
        <x:v>Не решено</x:v>
      </x:c>
      <x:c r="AH652" s="17" t="str">
        <x:v>Не проверено</x:v>
      </x:c>
      <x:c r="AI652" s="10" t="str">
        <x:f>IF(AC652="Отклонить","Отклонено",IF(AND(AC652="Взять",COUNTIFS(AD652:AH652,"Да")=5),"Готово","Нужна редактура"))</x:f>
        <x:v>Нужна редактура</x:v>
      </x:c>
      <x:c r="AJ652" s="17" t="str"/>
      <x:c r="AK652" s="9" t="str">
        <x:v>https://www.youtube.com/playlist?list=PLXv9BeKApRvwx9zh3LqZl-UexiIKULA-7</x:v>
      </x:c>
      <x:c r="AL652" s="9" t="n">
        <x:v>65</x:v>
      </x:c>
      <x:c r="AM652" s="9"/>
      <x:c r="AN652" s="9" t="n">
        <x:v>0</x:v>
      </x:c>
    </x:row>
    <x:row r="653" ht="60" customHeight="1">
      <x:c r="A653" s="9" t="str">
        <x:v>NGzBplPXMS4</x:v>
      </x:c>
      <x:c r="B653" s="10" t="str">
        <x:v>דוקותיים: חדר לידה תחת אש</x:v>
      </x:c>
      <x:c r="C653" s="10" t="str">
        <x:v>Люди и повседневность</x:v>
      </x:c>
      <x:c r="D653" s="9" t="str">
        <x:v>Быт</x:v>
      </x:c>
      <x:c r="E653" s="10" t="str">
        <x:v>Репатрианты; общество; занятые взрослые</x:v>
      </x:c>
      <x:c r="F653" s="10" t="str">
        <x:v>B1–B2 (гипотеза)</x:v>
      </x:c>
      <x:c r="G653" s="12" t="n">
        <x:v>5.7</x:v>
      </x:c>
      <x:c r="H653" s="14" t="n">
        <x:v>32000</x:v>
      </x:c>
      <x:c r="I653" s="15" t="str">
        <x:v>Округлённый счётчик в списке YouTube</x:v>
      </x:c>
      <x:c r="J653" s="14" t="n">
        <x:v>32000</x:v>
      </x:c>
      <x:c r="K653" s="14" t="n">
        <x:v>32500</x:v>
      </x:c>
      <x:c r="L653" s="12" t="n">
        <x:f>IF(COUNT(J653:K653)=2,IF(K653=0,"",J653/K653),"")</x:f>
        <x:v>0.9846153846153847</x:v>
      </x:c>
      <x:c r="M653" s="10" t="str">
        <x:v>Завершённый короткий просмотр около 6 мин. Короткая история реального человека подходит для ежедневной привычки. Разные профессии и места расширяют взгляд на страну.</x:v>
      </x:c>
      <x:c r="N653" s="10" t="str">
        <x:v>Прослушать 2–5 минут, выписать 6 фраз и пересказать историю в 3 предложениях.</x:v>
      </x:c>
      <x:c r="O653" s="10" t="str">
        <x:v>Проверить содержание</x:v>
      </x:c>
      <x:c r="P653" s="10" t="str">
        <x:v>Самостоятельное видео</x:v>
      </x:c>
      <x:c r="Q653" s="9" t="str">
        <x:v>Нет</x:v>
      </x:c>
      <x:c r="R653" s="9" t="str">
        <x:v>C043</x:v>
      </x:c>
      <x:c r="S653" s="9" t="str">
        <x:v>C043</x:v>
      </x:c>
      <x:c r="T653" s="10" t="str">
        <x:v>כאן | דיגיטל - תאגיד השידור הישראלי</x:v>
      </x:c>
      <x:c r="U653" s="11" t="str">
        <x:v>https://www.youtube.com/watch?v=NGzBplPXMS4</x:v>
      </x:c>
      <x:c r="V653" s="16" t="n">
        <x:v>46308</x:v>
      </x:c>
      <x:c r="W653" s="16"/>
      <x:c r="X653" s="10" t="str">
        <x:v>Иврит предполагается по заголовку и источнику</x:v>
      </x:c>
      <x:c r="Y653" s="10" t="str">
        <x:v>Не проверено</x:v>
      </x:c>
      <x:c r="Z653" s="10" t="str">
        <x:v>Не проверено</x:v>
      </x:c>
      <x:c r="AA653" s="10" t="str">
        <x:v>Метаданные списка; видео не просмотрено</x:v>
      </x:c>
      <x:c r="AB653" s="13" t="str">
        <x:f>IF(AND(ISNUMBER(H653),ISNUMBER(W653)),H653/MAX(1,'Обзор'!$B$4-W653),"")</x:f>
      </x:c>
      <x:c r="AC653" s="17" t="str">
        <x:v>Не решено</x:v>
      </x:c>
      <x:c r="AD653" s="17" t="str">
        <x:v>Не проверено</x:v>
      </x:c>
      <x:c r="AE653" s="17" t="str">
        <x:v>Не проверено</x:v>
      </x:c>
      <x:c r="AF653" s="17" t="str">
        <x:v>Не проверено</x:v>
      </x:c>
      <x:c r="AG653" s="17" t="str">
        <x:v>Не решено</x:v>
      </x:c>
      <x:c r="AH653" s="17" t="str">
        <x:v>Не проверено</x:v>
      </x:c>
      <x:c r="AI653" s="10" t="str">
        <x:f>IF(AC653="Отклонить","Отклонено",IF(AND(AC653="Взять",COUNTIFS(AD653:AH653,"Да")=5),"Готово","Нужна редактура"))</x:f>
        <x:v>Нужна редактура</x:v>
      </x:c>
      <x:c r="AJ653" s="17" t="str"/>
      <x:c r="AK653" s="9" t="str">
        <x:v>https://www.youtube.com/playlist?list=PLXv9BeKApRvwx9zh3LqZl-UexiIKULA-7</x:v>
      </x:c>
      <x:c r="AL653" s="9" t="n">
        <x:v>66</x:v>
      </x:c>
      <x:c r="AM653" s="9"/>
      <x:c r="AN653" s="9"/>
    </x:row>
    <x:row r="654" ht="60" customHeight="1">
      <x:c r="A654" s="9" t="str">
        <x:v>NypxaWP4Xfk</x:v>
      </x:c>
      <x:c r="B654" s="10" t="str">
        <x:v>דוקותיים: סבתא אסתר איבדה את שני הנכדים שלה ב-7 באוקטובר</x:v>
      </x:c>
      <x:c r="C654" s="10" t="str">
        <x:v>Люди и повседневность</x:v>
      </x:c>
      <x:c r="D654" s="9" t="str">
        <x:v>Быт</x:v>
      </x:c>
      <x:c r="E654" s="10" t="str">
        <x:v>Репатрианты; общество; занятые взрослые</x:v>
      </x:c>
      <x:c r="F654" s="10" t="str">
        <x:v>B1–B2 (гипотеза)</x:v>
      </x:c>
      <x:c r="G654" s="12" t="n">
        <x:v>5.2</x:v>
      </x:c>
      <x:c r="H654" s="14" t="n">
        <x:v>5700</x:v>
      </x:c>
      <x:c r="I654" s="15" t="str">
        <x:v>Округлённый счётчик в списке YouTube</x:v>
      </x:c>
      <x:c r="J654" s="14" t="n">
        <x:v>5700</x:v>
      </x:c>
      <x:c r="K654" s="14" t="n">
        <x:v>32500</x:v>
      </x:c>
      <x:c r="L654" s="12" t="n">
        <x:f>IF(COUNT(J654:K654)=2,IF(K654=0,"",J654/K654),"")</x:f>
        <x:v>0.1753846153846154</x:v>
      </x:c>
      <x:c r="M654" s="10" t="str">
        <x:v>Завершённый короткий просмотр около 5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54" s="10" t="str">
        <x:v>Прослушать 2–5 минут, выписать 6 фраз и пересказать историю в 3 предложениях.</x:v>
      </x:c>
      <x:c r="O654" s="10" t="str">
        <x:v>Проверить содержание</x:v>
      </x:c>
      <x:c r="P654" s="10" t="str">
        <x:v>Самостоятельное видео</x:v>
      </x:c>
      <x:c r="Q654" s="9" t="str">
        <x:v>Нет</x:v>
      </x:c>
      <x:c r="R654" s="9" t="str">
        <x:v>C043</x:v>
      </x:c>
      <x:c r="S654" s="9" t="str">
        <x:v>C043</x:v>
      </x:c>
      <x:c r="T654" s="10" t="str">
        <x:v>כאן | דיגיטל - תאגיד השידור הישראלי</x:v>
      </x:c>
      <x:c r="U654" s="11" t="str">
        <x:v>https://www.youtube.com/watch?v=NypxaWP4Xfk</x:v>
      </x:c>
      <x:c r="V654" s="16" t="n">
        <x:v>46308</x:v>
      </x:c>
      <x:c r="W654" s="16"/>
      <x:c r="X654" s="10" t="str">
        <x:v>Иврит предполагается по заголовку и источнику</x:v>
      </x:c>
      <x:c r="Y654" s="10" t="str">
        <x:v>Не проверено</x:v>
      </x:c>
      <x:c r="Z654" s="10" t="str">
        <x:v>Не проверено</x:v>
      </x:c>
      <x:c r="AA654" s="10" t="str">
        <x:v>Метаданные списка; видео не просмотрено</x:v>
      </x:c>
      <x:c r="AB654" s="13" t="str">
        <x:f>IF(AND(ISNUMBER(H654),ISNUMBER(W654)),H654/MAX(1,'Обзор'!$B$4-W654),"")</x:f>
      </x:c>
      <x:c r="AC654" s="17" t="str">
        <x:v>Не решено</x:v>
      </x:c>
      <x:c r="AD654" s="17" t="str">
        <x:v>Не проверено</x:v>
      </x:c>
      <x:c r="AE654" s="17" t="str">
        <x:v>Не проверено</x:v>
      </x:c>
      <x:c r="AF654" s="17" t="str">
        <x:v>Не проверено</x:v>
      </x:c>
      <x:c r="AG654" s="17" t="str">
        <x:v>Не решено</x:v>
      </x:c>
      <x:c r="AH654" s="17" t="str">
        <x:v>Не проверено</x:v>
      </x:c>
      <x:c r="AI654" s="10" t="str">
        <x:f>IF(AC654="Отклонить","Отклонено",IF(AND(AC654="Взять",COUNTIFS(AD654:AH654,"Да")=5),"Готово","Нужна редактура"))</x:f>
        <x:v>Нужна редактура</x:v>
      </x:c>
      <x:c r="AJ654" s="17" t="str"/>
      <x:c r="AK654" s="9" t="str">
        <x:v>https://www.youtube.com/playlist?list=PLXv9BeKApRvwx9zh3LqZl-UexiIKULA-7</x:v>
      </x:c>
      <x:c r="AL654" s="9" t="n">
        <x:v>67</x:v>
      </x:c>
      <x:c r="AM654" s="9"/>
      <x:c r="AN654" s="9"/>
    </x:row>
    <x:row r="655" ht="60" customHeight="1">
      <x:c r="A655" s="9" t="str">
        <x:v>raf9VGc6Bg8</x:v>
      </x:c>
      <x:c r="B655" s="10" t="str">
        <x:v>דוקותיים: נועה שומרת על ילדי הצפון</x:v>
      </x:c>
      <x:c r="C655" s="10" t="str">
        <x:v>Люди и повседневность</x:v>
      </x:c>
      <x:c r="D655" s="9" t="str">
        <x:v>Быт</x:v>
      </x:c>
      <x:c r="E655" s="10" t="str">
        <x:v>Репатрианты; общество; занятые взрослые</x:v>
      </x:c>
      <x:c r="F655" s="10" t="str">
        <x:v>B1–B2 (гипотеза)</x:v>
      </x:c>
      <x:c r="G655" s="12" t="n">
        <x:v>3.8</x:v>
      </x:c>
      <x:c r="H655" s="14" t="n">
        <x:v>9500</x:v>
      </x:c>
      <x:c r="I655" s="15" t="str">
        <x:v>Округлённый счётчик в списке YouTube</x:v>
      </x:c>
      <x:c r="J655" s="14" t="n">
        <x:v>9500</x:v>
      </x:c>
      <x:c r="K655" s="14" t="n">
        <x:v>32500</x:v>
      </x:c>
      <x:c r="L655" s="12" t="n">
        <x:f>IF(COUNT(J655:K655)=2,IF(K655=0,"",J655/K655),"")</x:f>
        <x:v>0.2923076923076923</x:v>
      </x:c>
      <x:c r="M655" s="10" t="str">
        <x:v>Завершённый короткий просмотр около 4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55" s="10" t="str">
        <x:v>Прослушать 2–5 минут, выписать 6 фраз и пересказать историю в 3 предложениях.</x:v>
      </x:c>
      <x:c r="O655" s="10" t="str">
        <x:v>Проверить содержание</x:v>
      </x:c>
      <x:c r="P655" s="10" t="str">
        <x:v>Самостоятельное видео</x:v>
      </x:c>
      <x:c r="Q655" s="9" t="str">
        <x:v>Нет</x:v>
      </x:c>
      <x:c r="R655" s="9" t="str">
        <x:v>C043</x:v>
      </x:c>
      <x:c r="S655" s="9" t="str">
        <x:v>C043</x:v>
      </x:c>
      <x:c r="T655" s="10" t="str">
        <x:v>כאן | דיגיטל - תאגיד השידור הישראלי</x:v>
      </x:c>
      <x:c r="U655" s="11" t="str">
        <x:v>https://www.youtube.com/watch?v=raf9VGc6Bg8</x:v>
      </x:c>
      <x:c r="V655" s="16" t="n">
        <x:v>46308</x:v>
      </x:c>
      <x:c r="W655" s="16"/>
      <x:c r="X655" s="10" t="str">
        <x:v>Иврит предполагается по заголовку и источнику</x:v>
      </x:c>
      <x:c r="Y655" s="10" t="str">
        <x:v>Не проверено</x:v>
      </x:c>
      <x:c r="Z655" s="10" t="str">
        <x:v>Не проверено</x:v>
      </x:c>
      <x:c r="AA655" s="10" t="str">
        <x:v>Метаданные списка; видео не просмотрено</x:v>
      </x:c>
      <x:c r="AB655" s="13" t="str">
        <x:f>IF(AND(ISNUMBER(H655),ISNUMBER(W655)),H655/MAX(1,'Обзор'!$B$4-W655),"")</x:f>
      </x:c>
      <x:c r="AC655" s="17" t="str">
        <x:v>Не решено</x:v>
      </x:c>
      <x:c r="AD655" s="17" t="str">
        <x:v>Не проверено</x:v>
      </x:c>
      <x:c r="AE655" s="17" t="str">
        <x:v>Не проверено</x:v>
      </x:c>
      <x:c r="AF655" s="17" t="str">
        <x:v>Не проверено</x:v>
      </x:c>
      <x:c r="AG655" s="17" t="str">
        <x:v>Не решено</x:v>
      </x:c>
      <x:c r="AH655" s="17" t="str">
        <x:v>Не проверено</x:v>
      </x:c>
      <x:c r="AI655" s="10" t="str">
        <x:f>IF(AC655="Отклонить","Отклонено",IF(AND(AC655="Взять",COUNTIFS(AD655:AH655,"Да")=5),"Готово","Нужна редактура"))</x:f>
        <x:v>Нужна редактура</x:v>
      </x:c>
      <x:c r="AJ655" s="17" t="str"/>
      <x:c r="AK655" s="9" t="str">
        <x:v>https://www.youtube.com/playlist?list=PLXv9BeKApRvwx9zh3LqZl-UexiIKULA-7</x:v>
      </x:c>
      <x:c r="AL655" s="9" t="n">
        <x:v>68</x:v>
      </x:c>
      <x:c r="AM655" s="9"/>
      <x:c r="AN655" s="9"/>
    </x:row>
    <x:row r="656" ht="60" customHeight="1">
      <x:c r="A656" s="9" t="str">
        <x:v>LQn2H_2zu64</x:v>
      </x:c>
      <x:c r="B656" s="10" t="str">
        <x:v>שלומי משקם את קיבוץ בארי וקובר מחדש את חבריו | דוקותיים</x:v>
      </x:c>
      <x:c r="C656" s="10" t="str">
        <x:v>Люди и повседневность</x:v>
      </x:c>
      <x:c r="D656" s="9" t="str">
        <x:v>Быт</x:v>
      </x:c>
      <x:c r="E656" s="10" t="str">
        <x:v>Репатрианты; общество; занятые взрослые</x:v>
      </x:c>
      <x:c r="F656" s="10" t="str">
        <x:v>B1–B2 (гипотеза)</x:v>
      </x:c>
      <x:c r="G656" s="12" t="n">
        <x:v>5.9</x:v>
      </x:c>
      <x:c r="H656" s="14" t="n">
        <x:v>26000</x:v>
      </x:c>
      <x:c r="I656" s="15" t="str">
        <x:v>Округлённый счётчик в списке YouTube</x:v>
      </x:c>
      <x:c r="J656" s="14" t="n">
        <x:v>26000</x:v>
      </x:c>
      <x:c r="K656" s="14" t="n">
        <x:v>32500</x:v>
      </x:c>
      <x:c r="L656" s="12" t="n">
        <x:f>IF(COUNT(J656:K656)=2,IF(K656=0,"",J656/K656),"")</x:f>
        <x:v>0.8</x:v>
      </x:c>
      <x:c r="M656" s="10" t="str">
        <x:v>Завершённый короткий просмотр около 6 мин. Короткая история реального человека подходит для ежедневной привычки. Разные профессии и места расширяют взгляд на страну.</x:v>
      </x:c>
      <x:c r="N656" s="10" t="str">
        <x:v>Прослушать 2–5 минут, выписать 6 фраз и пересказать историю в 3 предложениях.</x:v>
      </x:c>
      <x:c r="O656" s="10" t="str">
        <x:v>Проверить содержание</x:v>
      </x:c>
      <x:c r="P656" s="10" t="str">
        <x:v>Самостоятельное видео</x:v>
      </x:c>
      <x:c r="Q656" s="9" t="str">
        <x:v>Нет</x:v>
      </x:c>
      <x:c r="R656" s="9" t="str">
        <x:v>C043</x:v>
      </x:c>
      <x:c r="S656" s="9" t="str">
        <x:v>C043</x:v>
      </x:c>
      <x:c r="T656" s="10" t="str">
        <x:v>כאן | דיגיטל - תאגיד השידור הישראלי</x:v>
      </x:c>
      <x:c r="U656" s="11" t="str">
        <x:v>https://www.youtube.com/watch?v=LQn2H_2zu64</x:v>
      </x:c>
      <x:c r="V656" s="16" t="n">
        <x:v>46308</x:v>
      </x:c>
      <x:c r="W656" s="16"/>
      <x:c r="X656" s="10" t="str">
        <x:v>Иврит предполагается по заголовку и источнику</x:v>
      </x:c>
      <x:c r="Y656" s="10" t="str">
        <x:v>Не проверено</x:v>
      </x:c>
      <x:c r="Z656" s="10" t="str">
        <x:v>Не проверено</x:v>
      </x:c>
      <x:c r="AA656" s="10" t="str">
        <x:v>Метаданные списка; видео не просмотрено</x:v>
      </x:c>
      <x:c r="AB656" s="13" t="str">
        <x:f>IF(AND(ISNUMBER(H656),ISNUMBER(W656)),H656/MAX(1,'Обзор'!$B$4-W656),"")</x:f>
      </x:c>
      <x:c r="AC656" s="17" t="str">
        <x:v>Не решено</x:v>
      </x:c>
      <x:c r="AD656" s="17" t="str">
        <x:v>Не проверено</x:v>
      </x:c>
      <x:c r="AE656" s="17" t="str">
        <x:v>Не проверено</x:v>
      </x:c>
      <x:c r="AF656" s="17" t="str">
        <x:v>Не проверено</x:v>
      </x:c>
      <x:c r="AG656" s="17" t="str">
        <x:v>Не решено</x:v>
      </x:c>
      <x:c r="AH656" s="17" t="str">
        <x:v>Не проверено</x:v>
      </x:c>
      <x:c r="AI656" s="10" t="str">
        <x:f>IF(AC656="Отклонить","Отклонено",IF(AND(AC656="Взять",COUNTIFS(AD656:AH656,"Да")=5),"Готово","Нужна редактура"))</x:f>
        <x:v>Нужна редактура</x:v>
      </x:c>
      <x:c r="AJ656" s="17" t="str"/>
      <x:c r="AK656" s="9" t="str">
        <x:v>https://www.youtube.com/playlist?list=PLXv9BeKApRvwx9zh3LqZl-UexiIKULA-7</x:v>
      </x:c>
      <x:c r="AL656" s="9" t="n">
        <x:v>69</x:v>
      </x:c>
      <x:c r="AM656" s="9"/>
      <x:c r="AN656" s="9"/>
    </x:row>
    <x:row r="657" ht="60" customHeight="1">
      <x:c r="A657" s="9" t="str">
        <x:v>VSkkrvlpXnw</x:v>
      </x:c>
      <x:c r="B657" s="10" t="str">
        <x:v>דוקותיים: המשטרה נגד כפרים בדואים לא מוכרים בנגב</x:v>
      </x:c>
      <x:c r="C657" s="10" t="str">
        <x:v>Люди и повседневность</x:v>
      </x:c>
      <x:c r="D657" s="9" t="str">
        <x:v>Быт</x:v>
      </x:c>
      <x:c r="E657" s="10" t="str">
        <x:v>Репатрианты; общество; занятые взрослые</x:v>
      </x:c>
      <x:c r="F657" s="10" t="str">
        <x:v>B1–B2 (гипотеза)</x:v>
      </x:c>
      <x:c r="G657" s="12" t="n">
        <x:v>7.8</x:v>
      </x:c>
      <x:c r="H657" s="14" t="n">
        <x:v>29000</x:v>
      </x:c>
      <x:c r="I657" s="15" t="str">
        <x:v>Округлённый счётчик в списке YouTube</x:v>
      </x:c>
      <x:c r="J657" s="14" t="n">
        <x:v>29000</x:v>
      </x:c>
      <x:c r="K657" s="14" t="n">
        <x:v>32500</x:v>
      </x:c>
      <x:c r="L657" s="12" t="n">
        <x:f>IF(COUNT(J657:K657)=2,IF(K657=0,"",J657/K657),"")</x:f>
        <x:v>0.8923076923076924</x:v>
      </x:c>
      <x:c r="M657" s="10" t="str">
        <x:v>Завершённый короткий просмотр около 8 мин. Короткая история реального человека подходит для ежедневной привычки. Разные профессии и места расширяют взгляд на страну.</x:v>
      </x:c>
      <x:c r="N657" s="10" t="str">
        <x:v>Прослушать 2–5 минут, выписать 6 фраз и пересказать историю в 3 предложениях.</x:v>
      </x:c>
      <x:c r="O657" s="10" t="str">
        <x:v>Проверить содержание</x:v>
      </x:c>
      <x:c r="P657" s="10" t="str">
        <x:v>Самостоятельное видео</x:v>
      </x:c>
      <x:c r="Q657" s="9" t="str">
        <x:v>Нет</x:v>
      </x:c>
      <x:c r="R657" s="9" t="str">
        <x:v>C043</x:v>
      </x:c>
      <x:c r="S657" s="9" t="str">
        <x:v>C043</x:v>
      </x:c>
      <x:c r="T657" s="10" t="str">
        <x:v>כאן | דיגיטל - תאגיד השידור הישראלי</x:v>
      </x:c>
      <x:c r="U657" s="11" t="str">
        <x:v>https://www.youtube.com/watch?v=VSkkrvlpXnw</x:v>
      </x:c>
      <x:c r="V657" s="16" t="n">
        <x:v>46308</x:v>
      </x:c>
      <x:c r="W657" s="16"/>
      <x:c r="X657" s="10" t="str">
        <x:v>Иврит предполагается по заголовку и источнику</x:v>
      </x:c>
      <x:c r="Y657" s="10" t="str">
        <x:v>Не проверено</x:v>
      </x:c>
      <x:c r="Z657" s="10" t="str">
        <x:v>Не проверено</x:v>
      </x:c>
      <x:c r="AA657" s="10" t="str">
        <x:v>Метаданные списка; видео не просмотрено</x:v>
      </x:c>
      <x:c r="AB657" s="13" t="str">
        <x:f>IF(AND(ISNUMBER(H657),ISNUMBER(W657)),H657/MAX(1,'Обзор'!$B$4-W657),"")</x:f>
      </x:c>
      <x:c r="AC657" s="17" t="str">
        <x:v>Не решено</x:v>
      </x:c>
      <x:c r="AD657" s="17" t="str">
        <x:v>Не проверено</x:v>
      </x:c>
      <x:c r="AE657" s="17" t="str">
        <x:v>Не проверено</x:v>
      </x:c>
      <x:c r="AF657" s="17" t="str">
        <x:v>Не проверено</x:v>
      </x:c>
      <x:c r="AG657" s="17" t="str">
        <x:v>Не решено</x:v>
      </x:c>
      <x:c r="AH657" s="17" t="str">
        <x:v>Не проверено</x:v>
      </x:c>
      <x:c r="AI657" s="10" t="str">
        <x:f>IF(AC657="Отклонить","Отклонено",IF(AND(AC657="Взять",COUNTIFS(AD657:AH657,"Да")=5),"Готово","Нужна редактура"))</x:f>
        <x:v>Нужна редактура</x:v>
      </x:c>
      <x:c r="AJ657" s="17" t="str"/>
      <x:c r="AK657" s="9" t="str">
        <x:v>https://www.youtube.com/playlist?list=PLXv9BeKApRvwx9zh3LqZl-UexiIKULA-7</x:v>
      </x:c>
      <x:c r="AL657" s="9" t="n">
        <x:v>70</x:v>
      </x:c>
      <x:c r="AM657" s="9"/>
      <x:c r="AN657" s="9"/>
    </x:row>
    <x:row r="658" ht="60" customHeight="1">
      <x:c r="A658" s="9" t="str">
        <x:v>2TUPI8oEVAo</x:v>
      </x:c>
      <x:c r="B658" s="10" t="str">
        <x:v>"גברים אוהבים להראות את הצלקות, נשים רוצות להסתיר" | דוקותיים: מקעקעת רפואית</x:v>
      </x:c>
      <x:c r="C658" s="10" t="str">
        <x:v>Люди и повседневность</x:v>
      </x:c>
      <x:c r="D658" s="9" t="str">
        <x:v>Быт</x:v>
      </x:c>
      <x:c r="E658" s="10" t="str">
        <x:v>Репатрианты; общество; занятые взрослые</x:v>
      </x:c>
      <x:c r="F658" s="10" t="str">
        <x:v>B1–B2 (гипотеза)</x:v>
      </x:c>
      <x:c r="G658" s="12" t="n">
        <x:v>5.3</x:v>
      </x:c>
      <x:c r="H658" s="14" t="n">
        <x:v>35920</x:v>
      </x:c>
      <x:c r="I658" s="15" t="str">
        <x:v>Точный счётчик метаданных видео</x:v>
      </x:c>
      <x:c r="J658" s="14" t="n">
        <x:v>35000</x:v>
      </x:c>
      <x:c r="K658" s="14" t="n">
        <x:v>32500</x:v>
      </x:c>
      <x:c r="L658" s="12" t="n">
        <x:f>IF(COUNT(J658:K658)=2,IF(K658=0,"",J658/K658),"")</x:f>
        <x:v>1.0769230769230769</x:v>
      </x:c>
      <x:c r="M658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658" s="10" t="str">
        <x:v>Прослушать 2–5 минут, выписать 6 фраз и пересказать историю в 3 предложениях.</x:v>
      </x:c>
      <x:c r="O658" s="10" t="str">
        <x:v>Проверить содержание</x:v>
      </x:c>
      <x:c r="P658" s="10" t="str">
        <x:v>Самостоятельное видео</x:v>
      </x:c>
      <x:c r="Q658" s="9" t="str">
        <x:v>Нет</x:v>
      </x:c>
      <x:c r="R658" s="9" t="str">
        <x:v>C043</x:v>
      </x:c>
      <x:c r="S658" s="9" t="str">
        <x:v>C043</x:v>
      </x:c>
      <x:c r="T658" s="10" t="str">
        <x:v>כאן | דיגיטל - תאגיד השידור הישראלי</x:v>
      </x:c>
      <x:c r="U658" s="11" t="str">
        <x:v>https://www.youtube.com/watch?v=2TUPI8oEVAo</x:v>
      </x:c>
      <x:c r="V658" s="16" t="n">
        <x:v>46308</x:v>
      </x:c>
      <x:c r="W658" s="16" t="n">
        <x:v>45538</x:v>
      </x:c>
      <x:c r="X658" s="10" t="str">
        <x:v>Иврит предполагается по заголовку и источнику</x:v>
      </x:c>
      <x:c r="Y658" s="10" t="str">
        <x:v>Автоматическая дорожка HE по метаданным</x:v>
      </x:c>
      <x:c r="Z658" s="10" t="str">
        <x:v>Разрешено по метаданным</x:v>
      </x:c>
      <x:c r="AA658" s="10" t="str">
        <x:v>Метаданные видео; воспроизведение и содержание не проверены</x:v>
      </x:c>
      <x:c r="AB658" s="13" t="n">
        <x:f>IF(AND(ISNUMBER(H658),ISNUMBER(W658)),H658/MAX(1,'Обзор'!$B$4-W658),"")</x:f>
        <x:v>46.64935064935065</x:v>
      </x:c>
      <x:c r="AC658" s="17" t="str">
        <x:v>Не решено</x:v>
      </x:c>
      <x:c r="AD658" s="17" t="str">
        <x:v>Не проверено</x:v>
      </x:c>
      <x:c r="AE658" s="17" t="str">
        <x:v>Не проверено</x:v>
      </x:c>
      <x:c r="AF658" s="17" t="str">
        <x:v>Не проверено</x:v>
      </x:c>
      <x:c r="AG658" s="17" t="str">
        <x:v>Не решено</x:v>
      </x:c>
      <x:c r="AH658" s="17" t="str">
        <x:v>Не проверено</x:v>
      </x:c>
      <x:c r="AI658" s="10" t="str">
        <x:f>IF(AC658="Отклонить","Отклонено",IF(AND(AC658="Взять",COUNTIFS(AD658:AH658,"Да")=5),"Готово","Нужна редактура"))</x:f>
        <x:v>Нужна редактура</x:v>
      </x:c>
      <x:c r="AJ658" s="17" t="str"/>
      <x:c r="AK658" s="9" t="str">
        <x:v>https://www.youtube.com/playlist?list=PLXv9BeKApRvwx9zh3LqZl-UexiIKULA-7</x:v>
      </x:c>
      <x:c r="AL658" s="9" t="n">
        <x:v>71</x:v>
      </x:c>
      <x:c r="AM658" s="9"/>
      <x:c r="AN658" s="9" t="n">
        <x:v>0</x:v>
      </x:c>
    </x:row>
    <x:row r="659" ht="60" customHeight="1">
      <x:c r="A659" s="9" t="str">
        <x:v>r6of3OLgiGw</x:v>
      </x:c>
      <x:c r="B659" s="10" t="str">
        <x:v>טופאני בא מהודו כדי להחליף את הפועלים הפלסטינים: "ישראל יפה, כל האנשים מחייכים" | דוקותיים</x:v>
      </x:c>
      <x:c r="C659" s="10" t="str">
        <x:v>Люди и повседневность</x:v>
      </x:c>
      <x:c r="D659" s="9" t="str">
        <x:v>Быт</x:v>
      </x:c>
      <x:c r="E659" s="10" t="str">
        <x:v>Репатрианты; общество; занятые взрослые</x:v>
      </x:c>
      <x:c r="F659" s="10" t="str">
        <x:v>B1–B2 (гипотеза)</x:v>
      </x:c>
      <x:c r="G659" s="12" t="n">
        <x:v>5.1</x:v>
      </x:c>
      <x:c r="H659" s="14" t="n">
        <x:v>77224</x:v>
      </x:c>
      <x:c r="I659" s="15" t="str">
        <x:v>Точный счётчик метаданных видео</x:v>
      </x:c>
      <x:c r="J659" s="14" t="n">
        <x:v>77000</x:v>
      </x:c>
      <x:c r="K659" s="14" t="n">
        <x:v>32500</x:v>
      </x:c>
      <x:c r="L659" s="12" t="n">
        <x:f>IF(COUNT(J659:K659)=2,IF(K659=0,"",J659/K659),"")</x:f>
        <x:v>2.3692307692307693</x:v>
      </x:c>
      <x:c r="M659" s="10" t="str">
        <x:v>Завершённый короткий просмотр около 5 мин. Просмотры в списке выше медианы выборки этого цикла в 2.37 раза. Короткая история реального человека подходит для ежедневной привычки. Разные профессии и места расширяют взгляд на страну.</x:v>
      </x:c>
      <x:c r="N659" s="10" t="str">
        <x:v>Прослушать 2–5 минут, выписать 6 фраз и пересказать историю в 3 предложениях.</x:v>
      </x:c>
      <x:c r="O659" s="10" t="str">
        <x:v>Проверить содержание</x:v>
      </x:c>
      <x:c r="P659" s="10" t="str">
        <x:v>Самостоятельное видео</x:v>
      </x:c>
      <x:c r="Q659" s="9" t="str">
        <x:v>Нет</x:v>
      </x:c>
      <x:c r="R659" s="9" t="str">
        <x:v>C043</x:v>
      </x:c>
      <x:c r="S659" s="9" t="str">
        <x:v>C043</x:v>
      </x:c>
      <x:c r="T659" s="10" t="str">
        <x:v>כאן | דיגיטל - תאגיד השידור הישראלי</x:v>
      </x:c>
      <x:c r="U659" s="11" t="str">
        <x:v>https://www.youtube.com/watch?v=r6of3OLgiGw</x:v>
      </x:c>
      <x:c r="V659" s="16" t="n">
        <x:v>46308</x:v>
      </x:c>
      <x:c r="W659" s="16" t="n">
        <x:v>45524</x:v>
      </x:c>
      <x:c r="X659" s="10" t="str">
        <x:v>Иврит предполагается по заголовку и источнику</x:v>
      </x:c>
      <x:c r="Y659" s="10" t="str">
        <x:v>Ручная дорожка HE по метаданным</x:v>
      </x:c>
      <x:c r="Z659" s="10" t="str">
        <x:v>Разрешено по метаданным</x:v>
      </x:c>
      <x:c r="AA659" s="10" t="str">
        <x:v>Метаданные видео; воспроизведение и содержание не проверены</x:v>
      </x:c>
      <x:c r="AB659" s="13" t="n">
        <x:f>IF(AND(ISNUMBER(H659),ISNUMBER(W659)),H659/MAX(1,'Обзор'!$B$4-W659),"")</x:f>
        <x:v>98.5</x:v>
      </x:c>
      <x:c r="AC659" s="17" t="str">
        <x:v>Не решено</x:v>
      </x:c>
      <x:c r="AD659" s="17" t="str">
        <x:v>Не проверено</x:v>
      </x:c>
      <x:c r="AE659" s="17" t="str">
        <x:v>Не проверено</x:v>
      </x:c>
      <x:c r="AF659" s="17" t="str">
        <x:v>Не проверено</x:v>
      </x:c>
      <x:c r="AG659" s="17" t="str">
        <x:v>Не решено</x:v>
      </x:c>
      <x:c r="AH659" s="17" t="str">
        <x:v>Не проверено</x:v>
      </x:c>
      <x:c r="AI659" s="10" t="str">
        <x:f>IF(AC659="Отклонить","Отклонено",IF(AND(AC659="Взять",COUNTIFS(AD659:AH659,"Да")=5),"Готово","Нужна редактура"))</x:f>
        <x:v>Нужна редактура</x:v>
      </x:c>
      <x:c r="AJ659" s="17" t="str"/>
      <x:c r="AK659" s="9" t="str">
        <x:v>https://www.youtube.com/playlist?list=PLXv9BeKApRvwx9zh3LqZl-UexiIKULA-7</x:v>
      </x:c>
      <x:c r="AL659" s="9" t="n">
        <x:v>72</x:v>
      </x:c>
      <x:c r="AM659" s="9"/>
      <x:c r="AN659" s="9" t="n">
        <x:v>0</x:v>
      </x:c>
    </x:row>
    <x:row r="660" ht="60" customHeight="1">
      <x:c r="A660" s="9" t="str">
        <x:v>dOCsCfd_zvM</x:v>
      </x:c>
      <x:c r="B660" s="10" t="str">
        <x:v>משבילי הקיבוץ לדרום תל אביב: חברי קיבוץ רעים פתחו בית קפה בעיר הגדולה | דוקותיים</x:v>
      </x:c>
      <x:c r="C660" s="10" t="str">
        <x:v>Люди и повседневность</x:v>
      </x:c>
      <x:c r="D660" s="9" t="str">
        <x:v>Быт</x:v>
      </x:c>
      <x:c r="E660" s="10" t="str">
        <x:v>Репатрианты; общество; занятые взрослые</x:v>
      </x:c>
      <x:c r="F660" s="10" t="str">
        <x:v>B1–B2 (гипотеза)</x:v>
      </x:c>
      <x:c r="G660" s="12" t="n">
        <x:v>6.7</x:v>
      </x:c>
      <x:c r="H660" s="14" t="n">
        <x:v>40962</x:v>
      </x:c>
      <x:c r="I660" s="15" t="str">
        <x:v>Точный счётчик метаданных видео</x:v>
      </x:c>
      <x:c r="J660" s="14" t="n">
        <x:v>40000</x:v>
      </x:c>
      <x:c r="K660" s="14" t="n">
        <x:v>32500</x:v>
      </x:c>
      <x:c r="L660" s="12" t="n">
        <x:f>IF(COUNT(J660:K660)=2,IF(K660=0,"",J660/K660),"")</x:f>
        <x:v>1.2307692307692308</x:v>
      </x:c>
      <x:c r="M660" s="10" t="str">
        <x:v>Завершённый короткий просмотр около 7 мин. Короткая история реального человека подходит для ежедневной привычки. Разные профессии и места расширяют взгляд на страну.</x:v>
      </x:c>
      <x:c r="N660" s="10" t="str">
        <x:v>Прослушать 2–5 минут, выписать 6 фраз и пересказать историю в 3 предложениях.</x:v>
      </x:c>
      <x:c r="O660" s="10" t="str">
        <x:v>Проверить содержание</x:v>
      </x:c>
      <x:c r="P660" s="10" t="str">
        <x:v>Самостоятельное видео</x:v>
      </x:c>
      <x:c r="Q660" s="9" t="str">
        <x:v>Нет</x:v>
      </x:c>
      <x:c r="R660" s="9" t="str">
        <x:v>C043</x:v>
      </x:c>
      <x:c r="S660" s="9" t="str">
        <x:v>C043</x:v>
      </x:c>
      <x:c r="T660" s="10" t="str">
        <x:v>כאן | דיגיטל - תאגיד השידור הישראלי</x:v>
      </x:c>
      <x:c r="U660" s="11" t="str">
        <x:v>https://www.youtube.com/watch?v=dOCsCfd_zvM</x:v>
      </x:c>
      <x:c r="V660" s="16" t="n">
        <x:v>46308</x:v>
      </x:c>
      <x:c r="W660" s="16" t="n">
        <x:v>45510</x:v>
      </x:c>
      <x:c r="X660" s="10" t="str">
        <x:v>Иврит предполагается по заголовку и источнику</x:v>
      </x:c>
      <x:c r="Y660" s="10" t="str">
        <x:v>Автоматическая дорожка HE по метаданным</x:v>
      </x:c>
      <x:c r="Z660" s="10" t="str">
        <x:v>Разрешено по метаданным</x:v>
      </x:c>
      <x:c r="AA660" s="10" t="str">
        <x:v>Метаданные видео; воспроизведение и содержание не проверены</x:v>
      </x:c>
      <x:c r="AB660" s="13" t="n">
        <x:f>IF(AND(ISNUMBER(H660),ISNUMBER(W660)),H660/MAX(1,'Обзор'!$B$4-W660),"")</x:f>
        <x:v>51.330827067669176</x:v>
      </x:c>
      <x:c r="AC660" s="17" t="str">
        <x:v>Не решено</x:v>
      </x:c>
      <x:c r="AD660" s="17" t="str">
        <x:v>Не проверено</x:v>
      </x:c>
      <x:c r="AE660" s="17" t="str">
        <x:v>Не проверено</x:v>
      </x:c>
      <x:c r="AF660" s="17" t="str">
        <x:v>Не проверено</x:v>
      </x:c>
      <x:c r="AG660" s="17" t="str">
        <x:v>Не решено</x:v>
      </x:c>
      <x:c r="AH660" s="17" t="str">
        <x:v>Не проверено</x:v>
      </x:c>
      <x:c r="AI660" s="10" t="str">
        <x:f>IF(AC660="Отклонить","Отклонено",IF(AND(AC660="Взять",COUNTIFS(AD660:AH660,"Да")=5),"Готово","Нужна редактура"))</x:f>
        <x:v>Нужна редактура</x:v>
      </x:c>
      <x:c r="AJ660" s="17" t="str"/>
      <x:c r="AK660" s="9" t="str">
        <x:v>https://www.youtube.com/playlist?list=PLXv9BeKApRvwx9zh3LqZl-UexiIKULA-7</x:v>
      </x:c>
      <x:c r="AL660" s="9" t="n">
        <x:v>73</x:v>
      </x:c>
      <x:c r="AM660" s="9"/>
      <x:c r="AN660" s="9" t="n">
        <x:v>0</x:v>
      </x:c>
    </x:row>
    <x:row r="661" ht="60" customHeight="1">
      <x:c r="A661" s="9" t="str">
        <x:v>_TFQ3brtZXw</x:v>
      </x:c>
      <x:c r="B661" s="10" t="str">
        <x:v>לוחמי האש לא מוותרים על קרית שמונה | דוקותיים</x:v>
      </x:c>
      <x:c r="C661" s="10" t="str">
        <x:v>Люди и повседневность</x:v>
      </x:c>
      <x:c r="D661" s="9" t="str">
        <x:v>Быт</x:v>
      </x:c>
      <x:c r="E661" s="10" t="str">
        <x:v>Репатрианты; общество; занятые взрослые</x:v>
      </x:c>
      <x:c r="F661" s="10" t="str">
        <x:v>B1–B2 (гипотеза)</x:v>
      </x:c>
      <x:c r="G661" s="12" t="n">
        <x:v>7.7</x:v>
      </x:c>
      <x:c r="H661" s="14" t="n">
        <x:v>33578</x:v>
      </x:c>
      <x:c r="I661" s="15" t="str">
        <x:v>Точный счётчик метаданных видео</x:v>
      </x:c>
      <x:c r="J661" s="14" t="n">
        <x:v>33000</x:v>
      </x:c>
      <x:c r="K661" s="14" t="n">
        <x:v>32500</x:v>
      </x:c>
      <x:c r="L661" s="12" t="n">
        <x:f>IF(COUNT(J661:K661)=2,IF(K661=0,"",J661/K661),"")</x:f>
        <x:v>1.0153846153846153</x:v>
      </x:c>
      <x:c r="M661" s="10" t="str">
        <x:v>Завершённый короткий просмотр около 8 мин. Короткая история реального человека подходит для ежедневной привычки. Разные профессии и места расширяют взгляд на страну.</x:v>
      </x:c>
      <x:c r="N661" s="10" t="str">
        <x:v>Прослушать 2–5 минут, выписать 6 фраз и пересказать историю в 3 предложениях.</x:v>
      </x:c>
      <x:c r="O661" s="10" t="str">
        <x:v>Проверить содержание</x:v>
      </x:c>
      <x:c r="P661" s="10" t="str">
        <x:v>Самостоятельное видео</x:v>
      </x:c>
      <x:c r="Q661" s="9" t="str">
        <x:v>Нет</x:v>
      </x:c>
      <x:c r="R661" s="9" t="str">
        <x:v>C043</x:v>
      </x:c>
      <x:c r="S661" s="9" t="str">
        <x:v>C043</x:v>
      </x:c>
      <x:c r="T661" s="10" t="str">
        <x:v>כאן | דיגיטל - תאגיד השידור הישראלי</x:v>
      </x:c>
      <x:c r="U661" s="11" t="str">
        <x:v>https://www.youtube.com/watch?v=_TFQ3brtZXw</x:v>
      </x:c>
      <x:c r="V661" s="16" t="n">
        <x:v>46308</x:v>
      </x:c>
      <x:c r="W661" s="16" t="n">
        <x:v>45503</x:v>
      </x:c>
      <x:c r="X661" s="10" t="str">
        <x:v>Иврит предполагается по заголовку и источнику</x:v>
      </x:c>
      <x:c r="Y661" s="10" t="str">
        <x:v>Автоматическая дорожка HE по метаданным</x:v>
      </x:c>
      <x:c r="Z661" s="10" t="str">
        <x:v>Разрешено по метаданным</x:v>
      </x:c>
      <x:c r="AA661" s="10" t="str">
        <x:v>Метаданные видео; воспроизведение и содержание не проверены</x:v>
      </x:c>
      <x:c r="AB661" s="13" t="n">
        <x:f>IF(AND(ISNUMBER(H661),ISNUMBER(W661)),H661/MAX(1,'Обзор'!$B$4-W661),"")</x:f>
        <x:v>41.71180124223603</x:v>
      </x:c>
      <x:c r="AC661" s="17" t="str">
        <x:v>Не решено</x:v>
      </x:c>
      <x:c r="AD661" s="17" t="str">
        <x:v>Не проверено</x:v>
      </x:c>
      <x:c r="AE661" s="17" t="str">
        <x:v>Не проверено</x:v>
      </x:c>
      <x:c r="AF661" s="17" t="str">
        <x:v>Не проверено</x:v>
      </x:c>
      <x:c r="AG661" s="17" t="str">
        <x:v>Не решено</x:v>
      </x:c>
      <x:c r="AH661" s="17" t="str">
        <x:v>Не проверено</x:v>
      </x:c>
      <x:c r="AI661" s="10" t="str">
        <x:f>IF(AC661="Отклонить","Отклонено",IF(AND(AC661="Взять",COUNTIFS(AD661:AH661,"Да")=5),"Готово","Нужна редактура"))</x:f>
        <x:v>Нужна редактура</x:v>
      </x:c>
      <x:c r="AJ661" s="17" t="str"/>
      <x:c r="AK661" s="9" t="str">
        <x:v>https://www.youtube.com/playlist?list=PLXv9BeKApRvwx9zh3LqZl-UexiIKULA-7</x:v>
      </x:c>
      <x:c r="AL661" s="9" t="n">
        <x:v>74</x:v>
      </x:c>
      <x:c r="AM661" s="9"/>
      <x:c r="AN661" s="9" t="n">
        <x:v>0</x:v>
      </x:c>
    </x:row>
    <x:row r="662" ht="60" customHeight="1">
      <x:c r="A662" s="9" t="str">
        <x:v>JDOVHJjzWp4</x:v>
      </x:c>
      <x:c r="B662" s="10" t="str">
        <x:v>האריה השואג זועק את זעקת הצפון הנטוש | דוקותיים</x:v>
      </x:c>
      <x:c r="C662" s="10" t="str">
        <x:v>Люди и повседневность</x:v>
      </x:c>
      <x:c r="D662" s="9" t="str">
        <x:v>Быт</x:v>
      </x:c>
      <x:c r="E662" s="10" t="str">
        <x:v>Репатрианты; общество; занятые взрослые</x:v>
      </x:c>
      <x:c r="F662" s="10" t="str">
        <x:v>B1–B2 (гипотеза)</x:v>
      </x:c>
      <x:c r="G662" s="12" t="n">
        <x:v>6</x:v>
      </x:c>
      <x:c r="H662" s="14" t="n">
        <x:v>19000</x:v>
      </x:c>
      <x:c r="I662" s="15" t="str">
        <x:v>Округлённый счётчик в списке YouTube</x:v>
      </x:c>
      <x:c r="J662" s="14" t="n">
        <x:v>19000</x:v>
      </x:c>
      <x:c r="K662" s="14" t="n">
        <x:v>32500</x:v>
      </x:c>
      <x:c r="L662" s="12" t="n">
        <x:f>IF(COUNT(J662:K662)=2,IF(K662=0,"",J662/K662),"")</x:f>
        <x:v>0.5846153846153846</x:v>
      </x:c>
      <x:c r="M662" s="10" t="str">
        <x:v>Завершённый короткий просмотр около 6 мин. Короткая история реального человека подходит для ежедневной привычки. Разные профессии и места расширяют взгляд на страну.</x:v>
      </x:c>
      <x:c r="N662" s="10" t="str">
        <x:v>Прослушать 2–5 минут, выписать 6 фраз и пересказать историю в 3 предложениях.</x:v>
      </x:c>
      <x:c r="O662" s="10" t="str">
        <x:v>Проверить содержание</x:v>
      </x:c>
      <x:c r="P662" s="10" t="str">
        <x:v>Самостоятельное видео</x:v>
      </x:c>
      <x:c r="Q662" s="9" t="str">
        <x:v>Нет</x:v>
      </x:c>
      <x:c r="R662" s="9" t="str">
        <x:v>C043</x:v>
      </x:c>
      <x:c r="S662" s="9" t="str">
        <x:v>C043</x:v>
      </x:c>
      <x:c r="T662" s="10" t="str">
        <x:v>כאן | דיגיטל - תאגיד השידור הישראלי</x:v>
      </x:c>
      <x:c r="U662" s="11" t="str">
        <x:v>https://www.youtube.com/watch?v=JDOVHJjzWp4</x:v>
      </x:c>
      <x:c r="V662" s="16" t="n">
        <x:v>46308</x:v>
      </x:c>
      <x:c r="W662" s="16"/>
      <x:c r="X662" s="10" t="str">
        <x:v>Иврит предполагается по заголовку и источнику</x:v>
      </x:c>
      <x:c r="Y662" s="10" t="str">
        <x:v>Не проверено</x:v>
      </x:c>
      <x:c r="Z662" s="10" t="str">
        <x:v>Не проверено</x:v>
      </x:c>
      <x:c r="AA662" s="10" t="str">
        <x:v>Метаданные списка; видео не просмотрено</x:v>
      </x:c>
      <x:c r="AB662" s="13" t="str">
        <x:f>IF(AND(ISNUMBER(H662),ISNUMBER(W662)),H662/MAX(1,'Обзор'!$B$4-W662),"")</x:f>
      </x:c>
      <x:c r="AC662" s="17" t="str">
        <x:v>Не решено</x:v>
      </x:c>
      <x:c r="AD662" s="17" t="str">
        <x:v>Не проверено</x:v>
      </x:c>
      <x:c r="AE662" s="17" t="str">
        <x:v>Не проверено</x:v>
      </x:c>
      <x:c r="AF662" s="17" t="str">
        <x:v>Не проверено</x:v>
      </x:c>
      <x:c r="AG662" s="17" t="str">
        <x:v>Не решено</x:v>
      </x:c>
      <x:c r="AH662" s="17" t="str">
        <x:v>Не проверено</x:v>
      </x:c>
      <x:c r="AI662" s="10" t="str">
        <x:f>IF(AC662="Отклонить","Отклонено",IF(AND(AC662="Взять",COUNTIFS(AD662:AH662,"Да")=5),"Готово","Нужна редактура"))</x:f>
        <x:v>Нужна редактура</x:v>
      </x:c>
      <x:c r="AJ662" s="17" t="str"/>
      <x:c r="AK662" s="9" t="str">
        <x:v>https://www.youtube.com/playlist?list=PLXv9BeKApRvwx9zh3LqZl-UexiIKULA-7</x:v>
      </x:c>
      <x:c r="AL662" s="9" t="n">
        <x:v>75</x:v>
      </x:c>
      <x:c r="AM662" s="9"/>
      <x:c r="AN662" s="9"/>
    </x:row>
    <x:row r="663" ht="60" customHeight="1">
      <x:c r="A663" s="9" t="str">
        <x:v>bvitknnGl7g</x:v>
      </x:c>
      <x:c r="B663" s="10" t="str">
        <x:v>"מאז תחילת המלחמה יש יותר הומלסים ברחובות" | דוקותיים בבית תמחוי בתל אביב</x:v>
      </x:c>
      <x:c r="C663" s="10" t="str">
        <x:v>Люди и повседневность</x:v>
      </x:c>
      <x:c r="D663" s="9" t="str">
        <x:v>Быт</x:v>
      </x:c>
      <x:c r="E663" s="10" t="str">
        <x:v>Репатрианты; общество; занятые взрослые</x:v>
      </x:c>
      <x:c r="F663" s="10" t="str">
        <x:v>B1–B2 (гипотеза)</x:v>
      </x:c>
      <x:c r="G663" s="12" t="n">
        <x:v>7.9</x:v>
      </x:c>
      <x:c r="H663" s="14" t="n">
        <x:v>64699</x:v>
      </x:c>
      <x:c r="I663" s="15" t="str">
        <x:v>Точный счётчик метаданных видео</x:v>
      </x:c>
      <x:c r="J663" s="14" t="n">
        <x:v>64000</x:v>
      </x:c>
      <x:c r="K663" s="14" t="n">
        <x:v>32500</x:v>
      </x:c>
      <x:c r="L663" s="12" t="n">
        <x:f>IF(COUNT(J663:K663)=2,IF(K663=0,"",J663/K663),"")</x:f>
        <x:v>1.9692307692307693</x:v>
      </x:c>
      <x:c r="M663" s="10" t="str">
        <x:v>Завершённый короткий просмотр около 8 мин. Просмотры в списке выше медианы выборки этого цикла в 1.97 раза. Короткая история реального человека подходит для ежедневной привычки. Разные профессии и места расширяют взгляд на страну.</x:v>
      </x:c>
      <x:c r="N663" s="10" t="str">
        <x:v>Прослушать 2–5 минут, выписать 6 фраз и пересказать историю в 3 предложениях.</x:v>
      </x:c>
      <x:c r="O663" s="10" t="str">
        <x:v>Проверить содержание</x:v>
      </x:c>
      <x:c r="P663" s="10" t="str">
        <x:v>Самостоятельное видео</x:v>
      </x:c>
      <x:c r="Q663" s="9" t="str">
        <x:v>Нет</x:v>
      </x:c>
      <x:c r="R663" s="9" t="str">
        <x:v>C043</x:v>
      </x:c>
      <x:c r="S663" s="9" t="str">
        <x:v>C043</x:v>
      </x:c>
      <x:c r="T663" s="10" t="str">
        <x:v>כאן | דיגיטל - תאגיד השידור הישראלי</x:v>
      </x:c>
      <x:c r="U663" s="11" t="str">
        <x:v>https://www.youtube.com/watch?v=bvitknnGl7g</x:v>
      </x:c>
      <x:c r="V663" s="16" t="n">
        <x:v>46308</x:v>
      </x:c>
      <x:c r="W663" s="16" t="n">
        <x:v>45489</x:v>
      </x:c>
      <x:c r="X663" s="10" t="str">
        <x:v>Иврит предполагается по заголовку и источнику</x:v>
      </x:c>
      <x:c r="Y663" s="10" t="str">
        <x:v>Автоматическая дорожка HE по метаданным</x:v>
      </x:c>
      <x:c r="Z663" s="10" t="str">
        <x:v>Разрешено по метаданным</x:v>
      </x:c>
      <x:c r="AA663" s="10" t="str">
        <x:v>Метаданные видео; воспроизведение и содержание не проверены</x:v>
      </x:c>
      <x:c r="AB663" s="13" t="n">
        <x:f>IF(AND(ISNUMBER(H663),ISNUMBER(W663)),H663/MAX(1,'Обзор'!$B$4-W663),"")</x:f>
        <x:v>78.99755799755799</x:v>
      </x:c>
      <x:c r="AC663" s="17" t="str">
        <x:v>Не решено</x:v>
      </x:c>
      <x:c r="AD663" s="17" t="str">
        <x:v>Не проверено</x:v>
      </x:c>
      <x:c r="AE663" s="17" t="str">
        <x:v>Не проверено</x:v>
      </x:c>
      <x:c r="AF663" s="17" t="str">
        <x:v>Не проверено</x:v>
      </x:c>
      <x:c r="AG663" s="17" t="str">
        <x:v>Не решено</x:v>
      </x:c>
      <x:c r="AH663" s="17" t="str">
        <x:v>Не проверено</x:v>
      </x:c>
      <x:c r="AI663" s="10" t="str">
        <x:f>IF(AC663="Отклонить","Отклонено",IF(AND(AC663="Взять",COUNTIFS(AD663:AH663,"Да")=5),"Готово","Нужна редактура"))</x:f>
        <x:v>Нужна редактура</x:v>
      </x:c>
      <x:c r="AJ663" s="17" t="str"/>
      <x:c r="AK663" s="9" t="str">
        <x:v>https://www.youtube.com/playlist?list=PLXv9BeKApRvwx9zh3LqZl-UexiIKULA-7</x:v>
      </x:c>
      <x:c r="AL663" s="9" t="n">
        <x:v>76</x:v>
      </x:c>
      <x:c r="AM663" s="9"/>
      <x:c r="AN663" s="9" t="n">
        <x:v>0</x:v>
      </x:c>
    </x:row>
    <x:row r="664" ht="60" customHeight="1">
      <x:c r="A664" s="9" t="str">
        <x:v>mczV7FHzlDU</x:v>
      </x:c>
      <x:c r="B664" s="10" t="str">
        <x:v>שוטרים על סוסים: דוקותיים עם יחידת הפרשים</x:v>
      </x:c>
      <x:c r="C664" s="10" t="str">
        <x:v>Люди и повседневность</x:v>
      </x:c>
      <x:c r="D664" s="9" t="str">
        <x:v>Быт</x:v>
      </x:c>
      <x:c r="E664" s="10" t="str">
        <x:v>Репатрианты; общество; занятые взрослые</x:v>
      </x:c>
      <x:c r="F664" s="10" t="str">
        <x:v>B1–B2 (гипотеза)</x:v>
      </x:c>
      <x:c r="G664" s="12" t="n">
        <x:v>8.7</x:v>
      </x:c>
      <x:c r="H664" s="14" t="n">
        <x:v>46844</x:v>
      </x:c>
      <x:c r="I664" s="15" t="str">
        <x:v>Точный счётчик метаданных видео</x:v>
      </x:c>
      <x:c r="J664" s="14" t="n">
        <x:v>46000</x:v>
      </x:c>
      <x:c r="K664" s="14" t="n">
        <x:v>32500</x:v>
      </x:c>
      <x:c r="L664" s="12" t="n">
        <x:f>IF(COUNT(J664:K664)=2,IF(K664=0,"",J664/K664),"")</x:f>
        <x:v>1.4153846153846155</x:v>
      </x:c>
      <x:c r="M664" s="10" t="str">
        <x:v>Завершённый короткий просмотр около 9 мин. Короткая история реального человека подходит для ежедневной привычки. Разные профессии и места расширяют взгляд на страну.</x:v>
      </x:c>
      <x:c r="N664" s="10" t="str">
        <x:v>Прослушать 2–5 минут, выписать 6 фраз и пересказать историю в 3 предложениях.</x:v>
      </x:c>
      <x:c r="O664" s="10" t="str">
        <x:v>Проверить содержание</x:v>
      </x:c>
      <x:c r="P664" s="10" t="str">
        <x:v>Самостоятельное видео</x:v>
      </x:c>
      <x:c r="Q664" s="9" t="str">
        <x:v>Нет</x:v>
      </x:c>
      <x:c r="R664" s="9" t="str">
        <x:v>C043</x:v>
      </x:c>
      <x:c r="S664" s="9" t="str">
        <x:v>C043</x:v>
      </x:c>
      <x:c r="T664" s="10" t="str">
        <x:v>כאן | דיגיטל - תאגיד השידור הישראלי</x:v>
      </x:c>
      <x:c r="U664" s="11" t="str">
        <x:v>https://www.youtube.com/watch?v=mczV7FHzlDU</x:v>
      </x:c>
      <x:c r="V664" s="16" t="n">
        <x:v>46308</x:v>
      </x:c>
      <x:c r="W664" s="16" t="n">
        <x:v>45482</x:v>
      </x:c>
      <x:c r="X664" s="10" t="str">
        <x:v>Иврит предполагается по заголовку и источнику</x:v>
      </x:c>
      <x:c r="Y664" s="10" t="str">
        <x:v>Ручная дорожка HE по метаданным</x:v>
      </x:c>
      <x:c r="Z664" s="10" t="str">
        <x:v>Разрешено по метаданным</x:v>
      </x:c>
      <x:c r="AA664" s="10" t="str">
        <x:v>Метаданные видео; воспроизведение и содержание не проверены</x:v>
      </x:c>
      <x:c r="AB664" s="13" t="n">
        <x:f>IF(AND(ISNUMBER(H664),ISNUMBER(W664)),H664/MAX(1,'Обзор'!$B$4-W664),"")</x:f>
        <x:v>56.71186440677966</x:v>
      </x:c>
      <x:c r="AC664" s="17" t="str">
        <x:v>Не решено</x:v>
      </x:c>
      <x:c r="AD664" s="17" t="str">
        <x:v>Не проверено</x:v>
      </x:c>
      <x:c r="AE664" s="17" t="str">
        <x:v>Не проверено</x:v>
      </x:c>
      <x:c r="AF664" s="17" t="str">
        <x:v>Не проверено</x:v>
      </x:c>
      <x:c r="AG664" s="17" t="str">
        <x:v>Не решено</x:v>
      </x:c>
      <x:c r="AH664" s="17" t="str">
        <x:v>Не проверено</x:v>
      </x:c>
      <x:c r="AI664" s="10" t="str">
        <x:f>IF(AC664="Отклонить","Отклонено",IF(AND(AC664="Взять",COUNTIFS(AD664:AH664,"Да")=5),"Готово","Нужна редактура"))</x:f>
        <x:v>Нужна редактура</x:v>
      </x:c>
      <x:c r="AJ664" s="17" t="str"/>
      <x:c r="AK664" s="9" t="str">
        <x:v>https://www.youtube.com/playlist?list=PLXv9BeKApRvwx9zh3LqZl-UexiIKULA-7</x:v>
      </x:c>
      <x:c r="AL664" s="9" t="n">
        <x:v>77</x:v>
      </x:c>
      <x:c r="AM664" s="9"/>
      <x:c r="AN664" s="9" t="n">
        <x:v>0</x:v>
      </x:c>
    </x:row>
    <x:row r="665" ht="60" customHeight="1">
      <x:c r="A665" s="9" t="str">
        <x:v>BDO1Sy9X8Kk</x:v>
      </x:c>
      <x:c r="B665" s="10" t="str">
        <x:v>ישראל במלחמה: תיעוד מחמ"ל איתור הנעדרים באיירפורט סיטי</x:v>
      </x:c>
      <x:c r="C665" s="10" t="str">
        <x:v>Люди и повседневность</x:v>
      </x:c>
      <x:c r="D665" s="9" t="str">
        <x:v>Быт</x:v>
      </x:c>
      <x:c r="E665" s="10" t="str">
        <x:v>Репатрианты; общество; занятые взрослые</x:v>
      </x:c>
      <x:c r="F665" s="10" t="str">
        <x:v>B1–B2 (гипотеза)</x:v>
      </x:c>
      <x:c r="G665" s="12" t="n">
        <x:v>5.2</x:v>
      </x:c>
      <x:c r="H665" s="14" t="n">
        <x:v>24000</x:v>
      </x:c>
      <x:c r="I665" s="15" t="str">
        <x:v>Округлённый счётчик в списке YouTube</x:v>
      </x:c>
      <x:c r="J665" s="14" t="n">
        <x:v>24000</x:v>
      </x:c>
      <x:c r="K665" s="14" t="n">
        <x:v>32500</x:v>
      </x:c>
      <x:c r="L665" s="12" t="n">
        <x:f>IF(COUNT(J665:K665)=2,IF(K665=0,"",J665/K665),"")</x:f>
        <x:v>0.7384615384615385</x:v>
      </x:c>
      <x:c r="M665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665" s="10" t="str">
        <x:v>Прослушать 2–5 минут, выписать 6 фраз и пересказать историю в 3 предложениях.</x:v>
      </x:c>
      <x:c r="O665" s="10" t="str">
        <x:v>Проверить содержание</x:v>
      </x:c>
      <x:c r="P665" s="10" t="str">
        <x:v>Самостоятельное видео</x:v>
      </x:c>
      <x:c r="Q665" s="9" t="str">
        <x:v>Нет</x:v>
      </x:c>
      <x:c r="R665" s="9" t="str">
        <x:v>C043</x:v>
      </x:c>
      <x:c r="S665" s="9" t="str">
        <x:v>C043</x:v>
      </x:c>
      <x:c r="T665" s="10" t="str">
        <x:v>כאן | דיגיטל - תאגיד השידור הישראלי</x:v>
      </x:c>
      <x:c r="U665" s="11" t="str">
        <x:v>https://www.youtube.com/watch?v=BDO1Sy9X8Kk</x:v>
      </x:c>
      <x:c r="V665" s="16" t="n">
        <x:v>46308</x:v>
      </x:c>
      <x:c r="W665" s="16"/>
      <x:c r="X665" s="10" t="str">
        <x:v>Иврит предполагается по заголовку и источнику</x:v>
      </x:c>
      <x:c r="Y665" s="10" t="str">
        <x:v>Не проверено</x:v>
      </x:c>
      <x:c r="Z665" s="10" t="str">
        <x:v>Не проверено</x:v>
      </x:c>
      <x:c r="AA665" s="10" t="str">
        <x:v>Метаданные списка; видео не просмотрено</x:v>
      </x:c>
      <x:c r="AB665" s="13" t="str">
        <x:f>IF(AND(ISNUMBER(H665),ISNUMBER(W665)),H665/MAX(1,'Обзор'!$B$4-W665),"")</x:f>
      </x:c>
      <x:c r="AC665" s="17" t="str">
        <x:v>Не решено</x:v>
      </x:c>
      <x:c r="AD665" s="17" t="str">
        <x:v>Не проверено</x:v>
      </x:c>
      <x:c r="AE665" s="17" t="str">
        <x:v>Не проверено</x:v>
      </x:c>
      <x:c r="AF665" s="17" t="str">
        <x:v>Не проверено</x:v>
      </x:c>
      <x:c r="AG665" s="17" t="str">
        <x:v>Не решено</x:v>
      </x:c>
      <x:c r="AH665" s="17" t="str">
        <x:v>Не проверено</x:v>
      </x:c>
      <x:c r="AI665" s="10" t="str">
        <x:f>IF(AC665="Отклонить","Отклонено",IF(AND(AC665="Взять",COUNTIFS(AD665:AH665,"Да")=5),"Готово","Нужна редактура"))</x:f>
        <x:v>Нужна редактура</x:v>
      </x:c>
      <x:c r="AJ665" s="17" t="str"/>
      <x:c r="AK665" s="9" t="str">
        <x:v>https://www.youtube.com/playlist?list=PLXv9BeKApRvwx9zh3LqZl-UexiIKULA-7</x:v>
      </x:c>
      <x:c r="AL665" s="9" t="n">
        <x:v>78</x:v>
      </x:c>
      <x:c r="AM665" s="9"/>
      <x:c r="AN665" s="9"/>
    </x:row>
    <x:row r="666" ht="60" customHeight="1">
      <x:c r="A666" s="9" t="str">
        <x:v>YavaIrAKQZk</x:v>
      </x:c>
      <x:c r="B666" s="10" t="str">
        <x:v>דוקותיים | אביב מוכר דירות בשדרות בקצב מסחרר למרות שעזה בוערת מעבר לכביש</x:v>
      </x:c>
      <x:c r="C666" s="10" t="str">
        <x:v>Люди и повседневность</x:v>
      </x:c>
      <x:c r="D666" s="9" t="str">
        <x:v>Быт</x:v>
      </x:c>
      <x:c r="E666" s="10" t="str">
        <x:v>Репатрианты; общество; занятые взрослые</x:v>
      </x:c>
      <x:c r="F666" s="10" t="str">
        <x:v>B1–B2 (гипотеза)</x:v>
      </x:c>
      <x:c r="G666" s="12" t="n">
        <x:v>8.2</x:v>
      </x:c>
      <x:c r="H666" s="14" t="n">
        <x:v>28000</x:v>
      </x:c>
      <x:c r="I666" s="15" t="str">
        <x:v>Округлённый счётчик в списке YouTube</x:v>
      </x:c>
      <x:c r="J666" s="14" t="n">
        <x:v>28000</x:v>
      </x:c>
      <x:c r="K666" s="14" t="n">
        <x:v>32500</x:v>
      </x:c>
      <x:c r="L666" s="12" t="n">
        <x:f>IF(COUNT(J666:K666)=2,IF(K666=0,"",J666/K666),"")</x:f>
        <x:v>0.8615384615384616</x:v>
      </x:c>
      <x:c r="M666" s="10" t="str">
        <x:v>Завершённый короткий просмотр около 8 мин. Короткая история реального человека подходит для ежедневной привычки. Разные профессии и места расширяют взгляд на страну.</x:v>
      </x:c>
      <x:c r="N666" s="10" t="str">
        <x:v>Прослушать 2–5 минут, выписать 6 фраз и пересказать историю в 3 предложениях.</x:v>
      </x:c>
      <x:c r="O666" s="10" t="str">
        <x:v>Проверить содержание</x:v>
      </x:c>
      <x:c r="P666" s="10" t="str">
        <x:v>Самостоятельное видео</x:v>
      </x:c>
      <x:c r="Q666" s="9" t="str">
        <x:v>Нет</x:v>
      </x:c>
      <x:c r="R666" s="9" t="str">
        <x:v>C043</x:v>
      </x:c>
      <x:c r="S666" s="9" t="str">
        <x:v>C043</x:v>
      </x:c>
      <x:c r="T666" s="10" t="str">
        <x:v>כאן | דיגיטל - תאגיד השידור הישראלי</x:v>
      </x:c>
      <x:c r="U666" s="11" t="str">
        <x:v>https://www.youtube.com/watch?v=YavaIrAKQZk</x:v>
      </x:c>
      <x:c r="V666" s="16" t="n">
        <x:v>46308</x:v>
      </x:c>
      <x:c r="W666" s="16"/>
      <x:c r="X666" s="10" t="str">
        <x:v>Иврит предполагается по заголовку и источнику</x:v>
      </x:c>
      <x:c r="Y666" s="10" t="str">
        <x:v>Не проверено</x:v>
      </x:c>
      <x:c r="Z666" s="10" t="str">
        <x:v>Не проверено</x:v>
      </x:c>
      <x:c r="AA666" s="10" t="str">
        <x:v>Метаданные списка; видео не просмотрено</x:v>
      </x:c>
      <x:c r="AB666" s="13" t="str">
        <x:f>IF(AND(ISNUMBER(H666),ISNUMBER(W666)),H666/MAX(1,'Обзор'!$B$4-W666),"")</x:f>
      </x:c>
      <x:c r="AC666" s="17" t="str">
        <x:v>Не решено</x:v>
      </x:c>
      <x:c r="AD666" s="17" t="str">
        <x:v>Не проверено</x:v>
      </x:c>
      <x:c r="AE666" s="17" t="str">
        <x:v>Не проверено</x:v>
      </x:c>
      <x:c r="AF666" s="17" t="str">
        <x:v>Не проверено</x:v>
      </x:c>
      <x:c r="AG666" s="17" t="str">
        <x:v>Не решено</x:v>
      </x:c>
      <x:c r="AH666" s="17" t="str">
        <x:v>Не проверено</x:v>
      </x:c>
      <x:c r="AI666" s="10" t="str">
        <x:f>IF(AC666="Отклонить","Отклонено",IF(AND(AC666="Взять",COUNTIFS(AD666:AH666,"Да")=5),"Готово","Нужна редактура"))</x:f>
        <x:v>Нужна редактура</x:v>
      </x:c>
      <x:c r="AJ666" s="17" t="str"/>
      <x:c r="AK666" s="9" t="str">
        <x:v>https://www.youtube.com/playlist?list=PLXv9BeKApRvwx9zh3LqZl-UexiIKULA-7</x:v>
      </x:c>
      <x:c r="AL666" s="9" t="n">
        <x:v>79</x:v>
      </x:c>
      <x:c r="AM666" s="9"/>
      <x:c r="AN666" s="9"/>
    </x:row>
    <x:row r="667" ht="60" customHeight="1">
      <x:c r="A667" s="9" t="str">
        <x:v>UknZL0Auq20</x:v>
      </x:c>
      <x:c r="B667" s="10" t="str">
        <x:v>אילה מצגר נלחמת למען החטופים גם לאחר שקיבלה בשורה אישית קשה | דוקותיים</x:v>
      </x:c>
      <x:c r="C667" s="10" t="str">
        <x:v>Люди и повседневность</x:v>
      </x:c>
      <x:c r="D667" s="9" t="str">
        <x:v>Быт</x:v>
      </x:c>
      <x:c r="E667" s="10" t="str">
        <x:v>Репатрианты; общество; занятые взрослые</x:v>
      </x:c>
      <x:c r="F667" s="10" t="str">
        <x:v>B1–B2 (гипотеза)</x:v>
      </x:c>
      <x:c r="G667" s="12" t="n">
        <x:v>11.8</x:v>
      </x:c>
      <x:c r="H667" s="14" t="n">
        <x:v>9000</x:v>
      </x:c>
      <x:c r="I667" s="15" t="str">
        <x:v>Округлённый счётчик в списке YouTube</x:v>
      </x:c>
      <x:c r="J667" s="14" t="n">
        <x:v>9000</x:v>
      </x:c>
      <x:c r="K667" s="14" t="n">
        <x:v>32500</x:v>
      </x:c>
      <x:c r="L667" s="12" t="n">
        <x:f>IF(COUNT(J667:K667)=2,IF(K667=0,"",J667/K667),"")</x:f>
        <x:v>0.27692307692307694</x:v>
      </x:c>
      <x:c r="M667" s="10" t="str">
        <x:v>Тема: אילה מצגר נלחמת למען החטופים גם לאחר שקיבלה בשורה אישית קשה | דוקותיים.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67" s="10" t="str">
        <x:v>Прослушать 2–5 минут, выписать 6 фраз и пересказать историю в 3 предложениях.</x:v>
      </x:c>
      <x:c r="O667" s="10" t="str">
        <x:v>В заголовке есть чувствительная тема: предварительный просмотр и добровольный выбор. Проверить содержание</x:v>
      </x:c>
      <x:c r="P667" s="10" t="str">
        <x:v>Самостоятельное видео</x:v>
      </x:c>
      <x:c r="Q667" s="9" t="str">
        <x:v>Нет</x:v>
      </x:c>
      <x:c r="R667" s="9" t="str">
        <x:v>C043</x:v>
      </x:c>
      <x:c r="S667" s="9" t="str">
        <x:v>C043</x:v>
      </x:c>
      <x:c r="T667" s="10" t="str">
        <x:v>כאן | דיגיטל - תאגיד השידור הישראלי</x:v>
      </x:c>
      <x:c r="U667" s="11" t="str">
        <x:v>https://www.youtube.com/watch?v=UknZL0Auq20</x:v>
      </x:c>
      <x:c r="V667" s="16" t="n">
        <x:v>46308</x:v>
      </x:c>
      <x:c r="W667" s="16"/>
      <x:c r="X667" s="10" t="str">
        <x:v>Иврит предполагается по заголовку и источнику</x:v>
      </x:c>
      <x:c r="Y667" s="10" t="str">
        <x:v>Не проверено</x:v>
      </x:c>
      <x:c r="Z667" s="10" t="str">
        <x:v>Не проверено</x:v>
      </x:c>
      <x:c r="AA667" s="10" t="str">
        <x:v>Метаданные списка; видео не просмотрено</x:v>
      </x:c>
      <x:c r="AB667" s="13" t="str">
        <x:f>IF(AND(ISNUMBER(H667),ISNUMBER(W667)),H667/MAX(1,'Обзор'!$B$4-W667),"")</x:f>
      </x:c>
      <x:c r="AC667" s="17" t="str">
        <x:v>Не решено</x:v>
      </x:c>
      <x:c r="AD667" s="17" t="str">
        <x:v>Не проверено</x:v>
      </x:c>
      <x:c r="AE667" s="17" t="str">
        <x:v>Не проверено</x:v>
      </x:c>
      <x:c r="AF667" s="17" t="str">
        <x:v>Не проверено</x:v>
      </x:c>
      <x:c r="AG667" s="17" t="str">
        <x:v>Не решено</x:v>
      </x:c>
      <x:c r="AH667" s="17" t="str">
        <x:v>Не проверено</x:v>
      </x:c>
      <x:c r="AI667" s="10" t="str">
        <x:f>IF(AC667="Отклонить","Отклонено",IF(AND(AC667="Взять",COUNTIFS(AD667:AH667,"Да")=5),"Готово","Нужна редактура"))</x:f>
        <x:v>Нужна редактура</x:v>
      </x:c>
      <x:c r="AJ667" s="17" t="str"/>
      <x:c r="AK667" s="9" t="str">
        <x:v>https://www.youtube.com/playlist?list=PLXv9BeKApRvwx9zh3LqZl-UexiIKULA-7</x:v>
      </x:c>
      <x:c r="AL667" s="9" t="n">
        <x:v>80</x:v>
      </x:c>
      <x:c r="AM667" s="9"/>
      <x:c r="AN667" s="9"/>
    </x:row>
    <x:row r="668" ht="60" customHeight="1">
      <x:c r="A668" s="9" t="str">
        <x:v>URUas5V86Wc</x:v>
      </x:c>
      <x:c r="B668" s="10" t="str">
        <x:v>"זכויות אדם זה לא שמאל קיצוני" | דוקותיים</x:v>
      </x:c>
      <x:c r="C668" s="10" t="str">
        <x:v>Люди и повседневность</x:v>
      </x:c>
      <x:c r="D668" s="9" t="str">
        <x:v>Быт</x:v>
      </x:c>
      <x:c r="E668" s="10" t="str">
        <x:v>Репатрианты; общество; занятые взрослые</x:v>
      </x:c>
      <x:c r="F668" s="10" t="str">
        <x:v>B1–B2 (гипотеза)</x:v>
      </x:c>
      <x:c r="G668" s="12" t="n">
        <x:v>6.1</x:v>
      </x:c>
      <x:c r="H668" s="14" t="n">
        <x:v>23000</x:v>
      </x:c>
      <x:c r="I668" s="15" t="str">
        <x:v>Округлённый счётчик в списке YouTube</x:v>
      </x:c>
      <x:c r="J668" s="14" t="n">
        <x:v>23000</x:v>
      </x:c>
      <x:c r="K668" s="14" t="n">
        <x:v>32500</x:v>
      </x:c>
      <x:c r="L668" s="12" t="n">
        <x:f>IF(COUNT(J668:K668)=2,IF(K668=0,"",J668/K668),"")</x:f>
        <x:v>0.7076923076923077</x:v>
      </x:c>
      <x:c r="M668" s="10" t="str">
        <x:v>Завершённый короткий просмотр около 6 мин. Короткая история реального человека подходит для ежедневной привычки. Разные профессии и места расширяют взгляд на страну.</x:v>
      </x:c>
      <x:c r="N668" s="10" t="str">
        <x:v>Прослушать 2–5 минут, выписать 6 фраз и пересказать историю в 3 предложениях.</x:v>
      </x:c>
      <x:c r="O668" s="10" t="str">
        <x:v>Проверить содержание</x:v>
      </x:c>
      <x:c r="P668" s="10" t="str">
        <x:v>Самостоятельное видео</x:v>
      </x:c>
      <x:c r="Q668" s="9" t="str">
        <x:v>Нет</x:v>
      </x:c>
      <x:c r="R668" s="9" t="str">
        <x:v>C043</x:v>
      </x:c>
      <x:c r="S668" s="9" t="str">
        <x:v>C043</x:v>
      </x:c>
      <x:c r="T668" s="10" t="str">
        <x:v>כאן | דיגיטל - תאגיד השידור הישראלי</x:v>
      </x:c>
      <x:c r="U668" s="11" t="str">
        <x:v>https://www.youtube.com/watch?v=URUas5V86Wc</x:v>
      </x:c>
      <x:c r="V668" s="16" t="n">
        <x:v>46308</x:v>
      </x:c>
      <x:c r="W668" s="16"/>
      <x:c r="X668" s="10" t="str">
        <x:v>Иврит предполагается по заголовку и источнику</x:v>
      </x:c>
      <x:c r="Y668" s="10" t="str">
        <x:v>Не проверено</x:v>
      </x:c>
      <x:c r="Z668" s="10" t="str">
        <x:v>Не проверено</x:v>
      </x:c>
      <x:c r="AA668" s="10" t="str">
        <x:v>Метаданные списка; видео не просмотрено</x:v>
      </x:c>
      <x:c r="AB668" s="13" t="str">
        <x:f>IF(AND(ISNUMBER(H668),ISNUMBER(W668)),H668/MAX(1,'Обзор'!$B$4-W668),"")</x:f>
      </x:c>
      <x:c r="AC668" s="17" t="str">
        <x:v>Не решено</x:v>
      </x:c>
      <x:c r="AD668" s="17" t="str">
        <x:v>Не проверено</x:v>
      </x:c>
      <x:c r="AE668" s="17" t="str">
        <x:v>Не проверено</x:v>
      </x:c>
      <x:c r="AF668" s="17" t="str">
        <x:v>Не проверено</x:v>
      </x:c>
      <x:c r="AG668" s="17" t="str">
        <x:v>Не решено</x:v>
      </x:c>
      <x:c r="AH668" s="17" t="str">
        <x:v>Не проверено</x:v>
      </x:c>
      <x:c r="AI668" s="10" t="str">
        <x:f>IF(AC668="Отклонить","Отклонено",IF(AND(AC668="Взять",COUNTIFS(AD668:AH668,"Да")=5),"Готово","Нужна редактура"))</x:f>
        <x:v>Нужна редактура</x:v>
      </x:c>
      <x:c r="AJ668" s="17" t="str"/>
      <x:c r="AK668" s="9" t="str">
        <x:v>https://www.youtube.com/playlist?list=PLXv9BeKApRvwx9zh3LqZl-UexiIKULA-7</x:v>
      </x:c>
      <x:c r="AL668" s="9" t="n">
        <x:v>81</x:v>
      </x:c>
      <x:c r="AM668" s="9"/>
      <x:c r="AN668" s="9"/>
    </x:row>
    <x:row r="669" ht="60" customHeight="1">
      <x:c r="A669" s="9" t="str">
        <x:v>hQrhH3rNS_0</x:v>
      </x:c>
      <x:c r="B669" s="10" t="str">
        <x:v>דוקותיים: אנטון הראפר מלמד צעירים שהארדקור אמיתי זה להיות נקי 😎</x:v>
      </x:c>
      <x:c r="C669" s="10" t="str">
        <x:v>Люди и повседневность</x:v>
      </x:c>
      <x:c r="D669" s="9" t="str">
        <x:v>Быт</x:v>
      </x:c>
      <x:c r="E669" s="10" t="str">
        <x:v>Репатрианты; общество; занятые взрослые</x:v>
      </x:c>
      <x:c r="F669" s="10" t="str">
        <x:v>B1–B2 (гипотеза)</x:v>
      </x:c>
      <x:c r="G669" s="12" t="n">
        <x:v>7.9</x:v>
      </x:c>
      <x:c r="H669" s="14" t="n">
        <x:v>40194</x:v>
      </x:c>
      <x:c r="I669" s="15" t="str">
        <x:v>Точный счётчик метаданных видео</x:v>
      </x:c>
      <x:c r="J669" s="14" t="n">
        <x:v>40000</x:v>
      </x:c>
      <x:c r="K669" s="14" t="n">
        <x:v>32500</x:v>
      </x:c>
      <x:c r="L669" s="12" t="n">
        <x:f>IF(COUNT(J669:K669)=2,IF(K669=0,"",J669/K669),"")</x:f>
        <x:v>1.2307692307692308</x:v>
      </x:c>
      <x:c r="M669" s="10" t="str">
        <x:v>Завершённый короткий просмотр около 8 мин. Короткая история реального человека подходит для ежедневной привычки. Разные профессии и места расширяют взгляд на страну.</x:v>
      </x:c>
      <x:c r="N669" s="10" t="str">
        <x:v>Прослушать 2–5 минут, выписать 6 фраз и пересказать историю в 3 предложениях.</x:v>
      </x:c>
      <x:c r="O669" s="10" t="str">
        <x:v>Проверить содержание</x:v>
      </x:c>
      <x:c r="P669" s="10" t="str">
        <x:v>Самостоятельное видео</x:v>
      </x:c>
      <x:c r="Q669" s="9" t="str">
        <x:v>Нет</x:v>
      </x:c>
      <x:c r="R669" s="9" t="str">
        <x:v>C043</x:v>
      </x:c>
      <x:c r="S669" s="9" t="str">
        <x:v>C043</x:v>
      </x:c>
      <x:c r="T669" s="10" t="str">
        <x:v>כאן | דיגיטל - תאגיד השידור הישראלי</x:v>
      </x:c>
      <x:c r="U669" s="11" t="str">
        <x:v>https://www.youtube.com/watch?v=hQrhH3rNS_0</x:v>
      </x:c>
      <x:c r="V669" s="16" t="n">
        <x:v>46308</x:v>
      </x:c>
      <x:c r="W669" s="16" t="n">
        <x:v>45452</x:v>
      </x:c>
      <x:c r="X669" s="10" t="str">
        <x:v>Иврит предполагается по заголовку и источнику</x:v>
      </x:c>
      <x:c r="Y669" s="10" t="str">
        <x:v>Ручная дорожка HE по метаданным</x:v>
      </x:c>
      <x:c r="Z669" s="10" t="str">
        <x:v>Разрешено по метаданным</x:v>
      </x:c>
      <x:c r="AA669" s="10" t="str">
        <x:v>Метаданные видео; воспроизведение и содержание не проверены</x:v>
      </x:c>
      <x:c r="AB669" s="13" t="n">
        <x:f>IF(AND(ISNUMBER(H669),ISNUMBER(W669)),H669/MAX(1,'Обзор'!$B$4-W669),"")</x:f>
        <x:v>46.955607476635514</x:v>
      </x:c>
      <x:c r="AC669" s="17" t="str">
        <x:v>Не решено</x:v>
      </x:c>
      <x:c r="AD669" s="17" t="str">
        <x:v>Не проверено</x:v>
      </x:c>
      <x:c r="AE669" s="17" t="str">
        <x:v>Не проверено</x:v>
      </x:c>
      <x:c r="AF669" s="17" t="str">
        <x:v>Не проверено</x:v>
      </x:c>
      <x:c r="AG669" s="17" t="str">
        <x:v>Не решено</x:v>
      </x:c>
      <x:c r="AH669" s="17" t="str">
        <x:v>Не проверено</x:v>
      </x:c>
      <x:c r="AI669" s="10" t="str">
        <x:f>IF(AC669="Отклонить","Отклонено",IF(AND(AC669="Взять",COUNTIFS(AD669:AH669,"Да")=5),"Готово","Нужна редактура"))</x:f>
        <x:v>Нужна редактура</x:v>
      </x:c>
      <x:c r="AJ669" s="17" t="str"/>
      <x:c r="AK669" s="9" t="str">
        <x:v>https://www.youtube.com/playlist?list=PLXv9BeKApRvwx9zh3LqZl-UexiIKULA-7</x:v>
      </x:c>
      <x:c r="AL669" s="9" t="n">
        <x:v>82</x:v>
      </x:c>
      <x:c r="AM669" s="9"/>
      <x:c r="AN669" s="9" t="n">
        <x:v>0</x:v>
      </x:c>
    </x:row>
    <x:row r="670" ht="60" customHeight="1">
      <x:c r="A670" s="9" t="str">
        <x:v>kaVomlL6--M</x:v>
      </x:c>
      <x:c r="B670" s="10" t="str">
        <x:v>הקבלן שמעסיק רק יהודים | דוקותיים</x:v>
      </x:c>
      <x:c r="C670" s="10" t="str">
        <x:v>Люди и повседневность</x:v>
      </x:c>
      <x:c r="D670" s="9" t="str">
        <x:v>Быт</x:v>
      </x:c>
      <x:c r="E670" s="10" t="str">
        <x:v>Репатрианты; общество; занятые взрослые</x:v>
      </x:c>
      <x:c r="F670" s="10" t="str">
        <x:v>B1–B2 (гипотеза)</x:v>
      </x:c>
      <x:c r="G670" s="12" t="n">
        <x:v>7.4</x:v>
      </x:c>
      <x:c r="H670" s="14" t="n">
        <x:v>120345</x:v>
      </x:c>
      <x:c r="I670" s="15" t="str">
        <x:v>Точный счётчик метаданных видео</x:v>
      </x:c>
      <x:c r="J670" s="14" t="n">
        <x:v>120000</x:v>
      </x:c>
      <x:c r="K670" s="14" t="n">
        <x:v>32500</x:v>
      </x:c>
      <x:c r="L670" s="12" t="n">
        <x:f>IF(COUNT(J670:K670)=2,IF(K670=0,"",J670/K670),"")</x:f>
        <x:v>3.6923076923076925</x:v>
      </x:c>
      <x:c r="M670" s="10" t="str">
        <x:v>Завершённый короткий просмотр около 7 мин. Просмотры в списке выше медианы выборки этого цикла в 3.69 раза. Короткая история реального человека подходит для ежедневной привычки. Разные профессии и места расширяют взгляд на страну.</x:v>
      </x:c>
      <x:c r="N670" s="10" t="str">
        <x:v>Прослушать 2–5 минут, выписать 6 фраз и пересказать историю в 3 предложениях.</x:v>
      </x:c>
      <x:c r="O670" s="10" t="str">
        <x:v>Проверить содержание</x:v>
      </x:c>
      <x:c r="P670" s="10" t="str">
        <x:v>Самостоятельное видео</x:v>
      </x:c>
      <x:c r="Q670" s="9" t="str">
        <x:v>Нет</x:v>
      </x:c>
      <x:c r="R670" s="9" t="str">
        <x:v>C043</x:v>
      </x:c>
      <x:c r="S670" s="9" t="str">
        <x:v>C043</x:v>
      </x:c>
      <x:c r="T670" s="10" t="str">
        <x:v>כאן | דיגיטל - תאגיד השידור הישראלי</x:v>
      </x:c>
      <x:c r="U670" s="11" t="str">
        <x:v>https://www.youtube.com/watch?v=kaVomlL6--M</x:v>
      </x:c>
      <x:c r="V670" s="16" t="n">
        <x:v>46308</x:v>
      </x:c>
      <x:c r="W670" s="16" t="n">
        <x:v>45440</x:v>
      </x:c>
      <x:c r="X670" s="10" t="str">
        <x:v>Иврит предполагается по заголовку и источнику</x:v>
      </x:c>
      <x:c r="Y670" s="10" t="str">
        <x:v>Ручная дорожка HE по метаданным</x:v>
      </x:c>
      <x:c r="Z670" s="10" t="str">
        <x:v>Разрешено по метаданным</x:v>
      </x:c>
      <x:c r="AA670" s="10" t="str">
        <x:v>Метаданные видео; воспроизведение и содержание не проверены</x:v>
      </x:c>
      <x:c r="AB670" s="13" t="n">
        <x:f>IF(AND(ISNUMBER(H670),ISNUMBER(W670)),H670/MAX(1,'Обзор'!$B$4-W670),"")</x:f>
        <x:v>138.6463133640553</x:v>
      </x:c>
      <x:c r="AC670" s="17" t="str">
        <x:v>Не решено</x:v>
      </x:c>
      <x:c r="AD670" s="17" t="str">
        <x:v>Не проверено</x:v>
      </x:c>
      <x:c r="AE670" s="17" t="str">
        <x:v>Не проверено</x:v>
      </x:c>
      <x:c r="AF670" s="17" t="str">
        <x:v>Не проверено</x:v>
      </x:c>
      <x:c r="AG670" s="17" t="str">
        <x:v>Не решено</x:v>
      </x:c>
      <x:c r="AH670" s="17" t="str">
        <x:v>Не проверено</x:v>
      </x:c>
      <x:c r="AI670" s="10" t="str">
        <x:f>IF(AC670="Отклонить","Отклонено",IF(AND(AC670="Взять",COUNTIFS(AD670:AH670,"Да")=5),"Готово","Нужна редактура"))</x:f>
        <x:v>Нужна редактура</x:v>
      </x:c>
      <x:c r="AJ670" s="17" t="str"/>
      <x:c r="AK670" s="9" t="str">
        <x:v>https://www.youtube.com/playlist?list=PLXv9BeKApRvwx9zh3LqZl-UexiIKULA-7</x:v>
      </x:c>
      <x:c r="AL670" s="9" t="n">
        <x:v>83</x:v>
      </x:c>
      <x:c r="AM670" s="9"/>
      <x:c r="AN670" s="9" t="n">
        <x:v>0</x:v>
      </x:c>
    </x:row>
    <x:row r="671" ht="60" customHeight="1">
      <x:c r="A671" s="9" t="str">
        <x:v>PZVs4MpLHW8</x:v>
      </x:c>
      <x:c r="B671" s="10" t="str">
        <x:v>אבי מאתגר את הלבוש הגברי | דוקותיים</x:v>
      </x:c>
      <x:c r="C671" s="10" t="str">
        <x:v>Люди и повседневность</x:v>
      </x:c>
      <x:c r="D671" s="9" t="str">
        <x:v>Быт</x:v>
      </x:c>
      <x:c r="E671" s="10" t="str">
        <x:v>Репатрианты; общество; занятые взрослые</x:v>
      </x:c>
      <x:c r="F671" s="10" t="str">
        <x:v>B1–B2 (гипотеза)</x:v>
      </x:c>
      <x:c r="G671" s="12" t="n">
        <x:v>6.2</x:v>
      </x:c>
      <x:c r="H671" s="14" t="n">
        <x:v>41514</x:v>
      </x:c>
      <x:c r="I671" s="15" t="str">
        <x:v>Точный счётчик метаданных видео</x:v>
      </x:c>
      <x:c r="J671" s="14" t="n">
        <x:v>41000</x:v>
      </x:c>
      <x:c r="K671" s="14" t="n">
        <x:v>32500</x:v>
      </x:c>
      <x:c r="L671" s="12" t="n">
        <x:f>IF(COUNT(J671:K671)=2,IF(K671=0,"",J671/K671),"")</x:f>
        <x:v>1.2615384615384615</x:v>
      </x:c>
      <x:c r="M671" s="10" t="str">
        <x:v>Завершённый короткий просмотр около 6 мин. Короткая история реального человека подходит для ежедневной привычки. Разные профессии и места расширяют взгляд на страну.</x:v>
      </x:c>
      <x:c r="N671" s="10" t="str">
        <x:v>Прослушать 2–5 минут, выписать 6 фраз и пересказать историю в 3 предложениях.</x:v>
      </x:c>
      <x:c r="O671" s="10" t="str">
        <x:v>Проверить содержание</x:v>
      </x:c>
      <x:c r="P671" s="10" t="str">
        <x:v>Самостоятельное видео</x:v>
      </x:c>
      <x:c r="Q671" s="9" t="str">
        <x:v>Нет</x:v>
      </x:c>
      <x:c r="R671" s="9" t="str">
        <x:v>C043</x:v>
      </x:c>
      <x:c r="S671" s="9" t="str">
        <x:v>C043</x:v>
      </x:c>
      <x:c r="T671" s="10" t="str">
        <x:v>כאן | דיגיטל - תאגיד השידור הישראלי</x:v>
      </x:c>
      <x:c r="U671" s="11" t="str">
        <x:v>https://www.youtube.com/watch?v=PZVs4MpLHW8</x:v>
      </x:c>
      <x:c r="V671" s="16" t="n">
        <x:v>46308</x:v>
      </x:c>
      <x:c r="W671" s="16" t="n">
        <x:v>45433</x:v>
      </x:c>
      <x:c r="X671" s="10" t="str">
        <x:v>Иврит предполагается по заголовку и источнику</x:v>
      </x:c>
      <x:c r="Y671" s="10" t="str">
        <x:v>Ручная дорожка HE по метаданным</x:v>
      </x:c>
      <x:c r="Z671" s="10" t="str">
        <x:v>Разрешено по метаданным</x:v>
      </x:c>
      <x:c r="AA671" s="10" t="str">
        <x:v>Метаданные видео; воспроизведение и содержание не проверены</x:v>
      </x:c>
      <x:c r="AB671" s="13" t="n">
        <x:f>IF(AND(ISNUMBER(H671),ISNUMBER(W671)),H671/MAX(1,'Обзор'!$B$4-W671),"")</x:f>
        <x:v>47.44457142857143</x:v>
      </x:c>
      <x:c r="AC671" s="17" t="str">
        <x:v>Не решено</x:v>
      </x:c>
      <x:c r="AD671" s="17" t="str">
        <x:v>Не проверено</x:v>
      </x:c>
      <x:c r="AE671" s="17" t="str">
        <x:v>Не проверено</x:v>
      </x:c>
      <x:c r="AF671" s="17" t="str">
        <x:v>Не проверено</x:v>
      </x:c>
      <x:c r="AG671" s="17" t="str">
        <x:v>Не решено</x:v>
      </x:c>
      <x:c r="AH671" s="17" t="str">
        <x:v>Не проверено</x:v>
      </x:c>
      <x:c r="AI671" s="10" t="str">
        <x:f>IF(AC671="Отклонить","Отклонено",IF(AND(AC671="Взять",COUNTIFS(AD671:AH671,"Да")=5),"Готово","Нужна редактура"))</x:f>
        <x:v>Нужна редактура</x:v>
      </x:c>
      <x:c r="AJ671" s="17" t="str"/>
      <x:c r="AK671" s="9" t="str">
        <x:v>https://www.youtube.com/playlist?list=PLXv9BeKApRvwx9zh3LqZl-UexiIKULA-7</x:v>
      </x:c>
      <x:c r="AL671" s="9" t="n">
        <x:v>84</x:v>
      </x:c>
      <x:c r="AM671" s="9"/>
      <x:c r="AN671" s="9" t="n">
        <x:v>0</x:v>
      </x:c>
    </x:row>
    <x:row r="672" ht="60" customHeight="1">
      <x:c r="A672" s="9" t="str">
        <x:v>x3_VwQY2azc</x:v>
      </x:c>
      <x:c r="B672" s="10" t="str">
        <x:v>משפחת ווייל נפרדת מסיון ז"ל שנפל בעזה | דוקותיים</x:v>
      </x:c>
      <x:c r="C672" s="10" t="str">
        <x:v>Люди и повседневность</x:v>
      </x:c>
      <x:c r="D672" s="9" t="str">
        <x:v>Быт</x:v>
      </x:c>
      <x:c r="E672" s="10" t="str">
        <x:v>Репатрианты; общество; занятые взрослые</x:v>
      </x:c>
      <x:c r="F672" s="10" t="str">
        <x:v>B1–B2 (гипотеза)</x:v>
      </x:c>
      <x:c r="G672" s="12" t="n">
        <x:v>5.5</x:v>
      </x:c>
      <x:c r="H672" s="14" t="n">
        <x:v>19000</x:v>
      </x:c>
      <x:c r="I672" s="15" t="str">
        <x:v>Округлённый счётчик в списке YouTube</x:v>
      </x:c>
      <x:c r="J672" s="14" t="n">
        <x:v>19000</x:v>
      </x:c>
      <x:c r="K672" s="14" t="n">
        <x:v>32500</x:v>
      </x:c>
      <x:c r="L672" s="12" t="n">
        <x:f>IF(COUNT(J672:K672)=2,IF(K672=0,"",J672/K672),"")</x:f>
        <x:v>0.5846153846153846</x:v>
      </x:c>
      <x:c r="M672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672" s="10" t="str">
        <x:v>Прослушать 2–5 минут, выписать 6 фраз и пересказать историю в 3 предложениях.</x:v>
      </x:c>
      <x:c r="O672" s="10" t="str">
        <x:v>В заголовке есть чувствительная тема: предварительный просмотр и добровольный выбор. Проверить содержание</x:v>
      </x:c>
      <x:c r="P672" s="10" t="str">
        <x:v>Самостоятельное видео</x:v>
      </x:c>
      <x:c r="Q672" s="9" t="str">
        <x:v>Нет</x:v>
      </x:c>
      <x:c r="R672" s="9" t="str">
        <x:v>C043</x:v>
      </x:c>
      <x:c r="S672" s="9" t="str">
        <x:v>C043</x:v>
      </x:c>
      <x:c r="T672" s="10" t="str">
        <x:v>כאן | דיגיטל - תאגיד השידור הישראלי</x:v>
      </x:c>
      <x:c r="U672" s="11" t="str">
        <x:v>https://www.youtube.com/watch?v=x3_VwQY2azc</x:v>
      </x:c>
      <x:c r="V672" s="16" t="n">
        <x:v>46308</x:v>
      </x:c>
      <x:c r="W672" s="16"/>
      <x:c r="X672" s="10" t="str">
        <x:v>Иврит предполагается по заголовку и источнику</x:v>
      </x:c>
      <x:c r="Y672" s="10" t="str">
        <x:v>Не проверено</x:v>
      </x:c>
      <x:c r="Z672" s="10" t="str">
        <x:v>Не проверено</x:v>
      </x:c>
      <x:c r="AA672" s="10" t="str">
        <x:v>Метаданные списка; видео не просмотрено</x:v>
      </x:c>
      <x:c r="AB672" s="13" t="str">
        <x:f>IF(AND(ISNUMBER(H672),ISNUMBER(W672)),H672/MAX(1,'Обзор'!$B$4-W672),"")</x:f>
      </x:c>
      <x:c r="AC672" s="17" t="str">
        <x:v>Не решено</x:v>
      </x:c>
      <x:c r="AD672" s="17" t="str">
        <x:v>Не проверено</x:v>
      </x:c>
      <x:c r="AE672" s="17" t="str">
        <x:v>Не проверено</x:v>
      </x:c>
      <x:c r="AF672" s="17" t="str">
        <x:v>Не проверено</x:v>
      </x:c>
      <x:c r="AG672" s="17" t="str">
        <x:v>Не решено</x:v>
      </x:c>
      <x:c r="AH672" s="17" t="str">
        <x:v>Не проверено</x:v>
      </x:c>
      <x:c r="AI672" s="10" t="str">
        <x:f>IF(AC672="Отклонить","Отклонено",IF(AND(AC672="Взять",COUNTIFS(AD672:AH672,"Да")=5),"Готово","Нужна редактура"))</x:f>
        <x:v>Нужна редактура</x:v>
      </x:c>
      <x:c r="AJ672" s="17" t="str"/>
      <x:c r="AK672" s="9" t="str">
        <x:v>https://www.youtube.com/playlist?list=PLXv9BeKApRvwx9zh3LqZl-UexiIKULA-7</x:v>
      </x:c>
      <x:c r="AL672" s="9" t="n">
        <x:v>85</x:v>
      </x:c>
      <x:c r="AM672" s="9"/>
      <x:c r="AN672" s="9"/>
    </x:row>
    <x:row r="673" ht="60" customHeight="1">
      <x:c r="A673" s="9" t="str">
        <x:v>0XnxCjaxVGA</x:v>
      </x:c>
      <x:c r="B673" s="10" t="str">
        <x:v>"יש לי את העבודה הכי טובה בעולם" - הווטרינר שמציל כלבים נכים מהמתת חסד | דוקותיים</x:v>
      </x:c>
      <x:c r="C673" s="10" t="str">
        <x:v>Люди и повседневность</x:v>
      </x:c>
      <x:c r="D673" s="9" t="str">
        <x:v>Быт</x:v>
      </x:c>
      <x:c r="E673" s="10" t="str">
        <x:v>Репатрианты; общество; занятые взрослые</x:v>
      </x:c>
      <x:c r="F673" s="10" t="str">
        <x:v>B1–B2 (гипотеза)</x:v>
      </x:c>
      <x:c r="G673" s="12" t="n">
        <x:v>5.7</x:v>
      </x:c>
      <x:c r="H673" s="14" t="n">
        <x:v>59440</x:v>
      </x:c>
      <x:c r="I673" s="15" t="str">
        <x:v>Точный счётчик метаданных видео</x:v>
      </x:c>
      <x:c r="J673" s="14" t="n">
        <x:v>59000</x:v>
      </x:c>
      <x:c r="K673" s="14" t="n">
        <x:v>32500</x:v>
      </x:c>
      <x:c r="L673" s="12" t="n">
        <x:f>IF(COUNT(J673:K673)=2,IF(K673=0,"",J673/K673),"")</x:f>
        <x:v>1.8153846153846154</x:v>
      </x:c>
      <x:c r="M673" s="10" t="str">
        <x:v>Завершённый короткий просмотр около 6 мин. Просмотры в списке выше медианы выборки этого цикла в 1.82 раза. Короткая история реального человека подходит для ежедневной привычки. Разные профессии и места расширяют взгляд на страну.</x:v>
      </x:c>
      <x:c r="N673" s="10" t="str">
        <x:v>Прослушать 2–5 минут, выписать 6 фраз и пересказать историю в 3 предложениях.</x:v>
      </x:c>
      <x:c r="O673" s="10" t="str">
        <x:v>Проверить содержание</x:v>
      </x:c>
      <x:c r="P673" s="10" t="str">
        <x:v>Самостоятельное видео</x:v>
      </x:c>
      <x:c r="Q673" s="9" t="str">
        <x:v>Нет</x:v>
      </x:c>
      <x:c r="R673" s="9" t="str">
        <x:v>C043</x:v>
      </x:c>
      <x:c r="S673" s="9" t="str">
        <x:v>C043</x:v>
      </x:c>
      <x:c r="T673" s="10" t="str">
        <x:v>כאן | דיגיטל - תאגיד השידור הישראלי</x:v>
      </x:c>
      <x:c r="U673" s="11" t="str">
        <x:v>https://www.youtube.com/watch?v=0XnxCjaxVGA</x:v>
      </x:c>
      <x:c r="V673" s="16" t="n">
        <x:v>46308</x:v>
      </x:c>
      <x:c r="W673" s="16" t="n">
        <x:v>45412</x:v>
      </x:c>
      <x:c r="X673" s="10" t="str">
        <x:v>Иврит предполагается по заголовку и источнику</x:v>
      </x:c>
      <x:c r="Y673" s="10" t="str">
        <x:v>Ручная дорожка HE по метаданным</x:v>
      </x:c>
      <x:c r="Z673" s="10" t="str">
        <x:v>Разрешено по метаданным</x:v>
      </x:c>
      <x:c r="AA673" s="10" t="str">
        <x:v>Метаданные видео; воспроизведение и содержание не проверены</x:v>
      </x:c>
      <x:c r="AB673" s="13" t="n">
        <x:f>IF(AND(ISNUMBER(H673),ISNUMBER(W673)),H673/MAX(1,'Обзор'!$B$4-W673),"")</x:f>
        <x:v>66.33928571428571</x:v>
      </x:c>
      <x:c r="AC673" s="17" t="str">
        <x:v>Не решено</x:v>
      </x:c>
      <x:c r="AD673" s="17" t="str">
        <x:v>Не проверено</x:v>
      </x:c>
      <x:c r="AE673" s="17" t="str">
        <x:v>Не проверено</x:v>
      </x:c>
      <x:c r="AF673" s="17" t="str">
        <x:v>Не проверено</x:v>
      </x:c>
      <x:c r="AG673" s="17" t="str">
        <x:v>Не решено</x:v>
      </x:c>
      <x:c r="AH673" s="17" t="str">
        <x:v>Не проверено</x:v>
      </x:c>
      <x:c r="AI673" s="10" t="str">
        <x:f>IF(AC673="Отклонить","Отклонено",IF(AND(AC673="Взять",COUNTIFS(AD673:AH673,"Да")=5),"Готово","Нужна редактура"))</x:f>
        <x:v>Нужна редактура</x:v>
      </x:c>
      <x:c r="AJ673" s="17" t="str"/>
      <x:c r="AK673" s="9" t="str">
        <x:v>https://www.youtube.com/playlist?list=PLXv9BeKApRvwx9zh3LqZl-UexiIKULA-7</x:v>
      </x:c>
      <x:c r="AL673" s="9" t="n">
        <x:v>86</x:v>
      </x:c>
      <x:c r="AM673" s="9"/>
      <x:c r="AN673" s="9" t="n">
        <x:v>0</x:v>
      </x:c>
    </x:row>
    <x:row r="674" ht="60" customHeight="1">
      <x:c r="A674" s="9" t="str">
        <x:v>SoT1QXezeXM</x:v>
      </x:c>
      <x:c r="B674" s="10" t="str">
        <x:v>"כשאני יושב מול מחבל נוח'בה ומסתכל לו בעיניים, אני רואה את הרוע" | דוקותיים</x:v>
      </x:c>
      <x:c r="C674" s="10" t="str">
        <x:v>Люди и повседневность</x:v>
      </x:c>
      <x:c r="D674" s="9" t="str">
        <x:v>Быт</x:v>
      </x:c>
      <x:c r="E674" s="10" t="str">
        <x:v>Репатрианты; общество; занятые взрослые</x:v>
      </x:c>
      <x:c r="F674" s="10" t="str">
        <x:v>B1–B2 (гипотеза)</x:v>
      </x:c>
      <x:c r="G674" s="12" t="n">
        <x:v>2.9</x:v>
      </x:c>
      <x:c r="H674" s="14" t="n">
        <x:v>19000</x:v>
      </x:c>
      <x:c r="I674" s="15" t="str">
        <x:v>Округлённый счётчик в списке YouTube</x:v>
      </x:c>
      <x:c r="J674" s="14" t="n">
        <x:v>19000</x:v>
      </x:c>
      <x:c r="K674" s="14" t="n">
        <x:v>32500</x:v>
      </x:c>
      <x:c r="L674" s="12" t="n">
        <x:f>IF(COUNT(J674:K674)=2,IF(K674=0,"",J674/K674),"")</x:f>
        <x:v>0.5846153846153846</x:v>
      </x:c>
      <x:c r="M674" s="10" t="str">
        <x:v>Завершённый короткий просмотр около 3 мин. Короткая история реального человека подходит для ежедневной привычки. Разные профессии и места расширяют взгляд на страну.</x:v>
      </x:c>
      <x:c r="N674" s="10" t="str">
        <x:v>Прослушать 2–5 минут, выписать 6 фраз и пересказать историю в 3 предложениях.</x:v>
      </x:c>
      <x:c r="O674" s="10" t="str">
        <x:v>Проверить содержание</x:v>
      </x:c>
      <x:c r="P674" s="10" t="str">
        <x:v>Самостоятельное видео</x:v>
      </x:c>
      <x:c r="Q674" s="9" t="str">
        <x:v>Нет</x:v>
      </x:c>
      <x:c r="R674" s="9" t="str">
        <x:v>C043</x:v>
      </x:c>
      <x:c r="S674" s="9" t="str">
        <x:v>C043</x:v>
      </x:c>
      <x:c r="T674" s="10" t="str">
        <x:v>כאן | דיגיטל - תאגיד השידור הישראלי</x:v>
      </x:c>
      <x:c r="U674" s="11" t="str">
        <x:v>https://www.youtube.com/watch?v=SoT1QXezeXM</x:v>
      </x:c>
      <x:c r="V674" s="16" t="n">
        <x:v>46308</x:v>
      </x:c>
      <x:c r="W674" s="16"/>
      <x:c r="X674" s="10" t="str">
        <x:v>Иврит предполагается по заголовку и источнику</x:v>
      </x:c>
      <x:c r="Y674" s="10" t="str">
        <x:v>Не проверено</x:v>
      </x:c>
      <x:c r="Z674" s="10" t="str">
        <x:v>Не проверено</x:v>
      </x:c>
      <x:c r="AA674" s="10" t="str">
        <x:v>Метаданные списка; видео не просмотрено</x:v>
      </x:c>
      <x:c r="AB674" s="13" t="str">
        <x:f>IF(AND(ISNUMBER(H674),ISNUMBER(W674)),H674/MAX(1,'Обзор'!$B$4-W674),"")</x:f>
      </x:c>
      <x:c r="AC674" s="17" t="str">
        <x:v>Не решено</x:v>
      </x:c>
      <x:c r="AD674" s="17" t="str">
        <x:v>Не проверено</x:v>
      </x:c>
      <x:c r="AE674" s="17" t="str">
        <x:v>Не проверено</x:v>
      </x:c>
      <x:c r="AF674" s="17" t="str">
        <x:v>Не проверено</x:v>
      </x:c>
      <x:c r="AG674" s="17" t="str">
        <x:v>Не решено</x:v>
      </x:c>
      <x:c r="AH674" s="17" t="str">
        <x:v>Не проверено</x:v>
      </x:c>
      <x:c r="AI674" s="10" t="str">
        <x:f>IF(AC674="Отклонить","Отклонено",IF(AND(AC674="Взять",COUNTIFS(AD674:AH674,"Да")=5),"Готово","Нужна редактура"))</x:f>
        <x:v>Нужна редактура</x:v>
      </x:c>
      <x:c r="AJ674" s="17" t="str"/>
      <x:c r="AK674" s="9" t="str">
        <x:v>https://www.youtube.com/playlist?list=PLXv9BeKApRvwx9zh3LqZl-UexiIKULA-7</x:v>
      </x:c>
      <x:c r="AL674" s="9" t="n">
        <x:v>87</x:v>
      </x:c>
      <x:c r="AM674" s="9"/>
      <x:c r="AN674" s="9"/>
    </x:row>
    <x:row r="675" ht="60" customHeight="1">
      <x:c r="A675" s="9" t="str">
        <x:v>Yqi0PmB8EnQ</x:v>
      </x:c>
      <x:c r="B675" s="10" t="str">
        <x:v>"בארץ אין הרבה קטועים כמוני" | דוקותיים: יומן מלחמה</x:v>
      </x:c>
      <x:c r="C675" s="10" t="str">
        <x:v>Люди и повседневность</x:v>
      </x:c>
      <x:c r="D675" s="9" t="str">
        <x:v>Быт</x:v>
      </x:c>
      <x:c r="E675" s="10" t="str">
        <x:v>Репатрианты; общество; занятые взрослые</x:v>
      </x:c>
      <x:c r="F675" s="10" t="str">
        <x:v>B1–B2 (гипотеза)</x:v>
      </x:c>
      <x:c r="G675" s="12" t="n">
        <x:v>8.9</x:v>
      </x:c>
      <x:c r="H675" s="14" t="n">
        <x:v>78110</x:v>
      </x:c>
      <x:c r="I675" s="15" t="str">
        <x:v>Точный счётчик метаданных видео</x:v>
      </x:c>
      <x:c r="J675" s="14" t="n">
        <x:v>78000</x:v>
      </x:c>
      <x:c r="K675" s="14" t="n">
        <x:v>32500</x:v>
      </x:c>
      <x:c r="L675" s="12" t="n">
        <x:f>IF(COUNT(J675:K675)=2,IF(K675=0,"",J675/K675),"")</x:f>
        <x:v>2.4</x:v>
      </x:c>
      <x:c r="M675" s="10" t="str">
        <x:v>Завершённый короткий просмотр около 9 мин. Просмотры в списке выше медианы выборки этого цикла в 2.4 раза. Короткая история реального человека подходит для ежедневной привычки. Разные профессии и места расширяют взгляд на страну.</x:v>
      </x:c>
      <x:c r="N675" s="10" t="str">
        <x:v>Прослушать 2–5 минут, выписать 6 фраз и пересказать историю в 3 предложениях.</x:v>
      </x:c>
      <x:c r="O675" s="10" t="str">
        <x:v>Проверить содержание</x:v>
      </x:c>
      <x:c r="P675" s="10" t="str">
        <x:v>Самостоятельное видео</x:v>
      </x:c>
      <x:c r="Q675" s="9" t="str">
        <x:v>Нет</x:v>
      </x:c>
      <x:c r="R675" s="9" t="str">
        <x:v>C043</x:v>
      </x:c>
      <x:c r="S675" s="9" t="str">
        <x:v>C043</x:v>
      </x:c>
      <x:c r="T675" s="10" t="str">
        <x:v>כאן | דיגיטל - תאגיד השידור הישראלי</x:v>
      </x:c>
      <x:c r="U675" s="11" t="str">
        <x:v>https://www.youtube.com/watch?v=Yqi0PmB8EnQ</x:v>
      </x:c>
      <x:c r="V675" s="16" t="n">
        <x:v>46308</x:v>
      </x:c>
      <x:c r="W675" s="16" t="n">
        <x:v>45389</x:v>
      </x:c>
      <x:c r="X675" s="10" t="str">
        <x:v>Иврит предполагается по заголовку и источнику</x:v>
      </x:c>
      <x:c r="Y675" s="10" t="str">
        <x:v>Ручная дорожка HE по метаданным</x:v>
      </x:c>
      <x:c r="Z675" s="10" t="str">
        <x:v>Разрешено по метаданным</x:v>
      </x:c>
      <x:c r="AA675" s="10" t="str">
        <x:v>Метаданные видео; воспроизведение и содержание не проверены</x:v>
      </x:c>
      <x:c r="AB675" s="13" t="n">
        <x:f>IF(AND(ISNUMBER(H675),ISNUMBER(W675)),H675/MAX(1,'Обзор'!$B$4-W675),"")</x:f>
        <x:v>84.99455930359086</x:v>
      </x:c>
      <x:c r="AC675" s="17" t="str">
        <x:v>Не решено</x:v>
      </x:c>
      <x:c r="AD675" s="17" t="str">
        <x:v>Не проверено</x:v>
      </x:c>
      <x:c r="AE675" s="17" t="str">
        <x:v>Не проверено</x:v>
      </x:c>
      <x:c r="AF675" s="17" t="str">
        <x:v>Не проверено</x:v>
      </x:c>
      <x:c r="AG675" s="17" t="str">
        <x:v>Не решено</x:v>
      </x:c>
      <x:c r="AH675" s="17" t="str">
        <x:v>Не проверено</x:v>
      </x:c>
      <x:c r="AI675" s="10" t="str">
        <x:f>IF(AC675="Отклонить","Отклонено",IF(AND(AC675="Взять",COUNTIFS(AD675:AH675,"Да")=5),"Готово","Нужна редактура"))</x:f>
        <x:v>Нужна редактура</x:v>
      </x:c>
      <x:c r="AJ675" s="17" t="str"/>
      <x:c r="AK675" s="9" t="str">
        <x:v>https://www.youtube.com/playlist?list=PLXv9BeKApRvwx9zh3LqZl-UexiIKULA-7</x:v>
      </x:c>
      <x:c r="AL675" s="9" t="n">
        <x:v>88</x:v>
      </x:c>
      <x:c r="AM675" s="9"/>
      <x:c r="AN675" s="9" t="n">
        <x:v>0</x:v>
      </x:c>
    </x:row>
    <x:row r="676" ht="60" customHeight="1">
      <x:c r="A676" s="9" t="str">
        <x:v>opXW8SEgMJQ</x:v>
      </x:c>
      <x:c r="B676" s="10" t="str">
        <x:v>האוצר שלה בידיים של חמאס: דוקותיים עם סימונה, אמא של החטופה דורון שטיינברכר</x:v>
      </x:c>
      <x:c r="C676" s="10" t="str">
        <x:v>Люди и повседневность</x:v>
      </x:c>
      <x:c r="D676" s="9" t="str">
        <x:v>Быт</x:v>
      </x:c>
      <x:c r="E676" s="10" t="str">
        <x:v>Репатрианты; общество; занятые взрослые</x:v>
      </x:c>
      <x:c r="F676" s="10" t="str">
        <x:v>B1–B2 (гипотеза)</x:v>
      </x:c>
      <x:c r="G676" s="12" t="n">
        <x:v>6.2</x:v>
      </x:c>
      <x:c r="H676" s="14" t="n">
        <x:v>11000</x:v>
      </x:c>
      <x:c r="I676" s="15" t="str">
        <x:v>Округлённый счётчик в списке YouTube</x:v>
      </x:c>
      <x:c r="J676" s="14" t="n">
        <x:v>11000</x:v>
      </x:c>
      <x:c r="K676" s="14" t="n">
        <x:v>32500</x:v>
      </x:c>
      <x:c r="L676" s="12" t="n">
        <x:f>IF(COUNT(J676:K676)=2,IF(K676=0,"",J676/K676),"")</x:f>
        <x:v>0.3384615384615385</x:v>
      </x:c>
      <x:c r="M676" s="10" t="str">
        <x:v>Завершённый короткий просмотр около 6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76" s="10" t="str">
        <x:v>Прослушать 2–5 минут, выписать 6 фраз и пересказать историю в 3 предложениях.</x:v>
      </x:c>
      <x:c r="O676" s="10" t="str">
        <x:v>В заголовке есть чувствительная тема: предварительный просмотр и добровольный выбор. Проверить содержание</x:v>
      </x:c>
      <x:c r="P676" s="10" t="str">
        <x:v>Самостоятельное видео</x:v>
      </x:c>
      <x:c r="Q676" s="9" t="str">
        <x:v>Нет</x:v>
      </x:c>
      <x:c r="R676" s="9" t="str">
        <x:v>C043</x:v>
      </x:c>
      <x:c r="S676" s="9" t="str">
        <x:v>C043</x:v>
      </x:c>
      <x:c r="T676" s="10" t="str">
        <x:v>כאן | דיגיטל - תאגיד השידור הישראלי</x:v>
      </x:c>
      <x:c r="U676" s="11" t="str">
        <x:v>https://www.youtube.com/watch?v=opXW8SEgMJQ</x:v>
      </x:c>
      <x:c r="V676" s="16" t="n">
        <x:v>46308</x:v>
      </x:c>
      <x:c r="W676" s="16"/>
      <x:c r="X676" s="10" t="str">
        <x:v>Иврит предполагается по заголовку и источнику</x:v>
      </x:c>
      <x:c r="Y676" s="10" t="str">
        <x:v>Не проверено</x:v>
      </x:c>
      <x:c r="Z676" s="10" t="str">
        <x:v>Не проверено</x:v>
      </x:c>
      <x:c r="AA676" s="10" t="str">
        <x:v>Метаданные списка; видео не просмотрено</x:v>
      </x:c>
      <x:c r="AB676" s="13" t="str">
        <x:f>IF(AND(ISNUMBER(H676),ISNUMBER(W676)),H676/MAX(1,'Обзор'!$B$4-W676),"")</x:f>
      </x:c>
      <x:c r="AC676" s="17" t="str">
        <x:v>Не решено</x:v>
      </x:c>
      <x:c r="AD676" s="17" t="str">
        <x:v>Не проверено</x:v>
      </x:c>
      <x:c r="AE676" s="17" t="str">
        <x:v>Не проверено</x:v>
      </x:c>
      <x:c r="AF676" s="17" t="str">
        <x:v>Не проверено</x:v>
      </x:c>
      <x:c r="AG676" s="17" t="str">
        <x:v>Не решено</x:v>
      </x:c>
      <x:c r="AH676" s="17" t="str">
        <x:v>Не проверено</x:v>
      </x:c>
      <x:c r="AI676" s="10" t="str">
        <x:f>IF(AC676="Отклонить","Отклонено",IF(AND(AC676="Взять",COUNTIFS(AD676:AH676,"Да")=5),"Готово","Нужна редактура"))</x:f>
        <x:v>Нужна редактура</x:v>
      </x:c>
      <x:c r="AJ676" s="17" t="str"/>
      <x:c r="AK676" s="9" t="str">
        <x:v>https://www.youtube.com/playlist?list=PLXv9BeKApRvwx9zh3LqZl-UexiIKULA-7</x:v>
      </x:c>
      <x:c r="AL676" s="9" t="n">
        <x:v>89</x:v>
      </x:c>
      <x:c r="AM676" s="9"/>
      <x:c r="AN676" s="9"/>
    </x:row>
    <x:row r="677" ht="60" customHeight="1">
      <x:c r="A677" s="9" t="str">
        <x:v>TWPoCbVQI38</x:v>
      </x:c>
      <x:c r="B677" s="10" t="str">
        <x:v>דוקותיים: הגולש היחיד בעוטף עזה</x:v>
      </x:c>
      <x:c r="C677" s="10" t="str">
        <x:v>Люди и повседневность</x:v>
      </x:c>
      <x:c r="D677" s="9" t="str">
        <x:v>Быт</x:v>
      </x:c>
      <x:c r="E677" s="10" t="str">
        <x:v>Репатрианты; общество; занятые взрослые</x:v>
      </x:c>
      <x:c r="F677" s="10" t="str">
        <x:v>B1–B2 (гипотеза)</x:v>
      </x:c>
      <x:c r="G677" s="12" t="n">
        <x:v>7.1</x:v>
      </x:c>
      <x:c r="H677" s="14" t="n">
        <x:v>71740</x:v>
      </x:c>
      <x:c r="I677" s="15" t="str">
        <x:v>Точный счётчик метаданных видео</x:v>
      </x:c>
      <x:c r="J677" s="14" t="n">
        <x:v>71000</x:v>
      </x:c>
      <x:c r="K677" s="14" t="n">
        <x:v>32500</x:v>
      </x:c>
      <x:c r="L677" s="12" t="n">
        <x:f>IF(COUNT(J677:K677)=2,IF(K677=0,"",J677/K677),"")</x:f>
        <x:v>2.1846153846153844</x:v>
      </x:c>
      <x:c r="M677" s="10" t="str">
        <x:v>Завершённый короткий просмотр около 7 мин. Просмотры в списке выше медианы выборки этого цикла в 2.18 раза. Короткая история реального человека подходит для ежедневной привычки. Разные профессии и места расширяют взгляд на страну.</x:v>
      </x:c>
      <x:c r="N677" s="10" t="str">
        <x:v>Прослушать 2–5 минут, выписать 6 фраз и пересказать историю в 3 предложениях.</x:v>
      </x:c>
      <x:c r="O677" s="10" t="str">
        <x:v>Проверить содержание</x:v>
      </x:c>
      <x:c r="P677" s="10" t="str">
        <x:v>Самостоятельное видео</x:v>
      </x:c>
      <x:c r="Q677" s="9" t="str">
        <x:v>Нет</x:v>
      </x:c>
      <x:c r="R677" s="9" t="str">
        <x:v>C043</x:v>
      </x:c>
      <x:c r="S677" s="9" t="str">
        <x:v>C043</x:v>
      </x:c>
      <x:c r="T677" s="10" t="str">
        <x:v>כאן | דיגיטל - תאגיד השידור הישראלי</x:v>
      </x:c>
      <x:c r="U677" s="11" t="str">
        <x:v>https://www.youtube.com/watch?v=TWPoCbVQI38</x:v>
      </x:c>
      <x:c r="V677" s="16" t="n">
        <x:v>46308</x:v>
      </x:c>
      <x:c r="W677" s="16" t="n">
        <x:v>45377</x:v>
      </x:c>
      <x:c r="X677" s="10" t="str">
        <x:v>Иврит предполагается по заголовку и источнику</x:v>
      </x:c>
      <x:c r="Y677" s="10" t="str">
        <x:v>Ручная дорожка HE по метаданным</x:v>
      </x:c>
      <x:c r="Z677" s="10" t="str">
        <x:v>Разрешено по метаданным</x:v>
      </x:c>
      <x:c r="AA677" s="10" t="str">
        <x:v>Метаданные видео; воспроизведение и содержание не проверены</x:v>
      </x:c>
      <x:c r="AB677" s="13" t="n">
        <x:f>IF(AND(ISNUMBER(H677),ISNUMBER(W677)),H677/MAX(1,'Обзор'!$B$4-W677),"")</x:f>
        <x:v>77.05692803437164</x:v>
      </x:c>
      <x:c r="AC677" s="17" t="str">
        <x:v>Не решено</x:v>
      </x:c>
      <x:c r="AD677" s="17" t="str">
        <x:v>Не проверено</x:v>
      </x:c>
      <x:c r="AE677" s="17" t="str">
        <x:v>Не проверено</x:v>
      </x:c>
      <x:c r="AF677" s="17" t="str">
        <x:v>Не проверено</x:v>
      </x:c>
      <x:c r="AG677" s="17" t="str">
        <x:v>Не решено</x:v>
      </x:c>
      <x:c r="AH677" s="17" t="str">
        <x:v>Не проверено</x:v>
      </x:c>
      <x:c r="AI677" s="10" t="str">
        <x:f>IF(AC677="Отклонить","Отклонено",IF(AND(AC677="Взять",COUNTIFS(AD677:AH677,"Да")=5),"Готово","Нужна редактура"))</x:f>
        <x:v>Нужна редактура</x:v>
      </x:c>
      <x:c r="AJ677" s="17" t="str"/>
      <x:c r="AK677" s="9" t="str">
        <x:v>https://www.youtube.com/playlist?list=PLXv9BeKApRvwx9zh3LqZl-UexiIKULA-7</x:v>
      </x:c>
      <x:c r="AL677" s="9" t="n">
        <x:v>90</x:v>
      </x:c>
      <x:c r="AM677" s="9"/>
      <x:c r="AN677" s="9" t="n">
        <x:v>0</x:v>
      </x:c>
    </x:row>
    <x:row r="678" ht="60" customHeight="1">
      <x:c r="A678" s="9" t="str">
        <x:v>UGkLDEhNtew</x:v>
      </x:c>
      <x:c r="B678" s="10" t="str">
        <x:v>ירין עושה תספורות שהן יצירות אמנות: "לוקח בכיף 1,000 שקל לתספורת" | דוקותיים</x:v>
      </x:c>
      <x:c r="C678" s="10" t="str">
        <x:v>Люди и повседневность</x:v>
      </x:c>
      <x:c r="D678" s="9" t="str">
        <x:v>Быт</x:v>
      </x:c>
      <x:c r="E678" s="10" t="str">
        <x:v>Репатрианты; общество; занятые взрослые</x:v>
      </x:c>
      <x:c r="F678" s="10" t="str">
        <x:v>B1–B2 (гипотеза)</x:v>
      </x:c>
      <x:c r="G678" s="12" t="n">
        <x:v>7.4</x:v>
      </x:c>
      <x:c r="H678" s="14" t="n">
        <x:v>184272</x:v>
      </x:c>
      <x:c r="I678" s="15" t="str">
        <x:v>Точный счётчик метаданных видео</x:v>
      </x:c>
      <x:c r="J678" s="14" t="n">
        <x:v>184000</x:v>
      </x:c>
      <x:c r="K678" s="14" t="n">
        <x:v>32500</x:v>
      </x:c>
      <x:c r="L678" s="12" t="n">
        <x:f>IF(COUNT(J678:K678)=2,IF(K678=0,"",J678/K678),"")</x:f>
        <x:v>5.661538461538462</x:v>
      </x:c>
      <x:c r="M678" s="10" t="str">
        <x:v>Завершённый короткий просмотр около 7 мин. Просмотры в списке выше медианы выборки этого цикла в 5.66 раза. Короткая история реального человека подходит для ежедневной привычки. Разные профессии и места расширяют взгляд на страну.</x:v>
      </x:c>
      <x:c r="N678" s="10" t="str">
        <x:v>Прослушать 2–5 минут, выписать 6 фраз и пересказать историю в 3 предложениях.</x:v>
      </x:c>
      <x:c r="O678" s="10" t="str">
        <x:v>Проверить содержание</x:v>
      </x:c>
      <x:c r="P678" s="10" t="str">
        <x:v>Самостоятельное видео</x:v>
      </x:c>
      <x:c r="Q678" s="9" t="str">
        <x:v>Нет</x:v>
      </x:c>
      <x:c r="R678" s="9" t="str">
        <x:v>C043</x:v>
      </x:c>
      <x:c r="S678" s="9" t="str">
        <x:v>C043</x:v>
      </x:c>
      <x:c r="T678" s="10" t="str">
        <x:v>כאן | דיגיטל - תאגיד השידור הישראלי</x:v>
      </x:c>
      <x:c r="U678" s="11" t="str">
        <x:v>https://www.youtube.com/watch?v=UGkLDEhNtew</x:v>
      </x:c>
      <x:c r="V678" s="16" t="n">
        <x:v>46308</x:v>
      </x:c>
      <x:c r="W678" s="16" t="n">
        <x:v>45370</x:v>
      </x:c>
      <x:c r="X678" s="10" t="str">
        <x:v>Иврит предполагается по заголовку и источнику</x:v>
      </x:c>
      <x:c r="Y678" s="10" t="str">
        <x:v>Дорожка HE не найдена в метаданных; вшитые титры не проверены</x:v>
      </x:c>
      <x:c r="Z678" s="10" t="str">
        <x:v>Разрешено по метаданным</x:v>
      </x:c>
      <x:c r="AA678" s="10" t="str">
        <x:v>Метаданные видео; воспроизведение и содержание не проверены</x:v>
      </x:c>
      <x:c r="AB678" s="13" t="n">
        <x:f>IF(AND(ISNUMBER(H678),ISNUMBER(W678)),H678/MAX(1,'Обзор'!$B$4-W678),"")</x:f>
        <x:v>196.45202558635395</x:v>
      </x:c>
      <x:c r="AC678" s="17" t="str">
        <x:v>Не решено</x:v>
      </x:c>
      <x:c r="AD678" s="17" t="str">
        <x:v>Не проверено</x:v>
      </x:c>
      <x:c r="AE678" s="17" t="str">
        <x:v>Не проверено</x:v>
      </x:c>
      <x:c r="AF678" s="17" t="str">
        <x:v>Не проверено</x:v>
      </x:c>
      <x:c r="AG678" s="17" t="str">
        <x:v>Не решено</x:v>
      </x:c>
      <x:c r="AH678" s="17" t="str">
        <x:v>Не проверено</x:v>
      </x:c>
      <x:c r="AI678" s="10" t="str">
        <x:f>IF(AC678="Отклонить","Отклонено",IF(AND(AC678="Взять",COUNTIFS(AD678:AH678,"Да")=5),"Готово","Нужна редактура"))</x:f>
        <x:v>Нужна редактура</x:v>
      </x:c>
      <x:c r="AJ678" s="17" t="str"/>
      <x:c r="AK678" s="9" t="str">
        <x:v>https://www.youtube.com/playlist?list=PLXv9BeKApRvwx9zh3LqZl-UexiIKULA-7</x:v>
      </x:c>
      <x:c r="AL678" s="9" t="n">
        <x:v>91</x:v>
      </x:c>
      <x:c r="AM678" s="9"/>
      <x:c r="AN678" s="9" t="n">
        <x:v>0</x:v>
      </x:c>
    </x:row>
    <x:row r="679" ht="60" customHeight="1">
      <x:c r="A679" s="9" t="str">
        <x:v>qpkg59Moilk</x:v>
      </x:c>
      <x:c r="B679" s="10" t="str">
        <x:v>מאי בדוסה מאוהבת בטנקים מאז שהיא זוכרת את עצמה | דוקותיים</x:v>
      </x:c>
      <x:c r="C679" s="10" t="str">
        <x:v>Люди и повседневность</x:v>
      </x:c>
      <x:c r="D679" s="9" t="str">
        <x:v>Быт</x:v>
      </x:c>
      <x:c r="E679" s="10" t="str">
        <x:v>Репатрианты; общество; занятые взрослые</x:v>
      </x:c>
      <x:c r="F679" s="10" t="str">
        <x:v>B1–B2 (гипотеза)</x:v>
      </x:c>
      <x:c r="G679" s="12" t="n">
        <x:v>5</x:v>
      </x:c>
      <x:c r="H679" s="14" t="n">
        <x:v>41636</x:v>
      </x:c>
      <x:c r="I679" s="15" t="str">
        <x:v>Точный счётчик метаданных видео</x:v>
      </x:c>
      <x:c r="J679" s="14" t="n">
        <x:v>41000</x:v>
      </x:c>
      <x:c r="K679" s="14" t="n">
        <x:v>32500</x:v>
      </x:c>
      <x:c r="L679" s="12" t="n">
        <x:f>IF(COUNT(J679:K679)=2,IF(K679=0,"",J679/K679),"")</x:f>
        <x:v>1.2615384615384615</x:v>
      </x:c>
      <x:c r="M679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679" s="10" t="str">
        <x:v>Прослушать 2–5 минут, выписать 6 фраз и пересказать историю в 3 предложениях.</x:v>
      </x:c>
      <x:c r="O679" s="10" t="str">
        <x:v>Проверить содержание</x:v>
      </x:c>
      <x:c r="P679" s="10" t="str">
        <x:v>Самостоятельное видео</x:v>
      </x:c>
      <x:c r="Q679" s="9" t="str">
        <x:v>Нет</x:v>
      </x:c>
      <x:c r="R679" s="9" t="str">
        <x:v>C043</x:v>
      </x:c>
      <x:c r="S679" s="9" t="str">
        <x:v>C043</x:v>
      </x:c>
      <x:c r="T679" s="10" t="str">
        <x:v>כאן | דיגיטל - תאגיד השידור הישראלי</x:v>
      </x:c>
      <x:c r="U679" s="11" t="str">
        <x:v>https://www.youtube.com/watch?v=qpkg59Moilk</x:v>
      </x:c>
      <x:c r="V679" s="16" t="n">
        <x:v>46308</x:v>
      </x:c>
      <x:c r="W679" s="16" t="n">
        <x:v>45363</x:v>
      </x:c>
      <x:c r="X679" s="10" t="str">
        <x:v>Иврит предполагается по заголовку и источнику</x:v>
      </x:c>
      <x:c r="Y679" s="10" t="str">
        <x:v>Ручная дорожка HE по метаданным</x:v>
      </x:c>
      <x:c r="Z679" s="10" t="str">
        <x:v>Разрешено по метаданным</x:v>
      </x:c>
      <x:c r="AA679" s="10" t="str">
        <x:v>Метаданные видео; воспроизведение и содержание не проверены</x:v>
      </x:c>
      <x:c r="AB679" s="13" t="n">
        <x:f>IF(AND(ISNUMBER(H679),ISNUMBER(W679)),H679/MAX(1,'Обзор'!$B$4-W679),"")</x:f>
        <x:v>44.05925925925926</x:v>
      </x:c>
      <x:c r="AC679" s="17" t="str">
        <x:v>Не решено</x:v>
      </x:c>
      <x:c r="AD679" s="17" t="str">
        <x:v>Не проверено</x:v>
      </x:c>
      <x:c r="AE679" s="17" t="str">
        <x:v>Не проверено</x:v>
      </x:c>
      <x:c r="AF679" s="17" t="str">
        <x:v>Не проверено</x:v>
      </x:c>
      <x:c r="AG679" s="17" t="str">
        <x:v>Не решено</x:v>
      </x:c>
      <x:c r="AH679" s="17" t="str">
        <x:v>Не проверено</x:v>
      </x:c>
      <x:c r="AI679" s="10" t="str">
        <x:f>IF(AC679="Отклонить","Отклонено",IF(AND(AC679="Взять",COUNTIFS(AD679:AH679,"Да")=5),"Готово","Нужна редактура"))</x:f>
        <x:v>Нужна редактура</x:v>
      </x:c>
      <x:c r="AJ679" s="17" t="str"/>
      <x:c r="AK679" s="9" t="str">
        <x:v>https://www.youtube.com/playlist?list=PLXv9BeKApRvwx9zh3LqZl-UexiIKULA-7</x:v>
      </x:c>
      <x:c r="AL679" s="9" t="n">
        <x:v>92</x:v>
      </x:c>
      <x:c r="AM679" s="9"/>
      <x:c r="AN679" s="9" t="n">
        <x:v>0</x:v>
      </x:c>
    </x:row>
    <x:row r="680" ht="60" customHeight="1">
      <x:c r="A680" s="9" t="str">
        <x:v>NficKosW9Qg</x:v>
      </x:c>
      <x:c r="B680" s="10" t="str">
        <x:v>דוקותיים | אליהו גוטמן ואלי טורנהיים מכפר חב"ד הם סיירת הכביסה של "עזר לחייל"</x:v>
      </x:c>
      <x:c r="C680" s="10" t="str">
        <x:v>Люди и повседневность</x:v>
      </x:c>
      <x:c r="D680" s="9" t="str">
        <x:v>Быт</x:v>
      </x:c>
      <x:c r="E680" s="10" t="str">
        <x:v>Репатрианты; общество; занятые взрослые</x:v>
      </x:c>
      <x:c r="F680" s="10" t="str">
        <x:v>B1–B2 (гипотеза)</x:v>
      </x:c>
      <x:c r="G680" s="12" t="n">
        <x:v>5.7</x:v>
      </x:c>
      <x:c r="H680" s="14" t="n">
        <x:v>54230</x:v>
      </x:c>
      <x:c r="I680" s="15" t="str">
        <x:v>Точный счётчик метаданных видео</x:v>
      </x:c>
      <x:c r="J680" s="14" t="n">
        <x:v>54000</x:v>
      </x:c>
      <x:c r="K680" s="14" t="n">
        <x:v>32500</x:v>
      </x:c>
      <x:c r="L680" s="12" t="n">
        <x:f>IF(COUNT(J680:K680)=2,IF(K680=0,"",J680/K680),"")</x:f>
        <x:v>1.6615384615384616</x:v>
      </x:c>
      <x:c r="M680" s="10" t="str">
        <x:v>Завершённый короткий просмотр около 6 мин. Просмотры в списке выше медианы выборки этого цикла в 1.66 раза. Короткая история реального человека подходит для ежедневной привычки. Разные профессии и места расширяют взгляд на страну.</x:v>
      </x:c>
      <x:c r="N680" s="10" t="str">
        <x:v>Прослушать 2–5 минут, выписать 6 фраз и пересказать историю в 3 предложениях.</x:v>
      </x:c>
      <x:c r="O680" s="10" t="str">
        <x:v>Проверить содержание</x:v>
      </x:c>
      <x:c r="P680" s="10" t="str">
        <x:v>Самостоятельное видео</x:v>
      </x:c>
      <x:c r="Q680" s="9" t="str">
        <x:v>Нет</x:v>
      </x:c>
      <x:c r="R680" s="9" t="str">
        <x:v>C043</x:v>
      </x:c>
      <x:c r="S680" s="9" t="str">
        <x:v>C043</x:v>
      </x:c>
      <x:c r="T680" s="10" t="str">
        <x:v>כאן | דיגיטל - תאגיד השידור הישראלי</x:v>
      </x:c>
      <x:c r="U680" s="11" t="str">
        <x:v>https://www.youtube.com/watch?v=NficKosW9Qg</x:v>
      </x:c>
      <x:c r="V680" s="16" t="n">
        <x:v>46308</x:v>
      </x:c>
      <x:c r="W680" s="16" t="n">
        <x:v>45342</x:v>
      </x:c>
      <x:c r="X680" s="10" t="str">
        <x:v>Иврит предполагается по заголовку и источнику</x:v>
      </x:c>
      <x:c r="Y680" s="10" t="str">
        <x:v>Ручная дорожка HE по метаданным</x:v>
      </x:c>
      <x:c r="Z680" s="10" t="str">
        <x:v>Разрешено по метаданным</x:v>
      </x:c>
      <x:c r="AA680" s="10" t="str">
        <x:v>Метаданные видео; воспроизведение и содержание не проверены</x:v>
      </x:c>
      <x:c r="AB680" s="13" t="n">
        <x:f>IF(AND(ISNUMBER(H680),ISNUMBER(W680)),H680/MAX(1,'Обзор'!$B$4-W680),"")</x:f>
        <x:v>56.13871635610766</x:v>
      </x:c>
      <x:c r="AC680" s="17" t="str">
        <x:v>Не решено</x:v>
      </x:c>
      <x:c r="AD680" s="17" t="str">
        <x:v>Не проверено</x:v>
      </x:c>
      <x:c r="AE680" s="17" t="str">
        <x:v>Не проверено</x:v>
      </x:c>
      <x:c r="AF680" s="17" t="str">
        <x:v>Не проверено</x:v>
      </x:c>
      <x:c r="AG680" s="17" t="str">
        <x:v>Не решено</x:v>
      </x:c>
      <x:c r="AH680" s="17" t="str">
        <x:v>Не проверено</x:v>
      </x:c>
      <x:c r="AI680" s="10" t="str">
        <x:f>IF(AC680="Отклонить","Отклонено",IF(AND(AC680="Взять",COUNTIFS(AD680:AH680,"Да")=5),"Готово","Нужна редактура"))</x:f>
        <x:v>Нужна редактура</x:v>
      </x:c>
      <x:c r="AJ680" s="17" t="str"/>
      <x:c r="AK680" s="9" t="str">
        <x:v>https://www.youtube.com/playlist?list=PLXv9BeKApRvwx9zh3LqZl-UexiIKULA-7</x:v>
      </x:c>
      <x:c r="AL680" s="9" t="n">
        <x:v>93</x:v>
      </x:c>
      <x:c r="AM680" s="9"/>
      <x:c r="AN680" s="9" t="n">
        <x:v>0</x:v>
      </x:c>
    </x:row>
    <x:row r="681" ht="60" customHeight="1">
      <x:c r="A681" s="9" t="str">
        <x:v>oh35XR43-dQ</x:v>
      </x:c>
      <x:c r="B681" s="10" t="str">
        <x:v>דוקותיים עם ילדי ניר עוז: “מרוב פחד פתאום אין לך בכי. צרחתי תעזרו לי”</x:v>
      </x:c>
      <x:c r="C681" s="10" t="str">
        <x:v>Люди и повседневность</x:v>
      </x:c>
      <x:c r="D681" s="9" t="str">
        <x:v>Быт</x:v>
      </x:c>
      <x:c r="E681" s="10" t="str">
        <x:v>Репатрианты; общество; занятые взрослые</x:v>
      </x:c>
      <x:c r="F681" s="10" t="str">
        <x:v>B1–B2 (гипотеза)</x:v>
      </x:c>
      <x:c r="G681" s="12" t="n">
        <x:v>11.6</x:v>
      </x:c>
      <x:c r="H681" s="14" t="n">
        <x:v>80686</x:v>
      </x:c>
      <x:c r="I681" s="15" t="str">
        <x:v>Точный счётчик метаданных видео</x:v>
      </x:c>
      <x:c r="J681" s="14" t="n">
        <x:v>80000</x:v>
      </x:c>
      <x:c r="K681" s="14" t="n">
        <x:v>32500</x:v>
      </x:c>
      <x:c r="L681" s="12" t="n">
        <x:f>IF(COUNT(J681:K681)=2,IF(K681=0,"",J681/K681),"")</x:f>
        <x:v>2.4615384615384617</x:v>
      </x:c>
      <x:c r="M681" s="10" t="str">
        <x:v>Тема: דוקותיים עם ילדי ניר עוז: “מרוב פחד פתאום אין לך בכי. צרחתי תעזרו לי”. Просмотры в списке выше медианы выборки этого цикла в 2.46 раза. Короткая история реального человека подходит для ежедневной привычки. Разные профессии и места расширяют взгляд на страну.</x:v>
      </x:c>
      <x:c r="N681" s="10" t="str">
        <x:v>Прослушать 2–5 минут, выписать 6 фраз и пересказать историю в 3 предложениях.</x:v>
      </x:c>
      <x:c r="O681" s="10" t="str">
        <x:v>Проверить содержание</x:v>
      </x:c>
      <x:c r="P681" s="10" t="str">
        <x:v>Самостоятельное видео</x:v>
      </x:c>
      <x:c r="Q681" s="9" t="str">
        <x:v>Нет</x:v>
      </x:c>
      <x:c r="R681" s="9" t="str">
        <x:v>C043</x:v>
      </x:c>
      <x:c r="S681" s="9" t="str">
        <x:v>C043</x:v>
      </x:c>
      <x:c r="T681" s="10" t="str">
        <x:v>כאן | דיגיטל - תאגיד השידור הישראלי</x:v>
      </x:c>
      <x:c r="U681" s="11" t="str">
        <x:v>https://www.youtube.com/watch?v=oh35XR43-dQ</x:v>
      </x:c>
      <x:c r="V681" s="16" t="n">
        <x:v>46308</x:v>
      </x:c>
      <x:c r="W681" s="16" t="n">
        <x:v>45335</x:v>
      </x:c>
      <x:c r="X681" s="10" t="str">
        <x:v>Иврит предполагается по заголовку и источнику</x:v>
      </x:c>
      <x:c r="Y681" s="10" t="str">
        <x:v>Ручная дорожка HE по метаданным</x:v>
      </x:c>
      <x:c r="Z681" s="10" t="str">
        <x:v>Разрешено по метаданным</x:v>
      </x:c>
      <x:c r="AA681" s="10" t="str">
        <x:v>Метаданные видео; воспроизведение и содержание не проверены</x:v>
      </x:c>
      <x:c r="AB681" s="13" t="n">
        <x:f>IF(AND(ISNUMBER(H681),ISNUMBER(W681)),H681/MAX(1,'Обзор'!$B$4-W681),"")</x:f>
        <x:v>82.92497430626928</x:v>
      </x:c>
      <x:c r="AC681" s="17" t="str">
        <x:v>Не решено</x:v>
      </x:c>
      <x:c r="AD681" s="17" t="str">
        <x:v>Не проверено</x:v>
      </x:c>
      <x:c r="AE681" s="17" t="str">
        <x:v>Не проверено</x:v>
      </x:c>
      <x:c r="AF681" s="17" t="str">
        <x:v>Не проверено</x:v>
      </x:c>
      <x:c r="AG681" s="17" t="str">
        <x:v>Не решено</x:v>
      </x:c>
      <x:c r="AH681" s="17" t="str">
        <x:v>Не проверено</x:v>
      </x:c>
      <x:c r="AI681" s="10" t="str">
        <x:f>IF(AC681="Отклонить","Отклонено",IF(AND(AC681="Взять",COUNTIFS(AD681:AH681,"Да")=5),"Готово","Нужна редактура"))</x:f>
        <x:v>Нужна редактура</x:v>
      </x:c>
      <x:c r="AJ681" s="17" t="str"/>
      <x:c r="AK681" s="9" t="str">
        <x:v>https://www.youtube.com/playlist?list=PLXv9BeKApRvwx9zh3LqZl-UexiIKULA-7</x:v>
      </x:c>
      <x:c r="AL681" s="9" t="n">
        <x:v>94</x:v>
      </x:c>
      <x:c r="AM681" s="9"/>
      <x:c r="AN681" s="9" t="n">
        <x:v>0</x:v>
      </x:c>
    </x:row>
    <x:row r="682" ht="60" customHeight="1">
      <x:c r="A682" s="9" t="str">
        <x:v>Uf1mDmRSox4</x:v>
      </x:c>
      <x:c r="B682" s="10" t="str">
        <x:v>ברוכים הבאים לקו הקדמי של מלחמת הסייבר: "התקופה הזאת משנה את ההיסטוריה" | דוקותיים</x:v>
      </x:c>
      <x:c r="C682" s="10" t="str">
        <x:v>Люди и повседневность</x:v>
      </x:c>
      <x:c r="D682" s="9" t="str">
        <x:v>Быт</x:v>
      </x:c>
      <x:c r="E682" s="10" t="str">
        <x:v>Репатрианты; общество; занятые взрослые</x:v>
      </x:c>
      <x:c r="F682" s="10" t="str">
        <x:v>B1–B2 (гипотеза)</x:v>
      </x:c>
      <x:c r="G682" s="12" t="n">
        <x:v>1.6</x:v>
      </x:c>
      <x:c r="H682" s="14" t="n">
        <x:v>11000</x:v>
      </x:c>
      <x:c r="I682" s="15" t="str">
        <x:v>Округлённый счётчик в списке YouTube</x:v>
      </x:c>
      <x:c r="J682" s="14" t="n">
        <x:v>11000</x:v>
      </x:c>
      <x:c r="K682" s="14" t="n">
        <x:v>32500</x:v>
      </x:c>
      <x:c r="L682" s="12" t="n">
        <x:f>IF(COUNT(J682:K682)=2,IF(K682=0,"",J682/K682),"")</x:f>
        <x:v>0.3384615384615385</x:v>
      </x:c>
      <x:c r="M682" s="10" t="str">
        <x:v>Завершённый короткий просмотр около 2 мин. Просмотры ниже медианы цикла; выбирать за нишевую ценность, а не за массовый охват. Короткая история реального человека подходит для ежедневной привычки. Разные профессии и места расширяют взгляд на страну.</x:v>
      </x:c>
      <x:c r="N682" s="10" t="str">
        <x:v>Прослушать 2–5 минут, выписать 6 фраз и пересказать историю в 3 предложениях.</x:v>
      </x:c>
      <x:c r="O682" s="10" t="str">
        <x:v>Проверить содержание</x:v>
      </x:c>
      <x:c r="P682" s="10" t="str">
        <x:v>Самостоятельное видео</x:v>
      </x:c>
      <x:c r="Q682" s="9" t="str">
        <x:v>Нет</x:v>
      </x:c>
      <x:c r="R682" s="9" t="str">
        <x:v>C043</x:v>
      </x:c>
      <x:c r="S682" s="9" t="str">
        <x:v>C043</x:v>
      </x:c>
      <x:c r="T682" s="10" t="str">
        <x:v>כאן | דיגיטל - תאגיד השידור הישראלי</x:v>
      </x:c>
      <x:c r="U682" s="11" t="str">
        <x:v>https://www.youtube.com/watch?v=Uf1mDmRSox4</x:v>
      </x:c>
      <x:c r="V682" s="16" t="n">
        <x:v>46308</x:v>
      </x:c>
      <x:c r="W682" s="16"/>
      <x:c r="X682" s="10" t="str">
        <x:v>Иврит предполагается по заголовку и источнику</x:v>
      </x:c>
      <x:c r="Y682" s="10" t="str">
        <x:v>Не проверено</x:v>
      </x:c>
      <x:c r="Z682" s="10" t="str">
        <x:v>Не проверено</x:v>
      </x:c>
      <x:c r="AA682" s="10" t="str">
        <x:v>Метаданные списка; видео не просмотрено</x:v>
      </x:c>
      <x:c r="AB682" s="13" t="str">
        <x:f>IF(AND(ISNUMBER(H682),ISNUMBER(W682)),H682/MAX(1,'Обзор'!$B$4-W682),"")</x:f>
      </x:c>
      <x:c r="AC682" s="17" t="str">
        <x:v>Не решено</x:v>
      </x:c>
      <x:c r="AD682" s="17" t="str">
        <x:v>Не проверено</x:v>
      </x:c>
      <x:c r="AE682" s="17" t="str">
        <x:v>Не проверено</x:v>
      </x:c>
      <x:c r="AF682" s="17" t="str">
        <x:v>Не проверено</x:v>
      </x:c>
      <x:c r="AG682" s="17" t="str">
        <x:v>Не решено</x:v>
      </x:c>
      <x:c r="AH682" s="17" t="str">
        <x:v>Не проверено</x:v>
      </x:c>
      <x:c r="AI682" s="10" t="str">
        <x:f>IF(AC682="Отклонить","Отклонено",IF(AND(AC682="Взять",COUNTIFS(AD682:AH682,"Да")=5),"Готово","Нужна редактура"))</x:f>
        <x:v>Нужна редактура</x:v>
      </x:c>
      <x:c r="AJ682" s="17" t="str"/>
      <x:c r="AK682" s="9" t="str">
        <x:v>https://www.youtube.com/playlist?list=PLXv9BeKApRvwx9zh3LqZl-UexiIKULA-7</x:v>
      </x:c>
      <x:c r="AL682" s="9" t="n">
        <x:v>96</x:v>
      </x:c>
      <x:c r="AM682" s="9"/>
      <x:c r="AN682" s="9"/>
    </x:row>
    <x:row r="683" ht="60" customHeight="1">
      <x:c r="A683" s="9" t="str">
        <x:v>-pIz1Z7Uz0Y</x:v>
      </x:c>
      <x:c r="B683" s="10" t="str">
        <x:v>דוקותיים: הקיבוצניק מעוטף עזה ממגן את כל המדינה</x:v>
      </x:c>
      <x:c r="C683" s="10" t="str">
        <x:v>Люди и повседневность</x:v>
      </x:c>
      <x:c r="D683" s="9" t="str">
        <x:v>Быт</x:v>
      </x:c>
      <x:c r="E683" s="10" t="str">
        <x:v>Репатрианты; общество; занятые взрослые</x:v>
      </x:c>
      <x:c r="F683" s="10" t="str">
        <x:v>B1–B2 (гипотеза)</x:v>
      </x:c>
      <x:c r="G683" s="12" t="n">
        <x:v>5</x:v>
      </x:c>
      <x:c r="H683" s="14" t="n">
        <x:v>24000</x:v>
      </x:c>
      <x:c r="I683" s="15" t="str">
        <x:v>Округлённый счётчик в списке YouTube</x:v>
      </x:c>
      <x:c r="J683" s="14" t="n">
        <x:v>24000</x:v>
      </x:c>
      <x:c r="K683" s="14" t="n">
        <x:v>32500</x:v>
      </x:c>
      <x:c r="L683" s="12" t="n">
        <x:f>IF(COUNT(J683:K683)=2,IF(K683=0,"",J683/K683),"")</x:f>
        <x:v>0.7384615384615385</x:v>
      </x:c>
      <x:c r="M683" s="10" t="str">
        <x:v>Завершённый короткий просмотр около 5 мин. Короткая история реального человека подходит для ежедневной привычки. Разные профессии и места расширяют взгляд на страну.</x:v>
      </x:c>
      <x:c r="N683" s="10" t="str">
        <x:v>Прослушать 2–5 минут, выписать 6 фраз и пересказать историю в 3 предложениях.</x:v>
      </x:c>
      <x:c r="O683" s="10" t="str">
        <x:v>Проверить содержание</x:v>
      </x:c>
      <x:c r="P683" s="10" t="str">
        <x:v>Самостоятельное видео</x:v>
      </x:c>
      <x:c r="Q683" s="9" t="str">
        <x:v>Нет</x:v>
      </x:c>
      <x:c r="R683" s="9" t="str">
        <x:v>C043</x:v>
      </x:c>
      <x:c r="S683" s="9" t="str">
        <x:v>C043</x:v>
      </x:c>
      <x:c r="T683" s="10" t="str">
        <x:v>כאן | דיגיטל - תאגיד השידור הישראלי</x:v>
      </x:c>
      <x:c r="U683" s="11" t="str">
        <x:v>https://www.youtube.com/watch?v=-pIz1Z7Uz0Y</x:v>
      </x:c>
      <x:c r="V683" s="16" t="n">
        <x:v>46308</x:v>
      </x:c>
      <x:c r="W683" s="16"/>
      <x:c r="X683" s="10" t="str">
        <x:v>Иврит предполагается по заголовку и источнику</x:v>
      </x:c>
      <x:c r="Y683" s="10" t="str">
        <x:v>Не проверено</x:v>
      </x:c>
      <x:c r="Z683" s="10" t="str">
        <x:v>Не проверено</x:v>
      </x:c>
      <x:c r="AA683" s="10" t="str">
        <x:v>Метаданные списка; видео не просмотрено</x:v>
      </x:c>
      <x:c r="AB683" s="13" t="str">
        <x:f>IF(AND(ISNUMBER(H683),ISNUMBER(W683)),H683/MAX(1,'Обзор'!$B$4-W683),"")</x:f>
      </x:c>
      <x:c r="AC683" s="17" t="str">
        <x:v>Не решено</x:v>
      </x:c>
      <x:c r="AD683" s="17" t="str">
        <x:v>Не проверено</x:v>
      </x:c>
      <x:c r="AE683" s="17" t="str">
        <x:v>Не проверено</x:v>
      </x:c>
      <x:c r="AF683" s="17" t="str">
        <x:v>Не проверено</x:v>
      </x:c>
      <x:c r="AG683" s="17" t="str">
        <x:v>Не решено</x:v>
      </x:c>
      <x:c r="AH683" s="17" t="str">
        <x:v>Не проверено</x:v>
      </x:c>
      <x:c r="AI683" s="10" t="str">
        <x:f>IF(AC683="Отклонить","Отклонено",IF(AND(AC683="Взять",COUNTIFS(AD683:AH683,"Да")=5),"Готово","Нужна редактура"))</x:f>
        <x:v>Нужна редактура</x:v>
      </x:c>
      <x:c r="AJ683" s="17" t="str"/>
      <x:c r="AK683" s="9" t="str">
        <x:v>https://www.youtube.com/playlist?list=PLXv9BeKApRvwx9zh3LqZl-UexiIKULA-7</x:v>
      </x:c>
      <x:c r="AL683" s="9" t="n">
        <x:v>97</x:v>
      </x:c>
      <x:c r="AM683" s="9"/>
      <x:c r="AN683" s="9"/>
    </x:row>
    <x:row r="684" ht="60" customHeight="1">
      <x:c r="A684" s="9" t="str">
        <x:v>YZTBWfWTFbE</x:v>
      </x:c>
      <x:c r="B684" s="10" t="str">
        <x:v>דוקותיים: החקלאי שלא עזב את נתיב העשרה מסכם 100 ימים של בדידות</x:v>
      </x:c>
      <x:c r="C684" s="10" t="str">
        <x:v>Люди и повседневность</x:v>
      </x:c>
      <x:c r="D684" s="9" t="str">
        <x:v>Быт</x:v>
      </x:c>
      <x:c r="E684" s="10" t="str">
        <x:v>Репатрианты; общество; занятые взрослые</x:v>
      </x:c>
      <x:c r="F684" s="10" t="str">
        <x:v>B1–B2 (гипотеза)</x:v>
      </x:c>
      <x:c r="G684" s="12" t="n">
        <x:v>8.3</x:v>
      </x:c>
      <x:c r="H684" s="14" t="n">
        <x:v>36782</x:v>
      </x:c>
      <x:c r="I684" s="15" t="str">
        <x:v>Точный счётчик метаданных видео</x:v>
      </x:c>
      <x:c r="J684" s="14" t="n">
        <x:v>36000</x:v>
      </x:c>
      <x:c r="K684" s="14" t="n">
        <x:v>32500</x:v>
      </x:c>
      <x:c r="L684" s="12" t="n">
        <x:f>IF(COUNT(J684:K684)=2,IF(K684=0,"",J684/K684),"")</x:f>
        <x:v>1.1076923076923078</x:v>
      </x:c>
      <x:c r="M684" s="10" t="str">
        <x:v>Завершённый короткий просмотр около 8 мин. Короткая история реального человека подходит для ежедневной привычки. Разные профессии и места расширяют взгляд на страну.</x:v>
      </x:c>
      <x:c r="N684" s="10" t="str">
        <x:v>Прослушать 2–5 минут, выписать 6 фраз и пересказать историю в 3 предложениях.</x:v>
      </x:c>
      <x:c r="O684" s="10" t="str">
        <x:v>Проверить содержание</x:v>
      </x:c>
      <x:c r="P684" s="10" t="str">
        <x:v>Самостоятельное видео</x:v>
      </x:c>
      <x:c r="Q684" s="9" t="str">
        <x:v>Нет</x:v>
      </x:c>
      <x:c r="R684" s="9" t="str">
        <x:v>C043</x:v>
      </x:c>
      <x:c r="S684" s="9" t="str">
        <x:v>C043</x:v>
      </x:c>
      <x:c r="T684" s="10" t="str">
        <x:v>כאן | דיגיטל - תאגיד השידור הישראלי</x:v>
      </x:c>
      <x:c r="U684" s="11" t="str">
        <x:v>https://www.youtube.com/watch?v=YZTBWfWTFbE</x:v>
      </x:c>
      <x:c r="V684" s="16" t="n">
        <x:v>46308</x:v>
      </x:c>
      <x:c r="W684" s="16" t="n">
        <x:v>45321</x:v>
      </x:c>
      <x:c r="X684" s="10" t="str">
        <x:v>Иврит предполагается по заголовку и источнику</x:v>
      </x:c>
      <x:c r="Y684" s="10" t="str">
        <x:v>Автоматическая дорожка HE по метаданным</x:v>
      </x:c>
      <x:c r="Z684" s="10" t="str">
        <x:v>Разрешено по метаданным</x:v>
      </x:c>
      <x:c r="AA684" s="10" t="str">
        <x:v>Метаданные видео; воспроизведение и содержание не проверены</x:v>
      </x:c>
      <x:c r="AB684" s="13" t="n">
        <x:f>IF(AND(ISNUMBER(H684),ISNUMBER(W684)),H684/MAX(1,'Обзор'!$B$4-W684),"")</x:f>
        <x:v>37.26646403242148</x:v>
      </x:c>
      <x:c r="AC684" s="17" t="str">
        <x:v>Не решено</x:v>
      </x:c>
      <x:c r="AD684" s="17" t="str">
        <x:v>Не проверено</x:v>
      </x:c>
      <x:c r="AE684" s="17" t="str">
        <x:v>Не проверено</x:v>
      </x:c>
      <x:c r="AF684" s="17" t="str">
        <x:v>Не проверено</x:v>
      </x:c>
      <x:c r="AG684" s="17" t="str">
        <x:v>Не решено</x:v>
      </x:c>
      <x:c r="AH684" s="17" t="str">
        <x:v>Не проверено</x:v>
      </x:c>
      <x:c r="AI684" s="10" t="str">
        <x:f>IF(AC684="Отклонить","Отклонено",IF(AND(AC684="Взять",COUNTIFS(AD684:AH684,"Да")=5),"Готово","Нужна редактура"))</x:f>
        <x:v>Нужна редактура</x:v>
      </x:c>
      <x:c r="AJ684" s="17" t="str"/>
      <x:c r="AK684" s="9" t="str">
        <x:v>https://www.youtube.com/playlist?list=PLXv9BeKApRvwx9zh3LqZl-UexiIKULA-7</x:v>
      </x:c>
      <x:c r="AL684" s="9" t="n">
        <x:v>98</x:v>
      </x:c>
      <x:c r="AM684" s="9"/>
      <x:c r="AN684" s="9" t="n">
        <x:v>0</x:v>
      </x:c>
    </x:row>
    <x:row r="685" ht="60" customHeight="1">
      <x:c r="A685" s="9" t="str">
        <x:v>eJRipXwLmIY</x:v>
      </x:c>
      <x:c r="B685" s="10" t="str">
        <x:v>בדרך לעזה עוצרים אצל קובי | דוקותיים</x:v>
      </x:c>
      <x:c r="C685" s="10" t="str">
        <x:v>Люди и повседневность</x:v>
      </x:c>
      <x:c r="D685" s="9" t="str">
        <x:v>Быт</x:v>
      </x:c>
      <x:c r="E685" s="10" t="str">
        <x:v>Репатрианты; общество; занятые взрослые</x:v>
      </x:c>
      <x:c r="F685" s="10" t="str">
        <x:v>B1–B2 (гипотеза)</x:v>
      </x:c>
      <x:c r="G685" s="12" t="n">
        <x:v>4.3</x:v>
      </x:c>
      <x:c r="H685" s="14" t="n">
        <x:v>65845</x:v>
      </x:c>
      <x:c r="I685" s="15" t="str">
        <x:v>Точный счётчик метаданных видео</x:v>
      </x:c>
      <x:c r="J685" s="14" t="n">
        <x:v>65000</x:v>
      </x:c>
      <x:c r="K685" s="14" t="n">
        <x:v>32500</x:v>
      </x:c>
      <x:c r="L685" s="12" t="n">
        <x:f>IF(COUNT(J685:K685)=2,IF(K685=0,"",J685/K685),"")</x:f>
        <x:v>2</x:v>
      </x:c>
      <x:c r="M685" s="10" t="str">
        <x:v>Завершённый короткий просмотр около 4 мин. Просмотры в списке выше медианы выборки этого цикла в 2.0 раза. Короткая история реального человека подходит для ежедневной привычки. Разные профессии и места расширяют взгляд на страну.</x:v>
      </x:c>
      <x:c r="N685" s="10" t="str">
        <x:v>Прослушать 2–5 минут, выписать 6 фраз и пересказать историю в 3 предложениях.</x:v>
      </x:c>
      <x:c r="O685" s="10" t="str">
        <x:v>Проверить содержание</x:v>
      </x:c>
      <x:c r="P685" s="10" t="str">
        <x:v>Самостоятельное видео</x:v>
      </x:c>
      <x:c r="Q685" s="9" t="str">
        <x:v>Нет</x:v>
      </x:c>
      <x:c r="R685" s="9" t="str">
        <x:v>C043</x:v>
      </x:c>
      <x:c r="S685" s="9" t="str">
        <x:v>C043</x:v>
      </x:c>
      <x:c r="T685" s="10" t="str">
        <x:v>כאן | דיגיטל - תאגיד השידור הישראלי</x:v>
      </x:c>
      <x:c r="U685" s="11" t="str">
        <x:v>https://www.youtube.com/watch?v=eJRipXwLmIY</x:v>
      </x:c>
      <x:c r="V685" s="16" t="n">
        <x:v>46308</x:v>
      </x:c>
      <x:c r="W685" s="16" t="n">
        <x:v>45292</x:v>
      </x:c>
      <x:c r="X685" s="10" t="str">
        <x:v>Иврит предполагается по заголовку и источнику</x:v>
      </x:c>
      <x:c r="Y685" s="10" t="str">
        <x:v>Автоматическая дорожка HE по метаданным</x:v>
      </x:c>
      <x:c r="Z685" s="10" t="str">
        <x:v>Разрешено по метаданным</x:v>
      </x:c>
      <x:c r="AA685" s="10" t="str">
        <x:v>Метаданные видео; воспроизведение и содержание не проверены</x:v>
      </x:c>
      <x:c r="AB685" s="13" t="n">
        <x:f>IF(AND(ISNUMBER(H685),ISNUMBER(W685)),H685/MAX(1,'Обзор'!$B$4-W685),"")</x:f>
        <x:v>64.80807086614173</x:v>
      </x:c>
      <x:c r="AC685" s="17" t="str">
        <x:v>Не решено</x:v>
      </x:c>
      <x:c r="AD685" s="17" t="str">
        <x:v>Не проверено</x:v>
      </x:c>
      <x:c r="AE685" s="17" t="str">
        <x:v>Не проверено</x:v>
      </x:c>
      <x:c r="AF685" s="17" t="str">
        <x:v>Не проверено</x:v>
      </x:c>
      <x:c r="AG685" s="17" t="str">
        <x:v>Не решено</x:v>
      </x:c>
      <x:c r="AH685" s="17" t="str">
        <x:v>Не проверено</x:v>
      </x:c>
      <x:c r="AI685" s="10" t="str">
        <x:f>IF(AC685="Отклонить","Отклонено",IF(AND(AC685="Взять",COUNTIFS(AD685:AH685,"Да")=5),"Готово","Нужна редактура"))</x:f>
        <x:v>Нужна редактура</x:v>
      </x:c>
      <x:c r="AJ685" s="17" t="str"/>
      <x:c r="AK685" s="9" t="str">
        <x:v>https://www.youtube.com/playlist?list=PLXv9BeKApRvwx9zh3LqZl-UexiIKULA-7</x:v>
      </x:c>
      <x:c r="AL685" s="9" t="n">
        <x:v>99</x:v>
      </x:c>
      <x:c r="AM685" s="9"/>
      <x:c r="AN685" s="9" t="n">
        <x:v>0</x:v>
      </x:c>
    </x:row>
    <x:row r="686" ht="60" customHeight="1">
      <x:c r="A686" s="9" t="str">
        <x:v>B-vif05PiVw</x:v>
      </x:c>
      <x:c r="B686" s="10" t="str">
        <x:v>"כל העמק פה מפוצץ משגרים" - דוקותיים בלב עזה</x:v>
      </x:c>
      <x:c r="C686" s="10" t="str">
        <x:v>Люди и повседневность</x:v>
      </x:c>
      <x:c r="D686" s="9" t="str">
        <x:v>Быт</x:v>
      </x:c>
      <x:c r="E686" s="10" t="str">
        <x:v>Репатрианты; общество; занятые взрослые</x:v>
      </x:c>
      <x:c r="F686" s="10" t="str">
        <x:v>B1–B2 (гипотеза)</x:v>
      </x:c>
      <x:c r="G686" s="12" t="n">
        <x:v>9.3</x:v>
      </x:c>
      <x:c r="H686" s="14" t="n">
        <x:v>262284</x:v>
      </x:c>
      <x:c r="I686" s="15" t="str">
        <x:v>Точный счётчик метаданных видео</x:v>
      </x:c>
      <x:c r="J686" s="14" t="n">
        <x:v>262000</x:v>
      </x:c>
      <x:c r="K686" s="14" t="n">
        <x:v>32500</x:v>
      </x:c>
      <x:c r="L686" s="12" t="n">
        <x:f>IF(COUNT(J686:K686)=2,IF(K686=0,"",J686/K686),"")</x:f>
        <x:v>8.061538461538461</x:v>
      </x:c>
      <x:c r="M686" s="10" t="str">
        <x:v>Завершённый короткий просмотр около 9 мин. Просмотры в списке выше медианы выборки этого цикла в 8.06 раза. Короткая история реального человека подходит для ежедневной привычки. Разные профессии и места расширяют взгляд на страну.</x:v>
      </x:c>
      <x:c r="N686" s="10" t="str">
        <x:v>Прослушать 2–5 минут, выписать 6 фраз и пересказать историю в 3 предложениях.</x:v>
      </x:c>
      <x:c r="O686" s="10" t="str">
        <x:v>В заголовке есть чувствительная тема: предварительный просмотр и добровольный выбор. Проверить содержание</x:v>
      </x:c>
      <x:c r="P686" s="10" t="str">
        <x:v>Самостоятельное видео</x:v>
      </x:c>
      <x:c r="Q686" s="9" t="str">
        <x:v>Нет</x:v>
      </x:c>
      <x:c r="R686" s="9" t="str">
        <x:v>C043</x:v>
      </x:c>
      <x:c r="S686" s="9" t="str">
        <x:v>C043</x:v>
      </x:c>
      <x:c r="T686" s="10" t="str">
        <x:v>כאן | דיגיטל - תאגיד השידור הישראלי</x:v>
      </x:c>
      <x:c r="U686" s="11" t="str">
        <x:v>https://www.youtube.com/watch?v=B-vif05PiVw</x:v>
      </x:c>
      <x:c r="V686" s="16" t="n">
        <x:v>46308</x:v>
      </x:c>
      <x:c r="W686" s="16" t="n">
        <x:v>45286</x:v>
      </x:c>
      <x:c r="X686" s="10" t="str">
        <x:v>iw</x:v>
      </x:c>
      <x:c r="Y686" s="10" t="str">
        <x:v>Ручная дорожка HE по метаданным</x:v>
      </x:c>
      <x:c r="Z686" s="10" t="str">
        <x:v>Разрешено по метаданным</x:v>
      </x:c>
      <x:c r="AA686" s="10" t="str">
        <x:v>Метаданные видео; воспроизведение и содержание не проверены</x:v>
      </x:c>
      <x:c r="AB686" s="13" t="n">
        <x:f>IF(AND(ISNUMBER(H686),ISNUMBER(W686)),H686/MAX(1,'Обзор'!$B$4-W686),"")</x:f>
        <x:v>256.63796477495106</x:v>
      </x:c>
      <x:c r="AC686" s="17" t="str">
        <x:v>Не решено</x:v>
      </x:c>
      <x:c r="AD686" s="17" t="str">
        <x:v>Не проверено</x:v>
      </x:c>
      <x:c r="AE686" s="17" t="str">
        <x:v>Не проверено</x:v>
      </x:c>
      <x:c r="AF686" s="17" t="str">
        <x:v>Не проверено</x:v>
      </x:c>
      <x:c r="AG686" s="17" t="str">
        <x:v>Не решено</x:v>
      </x:c>
      <x:c r="AH686" s="17" t="str">
        <x:v>Не проверено</x:v>
      </x:c>
      <x:c r="AI686" s="10" t="str">
        <x:f>IF(AC686="Отклонить","Отклонено",IF(AND(AC686="Взять",COUNTIFS(AD686:AH686,"Да")=5),"Готово","Нужна редактура"))</x:f>
        <x:v>Нужна редактура</x:v>
      </x:c>
      <x:c r="AJ686" s="17" t="str"/>
      <x:c r="AK686" s="9" t="str">
        <x:v>https://www.youtube.com/playlist?list=PLXv9BeKApRvwx9zh3LqZl-UexiIKULA-7</x:v>
      </x:c>
      <x:c r="AL686" s="9" t="n">
        <x:v>100</x:v>
      </x:c>
      <x:c r="AM686" s="9"/>
      <x:c r="AN686" s="9" t="n">
        <x:v>0</x:v>
      </x:c>
    </x:row>
    <x:row r="687" ht="60" customHeight="1">
      <x:c r="A687" s="9" t="str">
        <x:v>q-xs6eh3zps</x:v>
      </x:c>
      <x:c r="B687" s="10" t="str">
        <x:v>כאן סקרנים | לאן נעלמו ה-ח' וה-ע' של קרייני החדשות?</x:v>
      </x:c>
      <x:c r="C687" s="10" t="str">
        <x:v>Вопросы о мире</x:v>
      </x:c>
      <x:c r="D687" s="9" t="str">
        <x:v>Образование</x:v>
      </x:c>
      <x:c r="E687" s="10" t="str">
        <x:v>Любознательные; изучающие язык; короткий просмотр</x:v>
      </x:c>
      <x:c r="F687" s="10" t="str">
        <x:v>B1–B2 (гипотеза)</x:v>
      </x:c>
      <x:c r="G687" s="12" t="n">
        <x:v>4.6</x:v>
      </x:c>
      <x:c r="H687" s="14" t="n">
        <x:v>41000</x:v>
      </x:c>
      <x:c r="I687" s="15" t="str">
        <x:v>Округлённый счётчик в списке YouTube</x:v>
      </x:c>
      <x:c r="J687" s="14" t="n">
        <x:v>41000</x:v>
      </x:c>
      <x:c r="K687" s="14" t="n">
        <x:v>83500</x:v>
      </x:c>
      <x:c r="L687" s="12" t="n">
        <x:f>IF(COUNT(J687:K687)=2,IF(K687=0,"",J687/K687),"")</x:f>
        <x:v>0.49101796407185627</x:v>
      </x:c>
      <x:c r="M687" s="10" t="str">
        <x:v>Завершённый короткий просмотр около 5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687" s="10" t="str">
        <x:v>Предсказать ответ по заголовку и объяснить его своими словами.</x:v>
      </x:c>
      <x:c r="O687" s="10" t="str">
        <x:v>Проверить содержание</x:v>
      </x:c>
      <x:c r="P687" s="10" t="str">
        <x:v>Самостоятельное видео</x:v>
      </x:c>
      <x:c r="Q687" s="9" t="str">
        <x:v>Нет</x:v>
      </x:c>
      <x:c r="R687" s="9" t="str">
        <x:v>C044</x:v>
      </x:c>
      <x:c r="S687" s="9" t="str">
        <x:v>C044</x:v>
      </x:c>
      <x:c r="T687" s="10" t="str">
        <x:v>כאן | דיגיטל - תאגיד השידור הישראלי</x:v>
      </x:c>
      <x:c r="U687" s="11" t="str">
        <x:v>https://www.youtube.com/watch?v=q-xs6eh3zps</x:v>
      </x:c>
      <x:c r="V687" s="16" t="n">
        <x:v>46308</x:v>
      </x:c>
      <x:c r="W687" s="16"/>
      <x:c r="X687" s="10" t="str">
        <x:v>Иврит предполагается по заголовку и источнику</x:v>
      </x:c>
      <x:c r="Y687" s="10" t="str">
        <x:v>Не проверено</x:v>
      </x:c>
      <x:c r="Z687" s="10" t="str">
        <x:v>Не проверено</x:v>
      </x:c>
      <x:c r="AA687" s="10" t="str">
        <x:v>Метаданные списка; видео не просмотрено</x:v>
      </x:c>
      <x:c r="AB687" s="13" t="str">
        <x:f>IF(AND(ISNUMBER(H687),ISNUMBER(W687)),H687/MAX(1,'Обзор'!$B$4-W687),"")</x:f>
      </x:c>
      <x:c r="AC687" s="17" t="str">
        <x:v>Не решено</x:v>
      </x:c>
      <x:c r="AD687" s="17" t="str">
        <x:v>Не проверено</x:v>
      </x:c>
      <x:c r="AE687" s="17" t="str">
        <x:v>Не проверено</x:v>
      </x:c>
      <x:c r="AF687" s="17" t="str">
        <x:v>Не проверено</x:v>
      </x:c>
      <x:c r="AG687" s="17" t="str">
        <x:v>Не решено</x:v>
      </x:c>
      <x:c r="AH687" s="17" t="str">
        <x:v>Не проверено</x:v>
      </x:c>
      <x:c r="AI687" s="10" t="str">
        <x:f>IF(AC687="Отклонить","Отклонено",IF(AND(AC687="Взять",COUNTIFS(AD687:AH687,"Да")=5),"Готово","Нужна редактура"))</x:f>
        <x:v>Нужна редактура</x:v>
      </x:c>
      <x:c r="AJ687" s="17" t="str"/>
      <x:c r="AK687" s="9" t="str">
        <x:v>https://www.youtube.com/playlist?list=PLXv9BeKApRvy8VBmTJnrOC_NbkxD7uwJk</x:v>
      </x:c>
      <x:c r="AL687" s="9" t="n">
        <x:v>1</x:v>
      </x:c>
      <x:c r="AM687" s="9"/>
      <x:c r="AN687" s="9"/>
    </x:row>
    <x:row r="688" ht="60" customHeight="1">
      <x:c r="A688" s="9" t="str">
        <x:v>suQx360VFLE</x:v>
      </x:c>
      <x:c r="B688" s="10" t="str">
        <x:v>הנשים החשובות של חיל האוויר בכל הזמנים</x:v>
      </x:c>
      <x:c r="C688" s="10" t="str">
        <x:v>Вопросы о мире</x:v>
      </x:c>
      <x:c r="D688" s="9" t="str">
        <x:v>Образование</x:v>
      </x:c>
      <x:c r="E688" s="10" t="str">
        <x:v>Любознательные; изучающие язык; короткий просмотр</x:v>
      </x:c>
      <x:c r="F688" s="10" t="str">
        <x:v>B1–B2 (гипотеза)</x:v>
      </x:c>
      <x:c r="G688" s="12" t="n">
        <x:v>2</x:v>
      </x:c>
      <x:c r="H688" s="14" t="n">
        <x:v>9200</x:v>
      </x:c>
      <x:c r="I688" s="15" t="str">
        <x:v>Округлённый счётчик в списке YouTube</x:v>
      </x:c>
      <x:c r="J688" s="14" t="n">
        <x:v>9200</x:v>
      </x:c>
      <x:c r="K688" s="14" t="n">
        <x:v>83500</x:v>
      </x:c>
      <x:c r="L688" s="12" t="n">
        <x:f>IF(COUNT(J688:K688)=2,IF(K688=0,"",J688/K688),"")</x:f>
        <x:v>0.11017964071856287</x:v>
      </x:c>
      <x:c r="M688" s="10" t="str">
        <x:v>Завершённый короткий просмотр около 2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688" s="10" t="str">
        <x:v>Предсказать ответ по заголовку и объяснить его своими словами.</x:v>
      </x:c>
      <x:c r="O688" s="10" t="str">
        <x:v>Проверить содержание</x:v>
      </x:c>
      <x:c r="P688" s="10" t="str">
        <x:v>Самостоятельное видео</x:v>
      </x:c>
      <x:c r="Q688" s="9" t="str">
        <x:v>Нет</x:v>
      </x:c>
      <x:c r="R688" s="9" t="str">
        <x:v>C044</x:v>
      </x:c>
      <x:c r="S688" s="9" t="str">
        <x:v>C044</x:v>
      </x:c>
      <x:c r="T688" s="10" t="str">
        <x:v>כאן | דיגיטל - תאגיד השידור הישראלי</x:v>
      </x:c>
      <x:c r="U688" s="11" t="str">
        <x:v>https://www.youtube.com/watch?v=suQx360VFLE</x:v>
      </x:c>
      <x:c r="V688" s="16" t="n">
        <x:v>46308</x:v>
      </x:c>
      <x:c r="W688" s="16"/>
      <x:c r="X688" s="10" t="str">
        <x:v>Иврит предполагается по заголовку и источнику</x:v>
      </x:c>
      <x:c r="Y688" s="10" t="str">
        <x:v>Не проверено</x:v>
      </x:c>
      <x:c r="Z688" s="10" t="str">
        <x:v>Не проверено</x:v>
      </x:c>
      <x:c r="AA688" s="10" t="str">
        <x:v>Метаданные списка; видео не просмотрено</x:v>
      </x:c>
      <x:c r="AB688" s="13" t="str">
        <x:f>IF(AND(ISNUMBER(H688),ISNUMBER(W688)),H688/MAX(1,'Обзор'!$B$4-W688),"")</x:f>
      </x:c>
      <x:c r="AC688" s="17" t="str">
        <x:v>Не решено</x:v>
      </x:c>
      <x:c r="AD688" s="17" t="str">
        <x:v>Не проверено</x:v>
      </x:c>
      <x:c r="AE688" s="17" t="str">
        <x:v>Не проверено</x:v>
      </x:c>
      <x:c r="AF688" s="17" t="str">
        <x:v>Не проверено</x:v>
      </x:c>
      <x:c r="AG688" s="17" t="str">
        <x:v>Не решено</x:v>
      </x:c>
      <x:c r="AH688" s="17" t="str">
        <x:v>Не проверено</x:v>
      </x:c>
      <x:c r="AI688" s="10" t="str">
        <x:f>IF(AC688="Отклонить","Отклонено",IF(AND(AC688="Взять",COUNTIFS(AD688:AH688,"Да")=5),"Готово","Нужна редактура"))</x:f>
        <x:v>Нужна редактура</x:v>
      </x:c>
      <x:c r="AJ688" s="17" t="str"/>
      <x:c r="AK688" s="9" t="str">
        <x:v>https://www.youtube.com/playlist?list=PLXv9BeKApRvy8VBmTJnrOC_NbkxD7uwJk</x:v>
      </x:c>
      <x:c r="AL688" s="9" t="n">
        <x:v>2</x:v>
      </x:c>
      <x:c r="AM688" s="9"/>
      <x:c r="AN688" s="9"/>
    </x:row>
    <x:row r="689" ht="60" customHeight="1">
      <x:c r="A689" s="9" t="str">
        <x:v>_o2lT88fLJ8</x:v>
      </x:c>
      <x:c r="B689" s="10" t="str">
        <x:v>איך דבורים מכינות דבש? 🐝</x:v>
      </x:c>
      <x:c r="C689" s="10" t="str">
        <x:v>Вопросы о мире</x:v>
      </x:c>
      <x:c r="D689" s="9" t="str">
        <x:v>Образование</x:v>
      </x:c>
      <x:c r="E689" s="10" t="str">
        <x:v>Любознательные; изучающие язык; короткий просмотр</x:v>
      </x:c>
      <x:c r="F689" s="10" t="str">
        <x:v>B1–B2 (гипотеза)</x:v>
      </x:c>
      <x:c r="G689" s="12" t="n">
        <x:v>0.9</x:v>
      </x:c>
      <x:c r="H689" s="14" t="n">
        <x:v>313000</x:v>
      </x:c>
      <x:c r="I689" s="15" t="str">
        <x:v>Округлённый счётчик в списке YouTube</x:v>
      </x:c>
      <x:c r="J689" s="14" t="n">
        <x:v>313000</x:v>
      </x:c>
      <x:c r="K689" s="14" t="n">
        <x:v>83500</x:v>
      </x:c>
      <x:c r="L689" s="12" t="n">
        <x:f>IF(COUNT(J689:K689)=2,IF(K689=0,"",J689/K689),"")</x:f>
        <x:v>3.748502994011976</x:v>
      </x:c>
      <x:c r="M689" s="10" t="str">
        <x:v>Завершённый короткий просмотр около 1 мин. Просмотры в списке выше медианы выборки этого цикла в 3.75 раза. Один понятный вопрос даёт завершённый короткий выпуск и повод поделиться им.</x:v>
      </x:c>
      <x:c r="N689" s="10" t="str">
        <x:v>Предсказать ответ по заголовку и объяснить его своими словами.</x:v>
      </x:c>
      <x:c r="O689" s="10" t="str">
        <x:v>Проверить содержание</x:v>
      </x:c>
      <x:c r="P689" s="10" t="str">
        <x:v>Самостоятельное видео</x:v>
      </x:c>
      <x:c r="Q689" s="9" t="str">
        <x:v>Нет</x:v>
      </x:c>
      <x:c r="R689" s="9" t="str">
        <x:v>C044</x:v>
      </x:c>
      <x:c r="S689" s="9" t="str">
        <x:v>C044, C045</x:v>
      </x:c>
      <x:c r="T689" s="10" t="str">
        <x:v>כאן | דיגיטל - תאגיד השידור הישראלי</x:v>
      </x:c>
      <x:c r="U689" s="11" t="str">
        <x:v>https://www.youtube.com/watch?v=_o2lT88fLJ8</x:v>
      </x:c>
      <x:c r="V689" s="16" t="n">
        <x:v>46308</x:v>
      </x:c>
      <x:c r="W689" s="16"/>
      <x:c r="X689" s="10" t="str">
        <x:v>Иврит предполагается по заголовку и источнику</x:v>
      </x:c>
      <x:c r="Y689" s="10" t="str">
        <x:v>Не проверено</x:v>
      </x:c>
      <x:c r="Z689" s="10" t="str">
        <x:v>Не проверено</x:v>
      </x:c>
      <x:c r="AA689" s="10" t="str">
        <x:v>Метаданные списка; видео не просмотрено</x:v>
      </x:c>
      <x:c r="AB689" s="13" t="str">
        <x:f>IF(AND(ISNUMBER(H689),ISNUMBER(W689)),H689/MAX(1,'Обзор'!$B$4-W689),"")</x:f>
      </x:c>
      <x:c r="AC689" s="17" t="str">
        <x:v>Не решено</x:v>
      </x:c>
      <x:c r="AD689" s="17" t="str">
        <x:v>Не проверено</x:v>
      </x:c>
      <x:c r="AE689" s="17" t="str">
        <x:v>Не проверено</x:v>
      </x:c>
      <x:c r="AF689" s="17" t="str">
        <x:v>Не проверено</x:v>
      </x:c>
      <x:c r="AG689" s="17" t="str">
        <x:v>Не решено</x:v>
      </x:c>
      <x:c r="AH689" s="17" t="str">
        <x:v>Не проверено</x:v>
      </x:c>
      <x:c r="AI689" s="10" t="str">
        <x:f>IF(AC689="Отклонить","Отклонено",IF(AND(AC689="Взять",COUNTIFS(AD689:AH689,"Да")=5),"Готово","Нужна редактура"))</x:f>
        <x:v>Нужна редактура</x:v>
      </x:c>
      <x:c r="AJ689" s="17" t="str"/>
      <x:c r="AK689" s="9" t="str">
        <x:v>https://www.youtube.com/playlist?list=PLXv9BeKApRvy8VBmTJnrOC_NbkxD7uwJk</x:v>
      </x:c>
      <x:c r="AL689" s="9" t="n">
        <x:v>4</x:v>
      </x:c>
      <x:c r="AM689" s="9"/>
      <x:c r="AN689" s="9"/>
    </x:row>
    <x:row r="690" ht="60" customHeight="1">
      <x:c r="A690" s="9" t="str">
        <x:v>jpzDuogjvQQ</x:v>
      </x:c>
      <x:c r="B690" s="10" t="str">
        <x:v>אליה מנסה להבין האם אפשר לעבור על החוק במים בינלאומיים?</x:v>
      </x:c>
      <x:c r="C690" s="10" t="str">
        <x:v>Вопросы о мире</x:v>
      </x:c>
      <x:c r="D690" s="9" t="str">
        <x:v>Образование</x:v>
      </x:c>
      <x:c r="E690" s="10" t="str">
        <x:v>Любознательные; изучающие язык; короткий просмотр</x:v>
      </x:c>
      <x:c r="F690" s="10" t="str">
        <x:v>B1–B2 (гипотеза)</x:v>
      </x:c>
      <x:c r="G690" s="12" t="n">
        <x:v>5.3</x:v>
      </x:c>
      <x:c r="H690" s="14" t="n">
        <x:v>51000</x:v>
      </x:c>
      <x:c r="I690" s="15" t="str">
        <x:v>Округлённый счётчик в списке YouTube</x:v>
      </x:c>
      <x:c r="J690" s="14" t="n">
        <x:v>51000</x:v>
      </x:c>
      <x:c r="K690" s="14" t="n">
        <x:v>83500</x:v>
      </x:c>
      <x:c r="L690" s="12" t="n">
        <x:f>IF(COUNT(J690:K690)=2,IF(K690=0,"",J690/K690),"")</x:f>
        <x:v>0.6107784431137725</x:v>
      </x:c>
      <x:c r="M690" s="10" t="str">
        <x:v>Завершённый короткий просмотр около 5 мин. Один понятный вопрос даёт завершённый короткий выпуск и повод поделиться им.</x:v>
      </x:c>
      <x:c r="N690" s="10" t="str">
        <x:v>Предсказать ответ по заголовку и объяснить его своими словами.</x:v>
      </x:c>
      <x:c r="O690" s="10" t="str">
        <x:v>Проверить содержание</x:v>
      </x:c>
      <x:c r="P690" s="10" t="str">
        <x:v>Самостоятельное видео</x:v>
      </x:c>
      <x:c r="Q690" s="9" t="str">
        <x:v>Нет</x:v>
      </x:c>
      <x:c r="R690" s="9" t="str">
        <x:v>C044</x:v>
      </x:c>
      <x:c r="S690" s="9" t="str">
        <x:v>C044</x:v>
      </x:c>
      <x:c r="T690" s="10" t="str">
        <x:v>כאן | דיגיטל - תאגיד השידור הישראלי</x:v>
      </x:c>
      <x:c r="U690" s="11" t="str">
        <x:v>https://www.youtube.com/watch?v=jpzDuogjvQQ</x:v>
      </x:c>
      <x:c r="V690" s="16" t="n">
        <x:v>46308</x:v>
      </x:c>
      <x:c r="W690" s="16"/>
      <x:c r="X690" s="10" t="str">
        <x:v>Иврит предполагается по заголовку и источнику</x:v>
      </x:c>
      <x:c r="Y690" s="10" t="str">
        <x:v>Не проверено</x:v>
      </x:c>
      <x:c r="Z690" s="10" t="str">
        <x:v>Не проверено</x:v>
      </x:c>
      <x:c r="AA690" s="10" t="str">
        <x:v>Метаданные списка; видео не просмотрено</x:v>
      </x:c>
      <x:c r="AB690" s="13" t="str">
        <x:f>IF(AND(ISNUMBER(H690),ISNUMBER(W690)),H690/MAX(1,'Обзор'!$B$4-W690),"")</x:f>
      </x:c>
      <x:c r="AC690" s="17" t="str">
        <x:v>Не решено</x:v>
      </x:c>
      <x:c r="AD690" s="17" t="str">
        <x:v>Не проверено</x:v>
      </x:c>
      <x:c r="AE690" s="17" t="str">
        <x:v>Не проверено</x:v>
      </x:c>
      <x:c r="AF690" s="17" t="str">
        <x:v>Не проверено</x:v>
      </x:c>
      <x:c r="AG690" s="17" t="str">
        <x:v>Не решено</x:v>
      </x:c>
      <x:c r="AH690" s="17" t="str">
        <x:v>Не проверено</x:v>
      </x:c>
      <x:c r="AI690" s="10" t="str">
        <x:f>IF(AC690="Отклонить","Отклонено",IF(AND(AC690="Взять",COUNTIFS(AD690:AH690,"Да")=5),"Готово","Нужна редактура"))</x:f>
        <x:v>Нужна редактура</x:v>
      </x:c>
      <x:c r="AJ690" s="17" t="str"/>
      <x:c r="AK690" s="9" t="str">
        <x:v>https://www.youtube.com/playlist?list=PLXv9BeKApRvy8VBmTJnrOC_NbkxD7uwJk</x:v>
      </x:c>
      <x:c r="AL690" s="9" t="n">
        <x:v>6</x:v>
      </x:c>
      <x:c r="AM690" s="9"/>
      <x:c r="AN690" s="9"/>
    </x:row>
    <x:row r="691" ht="60" customHeight="1">
      <x:c r="A691" s="9" t="str">
        <x:v>pXfyXd2uNKs</x:v>
      </x:c>
      <x:c r="B691" s="10" t="str">
        <x:v>מה הסיפור של הצלב האדום ולמה הוא לא נפגש עם החטופים?</x:v>
      </x:c>
      <x:c r="C691" s="10" t="str">
        <x:v>Вопросы о мире</x:v>
      </x:c>
      <x:c r="D691" s="9" t="str">
        <x:v>Образование</x:v>
      </x:c>
      <x:c r="E691" s="10" t="str">
        <x:v>Любознательные; изучающие язык; короткий просмотр</x:v>
      </x:c>
      <x:c r="F691" s="10" t="str">
        <x:v>B1–B2 (гипотеза)</x:v>
      </x:c>
      <x:c r="G691" s="12" t="n">
        <x:v>4.7</x:v>
      </x:c>
      <x:c r="H691" s="14" t="n">
        <x:v>69000</x:v>
      </x:c>
      <x:c r="I691" s="15" t="str">
        <x:v>Округлённый счётчик в списке YouTube</x:v>
      </x:c>
      <x:c r="J691" s="14" t="n">
        <x:v>69000</x:v>
      </x:c>
      <x:c r="K691" s="14" t="n">
        <x:v>83500</x:v>
      </x:c>
      <x:c r="L691" s="12" t="n">
        <x:f>IF(COUNT(J691:K691)=2,IF(K691=0,"",J691/K691),"")</x:f>
        <x:v>0.8263473053892215</x:v>
      </x:c>
      <x:c r="M691" s="10" t="str">
        <x:v>Завершённый короткий просмотр около 5 мин. Один понятный вопрос даёт завершённый короткий выпуск и повод поделиться им.</x:v>
      </x:c>
      <x:c r="N691" s="10" t="str">
        <x:v>Предсказать ответ по заголовку и объяснить его своими словами.</x:v>
      </x:c>
      <x:c r="O691" s="10" t="str">
        <x:v>В заголовке есть чувствительная тема: предварительный просмотр и добровольный выбор. Проверить содержание</x:v>
      </x:c>
      <x:c r="P691" s="10" t="str">
        <x:v>Самостоятельное видео</x:v>
      </x:c>
      <x:c r="Q691" s="9" t="str">
        <x:v>Нет</x:v>
      </x:c>
      <x:c r="R691" s="9" t="str">
        <x:v>C044</x:v>
      </x:c>
      <x:c r="S691" s="9" t="str">
        <x:v>C044</x:v>
      </x:c>
      <x:c r="T691" s="10" t="str">
        <x:v>כאן | דיגיטל - תאגיד השידור הישראלי</x:v>
      </x:c>
      <x:c r="U691" s="11" t="str">
        <x:v>https://www.youtube.com/watch?v=pXfyXd2uNKs</x:v>
      </x:c>
      <x:c r="V691" s="16" t="n">
        <x:v>46308</x:v>
      </x:c>
      <x:c r="W691" s="16"/>
      <x:c r="X691" s="10" t="str">
        <x:v>Иврит предполагается по заголовку и источнику</x:v>
      </x:c>
      <x:c r="Y691" s="10" t="str">
        <x:v>Не проверено</x:v>
      </x:c>
      <x:c r="Z691" s="10" t="str">
        <x:v>Не проверено</x:v>
      </x:c>
      <x:c r="AA691" s="10" t="str">
        <x:v>Метаданные списка; видео не просмотрено</x:v>
      </x:c>
      <x:c r="AB691" s="13" t="str">
        <x:f>IF(AND(ISNUMBER(H691),ISNUMBER(W691)),H691/MAX(1,'Обзор'!$B$4-W691),"")</x:f>
      </x:c>
      <x:c r="AC691" s="17" t="str">
        <x:v>Не решено</x:v>
      </x:c>
      <x:c r="AD691" s="17" t="str">
        <x:v>Не проверено</x:v>
      </x:c>
      <x:c r="AE691" s="17" t="str">
        <x:v>Не проверено</x:v>
      </x:c>
      <x:c r="AF691" s="17" t="str">
        <x:v>Не проверено</x:v>
      </x:c>
      <x:c r="AG691" s="17" t="str">
        <x:v>Не решено</x:v>
      </x:c>
      <x:c r="AH691" s="17" t="str">
        <x:v>Не проверено</x:v>
      </x:c>
      <x:c r="AI691" s="10" t="str">
        <x:f>IF(AC691="Отклонить","Отклонено",IF(AND(AC691="Взять",COUNTIFS(AD691:AH691,"Да")=5),"Готово","Нужна редактура"))</x:f>
        <x:v>Нужна редактура</x:v>
      </x:c>
      <x:c r="AJ691" s="17" t="str"/>
      <x:c r="AK691" s="9" t="str">
        <x:v>https://www.youtube.com/playlist?list=PLXv9BeKApRvy8VBmTJnrOC_NbkxD7uwJk</x:v>
      </x:c>
      <x:c r="AL691" s="9" t="n">
        <x:v>7</x:v>
      </x:c>
      <x:c r="AM691" s="9"/>
      <x:c r="AN691" s="9"/>
    </x:row>
    <x:row r="692" ht="60" customHeight="1">
      <x:c r="A692" s="9" t="str">
        <x:v>WIwVt2CNZsU</x:v>
      </x:c>
      <x:c r="B692" s="10" t="str">
        <x:v>הכי מיותר שיש: מה הסיפור של פנקסי השבי?</x:v>
      </x:c>
      <x:c r="C692" s="10" t="str">
        <x:v>Вопросы о мире</x:v>
      </x:c>
      <x:c r="D692" s="9" t="str">
        <x:v>Образование</x:v>
      </x:c>
      <x:c r="E692" s="10" t="str">
        <x:v>Любознательные; изучающие язык; короткий просмотр</x:v>
      </x:c>
      <x:c r="F692" s="10" t="str">
        <x:v>B1–B2 (гипотеза)</x:v>
      </x:c>
      <x:c r="G692" s="12" t="n">
        <x:v>3.4</x:v>
      </x:c>
      <x:c r="H692" s="14" t="n">
        <x:v>57000</x:v>
      </x:c>
      <x:c r="I692" s="15" t="str">
        <x:v>Округлённый счётчик в списке YouTube</x:v>
      </x:c>
      <x:c r="J692" s="14" t="n">
        <x:v>57000</x:v>
      </x:c>
      <x:c r="K692" s="14" t="n">
        <x:v>83500</x:v>
      </x:c>
      <x:c r="L692" s="12" t="n">
        <x:f>IF(COUNT(J692:K692)=2,IF(K692=0,"",J692/K692),"")</x:f>
        <x:v>0.6826347305389222</x:v>
      </x:c>
      <x:c r="M692" s="10" t="str">
        <x:v>Завершённый короткий просмотр около 3 мин. Один понятный вопрос даёт завершённый короткий выпуск и повод поделиться им.</x:v>
      </x:c>
      <x:c r="N692" s="10" t="str">
        <x:v>Предсказать ответ по заголовку и объяснить его своими словами.</x:v>
      </x:c>
      <x:c r="O692" s="10" t="str">
        <x:v>Проверить содержание</x:v>
      </x:c>
      <x:c r="P692" s="10" t="str">
        <x:v>Самостоятельное видео</x:v>
      </x:c>
      <x:c r="Q692" s="9" t="str">
        <x:v>Нет</x:v>
      </x:c>
      <x:c r="R692" s="9" t="str">
        <x:v>C044</x:v>
      </x:c>
      <x:c r="S692" s="9" t="str">
        <x:v>C044</x:v>
      </x:c>
      <x:c r="T692" s="10" t="str">
        <x:v>כאן | דיגיטל - תאגיד השידור הישראלי</x:v>
      </x:c>
      <x:c r="U692" s="11" t="str">
        <x:v>https://www.youtube.com/watch?v=WIwVt2CNZsU</x:v>
      </x:c>
      <x:c r="V692" s="16" t="n">
        <x:v>46308</x:v>
      </x:c>
      <x:c r="W692" s="16"/>
      <x:c r="X692" s="10" t="str">
        <x:v>Иврит предполагается по заголовку и источнику</x:v>
      </x:c>
      <x:c r="Y692" s="10" t="str">
        <x:v>Не проверено</x:v>
      </x:c>
      <x:c r="Z692" s="10" t="str">
        <x:v>Не проверено</x:v>
      </x:c>
      <x:c r="AA692" s="10" t="str">
        <x:v>Метаданные списка; видео не просмотрено</x:v>
      </x:c>
      <x:c r="AB692" s="13" t="str">
        <x:f>IF(AND(ISNUMBER(H692),ISNUMBER(W692)),H692/MAX(1,'Обзор'!$B$4-W692),"")</x:f>
      </x:c>
      <x:c r="AC692" s="17" t="str">
        <x:v>Не решено</x:v>
      </x:c>
      <x:c r="AD692" s="17" t="str">
        <x:v>Не проверено</x:v>
      </x:c>
      <x:c r="AE692" s="17" t="str">
        <x:v>Не проверено</x:v>
      </x:c>
      <x:c r="AF692" s="17" t="str">
        <x:v>Не проверено</x:v>
      </x:c>
      <x:c r="AG692" s="17" t="str">
        <x:v>Не решено</x:v>
      </x:c>
      <x:c r="AH692" s="17" t="str">
        <x:v>Не проверено</x:v>
      </x:c>
      <x:c r="AI692" s="10" t="str">
        <x:f>IF(AC692="Отклонить","Отклонено",IF(AND(AC692="Взять",COUNTIFS(AD692:AH692,"Да")=5),"Готово","Нужна редактура"))</x:f>
        <x:v>Нужна редактура</x:v>
      </x:c>
      <x:c r="AJ692" s="17" t="str"/>
      <x:c r="AK692" s="9" t="str">
        <x:v>https://www.youtube.com/playlist?list=PLXv9BeKApRvy8VBmTJnrOC_NbkxD7uwJk</x:v>
      </x:c>
      <x:c r="AL692" s="9" t="n">
        <x:v>8</x:v>
      </x:c>
      <x:c r="AM692" s="9"/>
      <x:c r="AN692" s="9"/>
    </x:row>
    <x:row r="693" ht="60" customHeight="1">
      <x:c r="A693" s="9" t="str">
        <x:v>0xpeWpoExN8</x:v>
      </x:c>
      <x:c r="B693" s="10" t="str">
        <x:v>איך הומצא המקלט? | כאן סקרנים</x:v>
      </x:c>
      <x:c r="C693" s="10" t="str">
        <x:v>Вопросы о мире</x:v>
      </x:c>
      <x:c r="D693" s="9" t="str">
        <x:v>Образование</x:v>
      </x:c>
      <x:c r="E693" s="10" t="str">
        <x:v>Любознательные; изучающие язык; короткий просмотр</x:v>
      </x:c>
      <x:c r="F693" s="10" t="str">
        <x:v>B1–B2 (гипотеза)</x:v>
      </x:c>
      <x:c r="G693" s="12" t="n">
        <x:v>5.1</x:v>
      </x:c>
      <x:c r="H693" s="14" t="n">
        <x:v>38000</x:v>
      </x:c>
      <x:c r="I693" s="15" t="str">
        <x:v>Округлённый счётчик в списке YouTube</x:v>
      </x:c>
      <x:c r="J693" s="14" t="n">
        <x:v>38000</x:v>
      </x:c>
      <x:c r="K693" s="14" t="n">
        <x:v>83500</x:v>
      </x:c>
      <x:c r="L693" s="12" t="n">
        <x:f>IF(COUNT(J693:K693)=2,IF(K693=0,"",J693/K693),"")</x:f>
        <x:v>0.4550898203592814</x:v>
      </x:c>
      <x:c r="M693" s="10" t="str">
        <x:v>Завершённый короткий просмотр около 5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693" s="10" t="str">
        <x:v>Предсказать ответ по заголовку и объяснить его своими словами.</x:v>
      </x:c>
      <x:c r="O693" s="10" t="str">
        <x:v>Проверить содержание</x:v>
      </x:c>
      <x:c r="P693" s="10" t="str">
        <x:v>Самостоятельное видео</x:v>
      </x:c>
      <x:c r="Q693" s="9" t="str">
        <x:v>Нет</x:v>
      </x:c>
      <x:c r="R693" s="9" t="str">
        <x:v>C044</x:v>
      </x:c>
      <x:c r="S693" s="9" t="str">
        <x:v>C044</x:v>
      </x:c>
      <x:c r="T693" s="10" t="str">
        <x:v>כאן | דיגיטל - תאגיד השידור הישראלי</x:v>
      </x:c>
      <x:c r="U693" s="11" t="str">
        <x:v>https://www.youtube.com/watch?v=0xpeWpoExN8</x:v>
      </x:c>
      <x:c r="V693" s="16" t="n">
        <x:v>46308</x:v>
      </x:c>
      <x:c r="W693" s="16"/>
      <x:c r="X693" s="10" t="str">
        <x:v>Иврит предполагается по заголовку и источнику</x:v>
      </x:c>
      <x:c r="Y693" s="10" t="str">
        <x:v>Не проверено</x:v>
      </x:c>
      <x:c r="Z693" s="10" t="str">
        <x:v>Не проверено</x:v>
      </x:c>
      <x:c r="AA693" s="10" t="str">
        <x:v>Метаданные списка; видео не просмотрено</x:v>
      </x:c>
      <x:c r="AB693" s="13" t="str">
        <x:f>IF(AND(ISNUMBER(H693),ISNUMBER(W693)),H693/MAX(1,'Обзор'!$B$4-W693),"")</x:f>
      </x:c>
      <x:c r="AC693" s="17" t="str">
        <x:v>Не решено</x:v>
      </x:c>
      <x:c r="AD693" s="17" t="str">
        <x:v>Не проверено</x:v>
      </x:c>
      <x:c r="AE693" s="17" t="str">
        <x:v>Не проверено</x:v>
      </x:c>
      <x:c r="AF693" s="17" t="str">
        <x:v>Не проверено</x:v>
      </x:c>
      <x:c r="AG693" s="17" t="str">
        <x:v>Не решено</x:v>
      </x:c>
      <x:c r="AH693" s="17" t="str">
        <x:v>Не проверено</x:v>
      </x:c>
      <x:c r="AI693" s="10" t="str">
        <x:f>IF(AC693="Отклонить","Отклонено",IF(AND(AC693="Взять",COUNTIFS(AD693:AH693,"Да")=5),"Готово","Нужна редактура"))</x:f>
        <x:v>Нужна редактура</x:v>
      </x:c>
      <x:c r="AJ693" s="17" t="str"/>
      <x:c r="AK693" s="9" t="str">
        <x:v>https://www.youtube.com/playlist?list=PLXv9BeKApRvy8VBmTJnrOC_NbkxD7uwJk</x:v>
      </x:c>
      <x:c r="AL693" s="9" t="n">
        <x:v>9</x:v>
      </x:c>
      <x:c r="AM693" s="9"/>
      <x:c r="AN693" s="9"/>
    </x:row>
    <x:row r="694" ht="60" customHeight="1">
      <x:c r="A694" s="9" t="str">
        <x:v>yPucYsKYmdI</x:v>
      </x:c>
      <x:c r="B694" s="10" t="str">
        <x:v>למה אנחנו חוגגות בת מצווש? | כאן סקרניות</x:v>
      </x:c>
      <x:c r="C694" s="10" t="str">
        <x:v>Вопросы о мире</x:v>
      </x:c>
      <x:c r="D694" s="9" t="str">
        <x:v>Образование</x:v>
      </x:c>
      <x:c r="E694" s="10" t="str">
        <x:v>Любознательные; изучающие язык; короткий просмотр</x:v>
      </x:c>
      <x:c r="F694" s="10" t="str">
        <x:v>B1–B2 (гипотеза)</x:v>
      </x:c>
      <x:c r="G694" s="12" t="n">
        <x:v>6.1</x:v>
      </x:c>
      <x:c r="H694" s="14" t="n">
        <x:v>28000</x:v>
      </x:c>
      <x:c r="I694" s="15" t="str">
        <x:v>Округлённый счётчик в списке YouTube</x:v>
      </x:c>
      <x:c r="J694" s="14" t="n">
        <x:v>28000</x:v>
      </x:c>
      <x:c r="K694" s="14" t="n">
        <x:v>83500</x:v>
      </x:c>
      <x:c r="L694" s="12" t="n">
        <x:f>IF(COUNT(J694:K694)=2,IF(K694=0,"",J694/K694),"")</x:f>
        <x:v>0.33532934131736525</x:v>
      </x:c>
      <x:c r="M694" s="10" t="str">
        <x:v>Завершённый короткий просмотр около 6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694" s="10" t="str">
        <x:v>Предсказать ответ по заголовку и объяснить его своими словами.</x:v>
      </x:c>
      <x:c r="O694" s="10" t="str">
        <x:v>Проверить содержание</x:v>
      </x:c>
      <x:c r="P694" s="10" t="str">
        <x:v>Самостоятельное видео</x:v>
      </x:c>
      <x:c r="Q694" s="9" t="str">
        <x:v>Нет</x:v>
      </x:c>
      <x:c r="R694" s="9" t="str">
        <x:v>C044</x:v>
      </x:c>
      <x:c r="S694" s="9" t="str">
        <x:v>C044</x:v>
      </x:c>
      <x:c r="T694" s="10" t="str">
        <x:v>כאן | דיגיטל - תאגיד השידור הישראלי</x:v>
      </x:c>
      <x:c r="U694" s="11" t="str">
        <x:v>https://www.youtube.com/watch?v=yPucYsKYmdI</x:v>
      </x:c>
      <x:c r="V694" s="16" t="n">
        <x:v>46308</x:v>
      </x:c>
      <x:c r="W694" s="16"/>
      <x:c r="X694" s="10" t="str">
        <x:v>Иврит предполагается по заголовку и источнику</x:v>
      </x:c>
      <x:c r="Y694" s="10" t="str">
        <x:v>Не проверено</x:v>
      </x:c>
      <x:c r="Z694" s="10" t="str">
        <x:v>Не проверено</x:v>
      </x:c>
      <x:c r="AA694" s="10" t="str">
        <x:v>Метаданные списка; видео не просмотрено</x:v>
      </x:c>
      <x:c r="AB694" s="13" t="str">
        <x:f>IF(AND(ISNUMBER(H694),ISNUMBER(W694)),H694/MAX(1,'Обзор'!$B$4-W694),"")</x:f>
      </x:c>
      <x:c r="AC694" s="17" t="str">
        <x:v>Не решено</x:v>
      </x:c>
      <x:c r="AD694" s="17" t="str">
        <x:v>Не проверено</x:v>
      </x:c>
      <x:c r="AE694" s="17" t="str">
        <x:v>Не проверено</x:v>
      </x:c>
      <x:c r="AF694" s="17" t="str">
        <x:v>Не проверено</x:v>
      </x:c>
      <x:c r="AG694" s="17" t="str">
        <x:v>Не решено</x:v>
      </x:c>
      <x:c r="AH694" s="17" t="str">
        <x:v>Не проверено</x:v>
      </x:c>
      <x:c r="AI694" s="10" t="str">
        <x:f>IF(AC694="Отклонить","Отклонено",IF(AND(AC694="Взять",COUNTIFS(AD694:AH694,"Да")=5),"Готово","Нужна редактура"))</x:f>
        <x:v>Нужна редактура</x:v>
      </x:c>
      <x:c r="AJ694" s="17" t="str"/>
      <x:c r="AK694" s="9" t="str">
        <x:v>https://www.youtube.com/playlist?list=PLXv9BeKApRvy8VBmTJnrOC_NbkxD7uwJk</x:v>
      </x:c>
      <x:c r="AL694" s="9" t="n">
        <x:v>10</x:v>
      </x:c>
      <x:c r="AM694" s="9"/>
      <x:c r="AN694" s="9"/>
    </x:row>
    <x:row r="695" ht="60" customHeight="1">
      <x:c r="A695" s="9" t="str">
        <x:v>HdzTRPJaDew</x:v>
      </x:c>
      <x:c r="B695" s="10" t="str">
        <x:v>כאן סקרנים | בעקבות הפיוטים שנכנסו ללב של כולנו</x:v>
      </x:c>
      <x:c r="C695" s="10" t="str">
        <x:v>Вопросы о мире</x:v>
      </x:c>
      <x:c r="D695" s="9" t="str">
        <x:v>Образование</x:v>
      </x:c>
      <x:c r="E695" s="10" t="str">
        <x:v>Любознательные; изучающие язык; короткий просмотр</x:v>
      </x:c>
      <x:c r="F695" s="10" t="str">
        <x:v>B1–B2 (гипотеза)</x:v>
      </x:c>
      <x:c r="G695" s="12" t="n">
        <x:v>9.8</x:v>
      </x:c>
      <x:c r="H695" s="14" t="n">
        <x:v>39000</x:v>
      </x:c>
      <x:c r="I695" s="15" t="str">
        <x:v>Округлённый счётчик в списке YouTube</x:v>
      </x:c>
      <x:c r="J695" s="14" t="n">
        <x:v>39000</x:v>
      </x:c>
      <x:c r="K695" s="14" t="n">
        <x:v>83500</x:v>
      </x:c>
      <x:c r="L695" s="12" t="n">
        <x:f>IF(COUNT(J695:K695)=2,IF(K695=0,"",J695/K695),"")</x:f>
        <x:v>0.46706586826347307</x:v>
      </x:c>
      <x:c r="M695" s="10" t="str">
        <x:v>Завершённый короткий просмотр около 10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695" s="10" t="str">
        <x:v>Предсказать ответ по заголовку и объяснить его своими словами.</x:v>
      </x:c>
      <x:c r="O695" s="10" t="str">
        <x:v>Проверить содержание</x:v>
      </x:c>
      <x:c r="P695" s="10" t="str">
        <x:v>Самостоятельное видео</x:v>
      </x:c>
      <x:c r="Q695" s="9" t="str">
        <x:v>Нет</x:v>
      </x:c>
      <x:c r="R695" s="9" t="str">
        <x:v>C044</x:v>
      </x:c>
      <x:c r="S695" s="9" t="str">
        <x:v>C044</x:v>
      </x:c>
      <x:c r="T695" s="10" t="str">
        <x:v>כאן | דיגיטל - תאגיד השידור הישראלי</x:v>
      </x:c>
      <x:c r="U695" s="11" t="str">
        <x:v>https://www.youtube.com/watch?v=HdzTRPJaDew</x:v>
      </x:c>
      <x:c r="V695" s="16" t="n">
        <x:v>46308</x:v>
      </x:c>
      <x:c r="W695" s="16"/>
      <x:c r="X695" s="10" t="str">
        <x:v>Иврит предполагается по заголовку и источнику</x:v>
      </x:c>
      <x:c r="Y695" s="10" t="str">
        <x:v>Не проверено</x:v>
      </x:c>
      <x:c r="Z695" s="10" t="str">
        <x:v>Не проверено</x:v>
      </x:c>
      <x:c r="AA695" s="10" t="str">
        <x:v>Метаданные списка; видео не просмотрено</x:v>
      </x:c>
      <x:c r="AB695" s="13" t="str">
        <x:f>IF(AND(ISNUMBER(H695),ISNUMBER(W695)),H695/MAX(1,'Обзор'!$B$4-W695),"")</x:f>
      </x:c>
      <x:c r="AC695" s="17" t="str">
        <x:v>Не решено</x:v>
      </x:c>
      <x:c r="AD695" s="17" t="str">
        <x:v>Не проверено</x:v>
      </x:c>
      <x:c r="AE695" s="17" t="str">
        <x:v>Не проверено</x:v>
      </x:c>
      <x:c r="AF695" s="17" t="str">
        <x:v>Не проверено</x:v>
      </x:c>
      <x:c r="AG695" s="17" t="str">
        <x:v>Не решено</x:v>
      </x:c>
      <x:c r="AH695" s="17" t="str">
        <x:v>Не проверено</x:v>
      </x:c>
      <x:c r="AI695" s="10" t="str">
        <x:f>IF(AC695="Отклонить","Отклонено",IF(AND(AC695="Взять",COUNTIFS(AD695:AH695,"Да")=5),"Готово","Нужна редактура"))</x:f>
        <x:v>Нужна редактура</x:v>
      </x:c>
      <x:c r="AJ695" s="17" t="str"/>
      <x:c r="AK695" s="9" t="str">
        <x:v>https://www.youtube.com/playlist?list=PLXv9BeKApRvy8VBmTJnrOC_NbkxD7uwJk</x:v>
      </x:c>
      <x:c r="AL695" s="9" t="n">
        <x:v>11</x:v>
      </x:c>
      <x:c r="AM695" s="9"/>
      <x:c r="AN695" s="9"/>
    </x:row>
    <x:row r="696" ht="60" customHeight="1">
      <x:c r="A696" s="9" t="str">
        <x:v>QICGkNq2A9Y</x:v>
      </x:c>
      <x:c r="B696" s="10" t="str">
        <x:v>למה מודעות האבל נראות אותו דבר כבר 100 שנה? | כאן סקרנים</x:v>
      </x:c>
      <x:c r="C696" s="10" t="str">
        <x:v>Вопросы о мире</x:v>
      </x:c>
      <x:c r="D696" s="9" t="str">
        <x:v>Образование</x:v>
      </x:c>
      <x:c r="E696" s="10" t="str">
        <x:v>Любознательные; изучающие язык; короткий просмотр</x:v>
      </x:c>
      <x:c r="F696" s="10" t="str">
        <x:v>B1–B2 (гипотеза)</x:v>
      </x:c>
      <x:c r="G696" s="12" t="n">
        <x:v>6.9</x:v>
      </x:c>
      <x:c r="H696" s="14" t="n">
        <x:v>55000</x:v>
      </x:c>
      <x:c r="I696" s="15" t="str">
        <x:v>Округлённый счётчик в списке YouTube</x:v>
      </x:c>
      <x:c r="J696" s="14" t="n">
        <x:v>55000</x:v>
      </x:c>
      <x:c r="K696" s="14" t="n">
        <x:v>83500</x:v>
      </x:c>
      <x:c r="L696" s="12" t="n">
        <x:f>IF(COUNT(J696:K696)=2,IF(K696=0,"",J696/K696),"")</x:f>
        <x:v>0.6586826347305389</x:v>
      </x:c>
      <x:c r="M696" s="10" t="str">
        <x:v>Завершённый короткий просмотр около 7 мин. Один понятный вопрос даёт завершённый короткий выпуск и повод поделиться им.</x:v>
      </x:c>
      <x:c r="N696" s="10" t="str">
        <x:v>Предсказать ответ по заголовку и объяснить его своими словами.</x:v>
      </x:c>
      <x:c r="O696" s="10" t="str">
        <x:v>Проверить содержание</x:v>
      </x:c>
      <x:c r="P696" s="10" t="str">
        <x:v>Самостоятельное видео</x:v>
      </x:c>
      <x:c r="Q696" s="9" t="str">
        <x:v>Нет</x:v>
      </x:c>
      <x:c r="R696" s="9" t="str">
        <x:v>C044</x:v>
      </x:c>
      <x:c r="S696" s="9" t="str">
        <x:v>C044</x:v>
      </x:c>
      <x:c r="T696" s="10" t="str">
        <x:v>כאן | דיגיטל - תאגיד השידור הישראלי</x:v>
      </x:c>
      <x:c r="U696" s="11" t="str">
        <x:v>https://www.youtube.com/watch?v=QICGkNq2A9Y</x:v>
      </x:c>
      <x:c r="V696" s="16" t="n">
        <x:v>46308</x:v>
      </x:c>
      <x:c r="W696" s="16"/>
      <x:c r="X696" s="10" t="str">
        <x:v>Иврит предполагается по заголовку и источнику</x:v>
      </x:c>
      <x:c r="Y696" s="10" t="str">
        <x:v>Не проверено</x:v>
      </x:c>
      <x:c r="Z696" s="10" t="str">
        <x:v>Не проверено</x:v>
      </x:c>
      <x:c r="AA696" s="10" t="str">
        <x:v>Метаданные списка; видео не просмотрено</x:v>
      </x:c>
      <x:c r="AB696" s="13" t="str">
        <x:f>IF(AND(ISNUMBER(H696),ISNUMBER(W696)),H696/MAX(1,'Обзор'!$B$4-W696),"")</x:f>
      </x:c>
      <x:c r="AC696" s="17" t="str">
        <x:v>Не решено</x:v>
      </x:c>
      <x:c r="AD696" s="17" t="str">
        <x:v>Не проверено</x:v>
      </x:c>
      <x:c r="AE696" s="17" t="str">
        <x:v>Не проверено</x:v>
      </x:c>
      <x:c r="AF696" s="17" t="str">
        <x:v>Не проверено</x:v>
      </x:c>
      <x:c r="AG696" s="17" t="str">
        <x:v>Не решено</x:v>
      </x:c>
      <x:c r="AH696" s="17" t="str">
        <x:v>Не проверено</x:v>
      </x:c>
      <x:c r="AI696" s="10" t="str">
        <x:f>IF(AC696="Отклонить","Отклонено",IF(AND(AC696="Взять",COUNTIFS(AD696:AH696,"Да")=5),"Готово","Нужна редактура"))</x:f>
        <x:v>Нужна редактура</x:v>
      </x:c>
      <x:c r="AJ696" s="17" t="str"/>
      <x:c r="AK696" s="9" t="str">
        <x:v>https://www.youtube.com/playlist?list=PLXv9BeKApRvy8VBmTJnrOC_NbkxD7uwJk</x:v>
      </x:c>
      <x:c r="AL696" s="9" t="n">
        <x:v>12</x:v>
      </x:c>
      <x:c r="AM696" s="9"/>
      <x:c r="AN696" s="9"/>
    </x:row>
    <x:row r="697" ht="60" customHeight="1">
      <x:c r="A697" s="9" t="str">
        <x:v>Z2L3YycWd24</x:v>
      </x:c>
      <x:c r="B697" s="10" t="str">
        <x:v>למה שירי המתנה זה דבר כל כך מעצבן? 📞 | כאן סקרנים</x:v>
      </x:c>
      <x:c r="C697" s="10" t="str">
        <x:v>Вопросы о мире</x:v>
      </x:c>
      <x:c r="D697" s="9" t="str">
        <x:v>Образование</x:v>
      </x:c>
      <x:c r="E697" s="10" t="str">
        <x:v>Любознательные; изучающие язык; короткий просмотр</x:v>
      </x:c>
      <x:c r="F697" s="10" t="str">
        <x:v>B1–B2 (гипотеза)</x:v>
      </x:c>
      <x:c r="G697" s="12" t="n">
        <x:v>8.2</x:v>
      </x:c>
      <x:c r="H697" s="14" t="n">
        <x:v>67000</x:v>
      </x:c>
      <x:c r="I697" s="15" t="str">
        <x:v>Округлённый счётчик в списке YouTube</x:v>
      </x:c>
      <x:c r="J697" s="14" t="n">
        <x:v>67000</x:v>
      </x:c>
      <x:c r="K697" s="14" t="n">
        <x:v>83500</x:v>
      </x:c>
      <x:c r="L697" s="12" t="n">
        <x:f>IF(COUNT(J697:K697)=2,IF(K697=0,"",J697/K697),"")</x:f>
        <x:v>0.8023952095808383</x:v>
      </x:c>
      <x:c r="M697" s="10" t="str">
        <x:v>Завершённый короткий просмотр около 8 мин. Один понятный вопрос даёт завершённый короткий выпуск и повод поделиться им.</x:v>
      </x:c>
      <x:c r="N697" s="10" t="str">
        <x:v>Предсказать ответ по заголовку и объяснить его своими словами.</x:v>
      </x:c>
      <x:c r="O697" s="10" t="str">
        <x:v>Проверить содержание</x:v>
      </x:c>
      <x:c r="P697" s="10" t="str">
        <x:v>Самостоятельное видео</x:v>
      </x:c>
      <x:c r="Q697" s="9" t="str">
        <x:v>Нет</x:v>
      </x:c>
      <x:c r="R697" s="9" t="str">
        <x:v>C044</x:v>
      </x:c>
      <x:c r="S697" s="9" t="str">
        <x:v>C044</x:v>
      </x:c>
      <x:c r="T697" s="10" t="str">
        <x:v>כאן | דיגיטל - תאגיד השידור הישראלי</x:v>
      </x:c>
      <x:c r="U697" s="11" t="str">
        <x:v>https://www.youtube.com/watch?v=Z2L3YycWd24</x:v>
      </x:c>
      <x:c r="V697" s="16" t="n">
        <x:v>46308</x:v>
      </x:c>
      <x:c r="W697" s="16"/>
      <x:c r="X697" s="10" t="str">
        <x:v>Иврит предполагается по заголовку и источнику</x:v>
      </x:c>
      <x:c r="Y697" s="10" t="str">
        <x:v>Не проверено</x:v>
      </x:c>
      <x:c r="Z697" s="10" t="str">
        <x:v>Не проверено</x:v>
      </x:c>
      <x:c r="AA697" s="10" t="str">
        <x:v>Метаданные списка; видео не просмотрено</x:v>
      </x:c>
      <x:c r="AB697" s="13" t="str">
        <x:f>IF(AND(ISNUMBER(H697),ISNUMBER(W697)),H697/MAX(1,'Обзор'!$B$4-W697),"")</x:f>
      </x:c>
      <x:c r="AC697" s="17" t="str">
        <x:v>Не решено</x:v>
      </x:c>
      <x:c r="AD697" s="17" t="str">
        <x:v>Не проверено</x:v>
      </x:c>
      <x:c r="AE697" s="17" t="str">
        <x:v>Не проверено</x:v>
      </x:c>
      <x:c r="AF697" s="17" t="str">
        <x:v>Не проверено</x:v>
      </x:c>
      <x:c r="AG697" s="17" t="str">
        <x:v>Не решено</x:v>
      </x:c>
      <x:c r="AH697" s="17" t="str">
        <x:v>Не проверено</x:v>
      </x:c>
      <x:c r="AI697" s="10" t="str">
        <x:f>IF(AC697="Отклонить","Отклонено",IF(AND(AC697="Взять",COUNTIFS(AD697:AH697,"Да")=5),"Готово","Нужна редактура"))</x:f>
        <x:v>Нужна редактура</x:v>
      </x:c>
      <x:c r="AJ697" s="17" t="str"/>
      <x:c r="AK697" s="9" t="str">
        <x:v>https://www.youtube.com/playlist?list=PLXv9BeKApRvy8VBmTJnrOC_NbkxD7uwJk</x:v>
      </x:c>
      <x:c r="AL697" s="9" t="n">
        <x:v>13</x:v>
      </x:c>
      <x:c r="AM697" s="9"/>
      <x:c r="AN697" s="9"/>
    </x:row>
    <x:row r="698" ht="60" customHeight="1">
      <x:c r="A698" s="9" t="str">
        <x:v>2l4unpzpKZY</x:v>
      </x:c>
      <x:c r="B698" s="10" t="str">
        <x:v>איך הפך דם המכבים לסמל של יום הזיכרון? | כאן סקרנים</x:v>
      </x:c>
      <x:c r="C698" s="10" t="str">
        <x:v>Вопросы о мире</x:v>
      </x:c>
      <x:c r="D698" s="9" t="str">
        <x:v>Образование</x:v>
      </x:c>
      <x:c r="E698" s="10" t="str">
        <x:v>Любознательные; изучающие язык; короткий просмотр</x:v>
      </x:c>
      <x:c r="F698" s="10" t="str">
        <x:v>B1–B2 (гипотеза)</x:v>
      </x:c>
      <x:c r="G698" s="12" t="n">
        <x:v>5.7</x:v>
      </x:c>
      <x:c r="H698" s="14" t="n">
        <x:v>38000</x:v>
      </x:c>
      <x:c r="I698" s="15" t="str">
        <x:v>Округлённый счётчик в списке YouTube</x:v>
      </x:c>
      <x:c r="J698" s="14" t="n">
        <x:v>38000</x:v>
      </x:c>
      <x:c r="K698" s="14" t="n">
        <x:v>83500</x:v>
      </x:c>
      <x:c r="L698" s="12" t="n">
        <x:f>IF(COUNT(J698:K698)=2,IF(K698=0,"",J698/K698),"")</x:f>
        <x:v>0.4550898203592814</x:v>
      </x:c>
      <x:c r="M698" s="10" t="str">
        <x:v>Завершённый короткий просмотр около 6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698" s="10" t="str">
        <x:v>Предсказать ответ по заголовку и объяснить его своими словами.</x:v>
      </x:c>
      <x:c r="O698" s="10" t="str">
        <x:v>Проверить содержание</x:v>
      </x:c>
      <x:c r="P698" s="10" t="str">
        <x:v>Самостоятельное видео</x:v>
      </x:c>
      <x:c r="Q698" s="9" t="str">
        <x:v>Нет</x:v>
      </x:c>
      <x:c r="R698" s="9" t="str">
        <x:v>C044</x:v>
      </x:c>
      <x:c r="S698" s="9" t="str">
        <x:v>C044</x:v>
      </x:c>
      <x:c r="T698" s="10" t="str">
        <x:v>כאן | דיגיטל - תאגיד השידור הישראלי</x:v>
      </x:c>
      <x:c r="U698" s="11" t="str">
        <x:v>https://www.youtube.com/watch?v=2l4unpzpKZY</x:v>
      </x:c>
      <x:c r="V698" s="16" t="n">
        <x:v>46308</x:v>
      </x:c>
      <x:c r="W698" s="16"/>
      <x:c r="X698" s="10" t="str">
        <x:v>Иврит предполагается по заголовку и источнику</x:v>
      </x:c>
      <x:c r="Y698" s="10" t="str">
        <x:v>Не проверено</x:v>
      </x:c>
      <x:c r="Z698" s="10" t="str">
        <x:v>Не проверено</x:v>
      </x:c>
      <x:c r="AA698" s="10" t="str">
        <x:v>Метаданные списка; видео не просмотрено</x:v>
      </x:c>
      <x:c r="AB698" s="13" t="str">
        <x:f>IF(AND(ISNUMBER(H698),ISNUMBER(W698)),H698/MAX(1,'Обзор'!$B$4-W698),"")</x:f>
      </x:c>
      <x:c r="AC698" s="17" t="str">
        <x:v>Не решено</x:v>
      </x:c>
      <x:c r="AD698" s="17" t="str">
        <x:v>Не проверено</x:v>
      </x:c>
      <x:c r="AE698" s="17" t="str">
        <x:v>Не проверено</x:v>
      </x:c>
      <x:c r="AF698" s="17" t="str">
        <x:v>Не проверено</x:v>
      </x:c>
      <x:c r="AG698" s="17" t="str">
        <x:v>Не решено</x:v>
      </x:c>
      <x:c r="AH698" s="17" t="str">
        <x:v>Не проверено</x:v>
      </x:c>
      <x:c r="AI698" s="10" t="str">
        <x:f>IF(AC698="Отклонить","Отклонено",IF(AND(AC698="Взять",COUNTIFS(AD698:AH698,"Да")=5),"Готово","Нужна редактура"))</x:f>
        <x:v>Нужна редактура</x:v>
      </x:c>
      <x:c r="AJ698" s="17" t="str"/>
      <x:c r="AK698" s="9" t="str">
        <x:v>https://www.youtube.com/playlist?list=PLXv9BeKApRvy8VBmTJnrOC_NbkxD7uwJk</x:v>
      </x:c>
      <x:c r="AL698" s="9" t="n">
        <x:v>14</x:v>
      </x:c>
      <x:c r="AM698" s="9"/>
      <x:c r="AN698" s="9"/>
    </x:row>
    <x:row r="699" ht="60" customHeight="1">
      <x:c r="A699" s="9" t="str">
        <x:v>utkr6YtbO3A</x:v>
      </x:c>
      <x:c r="B699" s="10" t="str">
        <x:v>אנחנו לא הוגים אותיות כמו שצריך? | כאן סקרנים</x:v>
      </x:c>
      <x:c r="C699" s="10" t="str">
        <x:v>Вопросы о мире</x:v>
      </x:c>
      <x:c r="D699" s="9" t="str">
        <x:v>Образование</x:v>
      </x:c>
      <x:c r="E699" s="10" t="str">
        <x:v>Любознательные; изучающие язык; короткий просмотр</x:v>
      </x:c>
      <x:c r="F699" s="10" t="str">
        <x:v>B1–B2 (гипотеза)</x:v>
      </x:c>
      <x:c r="G699" s="12" t="n">
        <x:v>10.2</x:v>
      </x:c>
      <x:c r="H699" s="14" t="n">
        <x:v>117720</x:v>
      </x:c>
      <x:c r="I699" s="15" t="str">
        <x:v>Точный счётчик метаданных видео</x:v>
      </x:c>
      <x:c r="J699" s="14" t="n">
        <x:v>117000</x:v>
      </x:c>
      <x:c r="K699" s="14" t="n">
        <x:v>83500</x:v>
      </x:c>
      <x:c r="L699" s="12" t="n">
        <x:f>IF(COUNT(J699:K699)=2,IF(K699=0,"",J699/K699),"")</x:f>
        <x:v>1.401197604790419</x:v>
      </x:c>
      <x:c r="M699" s="10" t="str">
        <x:v>Тема: אנחנו לא הוגים אותיות כמו שצריך? | כאן סקרנים. Один понятный вопрос даёт завершённый короткий выпуск и повод поделиться им.</x:v>
      </x:c>
      <x:c r="N699" s="10" t="str">
        <x:v>Предсказать ответ по заголовку и объяснить его своими словами.</x:v>
      </x:c>
      <x:c r="O699" s="10" t="str">
        <x:v>Проверить содержание</x:v>
      </x:c>
      <x:c r="P699" s="10" t="str">
        <x:v>Самостоятельное видео</x:v>
      </x:c>
      <x:c r="Q699" s="9" t="str">
        <x:v>Нет</x:v>
      </x:c>
      <x:c r="R699" s="9" t="str">
        <x:v>C044</x:v>
      </x:c>
      <x:c r="S699" s="9" t="str">
        <x:v>C044</x:v>
      </x:c>
      <x:c r="T699" s="10" t="str">
        <x:v>כאן | דיגיטל - תאגיד השידור הישראלי</x:v>
      </x:c>
      <x:c r="U699" s="11" t="str">
        <x:v>https://www.youtube.com/watch?v=utkr6YtbO3A</x:v>
      </x:c>
      <x:c r="V699" s="16" t="n">
        <x:v>46308</x:v>
      </x:c>
      <x:c r="W699" s="16" t="n">
        <x:v>44641</x:v>
      </x:c>
      <x:c r="X699" s="10" t="str">
        <x:v>Иврит предполагается по заголовку и источнику</x:v>
      </x:c>
      <x:c r="Y699" s="10" t="str">
        <x:v>Ручная дорожка HE по метаданным</x:v>
      </x:c>
      <x:c r="Z699" s="10" t="str">
        <x:v>Разрешено по метаданным</x:v>
      </x:c>
      <x:c r="AA699" s="10" t="str">
        <x:v>Метаданные видео; воспроизведение и содержание не проверены</x:v>
      </x:c>
      <x:c r="AB699" s="13" t="n">
        <x:f>IF(AND(ISNUMBER(H699),ISNUMBER(W699)),H699/MAX(1,'Обзор'!$B$4-W699),"")</x:f>
        <x:v>70.61787642471506</x:v>
      </x:c>
      <x:c r="AC699" s="17" t="str">
        <x:v>Не решено</x:v>
      </x:c>
      <x:c r="AD699" s="17" t="str">
        <x:v>Не проверено</x:v>
      </x:c>
      <x:c r="AE699" s="17" t="str">
        <x:v>Не проверено</x:v>
      </x:c>
      <x:c r="AF699" s="17" t="str">
        <x:v>Не проверено</x:v>
      </x:c>
      <x:c r="AG699" s="17" t="str">
        <x:v>Не решено</x:v>
      </x:c>
      <x:c r="AH699" s="17" t="str">
        <x:v>Не проверено</x:v>
      </x:c>
      <x:c r="AI699" s="10" t="str">
        <x:f>IF(AC699="Отклонить","Отклонено",IF(AND(AC699="Взять",COUNTIFS(AD699:AH699,"Да")=5),"Готово","Нужна редактура"))</x:f>
        <x:v>Нужна редактура</x:v>
      </x:c>
      <x:c r="AJ699" s="17" t="str"/>
      <x:c r="AK699" s="9" t="str">
        <x:v>https://www.youtube.com/playlist?list=PLXv9BeKApRvy8VBmTJnrOC_NbkxD7uwJk</x:v>
      </x:c>
      <x:c r="AL699" s="9" t="n">
        <x:v>15</x:v>
      </x:c>
      <x:c r="AM699" s="9"/>
      <x:c r="AN699" s="9" t="n">
        <x:v>0</x:v>
      </x:c>
    </x:row>
    <x:row r="700" ht="60" customHeight="1">
      <x:c r="A700" s="9" t="str">
        <x:v>NLaViHzDrrk</x:v>
      </x:c>
      <x:c r="B700" s="10" t="str">
        <x:v>איך נעלי קיפי הפכו לסמל ישראלי? | כאן סקרנים</x:v>
      </x:c>
      <x:c r="C700" s="10" t="str">
        <x:v>Вопросы о мире</x:v>
      </x:c>
      <x:c r="D700" s="9" t="str">
        <x:v>Образование</x:v>
      </x:c>
      <x:c r="E700" s="10" t="str">
        <x:v>Любознательные; изучающие язык; короткий просмотр</x:v>
      </x:c>
      <x:c r="F700" s="10" t="str">
        <x:v>B1–B2 (гипотеза)</x:v>
      </x:c>
      <x:c r="G700" s="12" t="n">
        <x:v>8.6</x:v>
      </x:c>
      <x:c r="H700" s="14" t="n">
        <x:v>38000</x:v>
      </x:c>
      <x:c r="I700" s="15" t="str">
        <x:v>Округлённый счётчик в списке YouTube</x:v>
      </x:c>
      <x:c r="J700" s="14" t="n">
        <x:v>38000</x:v>
      </x:c>
      <x:c r="K700" s="14" t="n">
        <x:v>83500</x:v>
      </x:c>
      <x:c r="L700" s="12" t="n">
        <x:f>IF(COUNT(J700:K700)=2,IF(K700=0,"",J700/K700),"")</x:f>
        <x:v>0.4550898203592814</x:v>
      </x:c>
      <x:c r="M700" s="10" t="str">
        <x:v>Завершённый короткий просмотр около 9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700" s="10" t="str">
        <x:v>Предсказать ответ по заголовку и объяснить его своими словами.</x:v>
      </x:c>
      <x:c r="O700" s="10" t="str">
        <x:v>Проверить содержание</x:v>
      </x:c>
      <x:c r="P700" s="10" t="str">
        <x:v>Самостоятельное видео</x:v>
      </x:c>
      <x:c r="Q700" s="9" t="str">
        <x:v>Нет</x:v>
      </x:c>
      <x:c r="R700" s="9" t="str">
        <x:v>C044</x:v>
      </x:c>
      <x:c r="S700" s="9" t="str">
        <x:v>C044</x:v>
      </x:c>
      <x:c r="T700" s="10" t="str">
        <x:v>כאן | דיגיטל - תאגיד השידור הישראלי</x:v>
      </x:c>
      <x:c r="U700" s="11" t="str">
        <x:v>https://www.youtube.com/watch?v=NLaViHzDrrk</x:v>
      </x:c>
      <x:c r="V700" s="16" t="n">
        <x:v>46308</x:v>
      </x:c>
      <x:c r="W700" s="16"/>
      <x:c r="X700" s="10" t="str">
        <x:v>Иврит предполагается по заголовку и источнику</x:v>
      </x:c>
      <x:c r="Y700" s="10" t="str">
        <x:v>Не проверено</x:v>
      </x:c>
      <x:c r="Z700" s="10" t="str">
        <x:v>Не проверено</x:v>
      </x:c>
      <x:c r="AA700" s="10" t="str">
        <x:v>Метаданные списка; видео не просмотрено</x:v>
      </x:c>
      <x:c r="AB700" s="13" t="str">
        <x:f>IF(AND(ISNUMBER(H700),ISNUMBER(W700)),H700/MAX(1,'Обзор'!$B$4-W700),"")</x:f>
      </x:c>
      <x:c r="AC700" s="17" t="str">
        <x:v>Не решено</x:v>
      </x:c>
      <x:c r="AD700" s="17" t="str">
        <x:v>Не проверено</x:v>
      </x:c>
      <x:c r="AE700" s="17" t="str">
        <x:v>Не проверено</x:v>
      </x:c>
      <x:c r="AF700" s="17" t="str">
        <x:v>Не проверено</x:v>
      </x:c>
      <x:c r="AG700" s="17" t="str">
        <x:v>Не решено</x:v>
      </x:c>
      <x:c r="AH700" s="17" t="str">
        <x:v>Не проверено</x:v>
      </x:c>
      <x:c r="AI700" s="10" t="str">
        <x:f>IF(AC700="Отклонить","Отклонено",IF(AND(AC700="Взять",COUNTIFS(AD700:AH700,"Да")=5),"Готово","Нужна редактура"))</x:f>
        <x:v>Нужна редактура</x:v>
      </x:c>
      <x:c r="AJ700" s="17" t="str"/>
      <x:c r="AK700" s="9" t="str">
        <x:v>https://www.youtube.com/playlist?list=PLXv9BeKApRvy8VBmTJnrOC_NbkxD7uwJk</x:v>
      </x:c>
      <x:c r="AL700" s="9" t="n">
        <x:v>16</x:v>
      </x:c>
      <x:c r="AM700" s="9"/>
      <x:c r="AN700" s="9"/>
    </x:row>
    <x:row r="701" ht="60" customHeight="1">
      <x:c r="A701" s="9" t="str">
        <x:v>FVYKigw-1hY</x:v>
      </x:c>
      <x:c r="B701" s="10" t="str">
        <x:v>למה שכונות בישראל נראות אותו הדבר? | כאן סקרנים</x:v>
      </x:c>
      <x:c r="C701" s="10" t="str">
        <x:v>Вопросы о мире</x:v>
      </x:c>
      <x:c r="D701" s="9" t="str">
        <x:v>Образование</x:v>
      </x:c>
      <x:c r="E701" s="10" t="str">
        <x:v>Любознательные; изучающие язык; короткий просмотр</x:v>
      </x:c>
      <x:c r="F701" s="10" t="str">
        <x:v>B1–B2 (гипотеза)</x:v>
      </x:c>
      <x:c r="G701" s="12" t="n">
        <x:v>10.9</x:v>
      </x:c>
      <x:c r="H701" s="14" t="n">
        <x:v>170161</x:v>
      </x:c>
      <x:c r="I701" s="15" t="str">
        <x:v>Точный счётчик метаданных видео</x:v>
      </x:c>
      <x:c r="J701" s="14" t="n">
        <x:v>170000</x:v>
      </x:c>
      <x:c r="K701" s="14" t="n">
        <x:v>83500</x:v>
      </x:c>
      <x:c r="L701" s="12" t="n">
        <x:f>IF(COUNT(J701:K701)=2,IF(K701=0,"",J701/K701),"")</x:f>
        <x:v>2.035928143712575</x:v>
      </x:c>
      <x:c r="M701" s="10" t="str">
        <x:v>Тема: למה שכונות בישראל נראות אותו הדבר? | כאן סקרנים. Просмотры в списке выше медианы выборки этого цикла в 2.04 раза. Один понятный вопрос даёт завершённый короткий выпуск и повод поделиться им.</x:v>
      </x:c>
      <x:c r="N701" s="10" t="str">
        <x:v>Предсказать ответ по заголовку и объяснить его своими словами.</x:v>
      </x:c>
      <x:c r="O701" s="10" t="str">
        <x:v>Проверить содержание</x:v>
      </x:c>
      <x:c r="P701" s="10" t="str">
        <x:v>Самостоятельное видео</x:v>
      </x:c>
      <x:c r="Q701" s="9" t="str">
        <x:v>Нет</x:v>
      </x:c>
      <x:c r="R701" s="9" t="str">
        <x:v>C044</x:v>
      </x:c>
      <x:c r="S701" s="9" t="str">
        <x:v>C044</x:v>
      </x:c>
      <x:c r="T701" s="10" t="str">
        <x:v>כאן | דיגיטל - תאגיד השידור הישראלי</x:v>
      </x:c>
      <x:c r="U701" s="11" t="str">
        <x:v>https://www.youtube.com/watch?v=FVYKigw-1hY</x:v>
      </x:c>
      <x:c r="V701" s="16" t="n">
        <x:v>46308</x:v>
      </x:c>
      <x:c r="W701" s="16" t="n">
        <x:v>44518</x:v>
      </x:c>
      <x:c r="X701" s="10" t="str">
        <x:v>iw</x:v>
      </x:c>
      <x:c r="Y701" s="10" t="str">
        <x:v>Ручная дорожка HE по метаданным</x:v>
      </x:c>
      <x:c r="Z701" s="10" t="str">
        <x:v>Разрешено по метаданным</x:v>
      </x:c>
      <x:c r="AA701" s="10" t="str">
        <x:v>Метаданные видео; воспроизведение и содержание не проверены</x:v>
      </x:c>
      <x:c r="AB701" s="13" t="n">
        <x:f>IF(AND(ISNUMBER(H701),ISNUMBER(W701)),H701/MAX(1,'Обзор'!$B$4-W701),"")</x:f>
        <x:v>95.06201117318436</x:v>
      </x:c>
      <x:c r="AC701" s="17" t="str">
        <x:v>Не решено</x:v>
      </x:c>
      <x:c r="AD701" s="17" t="str">
        <x:v>Не проверено</x:v>
      </x:c>
      <x:c r="AE701" s="17" t="str">
        <x:v>Не проверено</x:v>
      </x:c>
      <x:c r="AF701" s="17" t="str">
        <x:v>Не проверено</x:v>
      </x:c>
      <x:c r="AG701" s="17" t="str">
        <x:v>Не решено</x:v>
      </x:c>
      <x:c r="AH701" s="17" t="str">
        <x:v>Не проверено</x:v>
      </x:c>
      <x:c r="AI701" s="10" t="str">
        <x:f>IF(AC701="Отклонить","Отклонено",IF(AND(AC701="Взять",COUNTIFS(AD701:AH701,"Да")=5),"Готово","Нужна редактура"))</x:f>
        <x:v>Нужна редактура</x:v>
      </x:c>
      <x:c r="AJ701" s="17" t="str"/>
      <x:c r="AK701" s="9" t="str">
        <x:v>https://www.youtube.com/playlist?list=PLXv9BeKApRvy8VBmTJnrOC_NbkxD7uwJk</x:v>
      </x:c>
      <x:c r="AL701" s="9" t="n">
        <x:v>17</x:v>
      </x:c>
      <x:c r="AM701" s="9"/>
      <x:c r="AN701" s="9" t="n">
        <x:v>0</x:v>
      </x:c>
    </x:row>
    <x:row r="702" ht="60" customHeight="1">
      <x:c r="A702" s="9" t="str">
        <x:v>VuAOzgOP3ts</x:v>
      </x:c>
      <x:c r="B702" s="10" t="str">
        <x:v>איך ומתי הומצאו שמות המשפחה שלנו? | כאן סקרנים</x:v>
      </x:c>
      <x:c r="C702" s="10" t="str">
        <x:v>Вопросы о мире</x:v>
      </x:c>
      <x:c r="D702" s="9" t="str">
        <x:v>Образование</x:v>
      </x:c>
      <x:c r="E702" s="10" t="str">
        <x:v>Любознательные; изучающие язык; короткий просмотр</x:v>
      </x:c>
      <x:c r="F702" s="10" t="str">
        <x:v>B1–B2 (гипотеза)</x:v>
      </x:c>
      <x:c r="G702" s="12" t="n">
        <x:v>8.9</x:v>
      </x:c>
      <x:c r="H702" s="14" t="n">
        <x:v>201817</x:v>
      </x:c>
      <x:c r="I702" s="15" t="str">
        <x:v>Точный счётчик метаданных видео</x:v>
      </x:c>
      <x:c r="J702" s="14" t="n">
        <x:v>201000</x:v>
      </x:c>
      <x:c r="K702" s="14" t="n">
        <x:v>83500</x:v>
      </x:c>
      <x:c r="L702" s="12" t="n">
        <x:f>IF(COUNT(J702:K702)=2,IF(K702=0,"",J702/K702),"")</x:f>
        <x:v>2.407185628742515</x:v>
      </x:c>
      <x:c r="M702" s="10" t="str">
        <x:v>Завершённый короткий просмотр около 9 мин. Просмотры в списке выше медианы выборки этого цикла в 2.41 раза. Один понятный вопрос даёт завершённый короткий выпуск и повод поделиться им.</x:v>
      </x:c>
      <x:c r="N702" s="10" t="str">
        <x:v>Предсказать ответ по заголовку и объяснить его своими словами.</x:v>
      </x:c>
      <x:c r="O702" s="10" t="str">
        <x:v>Проверить содержание</x:v>
      </x:c>
      <x:c r="P702" s="10" t="str">
        <x:v>Самостоятельное видео</x:v>
      </x:c>
      <x:c r="Q702" s="9" t="str">
        <x:v>Нет</x:v>
      </x:c>
      <x:c r="R702" s="9" t="str">
        <x:v>C044</x:v>
      </x:c>
      <x:c r="S702" s="9" t="str">
        <x:v>C044</x:v>
      </x:c>
      <x:c r="T702" s="10" t="str">
        <x:v>כאן | דיגיטל - תאגיד השידור הישראלי</x:v>
      </x:c>
      <x:c r="U702" s="11" t="str">
        <x:v>https://www.youtube.com/watch?v=VuAOzgOP3ts</x:v>
      </x:c>
      <x:c r="V702" s="16" t="n">
        <x:v>46308</x:v>
      </x:c>
      <x:c r="W702" s="16" t="n">
        <x:v>44504</x:v>
      </x:c>
      <x:c r="X702" s="10" t="str">
        <x:v>Иврит предполагается по заголовку и источнику</x:v>
      </x:c>
      <x:c r="Y702" s="10" t="str">
        <x:v>Ручная дорожка HE по метаданным</x:v>
      </x:c>
      <x:c r="Z702" s="10" t="str">
        <x:v>Разрешено по метаданным</x:v>
      </x:c>
      <x:c r="AA702" s="10" t="str">
        <x:v>Метаданные видео; воспроизведение и содержание не проверены</x:v>
      </x:c>
      <x:c r="AB702" s="13" t="n">
        <x:f>IF(AND(ISNUMBER(H702),ISNUMBER(W702)),H702/MAX(1,'Обзор'!$B$4-W702),"")</x:f>
        <x:v>111.8719512195122</x:v>
      </x:c>
      <x:c r="AC702" s="17" t="str">
        <x:v>Не решено</x:v>
      </x:c>
      <x:c r="AD702" s="17" t="str">
        <x:v>Не проверено</x:v>
      </x:c>
      <x:c r="AE702" s="17" t="str">
        <x:v>Не проверено</x:v>
      </x:c>
      <x:c r="AF702" s="17" t="str">
        <x:v>Не проверено</x:v>
      </x:c>
      <x:c r="AG702" s="17" t="str">
        <x:v>Не решено</x:v>
      </x:c>
      <x:c r="AH702" s="17" t="str">
        <x:v>Не проверено</x:v>
      </x:c>
      <x:c r="AI702" s="10" t="str">
        <x:f>IF(AC702="Отклонить","Отклонено",IF(AND(AC702="Взять",COUNTIFS(AD702:AH702,"Да")=5),"Готово","Нужна редактура"))</x:f>
        <x:v>Нужна редактура</x:v>
      </x:c>
      <x:c r="AJ702" s="17" t="str"/>
      <x:c r="AK702" s="9" t="str">
        <x:v>https://www.youtube.com/playlist?list=PLXv9BeKApRvy8VBmTJnrOC_NbkxD7uwJk</x:v>
      </x:c>
      <x:c r="AL702" s="9" t="n">
        <x:v>18</x:v>
      </x:c>
      <x:c r="AM702" s="9"/>
      <x:c r="AN702" s="9" t="n">
        <x:v>0</x:v>
      </x:c>
    </x:row>
    <x:row r="703" ht="60" customHeight="1">
      <x:c r="A703" s="9" t="str">
        <x:v>49N9liAX2_k</x:v>
      </x:c>
      <x:c r="B703" s="10" t="str">
        <x:v>מתי עצי הפיקוס הפכו לכזה כאב ראש? | כאן סקרנים</x:v>
      </x:c>
      <x:c r="C703" s="10" t="str">
        <x:v>Вопросы о мире</x:v>
      </x:c>
      <x:c r="D703" s="9" t="str">
        <x:v>Образование</x:v>
      </x:c>
      <x:c r="E703" s="10" t="str">
        <x:v>Любознательные; изучающие язык; короткий просмотр</x:v>
      </x:c>
      <x:c r="F703" s="10" t="str">
        <x:v>B1–B2 (гипотеза)</x:v>
      </x:c>
      <x:c r="G703" s="12" t="n">
        <x:v>8.5</x:v>
      </x:c>
      <x:c r="H703" s="14" t="n">
        <x:v>47000</x:v>
      </x:c>
      <x:c r="I703" s="15" t="str">
        <x:v>Округлённый счётчик в списке YouTube</x:v>
      </x:c>
      <x:c r="J703" s="14" t="n">
        <x:v>47000</x:v>
      </x:c>
      <x:c r="K703" s="14" t="n">
        <x:v>83500</x:v>
      </x:c>
      <x:c r="L703" s="12" t="n">
        <x:f>IF(COUNT(J703:K703)=2,IF(K703=0,"",J703/K703),"")</x:f>
        <x:v>0.562874251497006</x:v>
      </x:c>
      <x:c r="M703" s="10" t="str">
        <x:v>Завершённый короткий просмотр около 8 мин. Один понятный вопрос даёт завершённый короткий выпуск и повод поделиться им.</x:v>
      </x:c>
      <x:c r="N703" s="10" t="str">
        <x:v>Предсказать ответ по заголовку и объяснить его своими словами.</x:v>
      </x:c>
      <x:c r="O703" s="10" t="str">
        <x:v>Проверить содержание</x:v>
      </x:c>
      <x:c r="P703" s="10" t="str">
        <x:v>Самостоятельное видео</x:v>
      </x:c>
      <x:c r="Q703" s="9" t="str">
        <x:v>Нет</x:v>
      </x:c>
      <x:c r="R703" s="9" t="str">
        <x:v>C044</x:v>
      </x:c>
      <x:c r="S703" s="9" t="str">
        <x:v>C044</x:v>
      </x:c>
      <x:c r="T703" s="10" t="str">
        <x:v>כאן | דיגיטל - תאגיד השידור הישראלי</x:v>
      </x:c>
      <x:c r="U703" s="11" t="str">
        <x:v>https://www.youtube.com/watch?v=49N9liAX2_k</x:v>
      </x:c>
      <x:c r="V703" s="16" t="n">
        <x:v>46308</x:v>
      </x:c>
      <x:c r="W703" s="16"/>
      <x:c r="X703" s="10" t="str">
        <x:v>Иврит предполагается по заголовку и источнику</x:v>
      </x:c>
      <x:c r="Y703" s="10" t="str">
        <x:v>Не проверено</x:v>
      </x:c>
      <x:c r="Z703" s="10" t="str">
        <x:v>Не проверено</x:v>
      </x:c>
      <x:c r="AA703" s="10" t="str">
        <x:v>Метаданные списка; видео не просмотрено</x:v>
      </x:c>
      <x:c r="AB703" s="13" t="str">
        <x:f>IF(AND(ISNUMBER(H703),ISNUMBER(W703)),H703/MAX(1,'Обзор'!$B$4-W703),"")</x:f>
      </x:c>
      <x:c r="AC703" s="17" t="str">
        <x:v>Не решено</x:v>
      </x:c>
      <x:c r="AD703" s="17" t="str">
        <x:v>Не проверено</x:v>
      </x:c>
      <x:c r="AE703" s="17" t="str">
        <x:v>Не проверено</x:v>
      </x:c>
      <x:c r="AF703" s="17" t="str">
        <x:v>Не проверено</x:v>
      </x:c>
      <x:c r="AG703" s="17" t="str">
        <x:v>Не решено</x:v>
      </x:c>
      <x:c r="AH703" s="17" t="str">
        <x:v>Не проверено</x:v>
      </x:c>
      <x:c r="AI703" s="10" t="str">
        <x:f>IF(AC703="Отклонить","Отклонено",IF(AND(AC703="Взять",COUNTIFS(AD703:AH703,"Да")=5),"Готово","Нужна редактура"))</x:f>
        <x:v>Нужна редактура</x:v>
      </x:c>
      <x:c r="AJ703" s="17" t="str"/>
      <x:c r="AK703" s="9" t="str">
        <x:v>https://www.youtube.com/playlist?list=PLXv9BeKApRvy8VBmTJnrOC_NbkxD7uwJk</x:v>
      </x:c>
      <x:c r="AL703" s="9" t="n">
        <x:v>19</x:v>
      </x:c>
      <x:c r="AM703" s="9"/>
      <x:c r="AN703" s="9"/>
    </x:row>
    <x:row r="704" ht="60" customHeight="1">
      <x:c r="A704" s="9" t="str">
        <x:v>r7va4ctYk68</x:v>
      </x:c>
      <x:c r="B704" s="10" t="str">
        <x:v>למה ליהודים יש יותר מחלות (ואיך זה קשור לזה שג'ינג'ים לא באמת עומדים להיכחד)? | כאן סקרנים</x:v>
      </x:c>
      <x:c r="C704" s="10" t="str">
        <x:v>Вопросы о мире</x:v>
      </x:c>
      <x:c r="D704" s="9" t="str">
        <x:v>Образование</x:v>
      </x:c>
      <x:c r="E704" s="10" t="str">
        <x:v>Любознательные; изучающие язык; короткий просмотр</x:v>
      </x:c>
      <x:c r="F704" s="10" t="str">
        <x:v>B1–B2 (гипотеза)</x:v>
      </x:c>
      <x:c r="G704" s="12" t="n">
        <x:v>16.1</x:v>
      </x:c>
      <x:c r="H704" s="14" t="n">
        <x:v>126581</x:v>
      </x:c>
      <x:c r="I704" s="15" t="str">
        <x:v>Точный счётчик метаданных видео</x:v>
      </x:c>
      <x:c r="J704" s="14" t="n">
        <x:v>126000</x:v>
      </x:c>
      <x:c r="K704" s="14" t="n">
        <x:v>83500</x:v>
      </x:c>
      <x:c r="L704" s="12" t="n">
        <x:f>IF(COUNT(J704:K704)=2,IF(K704=0,"",J704/K704),"")</x:f>
        <x:v>1.5089820359281436</x:v>
      </x:c>
      <x:c r="M704" s="10" t="str">
        <x:v>Тема: למה ליהודים יש יותר מחלות (ואיך זה קשור לזה שג'ינג'ים לא באמת עומדים להיכחד)? | כאן סקרנים. Просмотры в списке выше медианы выборки этого цикла в 1.51 раза. Один понятный вопрос даёт завершённый короткий выпуск и повод поделиться им.</x:v>
      </x:c>
      <x:c r="N704" s="10" t="str">
        <x:v>Предсказать ответ по заголовку и объяснить его своими словами.</x:v>
      </x:c>
      <x:c r="O704" s="10" t="str">
        <x:v>Проверить содержание</x:v>
      </x:c>
      <x:c r="P704" s="10" t="str">
        <x:v>Самостоятельное видео</x:v>
      </x:c>
      <x:c r="Q704" s="9" t="str">
        <x:v>Нет</x:v>
      </x:c>
      <x:c r="R704" s="9" t="str">
        <x:v>C044</x:v>
      </x:c>
      <x:c r="S704" s="9" t="str">
        <x:v>C044</x:v>
      </x:c>
      <x:c r="T704" s="10" t="str">
        <x:v>כאן | דיגיטל - תאגיד השידור הישראלי</x:v>
      </x:c>
      <x:c r="U704" s="11" t="str">
        <x:v>https://www.youtube.com/watch?v=r7va4ctYk68</x:v>
      </x:c>
      <x:c r="V704" s="16" t="n">
        <x:v>46308</x:v>
      </x:c>
      <x:c r="W704" s="16" t="n">
        <x:v>44479</x:v>
      </x:c>
      <x:c r="X704" s="10" t="str">
        <x:v>Иврит предполагается по заголовку и источнику</x:v>
      </x:c>
      <x:c r="Y704" s="10" t="str">
        <x:v>Ручная дорожка HE по метаданным</x:v>
      </x:c>
      <x:c r="Z704" s="10" t="str">
        <x:v>Разрешено по метаданным</x:v>
      </x:c>
      <x:c r="AA704" s="10" t="str">
        <x:v>Метаданные видео; воспроизведение и содержание не проверены</x:v>
      </x:c>
      <x:c r="AB704" s="13" t="n">
        <x:f>IF(AND(ISNUMBER(H704),ISNUMBER(W704)),H704/MAX(1,'Обзор'!$B$4-W704),"")</x:f>
        <x:v>69.20776380535811</x:v>
      </x:c>
      <x:c r="AC704" s="17" t="str">
        <x:v>Не решено</x:v>
      </x:c>
      <x:c r="AD704" s="17" t="str">
        <x:v>Не проверено</x:v>
      </x:c>
      <x:c r="AE704" s="17" t="str">
        <x:v>Не проверено</x:v>
      </x:c>
      <x:c r="AF704" s="17" t="str">
        <x:v>Не проверено</x:v>
      </x:c>
      <x:c r="AG704" s="17" t="str">
        <x:v>Не решено</x:v>
      </x:c>
      <x:c r="AH704" s="17" t="str">
        <x:v>Не проверено</x:v>
      </x:c>
      <x:c r="AI704" s="10" t="str">
        <x:f>IF(AC704="Отклонить","Отклонено",IF(AND(AC704="Взять",COUNTIFS(AD704:AH704,"Да")=5),"Готово","Нужна редактура"))</x:f>
        <x:v>Нужна редактура</x:v>
      </x:c>
      <x:c r="AJ704" s="17" t="str"/>
      <x:c r="AK704" s="9" t="str">
        <x:v>https://www.youtube.com/playlist?list=PLXv9BeKApRvy8VBmTJnrOC_NbkxD7uwJk</x:v>
      </x:c>
      <x:c r="AL704" s="9" t="n">
        <x:v>20</x:v>
      </x:c>
      <x:c r="AM704" s="9"/>
      <x:c r="AN704" s="9" t="n">
        <x:v>0</x:v>
      </x:c>
    </x:row>
    <x:row r="705" ht="60" customHeight="1">
      <x:c r="A705" s="9" t="str">
        <x:v>dZS5nf-yOtg</x:v>
      </x:c>
      <x:c r="B705" s="10" t="str">
        <x:v>כת השטן בישראל - היה או לא היה? | כאן סקרנים</x:v>
      </x:c>
      <x:c r="C705" s="10" t="str">
        <x:v>Вопросы о мире</x:v>
      </x:c>
      <x:c r="D705" s="9" t="str">
        <x:v>Образование</x:v>
      </x:c>
      <x:c r="E705" s="10" t="str">
        <x:v>Любознательные; изучающие язык; короткий просмотр</x:v>
      </x:c>
      <x:c r="F705" s="10" t="str">
        <x:v>B1–B2 (гипотеза)</x:v>
      </x:c>
      <x:c r="G705" s="12" t="n">
        <x:v>15.1</x:v>
      </x:c>
      <x:c r="H705" s="14" t="n">
        <x:v>171380</x:v>
      </x:c>
      <x:c r="I705" s="15" t="str">
        <x:v>Точный счётчик метаданных видео</x:v>
      </x:c>
      <x:c r="J705" s="14" t="n">
        <x:v>171000</x:v>
      </x:c>
      <x:c r="K705" s="14" t="n">
        <x:v>83500</x:v>
      </x:c>
      <x:c r="L705" s="12" t="n">
        <x:f>IF(COUNT(J705:K705)=2,IF(K705=0,"",J705/K705),"")</x:f>
        <x:v>2.0479041916167664</x:v>
      </x:c>
      <x:c r="M705" s="10" t="str">
        <x:v>Тема: כת השטן בישראל - היה או לא היה? | כאן סקרנים. Просмотры в списке выше медианы выборки этого цикла в 2.05 раза. Один понятный вопрос даёт завершённый короткий выпуск и повод поделиться им.</x:v>
      </x:c>
      <x:c r="N705" s="10" t="str">
        <x:v>Предсказать ответ по заголовку и объяснить его своими словами.</x:v>
      </x:c>
      <x:c r="O705" s="10" t="str">
        <x:v>Проверить содержание</x:v>
      </x:c>
      <x:c r="P705" s="10" t="str">
        <x:v>Самостоятельное видео</x:v>
      </x:c>
      <x:c r="Q705" s="9" t="str">
        <x:v>Нет</x:v>
      </x:c>
      <x:c r="R705" s="9" t="str">
        <x:v>C044</x:v>
      </x:c>
      <x:c r="S705" s="9" t="str">
        <x:v>C044</x:v>
      </x:c>
      <x:c r="T705" s="10" t="str">
        <x:v>כאן | דיגיטל - תאגיד השידור הישראלי</x:v>
      </x:c>
      <x:c r="U705" s="11" t="str">
        <x:v>https://www.youtube.com/watch?v=dZS5nf-yOtg</x:v>
      </x:c>
      <x:c r="V705" s="16" t="n">
        <x:v>46308</x:v>
      </x:c>
      <x:c r="W705" s="16" t="n">
        <x:v>44472</x:v>
      </x:c>
      <x:c r="X705" s="10" t="str">
        <x:v>Иврит предполагается по заголовку и источнику</x:v>
      </x:c>
      <x:c r="Y705" s="10" t="str">
        <x:v>Ручная дорожка HE по метаданным</x:v>
      </x:c>
      <x:c r="Z705" s="10" t="str">
        <x:v>Разрешено по метаданным</x:v>
      </x:c>
      <x:c r="AA705" s="10" t="str">
        <x:v>Метаданные видео; воспроизведение и содержание не проверены</x:v>
      </x:c>
      <x:c r="AB705" s="13" t="n">
        <x:f>IF(AND(ISNUMBER(H705),ISNUMBER(W705)),H705/MAX(1,'Обзор'!$B$4-W705),"")</x:f>
        <x:v>93.3442265795207</x:v>
      </x:c>
      <x:c r="AC705" s="17" t="str">
        <x:v>Не решено</x:v>
      </x:c>
      <x:c r="AD705" s="17" t="str">
        <x:v>Не проверено</x:v>
      </x:c>
      <x:c r="AE705" s="17" t="str">
        <x:v>Не проверено</x:v>
      </x:c>
      <x:c r="AF705" s="17" t="str">
        <x:v>Не проверено</x:v>
      </x:c>
      <x:c r="AG705" s="17" t="str">
        <x:v>Не решено</x:v>
      </x:c>
      <x:c r="AH705" s="17" t="str">
        <x:v>Не проверено</x:v>
      </x:c>
      <x:c r="AI705" s="10" t="str">
        <x:f>IF(AC705="Отклонить","Отклонено",IF(AND(AC705="Взять",COUNTIFS(AD705:AH705,"Да")=5),"Готово","Нужна редактура"))</x:f>
        <x:v>Нужна редактура</x:v>
      </x:c>
      <x:c r="AJ705" s="17" t="str"/>
      <x:c r="AK705" s="9" t="str">
        <x:v>https://www.youtube.com/playlist?list=PLXv9BeKApRvy8VBmTJnrOC_NbkxD7uwJk</x:v>
      </x:c>
      <x:c r="AL705" s="9" t="n">
        <x:v>21</x:v>
      </x:c>
      <x:c r="AM705" s="9"/>
      <x:c r="AN705" s="9" t="n">
        <x:v>0</x:v>
      </x:c>
    </x:row>
    <x:row r="706" ht="60" customHeight="1">
      <x:c r="A706" s="9" t="str">
        <x:v>S4oxgkjLjjs</x:v>
      </x:c>
      <x:c r="B706" s="10" t="str">
        <x:v>למה יש אותיות סופיות בעברית? | כאן סקרנים</x:v>
      </x:c>
      <x:c r="C706" s="10" t="str">
        <x:v>Вопросы о мире</x:v>
      </x:c>
      <x:c r="D706" s="9" t="str">
        <x:v>Образование</x:v>
      </x:c>
      <x:c r="E706" s="10" t="str">
        <x:v>Любознательные; изучающие язык; короткий просмотр</x:v>
      </x:c>
      <x:c r="F706" s="10" t="str">
        <x:v>B1–B2 (гипотеза)</x:v>
      </x:c>
      <x:c r="G706" s="12" t="n">
        <x:v>5.7</x:v>
      </x:c>
      <x:c r="H706" s="14" t="n">
        <x:v>119938</x:v>
      </x:c>
      <x:c r="I706" s="15" t="str">
        <x:v>Точный счётчик метаданных видео</x:v>
      </x:c>
      <x:c r="J706" s="14" t="n">
        <x:v>119000</x:v>
      </x:c>
      <x:c r="K706" s="14" t="n">
        <x:v>83500</x:v>
      </x:c>
      <x:c r="L706" s="12" t="n">
        <x:f>IF(COUNT(J706:K706)=2,IF(K706=0,"",J706/K706),"")</x:f>
        <x:v>1.4251497005988023</x:v>
      </x:c>
      <x:c r="M706" s="10" t="str">
        <x:v>Завершённый короткий просмотр около 6 мин. Один понятный вопрос даёт завершённый короткий выпуск и повод поделиться им.</x:v>
      </x:c>
      <x:c r="N706" s="10" t="str">
        <x:v>Предсказать ответ по заголовку и объяснить его своими словами.</x:v>
      </x:c>
      <x:c r="O706" s="10" t="str">
        <x:v>Проверить содержание</x:v>
      </x:c>
      <x:c r="P706" s="10" t="str">
        <x:v>Самостоятельное видео</x:v>
      </x:c>
      <x:c r="Q706" s="9" t="str">
        <x:v>Нет</x:v>
      </x:c>
      <x:c r="R706" s="9" t="str">
        <x:v>C044</x:v>
      </x:c>
      <x:c r="S706" s="9" t="str">
        <x:v>C044</x:v>
      </x:c>
      <x:c r="T706" s="10" t="str">
        <x:v>כאן | דיגיטל - תאגיד השידור הישראלי</x:v>
      </x:c>
      <x:c r="U706" s="11" t="str">
        <x:v>https://www.youtube.com/watch?v=S4oxgkjLjjs</x:v>
      </x:c>
      <x:c r="V706" s="16" t="n">
        <x:v>46308</x:v>
      </x:c>
      <x:c r="W706" s="16" t="n">
        <x:v>44368</x:v>
      </x:c>
      <x:c r="X706" s="10" t="str">
        <x:v>Иврит предполагается по заголовку и источнику</x:v>
      </x:c>
      <x:c r="Y706" s="10" t="str">
        <x:v>Ручная дорожка HE по метаданным</x:v>
      </x:c>
      <x:c r="Z706" s="10" t="str">
        <x:v>Разрешено по метаданным</x:v>
      </x:c>
      <x:c r="AA706" s="10" t="str">
        <x:v>Метаданные видео; воспроизведение и содержание не проверены</x:v>
      </x:c>
      <x:c r="AB706" s="13" t="n">
        <x:f>IF(AND(ISNUMBER(H706),ISNUMBER(W706)),H706/MAX(1,'Обзор'!$B$4-W706),"")</x:f>
        <x:v>61.82371134020619</x:v>
      </x:c>
      <x:c r="AC706" s="17" t="str">
        <x:v>Не решено</x:v>
      </x:c>
      <x:c r="AD706" s="17" t="str">
        <x:v>Не проверено</x:v>
      </x:c>
      <x:c r="AE706" s="17" t="str">
        <x:v>Не проверено</x:v>
      </x:c>
      <x:c r="AF706" s="17" t="str">
        <x:v>Не проверено</x:v>
      </x:c>
      <x:c r="AG706" s="17" t="str">
        <x:v>Не решено</x:v>
      </x:c>
      <x:c r="AH706" s="17" t="str">
        <x:v>Не проверено</x:v>
      </x:c>
      <x:c r="AI706" s="10" t="str">
        <x:f>IF(AC706="Отклонить","Отклонено",IF(AND(AC706="Взять",COUNTIFS(AD706:AH706,"Да")=5),"Готово","Нужна редактура"))</x:f>
        <x:v>Нужна редактура</x:v>
      </x:c>
      <x:c r="AJ706" s="17" t="str"/>
      <x:c r="AK706" s="9" t="str">
        <x:v>https://www.youtube.com/playlist?list=PLXv9BeKApRvy8VBmTJnrOC_NbkxD7uwJk</x:v>
      </x:c>
      <x:c r="AL706" s="9" t="n">
        <x:v>22</x:v>
      </x:c>
      <x:c r="AM706" s="9"/>
      <x:c r="AN706" s="9" t="n">
        <x:v>0</x:v>
      </x:c>
    </x:row>
    <x:row r="707" ht="60" customHeight="1">
      <x:c r="A707" s="9" t="str">
        <x:v>1-QQZ9_Vzac</x:v>
      </x:c>
      <x:c r="B707" s="10" t="str">
        <x:v>למה תרגום שמות סרטים זה עסק קטלני של כישלון גורלי? | כאן סקרנים</x:v>
      </x:c>
      <x:c r="C707" s="10" t="str">
        <x:v>Вопросы о мире</x:v>
      </x:c>
      <x:c r="D707" s="9" t="str">
        <x:v>Образование</x:v>
      </x:c>
      <x:c r="E707" s="10" t="str">
        <x:v>Любознательные; изучающие язык; короткий просмотр</x:v>
      </x:c>
      <x:c r="F707" s="10" t="str">
        <x:v>B1–B2 (гипотеза)</x:v>
      </x:c>
      <x:c r="G707" s="12" t="n">
        <x:v>7.5</x:v>
      </x:c>
      <x:c r="H707" s="14" t="n">
        <x:v>92771</x:v>
      </x:c>
      <x:c r="I707" s="15" t="str">
        <x:v>Точный счётчик метаданных видео</x:v>
      </x:c>
      <x:c r="J707" s="14" t="n">
        <x:v>92000</x:v>
      </x:c>
      <x:c r="K707" s="14" t="n">
        <x:v>83500</x:v>
      </x:c>
      <x:c r="L707" s="12" t="n">
        <x:f>IF(COUNT(J707:K707)=2,IF(K707=0,"",J707/K707),"")</x:f>
        <x:v>1.1017964071856288</x:v>
      </x:c>
      <x:c r="M707" s="10" t="str">
        <x:v>Завершённый короткий просмотр около 7 мин. Один понятный вопрос даёт завершённый короткий выпуск и повод поделиться им.</x:v>
      </x:c>
      <x:c r="N707" s="10" t="str">
        <x:v>Предсказать ответ по заголовку и объяснить его своими словами.</x:v>
      </x:c>
      <x:c r="O707" s="10" t="str">
        <x:v>Проверить содержание</x:v>
      </x:c>
      <x:c r="P707" s="10" t="str">
        <x:v>Самостоятельное видео</x:v>
      </x:c>
      <x:c r="Q707" s="9" t="str">
        <x:v>Нет</x:v>
      </x:c>
      <x:c r="R707" s="9" t="str">
        <x:v>C044</x:v>
      </x:c>
      <x:c r="S707" s="9" t="str">
        <x:v>C044</x:v>
      </x:c>
      <x:c r="T707" s="10" t="str">
        <x:v>כאן | דיגיטל - תאגיד השידור הישראלי</x:v>
      </x:c>
      <x:c r="U707" s="11" t="str">
        <x:v>https://www.youtube.com/watch?v=1-QQZ9_Vzac</x:v>
      </x:c>
      <x:c r="V707" s="16" t="n">
        <x:v>46308</x:v>
      </x:c>
      <x:c r="W707" s="16" t="n">
        <x:v>44363</x:v>
      </x:c>
      <x:c r="X707" s="10" t="str">
        <x:v>Иврит предполагается по заголовку и источнику</x:v>
      </x:c>
      <x:c r="Y707" s="10" t="str">
        <x:v>Ручная дорожка HE по метаданным</x:v>
      </x:c>
      <x:c r="Z707" s="10" t="str">
        <x:v>Разрешено по метаданным</x:v>
      </x:c>
      <x:c r="AA707" s="10" t="str">
        <x:v>Метаданные видео; воспроизведение и содержание не проверены</x:v>
      </x:c>
      <x:c r="AB707" s="13" t="n">
        <x:f>IF(AND(ISNUMBER(H707),ISNUMBER(W707)),H707/MAX(1,'Обзор'!$B$4-W707),"")</x:f>
        <x:v>47.69717223650385</x:v>
      </x:c>
      <x:c r="AC707" s="17" t="str">
        <x:v>Не решено</x:v>
      </x:c>
      <x:c r="AD707" s="17" t="str">
        <x:v>Не проверено</x:v>
      </x:c>
      <x:c r="AE707" s="17" t="str">
        <x:v>Не проверено</x:v>
      </x:c>
      <x:c r="AF707" s="17" t="str">
        <x:v>Не проверено</x:v>
      </x:c>
      <x:c r="AG707" s="17" t="str">
        <x:v>Не решено</x:v>
      </x:c>
      <x:c r="AH707" s="17" t="str">
        <x:v>Не проверено</x:v>
      </x:c>
      <x:c r="AI707" s="10" t="str">
        <x:f>IF(AC707="Отклонить","Отклонено",IF(AND(AC707="Взять",COUNTIFS(AD707:AH707,"Да")=5),"Готово","Нужна редактура"))</x:f>
        <x:v>Нужна редактура</x:v>
      </x:c>
      <x:c r="AJ707" s="17" t="str"/>
      <x:c r="AK707" s="9" t="str">
        <x:v>https://www.youtube.com/playlist?list=PLXv9BeKApRvy8VBmTJnrOC_NbkxD7uwJk</x:v>
      </x:c>
      <x:c r="AL707" s="9" t="n">
        <x:v>23</x:v>
      </x:c>
      <x:c r="AM707" s="9"/>
      <x:c r="AN707" s="9" t="n">
        <x:v>0</x:v>
      </x:c>
    </x:row>
    <x:row r="708" ht="60" customHeight="1">
      <x:c r="A708" s="9" t="str">
        <x:v>VJxvxpCjoRM</x:v>
      </x:c>
      <x:c r="B708" s="10" t="str">
        <x:v>למה אופנועים נשמעים כמו אזעקה?! | כאן סקרנים</x:v>
      </x:c>
      <x:c r="C708" s="10" t="str">
        <x:v>Вопросы о мире</x:v>
      </x:c>
      <x:c r="D708" s="9" t="str">
        <x:v>Образование</x:v>
      </x:c>
      <x:c r="E708" s="10" t="str">
        <x:v>Любознательные; изучающие язык; короткий просмотр</x:v>
      </x:c>
      <x:c r="F708" s="10" t="str">
        <x:v>B1–B2 (гипотеза)</x:v>
      </x:c>
      <x:c r="G708" s="12" t="n">
        <x:v>7.3</x:v>
      </x:c>
      <x:c r="H708" s="14" t="n">
        <x:v>40000</x:v>
      </x:c>
      <x:c r="I708" s="15" t="str">
        <x:v>Округлённый счётчик в списке YouTube</x:v>
      </x:c>
      <x:c r="J708" s="14" t="n">
        <x:v>40000</x:v>
      </x:c>
      <x:c r="K708" s="14" t="n">
        <x:v>83500</x:v>
      </x:c>
      <x:c r="L708" s="12" t="n">
        <x:f>IF(COUNT(J708:K708)=2,IF(K708=0,"",J708/K708),"")</x:f>
        <x:v>0.47904191616766467</x:v>
      </x:c>
      <x:c r="M708" s="10" t="str">
        <x:v>Завершённый короткий просмотр около 7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708" s="10" t="str">
        <x:v>Предсказать ответ по заголовку и объяснить его своими словами.</x:v>
      </x:c>
      <x:c r="O708" s="10" t="str">
        <x:v>Проверить содержание</x:v>
      </x:c>
      <x:c r="P708" s="10" t="str">
        <x:v>Самостоятельное видео</x:v>
      </x:c>
      <x:c r="Q708" s="9" t="str">
        <x:v>Нет</x:v>
      </x:c>
      <x:c r="R708" s="9" t="str">
        <x:v>C044</x:v>
      </x:c>
      <x:c r="S708" s="9" t="str">
        <x:v>C044</x:v>
      </x:c>
      <x:c r="T708" s="10" t="str">
        <x:v>כאן | דיגיטל - תאגיד השידור הישראלי</x:v>
      </x:c>
      <x:c r="U708" s="11" t="str">
        <x:v>https://www.youtube.com/watch?v=VJxvxpCjoRM</x:v>
      </x:c>
      <x:c r="V708" s="16" t="n">
        <x:v>46308</x:v>
      </x:c>
      <x:c r="W708" s="16"/>
      <x:c r="X708" s="10" t="str">
        <x:v>Иврит предполагается по заголовку и источнику</x:v>
      </x:c>
      <x:c r="Y708" s="10" t="str">
        <x:v>Не проверено</x:v>
      </x:c>
      <x:c r="Z708" s="10" t="str">
        <x:v>Не проверено</x:v>
      </x:c>
      <x:c r="AA708" s="10" t="str">
        <x:v>Метаданные списка; видео не просмотрено</x:v>
      </x:c>
      <x:c r="AB708" s="13" t="str">
        <x:f>IF(AND(ISNUMBER(H708),ISNUMBER(W708)),H708/MAX(1,'Обзор'!$B$4-W708),"")</x:f>
      </x:c>
      <x:c r="AC708" s="17" t="str">
        <x:v>Не решено</x:v>
      </x:c>
      <x:c r="AD708" s="17" t="str">
        <x:v>Не проверено</x:v>
      </x:c>
      <x:c r="AE708" s="17" t="str">
        <x:v>Не проверено</x:v>
      </x:c>
      <x:c r="AF708" s="17" t="str">
        <x:v>Не проверено</x:v>
      </x:c>
      <x:c r="AG708" s="17" t="str">
        <x:v>Не решено</x:v>
      </x:c>
      <x:c r="AH708" s="17" t="str">
        <x:v>Не проверено</x:v>
      </x:c>
      <x:c r="AI708" s="10" t="str">
        <x:f>IF(AC708="Отклонить","Отклонено",IF(AND(AC708="Взять",COUNTIFS(AD708:AH708,"Да")=5),"Готово","Нужна редактура"))</x:f>
        <x:v>Нужна редактура</x:v>
      </x:c>
      <x:c r="AJ708" s="17" t="str"/>
      <x:c r="AK708" s="9" t="str">
        <x:v>https://www.youtube.com/playlist?list=PLXv9BeKApRvy8VBmTJnrOC_NbkxD7uwJk</x:v>
      </x:c>
      <x:c r="AL708" s="9" t="n">
        <x:v>24</x:v>
      </x:c>
      <x:c r="AM708" s="9"/>
      <x:c r="AN708" s="9"/>
    </x:row>
    <x:row r="709" ht="60" customHeight="1">
      <x:c r="A709" s="9" t="str">
        <x:v>efSoqA4Pfbo</x:v>
      </x:c>
      <x:c r="B709" s="10" t="str">
        <x:v>איך לוחות הברית נראו באמת? | כאן סקרנים</x:v>
      </x:c>
      <x:c r="C709" s="10" t="str">
        <x:v>Вопросы о мире</x:v>
      </x:c>
      <x:c r="D709" s="9" t="str">
        <x:v>Образование</x:v>
      </x:c>
      <x:c r="E709" s="10" t="str">
        <x:v>Любознательные; изучающие язык; короткий просмотр</x:v>
      </x:c>
      <x:c r="F709" s="10" t="str">
        <x:v>B1–B2 (гипотеза)</x:v>
      </x:c>
      <x:c r="G709" s="12" t="n">
        <x:v>8.9</x:v>
      </x:c>
      <x:c r="H709" s="14" t="n">
        <x:v>143684</x:v>
      </x:c>
      <x:c r="I709" s="15" t="str">
        <x:v>Точный счётчик метаданных видео</x:v>
      </x:c>
      <x:c r="J709" s="14" t="n">
        <x:v>143000</x:v>
      </x:c>
      <x:c r="K709" s="14" t="n">
        <x:v>83500</x:v>
      </x:c>
      <x:c r="L709" s="12" t="n">
        <x:f>IF(COUNT(J709:K709)=2,IF(K709=0,"",J709/K709),"")</x:f>
        <x:v>1.7125748502994012</x:v>
      </x:c>
      <x:c r="M709" s="10" t="str">
        <x:v>Завершённый короткий просмотр около 9 мин. Просмотры в списке выше медианы выборки этого цикла в 1.71 раза. Один понятный вопрос даёт завершённый короткий выпуск и повод поделиться им.</x:v>
      </x:c>
      <x:c r="N709" s="10" t="str">
        <x:v>Предсказать ответ по заголовку и объяснить его своими словами.</x:v>
      </x:c>
      <x:c r="O709" s="10" t="str">
        <x:v>Проверить содержание</x:v>
      </x:c>
      <x:c r="P709" s="10" t="str">
        <x:v>Самостоятельное видео</x:v>
      </x:c>
      <x:c r="Q709" s="9" t="str">
        <x:v>Нет</x:v>
      </x:c>
      <x:c r="R709" s="9" t="str">
        <x:v>C044</x:v>
      </x:c>
      <x:c r="S709" s="9" t="str">
        <x:v>C044</x:v>
      </x:c>
      <x:c r="T709" s="10" t="str">
        <x:v>כאן | דיגיטל - תאגיד השידור הישראלי</x:v>
      </x:c>
      <x:c r="U709" s="11" t="str">
        <x:v>https://www.youtube.com/watch?v=efSoqA4Pfbo</x:v>
      </x:c>
      <x:c r="V709" s="16" t="n">
        <x:v>46308</x:v>
      </x:c>
      <x:c r="W709" s="16" t="n">
        <x:v>44332</x:v>
      </x:c>
      <x:c r="X709" s="10" t="str">
        <x:v>Иврит предполагается по заголовку и источнику</x:v>
      </x:c>
      <x:c r="Y709" s="10" t="str">
        <x:v>Ручная дорожка HE по метаданным</x:v>
      </x:c>
      <x:c r="Z709" s="10" t="str">
        <x:v>Разрешено по метаданным</x:v>
      </x:c>
      <x:c r="AA709" s="10" t="str">
        <x:v>Метаданные видео; воспроизведение и содержание не проверены</x:v>
      </x:c>
      <x:c r="AB709" s="13" t="n">
        <x:f>IF(AND(ISNUMBER(H709),ISNUMBER(W709)),H709/MAX(1,'Обзор'!$B$4-W709),"")</x:f>
        <x:v>72.71457489878543</x:v>
      </x:c>
      <x:c r="AC709" s="17" t="str">
        <x:v>Не решено</x:v>
      </x:c>
      <x:c r="AD709" s="17" t="str">
        <x:v>Не проверено</x:v>
      </x:c>
      <x:c r="AE709" s="17" t="str">
        <x:v>Не проверено</x:v>
      </x:c>
      <x:c r="AF709" s="17" t="str">
        <x:v>Не проверено</x:v>
      </x:c>
      <x:c r="AG709" s="17" t="str">
        <x:v>Не решено</x:v>
      </x:c>
      <x:c r="AH709" s="17" t="str">
        <x:v>Не проверено</x:v>
      </x:c>
      <x:c r="AI709" s="10" t="str">
        <x:f>IF(AC709="Отклонить","Отклонено",IF(AND(AC709="Взять",COUNTIFS(AD709:AH709,"Да")=5),"Готово","Нужна редактура"))</x:f>
        <x:v>Нужна редактура</x:v>
      </x:c>
      <x:c r="AJ709" s="17" t="str"/>
      <x:c r="AK709" s="9" t="str">
        <x:v>https://www.youtube.com/playlist?list=PLXv9BeKApRvy8VBmTJnrOC_NbkxD7uwJk</x:v>
      </x:c>
      <x:c r="AL709" s="9" t="n">
        <x:v>25</x:v>
      </x:c>
      <x:c r="AM709" s="9"/>
      <x:c r="AN709" s="9" t="n">
        <x:v>0</x:v>
      </x:c>
    </x:row>
    <x:row r="710" ht="60" customHeight="1">
      <x:c r="A710" s="9" t="str">
        <x:v>qP2E3DCiRqY</x:v>
      </x:c>
      <x:c r="B710" s="10" t="str">
        <x:v>למה אנחנו זוכרים את הנופלים בעזרת צפירת אזעקה? | כאן סקרנים</x:v>
      </x:c>
      <x:c r="C710" s="10" t="str">
        <x:v>Вопросы о мире</x:v>
      </x:c>
      <x:c r="D710" s="9" t="str">
        <x:v>Образование</x:v>
      </x:c>
      <x:c r="E710" s="10" t="str">
        <x:v>Любознательные; изучающие язык; короткий просмотр</x:v>
      </x:c>
      <x:c r="F710" s="10" t="str">
        <x:v>B1–B2 (гипотеза)</x:v>
      </x:c>
      <x:c r="G710" s="12" t="n">
        <x:v>6.6</x:v>
      </x:c>
      <x:c r="H710" s="14" t="n">
        <x:v>108490</x:v>
      </x:c>
      <x:c r="I710" s="15" t="str">
        <x:v>Точный счётчик метаданных видео</x:v>
      </x:c>
      <x:c r="J710" s="14" t="n">
        <x:v>108000</x:v>
      </x:c>
      <x:c r="K710" s="14" t="n">
        <x:v>83500</x:v>
      </x:c>
      <x:c r="L710" s="12" t="n">
        <x:f>IF(COUNT(J710:K710)=2,IF(K710=0,"",J710/K710),"")</x:f>
        <x:v>1.2934131736526946</x:v>
      </x:c>
      <x:c r="M710" s="10" t="str">
        <x:v>Завершённый короткий просмотр около 7 мин. Один понятный вопрос даёт завершённый короткий выпуск и повод поделиться им.</x:v>
      </x:c>
      <x:c r="N710" s="10" t="str">
        <x:v>Предсказать ответ по заголовку и объяснить его своими словами.</x:v>
      </x:c>
      <x:c r="O710" s="10" t="str">
        <x:v>Проверить содержание</x:v>
      </x:c>
      <x:c r="P710" s="10" t="str">
        <x:v>Самостоятельное видео</x:v>
      </x:c>
      <x:c r="Q710" s="9" t="str">
        <x:v>Нет</x:v>
      </x:c>
      <x:c r="R710" s="9" t="str">
        <x:v>C044</x:v>
      </x:c>
      <x:c r="S710" s="9" t="str">
        <x:v>C044</x:v>
      </x:c>
      <x:c r="T710" s="10" t="str">
        <x:v>כאן | דיגיטל - תאגיד השידור הישראלי</x:v>
      </x:c>
      <x:c r="U710" s="11" t="str">
        <x:v>https://www.youtube.com/watch?v=qP2E3DCiRqY</x:v>
      </x:c>
      <x:c r="V710" s="16" t="n">
        <x:v>46308</x:v>
      </x:c>
      <x:c r="W710" s="16" t="n">
        <x:v>44299</x:v>
      </x:c>
      <x:c r="X710" s="10" t="str">
        <x:v>Иврит предполагается по заголовку и источнику</x:v>
      </x:c>
      <x:c r="Y710" s="10" t="str">
        <x:v>Ручная дорожка HE по метаданным</x:v>
      </x:c>
      <x:c r="Z710" s="10" t="str">
        <x:v>Разрешено по метаданным</x:v>
      </x:c>
      <x:c r="AA710" s="10" t="str">
        <x:v>Метаданные видео; воспроизведение и содержание не проверены</x:v>
      </x:c>
      <x:c r="AB710" s="13" t="n">
        <x:f>IF(AND(ISNUMBER(H710),ISNUMBER(W710)),H710/MAX(1,'Обзор'!$B$4-W710),"")</x:f>
        <x:v>54.001991040318565</x:v>
      </x:c>
      <x:c r="AC710" s="17" t="str">
        <x:v>Не решено</x:v>
      </x:c>
      <x:c r="AD710" s="17" t="str">
        <x:v>Не проверено</x:v>
      </x:c>
      <x:c r="AE710" s="17" t="str">
        <x:v>Не проверено</x:v>
      </x:c>
      <x:c r="AF710" s="17" t="str">
        <x:v>Не проверено</x:v>
      </x:c>
      <x:c r="AG710" s="17" t="str">
        <x:v>Не решено</x:v>
      </x:c>
      <x:c r="AH710" s="17" t="str">
        <x:v>Не проверено</x:v>
      </x:c>
      <x:c r="AI710" s="10" t="str">
        <x:f>IF(AC710="Отклонить","Отклонено",IF(AND(AC710="Взять",COUNTIFS(AD710:AH710,"Да")=5),"Готово","Нужна редактура"))</x:f>
        <x:v>Нужна редактура</x:v>
      </x:c>
      <x:c r="AJ710" s="17" t="str"/>
      <x:c r="AK710" s="9" t="str">
        <x:v>https://www.youtube.com/playlist?list=PLXv9BeKApRvy8VBmTJnrOC_NbkxD7uwJk</x:v>
      </x:c>
      <x:c r="AL710" s="9" t="n">
        <x:v>26</x:v>
      </x:c>
      <x:c r="AM710" s="9"/>
      <x:c r="AN710" s="9" t="n">
        <x:v>0</x:v>
      </x:c>
    </x:row>
    <x:row r="711" ht="60" customHeight="1">
      <x:c r="A711" s="9" t="str">
        <x:v>Hr4YBmIgPRg</x:v>
      </x:c>
      <x:c r="B711" s="10" t="str">
        <x:v>למה לא רוצים שנסתובב ליד הכנסת? | כאן סקרנים</x:v>
      </x:c>
      <x:c r="C711" s="10" t="str">
        <x:v>Вопросы о мире</x:v>
      </x:c>
      <x:c r="D711" s="9" t="str">
        <x:v>Образование</x:v>
      </x:c>
      <x:c r="E711" s="10" t="str">
        <x:v>Любознательные; изучающие язык; короткий просмотр</x:v>
      </x:c>
      <x:c r="F711" s="10" t="str">
        <x:v>B1–B2 (гипотеза)</x:v>
      </x:c>
      <x:c r="G711" s="12" t="n">
        <x:v>9.1</x:v>
      </x:c>
      <x:c r="H711" s="14" t="n">
        <x:v>122197</x:v>
      </x:c>
      <x:c r="I711" s="15" t="str">
        <x:v>Точный счётчик метаданных видео</x:v>
      </x:c>
      <x:c r="J711" s="14" t="n">
        <x:v>122000</x:v>
      </x:c>
      <x:c r="K711" s="14" t="n">
        <x:v>83500</x:v>
      </x:c>
      <x:c r="L711" s="12" t="n">
        <x:f>IF(COUNT(J711:K711)=2,IF(K711=0,"",J711/K711),"")</x:f>
        <x:v>1.4610778443113772</x:v>
      </x:c>
      <x:c r="M711" s="10" t="str">
        <x:v>Завершённый короткий просмотр около 9 мин. Один понятный вопрос даёт завершённый короткий выпуск и повод поделиться им.</x:v>
      </x:c>
      <x:c r="N711" s="10" t="str">
        <x:v>Предсказать ответ по заголовку и объяснить его своими словами.</x:v>
      </x:c>
      <x:c r="O711" s="10" t="str">
        <x:v>Проверить содержание</x:v>
      </x:c>
      <x:c r="P711" s="10" t="str">
        <x:v>Самостоятельное видео</x:v>
      </x:c>
      <x:c r="Q711" s="9" t="str">
        <x:v>Нет</x:v>
      </x:c>
      <x:c r="R711" s="9" t="str">
        <x:v>C044</x:v>
      </x:c>
      <x:c r="S711" s="9" t="str">
        <x:v>C044</x:v>
      </x:c>
      <x:c r="T711" s="10" t="str">
        <x:v>כאן | דיגיטל - תאגיד השידור הישראלי</x:v>
      </x:c>
      <x:c r="U711" s="11" t="str">
        <x:v>https://www.youtube.com/watch?v=Hr4YBmIgPRg</x:v>
      </x:c>
      <x:c r="V711" s="16" t="n">
        <x:v>46308</x:v>
      </x:c>
      <x:c r="W711" s="16" t="n">
        <x:v>44276</x:v>
      </x:c>
      <x:c r="X711" s="10" t="str">
        <x:v>Иврит предполагается по заголовку и источнику</x:v>
      </x:c>
      <x:c r="Y711" s="10" t="str">
        <x:v>Ручная дорожка HE по метаданным</x:v>
      </x:c>
      <x:c r="Z711" s="10" t="str">
        <x:v>Разрешено по метаданным</x:v>
      </x:c>
      <x:c r="AA711" s="10" t="str">
        <x:v>Метаданные видео; воспроизведение и содержание не проверены</x:v>
      </x:c>
      <x:c r="AB711" s="13" t="n">
        <x:f>IF(AND(ISNUMBER(H711),ISNUMBER(W711)),H711/MAX(1,'Обзор'!$B$4-W711),"")</x:f>
        <x:v>60.13631889763779</x:v>
      </x:c>
      <x:c r="AC711" s="17" t="str">
        <x:v>Не решено</x:v>
      </x:c>
      <x:c r="AD711" s="17" t="str">
        <x:v>Не проверено</x:v>
      </x:c>
      <x:c r="AE711" s="17" t="str">
        <x:v>Не проверено</x:v>
      </x:c>
      <x:c r="AF711" s="17" t="str">
        <x:v>Не проверено</x:v>
      </x:c>
      <x:c r="AG711" s="17" t="str">
        <x:v>Не решено</x:v>
      </x:c>
      <x:c r="AH711" s="17" t="str">
        <x:v>Не проверено</x:v>
      </x:c>
      <x:c r="AI711" s="10" t="str">
        <x:f>IF(AC711="Отклонить","Отклонено",IF(AND(AC711="Взять",COUNTIFS(AD711:AH711,"Да")=5),"Готово","Нужна редактура"))</x:f>
        <x:v>Нужна редактура</x:v>
      </x:c>
      <x:c r="AJ711" s="17" t="str"/>
      <x:c r="AK711" s="9" t="str">
        <x:v>https://www.youtube.com/playlist?list=PLXv9BeKApRvy8VBmTJnrOC_NbkxD7uwJk</x:v>
      </x:c>
      <x:c r="AL711" s="9" t="n">
        <x:v>27</x:v>
      </x:c>
      <x:c r="AM711" s="9"/>
      <x:c r="AN711" s="9" t="n">
        <x:v>0</x:v>
      </x:c>
    </x:row>
    <x:row r="712" ht="60" customHeight="1">
      <x:c r="A712" s="9" t="str">
        <x:v>o4VrWZ5mBWU</x:v>
      </x:c>
      <x:c r="B712" s="10" t="str">
        <x:v>איך כולם יודעים שאסור לקטוף פרחים מוגנים, ואיך זה קשור לבלו בנד? | כאן סקרנים</x:v>
      </x:c>
      <x:c r="C712" s="10" t="str">
        <x:v>Вопросы о мире</x:v>
      </x:c>
      <x:c r="D712" s="9" t="str">
        <x:v>Образование</x:v>
      </x:c>
      <x:c r="E712" s="10" t="str">
        <x:v>Любознательные; изучающие язык; короткий просмотр</x:v>
      </x:c>
      <x:c r="F712" s="10" t="str">
        <x:v>B1–B2 (гипотеза)</x:v>
      </x:c>
      <x:c r="G712" s="12" t="n">
        <x:v>7.6</x:v>
      </x:c>
      <x:c r="H712" s="14" t="n">
        <x:v>49000</x:v>
      </x:c>
      <x:c r="I712" s="15" t="str">
        <x:v>Округлённый счётчик в списке YouTube</x:v>
      </x:c>
      <x:c r="J712" s="14" t="n">
        <x:v>49000</x:v>
      </x:c>
      <x:c r="K712" s="14" t="n">
        <x:v>83500</x:v>
      </x:c>
      <x:c r="L712" s="12" t="n">
        <x:f>IF(COUNT(J712:K712)=2,IF(K712=0,"",J712/K712),"")</x:f>
        <x:v>0.5868263473053892</x:v>
      </x:c>
      <x:c r="M712" s="10" t="str">
        <x:v>Завершённый короткий просмотр около 8 мин. Один понятный вопрос даёт завершённый короткий выпуск и повод поделиться им.</x:v>
      </x:c>
      <x:c r="N712" s="10" t="str">
        <x:v>Предсказать ответ по заголовку и объяснить его своими словами.</x:v>
      </x:c>
      <x:c r="O712" s="10" t="str">
        <x:v>Проверить содержание</x:v>
      </x:c>
      <x:c r="P712" s="10" t="str">
        <x:v>Самостоятельное видео</x:v>
      </x:c>
      <x:c r="Q712" s="9" t="str">
        <x:v>Нет</x:v>
      </x:c>
      <x:c r="R712" s="9" t="str">
        <x:v>C044</x:v>
      </x:c>
      <x:c r="S712" s="9" t="str">
        <x:v>C044</x:v>
      </x:c>
      <x:c r="T712" s="10" t="str">
        <x:v>כאן | דיגיטל - תאגיד השידור הישראלי</x:v>
      </x:c>
      <x:c r="U712" s="11" t="str">
        <x:v>https://www.youtube.com/watch?v=o4VrWZ5mBWU</x:v>
      </x:c>
      <x:c r="V712" s="16" t="n">
        <x:v>46308</x:v>
      </x:c>
      <x:c r="W712" s="16"/>
      <x:c r="X712" s="10" t="str">
        <x:v>Иврит предполагается по заголовку и источнику</x:v>
      </x:c>
      <x:c r="Y712" s="10" t="str">
        <x:v>Не проверено</x:v>
      </x:c>
      <x:c r="Z712" s="10" t="str">
        <x:v>Не проверено</x:v>
      </x:c>
      <x:c r="AA712" s="10" t="str">
        <x:v>Метаданные списка; видео не просмотрено</x:v>
      </x:c>
      <x:c r="AB712" s="13" t="str">
        <x:f>IF(AND(ISNUMBER(H712),ISNUMBER(W712)),H712/MAX(1,'Обзор'!$B$4-W712),"")</x:f>
      </x:c>
      <x:c r="AC712" s="17" t="str">
        <x:v>Не решено</x:v>
      </x:c>
      <x:c r="AD712" s="17" t="str">
        <x:v>Не проверено</x:v>
      </x:c>
      <x:c r="AE712" s="17" t="str">
        <x:v>Не проверено</x:v>
      </x:c>
      <x:c r="AF712" s="17" t="str">
        <x:v>Не проверено</x:v>
      </x:c>
      <x:c r="AG712" s="17" t="str">
        <x:v>Не решено</x:v>
      </x:c>
      <x:c r="AH712" s="17" t="str">
        <x:v>Не проверено</x:v>
      </x:c>
      <x:c r="AI712" s="10" t="str">
        <x:f>IF(AC712="Отклонить","Отклонено",IF(AND(AC712="Взять",COUNTIFS(AD712:AH712,"Да")=5),"Готово","Нужна редактура"))</x:f>
        <x:v>Нужна редактура</x:v>
      </x:c>
      <x:c r="AJ712" s="17" t="str"/>
      <x:c r="AK712" s="9" t="str">
        <x:v>https://www.youtube.com/playlist?list=PLXv9BeKApRvy8VBmTJnrOC_NbkxD7uwJk</x:v>
      </x:c>
      <x:c r="AL712" s="9" t="n">
        <x:v>28</x:v>
      </x:c>
      <x:c r="AM712" s="9"/>
      <x:c r="AN712" s="9"/>
    </x:row>
    <x:row r="713" ht="60" customHeight="1">
      <x:c r="A713" s="9" t="str">
        <x:v>Lv0uAtypb_E</x:v>
      </x:c>
      <x:c r="B713" s="10" t="str">
        <x:v>כַּלֶּבֶת, חַצֶּבֶת ועַגֶּבֶת - איך נותנים שמות עבריים למחלות? | כאן סקרנים</x:v>
      </x:c>
      <x:c r="C713" s="10" t="str">
        <x:v>Вопросы о мире</x:v>
      </x:c>
      <x:c r="D713" s="9" t="str">
        <x:v>Образование</x:v>
      </x:c>
      <x:c r="E713" s="10" t="str">
        <x:v>Любознательные; изучающие язык; короткий просмотр</x:v>
      </x:c>
      <x:c r="F713" s="10" t="str">
        <x:v>B1–B2 (гипотеза)</x:v>
      </x:c>
      <x:c r="G713" s="12" t="n">
        <x:v>7.9</x:v>
      </x:c>
      <x:c r="H713" s="14" t="n">
        <x:v>39000</x:v>
      </x:c>
      <x:c r="I713" s="15" t="str">
        <x:v>Округлённый счётчик в списке YouTube</x:v>
      </x:c>
      <x:c r="J713" s="14" t="n">
        <x:v>39000</x:v>
      </x:c>
      <x:c r="K713" s="14" t="n">
        <x:v>83500</x:v>
      </x:c>
      <x:c r="L713" s="12" t="n">
        <x:f>IF(COUNT(J713:K713)=2,IF(K713=0,"",J713/K713),"")</x:f>
        <x:v>0.46706586826347307</x:v>
      </x:c>
      <x:c r="M713" s="10" t="str">
        <x:v>Завершённый короткий просмотр около 8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713" s="10" t="str">
        <x:v>Предсказать ответ по заголовку и объяснить его своими словами.</x:v>
      </x:c>
      <x:c r="O713" s="10" t="str">
        <x:v>Проверить содержание</x:v>
      </x:c>
      <x:c r="P713" s="10" t="str">
        <x:v>Самостоятельное видео</x:v>
      </x:c>
      <x:c r="Q713" s="9" t="str">
        <x:v>Нет</x:v>
      </x:c>
      <x:c r="R713" s="9" t="str">
        <x:v>C044</x:v>
      </x:c>
      <x:c r="S713" s="9" t="str">
        <x:v>C044</x:v>
      </x:c>
      <x:c r="T713" s="10" t="str">
        <x:v>כאן | דיגיטל - תאגיד השידור הישראלי</x:v>
      </x:c>
      <x:c r="U713" s="11" t="str">
        <x:v>https://www.youtube.com/watch?v=Lv0uAtypb_E</x:v>
      </x:c>
      <x:c r="V713" s="16" t="n">
        <x:v>46308</x:v>
      </x:c>
      <x:c r="W713" s="16"/>
      <x:c r="X713" s="10" t="str">
        <x:v>Иврит предполагается по заголовку и источнику</x:v>
      </x:c>
      <x:c r="Y713" s="10" t="str">
        <x:v>Не проверено</x:v>
      </x:c>
      <x:c r="Z713" s="10" t="str">
        <x:v>Не проверено</x:v>
      </x:c>
      <x:c r="AA713" s="10" t="str">
        <x:v>Метаданные списка; видео не просмотрено</x:v>
      </x:c>
      <x:c r="AB713" s="13" t="str">
        <x:f>IF(AND(ISNUMBER(H713),ISNUMBER(W713)),H713/MAX(1,'Обзор'!$B$4-W713),"")</x:f>
      </x:c>
      <x:c r="AC713" s="17" t="str">
        <x:v>Не решено</x:v>
      </x:c>
      <x:c r="AD713" s="17" t="str">
        <x:v>Не проверено</x:v>
      </x:c>
      <x:c r="AE713" s="17" t="str">
        <x:v>Не проверено</x:v>
      </x:c>
      <x:c r="AF713" s="17" t="str">
        <x:v>Не проверено</x:v>
      </x:c>
      <x:c r="AG713" s="17" t="str">
        <x:v>Не решено</x:v>
      </x:c>
      <x:c r="AH713" s="17" t="str">
        <x:v>Не проверено</x:v>
      </x:c>
      <x:c r="AI713" s="10" t="str">
        <x:f>IF(AC713="Отклонить","Отклонено",IF(AND(AC713="Взять",COUNTIFS(AD713:AH713,"Да")=5),"Готово","Нужна редактура"))</x:f>
        <x:v>Нужна редактура</x:v>
      </x:c>
      <x:c r="AJ713" s="17" t="str"/>
      <x:c r="AK713" s="9" t="str">
        <x:v>https://www.youtube.com/playlist?list=PLXv9BeKApRvy8VBmTJnrOC_NbkxD7uwJk</x:v>
      </x:c>
      <x:c r="AL713" s="9" t="n">
        <x:v>29</x:v>
      </x:c>
      <x:c r="AM713" s="9"/>
      <x:c r="AN713" s="9"/>
    </x:row>
    <x:row r="714" ht="60" customHeight="1">
      <x:c r="A714" s="9" t="str">
        <x:v>Klb8BZ2mYek</x:v>
      </x:c>
      <x:c r="B714" s="10" t="str">
        <x:v>לאן נעלמו עצי האלון שכיסו את הארץ? | כאן סקרנים</x:v>
      </x:c>
      <x:c r="C714" s="10" t="str">
        <x:v>Вопросы о мире</x:v>
      </x:c>
      <x:c r="D714" s="9" t="str">
        <x:v>Образование</x:v>
      </x:c>
      <x:c r="E714" s="10" t="str">
        <x:v>Любознательные; изучающие язык; короткий просмотр</x:v>
      </x:c>
      <x:c r="F714" s="10" t="str">
        <x:v>B1–B2 (гипотеза)</x:v>
      </x:c>
      <x:c r="G714" s="12" t="n">
        <x:v>10.8</x:v>
      </x:c>
      <x:c r="H714" s="14" t="n">
        <x:v>130304</x:v>
      </x:c>
      <x:c r="I714" s="15" t="str">
        <x:v>Точный счётчик метаданных видео</x:v>
      </x:c>
      <x:c r="J714" s="14" t="n">
        <x:v>130000</x:v>
      </x:c>
      <x:c r="K714" s="14" t="n">
        <x:v>83500</x:v>
      </x:c>
      <x:c r="L714" s="12" t="n">
        <x:f>IF(COUNT(J714:K714)=2,IF(K714=0,"",J714/K714),"")</x:f>
        <x:v>1.5568862275449102</x:v>
      </x:c>
      <x:c r="M714" s="10" t="str">
        <x:v>Тема: לאן נעלמו עצי האלון שכיסו את הארץ? | כאן סקרנים. Просмотры в списке выше медианы выборки этого цикла в 1.56 раза. Один понятный вопрос даёт завершённый короткий выпуск и повод поделиться им.</x:v>
      </x:c>
      <x:c r="N714" s="10" t="str">
        <x:v>Предсказать ответ по заголовку и объяснить его своими словами.</x:v>
      </x:c>
      <x:c r="O714" s="10" t="str">
        <x:v>Проверить содержание</x:v>
      </x:c>
      <x:c r="P714" s="10" t="str">
        <x:v>Самостоятельное видео</x:v>
      </x:c>
      <x:c r="Q714" s="9" t="str">
        <x:v>Нет</x:v>
      </x:c>
      <x:c r="R714" s="9" t="str">
        <x:v>C044</x:v>
      </x:c>
      <x:c r="S714" s="9" t="str">
        <x:v>C044</x:v>
      </x:c>
      <x:c r="T714" s="10" t="str">
        <x:v>כאן | דיגיטל - תאגיד השידור הישראלי</x:v>
      </x:c>
      <x:c r="U714" s="11" t="str">
        <x:v>https://www.youtube.com/watch?v=Klb8BZ2mYek</x:v>
      </x:c>
      <x:c r="V714" s="16" t="n">
        <x:v>46308</x:v>
      </x:c>
      <x:c r="W714" s="16" t="n">
        <x:v>44224</x:v>
      </x:c>
      <x:c r="X714" s="10" t="str">
        <x:v>Иврит предполагается по заголовку и источнику</x:v>
      </x:c>
      <x:c r="Y714" s="10" t="str">
        <x:v>Ручная дорожка HE по метаданным</x:v>
      </x:c>
      <x:c r="Z714" s="10" t="str">
        <x:v>Разрешено по метаданным</x:v>
      </x:c>
      <x:c r="AA714" s="10" t="str">
        <x:v>Метаданные видео; воспроизведение и содержание не проверены</x:v>
      </x:c>
      <x:c r="AB714" s="13" t="n">
        <x:f>IF(AND(ISNUMBER(H714),ISNUMBER(W714)),H714/MAX(1,'Обзор'!$B$4-W714),"")</x:f>
        <x:v>62.52591170825336</x:v>
      </x:c>
      <x:c r="AC714" s="17" t="str">
        <x:v>Не решено</x:v>
      </x:c>
      <x:c r="AD714" s="17" t="str">
        <x:v>Не проверено</x:v>
      </x:c>
      <x:c r="AE714" s="17" t="str">
        <x:v>Не проверено</x:v>
      </x:c>
      <x:c r="AF714" s="17" t="str">
        <x:v>Не проверено</x:v>
      </x:c>
      <x:c r="AG714" s="17" t="str">
        <x:v>Не решено</x:v>
      </x:c>
      <x:c r="AH714" s="17" t="str">
        <x:v>Не проверено</x:v>
      </x:c>
      <x:c r="AI714" s="10" t="str">
        <x:f>IF(AC714="Отклонить","Отклонено",IF(AND(AC714="Взять",COUNTIFS(AD714:AH714,"Да")=5),"Готово","Нужна редактура"))</x:f>
        <x:v>Нужна редактура</x:v>
      </x:c>
      <x:c r="AJ714" s="17" t="str"/>
      <x:c r="AK714" s="9" t="str">
        <x:v>https://www.youtube.com/playlist?list=PLXv9BeKApRvy8VBmTJnrOC_NbkxD7uwJk</x:v>
      </x:c>
      <x:c r="AL714" s="9" t="n">
        <x:v>30</x:v>
      </x:c>
      <x:c r="AM714" s="9"/>
      <x:c r="AN714" s="9" t="n">
        <x:v>0</x:v>
      </x:c>
    </x:row>
    <x:row r="715" ht="60" customHeight="1">
      <x:c r="A715" s="9" t="str">
        <x:v>v601Zue3Ub4</x:v>
      </x:c>
      <x:c r="B715" s="10" t="str">
        <x:v>למה הבס כל כך חשוב במוזיקה? | כאן סקרנים</x:v>
      </x:c>
      <x:c r="C715" s="10" t="str">
        <x:v>Вопросы о мире</x:v>
      </x:c>
      <x:c r="D715" s="9" t="str">
        <x:v>Образование</x:v>
      </x:c>
      <x:c r="E715" s="10" t="str">
        <x:v>Любознательные; изучающие язык; короткий просмотр</x:v>
      </x:c>
      <x:c r="F715" s="10" t="str">
        <x:v>B1–B2 (гипотеза)</x:v>
      </x:c>
      <x:c r="G715" s="12" t="n">
        <x:v>8.3</x:v>
      </x:c>
      <x:c r="H715" s="14" t="n">
        <x:v>159515</x:v>
      </x:c>
      <x:c r="I715" s="15" t="str">
        <x:v>Точный счётчик метаданных видео</x:v>
      </x:c>
      <x:c r="J715" s="14" t="n">
        <x:v>159000</x:v>
      </x:c>
      <x:c r="K715" s="14" t="n">
        <x:v>83500</x:v>
      </x:c>
      <x:c r="L715" s="12" t="n">
        <x:f>IF(COUNT(J715:K715)=2,IF(K715=0,"",J715/K715),"")</x:f>
        <x:v>1.904191616766467</x:v>
      </x:c>
      <x:c r="M715" s="10" t="str">
        <x:v>Завершённый короткий просмотр около 8 мин. Просмотры в списке выше медианы выборки этого цикла в 1.9 раза. Один понятный вопрос даёт завершённый короткий выпуск и повод поделиться им.</x:v>
      </x:c>
      <x:c r="N715" s="10" t="str">
        <x:v>Предсказать ответ по заголовку и объяснить его своими словами.</x:v>
      </x:c>
      <x:c r="O715" s="10" t="str">
        <x:v>Проверить содержание</x:v>
      </x:c>
      <x:c r="P715" s="10" t="str">
        <x:v>Самостоятельное видео</x:v>
      </x:c>
      <x:c r="Q715" s="9" t="str">
        <x:v>Нет</x:v>
      </x:c>
      <x:c r="R715" s="9" t="str">
        <x:v>C044</x:v>
      </x:c>
      <x:c r="S715" s="9" t="str">
        <x:v>C044</x:v>
      </x:c>
      <x:c r="T715" s="10" t="str">
        <x:v>כאן | דיגיטל - תאגיד השידור הישראלי</x:v>
      </x:c>
      <x:c r="U715" s="11" t="str">
        <x:v>https://www.youtube.com/watch?v=v601Zue3Ub4</x:v>
      </x:c>
      <x:c r="V715" s="16" t="n">
        <x:v>46308</x:v>
      </x:c>
      <x:c r="W715" s="16" t="n">
        <x:v>44207</x:v>
      </x:c>
      <x:c r="X715" s="10" t="str">
        <x:v>Иврит предполагается по заголовку и источнику</x:v>
      </x:c>
      <x:c r="Y715" s="10" t="str">
        <x:v>Ручная дорожка HE по метаданным</x:v>
      </x:c>
      <x:c r="Z715" s="10" t="str">
        <x:v>Разрешено по метаданным</x:v>
      </x:c>
      <x:c r="AA715" s="10" t="str">
        <x:v>Метаданные видео; воспроизведение и содержание не проверены</x:v>
      </x:c>
      <x:c r="AB715" s="13" t="n">
        <x:f>IF(AND(ISNUMBER(H715),ISNUMBER(W715)),H715/MAX(1,'Обзор'!$B$4-W715),"")</x:f>
        <x:v>75.92336982389338</x:v>
      </x:c>
      <x:c r="AC715" s="17" t="str">
        <x:v>Не решено</x:v>
      </x:c>
      <x:c r="AD715" s="17" t="str">
        <x:v>Не проверено</x:v>
      </x:c>
      <x:c r="AE715" s="17" t="str">
        <x:v>Не проверено</x:v>
      </x:c>
      <x:c r="AF715" s="17" t="str">
        <x:v>Не проверено</x:v>
      </x:c>
      <x:c r="AG715" s="17" t="str">
        <x:v>Не решено</x:v>
      </x:c>
      <x:c r="AH715" s="17" t="str">
        <x:v>Не проверено</x:v>
      </x:c>
      <x:c r="AI715" s="10" t="str">
        <x:f>IF(AC715="Отклонить","Отклонено",IF(AND(AC715="Взять",COUNTIFS(AD715:AH715,"Да")=5),"Готово","Нужна редактура"))</x:f>
        <x:v>Нужна редактура</x:v>
      </x:c>
      <x:c r="AJ715" s="17" t="str"/>
      <x:c r="AK715" s="9" t="str">
        <x:v>https://www.youtube.com/playlist?list=PLXv9BeKApRvy8VBmTJnrOC_NbkxD7uwJk</x:v>
      </x:c>
      <x:c r="AL715" s="9" t="n">
        <x:v>31</x:v>
      </x:c>
      <x:c r="AM715" s="9"/>
      <x:c r="AN715" s="9" t="n">
        <x:v>0</x:v>
      </x:c>
    </x:row>
    <x:row r="716" ht="60" customHeight="1">
      <x:c r="A716" s="9" t="str">
        <x:v>s-W1UbFY9Vs</x:v>
      </x:c>
      <x:c r="B716" s="10" t="str">
        <x:v>טורקי? ספרדי? אולי הודי? מה שבטוח הג'חנון הוא לא תימני | כאן סקרנים</x:v>
      </x:c>
      <x:c r="C716" s="10" t="str">
        <x:v>Вопросы о мире</x:v>
      </x:c>
      <x:c r="D716" s="9" t="str">
        <x:v>Образование</x:v>
      </x:c>
      <x:c r="E716" s="10" t="str">
        <x:v>Любознательные; изучающие язык; короткий просмотр</x:v>
      </x:c>
      <x:c r="F716" s="10" t="str">
        <x:v>B1–B2 (гипотеза)</x:v>
      </x:c>
      <x:c r="G716" s="12" t="n">
        <x:v>8.6</x:v>
      </x:c>
      <x:c r="H716" s="14" t="n">
        <x:v>155160</x:v>
      </x:c>
      <x:c r="I716" s="15" t="str">
        <x:v>Точный счётчик метаданных видео</x:v>
      </x:c>
      <x:c r="J716" s="14" t="n">
        <x:v>155000</x:v>
      </x:c>
      <x:c r="K716" s="14" t="n">
        <x:v>83500</x:v>
      </x:c>
      <x:c r="L716" s="12" t="n">
        <x:f>IF(COUNT(J716:K716)=2,IF(K716=0,"",J716/K716),"")</x:f>
        <x:v>1.8562874251497006</x:v>
      </x:c>
      <x:c r="M716" s="10" t="str">
        <x:v>Завершённый короткий просмотр около 9 мин. Просмотры в списке выше медианы выборки этого цикла в 1.86 раза. Один понятный вопрос даёт завершённый короткий выпуск и повод поделиться им.</x:v>
      </x:c>
      <x:c r="N716" s="10" t="str">
        <x:v>Предсказать ответ по заголовку и объяснить его своими словами.</x:v>
      </x:c>
      <x:c r="O716" s="10" t="str">
        <x:v>Проверить содержание</x:v>
      </x:c>
      <x:c r="P716" s="10" t="str">
        <x:v>Самостоятельное видео</x:v>
      </x:c>
      <x:c r="Q716" s="9" t="str">
        <x:v>Нет</x:v>
      </x:c>
      <x:c r="R716" s="9" t="str">
        <x:v>C044</x:v>
      </x:c>
      <x:c r="S716" s="9" t="str">
        <x:v>C044</x:v>
      </x:c>
      <x:c r="T716" s="10" t="str">
        <x:v>כאן | דיגיטל - תאגיד השידור הישראלי</x:v>
      </x:c>
      <x:c r="U716" s="11" t="str">
        <x:v>https://www.youtube.com/watch?v=s-W1UbFY9Vs</x:v>
      </x:c>
      <x:c r="V716" s="16" t="n">
        <x:v>46308</x:v>
      </x:c>
      <x:c r="W716" s="16" t="n">
        <x:v>44203</x:v>
      </x:c>
      <x:c r="X716" s="10" t="str">
        <x:v>Иврит предполагается по заголовку и источнику</x:v>
      </x:c>
      <x:c r="Y716" s="10" t="str">
        <x:v>Ручная дорожка HE по метаданным</x:v>
      </x:c>
      <x:c r="Z716" s="10" t="str">
        <x:v>Разрешено по метаданным</x:v>
      </x:c>
      <x:c r="AA716" s="10" t="str">
        <x:v>Метаданные видео; воспроизведение и содержание не проверены</x:v>
      </x:c>
      <x:c r="AB716" s="13" t="n">
        <x:f>IF(AND(ISNUMBER(H716),ISNUMBER(W716)),H716/MAX(1,'Обзор'!$B$4-W716),"")</x:f>
        <x:v>73.71021377672209</x:v>
      </x:c>
      <x:c r="AC716" s="17" t="str">
        <x:v>Не решено</x:v>
      </x:c>
      <x:c r="AD716" s="17" t="str">
        <x:v>Не проверено</x:v>
      </x:c>
      <x:c r="AE716" s="17" t="str">
        <x:v>Не проверено</x:v>
      </x:c>
      <x:c r="AF716" s="17" t="str">
        <x:v>Не проверено</x:v>
      </x:c>
      <x:c r="AG716" s="17" t="str">
        <x:v>Не решено</x:v>
      </x:c>
      <x:c r="AH716" s="17" t="str">
        <x:v>Не проверено</x:v>
      </x:c>
      <x:c r="AI716" s="10" t="str">
        <x:f>IF(AC716="Отклонить","Отклонено",IF(AND(AC716="Взять",COUNTIFS(AD716:AH716,"Да")=5),"Готово","Нужна редактура"))</x:f>
        <x:v>Нужна редактура</x:v>
      </x:c>
      <x:c r="AJ716" s="17" t="str"/>
      <x:c r="AK716" s="9" t="str">
        <x:v>https://www.youtube.com/playlist?list=PLXv9BeKApRvy8VBmTJnrOC_NbkxD7uwJk</x:v>
      </x:c>
      <x:c r="AL716" s="9" t="n">
        <x:v>32</x:v>
      </x:c>
      <x:c r="AM716" s="9"/>
      <x:c r="AN716" s="9" t="n">
        <x:v>0</x:v>
      </x:c>
    </x:row>
    <x:row r="717" ht="60" customHeight="1">
      <x:c r="A717" s="9" t="str">
        <x:v>t_LrtA4EF3M</x:v>
      </x:c>
      <x:c r="B717" s="10" t="str">
        <x:v>איך נוצרו הבגדים המוכרים של ריקודי העם? 🕺💃 | כאן סקרנים</x:v>
      </x:c>
      <x:c r="C717" s="10" t="str">
        <x:v>Вопросы о мире</x:v>
      </x:c>
      <x:c r="D717" s="9" t="str">
        <x:v>Образование</x:v>
      </x:c>
      <x:c r="E717" s="10" t="str">
        <x:v>Любознательные; изучающие язык; короткий просмотр</x:v>
      </x:c>
      <x:c r="F717" s="10" t="str">
        <x:v>B1–B2 (гипотеза)</x:v>
      </x:c>
      <x:c r="G717" s="12" t="n">
        <x:v>9.5</x:v>
      </x:c>
      <x:c r="H717" s="14" t="n">
        <x:v>20000</x:v>
      </x:c>
      <x:c r="I717" s="15" t="str">
        <x:v>Округлённый счётчик в списке YouTube</x:v>
      </x:c>
      <x:c r="J717" s="14" t="n">
        <x:v>20000</x:v>
      </x:c>
      <x:c r="K717" s="14" t="n">
        <x:v>83500</x:v>
      </x:c>
      <x:c r="L717" s="12" t="n">
        <x:f>IF(COUNT(J717:K717)=2,IF(K717=0,"",J717/K717),"")</x:f>
        <x:v>0.23952095808383234</x:v>
      </x:c>
      <x:c r="M717" s="10" t="str">
        <x:v>Завершённый короткий просмотр около 10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717" s="10" t="str">
        <x:v>Предсказать ответ по заголовку и объяснить его своими словами.</x:v>
      </x:c>
      <x:c r="O717" s="10" t="str">
        <x:v>Проверить содержание</x:v>
      </x:c>
      <x:c r="P717" s="10" t="str">
        <x:v>Самостоятельное видео</x:v>
      </x:c>
      <x:c r="Q717" s="9" t="str">
        <x:v>Нет</x:v>
      </x:c>
      <x:c r="R717" s="9" t="str">
        <x:v>C044</x:v>
      </x:c>
      <x:c r="S717" s="9" t="str">
        <x:v>C044</x:v>
      </x:c>
      <x:c r="T717" s="10" t="str">
        <x:v>כאן | דיגיטל - תאגיד השידור הישראלי</x:v>
      </x:c>
      <x:c r="U717" s="11" t="str">
        <x:v>https://www.youtube.com/watch?v=t_LrtA4EF3M</x:v>
      </x:c>
      <x:c r="V717" s="16" t="n">
        <x:v>46308</x:v>
      </x:c>
      <x:c r="W717" s="16"/>
      <x:c r="X717" s="10" t="str">
        <x:v>Иврит предполагается по заголовку и источнику</x:v>
      </x:c>
      <x:c r="Y717" s="10" t="str">
        <x:v>Не проверено</x:v>
      </x:c>
      <x:c r="Z717" s="10" t="str">
        <x:v>Не проверено</x:v>
      </x:c>
      <x:c r="AA717" s="10" t="str">
        <x:v>Метаданные списка; видео не просмотрено</x:v>
      </x:c>
      <x:c r="AB717" s="13" t="str">
        <x:f>IF(AND(ISNUMBER(H717),ISNUMBER(W717)),H717/MAX(1,'Обзор'!$B$4-W717),"")</x:f>
      </x:c>
      <x:c r="AC717" s="17" t="str">
        <x:v>Не решено</x:v>
      </x:c>
      <x:c r="AD717" s="17" t="str">
        <x:v>Не проверено</x:v>
      </x:c>
      <x:c r="AE717" s="17" t="str">
        <x:v>Не проверено</x:v>
      </x:c>
      <x:c r="AF717" s="17" t="str">
        <x:v>Не проверено</x:v>
      </x:c>
      <x:c r="AG717" s="17" t="str">
        <x:v>Не решено</x:v>
      </x:c>
      <x:c r="AH717" s="17" t="str">
        <x:v>Не проверено</x:v>
      </x:c>
      <x:c r="AI717" s="10" t="str">
        <x:f>IF(AC717="Отклонить","Отклонено",IF(AND(AC717="Взять",COUNTIFS(AD717:AH717,"Да")=5),"Готово","Нужна редактура"))</x:f>
        <x:v>Нужна редактура</x:v>
      </x:c>
      <x:c r="AJ717" s="17" t="str"/>
      <x:c r="AK717" s="9" t="str">
        <x:v>https://www.youtube.com/playlist?list=PLXv9BeKApRvy8VBmTJnrOC_NbkxD7uwJk</x:v>
      </x:c>
      <x:c r="AL717" s="9" t="n">
        <x:v>33</x:v>
      </x:c>
      <x:c r="AM717" s="9"/>
      <x:c r="AN717" s="9"/>
    </x:row>
    <x:row r="718" ht="60" customHeight="1">
      <x:c r="A718" s="9" t="str">
        <x:v>FTDWNhaRiKQ</x:v>
      </x:c>
      <x:c r="B718" s="10" t="str">
        <x:v>למה יש כל כך הרבה סוגי שקעים בעולם? | כאן סקרנים</x:v>
      </x:c>
      <x:c r="C718" s="10" t="str">
        <x:v>Вопросы о мире</x:v>
      </x:c>
      <x:c r="D718" s="9" t="str">
        <x:v>Образование</x:v>
      </x:c>
      <x:c r="E718" s="10" t="str">
        <x:v>Любознательные; изучающие язык; короткий просмотр</x:v>
      </x:c>
      <x:c r="F718" s="10" t="str">
        <x:v>B1–B2 (гипотеза)</x:v>
      </x:c>
      <x:c r="G718" s="12" t="n">
        <x:v>9.9</x:v>
      </x:c>
      <x:c r="H718" s="14" t="n">
        <x:v>199580</x:v>
      </x:c>
      <x:c r="I718" s="15" t="str">
        <x:v>Точный счётчик метаданных видео</x:v>
      </x:c>
      <x:c r="J718" s="14" t="n">
        <x:v>199000</x:v>
      </x:c>
      <x:c r="K718" s="14" t="n">
        <x:v>83500</x:v>
      </x:c>
      <x:c r="L718" s="12" t="n">
        <x:f>IF(COUNT(J718:K718)=2,IF(K718=0,"",J718/K718),"")</x:f>
        <x:v>2.3832335329341316</x:v>
      </x:c>
      <x:c r="M718" s="10" t="str">
        <x:v>Завершённый короткий просмотр около 10 мин. Просмотры в списке выше медианы выборки этого цикла в 2.38 раза. Один понятный вопрос даёт завершённый короткий выпуск и повод поделиться им.</x:v>
      </x:c>
      <x:c r="N718" s="10" t="str">
        <x:v>Предсказать ответ по заголовку и объяснить его своими словами.</x:v>
      </x:c>
      <x:c r="O718" s="10" t="str">
        <x:v>Проверить содержание</x:v>
      </x:c>
      <x:c r="P718" s="10" t="str">
        <x:v>Самостоятельное видео</x:v>
      </x:c>
      <x:c r="Q718" s="9" t="str">
        <x:v>Нет</x:v>
      </x:c>
      <x:c r="R718" s="9" t="str">
        <x:v>C044</x:v>
      </x:c>
      <x:c r="S718" s="9" t="str">
        <x:v>C044</x:v>
      </x:c>
      <x:c r="T718" s="10" t="str">
        <x:v>כאן | דיגיטל - תאגיד השידור הישראלי</x:v>
      </x:c>
      <x:c r="U718" s="11" t="str">
        <x:v>https://www.youtube.com/watch?v=FTDWNhaRiKQ</x:v>
      </x:c>
      <x:c r="V718" s="16" t="n">
        <x:v>46308</x:v>
      </x:c>
      <x:c r="W718" s="16" t="n">
        <x:v>44157</x:v>
      </x:c>
      <x:c r="X718" s="10" t="str">
        <x:v>Иврит предполагается по заголовку и источнику</x:v>
      </x:c>
      <x:c r="Y718" s="10" t="str">
        <x:v>Ручная дорожка HE по метаданным</x:v>
      </x:c>
      <x:c r="Z718" s="10" t="str">
        <x:v>Разрешено по метаданным</x:v>
      </x:c>
      <x:c r="AA718" s="10" t="str">
        <x:v>Метаданные видео; воспроизведение и содержание не проверены</x:v>
      </x:c>
      <x:c r="AB718" s="13" t="n">
        <x:f>IF(AND(ISNUMBER(H718),ISNUMBER(W718)),H718/MAX(1,'Обзор'!$B$4-W718),"")</x:f>
        <x:v>92.78475127847513</x:v>
      </x:c>
      <x:c r="AC718" s="17" t="str">
        <x:v>Не решено</x:v>
      </x:c>
      <x:c r="AD718" s="17" t="str">
        <x:v>Не проверено</x:v>
      </x:c>
      <x:c r="AE718" s="17" t="str">
        <x:v>Не проверено</x:v>
      </x:c>
      <x:c r="AF718" s="17" t="str">
        <x:v>Не проверено</x:v>
      </x:c>
      <x:c r="AG718" s="17" t="str">
        <x:v>Не решено</x:v>
      </x:c>
      <x:c r="AH718" s="17" t="str">
        <x:v>Не проверено</x:v>
      </x:c>
      <x:c r="AI718" s="10" t="str">
        <x:f>IF(AC718="Отклонить","Отклонено",IF(AND(AC718="Взять",COUNTIFS(AD718:AH718,"Да")=5),"Готово","Нужна редактура"))</x:f>
        <x:v>Нужна редактура</x:v>
      </x:c>
      <x:c r="AJ718" s="17" t="str"/>
      <x:c r="AK718" s="9" t="str">
        <x:v>https://www.youtube.com/playlist?list=PLXv9BeKApRvy8VBmTJnrOC_NbkxD7uwJk</x:v>
      </x:c>
      <x:c r="AL718" s="9" t="n">
        <x:v>34</x:v>
      </x:c>
      <x:c r="AM718" s="9"/>
      <x:c r="AN718" s="9" t="n">
        <x:v>0</x:v>
      </x:c>
    </x:row>
    <x:row r="719" ht="60" customHeight="1">
      <x:c r="A719" s="9" t="str">
        <x:v>S8gHJfduqtA</x:v>
      </x:c>
      <x:c r="B719" s="10" t="str">
        <x:v>למה שרים לילדים שירי ערש מפחידים? | כאן סקרנים</x:v>
      </x:c>
      <x:c r="C719" s="10" t="str">
        <x:v>Вопросы о мире</x:v>
      </x:c>
      <x:c r="D719" s="9" t="str">
        <x:v>Образование</x:v>
      </x:c>
      <x:c r="E719" s="10" t="str">
        <x:v>Любознательные; изучающие язык; короткий просмотр</x:v>
      </x:c>
      <x:c r="F719" s="10" t="str">
        <x:v>B1–B2 (гипотеза)</x:v>
      </x:c>
      <x:c r="G719" s="12" t="n">
        <x:v>7.3</x:v>
      </x:c>
      <x:c r="H719" s="14" t="n">
        <x:v>59000</x:v>
      </x:c>
      <x:c r="I719" s="15" t="str">
        <x:v>Округлённый счётчик в списке YouTube</x:v>
      </x:c>
      <x:c r="J719" s="14" t="n">
        <x:v>59000</x:v>
      </x:c>
      <x:c r="K719" s="14" t="n">
        <x:v>83500</x:v>
      </x:c>
      <x:c r="L719" s="12" t="n">
        <x:f>IF(COUNT(J719:K719)=2,IF(K719=0,"",J719/K719),"")</x:f>
        <x:v>0.7065868263473054</x:v>
      </x:c>
      <x:c r="M719" s="10" t="str">
        <x:v>Завершённый короткий просмотр около 7 мин. Один понятный вопрос даёт завершённый короткий выпуск и повод поделиться им.</x:v>
      </x:c>
      <x:c r="N719" s="10" t="str">
        <x:v>Предсказать ответ по заголовку и объяснить его своими словами.</x:v>
      </x:c>
      <x:c r="O719" s="10" t="str">
        <x:v>Проверить содержание</x:v>
      </x:c>
      <x:c r="P719" s="10" t="str">
        <x:v>Самостоятельное видео</x:v>
      </x:c>
      <x:c r="Q719" s="9" t="str">
        <x:v>Нет</x:v>
      </x:c>
      <x:c r="R719" s="9" t="str">
        <x:v>C044</x:v>
      </x:c>
      <x:c r="S719" s="9" t="str">
        <x:v>C044</x:v>
      </x:c>
      <x:c r="T719" s="10" t="str">
        <x:v>כאן | דיגיטל - תאגיד השידור הישראלי</x:v>
      </x:c>
      <x:c r="U719" s="11" t="str">
        <x:v>https://www.youtube.com/watch?v=S8gHJfduqtA</x:v>
      </x:c>
      <x:c r="V719" s="16" t="n">
        <x:v>46308</x:v>
      </x:c>
      <x:c r="W719" s="16"/>
      <x:c r="X719" s="10" t="str">
        <x:v>Иврит предполагается по заголовку и источнику</x:v>
      </x:c>
      <x:c r="Y719" s="10" t="str">
        <x:v>Не проверено</x:v>
      </x:c>
      <x:c r="Z719" s="10" t="str">
        <x:v>Не проверено</x:v>
      </x:c>
      <x:c r="AA719" s="10" t="str">
        <x:v>Метаданные списка; видео не просмотрено</x:v>
      </x:c>
      <x:c r="AB719" s="13" t="str">
        <x:f>IF(AND(ISNUMBER(H719),ISNUMBER(W719)),H719/MAX(1,'Обзор'!$B$4-W719),"")</x:f>
      </x:c>
      <x:c r="AC719" s="17" t="str">
        <x:v>Не решено</x:v>
      </x:c>
      <x:c r="AD719" s="17" t="str">
        <x:v>Не проверено</x:v>
      </x:c>
      <x:c r="AE719" s="17" t="str">
        <x:v>Не проверено</x:v>
      </x:c>
      <x:c r="AF719" s="17" t="str">
        <x:v>Не проверено</x:v>
      </x:c>
      <x:c r="AG719" s="17" t="str">
        <x:v>Не решено</x:v>
      </x:c>
      <x:c r="AH719" s="17" t="str">
        <x:v>Не проверено</x:v>
      </x:c>
      <x:c r="AI719" s="10" t="str">
        <x:f>IF(AC719="Отклонить","Отклонено",IF(AND(AC719="Взять",COUNTIFS(AD719:AH719,"Да")=5),"Готово","Нужна редактура"))</x:f>
        <x:v>Нужна редактура</x:v>
      </x:c>
      <x:c r="AJ719" s="17" t="str"/>
      <x:c r="AK719" s="9" t="str">
        <x:v>https://www.youtube.com/playlist?list=PLXv9BeKApRvy8VBmTJnrOC_NbkxD7uwJk</x:v>
      </x:c>
      <x:c r="AL719" s="9" t="n">
        <x:v>35</x:v>
      </x:c>
      <x:c r="AM719" s="9"/>
      <x:c r="AN719" s="9"/>
    </x:row>
    <x:row r="720" ht="60" customHeight="1">
      <x:c r="A720" s="9" t="str">
        <x:v>nGxjLOAaO9k</x:v>
      </x:c>
      <x:c r="B720" s="10" t="str">
        <x:v>איך קובעים את מהירות הנסיעה המותרת בכביש? | כאן סקרנים</x:v>
      </x:c>
      <x:c r="C720" s="10" t="str">
        <x:v>Вопросы о мире</x:v>
      </x:c>
      <x:c r="D720" s="9" t="str">
        <x:v>Образование</x:v>
      </x:c>
      <x:c r="E720" s="10" t="str">
        <x:v>Любознательные; изучающие язык; короткий просмотр</x:v>
      </x:c>
      <x:c r="F720" s="10" t="str">
        <x:v>B1–B2 (гипотеза)</x:v>
      </x:c>
      <x:c r="G720" s="12" t="n">
        <x:v>7.9</x:v>
      </x:c>
      <x:c r="H720" s="14" t="n">
        <x:v>106634</x:v>
      </x:c>
      <x:c r="I720" s="15" t="str">
        <x:v>Точный счётчик метаданных видео</x:v>
      </x:c>
      <x:c r="J720" s="14" t="n">
        <x:v>106000</x:v>
      </x:c>
      <x:c r="K720" s="14" t="n">
        <x:v>83500</x:v>
      </x:c>
      <x:c r="L720" s="12" t="n">
        <x:f>IF(COUNT(J720:K720)=2,IF(K720=0,"",J720/K720),"")</x:f>
        <x:v>1.2694610778443114</x:v>
      </x:c>
      <x:c r="M720" s="10" t="str">
        <x:v>Завершённый короткий просмотр около 8 мин. Один понятный вопрос даёт завершённый короткий выпуск и повод поделиться им.</x:v>
      </x:c>
      <x:c r="N720" s="10" t="str">
        <x:v>Предсказать ответ по заголовку и объяснить его своими словами.</x:v>
      </x:c>
      <x:c r="O720" s="10" t="str">
        <x:v>Проверить содержание</x:v>
      </x:c>
      <x:c r="P720" s="10" t="str">
        <x:v>Самостоятельное видео</x:v>
      </x:c>
      <x:c r="Q720" s="9" t="str">
        <x:v>Нет</x:v>
      </x:c>
      <x:c r="R720" s="9" t="str">
        <x:v>C044</x:v>
      </x:c>
      <x:c r="S720" s="9" t="str">
        <x:v>C044</x:v>
      </x:c>
      <x:c r="T720" s="10" t="str">
        <x:v>כאן | דיגיטל - תאגיד השידור הישראלי</x:v>
      </x:c>
      <x:c r="U720" s="11" t="str">
        <x:v>https://www.youtube.com/watch?v=nGxjLOAaO9k</x:v>
      </x:c>
      <x:c r="V720" s="16" t="n">
        <x:v>46308</x:v>
      </x:c>
      <x:c r="W720" s="16" t="n">
        <x:v>44143</x:v>
      </x:c>
      <x:c r="X720" s="10" t="str">
        <x:v>Иврит предполагается по заголовку и источнику</x:v>
      </x:c>
      <x:c r="Y720" s="10" t="str">
        <x:v>Ручная дорожка HE по метаданным</x:v>
      </x:c>
      <x:c r="Z720" s="10" t="str">
        <x:v>Разрешено по метаданным</x:v>
      </x:c>
      <x:c r="AA720" s="10" t="str">
        <x:v>Метаданные видео; воспроизведение и содержание не проверены</x:v>
      </x:c>
      <x:c r="AB720" s="13" t="n">
        <x:f>IF(AND(ISNUMBER(H720),ISNUMBER(W720)),H720/MAX(1,'Обзор'!$B$4-W720),"")</x:f>
        <x:v>49.25357967667436</x:v>
      </x:c>
      <x:c r="AC720" s="17" t="str">
        <x:v>Не решено</x:v>
      </x:c>
      <x:c r="AD720" s="17" t="str">
        <x:v>Не проверено</x:v>
      </x:c>
      <x:c r="AE720" s="17" t="str">
        <x:v>Не проверено</x:v>
      </x:c>
      <x:c r="AF720" s="17" t="str">
        <x:v>Не проверено</x:v>
      </x:c>
      <x:c r="AG720" s="17" t="str">
        <x:v>Не решено</x:v>
      </x:c>
      <x:c r="AH720" s="17" t="str">
        <x:v>Не проверено</x:v>
      </x:c>
      <x:c r="AI720" s="10" t="str">
        <x:f>IF(AC720="Отклонить","Отклонено",IF(AND(AC720="Взять",COUNTIFS(AD720:AH720,"Да")=5),"Готово","Нужна редактура"))</x:f>
        <x:v>Нужна редактура</x:v>
      </x:c>
      <x:c r="AJ720" s="17" t="str"/>
      <x:c r="AK720" s="9" t="str">
        <x:v>https://www.youtube.com/playlist?list=PLXv9BeKApRvy8VBmTJnrOC_NbkxD7uwJk</x:v>
      </x:c>
      <x:c r="AL720" s="9" t="n">
        <x:v>36</x:v>
      </x:c>
      <x:c r="AM720" s="9"/>
      <x:c r="AN720" s="9" t="n">
        <x:v>0</x:v>
      </x:c>
    </x:row>
    <x:row r="721" ht="60" customHeight="1">
      <x:c r="A721" s="9" t="str">
        <x:v>kwc-6AqEgAY</x:v>
      </x:c>
      <x:c r="B721" s="10" t="str">
        <x:v>אנחנו קוראים לילדים שלנו על שם דמויות שליליות מהתנ"ך. למה? | כאן סקרנים</x:v>
      </x:c>
      <x:c r="C721" s="10" t="str">
        <x:v>Вопросы о мире</x:v>
      </x:c>
      <x:c r="D721" s="9" t="str">
        <x:v>Образование</x:v>
      </x:c>
      <x:c r="E721" s="10" t="str">
        <x:v>Любознательные; изучающие язык; короткий просмотр</x:v>
      </x:c>
      <x:c r="F721" s="10" t="str">
        <x:v>B1–B2 (гипотеза)</x:v>
      </x:c>
      <x:c r="G721" s="12" t="n">
        <x:v>6.4</x:v>
      </x:c>
      <x:c r="H721" s="14" t="n">
        <x:v>160200</x:v>
      </x:c>
      <x:c r="I721" s="15" t="str">
        <x:v>Точный счётчик метаданных видео</x:v>
      </x:c>
      <x:c r="J721" s="14" t="n">
        <x:v>160000</x:v>
      </x:c>
      <x:c r="K721" s="14" t="n">
        <x:v>83500</x:v>
      </x:c>
      <x:c r="L721" s="12" t="n">
        <x:f>IF(COUNT(J721:K721)=2,IF(K721=0,"",J721/K721),"")</x:f>
        <x:v>1.9161676646706587</x:v>
      </x:c>
      <x:c r="M721" s="10" t="str">
        <x:v>Завершённый короткий просмотр около 6 мин. Просмотры в списке выше медианы выборки этого цикла в 1.92 раза. Один понятный вопрос даёт завершённый короткий выпуск и повод поделиться им.</x:v>
      </x:c>
      <x:c r="N721" s="10" t="str">
        <x:v>Предсказать ответ по заголовку и объяснить его своими словами.</x:v>
      </x:c>
      <x:c r="O721" s="10" t="str">
        <x:v>Проверить содержание</x:v>
      </x:c>
      <x:c r="P721" s="10" t="str">
        <x:v>Самостоятельное видео</x:v>
      </x:c>
      <x:c r="Q721" s="9" t="str">
        <x:v>Нет</x:v>
      </x:c>
      <x:c r="R721" s="9" t="str">
        <x:v>C044</x:v>
      </x:c>
      <x:c r="S721" s="9" t="str">
        <x:v>C044</x:v>
      </x:c>
      <x:c r="T721" s="10" t="str">
        <x:v>כאן | דיגיטל - תאגיד השידור הישראלי</x:v>
      </x:c>
      <x:c r="U721" s="11" t="str">
        <x:v>https://www.youtube.com/watch?v=kwc-6AqEgAY</x:v>
      </x:c>
      <x:c r="V721" s="16" t="n">
        <x:v>46308</x:v>
      </x:c>
      <x:c r="W721" s="16" t="n">
        <x:v>44105</x:v>
      </x:c>
      <x:c r="X721" s="10" t="str">
        <x:v>Иврит предполагается по заголовку и источнику</x:v>
      </x:c>
      <x:c r="Y721" s="10" t="str">
        <x:v>Ручная дорожка HE по метаданным</x:v>
      </x:c>
      <x:c r="Z721" s="10" t="str">
        <x:v>Разрешено по метаданным</x:v>
      </x:c>
      <x:c r="AA721" s="10" t="str">
        <x:v>Метаданные видео; воспроизведение и содержание не проверены</x:v>
      </x:c>
      <x:c r="AB721" s="13" t="n">
        <x:f>IF(AND(ISNUMBER(H721),ISNUMBER(W721)),H721/MAX(1,'Обзор'!$B$4-W721),"")</x:f>
        <x:v>72.71901951883795</x:v>
      </x:c>
      <x:c r="AC721" s="17" t="str">
        <x:v>Не решено</x:v>
      </x:c>
      <x:c r="AD721" s="17" t="str">
        <x:v>Не проверено</x:v>
      </x:c>
      <x:c r="AE721" s="17" t="str">
        <x:v>Не проверено</x:v>
      </x:c>
      <x:c r="AF721" s="17" t="str">
        <x:v>Не проверено</x:v>
      </x:c>
      <x:c r="AG721" s="17" t="str">
        <x:v>Не решено</x:v>
      </x:c>
      <x:c r="AH721" s="17" t="str">
        <x:v>Не проверено</x:v>
      </x:c>
      <x:c r="AI721" s="10" t="str">
        <x:f>IF(AC721="Отклонить","Отклонено",IF(AND(AC721="Взять",COUNTIFS(AD721:AH721,"Да")=5),"Готово","Нужна редактура"))</x:f>
        <x:v>Нужна редактура</x:v>
      </x:c>
      <x:c r="AJ721" s="17" t="str"/>
      <x:c r="AK721" s="9" t="str">
        <x:v>https://www.youtube.com/playlist?list=PLXv9BeKApRvy8VBmTJnrOC_NbkxD7uwJk</x:v>
      </x:c>
      <x:c r="AL721" s="9" t="n">
        <x:v>37</x:v>
      </x:c>
      <x:c r="AM721" s="9"/>
      <x:c r="AN721" s="9" t="n">
        <x:v>0</x:v>
      </x:c>
    </x:row>
    <x:row r="722" ht="60" customHeight="1">
      <x:c r="A722" s="9" t="str">
        <x:v>ed7FdC-1pwM</x:v>
      </x:c>
      <x:c r="B722" s="10" t="str">
        <x:v>חזנות - זו אופרה של יהודים? | כאן סקרנים</x:v>
      </x:c>
      <x:c r="C722" s="10" t="str">
        <x:v>Вопросы о мире</x:v>
      </x:c>
      <x:c r="D722" s="9" t="str">
        <x:v>Образование</x:v>
      </x:c>
      <x:c r="E722" s="10" t="str">
        <x:v>Любознательные; изучающие язык; короткий просмотр</x:v>
      </x:c>
      <x:c r="F722" s="10" t="str">
        <x:v>B1–B2 (гипотеза)</x:v>
      </x:c>
      <x:c r="G722" s="12" t="n">
        <x:v>7.6</x:v>
      </x:c>
      <x:c r="H722" s="14" t="n">
        <x:v>27000</x:v>
      </x:c>
      <x:c r="I722" s="15" t="str">
        <x:v>Округлённый счётчик в списке YouTube</x:v>
      </x:c>
      <x:c r="J722" s="14" t="n">
        <x:v>27000</x:v>
      </x:c>
      <x:c r="K722" s="14" t="n">
        <x:v>83500</x:v>
      </x:c>
      <x:c r="L722" s="12" t="n">
        <x:f>IF(COUNT(J722:K722)=2,IF(K722=0,"",J722/K722),"")</x:f>
        <x:v>0.32335329341317365</x:v>
      </x:c>
      <x:c r="M722" s="10" t="str">
        <x:v>Завершённый короткий просмотр около 8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722" s="10" t="str">
        <x:v>Предсказать ответ по заголовку и объяснить его своими словами.</x:v>
      </x:c>
      <x:c r="O722" s="10" t="str">
        <x:v>Проверить содержание</x:v>
      </x:c>
      <x:c r="P722" s="10" t="str">
        <x:v>Самостоятельное видео</x:v>
      </x:c>
      <x:c r="Q722" s="9" t="str">
        <x:v>Нет</x:v>
      </x:c>
      <x:c r="R722" s="9" t="str">
        <x:v>C044</x:v>
      </x:c>
      <x:c r="S722" s="9" t="str">
        <x:v>C044</x:v>
      </x:c>
      <x:c r="T722" s="10" t="str">
        <x:v>כאן | דיגיטל - תאגיד השידור הישראלי</x:v>
      </x:c>
      <x:c r="U722" s="11" t="str">
        <x:v>https://www.youtube.com/watch?v=ed7FdC-1pwM</x:v>
      </x:c>
      <x:c r="V722" s="16" t="n">
        <x:v>46308</x:v>
      </x:c>
      <x:c r="W722" s="16"/>
      <x:c r="X722" s="10" t="str">
        <x:v>Иврит предполагается по заголовку и источнику</x:v>
      </x:c>
      <x:c r="Y722" s="10" t="str">
        <x:v>Не проверено</x:v>
      </x:c>
      <x:c r="Z722" s="10" t="str">
        <x:v>Не проверено</x:v>
      </x:c>
      <x:c r="AA722" s="10" t="str">
        <x:v>Метаданные списка; видео не просмотрено</x:v>
      </x:c>
      <x:c r="AB722" s="13" t="str">
        <x:f>IF(AND(ISNUMBER(H722),ISNUMBER(W722)),H722/MAX(1,'Обзор'!$B$4-W722),"")</x:f>
      </x:c>
      <x:c r="AC722" s="17" t="str">
        <x:v>Не решено</x:v>
      </x:c>
      <x:c r="AD722" s="17" t="str">
        <x:v>Не проверено</x:v>
      </x:c>
      <x:c r="AE722" s="17" t="str">
        <x:v>Не проверено</x:v>
      </x:c>
      <x:c r="AF722" s="17" t="str">
        <x:v>Не проверено</x:v>
      </x:c>
      <x:c r="AG722" s="17" t="str">
        <x:v>Не решено</x:v>
      </x:c>
      <x:c r="AH722" s="17" t="str">
        <x:v>Не проверено</x:v>
      </x:c>
      <x:c r="AI722" s="10" t="str">
        <x:f>IF(AC722="Отклонить","Отклонено",IF(AND(AC722="Взять",COUNTIFS(AD722:AH722,"Да")=5),"Готово","Нужна редактура"))</x:f>
        <x:v>Нужна редактура</x:v>
      </x:c>
      <x:c r="AJ722" s="17" t="str"/>
      <x:c r="AK722" s="9" t="str">
        <x:v>https://www.youtube.com/playlist?list=PLXv9BeKApRvy8VBmTJnrOC_NbkxD7uwJk</x:v>
      </x:c>
      <x:c r="AL722" s="9" t="n">
        <x:v>38</x:v>
      </x:c>
      <x:c r="AM722" s="9"/>
      <x:c r="AN722" s="9"/>
    </x:row>
    <x:row r="723" ht="60" customHeight="1">
      <x:c r="A723" s="9" t="str">
        <x:v>sep8vkv_VgY</x:v>
      </x:c>
      <x:c r="B723" s="10" t="str">
        <x:v>סוף העולם לפי היהדות הוא בעוד... 220 שנה?! | כאן סקרנים</x:v>
      </x:c>
      <x:c r="C723" s="10" t="str">
        <x:v>Вопросы о мире</x:v>
      </x:c>
      <x:c r="D723" s="9" t="str">
        <x:v>Образование</x:v>
      </x:c>
      <x:c r="E723" s="10" t="str">
        <x:v>Любознательные; изучающие язык; короткий просмотр</x:v>
      </x:c>
      <x:c r="F723" s="10" t="str">
        <x:v>B1–B2 (гипотеза)</x:v>
      </x:c>
      <x:c r="G723" s="12" t="n">
        <x:v>6.5</x:v>
      </x:c>
      <x:c r="H723" s="14" t="n">
        <x:v>161798</x:v>
      </x:c>
      <x:c r="I723" s="15" t="str">
        <x:v>Точный счётчик метаданных видео</x:v>
      </x:c>
      <x:c r="J723" s="14" t="n">
        <x:v>161000</x:v>
      </x:c>
      <x:c r="K723" s="14" t="n">
        <x:v>83500</x:v>
      </x:c>
      <x:c r="L723" s="12" t="n">
        <x:f>IF(COUNT(J723:K723)=2,IF(K723=0,"",J723/K723),"")</x:f>
        <x:v>1.9281437125748504</x:v>
      </x:c>
      <x:c r="M723" s="10" t="str">
        <x:v>Завершённый короткий просмотр около 6 мин. Просмотры в списке выше медианы выборки этого цикла в 1.93 раза. Один понятный вопрос даёт завершённый короткий выпуск и повод поделиться им.</x:v>
      </x:c>
      <x:c r="N723" s="10" t="str">
        <x:v>Предсказать ответ по заголовку и объяснить его своими словами.</x:v>
      </x:c>
      <x:c r="O723" s="10" t="str">
        <x:v>Проверить содержание</x:v>
      </x:c>
      <x:c r="P723" s="10" t="str">
        <x:v>Самостоятельное видео</x:v>
      </x:c>
      <x:c r="Q723" s="9" t="str">
        <x:v>Нет</x:v>
      </x:c>
      <x:c r="R723" s="9" t="str">
        <x:v>C044</x:v>
      </x:c>
      <x:c r="S723" s="9" t="str">
        <x:v>C044</x:v>
      </x:c>
      <x:c r="T723" s="10" t="str">
        <x:v>כאן | דיגיטל - תאגיד השידור הישראלי</x:v>
      </x:c>
      <x:c r="U723" s="11" t="str">
        <x:v>https://www.youtube.com/watch?v=sep8vkv_VgY</x:v>
      </x:c>
      <x:c r="V723" s="16" t="n">
        <x:v>46308</x:v>
      </x:c>
      <x:c r="W723" s="16" t="n">
        <x:v>44077</x:v>
      </x:c>
      <x:c r="X723" s="10" t="str">
        <x:v>Иврит предполагается по заголовку и источнику</x:v>
      </x:c>
      <x:c r="Y723" s="10" t="str">
        <x:v>Ручная дорожка HE по метаданным</x:v>
      </x:c>
      <x:c r="Z723" s="10" t="str">
        <x:v>Разрешено по метаданным</x:v>
      </x:c>
      <x:c r="AA723" s="10" t="str">
        <x:v>Метаданные видео; воспроизведение и содержание не проверены</x:v>
      </x:c>
      <x:c r="AB723" s="13" t="n">
        <x:f>IF(AND(ISNUMBER(H723),ISNUMBER(W723)),H723/MAX(1,'Обзор'!$B$4-W723),"")</x:f>
        <x:v>72.52263558942178</x:v>
      </x:c>
      <x:c r="AC723" s="17" t="str">
        <x:v>Не решено</x:v>
      </x:c>
      <x:c r="AD723" s="17" t="str">
        <x:v>Не проверено</x:v>
      </x:c>
      <x:c r="AE723" s="17" t="str">
        <x:v>Не проверено</x:v>
      </x:c>
      <x:c r="AF723" s="17" t="str">
        <x:v>Не проверено</x:v>
      </x:c>
      <x:c r="AG723" s="17" t="str">
        <x:v>Не решено</x:v>
      </x:c>
      <x:c r="AH723" s="17" t="str">
        <x:v>Не проверено</x:v>
      </x:c>
      <x:c r="AI723" s="10" t="str">
        <x:f>IF(AC723="Отклонить","Отклонено",IF(AND(AC723="Взять",COUNTIFS(AD723:AH723,"Да")=5),"Готово","Нужна редактура"))</x:f>
        <x:v>Нужна редактура</x:v>
      </x:c>
      <x:c r="AJ723" s="17" t="str"/>
      <x:c r="AK723" s="9" t="str">
        <x:v>https://www.youtube.com/playlist?list=PLXv9BeKApRvy8VBmTJnrOC_NbkxD7uwJk</x:v>
      </x:c>
      <x:c r="AL723" s="9" t="n">
        <x:v>39</x:v>
      </x:c>
      <x:c r="AM723" s="9"/>
      <x:c r="AN723" s="9" t="n">
        <x:v>0</x:v>
      </x:c>
    </x:row>
    <x:row r="724" ht="60" customHeight="1">
      <x:c r="A724" s="9" t="str">
        <x:v>39eRcn-QXd0</x:v>
      </x:c>
      <x:c r="B724" s="10" t="str">
        <x:v>כמה פיפי יש בבריכות השחייה שלנו (ומה הכלור עושה לו)? | כאן סקרנים</x:v>
      </x:c>
      <x:c r="C724" s="10" t="str">
        <x:v>Вопросы о мире</x:v>
      </x:c>
      <x:c r="D724" s="9" t="str">
        <x:v>Образование</x:v>
      </x:c>
      <x:c r="E724" s="10" t="str">
        <x:v>Любознательные; изучающие язык; короткий просмотр</x:v>
      </x:c>
      <x:c r="F724" s="10" t="str">
        <x:v>B1–B2 (гипотеза)</x:v>
      </x:c>
      <x:c r="G724" s="12" t="n">
        <x:v>8.5</x:v>
      </x:c>
      <x:c r="H724" s="14" t="n">
        <x:v>227892</x:v>
      </x:c>
      <x:c r="I724" s="15" t="str">
        <x:v>Точный счётчик метаданных видео</x:v>
      </x:c>
      <x:c r="J724" s="14" t="n">
        <x:v>227000</x:v>
      </x:c>
      <x:c r="K724" s="14" t="n">
        <x:v>83500</x:v>
      </x:c>
      <x:c r="L724" s="12" t="n">
        <x:f>IF(COUNT(J724:K724)=2,IF(K724=0,"",J724/K724),"")</x:f>
        <x:v>2.718562874251497</x:v>
      </x:c>
      <x:c r="M724" s="10" t="str">
        <x:v>Завершённый короткий просмотр около 9 мин. Просмотры в списке выше медианы выборки этого цикла в 2.72 раза. Один понятный вопрос даёт завершённый короткий выпуск и повод поделиться им.</x:v>
      </x:c>
      <x:c r="N724" s="10" t="str">
        <x:v>Предсказать ответ по заголовку и объяснить его своими словами.</x:v>
      </x:c>
      <x:c r="O724" s="10" t="str">
        <x:v>Проверить содержание</x:v>
      </x:c>
      <x:c r="P724" s="10" t="str">
        <x:v>Самостоятельное видео</x:v>
      </x:c>
      <x:c r="Q724" s="9" t="str">
        <x:v>Нет</x:v>
      </x:c>
      <x:c r="R724" s="9" t="str">
        <x:v>C044</x:v>
      </x:c>
      <x:c r="S724" s="9" t="str">
        <x:v>C044</x:v>
      </x:c>
      <x:c r="T724" s="10" t="str">
        <x:v>כאן | דיגיטל - תאגיד השידור הישראלי</x:v>
      </x:c>
      <x:c r="U724" s="11" t="str">
        <x:v>https://www.youtube.com/watch?v=39eRcn-QXd0</x:v>
      </x:c>
      <x:c r="V724" s="16" t="n">
        <x:v>46308</x:v>
      </x:c>
      <x:c r="W724" s="16" t="n">
        <x:v>44054</x:v>
      </x:c>
      <x:c r="X724" s="10" t="str">
        <x:v>Иврит предполагается по заголовку и источнику</x:v>
      </x:c>
      <x:c r="Y724" s="10" t="str">
        <x:v>Ручная дорожка HE по метаданным</x:v>
      </x:c>
      <x:c r="Z724" s="10" t="str">
        <x:v>Разрешено по метаданным</x:v>
      </x:c>
      <x:c r="AA724" s="10" t="str">
        <x:v>Метаданные видео; воспроизведение и содержание не проверены</x:v>
      </x:c>
      <x:c r="AB724" s="13" t="n">
        <x:f>IF(AND(ISNUMBER(H724),ISNUMBER(W724)),H724/MAX(1,'Обзор'!$B$4-W724),"")</x:f>
        <x:v>101.1055900621118</x:v>
      </x:c>
      <x:c r="AC724" s="17" t="str">
        <x:v>Не решено</x:v>
      </x:c>
      <x:c r="AD724" s="17" t="str">
        <x:v>Не проверено</x:v>
      </x:c>
      <x:c r="AE724" s="17" t="str">
        <x:v>Не проверено</x:v>
      </x:c>
      <x:c r="AF724" s="17" t="str">
        <x:v>Не проверено</x:v>
      </x:c>
      <x:c r="AG724" s="17" t="str">
        <x:v>Не решено</x:v>
      </x:c>
      <x:c r="AH724" s="17" t="str">
        <x:v>Не проверено</x:v>
      </x:c>
      <x:c r="AI724" s="10" t="str">
        <x:f>IF(AC724="Отклонить","Отклонено",IF(AND(AC724="Взять",COUNTIFS(AD724:AH724,"Да")=5),"Готово","Нужна редактура"))</x:f>
        <x:v>Нужна редактура</x:v>
      </x:c>
      <x:c r="AJ724" s="17" t="str"/>
      <x:c r="AK724" s="9" t="str">
        <x:v>https://www.youtube.com/playlist?list=PLXv9BeKApRvy8VBmTJnrOC_NbkxD7uwJk</x:v>
      </x:c>
      <x:c r="AL724" s="9" t="n">
        <x:v>40</x:v>
      </x:c>
      <x:c r="AM724" s="9"/>
      <x:c r="AN724" s="9" t="n">
        <x:v>0</x:v>
      </x:c>
    </x:row>
    <x:row r="725" ht="60" customHeight="1">
      <x:c r="A725" s="9" t="str">
        <x:v>3TqXgYhYRPc</x:v>
      </x:c>
      <x:c r="B725" s="10" t="str">
        <x:v>מאיפה הגיעו אלינו הצהלולים ואיך עושים "קולולו" משובח? | כאן סקרנים</x:v>
      </x:c>
      <x:c r="C725" s="10" t="str">
        <x:v>Вопросы о мире</x:v>
      </x:c>
      <x:c r="D725" s="9" t="str">
        <x:v>Образование</x:v>
      </x:c>
      <x:c r="E725" s="10" t="str">
        <x:v>Любознательные; изучающие язык; короткий просмотр</x:v>
      </x:c>
      <x:c r="F725" s="10" t="str">
        <x:v>B1–B2 (гипотеза)</x:v>
      </x:c>
      <x:c r="G725" s="12" t="n">
        <x:v>6.4</x:v>
      </x:c>
      <x:c r="H725" s="14" t="n">
        <x:v>45000</x:v>
      </x:c>
      <x:c r="I725" s="15" t="str">
        <x:v>Округлённый счётчик в списке YouTube</x:v>
      </x:c>
      <x:c r="J725" s="14" t="n">
        <x:v>45000</x:v>
      </x:c>
      <x:c r="K725" s="14" t="n">
        <x:v>83500</x:v>
      </x:c>
      <x:c r="L725" s="12" t="n">
        <x:f>IF(COUNT(J725:K725)=2,IF(K725=0,"",J725/K725),"")</x:f>
        <x:v>0.5389221556886228</x:v>
      </x:c>
      <x:c r="M725" s="10" t="str">
        <x:v>Завершённый короткий просмотр около 6 мин. Один понятный вопрос даёт завершённый короткий выпуск и повод поделиться им.</x:v>
      </x:c>
      <x:c r="N725" s="10" t="str">
        <x:v>Предсказать ответ по заголовку и объяснить его своими словами.</x:v>
      </x:c>
      <x:c r="O725" s="10" t="str">
        <x:v>Проверить содержание</x:v>
      </x:c>
      <x:c r="P725" s="10" t="str">
        <x:v>Самостоятельное видео</x:v>
      </x:c>
      <x:c r="Q725" s="9" t="str">
        <x:v>Нет</x:v>
      </x:c>
      <x:c r="R725" s="9" t="str">
        <x:v>C044</x:v>
      </x:c>
      <x:c r="S725" s="9" t="str">
        <x:v>C044</x:v>
      </x:c>
      <x:c r="T725" s="10" t="str">
        <x:v>כאן | דיגיטל - תאגיד השידור הישראלי</x:v>
      </x:c>
      <x:c r="U725" s="11" t="str">
        <x:v>https://www.youtube.com/watch?v=3TqXgYhYRPc</x:v>
      </x:c>
      <x:c r="V725" s="16" t="n">
        <x:v>46308</x:v>
      </x:c>
      <x:c r="W725" s="16"/>
      <x:c r="X725" s="10" t="str">
        <x:v>Иврит предполагается по заголовку и источнику</x:v>
      </x:c>
      <x:c r="Y725" s="10" t="str">
        <x:v>Не проверено</x:v>
      </x:c>
      <x:c r="Z725" s="10" t="str">
        <x:v>Не проверено</x:v>
      </x:c>
      <x:c r="AA725" s="10" t="str">
        <x:v>Метаданные списка; видео не просмотрено</x:v>
      </x:c>
      <x:c r="AB725" s="13" t="str">
        <x:f>IF(AND(ISNUMBER(H725),ISNUMBER(W725)),H725/MAX(1,'Обзор'!$B$4-W725),"")</x:f>
      </x:c>
      <x:c r="AC725" s="17" t="str">
        <x:v>Не решено</x:v>
      </x:c>
      <x:c r="AD725" s="17" t="str">
        <x:v>Не проверено</x:v>
      </x:c>
      <x:c r="AE725" s="17" t="str">
        <x:v>Не проверено</x:v>
      </x:c>
      <x:c r="AF725" s="17" t="str">
        <x:v>Не проверено</x:v>
      </x:c>
      <x:c r="AG725" s="17" t="str">
        <x:v>Не решено</x:v>
      </x:c>
      <x:c r="AH725" s="17" t="str">
        <x:v>Не проверено</x:v>
      </x:c>
      <x:c r="AI725" s="10" t="str">
        <x:f>IF(AC725="Отклонить","Отклонено",IF(AND(AC725="Взять",COUNTIFS(AD725:AH725,"Да")=5),"Готово","Нужна редактура"))</x:f>
        <x:v>Нужна редактура</x:v>
      </x:c>
      <x:c r="AJ725" s="17" t="str"/>
      <x:c r="AK725" s="9" t="str">
        <x:v>https://www.youtube.com/playlist?list=PLXv9BeKApRvy8VBmTJnrOC_NbkxD7uwJk</x:v>
      </x:c>
      <x:c r="AL725" s="9" t="n">
        <x:v>41</x:v>
      </x:c>
      <x:c r="AM725" s="9"/>
      <x:c r="AN725" s="9"/>
    </x:row>
    <x:row r="726" ht="60" customHeight="1">
      <x:c r="A726" s="9" t="str">
        <x:v>k3O4BuflCBo</x:v>
      </x:c>
      <x:c r="B726" s="10" t="str">
        <x:v>איך האוזניות שינו את המוזיקה? | כאן סקרנים</x:v>
      </x:c>
      <x:c r="C726" s="10" t="str">
        <x:v>Вопросы о мире</x:v>
      </x:c>
      <x:c r="D726" s="9" t="str">
        <x:v>Образование</x:v>
      </x:c>
      <x:c r="E726" s="10" t="str">
        <x:v>Любознательные; изучающие язык; короткий просмотр</x:v>
      </x:c>
      <x:c r="F726" s="10" t="str">
        <x:v>B1–B2 (гипотеза)</x:v>
      </x:c>
      <x:c r="G726" s="12" t="n">
        <x:v>8.8</x:v>
      </x:c>
      <x:c r="H726" s="14" t="n">
        <x:v>153775</x:v>
      </x:c>
      <x:c r="I726" s="15" t="str">
        <x:v>Точный счётчик метаданных видео</x:v>
      </x:c>
      <x:c r="J726" s="14" t="n">
        <x:v>153000</x:v>
      </x:c>
      <x:c r="K726" s="14" t="n">
        <x:v>83500</x:v>
      </x:c>
      <x:c r="L726" s="12" t="n">
        <x:f>IF(COUNT(J726:K726)=2,IF(K726=0,"",J726/K726),"")</x:f>
        <x:v>1.8323353293413174</x:v>
      </x:c>
      <x:c r="M726" s="10" t="str">
        <x:v>Завершённый короткий просмотр около 9 мин. Просмотры в списке выше медианы выборки этого цикла в 1.83 раза. Один понятный вопрос даёт завершённый короткий выпуск и повод поделиться им.</x:v>
      </x:c>
      <x:c r="N726" s="10" t="str">
        <x:v>Предсказать ответ по заголовку и объяснить его своими словами.</x:v>
      </x:c>
      <x:c r="O726" s="10" t="str">
        <x:v>Проверить содержание</x:v>
      </x:c>
      <x:c r="P726" s="10" t="str">
        <x:v>Самостоятельное видео</x:v>
      </x:c>
      <x:c r="Q726" s="9" t="str">
        <x:v>Нет</x:v>
      </x:c>
      <x:c r="R726" s="9" t="str">
        <x:v>C044</x:v>
      </x:c>
      <x:c r="S726" s="9" t="str">
        <x:v>C044</x:v>
      </x:c>
      <x:c r="T726" s="10" t="str">
        <x:v>כאן | דיגיטל - תאגיד השידור הישראלי</x:v>
      </x:c>
      <x:c r="U726" s="11" t="str">
        <x:v>https://www.youtube.com/watch?v=k3O4BuflCBo</x:v>
      </x:c>
      <x:c r="V726" s="16" t="n">
        <x:v>46308</x:v>
      </x:c>
      <x:c r="W726" s="16" t="n">
        <x:v>44027</x:v>
      </x:c>
      <x:c r="X726" s="10" t="str">
        <x:v>Иврит предполагается по заголовку и источнику</x:v>
      </x:c>
      <x:c r="Y726" s="10" t="str">
        <x:v>Ручная дорожка HE по метаданным</x:v>
      </x:c>
      <x:c r="Z726" s="10" t="str">
        <x:v>Разрешено по метаданным</x:v>
      </x:c>
      <x:c r="AA726" s="10" t="str">
        <x:v>Метаданные видео; воспроизведение и содержание не проверены</x:v>
      </x:c>
      <x:c r="AB726" s="13" t="n">
        <x:f>IF(AND(ISNUMBER(H726),ISNUMBER(W726)),H726/MAX(1,'Обзор'!$B$4-W726),"")</x:f>
        <x:v>67.41560718982902</x:v>
      </x:c>
      <x:c r="AC726" s="17" t="str">
        <x:v>Не решено</x:v>
      </x:c>
      <x:c r="AD726" s="17" t="str">
        <x:v>Не проверено</x:v>
      </x:c>
      <x:c r="AE726" s="17" t="str">
        <x:v>Не проверено</x:v>
      </x:c>
      <x:c r="AF726" s="17" t="str">
        <x:v>Не проверено</x:v>
      </x:c>
      <x:c r="AG726" s="17" t="str">
        <x:v>Не решено</x:v>
      </x:c>
      <x:c r="AH726" s="17" t="str">
        <x:v>Не проверено</x:v>
      </x:c>
      <x:c r="AI726" s="10" t="str">
        <x:f>IF(AC726="Отклонить","Отклонено",IF(AND(AC726="Взять",COUNTIFS(AD726:AH726,"Да")=5),"Готово","Нужна редактура"))</x:f>
        <x:v>Нужна редактура</x:v>
      </x:c>
      <x:c r="AJ726" s="17" t="str"/>
      <x:c r="AK726" s="9" t="str">
        <x:v>https://www.youtube.com/playlist?list=PLXv9BeKApRvy8VBmTJnrOC_NbkxD7uwJk</x:v>
      </x:c>
      <x:c r="AL726" s="9" t="n">
        <x:v>42</x:v>
      </x:c>
      <x:c r="AM726" s="9"/>
      <x:c r="AN726" s="9" t="n">
        <x:v>0</x:v>
      </x:c>
    </x:row>
    <x:row r="727" ht="60" customHeight="1">
      <x:c r="A727" s="9" t="str">
        <x:v>m5EyTGAklTw</x:v>
      </x:c>
      <x:c r="B727" s="10" t="str">
        <x:v>למה בתרבויות שונות נשים מכסות את הראש? | כאן סקרנים</x:v>
      </x:c>
      <x:c r="C727" s="10" t="str">
        <x:v>Вопросы о мире</x:v>
      </x:c>
      <x:c r="D727" s="9" t="str">
        <x:v>Образование</x:v>
      </x:c>
      <x:c r="E727" s="10" t="str">
        <x:v>Любознательные; изучающие язык; короткий просмотр</x:v>
      </x:c>
      <x:c r="F727" s="10" t="str">
        <x:v>B1–B2 (гипотеза)</x:v>
      </x:c>
      <x:c r="G727" s="12" t="n">
        <x:v>7.7</x:v>
      </x:c>
      <x:c r="H727" s="14" t="n">
        <x:v>136484</x:v>
      </x:c>
      <x:c r="I727" s="15" t="str">
        <x:v>Точный счётчик метаданных видео</x:v>
      </x:c>
      <x:c r="J727" s="14" t="n">
        <x:v>136000</x:v>
      </x:c>
      <x:c r="K727" s="14" t="n">
        <x:v>83500</x:v>
      </x:c>
      <x:c r="L727" s="12" t="n">
        <x:f>IF(COUNT(J727:K727)=2,IF(K727=0,"",J727/K727),"")</x:f>
        <x:v>1.6287425149700598</x:v>
      </x:c>
      <x:c r="M727" s="10" t="str">
        <x:v>Завершённый короткий просмотр около 8 мин. Просмотры в списке выше медианы выборки этого цикла в 1.63 раза. Один понятный вопрос даёт завершённый короткий выпуск и повод поделиться им.</x:v>
      </x:c>
      <x:c r="N727" s="10" t="str">
        <x:v>Предсказать ответ по заголовку и объяснить его своими словами.</x:v>
      </x:c>
      <x:c r="O727" s="10" t="str">
        <x:v>Проверить содержание</x:v>
      </x:c>
      <x:c r="P727" s="10" t="str">
        <x:v>Самостоятельное видео</x:v>
      </x:c>
      <x:c r="Q727" s="9" t="str">
        <x:v>Нет</x:v>
      </x:c>
      <x:c r="R727" s="9" t="str">
        <x:v>C044</x:v>
      </x:c>
      <x:c r="S727" s="9" t="str">
        <x:v>C044</x:v>
      </x:c>
      <x:c r="T727" s="10" t="str">
        <x:v>כאן | דיגיטל - תאגיד השידור הישראלי</x:v>
      </x:c>
      <x:c r="U727" s="11" t="str">
        <x:v>https://www.youtube.com/watch?v=m5EyTGAklTw</x:v>
      </x:c>
      <x:c r="V727" s="16" t="n">
        <x:v>46308</x:v>
      </x:c>
      <x:c r="W727" s="16" t="n">
        <x:v>43968</x:v>
      </x:c>
      <x:c r="X727" s="10" t="str">
        <x:v>Иврит предполагается по заголовку и источнику</x:v>
      </x:c>
      <x:c r="Y727" s="10" t="str">
        <x:v>Ручная дорожка HE по метаданным</x:v>
      </x:c>
      <x:c r="Z727" s="10" t="str">
        <x:v>Разрешено по метаданным</x:v>
      </x:c>
      <x:c r="AA727" s="10" t="str">
        <x:v>Метаданные видео; воспроизведение и содержание не проверены</x:v>
      </x:c>
      <x:c r="AB727" s="13" t="n">
        <x:f>IF(AND(ISNUMBER(H727),ISNUMBER(W727)),H727/MAX(1,'Обзор'!$B$4-W727),"")</x:f>
        <x:v>58.32649572649573</x:v>
      </x:c>
      <x:c r="AC727" s="17" t="str">
        <x:v>Не решено</x:v>
      </x:c>
      <x:c r="AD727" s="17" t="str">
        <x:v>Не проверено</x:v>
      </x:c>
      <x:c r="AE727" s="17" t="str">
        <x:v>Не проверено</x:v>
      </x:c>
      <x:c r="AF727" s="17" t="str">
        <x:v>Не проверено</x:v>
      </x:c>
      <x:c r="AG727" s="17" t="str">
        <x:v>Не решено</x:v>
      </x:c>
      <x:c r="AH727" s="17" t="str">
        <x:v>Не проверено</x:v>
      </x:c>
      <x:c r="AI727" s="10" t="str">
        <x:f>IF(AC727="Отклонить","Отклонено",IF(AND(AC727="Взять",COUNTIFS(AD727:AH727,"Да")=5),"Готово","Нужна редактура"))</x:f>
        <x:v>Нужна редактура</x:v>
      </x:c>
      <x:c r="AJ727" s="17" t="str"/>
      <x:c r="AK727" s="9" t="str">
        <x:v>https://www.youtube.com/playlist?list=PLXv9BeKApRvy8VBmTJnrOC_NbkxD7uwJk</x:v>
      </x:c>
      <x:c r="AL727" s="9" t="n">
        <x:v>43</x:v>
      </x:c>
      <x:c r="AM727" s="9"/>
      <x:c r="AN727" s="9" t="n">
        <x:v>0</x:v>
      </x:c>
    </x:row>
    <x:row r="728" ht="60" customHeight="1">
      <x:c r="A728" s="9" t="str">
        <x:v>8Fe0RkiWvkw</x:v>
      </x:c>
      <x:c r="B728" s="10" t="str">
        <x:v>איך השפיעו היפנים על המוזיקה המזרחית בישראל? | כאן סקרנים</x:v>
      </x:c>
      <x:c r="C728" s="10" t="str">
        <x:v>Вопросы о мире</x:v>
      </x:c>
      <x:c r="D728" s="9" t="str">
        <x:v>Образование</x:v>
      </x:c>
      <x:c r="E728" s="10" t="str">
        <x:v>Любознательные; изучающие язык; короткий просмотр</x:v>
      </x:c>
      <x:c r="F728" s="10" t="str">
        <x:v>B1–B2 (гипотеза)</x:v>
      </x:c>
      <x:c r="G728" s="12" t="n">
        <x:v>6.3</x:v>
      </x:c>
      <x:c r="H728" s="14" t="n">
        <x:v>56000</x:v>
      </x:c>
      <x:c r="I728" s="15" t="str">
        <x:v>Округлённый счётчик в списке YouTube</x:v>
      </x:c>
      <x:c r="J728" s="14" t="n">
        <x:v>56000</x:v>
      </x:c>
      <x:c r="K728" s="14" t="n">
        <x:v>83500</x:v>
      </x:c>
      <x:c r="L728" s="12" t="n">
        <x:f>IF(COUNT(J728:K728)=2,IF(K728=0,"",J728/K728),"")</x:f>
        <x:v>0.6706586826347305</x:v>
      </x:c>
      <x:c r="M728" s="10" t="str">
        <x:v>Завершённый короткий просмотр около 6 мин. Один понятный вопрос даёт завершённый короткий выпуск и повод поделиться им.</x:v>
      </x:c>
      <x:c r="N728" s="10" t="str">
        <x:v>Предсказать ответ по заголовку и объяснить его своими словами.</x:v>
      </x:c>
      <x:c r="O728" s="10" t="str">
        <x:v>Проверить содержание</x:v>
      </x:c>
      <x:c r="P728" s="10" t="str">
        <x:v>Самостоятельное видео</x:v>
      </x:c>
      <x:c r="Q728" s="9" t="str">
        <x:v>Нет</x:v>
      </x:c>
      <x:c r="R728" s="9" t="str">
        <x:v>C044</x:v>
      </x:c>
      <x:c r="S728" s="9" t="str">
        <x:v>C044</x:v>
      </x:c>
      <x:c r="T728" s="10" t="str">
        <x:v>כאן | דיגיטל - תאגיד השידור הישראלי</x:v>
      </x:c>
      <x:c r="U728" s="11" t="str">
        <x:v>https://www.youtube.com/watch?v=8Fe0RkiWvkw</x:v>
      </x:c>
      <x:c r="V728" s="16" t="n">
        <x:v>46308</x:v>
      </x:c>
      <x:c r="W728" s="16"/>
      <x:c r="X728" s="10" t="str">
        <x:v>Иврит предполагается по заголовку и источнику</x:v>
      </x:c>
      <x:c r="Y728" s="10" t="str">
        <x:v>Не проверено</x:v>
      </x:c>
      <x:c r="Z728" s="10" t="str">
        <x:v>Не проверено</x:v>
      </x:c>
      <x:c r="AA728" s="10" t="str">
        <x:v>Метаданные списка; видео не просмотрено</x:v>
      </x:c>
      <x:c r="AB728" s="13" t="str">
        <x:f>IF(AND(ISNUMBER(H728),ISNUMBER(W728)),H728/MAX(1,'Обзор'!$B$4-W728),"")</x:f>
      </x:c>
      <x:c r="AC728" s="17" t="str">
        <x:v>Не решено</x:v>
      </x:c>
      <x:c r="AD728" s="17" t="str">
        <x:v>Не проверено</x:v>
      </x:c>
      <x:c r="AE728" s="17" t="str">
        <x:v>Не проверено</x:v>
      </x:c>
      <x:c r="AF728" s="17" t="str">
        <x:v>Не проверено</x:v>
      </x:c>
      <x:c r="AG728" s="17" t="str">
        <x:v>Не решено</x:v>
      </x:c>
      <x:c r="AH728" s="17" t="str">
        <x:v>Не проверено</x:v>
      </x:c>
      <x:c r="AI728" s="10" t="str">
        <x:f>IF(AC728="Отклонить","Отклонено",IF(AND(AC728="Взять",COUNTIFS(AD728:AH728,"Да")=5),"Готово","Нужна редактура"))</x:f>
        <x:v>Нужна редактура</x:v>
      </x:c>
      <x:c r="AJ728" s="17" t="str"/>
      <x:c r="AK728" s="9" t="str">
        <x:v>https://www.youtube.com/playlist?list=PLXv9BeKApRvy8VBmTJnrOC_NbkxD7uwJk</x:v>
      </x:c>
      <x:c r="AL728" s="9" t="n">
        <x:v>44</x:v>
      </x:c>
      <x:c r="AM728" s="9"/>
      <x:c r="AN728" s="9"/>
    </x:row>
    <x:row r="729" ht="60" customHeight="1">
      <x:c r="A729" s="9" t="str">
        <x:v>I2kqqHLIv7o</x:v>
      </x:c>
      <x:c r="B729" s="10" t="str">
        <x:v>מקור ארוך וחליפות טוקסידו - האבולוציה של מדי הרופאים | כאן סקרנים</x:v>
      </x:c>
      <x:c r="C729" s="10" t="str">
        <x:v>Вопросы о мире</x:v>
      </x:c>
      <x:c r="D729" s="9" t="str">
        <x:v>Образование</x:v>
      </x:c>
      <x:c r="E729" s="10" t="str">
        <x:v>Любознательные; изучающие язык; короткий просмотр</x:v>
      </x:c>
      <x:c r="F729" s="10" t="str">
        <x:v>B1–B2 (гипотеза)</x:v>
      </x:c>
      <x:c r="G729" s="12" t="n">
        <x:v>6.4</x:v>
      </x:c>
      <x:c r="H729" s="14" t="n">
        <x:v>75000</x:v>
      </x:c>
      <x:c r="I729" s="15" t="str">
        <x:v>Округлённый счётчик в списке YouTube</x:v>
      </x:c>
      <x:c r="J729" s="14" t="n">
        <x:v>75000</x:v>
      </x:c>
      <x:c r="K729" s="14" t="n">
        <x:v>83500</x:v>
      </x:c>
      <x:c r="L729" s="12" t="n">
        <x:f>IF(COUNT(J729:K729)=2,IF(K729=0,"",J729/K729),"")</x:f>
        <x:v>0.8982035928143712</x:v>
      </x:c>
      <x:c r="M729" s="10" t="str">
        <x:v>Завершённый короткий просмотр около 6 мин. Один понятный вопрос даёт завершённый короткий выпуск и повод поделиться им.</x:v>
      </x:c>
      <x:c r="N729" s="10" t="str">
        <x:v>Предсказать ответ по заголовку и объяснить его своими словами.</x:v>
      </x:c>
      <x:c r="O729" s="10" t="str">
        <x:v>Проверить содержание</x:v>
      </x:c>
      <x:c r="P729" s="10" t="str">
        <x:v>Самостоятельное видео</x:v>
      </x:c>
      <x:c r="Q729" s="9" t="str">
        <x:v>Нет</x:v>
      </x:c>
      <x:c r="R729" s="9" t="str">
        <x:v>C044</x:v>
      </x:c>
      <x:c r="S729" s="9" t="str">
        <x:v>C044</x:v>
      </x:c>
      <x:c r="T729" s="10" t="str">
        <x:v>כאן | דיגיטל - תאגיד השידור הישראלי</x:v>
      </x:c>
      <x:c r="U729" s="11" t="str">
        <x:v>https://www.youtube.com/watch?v=I2kqqHLIv7o</x:v>
      </x:c>
      <x:c r="V729" s="16" t="n">
        <x:v>46308</x:v>
      </x:c>
      <x:c r="W729" s="16"/>
      <x:c r="X729" s="10" t="str">
        <x:v>Иврит предполагается по заголовку и источнику</x:v>
      </x:c>
      <x:c r="Y729" s="10" t="str">
        <x:v>Не проверено</x:v>
      </x:c>
      <x:c r="Z729" s="10" t="str">
        <x:v>Не проверено</x:v>
      </x:c>
      <x:c r="AA729" s="10" t="str">
        <x:v>Метаданные списка; видео не просмотрено</x:v>
      </x:c>
      <x:c r="AB729" s="13" t="str">
        <x:f>IF(AND(ISNUMBER(H729),ISNUMBER(W729)),H729/MAX(1,'Обзор'!$B$4-W729),"")</x:f>
      </x:c>
      <x:c r="AC729" s="17" t="str">
        <x:v>Не решено</x:v>
      </x:c>
      <x:c r="AD729" s="17" t="str">
        <x:v>Не проверено</x:v>
      </x:c>
      <x:c r="AE729" s="17" t="str">
        <x:v>Не проверено</x:v>
      </x:c>
      <x:c r="AF729" s="17" t="str">
        <x:v>Не проверено</x:v>
      </x:c>
      <x:c r="AG729" s="17" t="str">
        <x:v>Не решено</x:v>
      </x:c>
      <x:c r="AH729" s="17" t="str">
        <x:v>Не проверено</x:v>
      </x:c>
      <x:c r="AI729" s="10" t="str">
        <x:f>IF(AC729="Отклонить","Отклонено",IF(AND(AC729="Взять",COUNTIFS(AD729:AH729,"Да")=5),"Готово","Нужна редактура"))</x:f>
        <x:v>Нужна редактура</x:v>
      </x:c>
      <x:c r="AJ729" s="17" t="str"/>
      <x:c r="AK729" s="9" t="str">
        <x:v>https://www.youtube.com/playlist?list=PLXv9BeKApRvy8VBmTJnrOC_NbkxD7uwJk</x:v>
      </x:c>
      <x:c r="AL729" s="9" t="n">
        <x:v>45</x:v>
      </x:c>
      <x:c r="AM729" s="9"/>
      <x:c r="AN729" s="9"/>
    </x:row>
    <x:row r="730" ht="60" customHeight="1">
      <x:c r="A730" s="9" t="str">
        <x:v>P90VExrv144</x:v>
      </x:c>
      <x:c r="B730" s="10" t="str">
        <x:v>האם אנחנו בדרך לבייבי בום קורונה? | כאן סקרנים</x:v>
      </x:c>
      <x:c r="C730" s="10" t="str">
        <x:v>Вопросы о мире</x:v>
      </x:c>
      <x:c r="D730" s="9" t="str">
        <x:v>Образование</x:v>
      </x:c>
      <x:c r="E730" s="10" t="str">
        <x:v>Любознательные; изучающие язык; короткий просмотр</x:v>
      </x:c>
      <x:c r="F730" s="10" t="str">
        <x:v>B1–B2 (гипотеза)</x:v>
      </x:c>
      <x:c r="G730" s="12" t="n">
        <x:v>4.4</x:v>
      </x:c>
      <x:c r="H730" s="14" t="n">
        <x:v>59000</x:v>
      </x:c>
      <x:c r="I730" s="15" t="str">
        <x:v>Округлённый счётчик в списке YouTube</x:v>
      </x:c>
      <x:c r="J730" s="14" t="n">
        <x:v>59000</x:v>
      </x:c>
      <x:c r="K730" s="14" t="n">
        <x:v>83500</x:v>
      </x:c>
      <x:c r="L730" s="12" t="n">
        <x:f>IF(COUNT(J730:K730)=2,IF(K730=0,"",J730/K730),"")</x:f>
        <x:v>0.7065868263473054</x:v>
      </x:c>
      <x:c r="M730" s="10" t="str">
        <x:v>Завершённый короткий просмотр около 4 мин. Один понятный вопрос даёт завершённый короткий выпуск и повод поделиться им.</x:v>
      </x:c>
      <x:c r="N730" s="10" t="str">
        <x:v>Предсказать ответ по заголовку и объяснить его своими словами.</x:v>
      </x:c>
      <x:c r="O730" s="10" t="str">
        <x:v>Проверить содержание</x:v>
      </x:c>
      <x:c r="P730" s="10" t="str">
        <x:v>Самостоятельное видео</x:v>
      </x:c>
      <x:c r="Q730" s="9" t="str">
        <x:v>Нет</x:v>
      </x:c>
      <x:c r="R730" s="9" t="str">
        <x:v>C044</x:v>
      </x:c>
      <x:c r="S730" s="9" t="str">
        <x:v>C044</x:v>
      </x:c>
      <x:c r="T730" s="10" t="str">
        <x:v>כאן | דיגיטל - תאגיד השידור הישראלי</x:v>
      </x:c>
      <x:c r="U730" s="11" t="str">
        <x:v>https://www.youtube.com/watch?v=P90VExrv144</x:v>
      </x:c>
      <x:c r="V730" s="16" t="n">
        <x:v>46308</x:v>
      </x:c>
      <x:c r="W730" s="16"/>
      <x:c r="X730" s="10" t="str">
        <x:v>Иврит предполагается по заголовку и источнику</x:v>
      </x:c>
      <x:c r="Y730" s="10" t="str">
        <x:v>Не проверено</x:v>
      </x:c>
      <x:c r="Z730" s="10" t="str">
        <x:v>Не проверено</x:v>
      </x:c>
      <x:c r="AA730" s="10" t="str">
        <x:v>Метаданные списка; видео не просмотрено</x:v>
      </x:c>
      <x:c r="AB730" s="13" t="str">
        <x:f>IF(AND(ISNUMBER(H730),ISNUMBER(W730)),H730/MAX(1,'Обзор'!$B$4-W730),"")</x:f>
      </x:c>
      <x:c r="AC730" s="17" t="str">
        <x:v>Не решено</x:v>
      </x:c>
      <x:c r="AD730" s="17" t="str">
        <x:v>Не проверено</x:v>
      </x:c>
      <x:c r="AE730" s="17" t="str">
        <x:v>Не проверено</x:v>
      </x:c>
      <x:c r="AF730" s="17" t="str">
        <x:v>Не проверено</x:v>
      </x:c>
      <x:c r="AG730" s="17" t="str">
        <x:v>Не решено</x:v>
      </x:c>
      <x:c r="AH730" s="17" t="str">
        <x:v>Не проверено</x:v>
      </x:c>
      <x:c r="AI730" s="10" t="str">
        <x:f>IF(AC730="Отклонить","Отклонено",IF(AND(AC730="Взять",COUNTIFS(AD730:AH730,"Да")=5),"Готово","Нужна редактура"))</x:f>
        <x:v>Нужна редактура</x:v>
      </x:c>
      <x:c r="AJ730" s="17" t="str"/>
      <x:c r="AK730" s="9" t="str">
        <x:v>https://www.youtube.com/playlist?list=PLXv9BeKApRvy8VBmTJnrOC_NbkxD7uwJk</x:v>
      </x:c>
      <x:c r="AL730" s="9" t="n">
        <x:v>46</x:v>
      </x:c>
      <x:c r="AM730" s="9"/>
      <x:c r="AN730" s="9"/>
    </x:row>
    <x:row r="731" ht="60" customHeight="1">
      <x:c r="A731" s="9" t="str">
        <x:v>Ne4zBjeBcOU</x:v>
      </x:c>
      <x:c r="B731" s="10" t="str">
        <x:v>מהי טכנולוגיית ה-5G ואיך היא תשפיע על חיינו? | זה אמיתי?</x:v>
      </x:c>
      <x:c r="C731" s="10" t="str">
        <x:v>Вопросы о мире</x:v>
      </x:c>
      <x:c r="D731" s="9" t="str">
        <x:v>Образование</x:v>
      </x:c>
      <x:c r="E731" s="10" t="str">
        <x:v>Любознательные; изучающие язык; короткий просмотр</x:v>
      </x:c>
      <x:c r="F731" s="10" t="str">
        <x:v>B1–B2 (гипотеза)</x:v>
      </x:c>
      <x:c r="G731" s="12" t="n">
        <x:v>11</x:v>
      </x:c>
      <x:c r="H731" s="14" t="n">
        <x:v>205538</x:v>
      </x:c>
      <x:c r="I731" s="15" t="str">
        <x:v>Точный счётчик метаданных видео</x:v>
      </x:c>
      <x:c r="J731" s="14" t="n">
        <x:v>205000</x:v>
      </x:c>
      <x:c r="K731" s="14" t="n">
        <x:v>83500</x:v>
      </x:c>
      <x:c r="L731" s="12" t="n">
        <x:f>IF(COUNT(J731:K731)=2,IF(K731=0,"",J731/K731),"")</x:f>
        <x:v>2.4550898203592815</x:v>
      </x:c>
      <x:c r="M731" s="10" t="str">
        <x:v>Тема: מהי טכנולוגיית ה-5G ואיך היא תשפיע על חיינו? | זה אמיתי?. Просмотры в списке выше медианы выборки этого цикла в 2.46 раза. Один понятный вопрос даёт завершённый короткий выпуск и повод поделиться им.</x:v>
      </x:c>
      <x:c r="N731" s="10" t="str">
        <x:v>Предсказать ответ по заголовку и объяснить его своими словами.</x:v>
      </x:c>
      <x:c r="O731" s="10" t="str">
        <x:v>Проверить содержание</x:v>
      </x:c>
      <x:c r="P731" s="10" t="str">
        <x:v>Самостоятельное видео</x:v>
      </x:c>
      <x:c r="Q731" s="9" t="str">
        <x:v>Нет</x:v>
      </x:c>
      <x:c r="R731" s="9" t="str">
        <x:v>C044</x:v>
      </x:c>
      <x:c r="S731" s="9" t="str">
        <x:v>C044</x:v>
      </x:c>
      <x:c r="T731" s="10" t="str">
        <x:v>כאן | דיגיטל - תאגיד השידור הישראלי</x:v>
      </x:c>
      <x:c r="U731" s="11" t="str">
        <x:v>https://www.youtube.com/watch?v=Ne4zBjeBcOU</x:v>
      </x:c>
      <x:c r="V731" s="16" t="n">
        <x:v>46308</x:v>
      </x:c>
      <x:c r="W731" s="16" t="n">
        <x:v>43954</x:v>
      </x:c>
      <x:c r="X731" s="10" t="str">
        <x:v>Иврит предполагается по заголовку и источнику</x:v>
      </x:c>
      <x:c r="Y731" s="10" t="str">
        <x:v>Ручная дорожка HE по метаданным</x:v>
      </x:c>
      <x:c r="Z731" s="10" t="str">
        <x:v>Разрешено по метаданным</x:v>
      </x:c>
      <x:c r="AA731" s="10" t="str">
        <x:v>Метаданные видео; воспроизведение и содержание не проверены</x:v>
      </x:c>
      <x:c r="AB731" s="13" t="n">
        <x:f>IF(AND(ISNUMBER(H731),ISNUMBER(W731)),H731/MAX(1,'Обзор'!$B$4-W731),"")</x:f>
        <x:v>87.3143585386576</x:v>
      </x:c>
      <x:c r="AC731" s="17" t="str">
        <x:v>Не решено</x:v>
      </x:c>
      <x:c r="AD731" s="17" t="str">
        <x:v>Не проверено</x:v>
      </x:c>
      <x:c r="AE731" s="17" t="str">
        <x:v>Не проверено</x:v>
      </x:c>
      <x:c r="AF731" s="17" t="str">
        <x:v>Не проверено</x:v>
      </x:c>
      <x:c r="AG731" s="17" t="str">
        <x:v>Не решено</x:v>
      </x:c>
      <x:c r="AH731" s="17" t="str">
        <x:v>Не проверено</x:v>
      </x:c>
      <x:c r="AI731" s="10" t="str">
        <x:f>IF(AC731="Отклонить","Отклонено",IF(AND(AC731="Взять",COUNTIFS(AD731:AH731,"Да")=5),"Готово","Нужна редактура"))</x:f>
        <x:v>Нужна редактура</x:v>
      </x:c>
      <x:c r="AJ731" s="17" t="str"/>
      <x:c r="AK731" s="9" t="str">
        <x:v>https://www.youtube.com/playlist?list=PLXv9BeKApRvy8VBmTJnrOC_NbkxD7uwJk</x:v>
      </x:c>
      <x:c r="AL731" s="9" t="n">
        <x:v>47</x:v>
      </x:c>
      <x:c r="AM731" s="9"/>
      <x:c r="AN731" s="9" t="n">
        <x:v>0</x:v>
      </x:c>
    </x:row>
    <x:row r="732" ht="60" customHeight="1">
      <x:c r="A732" s="9" t="str">
        <x:v>K-sFtVfCrXw</x:v>
      </x:c>
      <x:c r="B732" s="10" t="str">
        <x:v>תולדות המארש הצה"לי 🎺| כאן סקרנים</x:v>
      </x:c>
      <x:c r="C732" s="10" t="str">
        <x:v>Вопросы о мире</x:v>
      </x:c>
      <x:c r="D732" s="9" t="str">
        <x:v>Образование</x:v>
      </x:c>
      <x:c r="E732" s="10" t="str">
        <x:v>Любознательные; изучающие язык; короткий просмотр</x:v>
      </x:c>
      <x:c r="F732" s="10" t="str">
        <x:v>B1–B2 (гипотеза)</x:v>
      </x:c>
      <x:c r="G732" s="12" t="n">
        <x:v>4.4</x:v>
      </x:c>
      <x:c r="H732" s="14" t="n">
        <x:v>53000</x:v>
      </x:c>
      <x:c r="I732" s="15" t="str">
        <x:v>Округлённый счётчик в списке YouTube</x:v>
      </x:c>
      <x:c r="J732" s="14" t="n">
        <x:v>53000</x:v>
      </x:c>
      <x:c r="K732" s="14" t="n">
        <x:v>83500</x:v>
      </x:c>
      <x:c r="L732" s="12" t="n">
        <x:f>IF(COUNT(J732:K732)=2,IF(K732=0,"",J732/K732),"")</x:f>
        <x:v>0.6347305389221557</x:v>
      </x:c>
      <x:c r="M732" s="10" t="str">
        <x:v>Завершённый короткий просмотр около 4 мин. Один понятный вопрос даёт завершённый короткий выпуск и повод поделиться им.</x:v>
      </x:c>
      <x:c r="N732" s="10" t="str">
        <x:v>Предсказать ответ по заголовку и объяснить его своими словами.</x:v>
      </x:c>
      <x:c r="O732" s="10" t="str">
        <x:v>Проверить содержание</x:v>
      </x:c>
      <x:c r="P732" s="10" t="str">
        <x:v>Самостоятельное видео</x:v>
      </x:c>
      <x:c r="Q732" s="9" t="str">
        <x:v>Нет</x:v>
      </x:c>
      <x:c r="R732" s="9" t="str">
        <x:v>C044</x:v>
      </x:c>
      <x:c r="S732" s="9" t="str">
        <x:v>C044</x:v>
      </x:c>
      <x:c r="T732" s="10" t="str">
        <x:v>כאן | דיגיטל - תאגיד השידור הישראלי</x:v>
      </x:c>
      <x:c r="U732" s="11" t="str">
        <x:v>https://www.youtube.com/watch?v=K-sFtVfCrXw</x:v>
      </x:c>
      <x:c r="V732" s="16" t="n">
        <x:v>46308</x:v>
      </x:c>
      <x:c r="W732" s="16"/>
      <x:c r="X732" s="10" t="str">
        <x:v>Иврит предполагается по заголовку и источнику</x:v>
      </x:c>
      <x:c r="Y732" s="10" t="str">
        <x:v>Не проверено</x:v>
      </x:c>
      <x:c r="Z732" s="10" t="str">
        <x:v>Не проверено</x:v>
      </x:c>
      <x:c r="AA732" s="10" t="str">
        <x:v>Метаданные списка; видео не просмотрено</x:v>
      </x:c>
      <x:c r="AB732" s="13" t="str">
        <x:f>IF(AND(ISNUMBER(H732),ISNUMBER(W732)),H732/MAX(1,'Обзор'!$B$4-W732),"")</x:f>
      </x:c>
      <x:c r="AC732" s="17" t="str">
        <x:v>Не решено</x:v>
      </x:c>
      <x:c r="AD732" s="17" t="str">
        <x:v>Не проверено</x:v>
      </x:c>
      <x:c r="AE732" s="17" t="str">
        <x:v>Не проверено</x:v>
      </x:c>
      <x:c r="AF732" s="17" t="str">
        <x:v>Не проверено</x:v>
      </x:c>
      <x:c r="AG732" s="17" t="str">
        <x:v>Не решено</x:v>
      </x:c>
      <x:c r="AH732" s="17" t="str">
        <x:v>Не проверено</x:v>
      </x:c>
      <x:c r="AI732" s="10" t="str">
        <x:f>IF(AC732="Отклонить","Отклонено",IF(AND(AC732="Взять",COUNTIFS(AD732:AH732,"Да")=5),"Готово","Нужна редактура"))</x:f>
        <x:v>Нужна редактура</x:v>
      </x:c>
      <x:c r="AJ732" s="17" t="str"/>
      <x:c r="AK732" s="9" t="str">
        <x:v>https://www.youtube.com/playlist?list=PLXv9BeKApRvy8VBmTJnrOC_NbkxD7uwJk</x:v>
      </x:c>
      <x:c r="AL732" s="9" t="n">
        <x:v>48</x:v>
      </x:c>
      <x:c r="AM732" s="9"/>
      <x:c r="AN732" s="9"/>
    </x:row>
    <x:row r="733" ht="60" customHeight="1">
      <x:c r="A733" s="9" t="str">
        <x:v>LEFc7VGjY5s</x:v>
      </x:c>
      <x:c r="B733" s="10" t="str">
        <x:v>למה אנחנו אובססיביים למפלס הכנרת? |  כאן סקרנים</x:v>
      </x:c>
      <x:c r="C733" s="10" t="str">
        <x:v>Вопросы о мире</x:v>
      </x:c>
      <x:c r="D733" s="9" t="str">
        <x:v>Образование</x:v>
      </x:c>
      <x:c r="E733" s="10" t="str">
        <x:v>Любознательные; изучающие язык; короткий просмотр</x:v>
      </x:c>
      <x:c r="F733" s="10" t="str">
        <x:v>B1–B2 (гипотеза)</x:v>
      </x:c>
      <x:c r="G733" s="12" t="n">
        <x:v>6.6</x:v>
      </x:c>
      <x:c r="H733" s="14" t="n">
        <x:v>54000</x:v>
      </x:c>
      <x:c r="I733" s="15" t="str">
        <x:v>Округлённый счётчик в списке YouTube</x:v>
      </x:c>
      <x:c r="J733" s="14" t="n">
        <x:v>54000</x:v>
      </x:c>
      <x:c r="K733" s="14" t="n">
        <x:v>83500</x:v>
      </x:c>
      <x:c r="L733" s="12" t="n">
        <x:f>IF(COUNT(J733:K733)=2,IF(K733=0,"",J733/K733),"")</x:f>
        <x:v>0.6467065868263473</x:v>
      </x:c>
      <x:c r="M733" s="10" t="str">
        <x:v>Завершённый короткий просмотр около 7 мин. Один понятный вопрос даёт завершённый короткий выпуск и повод поделиться им.</x:v>
      </x:c>
      <x:c r="N733" s="10" t="str">
        <x:v>Предсказать ответ по заголовку и объяснить его своими словами.</x:v>
      </x:c>
      <x:c r="O733" s="10" t="str">
        <x:v>Проверить содержание</x:v>
      </x:c>
      <x:c r="P733" s="10" t="str">
        <x:v>Самостоятельное видео</x:v>
      </x:c>
      <x:c r="Q733" s="9" t="str">
        <x:v>Нет</x:v>
      </x:c>
      <x:c r="R733" s="9" t="str">
        <x:v>C044</x:v>
      </x:c>
      <x:c r="S733" s="9" t="str">
        <x:v>C044</x:v>
      </x:c>
      <x:c r="T733" s="10" t="str">
        <x:v>כאן | דיגיטל - תאגיד השידור הישראלי</x:v>
      </x:c>
      <x:c r="U733" s="11" t="str">
        <x:v>https://www.youtube.com/watch?v=LEFc7VGjY5s</x:v>
      </x:c>
      <x:c r="V733" s="16" t="n">
        <x:v>46308</x:v>
      </x:c>
      <x:c r="W733" s="16"/>
      <x:c r="X733" s="10" t="str">
        <x:v>Иврит предполагается по заголовку и источнику</x:v>
      </x:c>
      <x:c r="Y733" s="10" t="str">
        <x:v>Не проверено</x:v>
      </x:c>
      <x:c r="Z733" s="10" t="str">
        <x:v>Не проверено</x:v>
      </x:c>
      <x:c r="AA733" s="10" t="str">
        <x:v>Метаданные списка; видео не просмотрено</x:v>
      </x:c>
      <x:c r="AB733" s="13" t="str">
        <x:f>IF(AND(ISNUMBER(H733),ISNUMBER(W733)),H733/MAX(1,'Обзор'!$B$4-W733),"")</x:f>
      </x:c>
      <x:c r="AC733" s="17" t="str">
        <x:v>Не решено</x:v>
      </x:c>
      <x:c r="AD733" s="17" t="str">
        <x:v>Не проверено</x:v>
      </x:c>
      <x:c r="AE733" s="17" t="str">
        <x:v>Не проверено</x:v>
      </x:c>
      <x:c r="AF733" s="17" t="str">
        <x:v>Не проверено</x:v>
      </x:c>
      <x:c r="AG733" s="17" t="str">
        <x:v>Не решено</x:v>
      </x:c>
      <x:c r="AH733" s="17" t="str">
        <x:v>Не проверено</x:v>
      </x:c>
      <x:c r="AI733" s="10" t="str">
        <x:f>IF(AC733="Отклонить","Отклонено",IF(AND(AC733="Взять",COUNTIFS(AD733:AH733,"Да")=5),"Готово","Нужна редактура"))</x:f>
        <x:v>Нужна редактура</x:v>
      </x:c>
      <x:c r="AJ733" s="17" t="str"/>
      <x:c r="AK733" s="9" t="str">
        <x:v>https://www.youtube.com/playlist?list=PLXv9BeKApRvy8VBmTJnrOC_NbkxD7uwJk</x:v>
      </x:c>
      <x:c r="AL733" s="9" t="n">
        <x:v>49</x:v>
      </x:c>
      <x:c r="AM733" s="9"/>
      <x:c r="AN733" s="9"/>
    </x:row>
    <x:row r="734" ht="60" customHeight="1">
      <x:c r="A734" s="9" t="str">
        <x:v>yor-TywKHDU</x:v>
      </x:c>
      <x:c r="B734" s="10" t="str">
        <x:v>האם בני ישראל בנו את הפירמידות במצרים? | כאן סקרנים</x:v>
      </x:c>
      <x:c r="C734" s="10" t="str">
        <x:v>Вопросы о мире</x:v>
      </x:c>
      <x:c r="D734" s="9" t="str">
        <x:v>Образование</x:v>
      </x:c>
      <x:c r="E734" s="10" t="str">
        <x:v>Любознательные; изучающие язык; короткий просмотр</x:v>
      </x:c>
      <x:c r="F734" s="10" t="str">
        <x:v>B1–B2 (гипотеза)</x:v>
      </x:c>
      <x:c r="G734" s="12" t="n">
        <x:v>7.9</x:v>
      </x:c>
      <x:c r="H734" s="14" t="n">
        <x:v>220292</x:v>
      </x:c>
      <x:c r="I734" s="15" t="str">
        <x:v>Точный счётчик метаданных видео</x:v>
      </x:c>
      <x:c r="J734" s="14" t="n">
        <x:v>220000</x:v>
      </x:c>
      <x:c r="K734" s="14" t="n">
        <x:v>83500</x:v>
      </x:c>
      <x:c r="L734" s="12" t="n">
        <x:f>IF(COUNT(J734:K734)=2,IF(K734=0,"",J734/K734),"")</x:f>
        <x:v>2.6347305389221556</x:v>
      </x:c>
      <x:c r="M734" s="10" t="str">
        <x:v>Завершённый короткий просмотр около 8 мин. Просмотры в списке выше медианы выборки этого цикла в 2.63 раза. Один понятный вопрос даёт завершённый короткий выпуск и повод поделиться им.</x:v>
      </x:c>
      <x:c r="N734" s="10" t="str">
        <x:v>Предсказать ответ по заголовку и объяснить его своими словами.</x:v>
      </x:c>
      <x:c r="O734" s="10" t="str">
        <x:v>Проверить содержание</x:v>
      </x:c>
      <x:c r="P734" s="10" t="str">
        <x:v>Самостоятельное видео</x:v>
      </x:c>
      <x:c r="Q734" s="9" t="str">
        <x:v>Нет</x:v>
      </x:c>
      <x:c r="R734" s="9" t="str">
        <x:v>C044</x:v>
      </x:c>
      <x:c r="S734" s="9" t="str">
        <x:v>C044</x:v>
      </x:c>
      <x:c r="T734" s="10" t="str">
        <x:v>כאן | דיגיטל - תאגיד השידור הישראלי</x:v>
      </x:c>
      <x:c r="U734" s="11" t="str">
        <x:v>https://www.youtube.com/watch?v=yor-TywKHDU</x:v>
      </x:c>
      <x:c r="V734" s="16" t="n">
        <x:v>46308</x:v>
      </x:c>
      <x:c r="W734" s="16" t="n">
        <x:v>43937</x:v>
      </x:c>
      <x:c r="X734" s="10" t="str">
        <x:v>Иврит предполагается по заголовку и источнику</x:v>
      </x:c>
      <x:c r="Y734" s="10" t="str">
        <x:v>Ручная дорожка HE по метаданным</x:v>
      </x:c>
      <x:c r="Z734" s="10" t="str">
        <x:v>Разрешено по метаданным</x:v>
      </x:c>
      <x:c r="AA734" s="10" t="str">
        <x:v>Метаданные видео; воспроизведение и содержание не проверены</x:v>
      </x:c>
      <x:c r="AB734" s="13" t="n">
        <x:f>IF(AND(ISNUMBER(H734),ISNUMBER(W734)),H734/MAX(1,'Обзор'!$B$4-W734),"")</x:f>
        <x:v>92.91100801349641</x:v>
      </x:c>
      <x:c r="AC734" s="17" t="str">
        <x:v>Не решено</x:v>
      </x:c>
      <x:c r="AD734" s="17" t="str">
        <x:v>Не проверено</x:v>
      </x:c>
      <x:c r="AE734" s="17" t="str">
        <x:v>Не проверено</x:v>
      </x:c>
      <x:c r="AF734" s="17" t="str">
        <x:v>Не проверено</x:v>
      </x:c>
      <x:c r="AG734" s="17" t="str">
        <x:v>Не решено</x:v>
      </x:c>
      <x:c r="AH734" s="17" t="str">
        <x:v>Не проверено</x:v>
      </x:c>
      <x:c r="AI734" s="10" t="str">
        <x:f>IF(AC734="Отклонить","Отклонено",IF(AND(AC734="Взять",COUNTIFS(AD734:AH734,"Да")=5),"Готово","Нужна редактура"))</x:f>
        <x:v>Нужна редактура</x:v>
      </x:c>
      <x:c r="AJ734" s="17" t="str"/>
      <x:c r="AK734" s="9" t="str">
        <x:v>https://www.youtube.com/playlist?list=PLXv9BeKApRvy8VBmTJnrOC_NbkxD7uwJk</x:v>
      </x:c>
      <x:c r="AL734" s="9" t="n">
        <x:v>50</x:v>
      </x:c>
      <x:c r="AM734" s="9"/>
      <x:c r="AN734" s="9" t="n">
        <x:v>0</x:v>
      </x:c>
    </x:row>
    <x:row r="735" ht="60" customHeight="1">
      <x:c r="A735" s="9" t="str">
        <x:v>dbIuOH94nVM</x:v>
      </x:c>
      <x:c r="B735" s="10" t="str">
        <x:v>איך הפכה טורקיה למעצמה של טלנובלות? | כאן סקרנים</x:v>
      </x:c>
      <x:c r="C735" s="10" t="str">
        <x:v>Вопросы о мире</x:v>
      </x:c>
      <x:c r="D735" s="9" t="str">
        <x:v>Образование</x:v>
      </x:c>
      <x:c r="E735" s="10" t="str">
        <x:v>Любознательные; изучающие язык; короткий просмотр</x:v>
      </x:c>
      <x:c r="F735" s="10" t="str">
        <x:v>B1–B2 (гипотеза)</x:v>
      </x:c>
      <x:c r="G735" s="12" t="n">
        <x:v>5.8</x:v>
      </x:c>
      <x:c r="H735" s="14" t="n">
        <x:v>31000</x:v>
      </x:c>
      <x:c r="I735" s="15" t="str">
        <x:v>Округлённый счётчик в списке YouTube</x:v>
      </x:c>
      <x:c r="J735" s="14" t="n">
        <x:v>31000</x:v>
      </x:c>
      <x:c r="K735" s="14" t="n">
        <x:v>83500</x:v>
      </x:c>
      <x:c r="L735" s="12" t="n">
        <x:f>IF(COUNT(J735:K735)=2,IF(K735=0,"",J735/K735),"")</x:f>
        <x:v>0.3712574850299401</x:v>
      </x:c>
      <x:c r="M735" s="10" t="str">
        <x:v>Завершённый короткий просмотр около 6 мин. Просмотры ниже медианы цикла; выбирать за нишевую ценность, а не за массовый охват. Один понятный вопрос даёт завершённый короткий выпуск и повод поделиться им.</x:v>
      </x:c>
      <x:c r="N735" s="10" t="str">
        <x:v>Предсказать ответ по заголовку и объяснить его своими словами.</x:v>
      </x:c>
      <x:c r="O735" s="10" t="str">
        <x:v>Проверить содержание</x:v>
      </x:c>
      <x:c r="P735" s="10" t="str">
        <x:v>Самостоятельное видео</x:v>
      </x:c>
      <x:c r="Q735" s="9" t="str">
        <x:v>Нет</x:v>
      </x:c>
      <x:c r="R735" s="9" t="str">
        <x:v>C044</x:v>
      </x:c>
      <x:c r="S735" s="9" t="str">
        <x:v>C044</x:v>
      </x:c>
      <x:c r="T735" s="10" t="str">
        <x:v>כאן | דיגיטל - תאגיד השידור הישראלי</x:v>
      </x:c>
      <x:c r="U735" s="11" t="str">
        <x:v>https://www.youtube.com/watch?v=dbIuOH94nVM</x:v>
      </x:c>
      <x:c r="V735" s="16" t="n">
        <x:v>46308</x:v>
      </x:c>
      <x:c r="W735" s="16"/>
      <x:c r="X735" s="10" t="str">
        <x:v>Иврит предполагается по заголовку и источнику</x:v>
      </x:c>
      <x:c r="Y735" s="10" t="str">
        <x:v>Не проверено</x:v>
      </x:c>
      <x:c r="Z735" s="10" t="str">
        <x:v>Не проверено</x:v>
      </x:c>
      <x:c r="AA735" s="10" t="str">
        <x:v>Метаданные списка; видео не просмотрено</x:v>
      </x:c>
      <x:c r="AB735" s="13" t="str">
        <x:f>IF(AND(ISNUMBER(H735),ISNUMBER(W735)),H735/MAX(1,'Обзор'!$B$4-W735),"")</x:f>
      </x:c>
      <x:c r="AC735" s="17" t="str">
        <x:v>Не решено</x:v>
      </x:c>
      <x:c r="AD735" s="17" t="str">
        <x:v>Не проверено</x:v>
      </x:c>
      <x:c r="AE735" s="17" t="str">
        <x:v>Не проверено</x:v>
      </x:c>
      <x:c r="AF735" s="17" t="str">
        <x:v>Не проверено</x:v>
      </x:c>
      <x:c r="AG735" s="17" t="str">
        <x:v>Не решено</x:v>
      </x:c>
      <x:c r="AH735" s="17" t="str">
        <x:v>Не проверено</x:v>
      </x:c>
      <x:c r="AI735" s="10" t="str">
        <x:f>IF(AC735="Отклонить","Отклонено",IF(AND(AC735="Взять",COUNTIFS(AD735:AH735,"Да")=5),"Готово","Нужна редактура"))</x:f>
        <x:v>Нужна редактура</x:v>
      </x:c>
      <x:c r="AJ735" s="17" t="str"/>
      <x:c r="AK735" s="9" t="str">
        <x:v>https://www.youtube.com/playlist?list=PLXv9BeKApRvy8VBmTJnrOC_NbkxD7uwJk</x:v>
      </x:c>
      <x:c r="AL735" s="9" t="n">
        <x:v>52</x:v>
      </x:c>
      <x:c r="AM735" s="9"/>
      <x:c r="AN735" s="9"/>
    </x:row>
    <x:row r="736" ht="60" customHeight="1">
      <x:c r="A736" s="9" t="str">
        <x:v>jvoM6FfX07U</x:v>
      </x:c>
      <x:c r="B736" s="10" t="str">
        <x:v>איך נולדה מנת הקרב של צה"ל? 🥫 | כאן סקרנים</x:v>
      </x:c>
      <x:c r="C736" s="10" t="str">
        <x:v>Вопросы о мире</x:v>
      </x:c>
      <x:c r="D736" s="9" t="str">
        <x:v>Образование</x:v>
      </x:c>
      <x:c r="E736" s="10" t="str">
        <x:v>Любознательные; изучающие язык; короткий просмотр</x:v>
      </x:c>
      <x:c r="F736" s="10" t="str">
        <x:v>B1–B2 (гипотеза)</x:v>
      </x:c>
      <x:c r="G736" s="12" t="n">
        <x:v>5.2</x:v>
      </x:c>
      <x:c r="H736" s="14" t="n">
        <x:v>196878</x:v>
      </x:c>
      <x:c r="I736" s="15" t="str">
        <x:v>Точный счётчик метаданных видео</x:v>
      </x:c>
      <x:c r="J736" s="14" t="n">
        <x:v>196000</x:v>
      </x:c>
      <x:c r="K736" s="14" t="n">
        <x:v>83500</x:v>
      </x:c>
      <x:c r="L736" s="12" t="n">
        <x:f>IF(COUNT(J736:K736)=2,IF(K736=0,"",J736/K736),"")</x:f>
        <x:v>2.3473053892215567</x:v>
      </x:c>
      <x:c r="M736" s="10" t="str">
        <x:v>Завершённый короткий просмотр около 5 мин. Просмотры в списке выше медианы выборки этого цикла в 2.35 раза. Один понятный вопрос даёт завершённый короткий выпуск и повод поделиться им.</x:v>
      </x:c>
      <x:c r="N736" s="10" t="str">
        <x:v>Предсказать ответ по заголовку и объяснить его своими словами.</x:v>
      </x:c>
      <x:c r="O736" s="10" t="str">
        <x:v>Проверить содержание</x:v>
      </x:c>
      <x:c r="P736" s="10" t="str">
        <x:v>Самостоятельное видео</x:v>
      </x:c>
      <x:c r="Q736" s="9" t="str">
        <x:v>Нет</x:v>
      </x:c>
      <x:c r="R736" s="9" t="str">
        <x:v>C044</x:v>
      </x:c>
      <x:c r="S736" s="9" t="str">
        <x:v>C044</x:v>
      </x:c>
      <x:c r="T736" s="10" t="str">
        <x:v>כאן | דיגיטל - תאגיד השידור הישראלי</x:v>
      </x:c>
      <x:c r="U736" s="11" t="str">
        <x:v>https://www.youtube.com/watch?v=jvoM6FfX07U</x:v>
      </x:c>
      <x:c r="V736" s="16" t="n">
        <x:v>46308</x:v>
      </x:c>
      <x:c r="W736" s="16" t="n">
        <x:v>43887</x:v>
      </x:c>
      <x:c r="X736" s="10" t="str">
        <x:v>Иврит предполагается по заголовку и источнику</x:v>
      </x:c>
      <x:c r="Y736" s="10" t="str">
        <x:v>Ручная дорожка HE по метаданным</x:v>
      </x:c>
      <x:c r="Z736" s="10" t="str">
        <x:v>Разрешено по метаданным</x:v>
      </x:c>
      <x:c r="AA736" s="10" t="str">
        <x:v>Метаданные видео; воспроизведение и содержание не проверены</x:v>
      </x:c>
      <x:c r="AB736" s="13" t="n">
        <x:f>IF(AND(ISNUMBER(H736),ISNUMBER(W736)),H736/MAX(1,'Обзор'!$B$4-W736),"")</x:f>
        <x:v>81.32094175960347</x:v>
      </x:c>
      <x:c r="AC736" s="17" t="str">
        <x:v>Не решено</x:v>
      </x:c>
      <x:c r="AD736" s="17" t="str">
        <x:v>Не проверено</x:v>
      </x:c>
      <x:c r="AE736" s="17" t="str">
        <x:v>Не проверено</x:v>
      </x:c>
      <x:c r="AF736" s="17" t="str">
        <x:v>Не проверено</x:v>
      </x:c>
      <x:c r="AG736" s="17" t="str">
        <x:v>Не решено</x:v>
      </x:c>
      <x:c r="AH736" s="17" t="str">
        <x:v>Не проверено</x:v>
      </x:c>
      <x:c r="AI736" s="10" t="str">
        <x:f>IF(AC736="Отклонить","Отклонено",IF(AND(AC736="Взять",COUNTIFS(AD736:AH736,"Да")=5),"Готово","Нужна редактура"))</x:f>
        <x:v>Нужна редактура</x:v>
      </x:c>
      <x:c r="AJ736" s="17" t="str"/>
      <x:c r="AK736" s="9" t="str">
        <x:v>https://www.youtube.com/playlist?list=PLXv9BeKApRvy8VBmTJnrOC_NbkxD7uwJk</x:v>
      </x:c>
      <x:c r="AL736" s="9" t="n">
        <x:v>53</x:v>
      </x:c>
      <x:c r="AM736" s="9"/>
      <x:c r="AN736" s="9" t="n">
        <x:v>0</x:v>
      </x:c>
    </x:row>
    <x:row r="737" ht="60" customHeight="1">
      <x:c r="A737" s="9" t="str">
        <x:v>22HZ7xYo_D0</x:v>
      </x:c>
      <x:c r="B737" s="10" t="str">
        <x:v>כתב היד שאתם לא מכירים: לאן נעלמו האותיות של היהודים מהמזרח? | כאן סקרנים</x:v>
      </x:c>
      <x:c r="C737" s="10" t="str">
        <x:v>Вопросы о мире</x:v>
      </x:c>
      <x:c r="D737" s="9" t="str">
        <x:v>Образование</x:v>
      </x:c>
      <x:c r="E737" s="10" t="str">
        <x:v>Любознательные; изучающие язык; короткий просмотр</x:v>
      </x:c>
      <x:c r="F737" s="10" t="str">
        <x:v>B1–B2 (гипотеза)</x:v>
      </x:c>
      <x:c r="G737" s="12" t="n">
        <x:v>4.3</x:v>
      </x:c>
      <x:c r="H737" s="14" t="n">
        <x:v>147655</x:v>
      </x:c>
      <x:c r="I737" s="15" t="str">
        <x:v>Точный счётчик метаданных видео</x:v>
      </x:c>
      <x:c r="J737" s="14" t="n">
        <x:v>147000</x:v>
      </x:c>
      <x:c r="K737" s="14" t="n">
        <x:v>83500</x:v>
      </x:c>
      <x:c r="L737" s="12" t="n">
        <x:f>IF(COUNT(J737:K737)=2,IF(K737=0,"",J737/K737),"")</x:f>
        <x:v>1.7604790419161678</x:v>
      </x:c>
      <x:c r="M737" s="10" t="str">
        <x:v>Завершённый короткий просмотр около 4 мин. Просмотры в списке выше медианы выборки этого цикла в 1.76 раза. Один понятный вопрос даёт завершённый короткий выпуск и повод поделиться им.</x:v>
      </x:c>
      <x:c r="N737" s="10" t="str">
        <x:v>Предсказать ответ по заголовку и объяснить его своими словами.</x:v>
      </x:c>
      <x:c r="O737" s="10" t="str">
        <x:v>Проверить содержание</x:v>
      </x:c>
      <x:c r="P737" s="10" t="str">
        <x:v>Самостоятельное видео</x:v>
      </x:c>
      <x:c r="Q737" s="9" t="str">
        <x:v>Нет</x:v>
      </x:c>
      <x:c r="R737" s="9" t="str">
        <x:v>C044</x:v>
      </x:c>
      <x:c r="S737" s="9" t="str">
        <x:v>C044</x:v>
      </x:c>
      <x:c r="T737" s="10" t="str">
        <x:v>כאן | דיגיטל - תאגיד השידור הישראלי</x:v>
      </x:c>
      <x:c r="U737" s="11" t="str">
        <x:v>https://www.youtube.com/watch?v=22HZ7xYo_D0</x:v>
      </x:c>
      <x:c r="V737" s="16" t="n">
        <x:v>46308</x:v>
      </x:c>
      <x:c r="W737" s="16" t="n">
        <x:v>43860</x:v>
      </x:c>
      <x:c r="X737" s="10" t="str">
        <x:v>Иврит предполагается по заголовку и источнику</x:v>
      </x:c>
      <x:c r="Y737" s="10" t="str">
        <x:v>Ручная дорожка HE по метаданным</x:v>
      </x:c>
      <x:c r="Z737" s="10" t="str">
        <x:v>Разрешено по метаданным</x:v>
      </x:c>
      <x:c r="AA737" s="10" t="str">
        <x:v>Метаданные видео; воспроизведение и содержание не проверены</x:v>
      </x:c>
      <x:c r="AB737" s="13" t="n">
        <x:f>IF(AND(ISNUMBER(H737),ISNUMBER(W737)),H737/MAX(1,'Обзор'!$B$4-W737),"")</x:f>
        <x:v>60.31658496732026</x:v>
      </x:c>
      <x:c r="AC737" s="17" t="str">
        <x:v>Не решено</x:v>
      </x:c>
      <x:c r="AD737" s="17" t="str">
        <x:v>Не проверено</x:v>
      </x:c>
      <x:c r="AE737" s="17" t="str">
        <x:v>Не проверено</x:v>
      </x:c>
      <x:c r="AF737" s="17" t="str">
        <x:v>Не проверено</x:v>
      </x:c>
      <x:c r="AG737" s="17" t="str">
        <x:v>Не решено</x:v>
      </x:c>
      <x:c r="AH737" s="17" t="str">
        <x:v>Не проверено</x:v>
      </x:c>
      <x:c r="AI737" s="10" t="str">
        <x:f>IF(AC737="Отклонить","Отклонено",IF(AND(AC737="Взять",COUNTIFS(AD737:AH737,"Да")=5),"Готово","Нужна редактура"))</x:f>
        <x:v>Нужна редактура</x:v>
      </x:c>
      <x:c r="AJ737" s="17" t="str"/>
      <x:c r="AK737" s="9" t="str">
        <x:v>https://www.youtube.com/playlist?list=PLXv9BeKApRvy8VBmTJnrOC_NbkxD7uwJk</x:v>
      </x:c>
      <x:c r="AL737" s="9" t="n">
        <x:v>54</x:v>
      </x:c>
      <x:c r="AM737" s="9"/>
      <x:c r="AN737" s="9" t="n">
        <x:v>0</x:v>
      </x:c>
    </x:row>
    <x:row r="738" ht="60" customHeight="1">
      <x:c r="A738" s="9" t="str">
        <x:v>BvCqE27295o</x:v>
      </x:c>
      <x:c r="B738" s="10" t="str">
        <x:v>איך ומתי הפך ורוד לצבע של בנות? 🎀 | כאן סקרנים</x:v>
      </x:c>
      <x:c r="C738" s="10" t="str">
        <x:v>Вопросы о мире</x:v>
      </x:c>
      <x:c r="D738" s="9" t="str">
        <x:v>Образование</x:v>
      </x:c>
      <x:c r="E738" s="10" t="str">
        <x:v>Любознательные; изучающие язык; короткий просмотр</x:v>
      </x:c>
      <x:c r="F738" s="10" t="str">
        <x:v>B1–B2 (гипотеза)</x:v>
      </x:c>
      <x:c r="G738" s="12" t="n">
        <x:v>4.1</x:v>
      </x:c>
      <x:c r="H738" s="14" t="n">
        <x:v>154470</x:v>
      </x:c>
      <x:c r="I738" s="15" t="str">
        <x:v>Точный счётчик метаданных видео</x:v>
      </x:c>
      <x:c r="J738" s="14" t="n">
        <x:v>154000</x:v>
      </x:c>
      <x:c r="K738" s="14" t="n">
        <x:v>83500</x:v>
      </x:c>
      <x:c r="L738" s="12" t="n">
        <x:f>IF(COUNT(J738:K738)=2,IF(K738=0,"",J738/K738),"")</x:f>
        <x:v>1.844311377245509</x:v>
      </x:c>
      <x:c r="M738" s="10" t="str">
        <x:v>Завершённый короткий просмотр около 4 мин. Просмотры в списке выше медианы выборки этого цикла в 1.84 раза. Один понятный вопрос даёт завершённый короткий выпуск и повод поделиться им.</x:v>
      </x:c>
      <x:c r="N738" s="10" t="str">
        <x:v>Предсказать ответ по заголовку и объяснить его своими словами.</x:v>
      </x:c>
      <x:c r="O738" s="10" t="str">
        <x:v>Проверить содержание</x:v>
      </x:c>
      <x:c r="P738" s="10" t="str">
        <x:v>Самостоятельное видео</x:v>
      </x:c>
      <x:c r="Q738" s="9" t="str">
        <x:v>Нет</x:v>
      </x:c>
      <x:c r="R738" s="9" t="str">
        <x:v>C044</x:v>
      </x:c>
      <x:c r="S738" s="9" t="str">
        <x:v>C044</x:v>
      </x:c>
      <x:c r="T738" s="10" t="str">
        <x:v>כאן | דיגיטל - תאגיד השידור הישראלי</x:v>
      </x:c>
      <x:c r="U738" s="11" t="str">
        <x:v>https://www.youtube.com/watch?v=BvCqE27295o</x:v>
      </x:c>
      <x:c r="V738" s="16" t="n">
        <x:v>46308</x:v>
      </x:c>
      <x:c r="W738" s="16" t="n">
        <x:v>43853</x:v>
      </x:c>
      <x:c r="X738" s="10" t="str">
        <x:v>Иврит предполагается по заголовку и источнику</x:v>
      </x:c>
      <x:c r="Y738" s="10" t="str">
        <x:v>Ручная дорожка HE по метаданным</x:v>
      </x:c>
      <x:c r="Z738" s="10" t="str">
        <x:v>Разрешено по метаданным</x:v>
      </x:c>
      <x:c r="AA738" s="10" t="str">
        <x:v>Метаданные видео; воспроизведение и содержание не проверены</x:v>
      </x:c>
      <x:c r="AB738" s="13" t="n">
        <x:f>IF(AND(ISNUMBER(H738),ISNUMBER(W738)),H738/MAX(1,'Обзор'!$B$4-W738),"")</x:f>
        <x:v>62.920570264765786</x:v>
      </x:c>
      <x:c r="AC738" s="17" t="str">
        <x:v>Не решено</x:v>
      </x:c>
      <x:c r="AD738" s="17" t="str">
        <x:v>Не проверено</x:v>
      </x:c>
      <x:c r="AE738" s="17" t="str">
        <x:v>Не проверено</x:v>
      </x:c>
      <x:c r="AF738" s="17" t="str">
        <x:v>Не проверено</x:v>
      </x:c>
      <x:c r="AG738" s="17" t="str">
        <x:v>Не решено</x:v>
      </x:c>
      <x:c r="AH738" s="17" t="str">
        <x:v>Не проверено</x:v>
      </x:c>
      <x:c r="AI738" s="10" t="str">
        <x:f>IF(AC738="Отклонить","Отклонено",IF(AND(AC738="Взять",COUNTIFS(AD738:AH738,"Да")=5),"Готово","Нужна редактура"))</x:f>
        <x:v>Нужна редактура</x:v>
      </x:c>
      <x:c r="AJ738" s="17" t="str"/>
      <x:c r="AK738" s="9" t="str">
        <x:v>https://www.youtube.com/playlist?list=PLXv9BeKApRvy8VBmTJnrOC_NbkxD7uwJk</x:v>
      </x:c>
      <x:c r="AL738" s="9" t="n">
        <x:v>55</x:v>
      </x:c>
      <x:c r="AM738" s="9"/>
      <x:c r="AN738" s="9" t="n">
        <x:v>0</x:v>
      </x:c>
    </x:row>
    <x:row r="739" ht="60" customHeight="1">
      <x:c r="A739" s="9" t="str">
        <x:v>wdkN3J77bD8</x:v>
      </x:c>
      <x:c r="B739" s="10" t="str">
        <x:v>הכירו את הבסיג' - הארגון שמטיל אימה על העם האיראני</x:v>
      </x:c>
      <x:c r="C739" s="10" t="str">
        <x:v>Общество простыми словами</x:v>
      </x:c>
      <x:c r="D739" s="9" t="str">
        <x:v>Образование</x:v>
      </x:c>
      <x:c r="E739" s="10" t="str">
        <x:v>Репатрианты; общество; короткий просмотр</x:v>
      </x:c>
      <x:c r="F739" s="10" t="str">
        <x:v>B1–B2 (гипотеза)</x:v>
      </x:c>
      <x:c r="G739" s="12" t="n">
        <x:v>1.1</x:v>
      </x:c>
      <x:c r="H739" s="14" t="n">
        <x:v>92411</x:v>
      </x:c>
      <x:c r="I739" s="15" t="str">
        <x:v>Точный счётчик метаданных видео</x:v>
      </x:c>
      <x:c r="J739" s="14" t="n">
        <x:v>92000</x:v>
      </x:c>
      <x:c r="K739" s="14" t="n">
        <x:v>59000</x:v>
      </x:c>
      <x:c r="L739" s="12" t="n">
        <x:f>IF(COUNT(J739:K739)=2,IF(K739=0,"",J739/K739),"")</x:f>
        <x:v>1.5593220338983051</x:v>
      </x:c>
      <x:c r="M739" s="10" t="str">
        <x:v>Завершённый короткий просмотр около 1 мин. Просмотры в списке выше медианы выборки этого цикла в 1.56 раза. Объясняющий формат снижает порог входа в незнакомые институты и общественные темы.</x:v>
      </x:c>
      <x:c r="N739" s="10" t="str">
        <x:v>Выписать связки объяснения; дать определение термину.</x:v>
      </x:c>
      <x:c r="O739" s="10" t="str">
        <x:v>Повторно проверять даты законов, чисел и новостей</x:v>
      </x:c>
      <x:c r="P739" s="10" t="str">
        <x:v>Самостоятельное видео</x:v>
      </x:c>
      <x:c r="Q739" s="9" t="str">
        <x:v>Нет</x:v>
      </x:c>
      <x:c r="R739" s="9" t="str">
        <x:v>C045</x:v>
      </x:c>
      <x:c r="S739" s="9" t="str">
        <x:v>C045</x:v>
      </x:c>
      <x:c r="T739" s="10" t="str">
        <x:v>כאן | דיגיטל - תאגיד השידור הישראלי</x:v>
      </x:c>
      <x:c r="U739" s="11" t="str">
        <x:v>https://www.youtube.com/watch?v=wdkN3J77bD8</x:v>
      </x:c>
      <x:c r="V739" s="16" t="n">
        <x:v>46308</x:v>
      </x:c>
      <x:c r="W739" s="16" t="n">
        <x:v>45834</x:v>
      </x:c>
      <x:c r="X739" s="10" t="str">
        <x:v>Иврит предполагается по заголовку и источнику</x:v>
      </x:c>
      <x:c r="Y739" s="10" t="str">
        <x:v>Автоматическая дорожка HE по метаданным</x:v>
      </x:c>
      <x:c r="Z739" s="10" t="str">
        <x:v>Разрешено по метаданным</x:v>
      </x:c>
      <x:c r="AA739" s="10" t="str">
        <x:v>Метаданные видео; воспроизведение и содержание не проверены</x:v>
      </x:c>
      <x:c r="AB739" s="13" t="n">
        <x:f>IF(AND(ISNUMBER(H739),ISNUMBER(W739)),H739/MAX(1,'Обзор'!$B$4-W739),"")</x:f>
        <x:v>194.95991561181435</x:v>
      </x:c>
      <x:c r="AC739" s="17" t="str">
        <x:v>Не решено</x:v>
      </x:c>
      <x:c r="AD739" s="17" t="str">
        <x:v>Не проверено</x:v>
      </x:c>
      <x:c r="AE739" s="17" t="str">
        <x:v>Не проверено</x:v>
      </x:c>
      <x:c r="AF739" s="17" t="str">
        <x:v>Не проверено</x:v>
      </x:c>
      <x:c r="AG739" s="17" t="str">
        <x:v>Не решено</x:v>
      </x:c>
      <x:c r="AH739" s="17" t="str">
        <x:v>Не проверено</x:v>
      </x:c>
      <x:c r="AI739" s="10" t="str">
        <x:f>IF(AC739="Отклонить","Отклонено",IF(AND(AC739="Взять",COUNTIFS(AD739:AH739,"Да")=5),"Готово","Нужна редактура"))</x:f>
        <x:v>Нужна редактура</x:v>
      </x:c>
      <x:c r="AJ739" s="17" t="str"/>
      <x:c r="AK739" s="9" t="str">
        <x:v>https://www.youtube.com/playlist?list=PLXv9BeKApRvxC7CHMrdA9knii4lmYhJzS</x:v>
      </x:c>
      <x:c r="AL739" s="9" t="n">
        <x:v>1</x:v>
      </x:c>
      <x:c r="AM739" s="9"/>
      <x:c r="AN739" s="9" t="n">
        <x:v>0</x:v>
      </x:c>
    </x:row>
    <x:row r="740" ht="60" customHeight="1">
      <x:c r="A740" s="9" t="str">
        <x:v>lMrc09731L0</x:v>
      </x:c>
      <x:c r="B740" s="10" t="str">
        <x:v>איך ח'מנאי הפך להיות האיש הכי חזק באיראן?</x:v>
      </x:c>
      <x:c r="C740" s="10" t="str">
        <x:v>Общество простыми словами</x:v>
      </x:c>
      <x:c r="D740" s="9" t="str">
        <x:v>Образование</x:v>
      </x:c>
      <x:c r="E740" s="10" t="str">
        <x:v>Репатрианты; общество; короткий просмотр</x:v>
      </x:c>
      <x:c r="F740" s="10" t="str">
        <x:v>B1–B2 (гипотеза)</x:v>
      </x:c>
      <x:c r="G740" s="12" t="n">
        <x:v>1.5</x:v>
      </x:c>
      <x:c r="H740" s="14" t="n">
        <x:v>157509</x:v>
      </x:c>
      <x:c r="I740" s="15" t="str">
        <x:v>Точный счётчик метаданных видео</x:v>
      </x:c>
      <x:c r="J740" s="14" t="n">
        <x:v>157000</x:v>
      </x:c>
      <x:c r="K740" s="14" t="n">
        <x:v>59000</x:v>
      </x:c>
      <x:c r="L740" s="12" t="n">
        <x:f>IF(COUNT(J740:K740)=2,IF(K740=0,"",J740/K740),"")</x:f>
        <x:v>2.6610169491525424</x:v>
      </x:c>
      <x:c r="M740" s="10" t="str">
        <x:v>Завершённый короткий просмотр около 1 мин. Просмотры в списке выше медианы выборки этого цикла в 2.66 раза. Объясняющий формат снижает порог входа в незнакомые институты и общественные темы.</x:v>
      </x:c>
      <x:c r="N740" s="10" t="str">
        <x:v>Выписать связки объяснения; дать определение термину.</x:v>
      </x:c>
      <x:c r="O740" s="10" t="str">
        <x:v>Повторно проверять даты законов, чисел и новостей</x:v>
      </x:c>
      <x:c r="P740" s="10" t="str">
        <x:v>Самостоятельное видео</x:v>
      </x:c>
      <x:c r="Q740" s="9" t="str">
        <x:v>Нет</x:v>
      </x:c>
      <x:c r="R740" s="9" t="str">
        <x:v>C045</x:v>
      </x:c>
      <x:c r="S740" s="9" t="str">
        <x:v>C045</x:v>
      </x:c>
      <x:c r="T740" s="10" t="str">
        <x:v>כאן | דיגיטל - תאגיד השידור הישראלי</x:v>
      </x:c>
      <x:c r="U740" s="11" t="str">
        <x:v>https://www.youtube.com/watch?v=lMrc09731L0</x:v>
      </x:c>
      <x:c r="V740" s="16" t="n">
        <x:v>46308</x:v>
      </x:c>
      <x:c r="W740" s="16" t="n">
        <x:v>45832</x:v>
      </x:c>
      <x:c r="X740" s="10" t="str">
        <x:v>Иврит предполагается по заголовку и источнику</x:v>
      </x:c>
      <x:c r="Y740" s="10" t="str">
        <x:v>Автоматическая дорожка HE по метаданным</x:v>
      </x:c>
      <x:c r="Z740" s="10" t="str">
        <x:v>Разрешено по метаданным</x:v>
      </x:c>
      <x:c r="AA740" s="10" t="str">
        <x:v>Метаданные видео; воспроизведение и содержание не проверены</x:v>
      </x:c>
      <x:c r="AB740" s="13" t="n">
        <x:f>IF(AND(ISNUMBER(H740),ISNUMBER(W740)),H740/MAX(1,'Обзор'!$B$4-W740),"")</x:f>
        <x:v>330.9012605042017</x:v>
      </x:c>
      <x:c r="AC740" s="17" t="str">
        <x:v>Не решено</x:v>
      </x:c>
      <x:c r="AD740" s="17" t="str">
        <x:v>Не проверено</x:v>
      </x:c>
      <x:c r="AE740" s="17" t="str">
        <x:v>Не проверено</x:v>
      </x:c>
      <x:c r="AF740" s="17" t="str">
        <x:v>Не проверено</x:v>
      </x:c>
      <x:c r="AG740" s="17" t="str">
        <x:v>Не решено</x:v>
      </x:c>
      <x:c r="AH740" s="17" t="str">
        <x:v>Не проверено</x:v>
      </x:c>
      <x:c r="AI740" s="10" t="str">
        <x:f>IF(AC740="Отклонить","Отклонено",IF(AND(AC740="Взять",COUNTIFS(AD740:AH740,"Да")=5),"Готово","Нужна редактура"))</x:f>
        <x:v>Нужна редактура</x:v>
      </x:c>
      <x:c r="AJ740" s="17" t="str"/>
      <x:c r="AK740" s="9" t="str">
        <x:v>https://www.youtube.com/playlist?list=PLXv9BeKApRvxC7CHMrdA9knii4lmYhJzS</x:v>
      </x:c>
      <x:c r="AL740" s="9" t="n">
        <x:v>2</x:v>
      </x:c>
      <x:c r="AM740" s="9"/>
      <x:c r="AN740" s="9" t="n">
        <x:v>0</x:v>
      </x:c>
    </x:row>
    <x:row r="741" ht="60" customHeight="1">
      <x:c r="A741" s="9" t="str">
        <x:v>QZqEJFJIWSA</x:v>
      </x:c>
      <x:c r="B741" s="10" t="str">
        <x:v>גיחה לאיראן מצריכה כמויות עצומות של דלק סילוני, אז איך מתדלקים בתנאים עוינים?</x:v>
      </x:c>
      <x:c r="C741" s="10" t="str">
        <x:v>Общество простыми словами</x:v>
      </x:c>
      <x:c r="D741" s="9" t="str">
        <x:v>Образование</x:v>
      </x:c>
      <x:c r="E741" s="10" t="str">
        <x:v>Репатрианты; общество; короткий просмотр</x:v>
      </x:c>
      <x:c r="F741" s="10" t="str">
        <x:v>B1–B2 (гипотеза)</x:v>
      </x:c>
      <x:c r="G741" s="12" t="n">
        <x:v>1.6</x:v>
      </x:c>
      <x:c r="H741" s="14" t="n">
        <x:v>588851</x:v>
      </x:c>
      <x:c r="I741" s="15" t="str">
        <x:v>Точный счётчик метаданных видео</x:v>
      </x:c>
      <x:c r="J741" s="14" t="n">
        <x:v>588000</x:v>
      </x:c>
      <x:c r="K741" s="14" t="n">
        <x:v>59000</x:v>
      </x:c>
      <x:c r="L741" s="12" t="n">
        <x:f>IF(COUNT(J741:K741)=2,IF(K741=0,"",J741/K741),"")</x:f>
        <x:v>9.966101694915254</x:v>
      </x:c>
      <x:c r="M741" s="10" t="str">
        <x:v>Завершённый короткий просмотр около 2 мин. Просмотры в списке выше медианы выборки этого цикла в 9.97 раза. Объясняющий формат снижает порог входа в незнакомые институты и общественные темы.</x:v>
      </x:c>
      <x:c r="N741" s="10" t="str">
        <x:v>Выписать связки объяснения; дать определение термину.</x:v>
      </x:c>
      <x:c r="O741" s="10" t="str">
        <x:v>Повторно проверять даты законов, чисел и новостей</x:v>
      </x:c>
      <x:c r="P741" s="10" t="str">
        <x:v>Самостоятельное видео</x:v>
      </x:c>
      <x:c r="Q741" s="9" t="str">
        <x:v>Нет</x:v>
      </x:c>
      <x:c r="R741" s="9" t="str">
        <x:v>C045</x:v>
      </x:c>
      <x:c r="S741" s="9" t="str">
        <x:v>C045</x:v>
      </x:c>
      <x:c r="T741" s="10" t="str">
        <x:v>כאן | דיגיטל - תאגיד השידור הישראלי</x:v>
      </x:c>
      <x:c r="U741" s="11" t="str">
        <x:v>https://www.youtube.com/watch?v=QZqEJFJIWSA</x:v>
      </x:c>
      <x:c r="V741" s="16" t="n">
        <x:v>46308</x:v>
      </x:c>
      <x:c r="W741" s="16" t="n">
        <x:v>45826</x:v>
      </x:c>
      <x:c r="X741" s="10" t="str">
        <x:v>Иврит предполагается по заголовку и источнику</x:v>
      </x:c>
      <x:c r="Y741" s="10" t="str">
        <x:v>Автоматическая дорожка HE по метаданным</x:v>
      </x:c>
      <x:c r="Z741" s="10" t="str">
        <x:v>Разрешено по метаданным</x:v>
      </x:c>
      <x:c r="AA741" s="10" t="str">
        <x:v>Метаданные видео; воспроизведение и содержание не проверены</x:v>
      </x:c>
      <x:c r="AB741" s="13" t="n">
        <x:f>IF(AND(ISNUMBER(H741),ISNUMBER(W741)),H741/MAX(1,'Обзор'!$B$4-W741),"")</x:f>
        <x:v>1221.6825726141078</x:v>
      </x:c>
      <x:c r="AC741" s="17" t="str">
        <x:v>Не решено</x:v>
      </x:c>
      <x:c r="AD741" s="17" t="str">
        <x:v>Не проверено</x:v>
      </x:c>
      <x:c r="AE741" s="17" t="str">
        <x:v>Не проверено</x:v>
      </x:c>
      <x:c r="AF741" s="17" t="str">
        <x:v>Не проверено</x:v>
      </x:c>
      <x:c r="AG741" s="17" t="str">
        <x:v>Не решено</x:v>
      </x:c>
      <x:c r="AH741" s="17" t="str">
        <x:v>Не проверено</x:v>
      </x:c>
      <x:c r="AI741" s="10" t="str">
        <x:f>IF(AC741="Отклонить","Отклонено",IF(AND(AC741="Взять",COUNTIFS(AD741:AH741,"Да")=5),"Готово","Нужна редактура"))</x:f>
        <x:v>Нужна редактура</x:v>
      </x:c>
      <x:c r="AJ741" s="17" t="str"/>
      <x:c r="AK741" s="9" t="str">
        <x:v>https://www.youtube.com/playlist?list=PLXv9BeKApRvxC7CHMrdA9knii4lmYhJzS</x:v>
      </x:c>
      <x:c r="AL741" s="9" t="n">
        <x:v>3</x:v>
      </x:c>
      <x:c r="AM741" s="9"/>
      <x:c r="AN741" s="9" t="n">
        <x:v>0</x:v>
      </x:c>
    </x:row>
    <x:row r="742" ht="60" customHeight="1">
      <x:c r="A742" s="9" t="str">
        <x:v>F_3brLj_xtc</x:v>
      </x:c>
      <x:c r="B742" s="10" t="str">
        <x:v>"שיר השירים" מעצב את התרבות בישראל מאז ועד אירוויזיון 2025</x:v>
      </x:c>
      <x:c r="C742" s="10" t="str">
        <x:v>Общество простыми словами</x:v>
      </x:c>
      <x:c r="D742" s="9" t="str">
        <x:v>Образование</x:v>
      </x:c>
      <x:c r="E742" s="10" t="str">
        <x:v>Репатрианты; общество; короткий просмотр</x:v>
      </x:c>
      <x:c r="F742" s="10" t="str">
        <x:v>B1–B2 (гипотеза)</x:v>
      </x:c>
      <x:c r="G742" s="12" t="n">
        <x:v>1.6</x:v>
      </x:c>
      <x:c r="H742" s="14" t="n">
        <x:v>13000</x:v>
      </x:c>
      <x:c r="I742" s="15" t="str">
        <x:v>Округлённый счётчик в списке YouTube</x:v>
      </x:c>
      <x:c r="J742" s="14" t="n">
        <x:v>13000</x:v>
      </x:c>
      <x:c r="K742" s="14" t="n">
        <x:v>59000</x:v>
      </x:c>
      <x:c r="L742" s="12" t="n">
        <x:f>IF(COUNT(J742:K742)=2,IF(K742=0,"",J742/K742),"")</x:f>
        <x:v>0.22033898305084745</x:v>
      </x:c>
      <x:c r="M742" s="10" t="str">
        <x:v>Завершённый короткий просмотр около 2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42" s="10" t="str">
        <x:v>Выписать связки объяснения; дать определение термину.</x:v>
      </x:c>
      <x:c r="O742" s="10" t="str">
        <x:v>Повторно проверять даты законов, чисел и новостей</x:v>
      </x:c>
      <x:c r="P742" s="10" t="str">
        <x:v>Самостоятельное видео</x:v>
      </x:c>
      <x:c r="Q742" s="9" t="str">
        <x:v>Нет</x:v>
      </x:c>
      <x:c r="R742" s="9" t="str">
        <x:v>C045</x:v>
      </x:c>
      <x:c r="S742" s="9" t="str">
        <x:v>C045</x:v>
      </x:c>
      <x:c r="T742" s="10" t="str">
        <x:v>כאן | דיגיטל - תאגיד השידור הישראלי</x:v>
      </x:c>
      <x:c r="U742" s="11" t="str">
        <x:v>https://www.youtube.com/watch?v=F_3brLj_xtc</x:v>
      </x:c>
      <x:c r="V742" s="16" t="n">
        <x:v>46308</x:v>
      </x:c>
      <x:c r="W742" s="16"/>
      <x:c r="X742" s="10" t="str">
        <x:v>Иврит предполагается по заголовку и источнику</x:v>
      </x:c>
      <x:c r="Y742" s="10" t="str">
        <x:v>Не проверено</x:v>
      </x:c>
      <x:c r="Z742" s="10" t="str">
        <x:v>Не проверено</x:v>
      </x:c>
      <x:c r="AA742" s="10" t="str">
        <x:v>Метаданные списка; видео не просмотрено</x:v>
      </x:c>
      <x:c r="AB742" s="13" t="str">
        <x:f>IF(AND(ISNUMBER(H742),ISNUMBER(W742)),H742/MAX(1,'Обзор'!$B$4-W742),"")</x:f>
      </x:c>
      <x:c r="AC742" s="17" t="str">
        <x:v>Не решено</x:v>
      </x:c>
      <x:c r="AD742" s="17" t="str">
        <x:v>Не проверено</x:v>
      </x:c>
      <x:c r="AE742" s="17" t="str">
        <x:v>Не проверено</x:v>
      </x:c>
      <x:c r="AF742" s="17" t="str">
        <x:v>Не проверено</x:v>
      </x:c>
      <x:c r="AG742" s="17" t="str">
        <x:v>Не решено</x:v>
      </x:c>
      <x:c r="AH742" s="17" t="str">
        <x:v>Не проверено</x:v>
      </x:c>
      <x:c r="AI742" s="10" t="str">
        <x:f>IF(AC742="Отклонить","Отклонено",IF(AND(AC742="Взять",COUNTIFS(AD742:AH742,"Да")=5),"Готово","Нужна редактура"))</x:f>
        <x:v>Нужна редактура</x:v>
      </x:c>
      <x:c r="AJ742" s="17" t="str"/>
      <x:c r="AK742" s="9" t="str">
        <x:v>https://www.youtube.com/playlist?list=PLXv9BeKApRvxC7CHMrdA9knii4lmYhJzS</x:v>
      </x:c>
      <x:c r="AL742" s="9" t="n">
        <x:v>4</x:v>
      </x:c>
      <x:c r="AM742" s="9"/>
      <x:c r="AN742" s="9"/>
    </x:row>
    <x:row r="743" ht="60" customHeight="1">
      <x:c r="A743" s="9" t="str">
        <x:v>2r0kjVgKQhM</x:v>
      </x:c>
      <x:c r="B743" s="10" t="str">
        <x:v>למה המשטר באיראן מעודד ניתוחים לשינוי מין?</x:v>
      </x:c>
      <x:c r="C743" s="10" t="str">
        <x:v>Общество простыми словами</x:v>
      </x:c>
      <x:c r="D743" s="9" t="str">
        <x:v>Образование</x:v>
      </x:c>
      <x:c r="E743" s="10" t="str">
        <x:v>Репатрианты; общество; короткий просмотр</x:v>
      </x:c>
      <x:c r="F743" s="10" t="str">
        <x:v>B1–B2 (гипотеза)</x:v>
      </x:c>
      <x:c r="G743" s="12" t="n">
        <x:v>2.7</x:v>
      </x:c>
      <x:c r="H743" s="14" t="n">
        <x:v>41000</x:v>
      </x:c>
      <x:c r="I743" s="15" t="str">
        <x:v>Округлённый счётчик в списке YouTube</x:v>
      </x:c>
      <x:c r="J743" s="14" t="n">
        <x:v>41000</x:v>
      </x:c>
      <x:c r="K743" s="14" t="n">
        <x:v>59000</x:v>
      </x:c>
      <x:c r="L743" s="12" t="n">
        <x:f>IF(COUNT(J743:K743)=2,IF(K743=0,"",J743/K743),"")</x:f>
        <x:v>0.6949152542372882</x:v>
      </x:c>
      <x:c r="M743" s="10" t="str">
        <x:v>Завершённый короткий просмотр около 3 мин. Объясняющий формат снижает порог входа в незнакомые институты и общественные темы.</x:v>
      </x:c>
      <x:c r="N743" s="10" t="str">
        <x:v>Выписать связки объяснения; дать определение термину.</x:v>
      </x:c>
      <x:c r="O743" s="10" t="str">
        <x:v>Повторно проверять даты законов, чисел и новостей</x:v>
      </x:c>
      <x:c r="P743" s="10" t="str">
        <x:v>Самостоятельное видео</x:v>
      </x:c>
      <x:c r="Q743" s="9" t="str">
        <x:v>Нет</x:v>
      </x:c>
      <x:c r="R743" s="9" t="str">
        <x:v>C045</x:v>
      </x:c>
      <x:c r="S743" s="9" t="str">
        <x:v>C045</x:v>
      </x:c>
      <x:c r="T743" s="10" t="str">
        <x:v>כאן | דיגיטל - תאגיד השידור הישראלי</x:v>
      </x:c>
      <x:c r="U743" s="11" t="str">
        <x:v>https://www.youtube.com/watch?v=2r0kjVgKQhM</x:v>
      </x:c>
      <x:c r="V743" s="16" t="n">
        <x:v>46308</x:v>
      </x:c>
      <x:c r="W743" s="16"/>
      <x:c r="X743" s="10" t="str">
        <x:v>Иврит предполагается по заголовку и источнику</x:v>
      </x:c>
      <x:c r="Y743" s="10" t="str">
        <x:v>Не проверено</x:v>
      </x:c>
      <x:c r="Z743" s="10" t="str">
        <x:v>Не проверено</x:v>
      </x:c>
      <x:c r="AA743" s="10" t="str">
        <x:v>Метаданные списка; видео не просмотрено</x:v>
      </x:c>
      <x:c r="AB743" s="13" t="str">
        <x:f>IF(AND(ISNUMBER(H743),ISNUMBER(W743)),H743/MAX(1,'Обзор'!$B$4-W743),"")</x:f>
      </x:c>
      <x:c r="AC743" s="17" t="str">
        <x:v>Не решено</x:v>
      </x:c>
      <x:c r="AD743" s="17" t="str">
        <x:v>Не проверено</x:v>
      </x:c>
      <x:c r="AE743" s="17" t="str">
        <x:v>Не проверено</x:v>
      </x:c>
      <x:c r="AF743" s="17" t="str">
        <x:v>Не проверено</x:v>
      </x:c>
      <x:c r="AG743" s="17" t="str">
        <x:v>Не решено</x:v>
      </x:c>
      <x:c r="AH743" s="17" t="str">
        <x:v>Не проверено</x:v>
      </x:c>
      <x:c r="AI743" s="10" t="str">
        <x:f>IF(AC743="Отклонить","Отклонено",IF(AND(AC743="Взять",COUNTIFS(AD743:AH743,"Да")=5),"Готово","Нужна редактура"))</x:f>
        <x:v>Нужна редактура</x:v>
      </x:c>
      <x:c r="AJ743" s="17" t="str"/>
      <x:c r="AK743" s="9" t="str">
        <x:v>https://www.youtube.com/playlist?list=PLXv9BeKApRvxC7CHMrdA9knii4lmYhJzS</x:v>
      </x:c>
      <x:c r="AL743" s="9" t="n">
        <x:v>5</x:v>
      </x:c>
      <x:c r="AM743" s="9"/>
      <x:c r="AN743" s="9"/>
    </x:row>
    <x:row r="744" ht="60" customHeight="1">
      <x:c r="A744" s="9" t="str">
        <x:v>R7BDeizIjmw</x:v>
      </x:c>
      <x:c r="B744" s="10" t="str">
        <x:v>איך עיצוב של טופס יכול להכריע את הבחירות בארה"ב?</x:v>
      </x:c>
      <x:c r="C744" s="10" t="str">
        <x:v>Общество простыми словами</x:v>
      </x:c>
      <x:c r="D744" s="9" t="str">
        <x:v>Образование</x:v>
      </x:c>
      <x:c r="E744" s="10" t="str">
        <x:v>Репатрианты; общество; короткий просмотр</x:v>
      </x:c>
      <x:c r="F744" s="10" t="str">
        <x:v>B1–B2 (гипотеза)</x:v>
      </x:c>
      <x:c r="G744" s="12" t="n">
        <x:v>1.8</x:v>
      </x:c>
      <x:c r="H744" s="14" t="n">
        <x:v>22000</x:v>
      </x:c>
      <x:c r="I744" s="15" t="str">
        <x:v>Округлённый счётчик в списке YouTube</x:v>
      </x:c>
      <x:c r="J744" s="14" t="n">
        <x:v>22000</x:v>
      </x:c>
      <x:c r="K744" s="14" t="n">
        <x:v>59000</x:v>
      </x:c>
      <x:c r="L744" s="12" t="n">
        <x:f>IF(COUNT(J744:K744)=2,IF(K744=0,"",J744/K744),"")</x:f>
        <x:v>0.3728813559322034</x:v>
      </x:c>
      <x:c r="M744" s="10" t="str">
        <x:v>Завершённый короткий просмотр около 2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44" s="10" t="str">
        <x:v>Выписать связки объяснения; дать определение термину.</x:v>
      </x:c>
      <x:c r="O744" s="10" t="str">
        <x:v>Повторно проверять даты законов, чисел и новостей</x:v>
      </x:c>
      <x:c r="P744" s="10" t="str">
        <x:v>Самостоятельное видео</x:v>
      </x:c>
      <x:c r="Q744" s="9" t="str">
        <x:v>Нет</x:v>
      </x:c>
      <x:c r="R744" s="9" t="str">
        <x:v>C045</x:v>
      </x:c>
      <x:c r="S744" s="9" t="str">
        <x:v>C045</x:v>
      </x:c>
      <x:c r="T744" s="10" t="str">
        <x:v>כאן | דיגיטל - תאגיד השידור הישראלי</x:v>
      </x:c>
      <x:c r="U744" s="11" t="str">
        <x:v>https://www.youtube.com/watch?v=R7BDeizIjmw</x:v>
      </x:c>
      <x:c r="V744" s="16" t="n">
        <x:v>46308</x:v>
      </x:c>
      <x:c r="W744" s="16"/>
      <x:c r="X744" s="10" t="str">
        <x:v>Иврит предполагается по заголовку и источнику</x:v>
      </x:c>
      <x:c r="Y744" s="10" t="str">
        <x:v>Не проверено</x:v>
      </x:c>
      <x:c r="Z744" s="10" t="str">
        <x:v>Не проверено</x:v>
      </x:c>
      <x:c r="AA744" s="10" t="str">
        <x:v>Метаданные списка; видео не просмотрено</x:v>
      </x:c>
      <x:c r="AB744" s="13" t="str">
        <x:f>IF(AND(ISNUMBER(H744),ISNUMBER(W744)),H744/MAX(1,'Обзор'!$B$4-W744),"")</x:f>
      </x:c>
      <x:c r="AC744" s="17" t="str">
        <x:v>Не решено</x:v>
      </x:c>
      <x:c r="AD744" s="17" t="str">
        <x:v>Не проверено</x:v>
      </x:c>
      <x:c r="AE744" s="17" t="str">
        <x:v>Не проверено</x:v>
      </x:c>
      <x:c r="AF744" s="17" t="str">
        <x:v>Не проверено</x:v>
      </x:c>
      <x:c r="AG744" s="17" t="str">
        <x:v>Не решено</x:v>
      </x:c>
      <x:c r="AH744" s="17" t="str">
        <x:v>Не проверено</x:v>
      </x:c>
      <x:c r="AI744" s="10" t="str">
        <x:f>IF(AC744="Отклонить","Отклонено",IF(AND(AC744="Взять",COUNTIFS(AD744:AH744,"Да")=5),"Готово","Нужна редактура"))</x:f>
        <x:v>Нужна редактура</x:v>
      </x:c>
      <x:c r="AJ744" s="17" t="str"/>
      <x:c r="AK744" s="9" t="str">
        <x:v>https://www.youtube.com/playlist?list=PLXv9BeKApRvxC7CHMrdA9knii4lmYhJzS</x:v>
      </x:c>
      <x:c r="AL744" s="9" t="n">
        <x:v>6</x:v>
      </x:c>
      <x:c r="AM744" s="9"/>
      <x:c r="AN744" s="9"/>
    </x:row>
    <x:row r="745" ht="60" customHeight="1">
      <x:c r="A745" s="9" t="str">
        <x:v>gExairPY7vM</x:v>
      </x:c>
      <x:c r="B745" s="10" t="str">
        <x:v>למה האתרוג עובר אודישנים כאלה מפרכים?</x:v>
      </x:c>
      <x:c r="C745" s="10" t="str">
        <x:v>Общество простыми словами</x:v>
      </x:c>
      <x:c r="D745" s="9" t="str">
        <x:v>Образование</x:v>
      </x:c>
      <x:c r="E745" s="10" t="str">
        <x:v>Репатрианты; общество; короткий просмотр</x:v>
      </x:c>
      <x:c r="F745" s="10" t="str">
        <x:v>B1–B2 (гипотеза)</x:v>
      </x:c>
      <x:c r="G745" s="12" t="n">
        <x:v>1.2</x:v>
      </x:c>
      <x:c r="H745" s="14" t="n">
        <x:v>23000</x:v>
      </x:c>
      <x:c r="I745" s="15" t="str">
        <x:v>Округлённый счётчик в списке YouTube</x:v>
      </x:c>
      <x:c r="J745" s="14" t="n">
        <x:v>23000</x:v>
      </x:c>
      <x:c r="K745" s="14" t="n">
        <x:v>59000</x:v>
      </x:c>
      <x:c r="L745" s="12" t="n">
        <x:f>IF(COUNT(J745:K745)=2,IF(K745=0,"",J745/K745),"")</x:f>
        <x:v>0.3898305084745763</x:v>
      </x:c>
      <x:c r="M745" s="10" t="str">
        <x:v>Завершённый короткий просмотр около 1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45" s="10" t="str">
        <x:v>Выписать связки объяснения; дать определение термину.</x:v>
      </x:c>
      <x:c r="O745" s="10" t="str">
        <x:v>Повторно проверять даты законов, чисел и новостей</x:v>
      </x:c>
      <x:c r="P745" s="10" t="str">
        <x:v>Самостоятельное видео</x:v>
      </x:c>
      <x:c r="Q745" s="9" t="str">
        <x:v>Нет</x:v>
      </x:c>
      <x:c r="R745" s="9" t="str">
        <x:v>C045</x:v>
      </x:c>
      <x:c r="S745" s="9" t="str">
        <x:v>C045</x:v>
      </x:c>
      <x:c r="T745" s="10" t="str">
        <x:v>כאן | דיגיטל - תאגיד השידור הישראלי</x:v>
      </x:c>
      <x:c r="U745" s="11" t="str">
        <x:v>https://www.youtube.com/watch?v=gExairPY7vM</x:v>
      </x:c>
      <x:c r="V745" s="16" t="n">
        <x:v>46308</x:v>
      </x:c>
      <x:c r="W745" s="16"/>
      <x:c r="X745" s="10" t="str">
        <x:v>Иврит предполагается по заголовку и источнику</x:v>
      </x:c>
      <x:c r="Y745" s="10" t="str">
        <x:v>Не проверено</x:v>
      </x:c>
      <x:c r="Z745" s="10" t="str">
        <x:v>Не проверено</x:v>
      </x:c>
      <x:c r="AA745" s="10" t="str">
        <x:v>Метаданные списка; видео не просмотрено</x:v>
      </x:c>
      <x:c r="AB745" s="13" t="str">
        <x:f>IF(AND(ISNUMBER(H745),ISNUMBER(W745)),H745/MAX(1,'Обзор'!$B$4-W745),"")</x:f>
      </x:c>
      <x:c r="AC745" s="17" t="str">
        <x:v>Не решено</x:v>
      </x:c>
      <x:c r="AD745" s="17" t="str">
        <x:v>Не проверено</x:v>
      </x:c>
      <x:c r="AE745" s="17" t="str">
        <x:v>Не проверено</x:v>
      </x:c>
      <x:c r="AF745" s="17" t="str">
        <x:v>Не проверено</x:v>
      </x:c>
      <x:c r="AG745" s="17" t="str">
        <x:v>Не решено</x:v>
      </x:c>
      <x:c r="AH745" s="17" t="str">
        <x:v>Не проверено</x:v>
      </x:c>
      <x:c r="AI745" s="10" t="str">
        <x:f>IF(AC745="Отклонить","Отклонено",IF(AND(AC745="Взять",COUNTIFS(AD745:AH745,"Да")=5),"Готово","Нужна редактура"))</x:f>
        <x:v>Нужна редактура</x:v>
      </x:c>
      <x:c r="AJ745" s="17" t="str"/>
      <x:c r="AK745" s="9" t="str">
        <x:v>https://www.youtube.com/playlist?list=PLXv9BeKApRvxC7CHMrdA9knii4lmYhJzS</x:v>
      </x:c>
      <x:c r="AL745" s="9" t="n">
        <x:v>7</x:v>
      </x:c>
      <x:c r="AM745" s="9"/>
      <x:c r="AN745" s="9"/>
    </x:row>
    <x:row r="746" ht="60" customHeight="1">
      <x:c r="A746" s="9" t="str">
        <x:v>JN-wSUCq42U</x:v>
      </x:c>
      <x:c r="B746" s="10" t="str">
        <x:v>גם בתאי הגזים וגם ב-7/10 צעקו "שמע ישראל"</x:v>
      </x:c>
      <x:c r="C746" s="10" t="str">
        <x:v>Общество простыми словами</x:v>
      </x:c>
      <x:c r="D746" s="9" t="str">
        <x:v>Образование</x:v>
      </x:c>
      <x:c r="E746" s="10" t="str">
        <x:v>Репатрианты; общество; короткий просмотр</x:v>
      </x:c>
      <x:c r="F746" s="10" t="str">
        <x:v>B1–B2 (гипотеза)</x:v>
      </x:c>
      <x:c r="G746" s="12" t="n">
        <x:v>5.6</x:v>
      </x:c>
      <x:c r="H746" s="14" t="n">
        <x:v>53000</x:v>
      </x:c>
      <x:c r="I746" s="15" t="str">
        <x:v>Округлённый счётчик в списке YouTube</x:v>
      </x:c>
      <x:c r="J746" s="14" t="n">
        <x:v>53000</x:v>
      </x:c>
      <x:c r="K746" s="14" t="n">
        <x:v>59000</x:v>
      </x:c>
      <x:c r="L746" s="12" t="n">
        <x:f>IF(COUNT(J746:K746)=2,IF(K746=0,"",J746/K746),"")</x:f>
        <x:v>0.8983050847457628</x:v>
      </x:c>
      <x:c r="M746" s="10" t="str">
        <x:v>Завершённый короткий просмотр около 6 мин. Объясняющий формат снижает порог входа в незнакомые институты и общественные темы.</x:v>
      </x:c>
      <x:c r="N746" s="10" t="str">
        <x:v>Выписать связки объяснения; дать определение термину.</x:v>
      </x:c>
      <x:c r="O746" s="10" t="str">
        <x:v>Повторно проверять даты законов, чисел и новостей</x:v>
      </x:c>
      <x:c r="P746" s="10" t="str">
        <x:v>Самостоятельное видео</x:v>
      </x:c>
      <x:c r="Q746" s="9" t="str">
        <x:v>Нет</x:v>
      </x:c>
      <x:c r="R746" s="9" t="str">
        <x:v>C045</x:v>
      </x:c>
      <x:c r="S746" s="9" t="str">
        <x:v>C045</x:v>
      </x:c>
      <x:c r="T746" s="10" t="str">
        <x:v>כאן | דיגיטל - תאגיד השידור הישראלי</x:v>
      </x:c>
      <x:c r="U746" s="11" t="str">
        <x:v>https://www.youtube.com/watch?v=JN-wSUCq42U</x:v>
      </x:c>
      <x:c r="V746" s="16" t="n">
        <x:v>46308</x:v>
      </x:c>
      <x:c r="W746" s="16"/>
      <x:c r="X746" s="10" t="str">
        <x:v>Иврит предполагается по заголовку и источнику</x:v>
      </x:c>
      <x:c r="Y746" s="10" t="str">
        <x:v>Не проверено</x:v>
      </x:c>
      <x:c r="Z746" s="10" t="str">
        <x:v>Не проверено</x:v>
      </x:c>
      <x:c r="AA746" s="10" t="str">
        <x:v>Метаданные списка; видео не просмотрено</x:v>
      </x:c>
      <x:c r="AB746" s="13" t="str">
        <x:f>IF(AND(ISNUMBER(H746),ISNUMBER(W746)),H746/MAX(1,'Обзор'!$B$4-W746),"")</x:f>
      </x:c>
      <x:c r="AC746" s="17" t="str">
        <x:v>Не решено</x:v>
      </x:c>
      <x:c r="AD746" s="17" t="str">
        <x:v>Не проверено</x:v>
      </x:c>
      <x:c r="AE746" s="17" t="str">
        <x:v>Не проверено</x:v>
      </x:c>
      <x:c r="AF746" s="17" t="str">
        <x:v>Не проверено</x:v>
      </x:c>
      <x:c r="AG746" s="17" t="str">
        <x:v>Не решено</x:v>
      </x:c>
      <x:c r="AH746" s="17" t="str">
        <x:v>Не проверено</x:v>
      </x:c>
      <x:c r="AI746" s="10" t="str">
        <x:f>IF(AC746="Отклонить","Отклонено",IF(AND(AC746="Взять",COUNTIFS(AD746:AH746,"Да")=5),"Готово","Нужна редактура"))</x:f>
        <x:v>Нужна редактура</x:v>
      </x:c>
      <x:c r="AJ746" s="17" t="str"/>
      <x:c r="AK746" s="9" t="str">
        <x:v>https://www.youtube.com/playlist?list=PLXv9BeKApRvxC7CHMrdA9knii4lmYhJzS</x:v>
      </x:c>
      <x:c r="AL746" s="9" t="n">
        <x:v>8</x:v>
      </x:c>
      <x:c r="AM746" s="9"/>
      <x:c r="AN746" s="9"/>
    </x:row>
    <x:row r="747" ht="60" customHeight="1">
      <x:c r="A747" s="9" t="str">
        <x:v>AGmlo6b-a38</x:v>
      </x:c>
      <x:c r="B747" s="10" t="str">
        <x:v>מי נגד מי בחברה הלבנונית? | כאן מסבירים</x:v>
      </x:c>
      <x:c r="C747" s="10" t="str">
        <x:v>Общество простыми словами</x:v>
      </x:c>
      <x:c r="D747" s="9" t="str">
        <x:v>Образование</x:v>
      </x:c>
      <x:c r="E747" s="10" t="str">
        <x:v>Репатрианты; общество; короткий просмотр</x:v>
      </x:c>
      <x:c r="F747" s="10" t="str">
        <x:v>B1–B2 (гипотеза)</x:v>
      </x:c>
      <x:c r="G747" s="12" t="n">
        <x:v>1.5</x:v>
      </x:c>
      <x:c r="H747" s="14" t="n">
        <x:v>9700</x:v>
      </x:c>
      <x:c r="I747" s="15" t="str">
        <x:v>Округлённый счётчик в списке YouTube</x:v>
      </x:c>
      <x:c r="J747" s="14" t="n">
        <x:v>9700</x:v>
      </x:c>
      <x:c r="K747" s="14" t="n">
        <x:v>59000</x:v>
      </x:c>
      <x:c r="L747" s="12" t="n">
        <x:f>IF(COUNT(J747:K747)=2,IF(K747=0,"",J747/K747),"")</x:f>
        <x:v>0.16440677966101694</x:v>
      </x:c>
      <x:c r="M747" s="10" t="str">
        <x:v>Завершённый короткий просмотр около 2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47" s="10" t="str">
        <x:v>Выписать связки объяснения; дать определение термину.</x:v>
      </x:c>
      <x:c r="O747" s="10" t="str">
        <x:v>Повторно проверять даты законов, чисел и новостей</x:v>
      </x:c>
      <x:c r="P747" s="10" t="str">
        <x:v>Самостоятельное видео</x:v>
      </x:c>
      <x:c r="Q747" s="9" t="str">
        <x:v>Нет</x:v>
      </x:c>
      <x:c r="R747" s="9" t="str">
        <x:v>C045</x:v>
      </x:c>
      <x:c r="S747" s="9" t="str">
        <x:v>C045</x:v>
      </x:c>
      <x:c r="T747" s="10" t="str">
        <x:v>כאן | דיגיטל - תאגיד השידור הישראלי</x:v>
      </x:c>
      <x:c r="U747" s="11" t="str">
        <x:v>https://www.youtube.com/watch?v=AGmlo6b-a38</x:v>
      </x:c>
      <x:c r="V747" s="16" t="n">
        <x:v>46308</x:v>
      </x:c>
      <x:c r="W747" s="16"/>
      <x:c r="X747" s="10" t="str">
        <x:v>Иврит предполагается по заголовку и источнику</x:v>
      </x:c>
      <x:c r="Y747" s="10" t="str">
        <x:v>Не проверено</x:v>
      </x:c>
      <x:c r="Z747" s="10" t="str">
        <x:v>Не проверено</x:v>
      </x:c>
      <x:c r="AA747" s="10" t="str">
        <x:v>Метаданные списка; видео не просмотрено</x:v>
      </x:c>
      <x:c r="AB747" s="13" t="str">
        <x:f>IF(AND(ISNUMBER(H747),ISNUMBER(W747)),H747/MAX(1,'Обзор'!$B$4-W747),"")</x:f>
      </x:c>
      <x:c r="AC747" s="17" t="str">
        <x:v>Не решено</x:v>
      </x:c>
      <x:c r="AD747" s="17" t="str">
        <x:v>Не проверено</x:v>
      </x:c>
      <x:c r="AE747" s="17" t="str">
        <x:v>Не проверено</x:v>
      </x:c>
      <x:c r="AF747" s="17" t="str">
        <x:v>Не проверено</x:v>
      </x:c>
      <x:c r="AG747" s="17" t="str">
        <x:v>Не решено</x:v>
      </x:c>
      <x:c r="AH747" s="17" t="str">
        <x:v>Не проверено</x:v>
      </x:c>
      <x:c r="AI747" s="10" t="str">
        <x:f>IF(AC747="Отклонить","Отклонено",IF(AND(AC747="Взять",COUNTIFS(AD747:AH747,"Да")=5),"Готово","Нужна редактура"))</x:f>
        <x:v>Нужна редактура</x:v>
      </x:c>
      <x:c r="AJ747" s="17" t="str"/>
      <x:c r="AK747" s="9" t="str">
        <x:v>https://www.youtube.com/playlist?list=PLXv9BeKApRvxC7CHMrdA9knii4lmYhJzS</x:v>
      </x:c>
      <x:c r="AL747" s="9" t="n">
        <x:v>10</x:v>
      </x:c>
      <x:c r="AM747" s="9"/>
      <x:c r="AN747" s="9"/>
    </x:row>
    <x:row r="748" ht="60" customHeight="1">
      <x:c r="A748" s="9" t="str">
        <x:v>5D1HXxrZ_i8</x:v>
      </x:c>
      <x:c r="B748" s="10" t="str">
        <x:v>בוא ללמוד על כובע, טמבל</x:v>
      </x:c>
      <x:c r="C748" s="10" t="str">
        <x:v>Общество простыми словами</x:v>
      </x:c>
      <x:c r="D748" s="9" t="str">
        <x:v>Образование</x:v>
      </x:c>
      <x:c r="E748" s="10" t="str">
        <x:v>Репатрианты; общество; короткий просмотр</x:v>
      </x:c>
      <x:c r="F748" s="10" t="str">
        <x:v>B1–B2 (гипотеза)</x:v>
      </x:c>
      <x:c r="G748" s="12" t="n">
        <x:v>0.9</x:v>
      </x:c>
      <x:c r="H748" s="14" t="n">
        <x:v>96000</x:v>
      </x:c>
      <x:c r="I748" s="15" t="str">
        <x:v>Округлённый счётчик в списке YouTube</x:v>
      </x:c>
      <x:c r="J748" s="14" t="n">
        <x:v>96000</x:v>
      </x:c>
      <x:c r="K748" s="14" t="n">
        <x:v>59000</x:v>
      </x:c>
      <x:c r="L748" s="12" t="n">
        <x:f>IF(COUNT(J748:K748)=2,IF(K748=0,"",J748/K748),"")</x:f>
        <x:v>1.6271186440677967</x:v>
      </x:c>
      <x:c r="M748" s="10" t="str">
        <x:v>Завершённый короткий просмотр около 1 мин. Просмотры в списке выше медианы выборки этого цикла в 1.63 раза. Объясняющий формат снижает порог входа в незнакомые институты и общественные темы.</x:v>
      </x:c>
      <x:c r="N748" s="10" t="str">
        <x:v>Выписать связки объяснения; дать определение термину.</x:v>
      </x:c>
      <x:c r="O748" s="10" t="str">
        <x:v>Повторно проверять даты законов, чисел и новостей</x:v>
      </x:c>
      <x:c r="P748" s="10" t="str">
        <x:v>Самостоятельное видео</x:v>
      </x:c>
      <x:c r="Q748" s="9" t="str">
        <x:v>Нет</x:v>
      </x:c>
      <x:c r="R748" s="9" t="str">
        <x:v>C045</x:v>
      </x:c>
      <x:c r="S748" s="9" t="str">
        <x:v>C045</x:v>
      </x:c>
      <x:c r="T748" s="10" t="str">
        <x:v>כאן | דיגיטל - תאגיד השידור הישראלי</x:v>
      </x:c>
      <x:c r="U748" s="11" t="str">
        <x:v>https://www.youtube.com/watch?v=5D1HXxrZ_i8</x:v>
      </x:c>
      <x:c r="V748" s="16" t="n">
        <x:v>46308</x:v>
      </x:c>
      <x:c r="W748" s="16"/>
      <x:c r="X748" s="10" t="str">
        <x:v>Иврит предполагается по заголовку и источнику</x:v>
      </x:c>
      <x:c r="Y748" s="10" t="str">
        <x:v>Не проверено</x:v>
      </x:c>
      <x:c r="Z748" s="10" t="str">
        <x:v>Не проверено</x:v>
      </x:c>
      <x:c r="AA748" s="10" t="str">
        <x:v>Метаданные списка; видео не просмотрено</x:v>
      </x:c>
      <x:c r="AB748" s="13" t="str">
        <x:f>IF(AND(ISNUMBER(H748),ISNUMBER(W748)),H748/MAX(1,'Обзор'!$B$4-W748),"")</x:f>
      </x:c>
      <x:c r="AC748" s="17" t="str">
        <x:v>Не решено</x:v>
      </x:c>
      <x:c r="AD748" s="17" t="str">
        <x:v>Не проверено</x:v>
      </x:c>
      <x:c r="AE748" s="17" t="str">
        <x:v>Не проверено</x:v>
      </x:c>
      <x:c r="AF748" s="17" t="str">
        <x:v>Не проверено</x:v>
      </x:c>
      <x:c r="AG748" s="17" t="str">
        <x:v>Не решено</x:v>
      </x:c>
      <x:c r="AH748" s="17" t="str">
        <x:v>Не проверено</x:v>
      </x:c>
      <x:c r="AI748" s="10" t="str">
        <x:f>IF(AC748="Отклонить","Отклонено",IF(AND(AC748="Взять",COUNTIFS(AD748:AH748,"Да")=5),"Готово","Нужна редактура"))</x:f>
        <x:v>Нужна редактура</x:v>
      </x:c>
      <x:c r="AJ748" s="17" t="str"/>
      <x:c r="AK748" s="9" t="str">
        <x:v>https://www.youtube.com/playlist?list=PLXv9BeKApRvxC7CHMrdA9knii4lmYhJzS</x:v>
      </x:c>
      <x:c r="AL748" s="9" t="n">
        <x:v>11</x:v>
      </x:c>
      <x:c r="AM748" s="9"/>
      <x:c r="AN748" s="9"/>
    </x:row>
    <x:row r="749" ht="60" customHeight="1">
      <x:c r="A749" s="9" t="str">
        <x:v>XlLYFrJ8pAY</x:v>
      </x:c>
      <x:c r="B749" s="10" t="str">
        <x:v>מועצת הביטחון של האו"ם - מי אתם שתחליטו עלינו?</x:v>
      </x:c>
      <x:c r="C749" s="10" t="str">
        <x:v>Общество простыми словами</x:v>
      </x:c>
      <x:c r="D749" s="9" t="str">
        <x:v>Образование</x:v>
      </x:c>
      <x:c r="E749" s="10" t="str">
        <x:v>Репатрианты; общество; короткий просмотр</x:v>
      </x:c>
      <x:c r="F749" s="10" t="str">
        <x:v>B1–B2 (гипотеза)</x:v>
      </x:c>
      <x:c r="G749" s="12" t="n">
        <x:v>5.3</x:v>
      </x:c>
      <x:c r="H749" s="14" t="n">
        <x:v>40000</x:v>
      </x:c>
      <x:c r="I749" s="15" t="str">
        <x:v>Округлённый счётчик в списке YouTube</x:v>
      </x:c>
      <x:c r="J749" s="14" t="n">
        <x:v>40000</x:v>
      </x:c>
      <x:c r="K749" s="14" t="n">
        <x:v>59000</x:v>
      </x:c>
      <x:c r="L749" s="12" t="n">
        <x:f>IF(COUNT(J749:K749)=2,IF(K749=0,"",J749/K749),"")</x:f>
        <x:v>0.6779661016949152</x:v>
      </x:c>
      <x:c r="M749" s="10" t="str">
        <x:v>Завершённый короткий просмотр около 5 мин. Объясняющий формат снижает порог входа в незнакомые институты и общественные темы.</x:v>
      </x:c>
      <x:c r="N749" s="10" t="str">
        <x:v>Выписать связки объяснения; дать определение термину.</x:v>
      </x:c>
      <x:c r="O749" s="10" t="str">
        <x:v>Повторно проверять даты законов, чисел и новостей</x:v>
      </x:c>
      <x:c r="P749" s="10" t="str">
        <x:v>Самостоятельное видео</x:v>
      </x:c>
      <x:c r="Q749" s="9" t="str">
        <x:v>Нет</x:v>
      </x:c>
      <x:c r="R749" s="9" t="str">
        <x:v>C045</x:v>
      </x:c>
      <x:c r="S749" s="9" t="str">
        <x:v>C045</x:v>
      </x:c>
      <x:c r="T749" s="10" t="str">
        <x:v>כאן | דיגיטל - תאגיד השידור הישראלי</x:v>
      </x:c>
      <x:c r="U749" s="11" t="str">
        <x:v>https://www.youtube.com/watch?v=XlLYFrJ8pAY</x:v>
      </x:c>
      <x:c r="V749" s="16" t="n">
        <x:v>46308</x:v>
      </x:c>
      <x:c r="W749" s="16"/>
      <x:c r="X749" s="10" t="str">
        <x:v>Иврит предполагается по заголовку и источнику</x:v>
      </x:c>
      <x:c r="Y749" s="10" t="str">
        <x:v>Не проверено</x:v>
      </x:c>
      <x:c r="Z749" s="10" t="str">
        <x:v>Не проверено</x:v>
      </x:c>
      <x:c r="AA749" s="10" t="str">
        <x:v>Метаданные списка; видео не просмотрено</x:v>
      </x:c>
      <x:c r="AB749" s="13" t="str">
        <x:f>IF(AND(ISNUMBER(H749),ISNUMBER(W749)),H749/MAX(1,'Обзор'!$B$4-W749),"")</x:f>
      </x:c>
      <x:c r="AC749" s="17" t="str">
        <x:v>Не решено</x:v>
      </x:c>
      <x:c r="AD749" s="17" t="str">
        <x:v>Не проверено</x:v>
      </x:c>
      <x:c r="AE749" s="17" t="str">
        <x:v>Не проверено</x:v>
      </x:c>
      <x:c r="AF749" s="17" t="str">
        <x:v>Не проверено</x:v>
      </x:c>
      <x:c r="AG749" s="17" t="str">
        <x:v>Не решено</x:v>
      </x:c>
      <x:c r="AH749" s="17" t="str">
        <x:v>Не проверено</x:v>
      </x:c>
      <x:c r="AI749" s="10" t="str">
        <x:f>IF(AC749="Отклонить","Отклонено",IF(AND(AC749="Взять",COUNTIFS(AD749:AH749,"Да")=5),"Готово","Нужна редактура"))</x:f>
        <x:v>Нужна редактура</x:v>
      </x:c>
      <x:c r="AJ749" s="17" t="str"/>
      <x:c r="AK749" s="9" t="str">
        <x:v>https://www.youtube.com/playlist?list=PLXv9BeKApRvxC7CHMrdA9knii4lmYhJzS</x:v>
      </x:c>
      <x:c r="AL749" s="9" t="n">
        <x:v>12</x:v>
      </x:c>
      <x:c r="AM749" s="9"/>
      <x:c r="AN749" s="9"/>
    </x:row>
    <x:row r="750" ht="60" customHeight="1">
      <x:c r="A750" s="9" t="str">
        <x:v>1jVRFHG7mE8</x:v>
      </x:c>
      <x:c r="B750" s="10" t="str">
        <x:v>העלייה מארצות ערב, קק"ל והמכוניות הם אלו שעיצבו את המנגלים של יום העצמאות הישראלי 🇮🇱</x:v>
      </x:c>
      <x:c r="C750" s="10" t="str">
        <x:v>Общество простыми словами</x:v>
      </x:c>
      <x:c r="D750" s="9" t="str">
        <x:v>Образование</x:v>
      </x:c>
      <x:c r="E750" s="10" t="str">
        <x:v>Репатрианты; общество; короткий просмотр</x:v>
      </x:c>
      <x:c r="F750" s="10" t="str">
        <x:v>B1–B2 (гипотеза)</x:v>
      </x:c>
      <x:c r="G750" s="12" t="n">
        <x:v>1</x:v>
      </x:c>
      <x:c r="H750" s="14" t="n">
        <x:v>76000</x:v>
      </x:c>
      <x:c r="I750" s="15" t="str">
        <x:v>Округлённый счётчик в списке YouTube</x:v>
      </x:c>
      <x:c r="J750" s="14" t="n">
        <x:v>76000</x:v>
      </x:c>
      <x:c r="K750" s="14" t="n">
        <x:v>59000</x:v>
      </x:c>
      <x:c r="L750" s="12" t="n">
        <x:f>IF(COUNT(J750:K750)=2,IF(K750=0,"",J750/K750),"")</x:f>
        <x:v>1.2881355932203389</x:v>
      </x:c>
      <x:c r="M750" s="10" t="str">
        <x:v>Завершённый короткий просмотр около 1 мин. Объясняющий формат снижает порог входа в незнакомые институты и общественные темы.</x:v>
      </x:c>
      <x:c r="N750" s="10" t="str">
        <x:v>Выписать связки объяснения; дать определение термину.</x:v>
      </x:c>
      <x:c r="O750" s="10" t="str">
        <x:v>Повторно проверять даты законов, чисел и новостей</x:v>
      </x:c>
      <x:c r="P750" s="10" t="str">
        <x:v>Самостоятельное видео</x:v>
      </x:c>
      <x:c r="Q750" s="9" t="str">
        <x:v>Нет</x:v>
      </x:c>
      <x:c r="R750" s="9" t="str">
        <x:v>C045</x:v>
      </x:c>
      <x:c r="S750" s="9" t="str">
        <x:v>C045</x:v>
      </x:c>
      <x:c r="T750" s="10" t="str">
        <x:v>כאן | דיגיטל - תאגיד השידור הישראלי</x:v>
      </x:c>
      <x:c r="U750" s="11" t="str">
        <x:v>https://www.youtube.com/watch?v=1jVRFHG7mE8</x:v>
      </x:c>
      <x:c r="V750" s="16" t="n">
        <x:v>46308</x:v>
      </x:c>
      <x:c r="W750" s="16"/>
      <x:c r="X750" s="10" t="str">
        <x:v>Иврит предполагается по заголовку и источнику</x:v>
      </x:c>
      <x:c r="Y750" s="10" t="str">
        <x:v>Не проверено</x:v>
      </x:c>
      <x:c r="Z750" s="10" t="str">
        <x:v>Не проверено</x:v>
      </x:c>
      <x:c r="AA750" s="10" t="str">
        <x:v>Метаданные списка; видео не просмотрено</x:v>
      </x:c>
      <x:c r="AB750" s="13" t="str">
        <x:f>IF(AND(ISNUMBER(H750),ISNUMBER(W750)),H750/MAX(1,'Обзор'!$B$4-W750),"")</x:f>
      </x:c>
      <x:c r="AC750" s="17" t="str">
        <x:v>Не решено</x:v>
      </x:c>
      <x:c r="AD750" s="17" t="str">
        <x:v>Не проверено</x:v>
      </x:c>
      <x:c r="AE750" s="17" t="str">
        <x:v>Не проверено</x:v>
      </x:c>
      <x:c r="AF750" s="17" t="str">
        <x:v>Не проверено</x:v>
      </x:c>
      <x:c r="AG750" s="17" t="str">
        <x:v>Не решено</x:v>
      </x:c>
      <x:c r="AH750" s="17" t="str">
        <x:v>Не проверено</x:v>
      </x:c>
      <x:c r="AI750" s="10" t="str">
        <x:f>IF(AC750="Отклонить","Отклонено",IF(AND(AC750="Взять",COUNTIFS(AD750:AH750,"Да")=5),"Готово","Нужна редактура"))</x:f>
        <x:v>Нужна редактура</x:v>
      </x:c>
      <x:c r="AJ750" s="17" t="str"/>
      <x:c r="AK750" s="9" t="str">
        <x:v>https://www.youtube.com/playlist?list=PLXv9BeKApRvxC7CHMrdA9knii4lmYhJzS</x:v>
      </x:c>
      <x:c r="AL750" s="9" t="n">
        <x:v>13</x:v>
      </x:c>
      <x:c r="AM750" s="9"/>
      <x:c r="AN750" s="9"/>
    </x:row>
    <x:row r="751" ht="60" customHeight="1">
      <x:c r="A751" s="9" t="str">
        <x:v>OGlFMiDdylY</x:v>
      </x:c>
      <x:c r="B751" s="10" t="str">
        <x:v>אסרו חג - מה זה בעצם?</x:v>
      </x:c>
      <x:c r="C751" s="10" t="str">
        <x:v>Общество простыми словами</x:v>
      </x:c>
      <x:c r="D751" s="9" t="str">
        <x:v>Образование</x:v>
      </x:c>
      <x:c r="E751" s="10" t="str">
        <x:v>Репатрианты; общество; короткий просмотр</x:v>
      </x:c>
      <x:c r="F751" s="10" t="str">
        <x:v>B1–B2 (гипотеза)</x:v>
      </x:c>
      <x:c r="G751" s="12" t="n">
        <x:v>1.3</x:v>
      </x:c>
      <x:c r="H751" s="14" t="n">
        <x:v>7700</x:v>
      </x:c>
      <x:c r="I751" s="15" t="str">
        <x:v>Округлённый счётчик в списке YouTube</x:v>
      </x:c>
      <x:c r="J751" s="14" t="n">
        <x:v>7700</x:v>
      </x:c>
      <x:c r="K751" s="14" t="n">
        <x:v>59000</x:v>
      </x:c>
      <x:c r="L751" s="12" t="n">
        <x:f>IF(COUNT(J751:K751)=2,IF(K751=0,"",J751/K751),"")</x:f>
        <x:v>0.13050847457627118</x:v>
      </x:c>
      <x:c r="M751" s="10" t="str">
        <x:v>Завершённый короткий просмотр около 1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51" s="10" t="str">
        <x:v>Выписать связки объяснения; дать определение термину.</x:v>
      </x:c>
      <x:c r="O751" s="10" t="str">
        <x:v>Повторно проверять даты законов, чисел и новостей</x:v>
      </x:c>
      <x:c r="P751" s="10" t="str">
        <x:v>Самостоятельное видео</x:v>
      </x:c>
      <x:c r="Q751" s="9" t="str">
        <x:v>Нет</x:v>
      </x:c>
      <x:c r="R751" s="9" t="str">
        <x:v>C045</x:v>
      </x:c>
      <x:c r="S751" s="9" t="str">
        <x:v>C045</x:v>
      </x:c>
      <x:c r="T751" s="10" t="str">
        <x:v>כאן | דיגיטל - תאגיד השידור הישראלי</x:v>
      </x:c>
      <x:c r="U751" s="11" t="str">
        <x:v>https://www.youtube.com/watch?v=OGlFMiDdylY</x:v>
      </x:c>
      <x:c r="V751" s="16" t="n">
        <x:v>46308</x:v>
      </x:c>
      <x:c r="W751" s="16"/>
      <x:c r="X751" s="10" t="str">
        <x:v>Иврит предполагается по заголовку и источнику</x:v>
      </x:c>
      <x:c r="Y751" s="10" t="str">
        <x:v>Не проверено</x:v>
      </x:c>
      <x:c r="Z751" s="10" t="str">
        <x:v>Не проверено</x:v>
      </x:c>
      <x:c r="AA751" s="10" t="str">
        <x:v>Метаданные списка; видео не просмотрено</x:v>
      </x:c>
      <x:c r="AB751" s="13" t="str">
        <x:f>IF(AND(ISNUMBER(H751),ISNUMBER(W751)),H751/MAX(1,'Обзор'!$B$4-W751),"")</x:f>
      </x:c>
      <x:c r="AC751" s="17" t="str">
        <x:v>Не решено</x:v>
      </x:c>
      <x:c r="AD751" s="17" t="str">
        <x:v>Не проверено</x:v>
      </x:c>
      <x:c r="AE751" s="17" t="str">
        <x:v>Не проверено</x:v>
      </x:c>
      <x:c r="AF751" s="17" t="str">
        <x:v>Не проверено</x:v>
      </x:c>
      <x:c r="AG751" s="17" t="str">
        <x:v>Не решено</x:v>
      </x:c>
      <x:c r="AH751" s="17" t="str">
        <x:v>Не проверено</x:v>
      </x:c>
      <x:c r="AI751" s="10" t="str">
        <x:f>IF(AC751="Отклонить","Отклонено",IF(AND(AC751="Взять",COUNTIFS(AD751:AH751,"Да")=5),"Готово","Нужна редактура"))</x:f>
        <x:v>Нужна редактура</x:v>
      </x:c>
      <x:c r="AJ751" s="17" t="str"/>
      <x:c r="AK751" s="9" t="str">
        <x:v>https://www.youtube.com/playlist?list=PLXv9BeKApRvxC7CHMrdA9knii4lmYhJzS</x:v>
      </x:c>
      <x:c r="AL751" s="9" t="n">
        <x:v>14</x:v>
      </x:c>
      <x:c r="AM751" s="9"/>
      <x:c r="AN751" s="9"/>
    </x:row>
    <x:row r="752" ht="60" customHeight="1">
      <x:c r="A752" s="9" t="str">
        <x:v>F2XRO43Kl04</x:v>
      </x:c>
      <x:c r="B752" s="10" t="str">
        <x:v>נתקעתם בלי כיוון למימונה? בואו לרומפלנאכט של יצחק</x:v>
      </x:c>
      <x:c r="C752" s="10" t="str">
        <x:v>Общество простыми словами</x:v>
      </x:c>
      <x:c r="D752" s="9" t="str">
        <x:v>Образование</x:v>
      </x:c>
      <x:c r="E752" s="10" t="str">
        <x:v>Репатрианты; общество; короткий просмотр</x:v>
      </x:c>
      <x:c r="F752" s="10" t="str">
        <x:v>B1–B2 (гипотеза)</x:v>
      </x:c>
      <x:c r="G752" s="12" t="n">
        <x:v>1.2</x:v>
      </x:c>
      <x:c r="H752" s="14" t="n">
        <x:v>16000</x:v>
      </x:c>
      <x:c r="I752" s="15" t="str">
        <x:v>Округлённый счётчик в списке YouTube</x:v>
      </x:c>
      <x:c r="J752" s="14" t="n">
        <x:v>16000</x:v>
      </x:c>
      <x:c r="K752" s="14" t="n">
        <x:v>59000</x:v>
      </x:c>
      <x:c r="L752" s="12" t="n">
        <x:f>IF(COUNT(J752:K752)=2,IF(K752=0,"",J752/K752),"")</x:f>
        <x:v>0.2711864406779661</x:v>
      </x:c>
      <x:c r="M752" s="10" t="str">
        <x:v>Завершённый короткий просмотр около 1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52" s="10" t="str">
        <x:v>Выписать связки объяснения; дать определение термину.</x:v>
      </x:c>
      <x:c r="O752" s="10" t="str">
        <x:v>Повторно проверять даты законов, чисел и новостей</x:v>
      </x:c>
      <x:c r="P752" s="10" t="str">
        <x:v>Самостоятельное видео</x:v>
      </x:c>
      <x:c r="Q752" s="9" t="str">
        <x:v>Нет</x:v>
      </x:c>
      <x:c r="R752" s="9" t="str">
        <x:v>C045</x:v>
      </x:c>
      <x:c r="S752" s="9" t="str">
        <x:v>C045</x:v>
      </x:c>
      <x:c r="T752" s="10" t="str">
        <x:v>כאן | דיגיטל - תאגיד השידור הישראלי</x:v>
      </x:c>
      <x:c r="U752" s="11" t="str">
        <x:v>https://www.youtube.com/watch?v=F2XRO43Kl04</x:v>
      </x:c>
      <x:c r="V752" s="16" t="n">
        <x:v>46308</x:v>
      </x:c>
      <x:c r="W752" s="16"/>
      <x:c r="X752" s="10" t="str">
        <x:v>Иврит предполагается по заголовку и источнику</x:v>
      </x:c>
      <x:c r="Y752" s="10" t="str">
        <x:v>Не проверено</x:v>
      </x:c>
      <x:c r="Z752" s="10" t="str">
        <x:v>Не проверено</x:v>
      </x:c>
      <x:c r="AA752" s="10" t="str">
        <x:v>Метаданные списка; видео не просмотрено</x:v>
      </x:c>
      <x:c r="AB752" s="13" t="str">
        <x:f>IF(AND(ISNUMBER(H752),ISNUMBER(W752)),H752/MAX(1,'Обзор'!$B$4-W752),"")</x:f>
      </x:c>
      <x:c r="AC752" s="17" t="str">
        <x:v>Не решено</x:v>
      </x:c>
      <x:c r="AD752" s="17" t="str">
        <x:v>Не проверено</x:v>
      </x:c>
      <x:c r="AE752" s="17" t="str">
        <x:v>Не проверено</x:v>
      </x:c>
      <x:c r="AF752" s="17" t="str">
        <x:v>Не проверено</x:v>
      </x:c>
      <x:c r="AG752" s="17" t="str">
        <x:v>Не решено</x:v>
      </x:c>
      <x:c r="AH752" s="17" t="str">
        <x:v>Не проверено</x:v>
      </x:c>
      <x:c r="AI752" s="10" t="str">
        <x:f>IF(AC752="Отклонить","Отклонено",IF(AND(AC752="Взять",COUNTIFS(AD752:AH752,"Да")=5),"Готово","Нужна редактура"))</x:f>
        <x:v>Нужна редактура</x:v>
      </x:c>
      <x:c r="AJ752" s="17" t="str"/>
      <x:c r="AK752" s="9" t="str">
        <x:v>https://www.youtube.com/playlist?list=PLXv9BeKApRvxC7CHMrdA9knii4lmYhJzS</x:v>
      </x:c>
      <x:c r="AL752" s="9" t="n">
        <x:v>15</x:v>
      </x:c>
      <x:c r="AM752" s="9"/>
      <x:c r="AN752" s="9"/>
    </x:row>
    <x:row r="753" ht="60" customHeight="1">
      <x:c r="A753" s="9" t="str">
        <x:v>9de0c_P_o_8</x:v>
      </x:c>
      <x:c r="B753" s="10" t="str">
        <x:v>בייבי בום חרבות ברזל: האם המלחמה תוביל לזינוק בילודה?</x:v>
      </x:c>
      <x:c r="C753" s="10" t="str">
        <x:v>Общество простыми словами</x:v>
      </x:c>
      <x:c r="D753" s="9" t="str">
        <x:v>Образование</x:v>
      </x:c>
      <x:c r="E753" s="10" t="str">
        <x:v>Репатрианты; общество; короткий просмотр</x:v>
      </x:c>
      <x:c r="F753" s="10" t="str">
        <x:v>B1–B2 (гипотеза)</x:v>
      </x:c>
      <x:c r="G753" s="12" t="n">
        <x:v>4.5</x:v>
      </x:c>
      <x:c r="H753" s="14" t="n">
        <x:v>28000</x:v>
      </x:c>
      <x:c r="I753" s="15" t="str">
        <x:v>Округлённый счётчик в списке YouTube</x:v>
      </x:c>
      <x:c r="J753" s="14" t="n">
        <x:v>28000</x:v>
      </x:c>
      <x:c r="K753" s="14" t="n">
        <x:v>59000</x:v>
      </x:c>
      <x:c r="L753" s="12" t="n">
        <x:f>IF(COUNT(J753:K753)=2,IF(K753=0,"",J753/K753),"")</x:f>
        <x:v>0.4745762711864407</x:v>
      </x:c>
      <x:c r="M753" s="10" t="str">
        <x:v>Завершённый короткий просмотр около 4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53" s="10" t="str">
        <x:v>Выписать связки объяснения; дать определение термину.</x:v>
      </x:c>
      <x:c r="O753" s="10" t="str">
        <x:v>Повторно проверять даты законов, чисел и новостей</x:v>
      </x:c>
      <x:c r="P753" s="10" t="str">
        <x:v>Самостоятельное видео</x:v>
      </x:c>
      <x:c r="Q753" s="9" t="str">
        <x:v>Нет</x:v>
      </x:c>
      <x:c r="R753" s="9" t="str">
        <x:v>C045</x:v>
      </x:c>
      <x:c r="S753" s="9" t="str">
        <x:v>C045</x:v>
      </x:c>
      <x:c r="T753" s="10" t="str">
        <x:v>כאן | דיגיטל - תאגיד השידור הישראלי</x:v>
      </x:c>
      <x:c r="U753" s="11" t="str">
        <x:v>https://www.youtube.com/watch?v=9de0c_P_o_8</x:v>
      </x:c>
      <x:c r="V753" s="16" t="n">
        <x:v>46308</x:v>
      </x:c>
      <x:c r="W753" s="16"/>
      <x:c r="X753" s="10" t="str">
        <x:v>Иврит предполагается по заголовку и источнику</x:v>
      </x:c>
      <x:c r="Y753" s="10" t="str">
        <x:v>Не проверено</x:v>
      </x:c>
      <x:c r="Z753" s="10" t="str">
        <x:v>Не проверено</x:v>
      </x:c>
      <x:c r="AA753" s="10" t="str">
        <x:v>Метаданные списка; видео не просмотрено</x:v>
      </x:c>
      <x:c r="AB753" s="13" t="str">
        <x:f>IF(AND(ISNUMBER(H753),ISNUMBER(W753)),H753/MAX(1,'Обзор'!$B$4-W753),"")</x:f>
      </x:c>
      <x:c r="AC753" s="17" t="str">
        <x:v>Не решено</x:v>
      </x:c>
      <x:c r="AD753" s="17" t="str">
        <x:v>Не проверено</x:v>
      </x:c>
      <x:c r="AE753" s="17" t="str">
        <x:v>Не проверено</x:v>
      </x:c>
      <x:c r="AF753" s="17" t="str">
        <x:v>Не проверено</x:v>
      </x:c>
      <x:c r="AG753" s="17" t="str">
        <x:v>Не решено</x:v>
      </x:c>
      <x:c r="AH753" s="17" t="str">
        <x:v>Не проверено</x:v>
      </x:c>
      <x:c r="AI753" s="10" t="str">
        <x:f>IF(AC753="Отклонить","Отклонено",IF(AND(AC753="Взять",COUNTIFS(AD753:AH753,"Да")=5),"Готово","Нужна редактура"))</x:f>
        <x:v>Нужна редактура</x:v>
      </x:c>
      <x:c r="AJ753" s="17" t="str"/>
      <x:c r="AK753" s="9" t="str">
        <x:v>https://www.youtube.com/playlist?list=PLXv9BeKApRvxC7CHMrdA9knii4lmYhJzS</x:v>
      </x:c>
      <x:c r="AL753" s="9" t="n">
        <x:v>16</x:v>
      </x:c>
      <x:c r="AM753" s="9"/>
      <x:c r="AN753" s="9"/>
    </x:row>
    <x:row r="754" ht="60" customHeight="1">
      <x:c r="A754" s="9" t="str">
        <x:v>1mqzYFbEzcg</x:v>
      </x:c>
      <x:c r="B754" s="10" t="str">
        <x:v>איך ייראה אות המערכה של מלחמת ה-7 באוקטובר?</x:v>
      </x:c>
      <x:c r="C754" s="10" t="str">
        <x:v>Общество простыми словами</x:v>
      </x:c>
      <x:c r="D754" s="9" t="str">
        <x:v>Образование</x:v>
      </x:c>
      <x:c r="E754" s="10" t="str">
        <x:v>Репатрианты; общество; короткий просмотр</x:v>
      </x:c>
      <x:c r="F754" s="10" t="str">
        <x:v>B1–B2 (гипотеза)</x:v>
      </x:c>
      <x:c r="G754" s="12" t="n">
        <x:v>6.3</x:v>
      </x:c>
      <x:c r="H754" s="14" t="n">
        <x:v>71696</x:v>
      </x:c>
      <x:c r="I754" s="15" t="str">
        <x:v>Точный счётчик метаданных видео</x:v>
      </x:c>
      <x:c r="J754" s="14" t="n">
        <x:v>71000</x:v>
      </x:c>
      <x:c r="K754" s="14" t="n">
        <x:v>59000</x:v>
      </x:c>
      <x:c r="L754" s="12" t="n">
        <x:f>IF(COUNT(J754:K754)=2,IF(K754=0,"",J754/K754),"")</x:f>
        <x:v>1.2033898305084745</x:v>
      </x:c>
      <x:c r="M754" s="10" t="str">
        <x:v>Завершённый короткий просмотр около 6 мин. Объясняющий формат снижает порог входа в незнакомые институты и общественные темы.</x:v>
      </x:c>
      <x:c r="N754" s="10" t="str">
        <x:v>Выписать связки объяснения; дать определение термину.</x:v>
      </x:c>
      <x:c r="O754" s="10" t="str">
        <x:v>Повторно проверять даты законов, чисел и новостей</x:v>
      </x:c>
      <x:c r="P754" s="10" t="str">
        <x:v>Самостоятельное видео</x:v>
      </x:c>
      <x:c r="Q754" s="9" t="str">
        <x:v>Нет</x:v>
      </x:c>
      <x:c r="R754" s="9" t="str">
        <x:v>C045</x:v>
      </x:c>
      <x:c r="S754" s="9" t="str">
        <x:v>C045</x:v>
      </x:c>
      <x:c r="T754" s="10" t="str">
        <x:v>כאן | דיגיטל - תאגיד השידור הישראלי</x:v>
      </x:c>
      <x:c r="U754" s="11" t="str">
        <x:v>https://www.youtube.com/watch?v=1mqzYFbEzcg</x:v>
      </x:c>
      <x:c r="V754" s="16" t="n">
        <x:v>46308</x:v>
      </x:c>
      <x:c r="W754" s="16" t="n">
        <x:v>45389</x:v>
      </x:c>
      <x:c r="X754" s="10" t="str">
        <x:v>Иврит предполагается по заголовку и источнику</x:v>
      </x:c>
      <x:c r="Y754" s="10" t="str">
        <x:v>Автоматическая дорожка HE по метаданным</x:v>
      </x:c>
      <x:c r="Z754" s="10" t="str">
        <x:v>Разрешено по метаданным</x:v>
      </x:c>
      <x:c r="AA754" s="10" t="str">
        <x:v>Метаданные видео; воспроизведение и содержание не проверены</x:v>
      </x:c>
      <x:c r="AB754" s="13" t="n">
        <x:f>IF(AND(ISNUMBER(H754),ISNUMBER(W754)),H754/MAX(1,'Обзор'!$B$4-W754),"")</x:f>
        <x:v>78.0152339499456</x:v>
      </x:c>
      <x:c r="AC754" s="17" t="str">
        <x:v>Не решено</x:v>
      </x:c>
      <x:c r="AD754" s="17" t="str">
        <x:v>Не проверено</x:v>
      </x:c>
      <x:c r="AE754" s="17" t="str">
        <x:v>Не проверено</x:v>
      </x:c>
      <x:c r="AF754" s="17" t="str">
        <x:v>Не проверено</x:v>
      </x:c>
      <x:c r="AG754" s="17" t="str">
        <x:v>Не решено</x:v>
      </x:c>
      <x:c r="AH754" s="17" t="str">
        <x:v>Не проверено</x:v>
      </x:c>
      <x:c r="AI754" s="10" t="str">
        <x:f>IF(AC754="Отклонить","Отклонено",IF(AND(AC754="Взять",COUNTIFS(AD754:AH754,"Да")=5),"Готово","Нужна редактура"))</x:f>
        <x:v>Нужна редактура</x:v>
      </x:c>
      <x:c r="AJ754" s="17" t="str"/>
      <x:c r="AK754" s="9" t="str">
        <x:v>https://www.youtube.com/playlist?list=PLXv9BeKApRvxC7CHMrdA9knii4lmYhJzS</x:v>
      </x:c>
      <x:c r="AL754" s="9" t="n">
        <x:v>17</x:v>
      </x:c>
      <x:c r="AM754" s="9"/>
      <x:c r="AN754" s="9" t="n">
        <x:v>0</x:v>
      </x:c>
    </x:row>
    <x:row r="755" ht="60" customHeight="1">
      <x:c r="A755" s="9" t="str">
        <x:v>i81Bc-FrJG4</x:v>
      </x:c>
      <x:c r="B755" s="10" t="str">
        <x:v>ישנים פחות טוב מאז המלחמה? אתם לא לבד ויש לזה פתרונות | כאן מסבירים מלחמה</x:v>
      </x:c>
      <x:c r="C755" s="10" t="str">
        <x:v>Общество простыми словами</x:v>
      </x:c>
      <x:c r="D755" s="9" t="str">
        <x:v>Образование</x:v>
      </x:c>
      <x:c r="E755" s="10" t="str">
        <x:v>Репатрианты; общество; короткий просмотр</x:v>
      </x:c>
      <x:c r="F755" s="10" t="str">
        <x:v>B1–B2 (гипотеза)</x:v>
      </x:c>
      <x:c r="G755" s="12" t="n">
        <x:v>3.6</x:v>
      </x:c>
      <x:c r="H755" s="14" t="n">
        <x:v>14000</x:v>
      </x:c>
      <x:c r="I755" s="15" t="str">
        <x:v>Округлённый счётчик в списке YouTube</x:v>
      </x:c>
      <x:c r="J755" s="14" t="n">
        <x:v>14000</x:v>
      </x:c>
      <x:c r="K755" s="14" t="n">
        <x:v>59000</x:v>
      </x:c>
      <x:c r="L755" s="12" t="n">
        <x:f>IF(COUNT(J755:K755)=2,IF(K755=0,"",J755/K755),"")</x:f>
        <x:v>0.23728813559322035</x:v>
      </x:c>
      <x:c r="M755" s="10" t="str">
        <x:v>Завершённый короткий просмотр около 4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55" s="10" t="str">
        <x:v>Выписать связки объяснения; дать определение термину.</x:v>
      </x:c>
      <x:c r="O755" s="10" t="str">
        <x:v>Повторно проверять даты законов, чисел и новостей</x:v>
      </x:c>
      <x:c r="P755" s="10" t="str">
        <x:v>Самостоятельное видео</x:v>
      </x:c>
      <x:c r="Q755" s="9" t="str">
        <x:v>Нет</x:v>
      </x:c>
      <x:c r="R755" s="9" t="str">
        <x:v>C045</x:v>
      </x:c>
      <x:c r="S755" s="9" t="str">
        <x:v>C045</x:v>
      </x:c>
      <x:c r="T755" s="10" t="str">
        <x:v>כאן | דיגיטל - תאגיד השידור הישראלי</x:v>
      </x:c>
      <x:c r="U755" s="11" t="str">
        <x:v>https://www.youtube.com/watch?v=i81Bc-FrJG4</x:v>
      </x:c>
      <x:c r="V755" s="16" t="n">
        <x:v>46308</x:v>
      </x:c>
      <x:c r="W755" s="16"/>
      <x:c r="X755" s="10" t="str">
        <x:v>Иврит предполагается по заголовку и источнику</x:v>
      </x:c>
      <x:c r="Y755" s="10" t="str">
        <x:v>Не проверено</x:v>
      </x:c>
      <x:c r="Z755" s="10" t="str">
        <x:v>Не проверено</x:v>
      </x:c>
      <x:c r="AA755" s="10" t="str">
        <x:v>Метаданные списка; видео не просмотрено</x:v>
      </x:c>
      <x:c r="AB755" s="13" t="str">
        <x:f>IF(AND(ISNUMBER(H755),ISNUMBER(W755)),H755/MAX(1,'Обзор'!$B$4-W755),"")</x:f>
      </x:c>
      <x:c r="AC755" s="17" t="str">
        <x:v>Не решено</x:v>
      </x:c>
      <x:c r="AD755" s="17" t="str">
        <x:v>Не проверено</x:v>
      </x:c>
      <x:c r="AE755" s="17" t="str">
        <x:v>Не проверено</x:v>
      </x:c>
      <x:c r="AF755" s="17" t="str">
        <x:v>Не проверено</x:v>
      </x:c>
      <x:c r="AG755" s="17" t="str">
        <x:v>Не решено</x:v>
      </x:c>
      <x:c r="AH755" s="17" t="str">
        <x:v>Не проверено</x:v>
      </x:c>
      <x:c r="AI755" s="10" t="str">
        <x:f>IF(AC755="Отклонить","Отклонено",IF(AND(AC755="Взять",COUNTIFS(AD755:AH755,"Да")=5),"Готово","Нужна редактура"))</x:f>
        <x:v>Нужна редактура</x:v>
      </x:c>
      <x:c r="AJ755" s="17" t="str"/>
      <x:c r="AK755" s="9" t="str">
        <x:v>https://www.youtube.com/playlist?list=PLXv9BeKApRvxC7CHMrdA9knii4lmYhJzS</x:v>
      </x:c>
      <x:c r="AL755" s="9" t="n">
        <x:v>18</x:v>
      </x:c>
      <x:c r="AM755" s="9"/>
      <x:c r="AN755" s="9"/>
    </x:row>
    <x:row r="756" ht="60" customHeight="1">
      <x:c r="A756" s="9" t="str">
        <x:v>aQUwWW-EAa4</x:v>
      </x:c>
      <x:c r="B756" s="10" t="str">
        <x:v>איך סופרים את כמות האנשים בהפגנה? | כאן מסבירים</x:v>
      </x:c>
      <x:c r="C756" s="10" t="str">
        <x:v>Общество простыми словами</x:v>
      </x:c>
      <x:c r="D756" s="9" t="str">
        <x:v>Образование</x:v>
      </x:c>
      <x:c r="E756" s="10" t="str">
        <x:v>Репатрианты; общество; короткий просмотр</x:v>
      </x:c>
      <x:c r="F756" s="10" t="str">
        <x:v>B1–B2 (гипотеза)</x:v>
      </x:c>
      <x:c r="G756" s="12" t="n">
        <x:v>4.1</x:v>
      </x:c>
      <x:c r="H756" s="14" t="n">
        <x:v>70792</x:v>
      </x:c>
      <x:c r="I756" s="15" t="str">
        <x:v>Точный счётчик метаданных видео</x:v>
      </x:c>
      <x:c r="J756" s="14" t="n">
        <x:v>70000</x:v>
      </x:c>
      <x:c r="K756" s="14" t="n">
        <x:v>59000</x:v>
      </x:c>
      <x:c r="L756" s="12" t="n">
        <x:f>IF(COUNT(J756:K756)=2,IF(K756=0,"",J756/K756),"")</x:f>
        <x:v>1.1864406779661016</x:v>
      </x:c>
      <x:c r="M756" s="10" t="str">
        <x:v>Завершённый короткий просмотр около 4 мин. Объясняющий формат снижает порог входа в незнакомые институты и общественные темы.</x:v>
      </x:c>
      <x:c r="N756" s="10" t="str">
        <x:v>Выписать связки объяснения; дать определение термину.</x:v>
      </x:c>
      <x:c r="O756" s="10" t="str">
        <x:v>Повторно проверять даты законов, чисел и новостей</x:v>
      </x:c>
      <x:c r="P756" s="10" t="str">
        <x:v>Самостоятельное видео</x:v>
      </x:c>
      <x:c r="Q756" s="9" t="str">
        <x:v>Нет</x:v>
      </x:c>
      <x:c r="R756" s="9" t="str">
        <x:v>C045</x:v>
      </x:c>
      <x:c r="S756" s="9" t="str">
        <x:v>C045</x:v>
      </x:c>
      <x:c r="T756" s="10" t="str">
        <x:v>כאן | דיגיטל - תאגיד השידור הישראלי</x:v>
      </x:c>
      <x:c r="U756" s="11" t="str">
        <x:v>https://www.youtube.com/watch?v=aQUwWW-EAa4</x:v>
      </x:c>
      <x:c r="V756" s="16" t="n">
        <x:v>46308</x:v>
      </x:c>
      <x:c r="W756" s="16" t="n">
        <x:v>44986</x:v>
      </x:c>
      <x:c r="X756" s="10" t="str">
        <x:v>Иврит предполагается по заголовку и источнику</x:v>
      </x:c>
      <x:c r="Y756" s="10" t="str">
        <x:v>Дорожка HE не найдена в метаданных; вшитые титры не проверены</x:v>
      </x:c>
      <x:c r="Z756" s="10" t="str">
        <x:v>Разрешено по метаданным</x:v>
      </x:c>
      <x:c r="AA756" s="10" t="str">
        <x:v>Метаданные видео; воспроизведение и содержание не проверены</x:v>
      </x:c>
      <x:c r="AB756" s="13" t="n">
        <x:f>IF(AND(ISNUMBER(H756),ISNUMBER(W756)),H756/MAX(1,'Обзор'!$B$4-W756),"")</x:f>
        <x:v>53.549167927382754</x:v>
      </x:c>
      <x:c r="AC756" s="17" t="str">
        <x:v>Не решено</x:v>
      </x:c>
      <x:c r="AD756" s="17" t="str">
        <x:v>Не проверено</x:v>
      </x:c>
      <x:c r="AE756" s="17" t="str">
        <x:v>Не проверено</x:v>
      </x:c>
      <x:c r="AF756" s="17" t="str">
        <x:v>Не проверено</x:v>
      </x:c>
      <x:c r="AG756" s="17" t="str">
        <x:v>Не решено</x:v>
      </x:c>
      <x:c r="AH756" s="17" t="str">
        <x:v>Не проверено</x:v>
      </x:c>
      <x:c r="AI756" s="10" t="str">
        <x:f>IF(AC756="Отклонить","Отклонено",IF(AND(AC756="Взять",COUNTIFS(AD756:AH756,"Да")=5),"Готово","Нужна редактура"))</x:f>
        <x:v>Нужна редактура</x:v>
      </x:c>
      <x:c r="AJ756" s="17" t="str"/>
      <x:c r="AK756" s="9" t="str">
        <x:v>https://www.youtube.com/playlist?list=PLXv9BeKApRvxC7CHMrdA9knii4lmYhJzS</x:v>
      </x:c>
      <x:c r="AL756" s="9" t="n">
        <x:v>20</x:v>
      </x:c>
      <x:c r="AM756" s="9"/>
      <x:c r="AN756" s="9" t="n">
        <x:v>0</x:v>
      </x:c>
    </x:row>
    <x:row r="757" ht="60" customHeight="1">
      <x:c r="A757" s="9" t="str">
        <x:v>xYdly4I92UA</x:v>
      </x:c>
      <x:c r="B757" s="10" t="str">
        <x:v>למה אנחנו אוהבים להתנשק?</x:v>
      </x:c>
      <x:c r="C757" s="10" t="str">
        <x:v>Общество простыми словами</x:v>
      </x:c>
      <x:c r="D757" s="9" t="str">
        <x:v>Образование</x:v>
      </x:c>
      <x:c r="E757" s="10" t="str">
        <x:v>Репатрианты; общество; короткий просмотр</x:v>
      </x:c>
      <x:c r="F757" s="10" t="str">
        <x:v>B1–B2 (гипотеза)</x:v>
      </x:c>
      <x:c r="G757" s="12" t="n">
        <x:v>5.6</x:v>
      </x:c>
      <x:c r="H757" s="14" t="n">
        <x:v>31000</x:v>
      </x:c>
      <x:c r="I757" s="15" t="str">
        <x:v>Округлённый счётчик в списке YouTube</x:v>
      </x:c>
      <x:c r="J757" s="14" t="n">
        <x:v>31000</x:v>
      </x:c>
      <x:c r="K757" s="14" t="n">
        <x:v>59000</x:v>
      </x:c>
      <x:c r="L757" s="12" t="n">
        <x:f>IF(COUNT(J757:K757)=2,IF(K757=0,"",J757/K757),"")</x:f>
        <x:v>0.5254237288135594</x:v>
      </x:c>
      <x:c r="M757" s="10" t="str">
        <x:v>Завершённый короткий просмотр около 6 мин. Объясняющий формат снижает порог входа в незнакомые институты и общественные темы.</x:v>
      </x:c>
      <x:c r="N757" s="10" t="str">
        <x:v>Выписать связки объяснения; дать определение термину.</x:v>
      </x:c>
      <x:c r="O757" s="10" t="str">
        <x:v>Повторно проверять даты законов, чисел и новостей</x:v>
      </x:c>
      <x:c r="P757" s="10" t="str">
        <x:v>Самостоятельное видео</x:v>
      </x:c>
      <x:c r="Q757" s="9" t="str">
        <x:v>Нет</x:v>
      </x:c>
      <x:c r="R757" s="9" t="str">
        <x:v>C045</x:v>
      </x:c>
      <x:c r="S757" s="9" t="str">
        <x:v>C045</x:v>
      </x:c>
      <x:c r="T757" s="10" t="str">
        <x:v>כאן | דיגיטל - תאגיד השידור הישראלי</x:v>
      </x:c>
      <x:c r="U757" s="11" t="str">
        <x:v>https://www.youtube.com/watch?v=xYdly4I92UA</x:v>
      </x:c>
      <x:c r="V757" s="16" t="n">
        <x:v>46308</x:v>
      </x:c>
      <x:c r="W757" s="16"/>
      <x:c r="X757" s="10" t="str">
        <x:v>Иврит предполагается по заголовку и источнику</x:v>
      </x:c>
      <x:c r="Y757" s="10" t="str">
        <x:v>Не проверено</x:v>
      </x:c>
      <x:c r="Z757" s="10" t="str">
        <x:v>Не проверено</x:v>
      </x:c>
      <x:c r="AA757" s="10" t="str">
        <x:v>Метаданные списка; видео не просмотрено</x:v>
      </x:c>
      <x:c r="AB757" s="13" t="str">
        <x:f>IF(AND(ISNUMBER(H757),ISNUMBER(W757)),H757/MAX(1,'Обзор'!$B$4-W757),"")</x:f>
      </x:c>
      <x:c r="AC757" s="17" t="str">
        <x:v>Не решено</x:v>
      </x:c>
      <x:c r="AD757" s="17" t="str">
        <x:v>Не проверено</x:v>
      </x:c>
      <x:c r="AE757" s="17" t="str">
        <x:v>Не проверено</x:v>
      </x:c>
      <x:c r="AF757" s="17" t="str">
        <x:v>Не проверено</x:v>
      </x:c>
      <x:c r="AG757" s="17" t="str">
        <x:v>Не решено</x:v>
      </x:c>
      <x:c r="AH757" s="17" t="str">
        <x:v>Не проверено</x:v>
      </x:c>
      <x:c r="AI757" s="10" t="str">
        <x:f>IF(AC757="Отклонить","Отклонено",IF(AND(AC757="Взять",COUNTIFS(AD757:AH757,"Да")=5),"Готово","Нужна редактура"))</x:f>
        <x:v>Нужна редактура</x:v>
      </x:c>
      <x:c r="AJ757" s="17" t="str"/>
      <x:c r="AK757" s="9" t="str">
        <x:v>https://www.youtube.com/playlist?list=PLXv9BeKApRvxC7CHMrdA9knii4lmYhJzS</x:v>
      </x:c>
      <x:c r="AL757" s="9" t="n">
        <x:v>21</x:v>
      </x:c>
      <x:c r="AM757" s="9"/>
      <x:c r="AN757" s="9"/>
    </x:row>
    <x:row r="758" ht="60" customHeight="1">
      <x:c r="A758" s="9" t="str">
        <x:v>_eG2eOWDr2g</x:v>
      </x:c>
      <x:c r="B758" s="10" t="str">
        <x:v>האם כדאי לספר את הכלב לקראת הקיץ? | כאן מסבירים</x:v>
      </x:c>
      <x:c r="C758" s="10" t="str">
        <x:v>Общество простыми словами</x:v>
      </x:c>
      <x:c r="D758" s="9" t="str">
        <x:v>Образование</x:v>
      </x:c>
      <x:c r="E758" s="10" t="str">
        <x:v>Репатрианты; общество; короткий просмотр</x:v>
      </x:c>
      <x:c r="F758" s="10" t="str">
        <x:v>B1–B2 (гипотеза)</x:v>
      </x:c>
      <x:c r="G758" s="12" t="n">
        <x:v>8</x:v>
      </x:c>
      <x:c r="H758" s="14" t="n">
        <x:v>41000</x:v>
      </x:c>
      <x:c r="I758" s="15" t="str">
        <x:v>Округлённый счётчик в списке YouTube</x:v>
      </x:c>
      <x:c r="J758" s="14" t="n">
        <x:v>41000</x:v>
      </x:c>
      <x:c r="K758" s="14" t="n">
        <x:v>59000</x:v>
      </x:c>
      <x:c r="L758" s="12" t="n">
        <x:f>IF(COUNT(J758:K758)=2,IF(K758=0,"",J758/K758),"")</x:f>
        <x:v>0.6949152542372882</x:v>
      </x:c>
      <x:c r="M758" s="10" t="str">
        <x:v>Завершённый короткий просмотр около 8 мин. Объясняющий формат снижает порог входа в незнакомые институты и общественные темы.</x:v>
      </x:c>
      <x:c r="N758" s="10" t="str">
        <x:v>Выписать связки объяснения; дать определение термину.</x:v>
      </x:c>
      <x:c r="O758" s="10" t="str">
        <x:v>Повторно проверять даты законов, чисел и новостей</x:v>
      </x:c>
      <x:c r="P758" s="10" t="str">
        <x:v>Самостоятельное видео</x:v>
      </x:c>
      <x:c r="Q758" s="9" t="str">
        <x:v>Нет</x:v>
      </x:c>
      <x:c r="R758" s="9" t="str">
        <x:v>C045</x:v>
      </x:c>
      <x:c r="S758" s="9" t="str">
        <x:v>C045</x:v>
      </x:c>
      <x:c r="T758" s="10" t="str">
        <x:v>כאן | דיגיטל - תאגיד השידור הישראלי</x:v>
      </x:c>
      <x:c r="U758" s="11" t="str">
        <x:v>https://www.youtube.com/watch?v=_eG2eOWDr2g</x:v>
      </x:c>
      <x:c r="V758" s="16" t="n">
        <x:v>46308</x:v>
      </x:c>
      <x:c r="W758" s="16"/>
      <x:c r="X758" s="10" t="str">
        <x:v>Иврит предполагается по заголовку и источнику</x:v>
      </x:c>
      <x:c r="Y758" s="10" t="str">
        <x:v>Не проверено</x:v>
      </x:c>
      <x:c r="Z758" s="10" t="str">
        <x:v>Не проверено</x:v>
      </x:c>
      <x:c r="AA758" s="10" t="str">
        <x:v>Метаданные списка; видео не просмотрено</x:v>
      </x:c>
      <x:c r="AB758" s="13" t="str">
        <x:f>IF(AND(ISNUMBER(H758),ISNUMBER(W758)),H758/MAX(1,'Обзор'!$B$4-W758),"")</x:f>
      </x:c>
      <x:c r="AC758" s="17" t="str">
        <x:v>Не решено</x:v>
      </x:c>
      <x:c r="AD758" s="17" t="str">
        <x:v>Не проверено</x:v>
      </x:c>
      <x:c r="AE758" s="17" t="str">
        <x:v>Не проверено</x:v>
      </x:c>
      <x:c r="AF758" s="17" t="str">
        <x:v>Не проверено</x:v>
      </x:c>
      <x:c r="AG758" s="17" t="str">
        <x:v>Не решено</x:v>
      </x:c>
      <x:c r="AH758" s="17" t="str">
        <x:v>Не проверено</x:v>
      </x:c>
      <x:c r="AI758" s="10" t="str">
        <x:f>IF(AC758="Отклонить","Отклонено",IF(AND(AC758="Взять",COUNTIFS(AD758:AH758,"Да")=5),"Готово","Нужна редактура"))</x:f>
        <x:v>Нужна редактура</x:v>
      </x:c>
      <x:c r="AJ758" s="17" t="str"/>
      <x:c r="AK758" s="9" t="str">
        <x:v>https://www.youtube.com/playlist?list=PLXv9BeKApRvxC7CHMrdA9knii4lmYhJzS</x:v>
      </x:c>
      <x:c r="AL758" s="9" t="n">
        <x:v>22</x:v>
      </x:c>
      <x:c r="AM758" s="9"/>
      <x:c r="AN758" s="9"/>
    </x:row>
    <x:row r="759" ht="60" customHeight="1">
      <x:c r="A759" s="9" t="str">
        <x:v>l7T2paF-dU4</x:v>
      </x:c>
      <x:c r="B759" s="10" t="str">
        <x:v>איך להרגיל כלבים לזיקוקי יום העצמאות? | כאן מסבירים</x:v>
      </x:c>
      <x:c r="C759" s="10" t="str">
        <x:v>Общество простыми словами</x:v>
      </x:c>
      <x:c r="D759" s="9" t="str">
        <x:v>Образование</x:v>
      </x:c>
      <x:c r="E759" s="10" t="str">
        <x:v>Репатрианты; общество; короткий просмотр</x:v>
      </x:c>
      <x:c r="F759" s="10" t="str">
        <x:v>B1–B2 (гипотеза)</x:v>
      </x:c>
      <x:c r="G759" s="12" t="n">
        <x:v>5.1</x:v>
      </x:c>
      <x:c r="H759" s="14" t="n">
        <x:v>19000</x:v>
      </x:c>
      <x:c r="I759" s="15" t="str">
        <x:v>Округлённый счётчик в списке YouTube</x:v>
      </x:c>
      <x:c r="J759" s="14" t="n">
        <x:v>19000</x:v>
      </x:c>
      <x:c r="K759" s="14" t="n">
        <x:v>59000</x:v>
      </x:c>
      <x:c r="L759" s="12" t="n">
        <x:f>IF(COUNT(J759:K759)=2,IF(K759=0,"",J759/K759),"")</x:f>
        <x:v>0.3220338983050847</x:v>
      </x:c>
      <x:c r="M759" s="10" t="str">
        <x:v>Завершённый короткий просмотр около 5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59" s="10" t="str">
        <x:v>Выписать связки объяснения; дать определение термину.</x:v>
      </x:c>
      <x:c r="O759" s="10" t="str">
        <x:v>Повторно проверять даты законов, чисел и новостей</x:v>
      </x:c>
      <x:c r="P759" s="10" t="str">
        <x:v>Самостоятельное видео</x:v>
      </x:c>
      <x:c r="Q759" s="9" t="str">
        <x:v>Нет</x:v>
      </x:c>
      <x:c r="R759" s="9" t="str">
        <x:v>C045</x:v>
      </x:c>
      <x:c r="S759" s="9" t="str">
        <x:v>C045</x:v>
      </x:c>
      <x:c r="T759" s="10" t="str">
        <x:v>כאן | דיגיטל - תאגיד השידור הישראלי</x:v>
      </x:c>
      <x:c r="U759" s="11" t="str">
        <x:v>https://www.youtube.com/watch?v=l7T2paF-dU4</x:v>
      </x:c>
      <x:c r="V759" s="16" t="n">
        <x:v>46308</x:v>
      </x:c>
      <x:c r="W759" s="16"/>
      <x:c r="X759" s="10" t="str">
        <x:v>Иврит предполагается по заголовку и источнику</x:v>
      </x:c>
      <x:c r="Y759" s="10" t="str">
        <x:v>Не проверено</x:v>
      </x:c>
      <x:c r="Z759" s="10" t="str">
        <x:v>Не проверено</x:v>
      </x:c>
      <x:c r="AA759" s="10" t="str">
        <x:v>Метаданные списка; видео не просмотрено</x:v>
      </x:c>
      <x:c r="AB759" s="13" t="str">
        <x:f>IF(AND(ISNUMBER(H759),ISNUMBER(W759)),H759/MAX(1,'Обзор'!$B$4-W759),"")</x:f>
      </x:c>
      <x:c r="AC759" s="17" t="str">
        <x:v>Не решено</x:v>
      </x:c>
      <x:c r="AD759" s="17" t="str">
        <x:v>Не проверено</x:v>
      </x:c>
      <x:c r="AE759" s="17" t="str">
        <x:v>Не проверено</x:v>
      </x:c>
      <x:c r="AF759" s="17" t="str">
        <x:v>Не проверено</x:v>
      </x:c>
      <x:c r="AG759" s="17" t="str">
        <x:v>Не решено</x:v>
      </x:c>
      <x:c r="AH759" s="17" t="str">
        <x:v>Не проверено</x:v>
      </x:c>
      <x:c r="AI759" s="10" t="str">
        <x:f>IF(AC759="Отклонить","Отклонено",IF(AND(AC759="Взять",COUNTIFS(AD759:AH759,"Да")=5),"Готово","Нужна редактура"))</x:f>
        <x:v>Нужна редактура</x:v>
      </x:c>
      <x:c r="AJ759" s="17" t="str"/>
      <x:c r="AK759" s="9" t="str">
        <x:v>https://www.youtube.com/playlist?list=PLXv9BeKApRvxC7CHMrdA9knii4lmYhJzS</x:v>
      </x:c>
      <x:c r="AL759" s="9" t="n">
        <x:v>23</x:v>
      </x:c>
      <x:c r="AM759" s="9"/>
      <x:c r="AN759" s="9"/>
    </x:row>
    <x:row r="760" ht="60" customHeight="1">
      <x:c r="A760" s="9" t="str">
        <x:v>bVvspzl-sbA</x:v>
      </x:c>
      <x:c r="B760" s="10" t="str">
        <x:v>איך הכי כדאי לנקות? | כאן מסבירים</x:v>
      </x:c>
      <x:c r="C760" s="10" t="str">
        <x:v>Общество простыми словами</x:v>
      </x:c>
      <x:c r="D760" s="9" t="str">
        <x:v>Образование</x:v>
      </x:c>
      <x:c r="E760" s="10" t="str">
        <x:v>Репатрианты; общество; короткий просмотр</x:v>
      </x:c>
      <x:c r="F760" s="10" t="str">
        <x:v>B1–B2 (гипотеза)</x:v>
      </x:c>
      <x:c r="G760" s="12" t="n">
        <x:v>7.2</x:v>
      </x:c>
      <x:c r="H760" s="14" t="n">
        <x:v>63473</x:v>
      </x:c>
      <x:c r="I760" s="15" t="str">
        <x:v>Точный счётчик метаданных видео</x:v>
      </x:c>
      <x:c r="J760" s="14" t="n">
        <x:v>63000</x:v>
      </x:c>
      <x:c r="K760" s="14" t="n">
        <x:v>59000</x:v>
      </x:c>
      <x:c r="L760" s="12" t="n">
        <x:f>IF(COUNT(J760:K760)=2,IF(K760=0,"",J760/K760),"")</x:f>
        <x:v>1.0677966101694916</x:v>
      </x:c>
      <x:c r="M760" s="10" t="str">
        <x:v>Завершённый короткий просмотр около 7 мин. Объясняющий формат снижает порог входа в незнакомые институты и общественные темы.</x:v>
      </x:c>
      <x:c r="N760" s="10" t="str">
        <x:v>Выписать связки объяснения; дать определение термину.</x:v>
      </x:c>
      <x:c r="O760" s="10" t="str">
        <x:v>Повторно проверять даты законов, чисел и новостей</x:v>
      </x:c>
      <x:c r="P760" s="10" t="str">
        <x:v>Самостоятельное видео</x:v>
      </x:c>
      <x:c r="Q760" s="9" t="str">
        <x:v>Нет</x:v>
      </x:c>
      <x:c r="R760" s="9" t="str">
        <x:v>C045</x:v>
      </x:c>
      <x:c r="S760" s="9" t="str">
        <x:v>C045</x:v>
      </x:c>
      <x:c r="T760" s="10" t="str">
        <x:v>כאן | דיגיטל - תאגיד השידור הישראלי</x:v>
      </x:c>
      <x:c r="U760" s="11" t="str">
        <x:v>https://www.youtube.com/watch?v=bVvspzl-sbA</x:v>
      </x:c>
      <x:c r="V760" s="16" t="n">
        <x:v>46308</x:v>
      </x:c>
      <x:c r="W760" s="16" t="n">
        <x:v>44662</x:v>
      </x:c>
      <x:c r="X760" s="10" t="str">
        <x:v>Иврит предполагается по заголовку и источнику</x:v>
      </x:c>
      <x:c r="Y760" s="10" t="str">
        <x:v>Дорожка HE не найдена в метаданных; вшитые титры не проверены</x:v>
      </x:c>
      <x:c r="Z760" s="10" t="str">
        <x:v>Разрешено по метаданным</x:v>
      </x:c>
      <x:c r="AA760" s="10" t="str">
        <x:v>Метаданные видео; воспроизведение и содержание не проверены</x:v>
      </x:c>
      <x:c r="AB760" s="13" t="n">
        <x:f>IF(AND(ISNUMBER(H760),ISNUMBER(W760)),H760/MAX(1,'Обзор'!$B$4-W760),"")</x:f>
        <x:v>38.56196840826245</x:v>
      </x:c>
      <x:c r="AC760" s="17" t="str">
        <x:v>Не решено</x:v>
      </x:c>
      <x:c r="AD760" s="17" t="str">
        <x:v>Не проверено</x:v>
      </x:c>
      <x:c r="AE760" s="17" t="str">
        <x:v>Не проверено</x:v>
      </x:c>
      <x:c r="AF760" s="17" t="str">
        <x:v>Не проверено</x:v>
      </x:c>
      <x:c r="AG760" s="17" t="str">
        <x:v>Не решено</x:v>
      </x:c>
      <x:c r="AH760" s="17" t="str">
        <x:v>Не проверено</x:v>
      </x:c>
      <x:c r="AI760" s="10" t="str">
        <x:f>IF(AC760="Отклонить","Отклонено",IF(AND(AC760="Взять",COUNTIFS(AD760:AH760,"Да")=5),"Готово","Нужна редактура"))</x:f>
        <x:v>Нужна редактура</x:v>
      </x:c>
      <x:c r="AJ760" s="17" t="str"/>
      <x:c r="AK760" s="9" t="str">
        <x:v>https://www.youtube.com/playlist?list=PLXv9BeKApRvxC7CHMrdA9knii4lmYhJzS</x:v>
      </x:c>
      <x:c r="AL760" s="9" t="n">
        <x:v>24</x:v>
      </x:c>
      <x:c r="AM760" s="9"/>
      <x:c r="AN760" s="9" t="n">
        <x:v>0</x:v>
      </x:c>
    </x:row>
    <x:row r="761" ht="60" customHeight="1">
      <x:c r="A761" s="9" t="str">
        <x:v>cY2nff5V_FQ</x:v>
      </x:c>
      <x:c r="B761" s="10" t="str">
        <x:v>מה אפשר ללמוד מהאמנות של יאיוי קוסמה? | כאן מסבירים</x:v>
      </x:c>
      <x:c r="C761" s="10" t="str">
        <x:v>Общество простыми словами</x:v>
      </x:c>
      <x:c r="D761" s="9" t="str">
        <x:v>Образование</x:v>
      </x:c>
      <x:c r="E761" s="10" t="str">
        <x:v>Репатрианты; общество; короткий просмотр</x:v>
      </x:c>
      <x:c r="F761" s="10" t="str">
        <x:v>B1–B2 (гипотеза)</x:v>
      </x:c>
      <x:c r="G761" s="12" t="n">
        <x:v>3.5</x:v>
      </x:c>
      <x:c r="H761" s="14" t="n">
        <x:v>52000</x:v>
      </x:c>
      <x:c r="I761" s="15" t="str">
        <x:v>Округлённый счётчик в списке YouTube</x:v>
      </x:c>
      <x:c r="J761" s="14" t="n">
        <x:v>52000</x:v>
      </x:c>
      <x:c r="K761" s="14" t="n">
        <x:v>59000</x:v>
      </x:c>
      <x:c r="L761" s="12" t="n">
        <x:f>IF(COUNT(J761:K761)=2,IF(K761=0,"",J761/K761),"")</x:f>
        <x:v>0.8813559322033898</x:v>
      </x:c>
      <x:c r="M761" s="10" t="str">
        <x:v>Завершённый короткий просмотр около 4 мин. Объясняющий формат снижает порог входа в незнакомые институты и общественные темы.</x:v>
      </x:c>
      <x:c r="N761" s="10" t="str">
        <x:v>Выписать связки объяснения; дать определение термину.</x:v>
      </x:c>
      <x:c r="O761" s="10" t="str">
        <x:v>Повторно проверять даты законов, чисел и новостей</x:v>
      </x:c>
      <x:c r="P761" s="10" t="str">
        <x:v>Самостоятельное видео</x:v>
      </x:c>
      <x:c r="Q761" s="9" t="str">
        <x:v>Нет</x:v>
      </x:c>
      <x:c r="R761" s="9" t="str">
        <x:v>C045</x:v>
      </x:c>
      <x:c r="S761" s="9" t="str">
        <x:v>C045</x:v>
      </x:c>
      <x:c r="T761" s="10" t="str">
        <x:v>כאן | דיגיטל - תאגיד השידור הישראלי</x:v>
      </x:c>
      <x:c r="U761" s="11" t="str">
        <x:v>https://www.youtube.com/watch?v=cY2nff5V_FQ</x:v>
      </x:c>
      <x:c r="V761" s="16" t="n">
        <x:v>46308</x:v>
      </x:c>
      <x:c r="W761" s="16"/>
      <x:c r="X761" s="10" t="str">
        <x:v>Иврит предполагается по заголовку и источнику</x:v>
      </x:c>
      <x:c r="Y761" s="10" t="str">
        <x:v>Не проверено</x:v>
      </x:c>
      <x:c r="Z761" s="10" t="str">
        <x:v>Не проверено</x:v>
      </x:c>
      <x:c r="AA761" s="10" t="str">
        <x:v>Метаданные списка; видео не просмотрено</x:v>
      </x:c>
      <x:c r="AB761" s="13" t="str">
        <x:f>IF(AND(ISNUMBER(H761),ISNUMBER(W761)),H761/MAX(1,'Обзор'!$B$4-W761),"")</x:f>
      </x:c>
      <x:c r="AC761" s="17" t="str">
        <x:v>Не решено</x:v>
      </x:c>
      <x:c r="AD761" s="17" t="str">
        <x:v>Не проверено</x:v>
      </x:c>
      <x:c r="AE761" s="17" t="str">
        <x:v>Не проверено</x:v>
      </x:c>
      <x:c r="AF761" s="17" t="str">
        <x:v>Не проверено</x:v>
      </x:c>
      <x:c r="AG761" s="17" t="str">
        <x:v>Не решено</x:v>
      </x:c>
      <x:c r="AH761" s="17" t="str">
        <x:v>Не проверено</x:v>
      </x:c>
      <x:c r="AI761" s="10" t="str">
        <x:f>IF(AC761="Отклонить","Отклонено",IF(AND(AC761="Взять",COUNTIFS(AD761:AH761,"Да")=5),"Готово","Нужна редактура"))</x:f>
        <x:v>Нужна редактура</x:v>
      </x:c>
      <x:c r="AJ761" s="17" t="str"/>
      <x:c r="AK761" s="9" t="str">
        <x:v>https://www.youtube.com/playlist?list=PLXv9BeKApRvxC7CHMrdA9knii4lmYhJzS</x:v>
      </x:c>
      <x:c r="AL761" s="9" t="n">
        <x:v>25</x:v>
      </x:c>
      <x:c r="AM761" s="9"/>
      <x:c r="AN761" s="9"/>
    </x:row>
    <x:row r="762" ht="60" customHeight="1">
      <x:c r="A762" s="9" t="str">
        <x:v>BKDuFQyGXco</x:v>
      </x:c>
      <x:c r="B762" s="10" t="str">
        <x:v>מה זה "שנת שבתון", ולמה צריך את זה? | כאן מסבירים</x:v>
      </x:c>
      <x:c r="C762" s="10" t="str">
        <x:v>Общество простыми словами</x:v>
      </x:c>
      <x:c r="D762" s="9" t="str">
        <x:v>Образование</x:v>
      </x:c>
      <x:c r="E762" s="10" t="str">
        <x:v>Репатрианты; общество; короткий просмотр</x:v>
      </x:c>
      <x:c r="F762" s="10" t="str">
        <x:v>B1–B2 (гипотеза)</x:v>
      </x:c>
      <x:c r="G762" s="12" t="n">
        <x:v>8.3</x:v>
      </x:c>
      <x:c r="H762" s="14" t="n">
        <x:v>40000</x:v>
      </x:c>
      <x:c r="I762" s="15" t="str">
        <x:v>Округлённый счётчик в списке YouTube</x:v>
      </x:c>
      <x:c r="J762" s="14" t="n">
        <x:v>40000</x:v>
      </x:c>
      <x:c r="K762" s="14" t="n">
        <x:v>59000</x:v>
      </x:c>
      <x:c r="L762" s="12" t="n">
        <x:f>IF(COUNT(J762:K762)=2,IF(K762=0,"",J762/K762),"")</x:f>
        <x:v>0.6779661016949152</x:v>
      </x:c>
      <x:c r="M762" s="10" t="str">
        <x:v>Завершённый короткий просмотр около 8 мин. Объясняющий формат снижает порог входа в незнакомые институты и общественные темы.</x:v>
      </x:c>
      <x:c r="N762" s="10" t="str">
        <x:v>Выписать связки объяснения; дать определение термину.</x:v>
      </x:c>
      <x:c r="O762" s="10" t="str">
        <x:v>Повторно проверять даты законов, чисел и новостей</x:v>
      </x:c>
      <x:c r="P762" s="10" t="str">
        <x:v>Самостоятельное видео</x:v>
      </x:c>
      <x:c r="Q762" s="9" t="str">
        <x:v>Нет</x:v>
      </x:c>
      <x:c r="R762" s="9" t="str">
        <x:v>C045</x:v>
      </x:c>
      <x:c r="S762" s="9" t="str">
        <x:v>C045</x:v>
      </x:c>
      <x:c r="T762" s="10" t="str">
        <x:v>כאן | דיגיטל - תאגיד השידור הישראלי</x:v>
      </x:c>
      <x:c r="U762" s="11" t="str">
        <x:v>https://www.youtube.com/watch?v=BKDuFQyGXco</x:v>
      </x:c>
      <x:c r="V762" s="16" t="n">
        <x:v>46308</x:v>
      </x:c>
      <x:c r="W762" s="16"/>
      <x:c r="X762" s="10" t="str">
        <x:v>Иврит предполагается по заголовку и источнику</x:v>
      </x:c>
      <x:c r="Y762" s="10" t="str">
        <x:v>Не проверено</x:v>
      </x:c>
      <x:c r="Z762" s="10" t="str">
        <x:v>Не проверено</x:v>
      </x:c>
      <x:c r="AA762" s="10" t="str">
        <x:v>Метаданные списка; видео не просмотрено</x:v>
      </x:c>
      <x:c r="AB762" s="13" t="str">
        <x:f>IF(AND(ISNUMBER(H762),ISNUMBER(W762)),H762/MAX(1,'Обзор'!$B$4-W762),"")</x:f>
      </x:c>
      <x:c r="AC762" s="17" t="str">
        <x:v>Не решено</x:v>
      </x:c>
      <x:c r="AD762" s="17" t="str">
        <x:v>Не проверено</x:v>
      </x:c>
      <x:c r="AE762" s="17" t="str">
        <x:v>Не проверено</x:v>
      </x:c>
      <x:c r="AF762" s="17" t="str">
        <x:v>Не проверено</x:v>
      </x:c>
      <x:c r="AG762" s="17" t="str">
        <x:v>Не решено</x:v>
      </x:c>
      <x:c r="AH762" s="17" t="str">
        <x:v>Не проверено</x:v>
      </x:c>
      <x:c r="AI762" s="10" t="str">
        <x:f>IF(AC762="Отклонить","Отклонено",IF(AND(AC762="Взять",COUNTIFS(AD762:AH762,"Да")=5),"Готово","Нужна редактура"))</x:f>
        <x:v>Нужна редактура</x:v>
      </x:c>
      <x:c r="AJ762" s="17" t="str"/>
      <x:c r="AK762" s="9" t="str">
        <x:v>https://www.youtube.com/playlist?list=PLXv9BeKApRvxC7CHMrdA9knii4lmYhJzS</x:v>
      </x:c>
      <x:c r="AL762" s="9" t="n">
        <x:v>26</x:v>
      </x:c>
      <x:c r="AM762" s="9"/>
      <x:c r="AN762" s="9"/>
    </x:row>
    <x:row r="763" ht="60" customHeight="1">
      <x:c r="A763" s="9" t="str">
        <x:v>t9IJ1s2e7Kw</x:v>
      </x:c>
      <x:c r="B763" s="10" t="str">
        <x:v>מי מפחד מהחושך? הנזקים שעושה התאורה המלאכותית לכדור הארץ | כאן מסבירים</x:v>
      </x:c>
      <x:c r="C763" s="10" t="str">
        <x:v>Общество простыми словами</x:v>
      </x:c>
      <x:c r="D763" s="9" t="str">
        <x:v>Образование</x:v>
      </x:c>
      <x:c r="E763" s="10" t="str">
        <x:v>Репатрианты; общество; короткий просмотр</x:v>
      </x:c>
      <x:c r="F763" s="10" t="str">
        <x:v>B1–B2 (гипотеза)</x:v>
      </x:c>
      <x:c r="G763" s="12" t="n">
        <x:v>9.8</x:v>
      </x:c>
      <x:c r="H763" s="14" t="n">
        <x:v>37000</x:v>
      </x:c>
      <x:c r="I763" s="15" t="str">
        <x:v>Округлённый счётчик в списке YouTube</x:v>
      </x:c>
      <x:c r="J763" s="14" t="n">
        <x:v>37000</x:v>
      </x:c>
      <x:c r="K763" s="14" t="n">
        <x:v>59000</x:v>
      </x:c>
      <x:c r="L763" s="12" t="n">
        <x:f>IF(COUNT(J763:K763)=2,IF(K763=0,"",J763/K763),"")</x:f>
        <x:v>0.6271186440677966</x:v>
      </x:c>
      <x:c r="M763" s="10" t="str">
        <x:v>Завершённый короткий просмотр около 10 мин. Объясняющий формат снижает порог входа в незнакомые институты и общественные темы.</x:v>
      </x:c>
      <x:c r="N763" s="10" t="str">
        <x:v>Выписать связки объяснения; дать определение термину.</x:v>
      </x:c>
      <x:c r="O763" s="10" t="str">
        <x:v>Повторно проверять даты законов, чисел и новостей</x:v>
      </x:c>
      <x:c r="P763" s="10" t="str">
        <x:v>Самостоятельное видео</x:v>
      </x:c>
      <x:c r="Q763" s="9" t="str">
        <x:v>Нет</x:v>
      </x:c>
      <x:c r="R763" s="9" t="str">
        <x:v>C045</x:v>
      </x:c>
      <x:c r="S763" s="9" t="str">
        <x:v>C045</x:v>
      </x:c>
      <x:c r="T763" s="10" t="str">
        <x:v>כאן | דיגיטל - תאגיד השידור הישראלי</x:v>
      </x:c>
      <x:c r="U763" s="11" t="str">
        <x:v>https://www.youtube.com/watch?v=t9IJ1s2e7Kw</x:v>
      </x:c>
      <x:c r="V763" s="16" t="n">
        <x:v>46308</x:v>
      </x:c>
      <x:c r="W763" s="16"/>
      <x:c r="X763" s="10" t="str">
        <x:v>Иврит предполагается по заголовку и источнику</x:v>
      </x:c>
      <x:c r="Y763" s="10" t="str">
        <x:v>Не проверено</x:v>
      </x:c>
      <x:c r="Z763" s="10" t="str">
        <x:v>Не проверено</x:v>
      </x:c>
      <x:c r="AA763" s="10" t="str">
        <x:v>Метаданные списка; видео не просмотрено</x:v>
      </x:c>
      <x:c r="AB763" s="13" t="str">
        <x:f>IF(AND(ISNUMBER(H763),ISNUMBER(W763)),H763/MAX(1,'Обзор'!$B$4-W763),"")</x:f>
      </x:c>
      <x:c r="AC763" s="17" t="str">
        <x:v>Не решено</x:v>
      </x:c>
      <x:c r="AD763" s="17" t="str">
        <x:v>Не проверено</x:v>
      </x:c>
      <x:c r="AE763" s="17" t="str">
        <x:v>Не проверено</x:v>
      </x:c>
      <x:c r="AF763" s="17" t="str">
        <x:v>Не проверено</x:v>
      </x:c>
      <x:c r="AG763" s="17" t="str">
        <x:v>Не решено</x:v>
      </x:c>
      <x:c r="AH763" s="17" t="str">
        <x:v>Не проверено</x:v>
      </x:c>
      <x:c r="AI763" s="10" t="str">
        <x:f>IF(AC763="Отклонить","Отклонено",IF(AND(AC763="Взять",COUNTIFS(AD763:AH763,"Да")=5),"Готово","Нужна редактура"))</x:f>
        <x:v>Нужна редактура</x:v>
      </x:c>
      <x:c r="AJ763" s="17" t="str"/>
      <x:c r="AK763" s="9" t="str">
        <x:v>https://www.youtube.com/playlist?list=PLXv9BeKApRvxC7CHMrdA9knii4lmYhJzS</x:v>
      </x:c>
      <x:c r="AL763" s="9" t="n">
        <x:v>27</x:v>
      </x:c>
      <x:c r="AM763" s="9"/>
      <x:c r="AN763" s="9"/>
    </x:row>
    <x:row r="764" ht="60" customHeight="1">
      <x:c r="A764" s="9" t="str">
        <x:v>_A1HTkSCmVw</x:v>
      </x:c>
      <x:c r="B764" s="10" t="str">
        <x:v>ווסט זוהר ומשקפות מוזרות - הכירו את המודדים | כאן מסבירים</x:v>
      </x:c>
      <x:c r="C764" s="10" t="str">
        <x:v>Общество простыми словами</x:v>
      </x:c>
      <x:c r="D764" s="9" t="str">
        <x:v>Образование</x:v>
      </x:c>
      <x:c r="E764" s="10" t="str">
        <x:v>Репатрианты; общество; короткий просмотр</x:v>
      </x:c>
      <x:c r="F764" s="10" t="str">
        <x:v>B1–B2 (гипотеза)</x:v>
      </x:c>
      <x:c r="G764" s="12" t="n">
        <x:v>6.7</x:v>
      </x:c>
      <x:c r="H764" s="14" t="n">
        <x:v>88959</x:v>
      </x:c>
      <x:c r="I764" s="15" t="str">
        <x:v>Точный счётчик метаданных видео</x:v>
      </x:c>
      <x:c r="J764" s="14" t="n">
        <x:v>88000</x:v>
      </x:c>
      <x:c r="K764" s="14" t="n">
        <x:v>59000</x:v>
      </x:c>
      <x:c r="L764" s="12" t="n">
        <x:f>IF(COUNT(J764:K764)=2,IF(K764=0,"",J764/K764),"")</x:f>
        <x:v>1.4915254237288136</x:v>
      </x:c>
      <x:c r="M764" s="10" t="str">
        <x:v>Завершённый короткий просмотр около 7 мин. Объясняющий формат снижает порог входа в незнакомые институты и общественные темы.</x:v>
      </x:c>
      <x:c r="N764" s="10" t="str">
        <x:v>Выписать связки объяснения; дать определение термину.</x:v>
      </x:c>
      <x:c r="O764" s="10" t="str">
        <x:v>Повторно проверять даты законов, чисел и новостей</x:v>
      </x:c>
      <x:c r="P764" s="10" t="str">
        <x:v>Самостоятельное видео</x:v>
      </x:c>
      <x:c r="Q764" s="9" t="str">
        <x:v>Нет</x:v>
      </x:c>
      <x:c r="R764" s="9" t="str">
        <x:v>C045</x:v>
      </x:c>
      <x:c r="S764" s="9" t="str">
        <x:v>C045</x:v>
      </x:c>
      <x:c r="T764" s="10" t="str">
        <x:v>כאן | דיגיטל - תאגיד השידור הישראלי</x:v>
      </x:c>
      <x:c r="U764" s="11" t="str">
        <x:v>https://www.youtube.com/watch?v=_A1HTkSCmVw</x:v>
      </x:c>
      <x:c r="V764" s="16" t="n">
        <x:v>46308</x:v>
      </x:c>
      <x:c r="W764" s="16" t="n">
        <x:v>44406</x:v>
      </x:c>
      <x:c r="X764" s="10" t="str">
        <x:v>Иврит предполагается по заголовку и источнику</x:v>
      </x:c>
      <x:c r="Y764" s="10" t="str">
        <x:v>Ручная дорожка HE по метаданным</x:v>
      </x:c>
      <x:c r="Z764" s="10" t="str">
        <x:v>Разрешено по метаданным</x:v>
      </x:c>
      <x:c r="AA764" s="10" t="str">
        <x:v>Метаданные видео; воспроизведение и содержание не проверены</x:v>
      </x:c>
      <x:c r="AB764" s="13" t="n">
        <x:f>IF(AND(ISNUMBER(H764),ISNUMBER(W764)),H764/MAX(1,'Обзор'!$B$4-W764),"")</x:f>
        <x:v>46.77129337539432</x:v>
      </x:c>
      <x:c r="AC764" s="17" t="str">
        <x:v>Не решено</x:v>
      </x:c>
      <x:c r="AD764" s="17" t="str">
        <x:v>Не проверено</x:v>
      </x:c>
      <x:c r="AE764" s="17" t="str">
        <x:v>Не проверено</x:v>
      </x:c>
      <x:c r="AF764" s="17" t="str">
        <x:v>Не проверено</x:v>
      </x:c>
      <x:c r="AG764" s="17" t="str">
        <x:v>Не решено</x:v>
      </x:c>
      <x:c r="AH764" s="17" t="str">
        <x:v>Не проверено</x:v>
      </x:c>
      <x:c r="AI764" s="10" t="str">
        <x:f>IF(AC764="Отклонить","Отклонено",IF(AND(AC764="Взять",COUNTIFS(AD764:AH764,"Да")=5),"Готово","Нужна редактура"))</x:f>
        <x:v>Нужна редактура</x:v>
      </x:c>
      <x:c r="AJ764" s="17" t="str"/>
      <x:c r="AK764" s="9" t="str">
        <x:v>https://www.youtube.com/playlist?list=PLXv9BeKApRvxC7CHMrdA9knii4lmYhJzS</x:v>
      </x:c>
      <x:c r="AL764" s="9" t="n">
        <x:v>28</x:v>
      </x:c>
      <x:c r="AM764" s="9"/>
      <x:c r="AN764" s="9" t="n">
        <x:v>0</x:v>
      </x:c>
    </x:row>
    <x:row r="765" ht="60" customHeight="1">
      <x:c r="A765" s="9" t="str">
        <x:v>LdUa9x1veec</x:v>
      </x:c>
      <x:c r="B765" s="10" t="str">
        <x:v>איך מנסחים שאלת טריוויה מוצלחת? | כאן מסבירים</x:v>
      </x:c>
      <x:c r="C765" s="10" t="str">
        <x:v>Общество простыми словами</x:v>
      </x:c>
      <x:c r="D765" s="9" t="str">
        <x:v>Образование</x:v>
      </x:c>
      <x:c r="E765" s="10" t="str">
        <x:v>Репатрианты; общество; короткий просмотр</x:v>
      </x:c>
      <x:c r="F765" s="10" t="str">
        <x:v>B1–B2 (гипотеза)</x:v>
      </x:c>
      <x:c r="G765" s="12" t="n">
        <x:v>7.2</x:v>
      </x:c>
      <x:c r="H765" s="14" t="n">
        <x:v>39000</x:v>
      </x:c>
      <x:c r="I765" s="15" t="str">
        <x:v>Округлённый счётчик в списке YouTube</x:v>
      </x:c>
      <x:c r="J765" s="14" t="n">
        <x:v>39000</x:v>
      </x:c>
      <x:c r="K765" s="14" t="n">
        <x:v>59000</x:v>
      </x:c>
      <x:c r="L765" s="12" t="n">
        <x:f>IF(COUNT(J765:K765)=2,IF(K765=0,"",J765/K765),"")</x:f>
        <x:v>0.6610169491525424</x:v>
      </x:c>
      <x:c r="M765" s="10" t="str">
        <x:v>Завершённый короткий просмотр около 7 мин. Объясняющий формат снижает порог входа в незнакомые институты и общественные темы.</x:v>
      </x:c>
      <x:c r="N765" s="10" t="str">
        <x:v>Выписать связки объяснения; дать определение термину.</x:v>
      </x:c>
      <x:c r="O765" s="10" t="str">
        <x:v>Повторно проверять даты законов, чисел и новостей</x:v>
      </x:c>
      <x:c r="P765" s="10" t="str">
        <x:v>Самостоятельное видео</x:v>
      </x:c>
      <x:c r="Q765" s="9" t="str">
        <x:v>Нет</x:v>
      </x:c>
      <x:c r="R765" s="9" t="str">
        <x:v>C045</x:v>
      </x:c>
      <x:c r="S765" s="9" t="str">
        <x:v>C045</x:v>
      </x:c>
      <x:c r="T765" s="10" t="str">
        <x:v>כאן | דיגיטל - תאגיד השידור הישראלי</x:v>
      </x:c>
      <x:c r="U765" s="11" t="str">
        <x:v>https://www.youtube.com/watch?v=LdUa9x1veec</x:v>
      </x:c>
      <x:c r="V765" s="16" t="n">
        <x:v>46308</x:v>
      </x:c>
      <x:c r="W765" s="16"/>
      <x:c r="X765" s="10" t="str">
        <x:v>Иврит предполагается по заголовку и источнику</x:v>
      </x:c>
      <x:c r="Y765" s="10" t="str">
        <x:v>Не проверено</x:v>
      </x:c>
      <x:c r="Z765" s="10" t="str">
        <x:v>Не проверено</x:v>
      </x:c>
      <x:c r="AA765" s="10" t="str">
        <x:v>Метаданные списка; видео не просмотрено</x:v>
      </x:c>
      <x:c r="AB765" s="13" t="str">
        <x:f>IF(AND(ISNUMBER(H765),ISNUMBER(W765)),H765/MAX(1,'Обзор'!$B$4-W765),"")</x:f>
      </x:c>
      <x:c r="AC765" s="17" t="str">
        <x:v>Не решено</x:v>
      </x:c>
      <x:c r="AD765" s="17" t="str">
        <x:v>Не проверено</x:v>
      </x:c>
      <x:c r="AE765" s="17" t="str">
        <x:v>Не проверено</x:v>
      </x:c>
      <x:c r="AF765" s="17" t="str">
        <x:v>Не проверено</x:v>
      </x:c>
      <x:c r="AG765" s="17" t="str">
        <x:v>Не решено</x:v>
      </x:c>
      <x:c r="AH765" s="17" t="str">
        <x:v>Не проверено</x:v>
      </x:c>
      <x:c r="AI765" s="10" t="str">
        <x:f>IF(AC765="Отклонить","Отклонено",IF(AND(AC765="Взять",COUNTIFS(AD765:AH765,"Да")=5),"Готово","Нужна редактура"))</x:f>
        <x:v>Нужна редактура</x:v>
      </x:c>
      <x:c r="AJ765" s="17" t="str"/>
      <x:c r="AK765" s="9" t="str">
        <x:v>https://www.youtube.com/playlist?list=PLXv9BeKApRvxC7CHMrdA9knii4lmYhJzS</x:v>
      </x:c>
      <x:c r="AL765" s="9" t="n">
        <x:v>29</x:v>
      </x:c>
      <x:c r="AM765" s="9"/>
      <x:c r="AN765" s="9"/>
    </x:row>
    <x:row r="766" ht="60" customHeight="1">
      <x:c r="A766" s="9" t="str">
        <x:v>3YJ6LYN6McM</x:v>
      </x:c>
      <x:c r="B766" s="10" t="str">
        <x:v>מה עושים במצב של חרדה? | כאן מסבירים</x:v>
      </x:c>
      <x:c r="C766" s="10" t="str">
        <x:v>Общество простыми словами</x:v>
      </x:c>
      <x:c r="D766" s="9" t="str">
        <x:v>Образование</x:v>
      </x:c>
      <x:c r="E766" s="10" t="str">
        <x:v>Репатрианты; общество; короткий просмотр</x:v>
      </x:c>
      <x:c r="F766" s="10" t="str">
        <x:v>B1–B2 (гипотеза)</x:v>
      </x:c>
      <x:c r="G766" s="12" t="n">
        <x:v>3.5</x:v>
      </x:c>
      <x:c r="H766" s="14" t="n">
        <x:v>31000</x:v>
      </x:c>
      <x:c r="I766" s="15" t="str">
        <x:v>Округлённый счётчик в списке YouTube</x:v>
      </x:c>
      <x:c r="J766" s="14" t="n">
        <x:v>31000</x:v>
      </x:c>
      <x:c r="K766" s="14" t="n">
        <x:v>59000</x:v>
      </x:c>
      <x:c r="L766" s="12" t="n">
        <x:f>IF(COUNT(J766:K766)=2,IF(K766=0,"",J766/K766),"")</x:f>
        <x:v>0.5254237288135594</x:v>
      </x:c>
      <x:c r="M766" s="10" t="str">
        <x:v>Завершённый короткий просмотр около 4 мин. Объясняющий формат снижает порог входа в незнакомые институты и общественные темы.</x:v>
      </x:c>
      <x:c r="N766" s="10" t="str">
        <x:v>Выписать связки объяснения; дать определение термину.</x:v>
      </x:c>
      <x:c r="O766" s="10" t="str">
        <x:v>Повторно проверять даты законов, чисел и новостей</x:v>
      </x:c>
      <x:c r="P766" s="10" t="str">
        <x:v>Самостоятельное видео</x:v>
      </x:c>
      <x:c r="Q766" s="9" t="str">
        <x:v>Нет</x:v>
      </x:c>
      <x:c r="R766" s="9" t="str">
        <x:v>C045</x:v>
      </x:c>
      <x:c r="S766" s="9" t="str">
        <x:v>C045</x:v>
      </x:c>
      <x:c r="T766" s="10" t="str">
        <x:v>כאן | דיגיטל - תאגיד השידור הישראלי</x:v>
      </x:c>
      <x:c r="U766" s="11" t="str">
        <x:v>https://www.youtube.com/watch?v=3YJ6LYN6McM</x:v>
      </x:c>
      <x:c r="V766" s="16" t="n">
        <x:v>46308</x:v>
      </x:c>
      <x:c r="W766" s="16"/>
      <x:c r="X766" s="10" t="str">
        <x:v>Иврит предполагается по заголовку и источнику</x:v>
      </x:c>
      <x:c r="Y766" s="10" t="str">
        <x:v>Не проверено</x:v>
      </x:c>
      <x:c r="Z766" s="10" t="str">
        <x:v>Не проверено</x:v>
      </x:c>
      <x:c r="AA766" s="10" t="str">
        <x:v>Метаданные списка; видео не просмотрено</x:v>
      </x:c>
      <x:c r="AB766" s="13" t="str">
        <x:f>IF(AND(ISNUMBER(H766),ISNUMBER(W766)),H766/MAX(1,'Обзор'!$B$4-W766),"")</x:f>
      </x:c>
      <x:c r="AC766" s="17" t="str">
        <x:v>Не решено</x:v>
      </x:c>
      <x:c r="AD766" s="17" t="str">
        <x:v>Не проверено</x:v>
      </x:c>
      <x:c r="AE766" s="17" t="str">
        <x:v>Не проверено</x:v>
      </x:c>
      <x:c r="AF766" s="17" t="str">
        <x:v>Не проверено</x:v>
      </x:c>
      <x:c r="AG766" s="17" t="str">
        <x:v>Не решено</x:v>
      </x:c>
      <x:c r="AH766" s="17" t="str">
        <x:v>Не проверено</x:v>
      </x:c>
      <x:c r="AI766" s="10" t="str">
        <x:f>IF(AC766="Отклонить","Отклонено",IF(AND(AC766="Взять",COUNTIFS(AD766:AH766,"Да")=5),"Готово","Нужна редактура"))</x:f>
        <x:v>Нужна редактура</x:v>
      </x:c>
      <x:c r="AJ766" s="17" t="str"/>
      <x:c r="AK766" s="9" t="str">
        <x:v>https://www.youtube.com/playlist?list=PLXv9BeKApRvxC7CHMrdA9knii4lmYhJzS</x:v>
      </x:c>
      <x:c r="AL766" s="9" t="n">
        <x:v>30</x:v>
      </x:c>
      <x:c r="AM766" s="9"/>
      <x:c r="AN766" s="9"/>
    </x:row>
    <x:row r="767" ht="60" customHeight="1">
      <x:c r="A767" s="9" t="str">
        <x:v>y8sPwmmuqLQ</x:v>
      </x:c>
      <x:c r="B767" s="10" t="str">
        <x:v>מה הקשר בין מחלת הצליאק, פסח ומלחמת העולם השנייה? | כאן מסבירים</x:v>
      </x:c>
      <x:c r="C767" s="10" t="str">
        <x:v>Общество простыми словами</x:v>
      </x:c>
      <x:c r="D767" s="9" t="str">
        <x:v>Образование</x:v>
      </x:c>
      <x:c r="E767" s="10" t="str">
        <x:v>Репатрианты; общество; короткий просмотр</x:v>
      </x:c>
      <x:c r="F767" s="10" t="str">
        <x:v>B1–B2 (гипотеза)</x:v>
      </x:c>
      <x:c r="G767" s="12" t="n">
        <x:v>7.2</x:v>
      </x:c>
      <x:c r="H767" s="14" t="n">
        <x:v>30000</x:v>
      </x:c>
      <x:c r="I767" s="15" t="str">
        <x:v>Округлённый счётчик в списке YouTube</x:v>
      </x:c>
      <x:c r="J767" s="14" t="n">
        <x:v>30000</x:v>
      </x:c>
      <x:c r="K767" s="14" t="n">
        <x:v>59000</x:v>
      </x:c>
      <x:c r="L767" s="12" t="n">
        <x:f>IF(COUNT(J767:K767)=2,IF(K767=0,"",J767/K767),"")</x:f>
        <x:v>0.5084745762711864</x:v>
      </x:c>
      <x:c r="M767" s="10" t="str">
        <x:v>Завершённый короткий просмотр около 7 мин. Объясняющий формат снижает порог входа в незнакомые институты и общественные темы.</x:v>
      </x:c>
      <x:c r="N767" s="10" t="str">
        <x:v>Выписать связки объяснения; дать определение термину.</x:v>
      </x:c>
      <x:c r="O767" s="10" t="str">
        <x:v>Повторно проверять даты законов, чисел и новостей</x:v>
      </x:c>
      <x:c r="P767" s="10" t="str">
        <x:v>Самостоятельное видео</x:v>
      </x:c>
      <x:c r="Q767" s="9" t="str">
        <x:v>Нет</x:v>
      </x:c>
      <x:c r="R767" s="9" t="str">
        <x:v>C045</x:v>
      </x:c>
      <x:c r="S767" s="9" t="str">
        <x:v>C045</x:v>
      </x:c>
      <x:c r="T767" s="10" t="str">
        <x:v>כאן | דיגיטל - תאגיד השידור הישראלי</x:v>
      </x:c>
      <x:c r="U767" s="11" t="str">
        <x:v>https://www.youtube.com/watch?v=y8sPwmmuqLQ</x:v>
      </x:c>
      <x:c r="V767" s="16" t="n">
        <x:v>46308</x:v>
      </x:c>
      <x:c r="W767" s="16"/>
      <x:c r="X767" s="10" t="str">
        <x:v>Иврит предполагается по заголовку и источнику</x:v>
      </x:c>
      <x:c r="Y767" s="10" t="str">
        <x:v>Не проверено</x:v>
      </x:c>
      <x:c r="Z767" s="10" t="str">
        <x:v>Не проверено</x:v>
      </x:c>
      <x:c r="AA767" s="10" t="str">
        <x:v>Метаданные списка; видео не просмотрено</x:v>
      </x:c>
      <x:c r="AB767" s="13" t="str">
        <x:f>IF(AND(ISNUMBER(H767),ISNUMBER(W767)),H767/MAX(1,'Обзор'!$B$4-W767),"")</x:f>
      </x:c>
      <x:c r="AC767" s="17" t="str">
        <x:v>Не решено</x:v>
      </x:c>
      <x:c r="AD767" s="17" t="str">
        <x:v>Не проверено</x:v>
      </x:c>
      <x:c r="AE767" s="17" t="str">
        <x:v>Не проверено</x:v>
      </x:c>
      <x:c r="AF767" s="17" t="str">
        <x:v>Не проверено</x:v>
      </x:c>
      <x:c r="AG767" s="17" t="str">
        <x:v>Не решено</x:v>
      </x:c>
      <x:c r="AH767" s="17" t="str">
        <x:v>Не проверено</x:v>
      </x:c>
      <x:c r="AI767" s="10" t="str">
        <x:f>IF(AC767="Отклонить","Отклонено",IF(AND(AC767="Взять",COUNTIFS(AD767:AH767,"Да")=5),"Готово","Нужна редактура"))</x:f>
        <x:v>Нужна редактура</x:v>
      </x:c>
      <x:c r="AJ767" s="17" t="str"/>
      <x:c r="AK767" s="9" t="str">
        <x:v>https://www.youtube.com/playlist?list=PLXv9BeKApRvxC7CHMrdA9knii4lmYhJzS</x:v>
      </x:c>
      <x:c r="AL767" s="9" t="n">
        <x:v>31</x:v>
      </x:c>
      <x:c r="AM767" s="9"/>
      <x:c r="AN767" s="9"/>
    </x:row>
    <x:row r="768" ht="60" customHeight="1">
      <x:c r="A768" s="9" t="str">
        <x:v>ZoeASz-D7uI</x:v>
      </x:c>
      <x:c r="B768" s="10" t="str">
        <x:v>הנשים שלא נתנו שלא יספרו אותן | כאן מסבירים</x:v>
      </x:c>
      <x:c r="C768" s="10" t="str">
        <x:v>Общество простыми словами</x:v>
      </x:c>
      <x:c r="D768" s="9" t="str">
        <x:v>Образование</x:v>
      </x:c>
      <x:c r="E768" s="10" t="str">
        <x:v>Репатрианты; общество; короткий просмотр</x:v>
      </x:c>
      <x:c r="F768" s="10" t="str">
        <x:v>B1–B2 (гипотеза)</x:v>
      </x:c>
      <x:c r="G768" s="12" t="n">
        <x:v>6.7</x:v>
      </x:c>
      <x:c r="H768" s="14" t="n">
        <x:v>21000</x:v>
      </x:c>
      <x:c r="I768" s="15" t="str">
        <x:v>Округлённый счётчик в списке YouTube</x:v>
      </x:c>
      <x:c r="J768" s="14" t="n">
        <x:v>21000</x:v>
      </x:c>
      <x:c r="K768" s="14" t="n">
        <x:v>59000</x:v>
      </x:c>
      <x:c r="L768" s="12" t="n">
        <x:f>IF(COUNT(J768:K768)=2,IF(K768=0,"",J768/K768),"")</x:f>
        <x:v>0.3559322033898305</x:v>
      </x:c>
      <x:c r="M768" s="10" t="str">
        <x:v>Завершённый короткий просмотр около 7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68" s="10" t="str">
        <x:v>Выписать связки объяснения; дать определение термину.</x:v>
      </x:c>
      <x:c r="O768" s="10" t="str">
        <x:v>Повторно проверять даты законов, чисел и новостей</x:v>
      </x:c>
      <x:c r="P768" s="10" t="str">
        <x:v>Самостоятельное видео</x:v>
      </x:c>
      <x:c r="Q768" s="9" t="str">
        <x:v>Нет</x:v>
      </x:c>
      <x:c r="R768" s="9" t="str">
        <x:v>C045</x:v>
      </x:c>
      <x:c r="S768" s="9" t="str">
        <x:v>C045</x:v>
      </x:c>
      <x:c r="T768" s="10" t="str">
        <x:v>כאן | דיגיטל - תאגיד השידור הישראלי</x:v>
      </x:c>
      <x:c r="U768" s="11" t="str">
        <x:v>https://www.youtube.com/watch?v=ZoeASz-D7uI</x:v>
      </x:c>
      <x:c r="V768" s="16" t="n">
        <x:v>46308</x:v>
      </x:c>
      <x:c r="W768" s="16"/>
      <x:c r="X768" s="10" t="str">
        <x:v>Иврит предполагается по заголовку и источнику</x:v>
      </x:c>
      <x:c r="Y768" s="10" t="str">
        <x:v>Не проверено</x:v>
      </x:c>
      <x:c r="Z768" s="10" t="str">
        <x:v>Не проверено</x:v>
      </x:c>
      <x:c r="AA768" s="10" t="str">
        <x:v>Метаданные списка; видео не просмотрено</x:v>
      </x:c>
      <x:c r="AB768" s="13" t="str">
        <x:f>IF(AND(ISNUMBER(H768),ISNUMBER(W768)),H768/MAX(1,'Обзор'!$B$4-W768),"")</x:f>
      </x:c>
      <x:c r="AC768" s="17" t="str">
        <x:v>Не решено</x:v>
      </x:c>
      <x:c r="AD768" s="17" t="str">
        <x:v>Не проверено</x:v>
      </x:c>
      <x:c r="AE768" s="17" t="str">
        <x:v>Не проверено</x:v>
      </x:c>
      <x:c r="AF768" s="17" t="str">
        <x:v>Не проверено</x:v>
      </x:c>
      <x:c r="AG768" s="17" t="str">
        <x:v>Не решено</x:v>
      </x:c>
      <x:c r="AH768" s="17" t="str">
        <x:v>Не проверено</x:v>
      </x:c>
      <x:c r="AI768" s="10" t="str">
        <x:f>IF(AC768="Отклонить","Отклонено",IF(AND(AC768="Взять",COUNTIFS(AD768:AH768,"Да")=5),"Готово","Нужна редактура"))</x:f>
        <x:v>Нужна редактура</x:v>
      </x:c>
      <x:c r="AJ768" s="17" t="str"/>
      <x:c r="AK768" s="9" t="str">
        <x:v>https://www.youtube.com/playlist?list=PLXv9BeKApRvxC7CHMrdA9knii4lmYhJzS</x:v>
      </x:c>
      <x:c r="AL768" s="9" t="n">
        <x:v>32</x:v>
      </x:c>
      <x:c r="AM768" s="9"/>
      <x:c r="AN768" s="9"/>
    </x:row>
    <x:row r="769" ht="60" customHeight="1">
      <x:c r="A769" s="9" t="str">
        <x:v>3Q6J6VUla1o</x:v>
      </x:c>
      <x:c r="B769" s="10" t="str">
        <x:v>רוצים לעשות גמביט המלכה? ענת קורול לומדת שחמט | כאן מסבירים</x:v>
      </x:c>
      <x:c r="C769" s="10" t="str">
        <x:v>Общество простыми словами</x:v>
      </x:c>
      <x:c r="D769" s="9" t="str">
        <x:v>Образование</x:v>
      </x:c>
      <x:c r="E769" s="10" t="str">
        <x:v>Репатрианты; общество; короткий просмотр</x:v>
      </x:c>
      <x:c r="F769" s="10" t="str">
        <x:v>B1–B2 (гипотеза)</x:v>
      </x:c>
      <x:c r="G769" s="12" t="n">
        <x:v>6.4</x:v>
      </x:c>
      <x:c r="H769" s="14" t="n">
        <x:v>90421</x:v>
      </x:c>
      <x:c r="I769" s="15" t="str">
        <x:v>Точный счётчик метаданных видео</x:v>
      </x:c>
      <x:c r="J769" s="14" t="n">
        <x:v>90000</x:v>
      </x:c>
      <x:c r="K769" s="14" t="n">
        <x:v>59000</x:v>
      </x:c>
      <x:c r="L769" s="12" t="n">
        <x:f>IF(COUNT(J769:K769)=2,IF(K769=0,"",J769/K769),"")</x:f>
        <x:v>1.5254237288135593</x:v>
      </x:c>
      <x:c r="M769" s="10" t="str">
        <x:v>Завершённый короткий просмотр около 6 мин. Просмотры в списке выше медианы выборки этого цикла в 1.53 раза. Объясняющий формат снижает порог входа в незнакомые институты и общественные темы.</x:v>
      </x:c>
      <x:c r="N769" s="10" t="str">
        <x:v>Выписать связки объяснения; дать определение термину.</x:v>
      </x:c>
      <x:c r="O769" s="10" t="str">
        <x:v>Повторно проверять даты законов, чисел и новостей</x:v>
      </x:c>
      <x:c r="P769" s="10" t="str">
        <x:v>Самостоятельное видео</x:v>
      </x:c>
      <x:c r="Q769" s="9" t="str">
        <x:v>Нет</x:v>
      </x:c>
      <x:c r="R769" s="9" t="str">
        <x:v>C045</x:v>
      </x:c>
      <x:c r="S769" s="9" t="str">
        <x:v>C045</x:v>
      </x:c>
      <x:c r="T769" s="10" t="str">
        <x:v>כאן | דיגיטל - תאגיד השידור הישראלי</x:v>
      </x:c>
      <x:c r="U769" s="11" t="str">
        <x:v>https://www.youtube.com/watch?v=3Q6J6VUla1o</x:v>
      </x:c>
      <x:c r="V769" s="16" t="n">
        <x:v>46308</x:v>
      </x:c>
      <x:c r="W769" s="16" t="n">
        <x:v>44165</x:v>
      </x:c>
      <x:c r="X769" s="10" t="str">
        <x:v>Иврит предполагается по заголовку и источнику</x:v>
      </x:c>
      <x:c r="Y769" s="10" t="str">
        <x:v>Ручная дорожка HE по метаданным</x:v>
      </x:c>
      <x:c r="Z769" s="10" t="str">
        <x:v>Разрешено по метаданным</x:v>
      </x:c>
      <x:c r="AA769" s="10" t="str">
        <x:v>Метаданные видео; воспроизведение и содержание не проверены</x:v>
      </x:c>
      <x:c r="AB769" s="13" t="n">
        <x:f>IF(AND(ISNUMBER(H769),ISNUMBER(W769)),H769/MAX(1,'Обзор'!$B$4-W769),"")</x:f>
        <x:v>42.19365375641624</x:v>
      </x:c>
      <x:c r="AC769" s="17" t="str">
        <x:v>Не решено</x:v>
      </x:c>
      <x:c r="AD769" s="17" t="str">
        <x:v>Не проверено</x:v>
      </x:c>
      <x:c r="AE769" s="17" t="str">
        <x:v>Не проверено</x:v>
      </x:c>
      <x:c r="AF769" s="17" t="str">
        <x:v>Не проверено</x:v>
      </x:c>
      <x:c r="AG769" s="17" t="str">
        <x:v>Не решено</x:v>
      </x:c>
      <x:c r="AH769" s="17" t="str">
        <x:v>Не проверено</x:v>
      </x:c>
      <x:c r="AI769" s="10" t="str">
        <x:f>IF(AC769="Отклонить","Отклонено",IF(AND(AC769="Взять",COUNTIFS(AD769:AH769,"Да")=5),"Готово","Нужна редактура"))</x:f>
        <x:v>Нужна редактура</x:v>
      </x:c>
      <x:c r="AJ769" s="17" t="str"/>
      <x:c r="AK769" s="9" t="str">
        <x:v>https://www.youtube.com/playlist?list=PLXv9BeKApRvxC7CHMrdA9knii4lmYhJzS</x:v>
      </x:c>
      <x:c r="AL769" s="9" t="n">
        <x:v>33</x:v>
      </x:c>
      <x:c r="AM769" s="9"/>
      <x:c r="AN769" s="9" t="n">
        <x:v>0</x:v>
      </x:c>
    </x:row>
    <x:row r="770" ht="60" customHeight="1">
      <x:c r="A770" s="9" t="str">
        <x:v>nIDueCUzTa8</x:v>
      </x:c>
      <x:c r="B770" s="10" t="str">
        <x:v>איך נקבעים שמות של מבצעים צבאיים? | #כאן_מסבירים</x:v>
      </x:c>
      <x:c r="C770" s="10" t="str">
        <x:v>Общество простыми словами</x:v>
      </x:c>
      <x:c r="D770" s="9" t="str">
        <x:v>Образование</x:v>
      </x:c>
      <x:c r="E770" s="10" t="str">
        <x:v>Репатрианты; общество; короткий просмотр</x:v>
      </x:c>
      <x:c r="F770" s="10" t="str">
        <x:v>B1–B2 (гипотеза)</x:v>
      </x:c>
      <x:c r="G770" s="12" t="n">
        <x:v>6.2</x:v>
      </x:c>
      <x:c r="H770" s="14" t="n">
        <x:v>70741</x:v>
      </x:c>
      <x:c r="I770" s="15" t="str">
        <x:v>Точный счётчик метаданных видео</x:v>
      </x:c>
      <x:c r="J770" s="14" t="n">
        <x:v>70000</x:v>
      </x:c>
      <x:c r="K770" s="14" t="n">
        <x:v>59000</x:v>
      </x:c>
      <x:c r="L770" s="12" t="n">
        <x:f>IF(COUNT(J770:K770)=2,IF(K770=0,"",J770/K770),"")</x:f>
        <x:v>1.1864406779661016</x:v>
      </x:c>
      <x:c r="M770" s="10" t="str">
        <x:v>Завершённый короткий просмотр около 6 мин. Объясняющий формат снижает порог входа в незнакомые институты и общественные темы.</x:v>
      </x:c>
      <x:c r="N770" s="10" t="str">
        <x:v>Выписать связки объяснения; дать определение термину.</x:v>
      </x:c>
      <x:c r="O770" s="10" t="str">
        <x:v>Повторно проверять даты законов, чисел и новостей</x:v>
      </x:c>
      <x:c r="P770" s="10" t="str">
        <x:v>Самостоятельное видео</x:v>
      </x:c>
      <x:c r="Q770" s="9" t="str">
        <x:v>Нет</x:v>
      </x:c>
      <x:c r="R770" s="9" t="str">
        <x:v>C045</x:v>
      </x:c>
      <x:c r="S770" s="9" t="str">
        <x:v>C045</x:v>
      </x:c>
      <x:c r="T770" s="10" t="str">
        <x:v>כאן | דיגיטל - תאגיד השידור הישראלי</x:v>
      </x:c>
      <x:c r="U770" s="11" t="str">
        <x:v>https://www.youtube.com/watch?v=nIDueCUzTa8</x:v>
      </x:c>
      <x:c r="V770" s="16" t="n">
        <x:v>46308</x:v>
      </x:c>
      <x:c r="W770" s="16" t="n">
        <x:v>44123</x:v>
      </x:c>
      <x:c r="X770" s="10" t="str">
        <x:v>Иврит предполагается по заголовку и источнику</x:v>
      </x:c>
      <x:c r="Y770" s="10" t="str">
        <x:v>Ручная дорожка HE по метаданным</x:v>
      </x:c>
      <x:c r="Z770" s="10" t="str">
        <x:v>Разрешено по метаданным</x:v>
      </x:c>
      <x:c r="AA770" s="10" t="str">
        <x:v>Метаданные видео; воспроизведение и содержание не проверены</x:v>
      </x:c>
      <x:c r="AB770" s="13" t="n">
        <x:f>IF(AND(ISNUMBER(H770),ISNUMBER(W770)),H770/MAX(1,'Обзор'!$B$4-W770),"")</x:f>
        <x:v>32.37574370709382</x:v>
      </x:c>
      <x:c r="AC770" s="17" t="str">
        <x:v>Не решено</x:v>
      </x:c>
      <x:c r="AD770" s="17" t="str">
        <x:v>Не проверено</x:v>
      </x:c>
      <x:c r="AE770" s="17" t="str">
        <x:v>Не проверено</x:v>
      </x:c>
      <x:c r="AF770" s="17" t="str">
        <x:v>Не проверено</x:v>
      </x:c>
      <x:c r="AG770" s="17" t="str">
        <x:v>Не решено</x:v>
      </x:c>
      <x:c r="AH770" s="17" t="str">
        <x:v>Не проверено</x:v>
      </x:c>
      <x:c r="AI770" s="10" t="str">
        <x:f>IF(AC770="Отклонить","Отклонено",IF(AND(AC770="Взять",COUNTIFS(AD770:AH770,"Да")=5),"Готово","Нужна редактура"))</x:f>
        <x:v>Нужна редактура</x:v>
      </x:c>
      <x:c r="AJ770" s="17" t="str"/>
      <x:c r="AK770" s="9" t="str">
        <x:v>https://www.youtube.com/playlist?list=PLXv9BeKApRvxC7CHMrdA9knii4lmYhJzS</x:v>
      </x:c>
      <x:c r="AL770" s="9" t="n">
        <x:v>34</x:v>
      </x:c>
      <x:c r="AM770" s="9"/>
      <x:c r="AN770" s="9" t="n">
        <x:v>0</x:v>
      </x:c>
    </x:row>
    <x:row r="771" ht="60" customHeight="1">
      <x:c r="A771" s="9" t="str">
        <x:v>IGaKyIXSGDg</x:v>
      </x:c>
      <x:c r="B771" s="10" t="str">
        <x:v>למה ילדים סובלים מחרדת נטישה? | כאן מסבירים</x:v>
      </x:c>
      <x:c r="C771" s="10" t="str">
        <x:v>Общество простыми словами</x:v>
      </x:c>
      <x:c r="D771" s="9" t="str">
        <x:v>Образование</x:v>
      </x:c>
      <x:c r="E771" s="10" t="str">
        <x:v>Репатрианты; общество; короткий просмотр</x:v>
      </x:c>
      <x:c r="F771" s="10" t="str">
        <x:v>B1–B2 (гипотеза)</x:v>
      </x:c>
      <x:c r="G771" s="12" t="n">
        <x:v>4.6</x:v>
      </x:c>
      <x:c r="H771" s="14" t="n">
        <x:v>18000</x:v>
      </x:c>
      <x:c r="I771" s="15" t="str">
        <x:v>Округлённый счётчик в списке YouTube</x:v>
      </x:c>
      <x:c r="J771" s="14" t="n">
        <x:v>18000</x:v>
      </x:c>
      <x:c r="K771" s="14" t="n">
        <x:v>59000</x:v>
      </x:c>
      <x:c r="L771" s="12" t="n">
        <x:f>IF(COUNT(J771:K771)=2,IF(K771=0,"",J771/K771),"")</x:f>
        <x:v>0.3050847457627119</x:v>
      </x:c>
      <x:c r="M771" s="10" t="str">
        <x:v>Завершённый короткий просмотр около 5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71" s="10" t="str">
        <x:v>Выписать связки объяснения; дать определение термину.</x:v>
      </x:c>
      <x:c r="O771" s="10" t="str">
        <x:v>Повторно проверять даты законов, чисел и новостей</x:v>
      </x:c>
      <x:c r="P771" s="10" t="str">
        <x:v>Самостоятельное видео</x:v>
      </x:c>
      <x:c r="Q771" s="9" t="str">
        <x:v>Нет</x:v>
      </x:c>
      <x:c r="R771" s="9" t="str">
        <x:v>C045</x:v>
      </x:c>
      <x:c r="S771" s="9" t="str">
        <x:v>C045</x:v>
      </x:c>
      <x:c r="T771" s="10" t="str">
        <x:v>כאן | דיגיטל - תאגיד השידור הישראלי</x:v>
      </x:c>
      <x:c r="U771" s="11" t="str">
        <x:v>https://www.youtube.com/watch?v=IGaKyIXSGDg</x:v>
      </x:c>
      <x:c r="V771" s="16" t="n">
        <x:v>46308</x:v>
      </x:c>
      <x:c r="W771" s="16"/>
      <x:c r="X771" s="10" t="str">
        <x:v>Иврит предполагается по заголовку и источнику</x:v>
      </x:c>
      <x:c r="Y771" s="10" t="str">
        <x:v>Не проверено</x:v>
      </x:c>
      <x:c r="Z771" s="10" t="str">
        <x:v>Не проверено</x:v>
      </x:c>
      <x:c r="AA771" s="10" t="str">
        <x:v>Метаданные списка; видео не просмотрено</x:v>
      </x:c>
      <x:c r="AB771" s="13" t="str">
        <x:f>IF(AND(ISNUMBER(H771),ISNUMBER(W771)),H771/MAX(1,'Обзор'!$B$4-W771),"")</x:f>
      </x:c>
      <x:c r="AC771" s="17" t="str">
        <x:v>Не решено</x:v>
      </x:c>
      <x:c r="AD771" s="17" t="str">
        <x:v>Не проверено</x:v>
      </x:c>
      <x:c r="AE771" s="17" t="str">
        <x:v>Не проверено</x:v>
      </x:c>
      <x:c r="AF771" s="17" t="str">
        <x:v>Не проверено</x:v>
      </x:c>
      <x:c r="AG771" s="17" t="str">
        <x:v>Не решено</x:v>
      </x:c>
      <x:c r="AH771" s="17" t="str">
        <x:v>Не проверено</x:v>
      </x:c>
      <x:c r="AI771" s="10" t="str">
        <x:f>IF(AC771="Отклонить","Отклонено",IF(AND(AC771="Взять",COUNTIFS(AD771:AH771,"Да")=5),"Готово","Нужна редактура"))</x:f>
        <x:v>Нужна редактура</x:v>
      </x:c>
      <x:c r="AJ771" s="17" t="str"/>
      <x:c r="AK771" s="9" t="str">
        <x:v>https://www.youtube.com/playlist?list=PLXv9BeKApRvxC7CHMrdA9knii4lmYhJzS</x:v>
      </x:c>
      <x:c r="AL771" s="9" t="n">
        <x:v>35</x:v>
      </x:c>
      <x:c r="AM771" s="9"/>
      <x:c r="AN771" s="9"/>
    </x:row>
    <x:row r="772" ht="60" customHeight="1">
      <x:c r="A772" s="9" t="str">
        <x:v>vYmR7d94ho0</x:v>
      </x:c>
      <x:c r="B772" s="10" t="str">
        <x:v>למה מלחמות כבר לא קורות בחורף? | כאן מסבירים</x:v>
      </x:c>
      <x:c r="C772" s="10" t="str">
        <x:v>Общество простыми словами</x:v>
      </x:c>
      <x:c r="D772" s="9" t="str">
        <x:v>Образование</x:v>
      </x:c>
      <x:c r="E772" s="10" t="str">
        <x:v>Репатрианты; общество; короткий просмотр</x:v>
      </x:c>
      <x:c r="F772" s="10" t="str">
        <x:v>B1–B2 (гипотеза)</x:v>
      </x:c>
      <x:c r="G772" s="12" t="n">
        <x:v>5</x:v>
      </x:c>
      <x:c r="H772" s="14" t="n">
        <x:v>84830</x:v>
      </x:c>
      <x:c r="I772" s="15" t="str">
        <x:v>Точный счётчик метаданных видео</x:v>
      </x:c>
      <x:c r="J772" s="14" t="n">
        <x:v>84000</x:v>
      </x:c>
      <x:c r="K772" s="14" t="n">
        <x:v>59000</x:v>
      </x:c>
      <x:c r="L772" s="12" t="n">
        <x:f>IF(COUNT(J772:K772)=2,IF(K772=0,"",J772/K772),"")</x:f>
        <x:v>1.423728813559322</x:v>
      </x:c>
      <x:c r="M772" s="10" t="str">
        <x:v>Завершённый короткий просмотр около 5 мин. Объясняющий формат снижает порог входа в незнакомые институты и общественные темы.</x:v>
      </x:c>
      <x:c r="N772" s="10" t="str">
        <x:v>Выписать связки объяснения; дать определение термину.</x:v>
      </x:c>
      <x:c r="O772" s="10" t="str">
        <x:v>Повторно проверять даты законов, чисел и новостей</x:v>
      </x:c>
      <x:c r="P772" s="10" t="str">
        <x:v>Самостоятельное видео</x:v>
      </x:c>
      <x:c r="Q772" s="9" t="str">
        <x:v>Нет</x:v>
      </x:c>
      <x:c r="R772" s="9" t="str">
        <x:v>C045</x:v>
      </x:c>
      <x:c r="S772" s="9" t="str">
        <x:v>C045</x:v>
      </x:c>
      <x:c r="T772" s="10" t="str">
        <x:v>כאן | דיגיטל - תאגיד השידור הישראלי</x:v>
      </x:c>
      <x:c r="U772" s="11" t="str">
        <x:v>https://www.youtube.com/watch?v=vYmR7d94ho0</x:v>
      </x:c>
      <x:c r="V772" s="16" t="n">
        <x:v>46308</x:v>
      </x:c>
      <x:c r="W772" s="16" t="n">
        <x:v>44070</x:v>
      </x:c>
      <x:c r="X772" s="10" t="str">
        <x:v>Иврит предполагается по заголовку и источнику</x:v>
      </x:c>
      <x:c r="Y772" s="10" t="str">
        <x:v>Ручная дорожка HE по метаданным</x:v>
      </x:c>
      <x:c r="Z772" s="10" t="str">
        <x:v>Разрешено по метаданным</x:v>
      </x:c>
      <x:c r="AA772" s="10" t="str">
        <x:v>Метаданные видео; воспроизведение и содержание не проверены</x:v>
      </x:c>
      <x:c r="AB772" s="13" t="n">
        <x:f>IF(AND(ISNUMBER(H772),ISNUMBER(W772)),H772/MAX(1,'Обзор'!$B$4-W772),"")</x:f>
        <x:v>37.90437890974084</x:v>
      </x:c>
      <x:c r="AC772" s="17" t="str">
        <x:v>Не решено</x:v>
      </x:c>
      <x:c r="AD772" s="17" t="str">
        <x:v>Не проверено</x:v>
      </x:c>
      <x:c r="AE772" s="17" t="str">
        <x:v>Не проверено</x:v>
      </x:c>
      <x:c r="AF772" s="17" t="str">
        <x:v>Не проверено</x:v>
      </x:c>
      <x:c r="AG772" s="17" t="str">
        <x:v>Не решено</x:v>
      </x:c>
      <x:c r="AH772" s="17" t="str">
        <x:v>Не проверено</x:v>
      </x:c>
      <x:c r="AI772" s="10" t="str">
        <x:f>IF(AC772="Отклонить","Отклонено",IF(AND(AC772="Взять",COUNTIFS(AD772:AH772,"Да")=5),"Готово","Нужна редактура"))</x:f>
        <x:v>Нужна редактура</x:v>
      </x:c>
      <x:c r="AJ772" s="17" t="str"/>
      <x:c r="AK772" s="9" t="str">
        <x:v>https://www.youtube.com/playlist?list=PLXv9BeKApRvxC7CHMrdA9knii4lmYhJzS</x:v>
      </x:c>
      <x:c r="AL772" s="9" t="n">
        <x:v>36</x:v>
      </x:c>
      <x:c r="AM772" s="9"/>
      <x:c r="AN772" s="9" t="n">
        <x:v>0</x:v>
      </x:c>
    </x:row>
    <x:row r="773" ht="60" customHeight="1">
      <x:c r="A773" s="9" t="str">
        <x:v>Dl5T-mU7yxI</x:v>
      </x:c>
      <x:c r="B773" s="10" t="str">
        <x:v>יש כזה דבר שפעת מזגנים? 🤧 | כאן מסבירים</x:v>
      </x:c>
      <x:c r="C773" s="10" t="str">
        <x:v>Общество простыми словами</x:v>
      </x:c>
      <x:c r="D773" s="9" t="str">
        <x:v>Образование</x:v>
      </x:c>
      <x:c r="E773" s="10" t="str">
        <x:v>Репатрианты; общество; короткий просмотр</x:v>
      </x:c>
      <x:c r="F773" s="10" t="str">
        <x:v>B1–B2 (гипотеза)</x:v>
      </x:c>
      <x:c r="G773" s="12" t="n">
        <x:v>5.5</x:v>
      </x:c>
      <x:c r="H773" s="14" t="n">
        <x:v>63218</x:v>
      </x:c>
      <x:c r="I773" s="15" t="str">
        <x:v>Точный счётчик метаданных видео</x:v>
      </x:c>
      <x:c r="J773" s="14" t="n">
        <x:v>63000</x:v>
      </x:c>
      <x:c r="K773" s="14" t="n">
        <x:v>59000</x:v>
      </x:c>
      <x:c r="L773" s="12" t="n">
        <x:f>IF(COUNT(J773:K773)=2,IF(K773=0,"",J773/K773),"")</x:f>
        <x:v>1.0677966101694916</x:v>
      </x:c>
      <x:c r="M773" s="10" t="str">
        <x:v>Завершённый короткий просмотр около 6 мин. Объясняющий формат снижает порог входа в незнакомые институты и общественные темы.</x:v>
      </x:c>
      <x:c r="N773" s="10" t="str">
        <x:v>Выписать связки объяснения; дать определение термину.</x:v>
      </x:c>
      <x:c r="O773" s="10" t="str">
        <x:v>Повторно проверять даты законов, чисел и новостей</x:v>
      </x:c>
      <x:c r="P773" s="10" t="str">
        <x:v>Самостоятельное видео</x:v>
      </x:c>
      <x:c r="Q773" s="9" t="str">
        <x:v>Нет</x:v>
      </x:c>
      <x:c r="R773" s="9" t="str">
        <x:v>C045</x:v>
      </x:c>
      <x:c r="S773" s="9" t="str">
        <x:v>C045</x:v>
      </x:c>
      <x:c r="T773" s="10" t="str">
        <x:v>כאן | דיגיטל - תאגיד השידור הישראלי</x:v>
      </x:c>
      <x:c r="U773" s="11" t="str">
        <x:v>https://www.youtube.com/watch?v=Dl5T-mU7yxI</x:v>
      </x:c>
      <x:c r="V773" s="16" t="n">
        <x:v>46308</x:v>
      </x:c>
      <x:c r="W773" s="16" t="n">
        <x:v>44061</x:v>
      </x:c>
      <x:c r="X773" s="10" t="str">
        <x:v>Иврит предполагается по заголовку и источнику</x:v>
      </x:c>
      <x:c r="Y773" s="10" t="str">
        <x:v>Ручная дорожка HE по метаданным</x:v>
      </x:c>
      <x:c r="Z773" s="10" t="str">
        <x:v>Разрешено по метаданным</x:v>
      </x:c>
      <x:c r="AA773" s="10" t="str">
        <x:v>Метаданные видео; воспроизведение и содержание не проверены</x:v>
      </x:c>
      <x:c r="AB773" s="13" t="n">
        <x:f>IF(AND(ISNUMBER(H773),ISNUMBER(W773)),H773/MAX(1,'Обзор'!$B$4-W773),"")</x:f>
        <x:v>28.13440142412105</x:v>
      </x:c>
      <x:c r="AC773" s="17" t="str">
        <x:v>Не решено</x:v>
      </x:c>
      <x:c r="AD773" s="17" t="str">
        <x:v>Не проверено</x:v>
      </x:c>
      <x:c r="AE773" s="17" t="str">
        <x:v>Не проверено</x:v>
      </x:c>
      <x:c r="AF773" s="17" t="str">
        <x:v>Не проверено</x:v>
      </x:c>
      <x:c r="AG773" s="17" t="str">
        <x:v>Не решено</x:v>
      </x:c>
      <x:c r="AH773" s="17" t="str">
        <x:v>Не проверено</x:v>
      </x:c>
      <x:c r="AI773" s="10" t="str">
        <x:f>IF(AC773="Отклонить","Отклонено",IF(AND(AC773="Взять",COUNTIFS(AD773:AH773,"Да")=5),"Готово","Нужна редактура"))</x:f>
        <x:v>Нужна редактура</x:v>
      </x:c>
      <x:c r="AJ773" s="17" t="str"/>
      <x:c r="AK773" s="9" t="str">
        <x:v>https://www.youtube.com/playlist?list=PLXv9BeKApRvxC7CHMrdA9knii4lmYhJzS</x:v>
      </x:c>
      <x:c r="AL773" s="9" t="n">
        <x:v>37</x:v>
      </x:c>
      <x:c r="AM773" s="9"/>
      <x:c r="AN773" s="9" t="n">
        <x:v>0</x:v>
      </x:c>
    </x:row>
    <x:row r="774" ht="60" customHeight="1">
      <x:c r="A774" s="9" t="str">
        <x:v>KoDlYzoiqsA</x:v>
      </x:c>
      <x:c r="B774" s="10" t="str">
        <x:v>איך עובדת מכת"זית? | כאן מסבירים</x:v>
      </x:c>
      <x:c r="C774" s="10" t="str">
        <x:v>Общество простыми словами</x:v>
      </x:c>
      <x:c r="D774" s="9" t="str">
        <x:v>Образование</x:v>
      </x:c>
      <x:c r="E774" s="10" t="str">
        <x:v>Репатрианты; общество; короткий просмотр</x:v>
      </x:c>
      <x:c r="F774" s="10" t="str">
        <x:v>B1–B2 (гипотеза)</x:v>
      </x:c>
      <x:c r="G774" s="12" t="n">
        <x:v>3</x:v>
      </x:c>
      <x:c r="H774" s="14" t="n">
        <x:v>19000</x:v>
      </x:c>
      <x:c r="I774" s="15" t="str">
        <x:v>Округлённый счётчик в списке YouTube</x:v>
      </x:c>
      <x:c r="J774" s="14" t="n">
        <x:v>19000</x:v>
      </x:c>
      <x:c r="K774" s="14" t="n">
        <x:v>59000</x:v>
      </x:c>
      <x:c r="L774" s="12" t="n">
        <x:f>IF(COUNT(J774:K774)=2,IF(K774=0,"",J774/K774),"")</x:f>
        <x:v>0.3220338983050847</x:v>
      </x:c>
      <x:c r="M774" s="10" t="str">
        <x:v>Завершённый короткий просмотр около 3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74" s="10" t="str">
        <x:v>Выписать связки объяснения; дать определение термину.</x:v>
      </x:c>
      <x:c r="O774" s="10" t="str">
        <x:v>Повторно проверять даты законов, чисел и новостей</x:v>
      </x:c>
      <x:c r="P774" s="10" t="str">
        <x:v>Самостоятельное видео</x:v>
      </x:c>
      <x:c r="Q774" s="9" t="str">
        <x:v>Нет</x:v>
      </x:c>
      <x:c r="R774" s="9" t="str">
        <x:v>C045</x:v>
      </x:c>
      <x:c r="S774" s="9" t="str">
        <x:v>C045</x:v>
      </x:c>
      <x:c r="T774" s="10" t="str">
        <x:v>כאן | דיגיטל - תאגיד השידור הישראלי</x:v>
      </x:c>
      <x:c r="U774" s="11" t="str">
        <x:v>https://www.youtube.com/watch?v=KoDlYzoiqsA</x:v>
      </x:c>
      <x:c r="V774" s="16" t="n">
        <x:v>46308</x:v>
      </x:c>
      <x:c r="W774" s="16"/>
      <x:c r="X774" s="10" t="str">
        <x:v>Иврит предполагается по заголовку и источнику</x:v>
      </x:c>
      <x:c r="Y774" s="10" t="str">
        <x:v>Не проверено</x:v>
      </x:c>
      <x:c r="Z774" s="10" t="str">
        <x:v>Не проверено</x:v>
      </x:c>
      <x:c r="AA774" s="10" t="str">
        <x:v>Метаданные списка; видео не просмотрено</x:v>
      </x:c>
      <x:c r="AB774" s="13" t="str">
        <x:f>IF(AND(ISNUMBER(H774),ISNUMBER(W774)),H774/MAX(1,'Обзор'!$B$4-W774),"")</x:f>
      </x:c>
      <x:c r="AC774" s="17" t="str">
        <x:v>Не решено</x:v>
      </x:c>
      <x:c r="AD774" s="17" t="str">
        <x:v>Не проверено</x:v>
      </x:c>
      <x:c r="AE774" s="17" t="str">
        <x:v>Не проверено</x:v>
      </x:c>
      <x:c r="AF774" s="17" t="str">
        <x:v>Не проверено</x:v>
      </x:c>
      <x:c r="AG774" s="17" t="str">
        <x:v>Не решено</x:v>
      </x:c>
      <x:c r="AH774" s="17" t="str">
        <x:v>Не проверено</x:v>
      </x:c>
      <x:c r="AI774" s="10" t="str">
        <x:f>IF(AC774="Отклонить","Отклонено",IF(AND(AC774="Взять",COUNTIFS(AD774:AH774,"Да")=5),"Готово","Нужна редактура"))</x:f>
        <x:v>Нужна редактура</x:v>
      </x:c>
      <x:c r="AJ774" s="17" t="str"/>
      <x:c r="AK774" s="9" t="str">
        <x:v>https://www.youtube.com/playlist?list=PLXv9BeKApRvxC7CHMrdA9knii4lmYhJzS</x:v>
      </x:c>
      <x:c r="AL774" s="9" t="n">
        <x:v>38</x:v>
      </x:c>
      <x:c r="AM774" s="9"/>
      <x:c r="AN774" s="9"/>
    </x:row>
    <x:row r="775" ht="60" customHeight="1">
      <x:c r="A775" s="9" t="str">
        <x:v>iIK6ITrCHlw</x:v>
      </x:c>
      <x:c r="B775" s="10" t="str">
        <x:v>מי החליט שאנחנו חייבות ללכת עם חזייה? | כאן מסבירים</x:v>
      </x:c>
      <x:c r="C775" s="10" t="str">
        <x:v>Общество простыми словами</x:v>
      </x:c>
      <x:c r="D775" s="9" t="str">
        <x:v>Образование</x:v>
      </x:c>
      <x:c r="E775" s="10" t="str">
        <x:v>Репатрианты; общество; короткий просмотр</x:v>
      </x:c>
      <x:c r="F775" s="10" t="str">
        <x:v>B1–B2 (гипотеза)</x:v>
      </x:c>
      <x:c r="G775" s="12" t="n">
        <x:v>4.9</x:v>
      </x:c>
      <x:c r="H775" s="14" t="n">
        <x:v>143395</x:v>
      </x:c>
      <x:c r="I775" s="15" t="str">
        <x:v>Точный счётчик метаданных видео</x:v>
      </x:c>
      <x:c r="J775" s="14" t="n">
        <x:v>143000</x:v>
      </x:c>
      <x:c r="K775" s="14" t="n">
        <x:v>59000</x:v>
      </x:c>
      <x:c r="L775" s="12" t="n">
        <x:f>IF(COUNT(J775:K775)=2,IF(K775=0,"",J775/K775),"")</x:f>
        <x:v>2.4237288135593222</x:v>
      </x:c>
      <x:c r="M775" s="10" t="str">
        <x:v>Завершённый короткий просмотр около 5 мин. Просмотры в списке выше медианы выборки этого цикла в 2.42 раза. Объясняющий формат снижает порог входа в незнакомые институты и общественные темы.</x:v>
      </x:c>
      <x:c r="N775" s="10" t="str">
        <x:v>Выписать связки объяснения; дать определение термину.</x:v>
      </x:c>
      <x:c r="O775" s="10" t="str">
        <x:v>Повторно проверять даты законов, чисел и новостей</x:v>
      </x:c>
      <x:c r="P775" s="10" t="str">
        <x:v>Самостоятельное видео</x:v>
      </x:c>
      <x:c r="Q775" s="9" t="str">
        <x:v>Нет</x:v>
      </x:c>
      <x:c r="R775" s="9" t="str">
        <x:v>C045</x:v>
      </x:c>
      <x:c r="S775" s="9" t="str">
        <x:v>C045</x:v>
      </x:c>
      <x:c r="T775" s="10" t="str">
        <x:v>כאן | דיגיטל - תאגיד השידור הישראלי</x:v>
      </x:c>
      <x:c r="U775" s="11" t="str">
        <x:v>https://www.youtube.com/watch?v=iIK6ITrCHlw</x:v>
      </x:c>
      <x:c r="V775" s="16" t="n">
        <x:v>46308</x:v>
      </x:c>
      <x:c r="W775" s="16" t="n">
        <x:v>44038</x:v>
      </x:c>
      <x:c r="X775" s="10" t="str">
        <x:v>Иврит предполагается по заголовку и источнику</x:v>
      </x:c>
      <x:c r="Y775" s="10" t="str">
        <x:v>Ручная дорожка HE по метаданным</x:v>
      </x:c>
      <x:c r="Z775" s="10" t="str">
        <x:v>Разрешено по метаданным</x:v>
      </x:c>
      <x:c r="AA775" s="10" t="str">
        <x:v>Метаданные видео; воспроизведение и содержание не проверены</x:v>
      </x:c>
      <x:c r="AB775" s="13" t="n">
        <x:f>IF(AND(ISNUMBER(H775),ISNUMBER(W775)),H775/MAX(1,'Обзор'!$B$4-W775),"")</x:f>
        <x:v>63.169603524229075</x:v>
      </x:c>
      <x:c r="AC775" s="17" t="str">
        <x:v>Не решено</x:v>
      </x:c>
      <x:c r="AD775" s="17" t="str">
        <x:v>Не проверено</x:v>
      </x:c>
      <x:c r="AE775" s="17" t="str">
        <x:v>Не проверено</x:v>
      </x:c>
      <x:c r="AF775" s="17" t="str">
        <x:v>Не проверено</x:v>
      </x:c>
      <x:c r="AG775" s="17" t="str">
        <x:v>Не решено</x:v>
      </x:c>
      <x:c r="AH775" s="17" t="str">
        <x:v>Не проверено</x:v>
      </x:c>
      <x:c r="AI775" s="10" t="str">
        <x:f>IF(AC775="Отклонить","Отклонено",IF(AND(AC775="Взять",COUNTIFS(AD775:AH775,"Да")=5),"Готово","Нужна редактура"))</x:f>
        <x:v>Нужна редактура</x:v>
      </x:c>
      <x:c r="AJ775" s="17" t="str"/>
      <x:c r="AK775" s="9" t="str">
        <x:v>https://www.youtube.com/playlist?list=PLXv9BeKApRvxC7CHMrdA9knii4lmYhJzS</x:v>
      </x:c>
      <x:c r="AL775" s="9" t="n">
        <x:v>39</x:v>
      </x:c>
      <x:c r="AM775" s="9"/>
      <x:c r="AN775" s="9" t="n">
        <x:v>0</x:v>
      </x:c>
    </x:row>
    <x:row r="776" ht="60" customHeight="1">
      <x:c r="A776" s="9" t="str">
        <x:v>GK5V7DCHi-0</x:v>
      </x:c>
      <x:c r="B776" s="10" t="str">
        <x:v>מתי נשים התחילו להסיר שיער? | כאן מסבירים</x:v>
      </x:c>
      <x:c r="C776" s="10" t="str">
        <x:v>Общество простыми словами</x:v>
      </x:c>
      <x:c r="D776" s="9" t="str">
        <x:v>Образование</x:v>
      </x:c>
      <x:c r="E776" s="10" t="str">
        <x:v>Репатрианты; общество; короткий просмотр</x:v>
      </x:c>
      <x:c r="F776" s="10" t="str">
        <x:v>B1–B2 (гипотеза)</x:v>
      </x:c>
      <x:c r="G776" s="12" t="n">
        <x:v>6.7</x:v>
      </x:c>
      <x:c r="H776" s="14" t="n">
        <x:v>136351</x:v>
      </x:c>
      <x:c r="I776" s="15" t="str">
        <x:v>Точный счётчик метаданных видео</x:v>
      </x:c>
      <x:c r="J776" s="14" t="n">
        <x:v>136000</x:v>
      </x:c>
      <x:c r="K776" s="14" t="n">
        <x:v>59000</x:v>
      </x:c>
      <x:c r="L776" s="12" t="n">
        <x:f>IF(COUNT(J776:K776)=2,IF(K776=0,"",J776/K776),"")</x:f>
        <x:v>2.305084745762712</x:v>
      </x:c>
      <x:c r="M776" s="10" t="str">
        <x:v>Завершённый короткий просмотр около 7 мин. Просмотры в списке выше медианы выборки этого цикла в 2.31 раза. Объясняющий формат снижает порог входа в незнакомые институты и общественные темы.</x:v>
      </x:c>
      <x:c r="N776" s="10" t="str">
        <x:v>Выписать связки объяснения; дать определение термину.</x:v>
      </x:c>
      <x:c r="O776" s="10" t="str">
        <x:v>Повторно проверять даты законов, чисел и новостей</x:v>
      </x:c>
      <x:c r="P776" s="10" t="str">
        <x:v>Самостоятельное видео</x:v>
      </x:c>
      <x:c r="Q776" s="9" t="str">
        <x:v>Нет</x:v>
      </x:c>
      <x:c r="R776" s="9" t="str">
        <x:v>C045</x:v>
      </x:c>
      <x:c r="S776" s="9" t="str">
        <x:v>C045</x:v>
      </x:c>
      <x:c r="T776" s="10" t="str">
        <x:v>כאן | דיגיטל - תאגיד השידור הישראלי</x:v>
      </x:c>
      <x:c r="U776" s="11" t="str">
        <x:v>https://www.youtube.com/watch?v=GK5V7DCHi-0</x:v>
      </x:c>
      <x:c r="V776" s="16" t="n">
        <x:v>46308</x:v>
      </x:c>
      <x:c r="W776" s="16" t="n">
        <x:v>44003</x:v>
      </x:c>
      <x:c r="X776" s="10" t="str">
        <x:v>Иврит предполагается по заголовку и источнику</x:v>
      </x:c>
      <x:c r="Y776" s="10" t="str">
        <x:v>Ручная дорожка HE по метаданным</x:v>
      </x:c>
      <x:c r="Z776" s="10" t="str">
        <x:v>Разрешено по метаданным</x:v>
      </x:c>
      <x:c r="AA776" s="10" t="str">
        <x:v>Метаданные видео; воспроизведение и содержание не проверены</x:v>
      </x:c>
      <x:c r="AB776" s="13" t="n">
        <x:f>IF(AND(ISNUMBER(H776),ISNUMBER(W776)),H776/MAX(1,'Обзор'!$B$4-W776),"")</x:f>
        <x:v>59.154446854663775</x:v>
      </x:c>
      <x:c r="AC776" s="17" t="str">
        <x:v>Не решено</x:v>
      </x:c>
      <x:c r="AD776" s="17" t="str">
        <x:v>Не проверено</x:v>
      </x:c>
      <x:c r="AE776" s="17" t="str">
        <x:v>Не проверено</x:v>
      </x:c>
      <x:c r="AF776" s="17" t="str">
        <x:v>Не проверено</x:v>
      </x:c>
      <x:c r="AG776" s="17" t="str">
        <x:v>Не решено</x:v>
      </x:c>
      <x:c r="AH776" s="17" t="str">
        <x:v>Не проверено</x:v>
      </x:c>
      <x:c r="AI776" s="10" t="str">
        <x:f>IF(AC776="Отклонить","Отклонено",IF(AND(AC776="Взять",COUNTIFS(AD776:AH776,"Да")=5),"Готово","Нужна редактура"))</x:f>
        <x:v>Нужна редактура</x:v>
      </x:c>
      <x:c r="AJ776" s="17" t="str"/>
      <x:c r="AK776" s="9" t="str">
        <x:v>https://www.youtube.com/playlist?list=PLXv9BeKApRvxC7CHMrdA9knii4lmYhJzS</x:v>
      </x:c>
      <x:c r="AL776" s="9" t="n">
        <x:v>40</x:v>
      </x:c>
      <x:c r="AM776" s="9"/>
      <x:c r="AN776" s="9" t="n">
        <x:v>0</x:v>
      </x:c>
    </x:row>
    <x:row r="777" ht="60" customHeight="1">
      <x:c r="A777" s="9" t="str">
        <x:v>hJkQdQnHprM</x:v>
      </x:c>
      <x:c r="B777" s="10" t="str">
        <x:v>אחרי הקורונה - כך נחזיר את השעון הביולוגי שלנו לשגרה | כאן מסבירים</x:v>
      </x:c>
      <x:c r="C777" s="10" t="str">
        <x:v>Общество простыми словами</x:v>
      </x:c>
      <x:c r="D777" s="9" t="str">
        <x:v>Образование</x:v>
      </x:c>
      <x:c r="E777" s="10" t="str">
        <x:v>Репатрианты; общество; короткий просмотр</x:v>
      </x:c>
      <x:c r="F777" s="10" t="str">
        <x:v>B1–B2 (гипотеза)</x:v>
      </x:c>
      <x:c r="G777" s="12" t="n">
        <x:v>3.1</x:v>
      </x:c>
      <x:c r="H777" s="14" t="n">
        <x:v>23000</x:v>
      </x:c>
      <x:c r="I777" s="15" t="str">
        <x:v>Округлённый счётчик в списке YouTube</x:v>
      </x:c>
      <x:c r="J777" s="14" t="n">
        <x:v>23000</x:v>
      </x:c>
      <x:c r="K777" s="14" t="n">
        <x:v>59000</x:v>
      </x:c>
      <x:c r="L777" s="12" t="n">
        <x:f>IF(COUNT(J777:K777)=2,IF(K777=0,"",J777/K777),"")</x:f>
        <x:v>0.3898305084745763</x:v>
      </x:c>
      <x:c r="M777" s="10" t="str">
        <x:v>Завершённый короткий просмотр около 3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77" s="10" t="str">
        <x:v>Выписать связки объяснения; дать определение термину.</x:v>
      </x:c>
      <x:c r="O777" s="10" t="str">
        <x:v>Повторно проверять даты законов, чисел и новостей</x:v>
      </x:c>
      <x:c r="P777" s="10" t="str">
        <x:v>Самостоятельное видео</x:v>
      </x:c>
      <x:c r="Q777" s="9" t="str">
        <x:v>Нет</x:v>
      </x:c>
      <x:c r="R777" s="9" t="str">
        <x:v>C045</x:v>
      </x:c>
      <x:c r="S777" s="9" t="str">
        <x:v>C045</x:v>
      </x:c>
      <x:c r="T777" s="10" t="str">
        <x:v>כאן | דיגיטל - תאגיד השידור הישראלי</x:v>
      </x:c>
      <x:c r="U777" s="11" t="str">
        <x:v>https://www.youtube.com/watch?v=hJkQdQnHprM</x:v>
      </x:c>
      <x:c r="V777" s="16" t="n">
        <x:v>46308</x:v>
      </x:c>
      <x:c r="W777" s="16"/>
      <x:c r="X777" s="10" t="str">
        <x:v>Иврит предполагается по заголовку и источнику</x:v>
      </x:c>
      <x:c r="Y777" s="10" t="str">
        <x:v>Не проверено</x:v>
      </x:c>
      <x:c r="Z777" s="10" t="str">
        <x:v>Не проверено</x:v>
      </x:c>
      <x:c r="AA777" s="10" t="str">
        <x:v>Метаданные списка; видео не просмотрено</x:v>
      </x:c>
      <x:c r="AB777" s="13" t="str">
        <x:f>IF(AND(ISNUMBER(H777),ISNUMBER(W777)),H777/MAX(1,'Обзор'!$B$4-W777),"")</x:f>
      </x:c>
      <x:c r="AC777" s="17" t="str">
        <x:v>Не решено</x:v>
      </x:c>
      <x:c r="AD777" s="17" t="str">
        <x:v>Не проверено</x:v>
      </x:c>
      <x:c r="AE777" s="17" t="str">
        <x:v>Не проверено</x:v>
      </x:c>
      <x:c r="AF777" s="17" t="str">
        <x:v>Не проверено</x:v>
      </x:c>
      <x:c r="AG777" s="17" t="str">
        <x:v>Не решено</x:v>
      </x:c>
      <x:c r="AH777" s="17" t="str">
        <x:v>Не проверено</x:v>
      </x:c>
      <x:c r="AI777" s="10" t="str">
        <x:f>IF(AC777="Отклонить","Отклонено",IF(AND(AC777="Взять",COUNTIFS(AD777:AH777,"Да")=5),"Готово","Нужна редактура"))</x:f>
        <x:v>Нужна редактура</x:v>
      </x:c>
      <x:c r="AJ777" s="17" t="str"/>
      <x:c r="AK777" s="9" t="str">
        <x:v>https://www.youtube.com/playlist?list=PLXv9BeKApRvxC7CHMrdA9knii4lmYhJzS</x:v>
      </x:c>
      <x:c r="AL777" s="9" t="n">
        <x:v>41</x:v>
      </x:c>
      <x:c r="AM777" s="9"/>
      <x:c r="AN777" s="9"/>
    </x:row>
    <x:row r="778" ht="60" customHeight="1">
      <x:c r="A778" s="9" t="str">
        <x:v>mTSsCYob9mo</x:v>
      </x:c>
      <x:c r="B778" s="10" t="str">
        <x:v>איך זה שאנחנו מזהים ברחוב אנשים שחובשים מסכות? | כאן מסבירים</x:v>
      </x:c>
      <x:c r="C778" s="10" t="str">
        <x:v>Общество простыми словами</x:v>
      </x:c>
      <x:c r="D778" s="9" t="str">
        <x:v>Образование</x:v>
      </x:c>
      <x:c r="E778" s="10" t="str">
        <x:v>Репатрианты; общество; короткий просмотр</x:v>
      </x:c>
      <x:c r="F778" s="10" t="str">
        <x:v>B1–B2 (гипотеза)</x:v>
      </x:c>
      <x:c r="G778" s="12" t="n">
        <x:v>3.7</x:v>
      </x:c>
      <x:c r="H778" s="14" t="n">
        <x:v>58000</x:v>
      </x:c>
      <x:c r="I778" s="15" t="str">
        <x:v>Округлённый счётчик в списке YouTube</x:v>
      </x:c>
      <x:c r="J778" s="14" t="n">
        <x:v>58000</x:v>
      </x:c>
      <x:c r="K778" s="14" t="n">
        <x:v>59000</x:v>
      </x:c>
      <x:c r="L778" s="12" t="n">
        <x:f>IF(COUNT(J778:K778)=2,IF(K778=0,"",J778/K778),"")</x:f>
        <x:v>0.9830508474576272</x:v>
      </x:c>
      <x:c r="M778" s="10" t="str">
        <x:v>Завершённый короткий просмотр около 4 мин. Объясняющий формат снижает порог входа в незнакомые институты и общественные темы.</x:v>
      </x:c>
      <x:c r="N778" s="10" t="str">
        <x:v>Выписать связки объяснения; дать определение термину.</x:v>
      </x:c>
      <x:c r="O778" s="10" t="str">
        <x:v>Повторно проверять даты законов, чисел и новостей</x:v>
      </x:c>
      <x:c r="P778" s="10" t="str">
        <x:v>Самостоятельное видео</x:v>
      </x:c>
      <x:c r="Q778" s="9" t="str">
        <x:v>Нет</x:v>
      </x:c>
      <x:c r="R778" s="9" t="str">
        <x:v>C045</x:v>
      </x:c>
      <x:c r="S778" s="9" t="str">
        <x:v>C045</x:v>
      </x:c>
      <x:c r="T778" s="10" t="str">
        <x:v>כאן | דיגיטל - תאגיד השידור הישראלי</x:v>
      </x:c>
      <x:c r="U778" s="11" t="str">
        <x:v>https://www.youtube.com/watch?v=mTSsCYob9mo</x:v>
      </x:c>
      <x:c r="V778" s="16" t="n">
        <x:v>46308</x:v>
      </x:c>
      <x:c r="W778" s="16"/>
      <x:c r="X778" s="10" t="str">
        <x:v>Иврит предполагается по заголовку и источнику</x:v>
      </x:c>
      <x:c r="Y778" s="10" t="str">
        <x:v>Не проверено</x:v>
      </x:c>
      <x:c r="Z778" s="10" t="str">
        <x:v>Не проверено</x:v>
      </x:c>
      <x:c r="AA778" s="10" t="str">
        <x:v>Метаданные списка; видео не просмотрено</x:v>
      </x:c>
      <x:c r="AB778" s="13" t="str">
        <x:f>IF(AND(ISNUMBER(H778),ISNUMBER(W778)),H778/MAX(1,'Обзор'!$B$4-W778),"")</x:f>
      </x:c>
      <x:c r="AC778" s="17" t="str">
        <x:v>Не решено</x:v>
      </x:c>
      <x:c r="AD778" s="17" t="str">
        <x:v>Не проверено</x:v>
      </x:c>
      <x:c r="AE778" s="17" t="str">
        <x:v>Не проверено</x:v>
      </x:c>
      <x:c r="AF778" s="17" t="str">
        <x:v>Не проверено</x:v>
      </x:c>
      <x:c r="AG778" s="17" t="str">
        <x:v>Не решено</x:v>
      </x:c>
      <x:c r="AH778" s="17" t="str">
        <x:v>Не проверено</x:v>
      </x:c>
      <x:c r="AI778" s="10" t="str">
        <x:f>IF(AC778="Отклонить","Отклонено",IF(AND(AC778="Взять",COUNTIFS(AD778:AH778,"Да")=5),"Готово","Нужна редактура"))</x:f>
        <x:v>Нужна редактура</x:v>
      </x:c>
      <x:c r="AJ778" s="17" t="str"/>
      <x:c r="AK778" s="9" t="str">
        <x:v>https://www.youtube.com/playlist?list=PLXv9BeKApRvxC7CHMrdA9knii4lmYhJzS</x:v>
      </x:c>
      <x:c r="AL778" s="9" t="n">
        <x:v>42</x:v>
      </x:c>
      <x:c r="AM778" s="9"/>
      <x:c r="AN778" s="9"/>
    </x:row>
    <x:row r="779" ht="60" customHeight="1">
      <x:c r="A779" s="9" t="str">
        <x:v>E7GTCvJdO-M</x:v>
      </x:c>
      <x:c r="B779" s="10" t="str">
        <x:v>בידה צרפתי ושירותים בלי נייר ביפן: למה אנחנו ממשיכים להשתמש בנייר טואלט? | כאן קורונה</x:v>
      </x:c>
      <x:c r="C779" s="10" t="str">
        <x:v>Общество простыми словами</x:v>
      </x:c>
      <x:c r="D779" s="9" t="str">
        <x:v>Образование</x:v>
      </x:c>
      <x:c r="E779" s="10" t="str">
        <x:v>Репатрианты; общество; короткий просмотр</x:v>
      </x:c>
      <x:c r="F779" s="10" t="str">
        <x:v>B1–B2 (гипотеза)</x:v>
      </x:c>
      <x:c r="G779" s="12" t="n">
        <x:v>4.5</x:v>
      </x:c>
      <x:c r="H779" s="14" t="n">
        <x:v>128550</x:v>
      </x:c>
      <x:c r="I779" s="15" t="str">
        <x:v>Точный счётчик метаданных видео</x:v>
      </x:c>
      <x:c r="J779" s="14" t="n">
        <x:v>128000</x:v>
      </x:c>
      <x:c r="K779" s="14" t="n">
        <x:v>59000</x:v>
      </x:c>
      <x:c r="L779" s="12" t="n">
        <x:f>IF(COUNT(J779:K779)=2,IF(K779=0,"",J779/K779),"")</x:f>
        <x:v>2.169491525423729</x:v>
      </x:c>
      <x:c r="M779" s="10" t="str">
        <x:v>Завершённый короткий просмотр около 4 мин. Просмотры в списке выше медианы выборки этого цикла в 2.17 раза. Объясняющий формат снижает порог входа в незнакомые институты и общественные темы.</x:v>
      </x:c>
      <x:c r="N779" s="10" t="str">
        <x:v>Выписать связки объяснения; дать определение термину.</x:v>
      </x:c>
      <x:c r="O779" s="10" t="str">
        <x:v>Повторно проверять даты законов, чисел и новостей</x:v>
      </x:c>
      <x:c r="P779" s="10" t="str">
        <x:v>Самостоятельное видео</x:v>
      </x:c>
      <x:c r="Q779" s="9" t="str">
        <x:v>Нет</x:v>
      </x:c>
      <x:c r="R779" s="9" t="str">
        <x:v>C045</x:v>
      </x:c>
      <x:c r="S779" s="9" t="str">
        <x:v>C045</x:v>
      </x:c>
      <x:c r="T779" s="10" t="str">
        <x:v>כאן | דיגיטל - תאגיד השידור הישראלי</x:v>
      </x:c>
      <x:c r="U779" s="11" t="str">
        <x:v>https://www.youtube.com/watch?v=E7GTCvJdO-M</x:v>
      </x:c>
      <x:c r="V779" s="16" t="n">
        <x:v>46308</x:v>
      </x:c>
      <x:c r="W779" s="16" t="n">
        <x:v>43915</x:v>
      </x:c>
      <x:c r="X779" s="10" t="str">
        <x:v>Иврит предполагается по заголовку и источнику</x:v>
      </x:c>
      <x:c r="Y779" s="10" t="str">
        <x:v>Ручная дорожка HE по метаданным</x:v>
      </x:c>
      <x:c r="Z779" s="10" t="str">
        <x:v>Разрешено по метаданным</x:v>
      </x:c>
      <x:c r="AA779" s="10" t="str">
        <x:v>Метаданные видео; воспроизведение и содержание не проверены</x:v>
      </x:c>
      <x:c r="AB779" s="13" t="n">
        <x:f>IF(AND(ISNUMBER(H779),ISNUMBER(W779)),H779/MAX(1,'Обзор'!$B$4-W779),"")</x:f>
        <x:v>53.719180944421225</x:v>
      </x:c>
      <x:c r="AC779" s="17" t="str">
        <x:v>Не решено</x:v>
      </x:c>
      <x:c r="AD779" s="17" t="str">
        <x:v>Не проверено</x:v>
      </x:c>
      <x:c r="AE779" s="17" t="str">
        <x:v>Не проверено</x:v>
      </x:c>
      <x:c r="AF779" s="17" t="str">
        <x:v>Не проверено</x:v>
      </x:c>
      <x:c r="AG779" s="17" t="str">
        <x:v>Не решено</x:v>
      </x:c>
      <x:c r="AH779" s="17" t="str">
        <x:v>Не проверено</x:v>
      </x:c>
      <x:c r="AI779" s="10" t="str">
        <x:f>IF(AC779="Отклонить","Отклонено",IF(AND(AC779="Взять",COUNTIFS(AD779:AH779,"Да")=5),"Готово","Нужна редактура"))</x:f>
        <x:v>Нужна редактура</x:v>
      </x:c>
      <x:c r="AJ779" s="17" t="str"/>
      <x:c r="AK779" s="9" t="str">
        <x:v>https://www.youtube.com/playlist?list=PLXv9BeKApRvxC7CHMrdA9knii4lmYhJzS</x:v>
      </x:c>
      <x:c r="AL779" s="9" t="n">
        <x:v>43</x:v>
      </x:c>
      <x:c r="AM779" s="9"/>
      <x:c r="AN779" s="9" t="n">
        <x:v>0</x:v>
      </x:c>
    </x:row>
    <x:row r="780" ht="60" customHeight="1">
      <x:c r="A780" s="9" t="str">
        <x:v>BWu8wBRNWoI</x:v>
      </x:c>
      <x:c r="B780" s="10" t="str">
        <x:v>המדריך השלם: כך לא תהרגו את העציצים שלכם 🎍 | כאן מסבירים</x:v>
      </x:c>
      <x:c r="C780" s="10" t="str">
        <x:v>Общество простыми словами</x:v>
      </x:c>
      <x:c r="D780" s="9" t="str">
        <x:v>Образование</x:v>
      </x:c>
      <x:c r="E780" s="10" t="str">
        <x:v>Репатрианты; общество; короткий просмотр</x:v>
      </x:c>
      <x:c r="F780" s="10" t="str">
        <x:v>B1–B2 (гипотеза)</x:v>
      </x:c>
      <x:c r="G780" s="12" t="n">
        <x:v>5.3</x:v>
      </x:c>
      <x:c r="H780" s="14" t="n">
        <x:v>27000</x:v>
      </x:c>
      <x:c r="I780" s="15" t="str">
        <x:v>Округлённый счётчик в списке YouTube</x:v>
      </x:c>
      <x:c r="J780" s="14" t="n">
        <x:v>27000</x:v>
      </x:c>
      <x:c r="K780" s="14" t="n">
        <x:v>59000</x:v>
      </x:c>
      <x:c r="L780" s="12" t="n">
        <x:f>IF(COUNT(J780:K780)=2,IF(K780=0,"",J780/K780),"")</x:f>
        <x:v>0.4576271186440678</x:v>
      </x:c>
      <x:c r="M780" s="10" t="str">
        <x:v>Завершённый короткий просмотр около 5 мин. Просмотры ниже медианы цикла; выбирать за нишевую ценность, а не за массовый охват. Объясняющий формат снижает порог входа в незнакомые институты и общественные темы.</x:v>
      </x:c>
      <x:c r="N780" s="10" t="str">
        <x:v>Выписать связки объяснения; дать определение термину.</x:v>
      </x:c>
      <x:c r="O780" s="10" t="str">
        <x:v>Повторно проверять даты законов, чисел и новостей</x:v>
      </x:c>
      <x:c r="P780" s="10" t="str">
        <x:v>Самостоятельное видео</x:v>
      </x:c>
      <x:c r="Q780" s="9" t="str">
        <x:v>Нет</x:v>
      </x:c>
      <x:c r="R780" s="9" t="str">
        <x:v>C045</x:v>
      </x:c>
      <x:c r="S780" s="9" t="str">
        <x:v>C045</x:v>
      </x:c>
      <x:c r="T780" s="10" t="str">
        <x:v>כאן | דיגיטל - תאגיד השידור הישראלי</x:v>
      </x:c>
      <x:c r="U780" s="11" t="str">
        <x:v>https://www.youtube.com/watch?v=BWu8wBRNWoI</x:v>
      </x:c>
      <x:c r="V780" s="16" t="n">
        <x:v>46308</x:v>
      </x:c>
      <x:c r="W780" s="16"/>
      <x:c r="X780" s="10" t="str">
        <x:v>Иврит предполагается по заголовку и источнику</x:v>
      </x:c>
      <x:c r="Y780" s="10" t="str">
        <x:v>Не проверено</x:v>
      </x:c>
      <x:c r="Z780" s="10" t="str">
        <x:v>Не проверено</x:v>
      </x:c>
      <x:c r="AA780" s="10" t="str">
        <x:v>Метаданные списка; видео не просмотрено</x:v>
      </x:c>
      <x:c r="AB780" s="13" t="str">
        <x:f>IF(AND(ISNUMBER(H780),ISNUMBER(W780)),H780/MAX(1,'Обзор'!$B$4-W780),"")</x:f>
      </x:c>
      <x:c r="AC780" s="17" t="str">
        <x:v>Не решено</x:v>
      </x:c>
      <x:c r="AD780" s="17" t="str">
        <x:v>Не проверено</x:v>
      </x:c>
      <x:c r="AE780" s="17" t="str">
        <x:v>Не проверено</x:v>
      </x:c>
      <x:c r="AF780" s="17" t="str">
        <x:v>Не проверено</x:v>
      </x:c>
      <x:c r="AG780" s="17" t="str">
        <x:v>Не решено</x:v>
      </x:c>
      <x:c r="AH780" s="17" t="str">
        <x:v>Не проверено</x:v>
      </x:c>
      <x:c r="AI780" s="10" t="str">
        <x:f>IF(AC780="Отклонить","Отклонено",IF(AND(AC780="Взять",COUNTIFS(AD780:AH780,"Да")=5),"Готово","Нужна редактура"))</x:f>
        <x:v>Нужна редактура</x:v>
      </x:c>
      <x:c r="AJ780" s="17" t="str"/>
      <x:c r="AK780" s="9" t="str">
        <x:v>https://www.youtube.com/playlist?list=PLXv9BeKApRvxC7CHMrdA9knii4lmYhJzS</x:v>
      </x:c>
      <x:c r="AL780" s="9" t="n">
        <x:v>44</x:v>
      </x:c>
      <x:c r="AM780" s="9"/>
      <x:c r="AN780" s="9"/>
    </x:row>
    <x:row r="781" ht="60" customHeight="1">
      <x:c r="A781" s="9" t="str">
        <x:v>5-gH_q7OWbU</x:v>
      </x:c>
      <x:c r="B781" s="10" t="str">
        <x:v>כאן מסבירים | מה הסיפור של באג 2000?</x:v>
      </x:c>
      <x:c r="C781" s="10" t="str">
        <x:v>Общество простыми словами</x:v>
      </x:c>
      <x:c r="D781" s="9" t="str">
        <x:v>Образование</x:v>
      </x:c>
      <x:c r="E781" s="10" t="str">
        <x:v>Репатрианты; общество; короткий просмотр</x:v>
      </x:c>
      <x:c r="F781" s="10" t="str">
        <x:v>B1–B2 (гипотеза)</x:v>
      </x:c>
      <x:c r="G781" s="12" t="n">
        <x:v>4.6</x:v>
      </x:c>
      <x:c r="H781" s="14" t="n">
        <x:v>101410</x:v>
      </x:c>
      <x:c r="I781" s="15" t="str">
        <x:v>Точный счётчик метаданных видео</x:v>
      </x:c>
      <x:c r="J781" s="14" t="n">
        <x:v>101000</x:v>
      </x:c>
      <x:c r="K781" s="14" t="n">
        <x:v>59000</x:v>
      </x:c>
      <x:c r="L781" s="12" t="n">
        <x:f>IF(COUNT(J781:K781)=2,IF(K781=0,"",J781/K781),"")</x:f>
        <x:v>1.7118644067796611</x:v>
      </x:c>
      <x:c r="M781" s="10" t="str">
        <x:v>Завершённый короткий просмотр около 5 мин. Просмотры в списке выше медианы выборки этого цикла в 1.71 раза. Объясняющий формат снижает порог входа в незнакомые институты и общественные темы.</x:v>
      </x:c>
      <x:c r="N781" s="10" t="str">
        <x:v>Выписать связки объяснения; дать определение термину.</x:v>
      </x:c>
      <x:c r="O781" s="10" t="str">
        <x:v>Повторно проверять даты законов, чисел и новостей</x:v>
      </x:c>
      <x:c r="P781" s="10" t="str">
        <x:v>Самостоятельное видео</x:v>
      </x:c>
      <x:c r="Q781" s="9" t="str">
        <x:v>Нет</x:v>
      </x:c>
      <x:c r="R781" s="9" t="str">
        <x:v>C045</x:v>
      </x:c>
      <x:c r="S781" s="9" t="str">
        <x:v>C045</x:v>
      </x:c>
      <x:c r="T781" s="10" t="str">
        <x:v>כאן | דיגיטל - תאגיד השידור הישראלי</x:v>
      </x:c>
      <x:c r="U781" s="11" t="str">
        <x:v>https://www.youtube.com/watch?v=5-gH_q7OWbU</x:v>
      </x:c>
      <x:c r="V781" s="16" t="n">
        <x:v>46308</x:v>
      </x:c>
      <x:c r="W781" s="16" t="n">
        <x:v>43831</x:v>
      </x:c>
      <x:c r="X781" s="10" t="str">
        <x:v>Иврит предполагается по заголовку и источнику</x:v>
      </x:c>
      <x:c r="Y781" s="10" t="str">
        <x:v>Ручная дорожка HE по метаданным</x:v>
      </x:c>
      <x:c r="Z781" s="10" t="str">
        <x:v>Разрешено по метаданным</x:v>
      </x:c>
      <x:c r="AA781" s="10" t="str">
        <x:v>Метаданные видео; воспроизведение и содержание не проверены</x:v>
      </x:c>
      <x:c r="AB781" s="13" t="n">
        <x:f>IF(AND(ISNUMBER(H781),ISNUMBER(W781)),H781/MAX(1,'Обзор'!$B$4-W781),"")</x:f>
        <x:v>40.940654016955996</x:v>
      </x:c>
      <x:c r="AC781" s="17" t="str">
        <x:v>Не решено</x:v>
      </x:c>
      <x:c r="AD781" s="17" t="str">
        <x:v>Не проверено</x:v>
      </x:c>
      <x:c r="AE781" s="17" t="str">
        <x:v>Не проверено</x:v>
      </x:c>
      <x:c r="AF781" s="17" t="str">
        <x:v>Не проверено</x:v>
      </x:c>
      <x:c r="AG781" s="17" t="str">
        <x:v>Не решено</x:v>
      </x:c>
      <x:c r="AH781" s="17" t="str">
        <x:v>Не проверено</x:v>
      </x:c>
      <x:c r="AI781" s="10" t="str">
        <x:f>IF(AC781="Отклонить","Отклонено",IF(AND(AC781="Взять",COUNTIFS(AD781:AH781,"Да")=5),"Готово","Нужна редактура"))</x:f>
        <x:v>Нужна редактура</x:v>
      </x:c>
      <x:c r="AJ781" s="17" t="str"/>
      <x:c r="AK781" s="9" t="str">
        <x:v>https://www.youtube.com/playlist?list=PLXv9BeKApRvxC7CHMrdA9knii4lmYhJzS</x:v>
      </x:c>
      <x:c r="AL781" s="9" t="n">
        <x:v>45</x:v>
      </x:c>
      <x:c r="AM781" s="9"/>
      <x:c r="AN781" s="9" t="n">
        <x:v>0</x:v>
      </x:c>
    </x:row>
    <x:row r="782" ht="60" customHeight="1">
      <x:c r="A782" s="9" t="str">
        <x:v>-Mun6MHke7k</x:v>
      </x:c>
      <x:c r="B782" s="10" t="str">
        <x:v>כאן מסבירים | איך נראה הרמב"ם? לא כמו שאתם חושבים ❗</x:v>
      </x:c>
      <x:c r="C782" s="10" t="str">
        <x:v>Общество простыми словами</x:v>
      </x:c>
      <x:c r="D782" s="9" t="str">
        <x:v>Образование</x:v>
      </x:c>
      <x:c r="E782" s="10" t="str">
        <x:v>Репатрианты; общество; короткий просмотр</x:v>
      </x:c>
      <x:c r="F782" s="10" t="str">
        <x:v>B1–B2 (гипотеза)</x:v>
      </x:c>
      <x:c r="G782" s="12" t="n">
        <x:v>3.5</x:v>
      </x:c>
      <x:c r="H782" s="14" t="n">
        <x:v>94891</x:v>
      </x:c>
      <x:c r="I782" s="15" t="str">
        <x:v>Точный счётчик метаданных видео</x:v>
      </x:c>
      <x:c r="J782" s="14" t="n">
        <x:v>94000</x:v>
      </x:c>
      <x:c r="K782" s="14" t="n">
        <x:v>59000</x:v>
      </x:c>
      <x:c r="L782" s="12" t="n">
        <x:f>IF(COUNT(J782:K782)=2,IF(K782=0,"",J782/K782),"")</x:f>
        <x:v>1.5932203389830508</x:v>
      </x:c>
      <x:c r="M782" s="10" t="str">
        <x:v>Завершённый короткий просмотр около 3 мин. Просмотры в списке выше медианы выборки этого цикла в 1.59 раза. Объясняющий формат снижает порог входа в незнакомые институты и общественные темы.</x:v>
      </x:c>
      <x:c r="N782" s="10" t="str">
        <x:v>Выписать связки объяснения; дать определение термину.</x:v>
      </x:c>
      <x:c r="O782" s="10" t="str">
        <x:v>Повторно проверять даты законов, чисел и новостей</x:v>
      </x:c>
      <x:c r="P782" s="10" t="str">
        <x:v>Самостоятельное видео</x:v>
      </x:c>
      <x:c r="Q782" s="9" t="str">
        <x:v>Нет</x:v>
      </x:c>
      <x:c r="R782" s="9" t="str">
        <x:v>C045</x:v>
      </x:c>
      <x:c r="S782" s="9" t="str">
        <x:v>C045</x:v>
      </x:c>
      <x:c r="T782" s="10" t="str">
        <x:v>כאן | דיגיטל - תאגיד השידור הישראלי</x:v>
      </x:c>
      <x:c r="U782" s="11" t="str">
        <x:v>https://www.youtube.com/watch?v=-Mun6MHke7k</x:v>
      </x:c>
      <x:c r="V782" s="16" t="n">
        <x:v>46308</x:v>
      </x:c>
      <x:c r="W782" s="16" t="n">
        <x:v>43782</x:v>
      </x:c>
      <x:c r="X782" s="10" t="str">
        <x:v>Иврит предполагается по заголовку и источнику</x:v>
      </x:c>
      <x:c r="Y782" s="10" t="str">
        <x:v>Ручная дорожка HE по метаданным</x:v>
      </x:c>
      <x:c r="Z782" s="10" t="str">
        <x:v>Разрешено по метаданным</x:v>
      </x:c>
      <x:c r="AA782" s="10" t="str">
        <x:v>Метаданные видео; воспроизведение и содержание не проверены</x:v>
      </x:c>
      <x:c r="AB782" s="13" t="n">
        <x:f>IF(AND(ISNUMBER(H782),ISNUMBER(W782)),H782/MAX(1,'Обзор'!$B$4-W782),"")</x:f>
        <x:v>37.56571654790182</x:v>
      </x:c>
      <x:c r="AC782" s="17" t="str">
        <x:v>Не решено</x:v>
      </x:c>
      <x:c r="AD782" s="17" t="str">
        <x:v>Не проверено</x:v>
      </x:c>
      <x:c r="AE782" s="17" t="str">
        <x:v>Не проверено</x:v>
      </x:c>
      <x:c r="AF782" s="17" t="str">
        <x:v>Не проверено</x:v>
      </x:c>
      <x:c r="AG782" s="17" t="str">
        <x:v>Не решено</x:v>
      </x:c>
      <x:c r="AH782" s="17" t="str">
        <x:v>Не проверено</x:v>
      </x:c>
      <x:c r="AI782" s="10" t="str">
        <x:f>IF(AC782="Отклонить","Отклонено",IF(AND(AC782="Взять",COUNTIFS(AD782:AH782,"Да")=5),"Готово","Нужна редактура"))</x:f>
        <x:v>Нужна редактура</x:v>
      </x:c>
      <x:c r="AJ782" s="17" t="str"/>
      <x:c r="AK782" s="9" t="str">
        <x:v>https://www.youtube.com/playlist?list=PLXv9BeKApRvxC7CHMrdA9knii4lmYhJzS</x:v>
      </x:c>
      <x:c r="AL782" s="9" t="n">
        <x:v>46</x:v>
      </x:c>
      <x:c r="AM782" s="9"/>
      <x:c r="AN782" s="9" t="n">
        <x:v>0</x:v>
      </x:c>
    </x:row>
    <x:row r="783" ht="60" customHeight="1">
      <x:c r="A783" s="9" t="str">
        <x:v>8-fGdvQqmGw</x:v>
      </x:c>
      <x:c r="B783" s="10" t="str">
        <x:v>כאן מסבירים | למה ברפואה אסור להשוות בין נשים לגברים?</x:v>
      </x:c>
      <x:c r="C783" s="10" t="str">
        <x:v>Общество простыми словами</x:v>
      </x:c>
      <x:c r="D783" s="9" t="str">
        <x:v>Образование</x:v>
      </x:c>
      <x:c r="E783" s="10" t="str">
        <x:v>Репатрианты; общество; короткий просмотр</x:v>
      </x:c>
      <x:c r="F783" s="10" t="str">
        <x:v>B1–B2 (гипотеза)</x:v>
      </x:c>
      <x:c r="G783" s="12" t="n">
        <x:v>5.4</x:v>
      </x:c>
      <x:c r="H783" s="14" t="n">
        <x:v>100003</x:v>
      </x:c>
      <x:c r="I783" s="15" t="str">
        <x:v>Точный счётчик метаданных видео</x:v>
      </x:c>
      <x:c r="J783" s="14" t="n">
        <x:v>100000</x:v>
      </x:c>
      <x:c r="K783" s="14" t="n">
        <x:v>59000</x:v>
      </x:c>
      <x:c r="L783" s="12" t="n">
        <x:f>IF(COUNT(J783:K783)=2,IF(K783=0,"",J783/K783),"")</x:f>
        <x:v>1.694915254237288</x:v>
      </x:c>
      <x:c r="M783" s="10" t="str">
        <x:v>Завершённый короткий просмотр около 5 мин. Просмотры в списке выше медианы выборки этого цикла в 1.69 раза. Объясняющий формат снижает порог входа в незнакомые институты и общественные темы.</x:v>
      </x:c>
      <x:c r="N783" s="10" t="str">
        <x:v>Выписать связки объяснения; дать определение термину.</x:v>
      </x:c>
      <x:c r="O783" s="10" t="str">
        <x:v>Повторно проверять даты законов, чисел и новостей</x:v>
      </x:c>
      <x:c r="P783" s="10" t="str">
        <x:v>Самостоятельное видео</x:v>
      </x:c>
      <x:c r="Q783" s="9" t="str">
        <x:v>Нет</x:v>
      </x:c>
      <x:c r="R783" s="9" t="str">
        <x:v>C045</x:v>
      </x:c>
      <x:c r="S783" s="9" t="str">
        <x:v>C045</x:v>
      </x:c>
      <x:c r="T783" s="10" t="str">
        <x:v>כאן | דיגיטל - תאגיד השידור הישראלי</x:v>
      </x:c>
      <x:c r="U783" s="11" t="str">
        <x:v>https://www.youtube.com/watch?v=8-fGdvQqmGw</x:v>
      </x:c>
      <x:c r="V783" s="16" t="n">
        <x:v>46308</x:v>
      </x:c>
      <x:c r="W783" s="16" t="n">
        <x:v>43775</x:v>
      </x:c>
      <x:c r="X783" s="10" t="str">
        <x:v>Иврит предполагается по заголовку и источнику</x:v>
      </x:c>
      <x:c r="Y783" s="10" t="str">
        <x:v>Ручная дорожка HE по метаданным</x:v>
      </x:c>
      <x:c r="Z783" s="10" t="str">
        <x:v>Разрешено по метаданным</x:v>
      </x:c>
      <x:c r="AA783" s="10" t="str">
        <x:v>Метаданные видео; воспроизведение и содержание не проверены</x:v>
      </x:c>
      <x:c r="AB783" s="13" t="n">
        <x:f>IF(AND(ISNUMBER(H783),ISNUMBER(W783)),H783/MAX(1,'Обзор'!$B$4-W783),"")</x:f>
        <x:v>39.48006316620608</x:v>
      </x:c>
      <x:c r="AC783" s="17" t="str">
        <x:v>Не решено</x:v>
      </x:c>
      <x:c r="AD783" s="17" t="str">
        <x:v>Не проверено</x:v>
      </x:c>
      <x:c r="AE783" s="17" t="str">
        <x:v>Не проверено</x:v>
      </x:c>
      <x:c r="AF783" s="17" t="str">
        <x:v>Не проверено</x:v>
      </x:c>
      <x:c r="AG783" s="17" t="str">
        <x:v>Не решено</x:v>
      </x:c>
      <x:c r="AH783" s="17" t="str">
        <x:v>Не проверено</x:v>
      </x:c>
      <x:c r="AI783" s="10" t="str">
        <x:f>IF(AC783="Отклонить","Отклонено",IF(AND(AC783="Взять",COUNTIFS(AD783:AH783,"Да")=5),"Готово","Нужна редактура"))</x:f>
        <x:v>Нужна редактура</x:v>
      </x:c>
      <x:c r="AJ783" s="17" t="str"/>
      <x:c r="AK783" s="9" t="str">
        <x:v>https://www.youtube.com/playlist?list=PLXv9BeKApRvxC7CHMrdA9knii4lmYhJzS</x:v>
      </x:c>
      <x:c r="AL783" s="9" t="n">
        <x:v>47</x:v>
      </x:c>
      <x:c r="AM783" s="9"/>
      <x:c r="AN783" s="9" t="n">
        <x:v>0</x:v>
      </x:c>
    </x:row>
    <x:row r="784" ht="60" customHeight="1">
      <x:c r="A784" s="9" t="str">
        <x:v>jxyo6GHQGdc</x:v>
      </x:c>
      <x:c r="B784" s="10" t="str">
        <x:v>כאן מסבירים | איך עובדים לחצנים של מעברי חצייה? 🚦</x:v>
      </x:c>
      <x:c r="C784" s="10" t="str">
        <x:v>Общество простыми словами</x:v>
      </x:c>
      <x:c r="D784" s="9" t="str">
        <x:v>Образование</x:v>
      </x:c>
      <x:c r="E784" s="10" t="str">
        <x:v>Репатрианты; общество; короткий просмотр</x:v>
      </x:c>
      <x:c r="F784" s="10" t="str">
        <x:v>B1–B2 (гипотеза)</x:v>
      </x:c>
      <x:c r="G784" s="12" t="n">
        <x:v>3.7</x:v>
      </x:c>
      <x:c r="H784" s="14" t="n">
        <x:v>241197</x:v>
      </x:c>
      <x:c r="I784" s="15" t="str">
        <x:v>Точный счётчик метаданных видео</x:v>
      </x:c>
      <x:c r="J784" s="14" t="n">
        <x:v>241000</x:v>
      </x:c>
      <x:c r="K784" s="14" t="n">
        <x:v>59000</x:v>
      </x:c>
      <x:c r="L784" s="12" t="n">
        <x:f>IF(COUNT(J784:K784)=2,IF(K784=0,"",J784/K784),"")</x:f>
        <x:v>4.084745762711864</x:v>
      </x:c>
      <x:c r="M784" s="10" t="str">
        <x:v>Завершённый короткий просмотр около 4 мин. Просмотры в списке выше медианы выборки этого цикла в 4.08 раза. Объясняющий формат снижает порог входа в незнакомые институты и общественные темы.</x:v>
      </x:c>
      <x:c r="N784" s="10" t="str">
        <x:v>Выписать связки объяснения; дать определение термину.</x:v>
      </x:c>
      <x:c r="O784" s="10" t="str">
        <x:v>Повторно проверять даты законов, чисел и новостей</x:v>
      </x:c>
      <x:c r="P784" s="10" t="str">
        <x:v>Самостоятельное видео</x:v>
      </x:c>
      <x:c r="Q784" s="9" t="str">
        <x:v>Нет</x:v>
      </x:c>
      <x:c r="R784" s="9" t="str">
        <x:v>C045</x:v>
      </x:c>
      <x:c r="S784" s="9" t="str">
        <x:v>C045</x:v>
      </x:c>
      <x:c r="T784" s="10" t="str">
        <x:v>כאן | דיגיטל - תאגיד השידור הישראלי</x:v>
      </x:c>
      <x:c r="U784" s="11" t="str">
        <x:v>https://www.youtube.com/watch?v=jxyo6GHQGdc</x:v>
      </x:c>
      <x:c r="V784" s="16" t="n">
        <x:v>46308</x:v>
      </x:c>
      <x:c r="W784" s="16" t="n">
        <x:v>43768</x:v>
      </x:c>
      <x:c r="X784" s="10" t="str">
        <x:v>Иврит предполагается по заголовку и источнику</x:v>
      </x:c>
      <x:c r="Y784" s="10" t="str">
        <x:v>Ручная дорожка HE по метаданным</x:v>
      </x:c>
      <x:c r="Z784" s="10" t="str">
        <x:v>Разрешено по метаданным</x:v>
      </x:c>
      <x:c r="AA784" s="10" t="str">
        <x:v>Метаданные видео; воспроизведение и содержание не проверены</x:v>
      </x:c>
      <x:c r="AB784" s="13" t="n">
        <x:f>IF(AND(ISNUMBER(H784),ISNUMBER(W784)),H784/MAX(1,'Обзор'!$B$4-W784),"")</x:f>
        <x:v>94.95944881889764</x:v>
      </x:c>
      <x:c r="AC784" s="17" t="str">
        <x:v>Не решено</x:v>
      </x:c>
      <x:c r="AD784" s="17" t="str">
        <x:v>Не проверено</x:v>
      </x:c>
      <x:c r="AE784" s="17" t="str">
        <x:v>Не проверено</x:v>
      </x:c>
      <x:c r="AF784" s="17" t="str">
        <x:v>Не проверено</x:v>
      </x:c>
      <x:c r="AG784" s="17" t="str">
        <x:v>Не решено</x:v>
      </x:c>
      <x:c r="AH784" s="17" t="str">
        <x:v>Не проверено</x:v>
      </x:c>
      <x:c r="AI784" s="10" t="str">
        <x:f>IF(AC784="Отклонить","Отклонено",IF(AND(AC784="Взять",COUNTIFS(AD784:AH784,"Да")=5),"Готово","Нужна редактура"))</x:f>
        <x:v>Нужна редактура</x:v>
      </x:c>
      <x:c r="AJ784" s="17" t="str"/>
      <x:c r="AK784" s="9" t="str">
        <x:v>https://www.youtube.com/playlist?list=PLXv9BeKApRvxC7CHMrdA9knii4lmYhJzS</x:v>
      </x:c>
      <x:c r="AL784" s="9" t="n">
        <x:v>48</x:v>
      </x:c>
      <x:c r="AM784" s="9"/>
      <x:c r="AN784" s="9" t="n">
        <x:v>0</x:v>
      </x:c>
    </x:row>
    <x:row r="785" ht="60" customHeight="1">
      <x:c r="A785" s="9" t="str">
        <x:v>HWNc0A9nZNA</x:v>
      </x:c>
      <x:c r="B785" s="10" t="str">
        <x:v>כאן מסבירים | למה אנחנו שוכחים סדרות?</x:v>
      </x:c>
      <x:c r="C785" s="10" t="str">
        <x:v>Общество простыми словами</x:v>
      </x:c>
      <x:c r="D785" s="9" t="str">
        <x:v>Образование</x:v>
      </x:c>
      <x:c r="E785" s="10" t="str">
        <x:v>Репатрианты; общество; короткий просмотр</x:v>
      </x:c>
      <x:c r="F785" s="10" t="str">
        <x:v>B1–B2 (гипотеза)</x:v>
      </x:c>
      <x:c r="G785" s="12" t="n">
        <x:v>2.2</x:v>
      </x:c>
      <x:c r="H785" s="14" t="n">
        <x:v>60893</x:v>
      </x:c>
      <x:c r="I785" s="15" t="str">
        <x:v>Точный счётчик метаданных видео</x:v>
      </x:c>
      <x:c r="J785" s="14" t="n">
        <x:v>60000</x:v>
      </x:c>
      <x:c r="K785" s="14" t="n">
        <x:v>59000</x:v>
      </x:c>
      <x:c r="L785" s="12" t="n">
        <x:f>IF(COUNT(J785:K785)=2,IF(K785=0,"",J785/K785),"")</x:f>
        <x:v>1.0169491525423728</x:v>
      </x:c>
      <x:c r="M785" s="10" t="str">
        <x:v>Завершённый короткий просмотр около 2 мин. Объясняющий формат снижает порог входа в незнакомые институты и общественные темы.</x:v>
      </x:c>
      <x:c r="N785" s="10" t="str">
        <x:v>Выписать связки объяснения; дать определение термину.</x:v>
      </x:c>
      <x:c r="O785" s="10" t="str">
        <x:v>Повторно проверять даты законов, чисел и новостей</x:v>
      </x:c>
      <x:c r="P785" s="10" t="str">
        <x:v>Самостоятельное видео</x:v>
      </x:c>
      <x:c r="Q785" s="9" t="str">
        <x:v>Нет</x:v>
      </x:c>
      <x:c r="R785" s="9" t="str">
        <x:v>C045</x:v>
      </x:c>
      <x:c r="S785" s="9" t="str">
        <x:v>C045</x:v>
      </x:c>
      <x:c r="T785" s="10" t="str">
        <x:v>כאן | דיגיטל - תאגיד השידור הישראלי</x:v>
      </x:c>
      <x:c r="U785" s="11" t="str">
        <x:v>https://www.youtube.com/watch?v=HWNc0A9nZNA</x:v>
      </x:c>
      <x:c r="V785" s="16" t="n">
        <x:v>46308</x:v>
      </x:c>
      <x:c r="W785" s="16" t="n">
        <x:v>43745</x:v>
      </x:c>
      <x:c r="X785" s="10" t="str">
        <x:v>Иврит предполагается по заголовку и источнику</x:v>
      </x:c>
      <x:c r="Y785" s="10" t="str">
        <x:v>Ручная дорожка HE по метаданным</x:v>
      </x:c>
      <x:c r="Z785" s="10" t="str">
        <x:v>Разрешено по метаданным</x:v>
      </x:c>
      <x:c r="AA785" s="10" t="str">
        <x:v>Метаданные видео; воспроизведение и содержание не проверены</x:v>
      </x:c>
      <x:c r="AB785" s="13" t="n">
        <x:f>IF(AND(ISNUMBER(H785),ISNUMBER(W785)),H785/MAX(1,'Обзор'!$B$4-W785),"")</x:f>
        <x:v>23.75848614904409</x:v>
      </x:c>
      <x:c r="AC785" s="17" t="str">
        <x:v>Не решено</x:v>
      </x:c>
      <x:c r="AD785" s="17" t="str">
        <x:v>Не проверено</x:v>
      </x:c>
      <x:c r="AE785" s="17" t="str">
        <x:v>Не проверено</x:v>
      </x:c>
      <x:c r="AF785" s="17" t="str">
        <x:v>Не проверено</x:v>
      </x:c>
      <x:c r="AG785" s="17" t="str">
        <x:v>Не решено</x:v>
      </x:c>
      <x:c r="AH785" s="17" t="str">
        <x:v>Не проверено</x:v>
      </x:c>
      <x:c r="AI785" s="10" t="str">
        <x:f>IF(AC785="Отклонить","Отклонено",IF(AND(AC785="Взять",COUNTIFS(AD785:AH785,"Да")=5),"Готово","Нужна редактура"))</x:f>
        <x:v>Нужна редактура</x:v>
      </x:c>
      <x:c r="AJ785" s="17" t="str"/>
      <x:c r="AK785" s="9" t="str">
        <x:v>https://www.youtube.com/playlist?list=PLXv9BeKApRvxC7CHMrdA9knii4lmYhJzS</x:v>
      </x:c>
      <x:c r="AL785" s="9" t="n">
        <x:v>49</x:v>
      </x:c>
      <x:c r="AM785" s="9"/>
      <x:c r="AN785" s="9" t="n">
        <x:v>0</x:v>
      </x:c>
    </x:row>
    <x:row r="786" ht="60" customHeight="1">
      <x:c r="A786" s="9" t="str">
        <x:v>CHx6K6V8U4E</x:v>
      </x:c>
      <x:c r="B786" s="10" t="str">
        <x:v>כאן מסבירים | למה חריקת ציפורניים היא צליל בלתי נסבל?</x:v>
      </x:c>
      <x:c r="C786" s="10" t="str">
        <x:v>Общество простыми словами</x:v>
      </x:c>
      <x:c r="D786" s="9" t="str">
        <x:v>Образование</x:v>
      </x:c>
      <x:c r="E786" s="10" t="str">
        <x:v>Репатрианты; общество; короткий просмотр</x:v>
      </x:c>
      <x:c r="F786" s="10" t="str">
        <x:v>B1–B2 (гипотеза)</x:v>
      </x:c>
      <x:c r="G786" s="12" t="n">
        <x:v>3.6</x:v>
      </x:c>
      <x:c r="H786" s="14" t="n">
        <x:v>39000</x:v>
      </x:c>
      <x:c r="I786" s="15" t="str">
        <x:v>Округлённый счётчик в списке YouTube</x:v>
      </x:c>
      <x:c r="J786" s="14" t="n">
        <x:v>39000</x:v>
      </x:c>
      <x:c r="K786" s="14" t="n">
        <x:v>59000</x:v>
      </x:c>
      <x:c r="L786" s="12" t="n">
        <x:f>IF(COUNT(J786:K786)=2,IF(K786=0,"",J786/K786),"")</x:f>
        <x:v>0.6610169491525424</x:v>
      </x:c>
      <x:c r="M786" s="10" t="str">
        <x:v>Завершённый короткий просмотр около 4 мин. Объясняющий формат снижает порог входа в незнакомые институты и общественные темы.</x:v>
      </x:c>
      <x:c r="N786" s="10" t="str">
        <x:v>Выписать связки объяснения; дать определение термину.</x:v>
      </x:c>
      <x:c r="O786" s="10" t="str">
        <x:v>Повторно проверять даты законов, чисел и новостей</x:v>
      </x:c>
      <x:c r="P786" s="10" t="str">
        <x:v>Самостоятельное видео</x:v>
      </x:c>
      <x:c r="Q786" s="9" t="str">
        <x:v>Нет</x:v>
      </x:c>
      <x:c r="R786" s="9" t="str">
        <x:v>C045</x:v>
      </x:c>
      <x:c r="S786" s="9" t="str">
        <x:v>C045</x:v>
      </x:c>
      <x:c r="T786" s="10" t="str">
        <x:v>כאן | דיגיטל - תאגיד השידור הישראלי</x:v>
      </x:c>
      <x:c r="U786" s="11" t="str">
        <x:v>https://www.youtube.com/watch?v=CHx6K6V8U4E</x:v>
      </x:c>
      <x:c r="V786" s="16" t="n">
        <x:v>46308</x:v>
      </x:c>
      <x:c r="W786" s="16"/>
      <x:c r="X786" s="10" t="str">
        <x:v>Иврит предполагается по заголовку и источнику</x:v>
      </x:c>
      <x:c r="Y786" s="10" t="str">
        <x:v>Не проверено</x:v>
      </x:c>
      <x:c r="Z786" s="10" t="str">
        <x:v>Не проверено</x:v>
      </x:c>
      <x:c r="AA786" s="10" t="str">
        <x:v>Метаданные списка; видео не просмотрено</x:v>
      </x:c>
      <x:c r="AB786" s="13" t="str">
        <x:f>IF(AND(ISNUMBER(H786),ISNUMBER(W786)),H786/MAX(1,'Обзор'!$B$4-W786),"")</x:f>
      </x:c>
      <x:c r="AC786" s="17" t="str">
        <x:v>Не решено</x:v>
      </x:c>
      <x:c r="AD786" s="17" t="str">
        <x:v>Не проверено</x:v>
      </x:c>
      <x:c r="AE786" s="17" t="str">
        <x:v>Не проверено</x:v>
      </x:c>
      <x:c r="AF786" s="17" t="str">
        <x:v>Не проверено</x:v>
      </x:c>
      <x:c r="AG786" s="17" t="str">
        <x:v>Не решено</x:v>
      </x:c>
      <x:c r="AH786" s="17" t="str">
        <x:v>Не проверено</x:v>
      </x:c>
      <x:c r="AI786" s="10" t="str">
        <x:f>IF(AC786="Отклонить","Отклонено",IF(AND(AC786="Взять",COUNTIFS(AD786:AH786,"Да")=5),"Готово","Нужна редактура"))</x:f>
        <x:v>Нужна редактура</x:v>
      </x:c>
      <x:c r="AJ786" s="17" t="str"/>
      <x:c r="AK786" s="9" t="str">
        <x:v>https://www.youtube.com/playlist?list=PLXv9BeKApRvxC7CHMrdA9knii4lmYhJzS</x:v>
      </x:c>
      <x:c r="AL786" s="9" t="n">
        <x:v>50</x:v>
      </x:c>
      <x:c r="AM786" s="9"/>
      <x:c r="AN786" s="9"/>
    </x:row>
    <x:row r="787" ht="60" customHeight="1">
      <x:c r="A787" s="9" t="str">
        <x:v>g5bbWEuUUVs</x:v>
      </x:c>
      <x:c r="B787" s="10" t="str">
        <x:v>כאן מסבירים | מה גורם ליום שיער רע?</x:v>
      </x:c>
      <x:c r="C787" s="10" t="str">
        <x:v>Общество простыми словами</x:v>
      </x:c>
      <x:c r="D787" s="9" t="str">
        <x:v>Образование</x:v>
      </x:c>
      <x:c r="E787" s="10" t="str">
        <x:v>Репатрианты; общество; короткий просмотр</x:v>
      </x:c>
      <x:c r="F787" s="10" t="str">
        <x:v>B1–B2 (гипотеза)</x:v>
      </x:c>
      <x:c r="G787" s="12" t="n">
        <x:v>3.5</x:v>
      </x:c>
      <x:c r="H787" s="14" t="n">
        <x:v>129562</x:v>
      </x:c>
      <x:c r="I787" s="15" t="str">
        <x:v>Точный счётчик метаданных видео</x:v>
      </x:c>
      <x:c r="J787" s="14" t="n">
        <x:v>129000</x:v>
      </x:c>
      <x:c r="K787" s="14" t="n">
        <x:v>59000</x:v>
      </x:c>
      <x:c r="L787" s="12" t="n">
        <x:f>IF(COUNT(J787:K787)=2,IF(K787=0,"",J787/K787),"")</x:f>
        <x:v>2.1864406779661016</x:v>
      </x:c>
      <x:c r="M787" s="10" t="str">
        <x:v>Завершённый короткий просмотр около 4 мин. Просмотры в списке выше медианы выборки этого цикла в 2.19 раза. Объясняющий формат снижает порог входа в незнакомые институты и общественные темы.</x:v>
      </x:c>
      <x:c r="N787" s="10" t="str">
        <x:v>Выписать связки объяснения; дать определение термину.</x:v>
      </x:c>
      <x:c r="O787" s="10" t="str">
        <x:v>Повторно проверять даты законов, чисел и новостей</x:v>
      </x:c>
      <x:c r="P787" s="10" t="str">
        <x:v>Самостоятельное видео</x:v>
      </x:c>
      <x:c r="Q787" s="9" t="str">
        <x:v>Нет</x:v>
      </x:c>
      <x:c r="R787" s="9" t="str">
        <x:v>C045</x:v>
      </x:c>
      <x:c r="S787" s="9" t="str">
        <x:v>C045</x:v>
      </x:c>
      <x:c r="T787" s="10" t="str">
        <x:v>כאן | דיגיטל - תאגיד השידור הישראלי</x:v>
      </x:c>
      <x:c r="U787" s="11" t="str">
        <x:v>https://www.youtube.com/watch?v=g5bbWEuUUVs</x:v>
      </x:c>
      <x:c r="V787" s="16" t="n">
        <x:v>46308</x:v>
      </x:c>
      <x:c r="W787" s="16" t="n">
        <x:v>43657</x:v>
      </x:c>
      <x:c r="X787" s="10" t="str">
        <x:v>Иврит предполагается по заголовку и источнику</x:v>
      </x:c>
      <x:c r="Y787" s="10" t="str">
        <x:v>Ручная дорожка HE по метаданным</x:v>
      </x:c>
      <x:c r="Z787" s="10" t="str">
        <x:v>Разрешено по метаданным</x:v>
      </x:c>
      <x:c r="AA787" s="10" t="str">
        <x:v>Метаданные видео; воспроизведение и содержание не проверены</x:v>
      </x:c>
      <x:c r="AB787" s="13" t="n">
        <x:f>IF(AND(ISNUMBER(H787),ISNUMBER(W787)),H787/MAX(1,'Обзор'!$B$4-W787),"")</x:f>
        <x:v>48.87287815918521</x:v>
      </x:c>
      <x:c r="AC787" s="17" t="str">
        <x:v>Не решено</x:v>
      </x:c>
      <x:c r="AD787" s="17" t="str">
        <x:v>Не проверено</x:v>
      </x:c>
      <x:c r="AE787" s="17" t="str">
        <x:v>Не проверено</x:v>
      </x:c>
      <x:c r="AF787" s="17" t="str">
        <x:v>Не проверено</x:v>
      </x:c>
      <x:c r="AG787" s="17" t="str">
        <x:v>Не решено</x:v>
      </x:c>
      <x:c r="AH787" s="17" t="str">
        <x:v>Не проверено</x:v>
      </x:c>
      <x:c r="AI787" s="10" t="str">
        <x:f>IF(AC787="Отклонить","Отклонено",IF(AND(AC787="Взять",COUNTIFS(AD787:AH787,"Да")=5),"Готово","Нужна редактура"))</x:f>
        <x:v>Нужна редактура</x:v>
      </x:c>
      <x:c r="AJ787" s="17" t="str"/>
      <x:c r="AK787" s="9" t="str">
        <x:v>https://www.youtube.com/playlist?list=PLXv9BeKApRvxC7CHMrdA9knii4lmYhJzS</x:v>
      </x:c>
      <x:c r="AL787" s="9" t="n">
        <x:v>51</x:v>
      </x:c>
      <x:c r="AM787" s="9"/>
      <x:c r="AN787" s="9" t="n">
        <x:v>0</x:v>
      </x:c>
    </x:row>
    <x:row r="788" ht="60" customHeight="1">
      <x:c r="A788" s="9" t="str">
        <x:v>K7WSG5SRMPM</x:v>
      </x:c>
      <x:c r="B788" s="10" t="str">
        <x:v>כאן מסבירים | למה מעייף לאכול חומוס?</x:v>
      </x:c>
      <x:c r="C788" s="10" t="str">
        <x:v>Общество простыми словами</x:v>
      </x:c>
      <x:c r="D788" s="9" t="str">
        <x:v>Образование</x:v>
      </x:c>
      <x:c r="E788" s="10" t="str">
        <x:v>Репатрианты; общество; короткий просмотр</x:v>
      </x:c>
      <x:c r="F788" s="10" t="str">
        <x:v>B1–B2 (гипотеза)</x:v>
      </x:c>
      <x:c r="G788" s="12" t="n">
        <x:v>2.7</x:v>
      </x:c>
      <x:c r="H788" s="14" t="n">
        <x:v>106764</x:v>
      </x:c>
      <x:c r="I788" s="15" t="str">
        <x:v>Точный счётчик метаданных видео</x:v>
      </x:c>
      <x:c r="J788" s="14" t="n">
        <x:v>106000</x:v>
      </x:c>
      <x:c r="K788" s="14" t="n">
        <x:v>59000</x:v>
      </x:c>
      <x:c r="L788" s="12" t="n">
        <x:f>IF(COUNT(J788:K788)=2,IF(K788=0,"",J788/K788),"")</x:f>
        <x:v>1.7966101694915255</x:v>
      </x:c>
      <x:c r="M788" s="10" t="str">
        <x:v>Завершённый короткий просмотр около 3 мин. Просмотры в списке выше медианы выборки этого цикла в 1.8 раза. Объясняющий формат снижает порог входа в незнакомые институты и общественные темы.</x:v>
      </x:c>
      <x:c r="N788" s="10" t="str">
        <x:v>Выписать связки объяснения; дать определение термину.</x:v>
      </x:c>
      <x:c r="O788" s="10" t="str">
        <x:v>Повторно проверять даты законов, чисел и новостей</x:v>
      </x:c>
      <x:c r="P788" s="10" t="str">
        <x:v>Самостоятельное видео</x:v>
      </x:c>
      <x:c r="Q788" s="9" t="str">
        <x:v>Нет</x:v>
      </x:c>
      <x:c r="R788" s="9" t="str">
        <x:v>C045</x:v>
      </x:c>
      <x:c r="S788" s="9" t="str">
        <x:v>C045</x:v>
      </x:c>
      <x:c r="T788" s="10" t="str">
        <x:v>כאן | דיגיטל - תאגיד השידור הישראלי</x:v>
      </x:c>
      <x:c r="U788" s="11" t="str">
        <x:v>https://www.youtube.com/watch?v=K7WSG5SRMPM</x:v>
      </x:c>
      <x:c r="V788" s="16" t="n">
        <x:v>46308</x:v>
      </x:c>
      <x:c r="W788" s="16" t="n">
        <x:v>43654</x:v>
      </x:c>
      <x:c r="X788" s="10" t="str">
        <x:v>Иврит предполагается по заголовку и источнику</x:v>
      </x:c>
      <x:c r="Y788" s="10" t="str">
        <x:v>Ручная дорожка HE по метаданным</x:v>
      </x:c>
      <x:c r="Z788" s="10" t="str">
        <x:v>Разрешено по метаданным</x:v>
      </x:c>
      <x:c r="AA788" s="10" t="str">
        <x:v>Метаданные видео; воспроизведение и содержание не проверены</x:v>
      </x:c>
      <x:c r="AB788" s="13" t="n">
        <x:f>IF(AND(ISNUMBER(H788),ISNUMBER(W788)),H788/MAX(1,'Обзор'!$B$4-W788),"")</x:f>
        <x:v>40.22758100979653</x:v>
      </x:c>
      <x:c r="AC788" s="17" t="str">
        <x:v>Не решено</x:v>
      </x:c>
      <x:c r="AD788" s="17" t="str">
        <x:v>Не проверено</x:v>
      </x:c>
      <x:c r="AE788" s="17" t="str">
        <x:v>Не проверено</x:v>
      </x:c>
      <x:c r="AF788" s="17" t="str">
        <x:v>Не проверено</x:v>
      </x:c>
      <x:c r="AG788" s="17" t="str">
        <x:v>Не решено</x:v>
      </x:c>
      <x:c r="AH788" s="17" t="str">
        <x:v>Не проверено</x:v>
      </x:c>
      <x:c r="AI788" s="10" t="str">
        <x:f>IF(AC788="Отклонить","Отклонено",IF(AND(AC788="Взять",COUNTIFS(AD788:AH788,"Да")=5),"Готово","Нужна редактура"))</x:f>
        <x:v>Нужна редактура</x:v>
      </x:c>
      <x:c r="AJ788" s="17" t="str"/>
      <x:c r="AK788" s="9" t="str">
        <x:v>https://www.youtube.com/playlist?list=PLXv9BeKApRvxC7CHMrdA9knii4lmYhJzS</x:v>
      </x:c>
      <x:c r="AL788" s="9" t="n">
        <x:v>52</x:v>
      </x:c>
      <x:c r="AM788" s="9"/>
      <x:c r="AN788" s="9" t="n">
        <x:v>0</x:v>
      </x:c>
    </x:row>
    <x:row r="789" ht="60" customHeight="1">
      <x:c r="A789" s="9" t="str">
        <x:v>JM2MkXO31CY</x:v>
      </x:c>
      <x:c r="B789" s="10" t="str">
        <x:v>כאן מסבירים | האם קרינה מצ'רנוביל הגיעה לישראל?</x:v>
      </x:c>
      <x:c r="C789" s="10" t="str">
        <x:v>Общество простыми словами</x:v>
      </x:c>
      <x:c r="D789" s="9" t="str">
        <x:v>Образование</x:v>
      </x:c>
      <x:c r="E789" s="10" t="str">
        <x:v>Репатрианты; общество; короткий просмотр</x:v>
      </x:c>
      <x:c r="F789" s="10" t="str">
        <x:v>B1–B2 (гипотеза)</x:v>
      </x:c>
      <x:c r="G789" s="12" t="n">
        <x:v>3.4</x:v>
      </x:c>
      <x:c r="H789" s="14" t="n">
        <x:v>87703</x:v>
      </x:c>
      <x:c r="I789" s="15" t="str">
        <x:v>Точный счётчик метаданных видео</x:v>
      </x:c>
      <x:c r="J789" s="14" t="n">
        <x:v>87000</x:v>
      </x:c>
      <x:c r="K789" s="14" t="n">
        <x:v>59000</x:v>
      </x:c>
      <x:c r="L789" s="12" t="n">
        <x:f>IF(COUNT(J789:K789)=2,IF(K789=0,"",J789/K789),"")</x:f>
        <x:v>1.4745762711864407</x:v>
      </x:c>
      <x:c r="M789" s="10" t="str">
        <x:v>Завершённый короткий просмотр около 3 мин. Объясняющий формат снижает порог входа в незнакомые институты и общественные темы.</x:v>
      </x:c>
      <x:c r="N789" s="10" t="str">
        <x:v>Выписать связки объяснения; дать определение термину.</x:v>
      </x:c>
      <x:c r="O789" s="10" t="str">
        <x:v>Повторно проверять даты законов, чисел и новостей</x:v>
      </x:c>
      <x:c r="P789" s="10" t="str">
        <x:v>Самостоятельное видео</x:v>
      </x:c>
      <x:c r="Q789" s="9" t="str">
        <x:v>Нет</x:v>
      </x:c>
      <x:c r="R789" s="9" t="str">
        <x:v>C045</x:v>
      </x:c>
      <x:c r="S789" s="9" t="str">
        <x:v>C045</x:v>
      </x:c>
      <x:c r="T789" s="10" t="str">
        <x:v>כאן | דיגיטל - תאגיד השידור הישראלי</x:v>
      </x:c>
      <x:c r="U789" s="11" t="str">
        <x:v>https://www.youtube.com/watch?v=JM2MkXO31CY</x:v>
      </x:c>
      <x:c r="V789" s="16" t="n">
        <x:v>46308</x:v>
      </x:c>
      <x:c r="W789" s="16" t="n">
        <x:v>43646</x:v>
      </x:c>
      <x:c r="X789" s="10" t="str">
        <x:v>Иврит предполагается по заголовку и источнику</x:v>
      </x:c>
      <x:c r="Y789" s="10" t="str">
        <x:v>Ручная дорожка HE по метаданным</x:v>
      </x:c>
      <x:c r="Z789" s="10" t="str">
        <x:v>Разрешено по метаданным</x:v>
      </x:c>
      <x:c r="AA789" s="10" t="str">
        <x:v>Метаданные видео; воспроизведение и содержание не проверены</x:v>
      </x:c>
      <x:c r="AB789" s="13" t="n">
        <x:f>IF(AND(ISNUMBER(H789),ISNUMBER(W789)),H789/MAX(1,'Обзор'!$B$4-W789),"")</x:f>
        <x:v>32.946280991735534</x:v>
      </x:c>
      <x:c r="AC789" s="17" t="str">
        <x:v>Не решено</x:v>
      </x:c>
      <x:c r="AD789" s="17" t="str">
        <x:v>Не проверено</x:v>
      </x:c>
      <x:c r="AE789" s="17" t="str">
        <x:v>Не проверено</x:v>
      </x:c>
      <x:c r="AF789" s="17" t="str">
        <x:v>Не проверено</x:v>
      </x:c>
      <x:c r="AG789" s="17" t="str">
        <x:v>Не решено</x:v>
      </x:c>
      <x:c r="AH789" s="17" t="str">
        <x:v>Не проверено</x:v>
      </x:c>
      <x:c r="AI789" s="10" t="str">
        <x:f>IF(AC789="Отклонить","Отклонено",IF(AND(AC789="Взять",COUNTIFS(AD789:AH789,"Да")=5),"Готово","Нужна редактура"))</x:f>
        <x:v>Нужна редактура</x:v>
      </x:c>
      <x:c r="AJ789" s="17" t="str"/>
      <x:c r="AK789" s="9" t="str">
        <x:v>https://www.youtube.com/playlist?list=PLXv9BeKApRvxC7CHMrdA9knii4lmYhJzS</x:v>
      </x:c>
      <x:c r="AL789" s="9" t="n">
        <x:v>53</x:v>
      </x:c>
      <x:c r="AM789" s="9"/>
      <x:c r="AN789" s="9" t="n">
        <x:v>0</x:v>
      </x:c>
    </x:row>
    <x:row r="790" ht="60" customHeight="1">
      <x:c r="A790" s="9" t="str">
        <x:v>QKGl54GwzK4</x:v>
      </x:c>
      <x:c r="B790" s="10" t="str">
        <x:v>כאן מסבירים | למה אנשים יפים מאיימים עלינו?</x:v>
      </x:c>
      <x:c r="C790" s="10" t="str">
        <x:v>Общество простыми словами</x:v>
      </x:c>
      <x:c r="D790" s="9" t="str">
        <x:v>Образование</x:v>
      </x:c>
      <x:c r="E790" s="10" t="str">
        <x:v>Репатрианты; общество; короткий просмотр</x:v>
      </x:c>
      <x:c r="F790" s="10" t="str">
        <x:v>B1–B2 (гипотеза)</x:v>
      </x:c>
      <x:c r="G790" s="12" t="n">
        <x:v>2.7</x:v>
      </x:c>
      <x:c r="H790" s="14" t="n">
        <x:v>96702</x:v>
      </x:c>
      <x:c r="I790" s="15" t="str">
        <x:v>Точный счётчик метаданных видео</x:v>
      </x:c>
      <x:c r="J790" s="14" t="n">
        <x:v>96000</x:v>
      </x:c>
      <x:c r="K790" s="14" t="n">
        <x:v>59000</x:v>
      </x:c>
      <x:c r="L790" s="12" t="n">
        <x:f>IF(COUNT(J790:K790)=2,IF(K790=0,"",J790/K790),"")</x:f>
        <x:v>1.6271186440677967</x:v>
      </x:c>
      <x:c r="M790" s="10" t="str">
        <x:v>Завершённый короткий просмотр около 3 мин. Просмотры в списке выше медианы выборки этого цикла в 1.63 раза. Объясняющий формат снижает порог входа в незнакомые институты и общественные темы.</x:v>
      </x:c>
      <x:c r="N790" s="10" t="str">
        <x:v>Выписать связки объяснения; дать определение термину.</x:v>
      </x:c>
      <x:c r="O790" s="10" t="str">
        <x:v>Повторно проверять даты законов, чисел и новостей</x:v>
      </x:c>
      <x:c r="P790" s="10" t="str">
        <x:v>Самостоятельное видео</x:v>
      </x:c>
      <x:c r="Q790" s="9" t="str">
        <x:v>Нет</x:v>
      </x:c>
      <x:c r="R790" s="9" t="str">
        <x:v>C045</x:v>
      </x:c>
      <x:c r="S790" s="9" t="str">
        <x:v>C045</x:v>
      </x:c>
      <x:c r="T790" s="10" t="str">
        <x:v>כאן | דיגיטל - תאגיד השידור הישראלי</x:v>
      </x:c>
      <x:c r="U790" s="11" t="str">
        <x:v>https://www.youtube.com/watch?v=QKGl54GwzK4</x:v>
      </x:c>
      <x:c r="V790" s="16" t="n">
        <x:v>46308</x:v>
      </x:c>
      <x:c r="W790" s="16" t="n">
        <x:v>43640</x:v>
      </x:c>
      <x:c r="X790" s="10" t="str">
        <x:v>Иврит предполагается по заголовку и источнику</x:v>
      </x:c>
      <x:c r="Y790" s="10" t="str">
        <x:v>Ручная дорожка HE по метаданным</x:v>
      </x:c>
      <x:c r="Z790" s="10" t="str">
        <x:v>Разрешено по метаданным</x:v>
      </x:c>
      <x:c r="AA790" s="10" t="str">
        <x:v>Метаданные видео; воспроизведение и содержание не проверены</x:v>
      </x:c>
      <x:c r="AB790" s="13" t="n">
        <x:f>IF(AND(ISNUMBER(H790),ISNUMBER(W790)),H790/MAX(1,'Обзор'!$B$4-W790),"")</x:f>
        <x:v>36.24512743628186</x:v>
      </x:c>
      <x:c r="AC790" s="17" t="str">
        <x:v>Не решено</x:v>
      </x:c>
      <x:c r="AD790" s="17" t="str">
        <x:v>Не проверено</x:v>
      </x:c>
      <x:c r="AE790" s="17" t="str">
        <x:v>Не проверено</x:v>
      </x:c>
      <x:c r="AF790" s="17" t="str">
        <x:v>Не проверено</x:v>
      </x:c>
      <x:c r="AG790" s="17" t="str">
        <x:v>Не решено</x:v>
      </x:c>
      <x:c r="AH790" s="17" t="str">
        <x:v>Не проверено</x:v>
      </x:c>
      <x:c r="AI790" s="10" t="str">
        <x:f>IF(AC790="Отклонить","Отклонено",IF(AND(AC790="Взять",COUNTIFS(AD790:AH790,"Да")=5),"Готово","Нужна редактура"))</x:f>
        <x:v>Нужна редактура</x:v>
      </x:c>
      <x:c r="AJ790" s="17" t="str"/>
      <x:c r="AK790" s="9" t="str">
        <x:v>https://www.youtube.com/playlist?list=PLXv9BeKApRvxC7CHMrdA9knii4lmYhJzS</x:v>
      </x:c>
      <x:c r="AL790" s="9" t="n">
        <x:v>54</x:v>
      </x:c>
      <x:c r="AM790" s="9"/>
      <x:c r="AN790" s="9" t="n">
        <x:v>0</x:v>
      </x:c>
    </x:row>
    <x:row r="791" ht="60" customHeight="1">
      <x:c r="A791" s="9" t="str">
        <x:v>FjmvcwUNGjY</x:v>
      </x:c>
      <x:c r="B791" s="10" t="str">
        <x:v>כאן מסבירים | האם אפשר לשמוע צבעים?</x:v>
      </x:c>
      <x:c r="C791" s="10" t="str">
        <x:v>Общество простыми словами</x:v>
      </x:c>
      <x:c r="D791" s="9" t="str">
        <x:v>Образование</x:v>
      </x:c>
      <x:c r="E791" s="10" t="str">
        <x:v>Репатрианты; общество; короткий просмотр</x:v>
      </x:c>
      <x:c r="F791" s="10" t="str">
        <x:v>B1–B2 (гипотеза)</x:v>
      </x:c>
      <x:c r="G791" s="12" t="n">
        <x:v>4.5</x:v>
      </x:c>
      <x:c r="H791" s="14" t="n">
        <x:v>126737</x:v>
      </x:c>
      <x:c r="I791" s="15" t="str">
        <x:v>Точный счётчик метаданных видео</x:v>
      </x:c>
      <x:c r="J791" s="14" t="n">
        <x:v>126000</x:v>
      </x:c>
      <x:c r="K791" s="14" t="n">
        <x:v>59000</x:v>
      </x:c>
      <x:c r="L791" s="12" t="n">
        <x:f>IF(COUNT(J791:K791)=2,IF(K791=0,"",J791/K791),"")</x:f>
        <x:v>2.135593220338983</x:v>
      </x:c>
      <x:c r="M791" s="10" t="str">
        <x:v>Завершённый короткий просмотр около 5 мин. Просмотры в списке выше медианы выборки этого цикла в 2.14 раза. Объясняющий формат снижает порог входа в незнакомые институты и общественные темы.</x:v>
      </x:c>
      <x:c r="N791" s="10" t="str">
        <x:v>Выписать связки объяснения; дать определение термину.</x:v>
      </x:c>
      <x:c r="O791" s="10" t="str">
        <x:v>Повторно проверять даты законов, чисел и новостей</x:v>
      </x:c>
      <x:c r="P791" s="10" t="str">
        <x:v>Самостоятельное видео</x:v>
      </x:c>
      <x:c r="Q791" s="9" t="str">
        <x:v>Нет</x:v>
      </x:c>
      <x:c r="R791" s="9" t="str">
        <x:v>C045</x:v>
      </x:c>
      <x:c r="S791" s="9" t="str">
        <x:v>C045</x:v>
      </x:c>
      <x:c r="T791" s="10" t="str">
        <x:v>כאן | דיגיטל - תאגיד השידור הישראלי</x:v>
      </x:c>
      <x:c r="U791" s="11" t="str">
        <x:v>https://www.youtube.com/watch?v=FjmvcwUNGjY</x:v>
      </x:c>
      <x:c r="V791" s="16" t="n">
        <x:v>46308</x:v>
      </x:c>
      <x:c r="W791" s="16" t="n">
        <x:v>43635</x:v>
      </x:c>
      <x:c r="X791" s="10" t="str">
        <x:v>Иврит предполагается по заголовку и источнику</x:v>
      </x:c>
      <x:c r="Y791" s="10" t="str">
        <x:v>Ручная дорожка HE по метаданным</x:v>
      </x:c>
      <x:c r="Z791" s="10" t="str">
        <x:v>Разрешено по метаданным</x:v>
      </x:c>
      <x:c r="AA791" s="10" t="str">
        <x:v>Метаданные видео; воспроизведение и содержание не проверены</x:v>
      </x:c>
      <x:c r="AB791" s="13" t="n">
        <x:f>IF(AND(ISNUMBER(H791),ISNUMBER(W791)),H791/MAX(1,'Обзор'!$B$4-W791),"")</x:f>
        <x:v>47.41376730265619</x:v>
      </x:c>
      <x:c r="AC791" s="17" t="str">
        <x:v>Не решено</x:v>
      </x:c>
      <x:c r="AD791" s="17" t="str">
        <x:v>Не проверено</x:v>
      </x:c>
      <x:c r="AE791" s="17" t="str">
        <x:v>Не проверено</x:v>
      </x:c>
      <x:c r="AF791" s="17" t="str">
        <x:v>Не проверено</x:v>
      </x:c>
      <x:c r="AG791" s="17" t="str">
        <x:v>Не решено</x:v>
      </x:c>
      <x:c r="AH791" s="17" t="str">
        <x:v>Не проверено</x:v>
      </x:c>
      <x:c r="AI791" s="10" t="str">
        <x:f>IF(AC791="Отклонить","Отклонено",IF(AND(AC791="Взять",COUNTIFS(AD791:AH791,"Да")=5),"Готово","Нужна редактура"))</x:f>
        <x:v>Нужна редактура</x:v>
      </x:c>
      <x:c r="AJ791" s="17" t="str"/>
      <x:c r="AK791" s="9" t="str">
        <x:v>https://www.youtube.com/playlist?list=PLXv9BeKApRvxC7CHMrdA9knii4lmYhJzS</x:v>
      </x:c>
      <x:c r="AL791" s="9" t="n">
        <x:v>55</x:v>
      </x:c>
      <x:c r="AM791" s="9"/>
      <x:c r="AN791" s="9" t="n">
        <x:v>0</x:v>
      </x:c>
    </x:row>
    <x:row r="792" ht="60" customHeight="1">
      <x:c r="A792" s="9" t="str">
        <x:v>eoT3Z_AP020</x:v>
      </x:c>
      <x:c r="B792" s="10" t="str">
        <x:v>כאן מקשיבים: אני כוכב בממלכת השכול</x:v>
      </x:c>
      <x:c r="C792" s="10" t="str">
        <x:v>Личные истории</x:v>
      </x:c>
      <x:c r="D792" s="9" t="str">
        <x:v>Общество</x:v>
      </x:c>
      <x:c r="E792" s="10" t="str">
        <x:v>Общество; психология; эмпатия</x:v>
      </x:c>
      <x:c r="F792" s="10" t="str">
        <x:v>B1–B2 (гипотеза)</x:v>
      </x:c>
      <x:c r="G792" s="12" t="n">
        <x:v>11.9</x:v>
      </x:c>
      <x:c r="H792" s="14" t="n">
        <x:v>41540</x:v>
      </x:c>
      <x:c r="I792" s="15" t="str">
        <x:v>Точный счётчик метаданных видео</x:v>
      </x:c>
      <x:c r="J792" s="14" t="n">
        <x:v>41000</x:v>
      </x:c>
      <x:c r="K792" s="14" t="n">
        <x:v>46000</x:v>
      </x:c>
      <x:c r="L792" s="12" t="n">
        <x:f>IF(COUNT(J792:K792)=2,IF(K792=0,"",J792/K792),"")</x:f>
        <x:v>0.8913043478260869</x:v>
      </x:c>
      <x:c r="M792" s="10" t="str">
        <x:v>Тема: כאן מקשיבים: אני כוכב בממלכת השכול. Личный монолог позволяет сосредоточиться на одном голосе и эмоциональной лексике.</x:v>
      </x:c>
      <x:c r="N792" s="10" t="str">
        <x:v>Выделить прошлое время и фразы чувств; пересказать с сохранением позиции рассказчика.</x:v>
      </x:c>
      <x:c r="O792" s="10" t="str">
        <x:v>Травма, утрата и здоровье возможны; проверить выпуск</x:v>
      </x:c>
      <x:c r="P792" s="10" t="str">
        <x:v>Самостоятельное видео</x:v>
      </x:c>
      <x:c r="Q792" s="9" t="str">
        <x:v>Нет</x:v>
      </x:c>
      <x:c r="R792" s="9" t="str">
        <x:v>C046</x:v>
      </x:c>
      <x:c r="S792" s="9" t="str">
        <x:v>C046</x:v>
      </x:c>
      <x:c r="T792" s="10" t="str">
        <x:v>כאן | דיגיטל - תאגיד השידור הישראלי</x:v>
      </x:c>
      <x:c r="U792" s="11" t="str">
        <x:v>https://www.youtube.com/watch?v=eoT3Z_AP020</x:v>
      </x:c>
      <x:c r="V792" s="16" t="n">
        <x:v>46308</x:v>
      </x:c>
      <x:c r="W792" s="16" t="n">
        <x:v>45768</x:v>
      </x:c>
      <x:c r="X792" s="10" t="str">
        <x:v>Иврит предполагается по заголовку и источнику</x:v>
      </x:c>
      <x:c r="Y792" s="10" t="str">
        <x:v>Автоматическая дорожка HE по метаданным</x:v>
      </x:c>
      <x:c r="Z792" s="10" t="str">
        <x:v>Разрешено по метаданным</x:v>
      </x:c>
      <x:c r="AA792" s="10" t="str">
        <x:v>Метаданные видео; воспроизведение и содержание не проверены</x:v>
      </x:c>
      <x:c r="AB792" s="13" t="n">
        <x:f>IF(AND(ISNUMBER(H792),ISNUMBER(W792)),H792/MAX(1,'Обзор'!$B$4-W792),"")</x:f>
        <x:v>76.92592592592592</x:v>
      </x:c>
      <x:c r="AC792" s="17" t="str">
        <x:v>Не решено</x:v>
      </x:c>
      <x:c r="AD792" s="17" t="str">
        <x:v>Не проверено</x:v>
      </x:c>
      <x:c r="AE792" s="17" t="str">
        <x:v>Не проверено</x:v>
      </x:c>
      <x:c r="AF792" s="17" t="str">
        <x:v>Не проверено</x:v>
      </x:c>
      <x:c r="AG792" s="17" t="str">
        <x:v>Не решено</x:v>
      </x:c>
      <x:c r="AH792" s="17" t="str">
        <x:v>Не проверено</x:v>
      </x:c>
      <x:c r="AI792" s="10" t="str">
        <x:f>IF(AC792="Отклонить","Отклонено",IF(AND(AC792="Взять",COUNTIFS(AD792:AH792,"Да")=5),"Готово","Нужна редактура"))</x:f>
        <x:v>Нужна редактура</x:v>
      </x:c>
      <x:c r="AJ792" s="17" t="str"/>
      <x:c r="AK792" s="9" t="str">
        <x:v>https://www.youtube.com/playlist?list=PLXv9BeKApRvwwoU0XglgsitrJW7JfOYpX</x:v>
      </x:c>
      <x:c r="AL792" s="9" t="n">
        <x:v>1</x:v>
      </x:c>
      <x:c r="AM792" s="9"/>
      <x:c r="AN792" s="9" t="n">
        <x:v>0</x:v>
      </x:c>
    </x:row>
    <x:row r="793" ht="60" customHeight="1">
      <x:c r="A793" s="9" t="str">
        <x:v>l7qwfv5Rtq4</x:v>
      </x:c>
      <x:c r="B793" s="10" t="str">
        <x:v>כאן מקשיבים: הבן שלי אוטיסט ורק אני יכולה לטפל בו</x:v>
      </x:c>
      <x:c r="C793" s="10" t="str">
        <x:v>Личные истории</x:v>
      </x:c>
      <x:c r="D793" s="9" t="str">
        <x:v>Общество</x:v>
      </x:c>
      <x:c r="E793" s="10" t="str">
        <x:v>Общество; психология; эмпатия</x:v>
      </x:c>
      <x:c r="F793" s="10" t="str">
        <x:v>B1–B2 (гипотеза)</x:v>
      </x:c>
      <x:c r="G793" s="12" t="n">
        <x:v>11.1</x:v>
      </x:c>
      <x:c r="H793" s="14" t="n">
        <x:v>16000</x:v>
      </x:c>
      <x:c r="I793" s="15" t="str">
        <x:v>Округлённый счётчик в списке YouTube</x:v>
      </x:c>
      <x:c r="J793" s="14" t="n">
        <x:v>16000</x:v>
      </x:c>
      <x:c r="K793" s="14" t="n">
        <x:v>46000</x:v>
      </x:c>
      <x:c r="L793" s="12" t="n">
        <x:f>IF(COUNT(J793:K793)=2,IF(K793=0,"",J793/K793),"")</x:f>
        <x:v>0.34782608695652173</x:v>
      </x:c>
      <x:c r="M793" s="10" t="str">
        <x:v>Тема: כאן מקשיבים: הבן שלי אוטיסט ורק אני יכולה לטפל בו.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793" s="10" t="str">
        <x:v>Выделить прошлое время и фразы чувств; пересказать с сохранением позиции рассказчика.</x:v>
      </x:c>
      <x:c r="O793" s="10" t="str">
        <x:v>Травма, утрата и здоровье возможны; проверить выпуск</x:v>
      </x:c>
      <x:c r="P793" s="10" t="str">
        <x:v>Самостоятельное видео</x:v>
      </x:c>
      <x:c r="Q793" s="9" t="str">
        <x:v>Нет</x:v>
      </x:c>
      <x:c r="R793" s="9" t="str">
        <x:v>C046</x:v>
      </x:c>
      <x:c r="S793" s="9" t="str">
        <x:v>C046</x:v>
      </x:c>
      <x:c r="T793" s="10" t="str">
        <x:v>כאן | דיגיטל - תאגיד השידור הישראלי</x:v>
      </x:c>
      <x:c r="U793" s="11" t="str">
        <x:v>https://www.youtube.com/watch?v=l7qwfv5Rtq4</x:v>
      </x:c>
      <x:c r="V793" s="16" t="n">
        <x:v>46308</x:v>
      </x:c>
      <x:c r="W793" s="16"/>
      <x:c r="X793" s="10" t="str">
        <x:v>Иврит предполагается по заголовку и источнику</x:v>
      </x:c>
      <x:c r="Y793" s="10" t="str">
        <x:v>Не проверено</x:v>
      </x:c>
      <x:c r="Z793" s="10" t="str">
        <x:v>Не проверено</x:v>
      </x:c>
      <x:c r="AA793" s="10" t="str">
        <x:v>Метаданные списка; видео не просмотрено</x:v>
      </x:c>
      <x:c r="AB793" s="13" t="str">
        <x:f>IF(AND(ISNUMBER(H793),ISNUMBER(W793)),H793/MAX(1,'Обзор'!$B$4-W793),"")</x:f>
      </x:c>
      <x:c r="AC793" s="17" t="str">
        <x:v>Не решено</x:v>
      </x:c>
      <x:c r="AD793" s="17" t="str">
        <x:v>Не проверено</x:v>
      </x:c>
      <x:c r="AE793" s="17" t="str">
        <x:v>Не проверено</x:v>
      </x:c>
      <x:c r="AF793" s="17" t="str">
        <x:v>Не проверено</x:v>
      </x:c>
      <x:c r="AG793" s="17" t="str">
        <x:v>Не решено</x:v>
      </x:c>
      <x:c r="AH793" s="17" t="str">
        <x:v>Не проверено</x:v>
      </x:c>
      <x:c r="AI793" s="10" t="str">
        <x:f>IF(AC793="Отклонить","Отклонено",IF(AND(AC793="Взять",COUNTIFS(AD793:AH793,"Да")=5),"Готово","Нужна редактура"))</x:f>
        <x:v>Нужна редактура</x:v>
      </x:c>
      <x:c r="AJ793" s="17" t="str"/>
      <x:c r="AK793" s="9" t="str">
        <x:v>https://www.youtube.com/playlist?list=PLXv9BeKApRvwwoU0XglgsitrJW7JfOYpX</x:v>
      </x:c>
      <x:c r="AL793" s="9" t="n">
        <x:v>2</x:v>
      </x:c>
      <x:c r="AM793" s="9"/>
      <x:c r="AN793" s="9"/>
    </x:row>
    <x:row r="794" ht="60" customHeight="1">
      <x:c r="A794" s="9" t="str">
        <x:v>vGxA3vppyAI</x:v>
      </x:c>
      <x:c r="B794" s="10" t="str">
        <x:v>כאן מקשיבים: "פרוטזה זה סטייל, זה סקסי"</x:v>
      </x:c>
      <x:c r="C794" s="10" t="str">
        <x:v>Личные истории</x:v>
      </x:c>
      <x:c r="D794" s="9" t="str">
        <x:v>Общество</x:v>
      </x:c>
      <x:c r="E794" s="10" t="str">
        <x:v>Общество; психология; эмпатия</x:v>
      </x:c>
      <x:c r="F794" s="10" t="str">
        <x:v>B1–B2 (гипотеза)</x:v>
      </x:c>
      <x:c r="G794" s="12" t="n">
        <x:v>12.2</x:v>
      </x:c>
      <x:c r="H794" s="14" t="n">
        <x:v>34000</x:v>
      </x:c>
      <x:c r="I794" s="15" t="str">
        <x:v>Округлённый счётчик в списке YouTube</x:v>
      </x:c>
      <x:c r="J794" s="14" t="n">
        <x:v>34000</x:v>
      </x:c>
      <x:c r="K794" s="14" t="n">
        <x:v>46000</x:v>
      </x:c>
      <x:c r="L794" s="12" t="n">
        <x:f>IF(COUNT(J794:K794)=2,IF(K794=0,"",J794/K794),"")</x:f>
        <x:v>0.7391304347826086</x:v>
      </x:c>
      <x:c r="M794" s="10" t="str">
        <x:v>Тема: כאן מקשיבים: "פרוטזה זה סטייל, זה סקסי". Личный монолог позволяет сосредоточиться на одном голосе и эмоциональной лексике.</x:v>
      </x:c>
      <x:c r="N794" s="10" t="str">
        <x:v>Выделить прошлое время и фразы чувств; пересказать с сохранением позиции рассказчика.</x:v>
      </x:c>
      <x:c r="O794" s="10" t="str">
        <x:v>Травма, утрата и здоровье возможны; проверить выпуск</x:v>
      </x:c>
      <x:c r="P794" s="10" t="str">
        <x:v>Самостоятельное видео</x:v>
      </x:c>
      <x:c r="Q794" s="9" t="str">
        <x:v>Нет</x:v>
      </x:c>
      <x:c r="R794" s="9" t="str">
        <x:v>C046</x:v>
      </x:c>
      <x:c r="S794" s="9" t="str">
        <x:v>C046</x:v>
      </x:c>
      <x:c r="T794" s="10" t="str">
        <x:v>כאן | דיגיטל - תאגיד השידור הישראלי</x:v>
      </x:c>
      <x:c r="U794" s="11" t="str">
        <x:v>https://www.youtube.com/watch?v=vGxA3vppyAI</x:v>
      </x:c>
      <x:c r="V794" s="16" t="n">
        <x:v>46308</x:v>
      </x:c>
      <x:c r="W794" s="16"/>
      <x:c r="X794" s="10" t="str">
        <x:v>Иврит предполагается по заголовку и источнику</x:v>
      </x:c>
      <x:c r="Y794" s="10" t="str">
        <x:v>Не проверено</x:v>
      </x:c>
      <x:c r="Z794" s="10" t="str">
        <x:v>Не проверено</x:v>
      </x:c>
      <x:c r="AA794" s="10" t="str">
        <x:v>Метаданные списка; видео не просмотрено</x:v>
      </x:c>
      <x:c r="AB794" s="13" t="str">
        <x:f>IF(AND(ISNUMBER(H794),ISNUMBER(W794)),H794/MAX(1,'Обзор'!$B$4-W794),"")</x:f>
      </x:c>
      <x:c r="AC794" s="17" t="str">
        <x:v>Не решено</x:v>
      </x:c>
      <x:c r="AD794" s="17" t="str">
        <x:v>Не проверено</x:v>
      </x:c>
      <x:c r="AE794" s="17" t="str">
        <x:v>Не проверено</x:v>
      </x:c>
      <x:c r="AF794" s="17" t="str">
        <x:v>Не проверено</x:v>
      </x:c>
      <x:c r="AG794" s="17" t="str">
        <x:v>Не решено</x:v>
      </x:c>
      <x:c r="AH794" s="17" t="str">
        <x:v>Не проверено</x:v>
      </x:c>
      <x:c r="AI794" s="10" t="str">
        <x:f>IF(AC794="Отклонить","Отклонено",IF(AND(AC794="Взять",COUNTIFS(AD794:AH794,"Да")=5),"Готово","Нужна редактура"))</x:f>
        <x:v>Нужна редактура</x:v>
      </x:c>
      <x:c r="AJ794" s="17" t="str"/>
      <x:c r="AK794" s="9" t="str">
        <x:v>https://www.youtube.com/playlist?list=PLXv9BeKApRvwwoU0XglgsitrJW7JfOYpX</x:v>
      </x:c>
      <x:c r="AL794" s="9" t="n">
        <x:v>3</x:v>
      </x:c>
      <x:c r="AM794" s="9"/>
      <x:c r="AN794" s="9"/>
    </x:row>
    <x:row r="795" ht="60" customHeight="1">
      <x:c r="A795" s="9" t="str">
        <x:v>MtlsMiXsDBA</x:v>
      </x:c>
      <x:c r="B795" s="10" t="str">
        <x:v>כאן מקשיבים: נלחמת למען אחי הגיבור</x:v>
      </x:c>
      <x:c r="C795" s="10" t="str">
        <x:v>Личные истории</x:v>
      </x:c>
      <x:c r="D795" s="9" t="str">
        <x:v>Общество</x:v>
      </x:c>
      <x:c r="E795" s="10" t="str">
        <x:v>Общество; психология; эмпатия</x:v>
      </x:c>
      <x:c r="F795" s="10" t="str">
        <x:v>B1–B2 (гипотеза)</x:v>
      </x:c>
      <x:c r="G795" s="12" t="n">
        <x:v>13</x:v>
      </x:c>
      <x:c r="H795" s="14" t="n">
        <x:v>12000</x:v>
      </x:c>
      <x:c r="I795" s="15" t="str">
        <x:v>Округлённый счётчик в списке YouTube</x:v>
      </x:c>
      <x:c r="J795" s="14" t="n">
        <x:v>12000</x:v>
      </x:c>
      <x:c r="K795" s="14" t="n">
        <x:v>46000</x:v>
      </x:c>
      <x:c r="L795" s="12" t="n">
        <x:f>IF(COUNT(J795:K795)=2,IF(K795=0,"",J795/K795),"")</x:f>
        <x:v>0.2608695652173913</x:v>
      </x:c>
      <x:c r="M795" s="10" t="str">
        <x:v>Тема: כאן מקשיבים: נלחמת למען אחי הגיבור.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795" s="10" t="str">
        <x:v>Выделить прошлое время и фразы чувств; пересказать с сохранением позиции рассказчика.</x:v>
      </x:c>
      <x:c r="O795" s="10" t="str">
        <x:v>Травма, утрата и здоровье возможны; проверить выпуск</x:v>
      </x:c>
      <x:c r="P795" s="10" t="str">
        <x:v>Самостоятельное видео</x:v>
      </x:c>
      <x:c r="Q795" s="9" t="str">
        <x:v>Нет</x:v>
      </x:c>
      <x:c r="R795" s="9" t="str">
        <x:v>C046</x:v>
      </x:c>
      <x:c r="S795" s="9" t="str">
        <x:v>C046</x:v>
      </x:c>
      <x:c r="T795" s="10" t="str">
        <x:v>כאן | דיגיטל - תאגיד השידור הישראלי</x:v>
      </x:c>
      <x:c r="U795" s="11" t="str">
        <x:v>https://www.youtube.com/watch?v=MtlsMiXsDBA</x:v>
      </x:c>
      <x:c r="V795" s="16" t="n">
        <x:v>46308</x:v>
      </x:c>
      <x:c r="W795" s="16"/>
      <x:c r="X795" s="10" t="str">
        <x:v>Иврит предполагается по заголовку и источнику</x:v>
      </x:c>
      <x:c r="Y795" s="10" t="str">
        <x:v>Не проверено</x:v>
      </x:c>
      <x:c r="Z795" s="10" t="str">
        <x:v>Не проверено</x:v>
      </x:c>
      <x:c r="AA795" s="10" t="str">
        <x:v>Метаданные списка; видео не просмотрено</x:v>
      </x:c>
      <x:c r="AB795" s="13" t="str">
        <x:f>IF(AND(ISNUMBER(H795),ISNUMBER(W795)),H795/MAX(1,'Обзор'!$B$4-W795),"")</x:f>
      </x:c>
      <x:c r="AC795" s="17" t="str">
        <x:v>Не решено</x:v>
      </x:c>
      <x:c r="AD795" s="17" t="str">
        <x:v>Не проверено</x:v>
      </x:c>
      <x:c r="AE795" s="17" t="str">
        <x:v>Не проверено</x:v>
      </x:c>
      <x:c r="AF795" s="17" t="str">
        <x:v>Не проверено</x:v>
      </x:c>
      <x:c r="AG795" s="17" t="str">
        <x:v>Не решено</x:v>
      </x:c>
      <x:c r="AH795" s="17" t="str">
        <x:v>Не проверено</x:v>
      </x:c>
      <x:c r="AI795" s="10" t="str">
        <x:f>IF(AC795="Отклонить","Отклонено",IF(AND(AC795="Взять",COUNTIFS(AD795:AH795,"Да")=5),"Готово","Нужна редактура"))</x:f>
        <x:v>Нужна редактура</x:v>
      </x:c>
      <x:c r="AJ795" s="17" t="str"/>
      <x:c r="AK795" s="9" t="str">
        <x:v>https://www.youtube.com/playlist?list=PLXv9BeKApRvwwoU0XglgsitrJW7JfOYpX</x:v>
      </x:c>
      <x:c r="AL795" s="9" t="n">
        <x:v>4</x:v>
      </x:c>
      <x:c r="AM795" s="9"/>
      <x:c r="AN795" s="9"/>
    </x:row>
    <x:row r="796" ht="60" customHeight="1">
      <x:c r="A796" s="9" t="str">
        <x:v>28XHDrLjsSs</x:v>
      </x:c>
      <x:c r="B796" s="10" t="str">
        <x:v>"הבת שלי אמרה שהיא לא מביאה חברות כי הבית עצוב, לי יש בית עצוב?" | כאן מקשיבים</x:v>
      </x:c>
      <x:c r="C796" s="10" t="str">
        <x:v>Личные истории</x:v>
      </x:c>
      <x:c r="D796" s="9" t="str">
        <x:v>Общество</x:v>
      </x:c>
      <x:c r="E796" s="10" t="str">
        <x:v>Общество; психология; эмпатия</x:v>
      </x:c>
      <x:c r="F796" s="10" t="str">
        <x:v>B1–B2 (гипотеза)</x:v>
      </x:c>
      <x:c r="G796" s="12" t="n">
        <x:v>13.1</x:v>
      </x:c>
      <x:c r="H796" s="14" t="n">
        <x:v>24000</x:v>
      </x:c>
      <x:c r="I796" s="15" t="str">
        <x:v>Округлённый счётчик в списке YouTube</x:v>
      </x:c>
      <x:c r="J796" s="14" t="n">
        <x:v>24000</x:v>
      </x:c>
      <x:c r="K796" s="14" t="n">
        <x:v>46000</x:v>
      </x:c>
      <x:c r="L796" s="12" t="n">
        <x:f>IF(COUNT(J796:K796)=2,IF(K796=0,"",J796/K796),"")</x:f>
        <x:v>0.5217391304347826</x:v>
      </x:c>
      <x:c r="M796" s="10" t="str">
        <x:v>Тема: "הבת שלי אמרה שהיא לא מביאה חברות כי הבית עצוב, לי יש בית עצוב?" | כאן מקשיבים. Личный монолог позволяет сосредоточиться на одном голосе и эмоциональной лексике.</x:v>
      </x:c>
      <x:c r="N796" s="10" t="str">
        <x:v>Выделить прошлое время и фразы чувств; пересказать с сохранением позиции рассказчика.</x:v>
      </x:c>
      <x:c r="O796" s="10" t="str">
        <x:v>Травма, утрата и здоровье возможны; проверить выпуск</x:v>
      </x:c>
      <x:c r="P796" s="10" t="str">
        <x:v>Самостоятельное видео</x:v>
      </x:c>
      <x:c r="Q796" s="9" t="str">
        <x:v>Нет</x:v>
      </x:c>
      <x:c r="R796" s="9" t="str">
        <x:v>C046</x:v>
      </x:c>
      <x:c r="S796" s="9" t="str">
        <x:v>C046</x:v>
      </x:c>
      <x:c r="T796" s="10" t="str">
        <x:v>כאן | דיגיטל - תאגיד השידור הישראלי</x:v>
      </x:c>
      <x:c r="U796" s="11" t="str">
        <x:v>https://www.youtube.com/watch?v=28XHDrLjsSs</x:v>
      </x:c>
      <x:c r="V796" s="16" t="n">
        <x:v>46308</x:v>
      </x:c>
      <x:c r="W796" s="16"/>
      <x:c r="X796" s="10" t="str">
        <x:v>Иврит предполагается по заголовку и источнику</x:v>
      </x:c>
      <x:c r="Y796" s="10" t="str">
        <x:v>Не проверено</x:v>
      </x:c>
      <x:c r="Z796" s="10" t="str">
        <x:v>Не проверено</x:v>
      </x:c>
      <x:c r="AA796" s="10" t="str">
        <x:v>Метаданные списка; видео не просмотрено</x:v>
      </x:c>
      <x:c r="AB796" s="13" t="str">
        <x:f>IF(AND(ISNUMBER(H796),ISNUMBER(W796)),H796/MAX(1,'Обзор'!$B$4-W796),"")</x:f>
      </x:c>
      <x:c r="AC796" s="17" t="str">
        <x:v>Не решено</x:v>
      </x:c>
      <x:c r="AD796" s="17" t="str">
        <x:v>Не проверено</x:v>
      </x:c>
      <x:c r="AE796" s="17" t="str">
        <x:v>Не проверено</x:v>
      </x:c>
      <x:c r="AF796" s="17" t="str">
        <x:v>Не проверено</x:v>
      </x:c>
      <x:c r="AG796" s="17" t="str">
        <x:v>Не решено</x:v>
      </x:c>
      <x:c r="AH796" s="17" t="str">
        <x:v>Не проверено</x:v>
      </x:c>
      <x:c r="AI796" s="10" t="str">
        <x:f>IF(AC796="Отклонить","Отклонено",IF(AND(AC796="Взять",COUNTIFS(AD796:AH796,"Да")=5),"Готово","Нужна редактура"))</x:f>
        <x:v>Нужна редактура</x:v>
      </x:c>
      <x:c r="AJ796" s="17" t="str"/>
      <x:c r="AK796" s="9" t="str">
        <x:v>https://www.youtube.com/playlist?list=PLXv9BeKApRvwwoU0XglgsitrJW7JfOYpX</x:v>
      </x:c>
      <x:c r="AL796" s="9" t="n">
        <x:v>5</x:v>
      </x:c>
      <x:c r="AM796" s="9"/>
      <x:c r="AN796" s="9"/>
    </x:row>
    <x:row r="797" ht="60" customHeight="1">
      <x:c r="A797" s="9" t="str">
        <x:v>8wKdkgOFIAU</x:v>
      </x:c>
      <x:c r="B797" s="10" t="str">
        <x:v>כאן מקשיבים: בעלי לא נותן לי גט 22 שנה</x:v>
      </x:c>
      <x:c r="C797" s="10" t="str">
        <x:v>Личные истории</x:v>
      </x:c>
      <x:c r="D797" s="9" t="str">
        <x:v>Общество</x:v>
      </x:c>
      <x:c r="E797" s="10" t="str">
        <x:v>Общество; психология; эмпатия</x:v>
      </x:c>
      <x:c r="F797" s="10" t="str">
        <x:v>B1–B2 (гипотеза)</x:v>
      </x:c>
      <x:c r="G797" s="12" t="n">
        <x:v>12.9</x:v>
      </x:c>
      <x:c r="H797" s="14" t="n">
        <x:v>65168</x:v>
      </x:c>
      <x:c r="I797" s="15" t="str">
        <x:v>Точный счётчик метаданных видео</x:v>
      </x:c>
      <x:c r="J797" s="14" t="n">
        <x:v>65000</x:v>
      </x:c>
      <x:c r="K797" s="14" t="n">
        <x:v>46000</x:v>
      </x:c>
      <x:c r="L797" s="12" t="n">
        <x:f>IF(COUNT(J797:K797)=2,IF(K797=0,"",J797/K797),"")</x:f>
        <x:v>1.4130434782608696</x:v>
      </x:c>
      <x:c r="M797" s="10" t="str">
        <x:v>Тема: כאן מקשיבים: בעלי לא נותן לי גט 22 שנה. Личный монолог позволяет сосредоточиться на одном голосе и эмоциональной лексике.</x:v>
      </x:c>
      <x:c r="N797" s="10" t="str">
        <x:v>Выделить прошлое время и фразы чувств; пересказать с сохранением позиции рассказчика.</x:v>
      </x:c>
      <x:c r="O797" s="10" t="str">
        <x:v>Травма, утрата и здоровье возможны; проверить выпуск</x:v>
      </x:c>
      <x:c r="P797" s="10" t="str">
        <x:v>Самостоятельное видео</x:v>
      </x:c>
      <x:c r="Q797" s="9" t="str">
        <x:v>Нет</x:v>
      </x:c>
      <x:c r="R797" s="9" t="str">
        <x:v>C046</x:v>
      </x:c>
      <x:c r="S797" s="9" t="str">
        <x:v>C046</x:v>
      </x:c>
      <x:c r="T797" s="10" t="str">
        <x:v>כאן | דיגיטל - תאגיד השידור הישראלי</x:v>
      </x:c>
      <x:c r="U797" s="11" t="str">
        <x:v>https://www.youtube.com/watch?v=8wKdkgOFIAU</x:v>
      </x:c>
      <x:c r="V797" s="16" t="n">
        <x:v>46308</x:v>
      </x:c>
      <x:c r="W797" s="16" t="n">
        <x:v>45628</x:v>
      </x:c>
      <x:c r="X797" s="10" t="str">
        <x:v>iw</x:v>
      </x:c>
      <x:c r="Y797" s="10" t="str">
        <x:v>Автоматическая дорожка HE по метаданным</x:v>
      </x:c>
      <x:c r="Z797" s="10" t="str">
        <x:v>Разрешено по метаданным</x:v>
      </x:c>
      <x:c r="AA797" s="10" t="str">
        <x:v>Метаданные видео; воспроизведение и содержание не проверены</x:v>
      </x:c>
      <x:c r="AB797" s="13" t="n">
        <x:f>IF(AND(ISNUMBER(H797),ISNUMBER(W797)),H797/MAX(1,'Обзор'!$B$4-W797),"")</x:f>
        <x:v>95.83529411764705</x:v>
      </x:c>
      <x:c r="AC797" s="17" t="str">
        <x:v>Не решено</x:v>
      </x:c>
      <x:c r="AD797" s="17" t="str">
        <x:v>Не проверено</x:v>
      </x:c>
      <x:c r="AE797" s="17" t="str">
        <x:v>Не проверено</x:v>
      </x:c>
      <x:c r="AF797" s="17" t="str">
        <x:v>Не проверено</x:v>
      </x:c>
      <x:c r="AG797" s="17" t="str">
        <x:v>Не решено</x:v>
      </x:c>
      <x:c r="AH797" s="17" t="str">
        <x:v>Не проверено</x:v>
      </x:c>
      <x:c r="AI797" s="10" t="str">
        <x:f>IF(AC797="Отклонить","Отклонено",IF(AND(AC797="Взять",COUNTIFS(AD797:AH797,"Да")=5),"Готово","Нужна редактура"))</x:f>
        <x:v>Нужна редактура</x:v>
      </x:c>
      <x:c r="AJ797" s="17" t="str"/>
      <x:c r="AK797" s="9" t="str">
        <x:v>https://www.youtube.com/playlist?list=PLXv9BeKApRvwwoU0XglgsitrJW7JfOYpX</x:v>
      </x:c>
      <x:c r="AL797" s="9" t="n">
        <x:v>6</x:v>
      </x:c>
      <x:c r="AM797" s="9"/>
      <x:c r="AN797" s="9" t="n">
        <x:v>0</x:v>
      </x:c>
    </x:row>
    <x:row r="798" ht="60" customHeight="1">
      <x:c r="A798" s="9" t="str">
        <x:v>yg7jQvp0T5E</x:v>
      </x:c>
      <x:c r="B798" s="10" t="str">
        <x:v>כאן מקשיבים: נמלטתי מהנובה ולא הצלחתי להציל את קארין ז'ורנו</x:v>
      </x:c>
      <x:c r="C798" s="10" t="str">
        <x:v>Личные истории</x:v>
      </x:c>
      <x:c r="D798" s="9" t="str">
        <x:v>Общество</x:v>
      </x:c>
      <x:c r="E798" s="10" t="str">
        <x:v>Общество; психология; эмпатия</x:v>
      </x:c>
      <x:c r="F798" s="10" t="str">
        <x:v>B1–B2 (гипотеза)</x:v>
      </x:c>
      <x:c r="G798" s="12" t="n">
        <x:v>11.7</x:v>
      </x:c>
      <x:c r="H798" s="14" t="n">
        <x:v>21000</x:v>
      </x:c>
      <x:c r="I798" s="15" t="str">
        <x:v>Округлённый счётчик в списке YouTube</x:v>
      </x:c>
      <x:c r="J798" s="14" t="n">
        <x:v>21000</x:v>
      </x:c>
      <x:c r="K798" s="14" t="n">
        <x:v>46000</x:v>
      </x:c>
      <x:c r="L798" s="12" t="n">
        <x:f>IF(COUNT(J798:K798)=2,IF(K798=0,"",J798/K798),"")</x:f>
        <x:v>0.45652173913043476</x:v>
      </x:c>
      <x:c r="M798" s="10" t="str">
        <x:v>Тема: כאן מקשיבים: נמלטתי מהנובה ולא הצלחתי להציל את קארין ז'ורנו.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798" s="10" t="str">
        <x:v>Выделить прошлое время и фразы чувств; пересказать с сохранением позиции рассказчика.</x:v>
      </x:c>
      <x:c r="O798" s="10" t="str">
        <x:v>Травма, утрата и здоровье возможны; проверить выпуск</x:v>
      </x:c>
      <x:c r="P798" s="10" t="str">
        <x:v>Самостоятельное видео</x:v>
      </x:c>
      <x:c r="Q798" s="9" t="str">
        <x:v>Нет</x:v>
      </x:c>
      <x:c r="R798" s="9" t="str">
        <x:v>C046</x:v>
      </x:c>
      <x:c r="S798" s="9" t="str">
        <x:v>C046</x:v>
      </x:c>
      <x:c r="T798" s="10" t="str">
        <x:v>כאן | דיגיטל - תאגיד השידור הישראלי</x:v>
      </x:c>
      <x:c r="U798" s="11" t="str">
        <x:v>https://www.youtube.com/watch?v=yg7jQvp0T5E</x:v>
      </x:c>
      <x:c r="V798" s="16" t="n">
        <x:v>46308</x:v>
      </x:c>
      <x:c r="W798" s="16"/>
      <x:c r="X798" s="10" t="str">
        <x:v>Иврит предполагается по заголовку и источнику</x:v>
      </x:c>
      <x:c r="Y798" s="10" t="str">
        <x:v>Не проверено</x:v>
      </x:c>
      <x:c r="Z798" s="10" t="str">
        <x:v>Не проверено</x:v>
      </x:c>
      <x:c r="AA798" s="10" t="str">
        <x:v>Метаданные списка; видео не просмотрено</x:v>
      </x:c>
      <x:c r="AB798" s="13" t="str">
        <x:f>IF(AND(ISNUMBER(H798),ISNUMBER(W798)),H798/MAX(1,'Обзор'!$B$4-W798),"")</x:f>
      </x:c>
      <x:c r="AC798" s="17" t="str">
        <x:v>Не решено</x:v>
      </x:c>
      <x:c r="AD798" s="17" t="str">
        <x:v>Не проверено</x:v>
      </x:c>
      <x:c r="AE798" s="17" t="str">
        <x:v>Не проверено</x:v>
      </x:c>
      <x:c r="AF798" s="17" t="str">
        <x:v>Не проверено</x:v>
      </x:c>
      <x:c r="AG798" s="17" t="str">
        <x:v>Не решено</x:v>
      </x:c>
      <x:c r="AH798" s="17" t="str">
        <x:v>Не проверено</x:v>
      </x:c>
      <x:c r="AI798" s="10" t="str">
        <x:f>IF(AC798="Отклонить","Отклонено",IF(AND(AC798="Взять",COUNTIFS(AD798:AH798,"Да")=5),"Готово","Нужна редактура"))</x:f>
        <x:v>Нужна редактура</x:v>
      </x:c>
      <x:c r="AJ798" s="17" t="str"/>
      <x:c r="AK798" s="9" t="str">
        <x:v>https://www.youtube.com/playlist?list=PLXv9BeKApRvwwoU0XglgsitrJW7JfOYpX</x:v>
      </x:c>
      <x:c r="AL798" s="9" t="n">
        <x:v>7</x:v>
      </x:c>
      <x:c r="AM798" s="9"/>
      <x:c r="AN798" s="9"/>
    </x:row>
    <x:row r="799" ht="60" customHeight="1">
      <x:c r="A799" s="9" t="str">
        <x:v>KZYouvJq7hw</x:v>
      </x:c>
      <x:c r="B799" s="10" t="str">
        <x:v>כאן מקשיבים: אמי הביולוגית הייתה זונה</x:v>
      </x:c>
      <x:c r="C799" s="10" t="str">
        <x:v>Личные истории</x:v>
      </x:c>
      <x:c r="D799" s="9" t="str">
        <x:v>Общество</x:v>
      </x:c>
      <x:c r="E799" s="10" t="str">
        <x:v>Общество; психология; эмпатия</x:v>
      </x:c>
      <x:c r="F799" s="10" t="str">
        <x:v>B1–B2 (гипотеза)</x:v>
      </x:c>
      <x:c r="G799" s="12" t="n">
        <x:v>10.7</x:v>
      </x:c>
      <x:c r="H799" s="14" t="n">
        <x:v>48135</x:v>
      </x:c>
      <x:c r="I799" s="15" t="str">
        <x:v>Точный счётчик метаданных видео</x:v>
      </x:c>
      <x:c r="J799" s="14" t="n">
        <x:v>48000</x:v>
      </x:c>
      <x:c r="K799" s="14" t="n">
        <x:v>46000</x:v>
      </x:c>
      <x:c r="L799" s="12" t="n">
        <x:f>IF(COUNT(J799:K799)=2,IF(K799=0,"",J799/K799),"")</x:f>
        <x:v>1.0434782608695652</x:v>
      </x:c>
      <x:c r="M799" s="10" t="str">
        <x:v>Тема: כאן מקשיבים: אמי הביולוגית הייתה זונה. Личный монолог позволяет сосредоточиться на одном голосе и эмоциональной лексике.</x:v>
      </x:c>
      <x:c r="N799" s="10" t="str">
        <x:v>Выделить прошлое время и фразы чувств; пересказать с сохранением позиции рассказчика.</x:v>
      </x:c>
      <x:c r="O799" s="10" t="str">
        <x:v>Травма, утрата и здоровье возможны; проверить выпуск</x:v>
      </x:c>
      <x:c r="P799" s="10" t="str">
        <x:v>Самостоятельное видео</x:v>
      </x:c>
      <x:c r="Q799" s="9" t="str">
        <x:v>Нет</x:v>
      </x:c>
      <x:c r="R799" s="9" t="str">
        <x:v>C046</x:v>
      </x:c>
      <x:c r="S799" s="9" t="str">
        <x:v>C046</x:v>
      </x:c>
      <x:c r="T799" s="10" t="str">
        <x:v>כאן | דיגיטל - תאגיד השידור הישראלי</x:v>
      </x:c>
      <x:c r="U799" s="11" t="str">
        <x:v>https://www.youtube.com/watch?v=KZYouvJq7hw</x:v>
      </x:c>
      <x:c r="V799" s="16" t="n">
        <x:v>46308</x:v>
      </x:c>
      <x:c r="W799" s="16" t="n">
        <x:v>45610</x:v>
      </x:c>
      <x:c r="X799" s="10" t="str">
        <x:v>Иврит предполагается по заголовку и источнику</x:v>
      </x:c>
      <x:c r="Y799" s="10" t="str">
        <x:v>Автоматическая дорожка HE по метаданным</x:v>
      </x:c>
      <x:c r="Z799" s="10" t="str">
        <x:v>Разрешено по метаданным</x:v>
      </x:c>
      <x:c r="AA799" s="10" t="str">
        <x:v>Метаданные видео; воспроизведение и содержание не проверены</x:v>
      </x:c>
      <x:c r="AB799" s="13" t="n">
        <x:f>IF(AND(ISNUMBER(H799),ISNUMBER(W799)),H799/MAX(1,'Обзор'!$B$4-W799),"")</x:f>
        <x:v>68.96131805157593</x:v>
      </x:c>
      <x:c r="AC799" s="17" t="str">
        <x:v>Не решено</x:v>
      </x:c>
      <x:c r="AD799" s="17" t="str">
        <x:v>Не проверено</x:v>
      </x:c>
      <x:c r="AE799" s="17" t="str">
        <x:v>Не проверено</x:v>
      </x:c>
      <x:c r="AF799" s="17" t="str">
        <x:v>Не проверено</x:v>
      </x:c>
      <x:c r="AG799" s="17" t="str">
        <x:v>Не решено</x:v>
      </x:c>
      <x:c r="AH799" s="17" t="str">
        <x:v>Не проверено</x:v>
      </x:c>
      <x:c r="AI799" s="10" t="str">
        <x:f>IF(AC799="Отклонить","Отклонено",IF(AND(AC799="Взять",COUNTIFS(AD799:AH799,"Да")=5),"Готово","Нужна редактура"))</x:f>
        <x:v>Нужна редактура</x:v>
      </x:c>
      <x:c r="AJ799" s="17" t="str"/>
      <x:c r="AK799" s="9" t="str">
        <x:v>https://www.youtube.com/playlist?list=PLXv9BeKApRvwwoU0XglgsitrJW7JfOYpX</x:v>
      </x:c>
      <x:c r="AL799" s="9" t="n">
        <x:v>8</x:v>
      </x:c>
      <x:c r="AM799" s="9"/>
      <x:c r="AN799" s="9" t="n">
        <x:v>0</x:v>
      </x:c>
    </x:row>
    <x:row r="800" ht="60" customHeight="1">
      <x:c r="A800" s="9" t="str">
        <x:v>muMZ9RmCFIo</x:v>
      </x:c>
      <x:c r="B800" s="10" t="str">
        <x:v>כאן מקשיבים: מהבת שלי נשארו שלוש שיניים</x:v>
      </x:c>
      <x:c r="C800" s="10" t="str">
        <x:v>Личные истории</x:v>
      </x:c>
      <x:c r="D800" s="9" t="str">
        <x:v>Общество</x:v>
      </x:c>
      <x:c r="E800" s="10" t="str">
        <x:v>Общество; психология; эмпатия</x:v>
      </x:c>
      <x:c r="F800" s="10" t="str">
        <x:v>B1–B2 (гипотеза)</x:v>
      </x:c>
      <x:c r="G800" s="12" t="n">
        <x:v>10.6</x:v>
      </x:c>
      <x:c r="H800" s="14" t="n">
        <x:v>104208</x:v>
      </x:c>
      <x:c r="I800" s="15" t="str">
        <x:v>Точный счётчик метаданных видео</x:v>
      </x:c>
      <x:c r="J800" s="14" t="n">
        <x:v>104000</x:v>
      </x:c>
      <x:c r="K800" s="14" t="n">
        <x:v>46000</x:v>
      </x:c>
      <x:c r="L800" s="12" t="n">
        <x:f>IF(COUNT(J800:K800)=2,IF(K800=0,"",J800/K800),"")</x:f>
        <x:v>2.260869565217391</x:v>
      </x:c>
      <x:c r="M800" s="10" t="str">
        <x:v>Тема: כאן מקשיבים: מהבת שלי נשארו שלוש שיניים. Просмотры в списке выше медианы выборки этого цикла в 2.26 раза. Личный монолог позволяет сосредоточиться на одном голосе и эмоциональной лексике.</x:v>
      </x:c>
      <x:c r="N800" s="10" t="str">
        <x:v>Выделить прошлое время и фразы чувств; пересказать с сохранением позиции рассказчика.</x:v>
      </x:c>
      <x:c r="O800" s="10" t="str">
        <x:v>Травма, утрата и здоровье возможны; проверить выпуск</x:v>
      </x:c>
      <x:c r="P800" s="10" t="str">
        <x:v>Самостоятельное видео</x:v>
      </x:c>
      <x:c r="Q800" s="9" t="str">
        <x:v>Нет</x:v>
      </x:c>
      <x:c r="R800" s="9" t="str">
        <x:v>C046</x:v>
      </x:c>
      <x:c r="S800" s="9" t="str">
        <x:v>C046</x:v>
      </x:c>
      <x:c r="T800" s="10" t="str">
        <x:v>כאן | דיגיטל - תאגיד השידור הישראלי</x:v>
      </x:c>
      <x:c r="U800" s="11" t="str">
        <x:v>https://www.youtube.com/watch?v=muMZ9RmCFIo</x:v>
      </x:c>
      <x:c r="V800" s="16" t="n">
        <x:v>46308</x:v>
      </x:c>
      <x:c r="W800" s="16" t="n">
        <x:v>45603</x:v>
      </x:c>
      <x:c r="X800" s="10" t="str">
        <x:v>Иврит предполагается по заголовку и источнику</x:v>
      </x:c>
      <x:c r="Y800" s="10" t="str">
        <x:v>Автоматическая дорожка HE по метаданным</x:v>
      </x:c>
      <x:c r="Z800" s="10" t="str">
        <x:v>Разрешено по метаданным</x:v>
      </x:c>
      <x:c r="AA800" s="10" t="str">
        <x:v>Метаданные видео; воспроизведение и содержание не проверены</x:v>
      </x:c>
      <x:c r="AB800" s="13" t="n">
        <x:f>IF(AND(ISNUMBER(H800),ISNUMBER(W800)),H800/MAX(1,'Обзор'!$B$4-W800),"")</x:f>
        <x:v>147.8127659574468</x:v>
      </x:c>
      <x:c r="AC800" s="17" t="str">
        <x:v>Не решено</x:v>
      </x:c>
      <x:c r="AD800" s="17" t="str">
        <x:v>Не проверено</x:v>
      </x:c>
      <x:c r="AE800" s="17" t="str">
        <x:v>Не проверено</x:v>
      </x:c>
      <x:c r="AF800" s="17" t="str">
        <x:v>Не проверено</x:v>
      </x:c>
      <x:c r="AG800" s="17" t="str">
        <x:v>Не решено</x:v>
      </x:c>
      <x:c r="AH800" s="17" t="str">
        <x:v>Не проверено</x:v>
      </x:c>
      <x:c r="AI800" s="10" t="str">
        <x:f>IF(AC800="Отклонить","Отклонено",IF(AND(AC800="Взять",COUNTIFS(AD800:AH800,"Да")=5),"Готово","Нужна редактура"))</x:f>
        <x:v>Нужна редактура</x:v>
      </x:c>
      <x:c r="AJ800" s="17" t="str"/>
      <x:c r="AK800" s="9" t="str">
        <x:v>https://www.youtube.com/playlist?list=PLXv9BeKApRvwwoU0XglgsitrJW7JfOYpX</x:v>
      </x:c>
      <x:c r="AL800" s="9" t="n">
        <x:v>9</x:v>
      </x:c>
      <x:c r="AM800" s="9"/>
      <x:c r="AN800" s="9" t="n">
        <x:v>0</x:v>
      </x:c>
    </x:row>
    <x:row r="801" ht="60" customHeight="1">
      <x:c r="A801" s="9" t="str">
        <x:v>-uZ53fVflbc</x:v>
      </x:c>
      <x:c r="B801" s="10" t="str">
        <x:v>כאן מקשיבים: "לאבד בעל ובן זה לא אנושי"</x:v>
      </x:c>
      <x:c r="C801" s="10" t="str">
        <x:v>Личные истории</x:v>
      </x:c>
      <x:c r="D801" s="9" t="str">
        <x:v>Общество</x:v>
      </x:c>
      <x:c r="E801" s="10" t="str">
        <x:v>Общество; психология; эмпатия</x:v>
      </x:c>
      <x:c r="F801" s="10" t="str">
        <x:v>B1–B2 (гипотеза)</x:v>
      </x:c>
      <x:c r="G801" s="12" t="n">
        <x:v>10.8</x:v>
      </x:c>
      <x:c r="H801" s="14" t="n">
        <x:v>37000</x:v>
      </x:c>
      <x:c r="I801" s="15" t="str">
        <x:v>Округлённый счётчик в списке YouTube</x:v>
      </x:c>
      <x:c r="J801" s="14" t="n">
        <x:v>37000</x:v>
      </x:c>
      <x:c r="K801" s="14" t="n">
        <x:v>46000</x:v>
      </x:c>
      <x:c r="L801" s="12" t="n">
        <x:f>IF(COUNT(J801:K801)=2,IF(K801=0,"",J801/K801),"")</x:f>
        <x:v>0.8043478260869565</x:v>
      </x:c>
      <x:c r="M801" s="10" t="str">
        <x:v>Тема: כאן מקשיבים: "לאבד בעל ובן זה לא אנושי". Личный монолог позволяет сосредоточиться на одном голосе и эмоциональной лексике.</x:v>
      </x:c>
      <x:c r="N801" s="10" t="str">
        <x:v>Выделить прошлое время и фразы чувств; пересказать с сохранением позиции рассказчика.</x:v>
      </x:c>
      <x:c r="O801" s="10" t="str">
        <x:v>Травма, утрата и здоровье возможны; проверить выпуск</x:v>
      </x:c>
      <x:c r="P801" s="10" t="str">
        <x:v>Самостоятельное видео</x:v>
      </x:c>
      <x:c r="Q801" s="9" t="str">
        <x:v>Нет</x:v>
      </x:c>
      <x:c r="R801" s="9" t="str">
        <x:v>C046</x:v>
      </x:c>
      <x:c r="S801" s="9" t="str">
        <x:v>C046</x:v>
      </x:c>
      <x:c r="T801" s="10" t="str">
        <x:v>כאן | דיגיטל - תאגיד השידור הישראלי</x:v>
      </x:c>
      <x:c r="U801" s="11" t="str">
        <x:v>https://www.youtube.com/watch?v=-uZ53fVflbc</x:v>
      </x:c>
      <x:c r="V801" s="16" t="n">
        <x:v>46308</x:v>
      </x:c>
      <x:c r="W801" s="16"/>
      <x:c r="X801" s="10" t="str">
        <x:v>Иврит предполагается по заголовку и источнику</x:v>
      </x:c>
      <x:c r="Y801" s="10" t="str">
        <x:v>Не проверено</x:v>
      </x:c>
      <x:c r="Z801" s="10" t="str">
        <x:v>Не проверено</x:v>
      </x:c>
      <x:c r="AA801" s="10" t="str">
        <x:v>Метаданные списка; видео не просмотрено</x:v>
      </x:c>
      <x:c r="AB801" s="13" t="str">
        <x:f>IF(AND(ISNUMBER(H801),ISNUMBER(W801)),H801/MAX(1,'Обзор'!$B$4-W801),"")</x:f>
      </x:c>
      <x:c r="AC801" s="17" t="str">
        <x:v>Не решено</x:v>
      </x:c>
      <x:c r="AD801" s="17" t="str">
        <x:v>Не проверено</x:v>
      </x:c>
      <x:c r="AE801" s="17" t="str">
        <x:v>Не проверено</x:v>
      </x:c>
      <x:c r="AF801" s="17" t="str">
        <x:v>Не проверено</x:v>
      </x:c>
      <x:c r="AG801" s="17" t="str">
        <x:v>Не решено</x:v>
      </x:c>
      <x:c r="AH801" s="17" t="str">
        <x:v>Не проверено</x:v>
      </x:c>
      <x:c r="AI801" s="10" t="str">
        <x:f>IF(AC801="Отклонить","Отклонено",IF(AND(AC801="Взять",COUNTIFS(AD801:AH801,"Да")=5),"Готово","Нужна редактура"))</x:f>
        <x:v>Нужна редактура</x:v>
      </x:c>
      <x:c r="AJ801" s="17" t="str"/>
      <x:c r="AK801" s="9" t="str">
        <x:v>https://www.youtube.com/playlist?list=PLXv9BeKApRvwwoU0XglgsitrJW7JfOYpX</x:v>
      </x:c>
      <x:c r="AL801" s="9" t="n">
        <x:v>10</x:v>
      </x:c>
      <x:c r="AM801" s="9"/>
      <x:c r="AN801" s="9"/>
    </x:row>
    <x:row r="802" ht="60" customHeight="1">
      <x:c r="A802" s="9" t="str">
        <x:v>fs6S-SDfmhY</x:v>
      </x:c>
      <x:c r="B802" s="10" t="str">
        <x:v>כאן מקשיבים: החבר הראשון שלי נהרג בצבא ואני עדיין מתאבלת</x:v>
      </x:c>
      <x:c r="C802" s="10" t="str">
        <x:v>Личные истории</x:v>
      </x:c>
      <x:c r="D802" s="9" t="str">
        <x:v>Общество</x:v>
      </x:c>
      <x:c r="E802" s="10" t="str">
        <x:v>Общество; психология; эмпатия</x:v>
      </x:c>
      <x:c r="F802" s="10" t="str">
        <x:v>B1–B2 (гипотеза)</x:v>
      </x:c>
      <x:c r="G802" s="12" t="n">
        <x:v>13</x:v>
      </x:c>
      <x:c r="H802" s="14" t="n">
        <x:v>17000</x:v>
      </x:c>
      <x:c r="I802" s="15" t="str">
        <x:v>Округлённый счётчик в списке YouTube</x:v>
      </x:c>
      <x:c r="J802" s="14" t="n">
        <x:v>17000</x:v>
      </x:c>
      <x:c r="K802" s="14" t="n">
        <x:v>46000</x:v>
      </x:c>
      <x:c r="L802" s="12" t="n">
        <x:f>IF(COUNT(J802:K802)=2,IF(K802=0,"",J802/K802),"")</x:f>
        <x:v>0.3695652173913043</x:v>
      </x:c>
      <x:c r="M802" s="10" t="str">
        <x:v>Тема: כאן מקשיבים: החבר הראשון שלי נהרג בצבא ואני עדיין מתאבלת.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802" s="10" t="str">
        <x:v>Выделить прошлое время и фразы чувств; пересказать с сохранением позиции рассказчика.</x:v>
      </x:c>
      <x:c r="O802" s="10" t="str">
        <x:v>Травма, утрата и здоровье возможны; проверить выпуск</x:v>
      </x:c>
      <x:c r="P802" s="10" t="str">
        <x:v>Самостоятельное видео</x:v>
      </x:c>
      <x:c r="Q802" s="9" t="str">
        <x:v>Нет</x:v>
      </x:c>
      <x:c r="R802" s="9" t="str">
        <x:v>C046</x:v>
      </x:c>
      <x:c r="S802" s="9" t="str">
        <x:v>C046</x:v>
      </x:c>
      <x:c r="T802" s="10" t="str">
        <x:v>כאן | דיגיטל - תאגיד השידור הישראלי</x:v>
      </x:c>
      <x:c r="U802" s="11" t="str">
        <x:v>https://www.youtube.com/watch?v=fs6S-SDfmhY</x:v>
      </x:c>
      <x:c r="V802" s="16" t="n">
        <x:v>46308</x:v>
      </x:c>
      <x:c r="W802" s="16"/>
      <x:c r="X802" s="10" t="str">
        <x:v>Иврит предполагается по заголовку и источнику</x:v>
      </x:c>
      <x:c r="Y802" s="10" t="str">
        <x:v>Не проверено</x:v>
      </x:c>
      <x:c r="Z802" s="10" t="str">
        <x:v>Не проверено</x:v>
      </x:c>
      <x:c r="AA802" s="10" t="str">
        <x:v>Метаданные списка; видео не просмотрено</x:v>
      </x:c>
      <x:c r="AB802" s="13" t="str">
        <x:f>IF(AND(ISNUMBER(H802),ISNUMBER(W802)),H802/MAX(1,'Обзор'!$B$4-W802),"")</x:f>
      </x:c>
      <x:c r="AC802" s="17" t="str">
        <x:v>Не решено</x:v>
      </x:c>
      <x:c r="AD802" s="17" t="str">
        <x:v>Не проверено</x:v>
      </x:c>
      <x:c r="AE802" s="17" t="str">
        <x:v>Не проверено</x:v>
      </x:c>
      <x:c r="AF802" s="17" t="str">
        <x:v>Не проверено</x:v>
      </x:c>
      <x:c r="AG802" s="17" t="str">
        <x:v>Не решено</x:v>
      </x:c>
      <x:c r="AH802" s="17" t="str">
        <x:v>Не проверено</x:v>
      </x:c>
      <x:c r="AI802" s="10" t="str">
        <x:f>IF(AC802="Отклонить","Отклонено",IF(AND(AC802="Взять",COUNTIFS(AD802:AH802,"Да")=5),"Готово","Нужна редактура"))</x:f>
        <x:v>Нужна редактура</x:v>
      </x:c>
      <x:c r="AJ802" s="17" t="str"/>
      <x:c r="AK802" s="9" t="str">
        <x:v>https://www.youtube.com/playlist?list=PLXv9BeKApRvwwoU0XglgsitrJW7JfOYpX</x:v>
      </x:c>
      <x:c r="AL802" s="9" t="n">
        <x:v>11</x:v>
      </x:c>
      <x:c r="AM802" s="9"/>
      <x:c r="AN802" s="9"/>
    </x:row>
    <x:row r="803" ht="60" customHeight="1">
      <x:c r="A803" s="9" t="str">
        <x:v>Xxz8wTjKrX0</x:v>
      </x:c>
      <x:c r="B803" s="10" t="str">
        <x:v>כאן מקשיבים: בעלי נלחם למרות שהיה לו פטור ממילואים - ונפל בקרב</x:v>
      </x:c>
      <x:c r="C803" s="10" t="str">
        <x:v>Личные истории</x:v>
      </x:c>
      <x:c r="D803" s="9" t="str">
        <x:v>Общество</x:v>
      </x:c>
      <x:c r="E803" s="10" t="str">
        <x:v>Общество; психология; эмпатия</x:v>
      </x:c>
      <x:c r="F803" s="10" t="str">
        <x:v>B1–B2 (гипотеза)</x:v>
      </x:c>
      <x:c r="G803" s="12" t="n">
        <x:v>13.2</x:v>
      </x:c>
      <x:c r="H803" s="14" t="n">
        <x:v>23000</x:v>
      </x:c>
      <x:c r="I803" s="15" t="str">
        <x:v>Округлённый счётчик в списке YouTube</x:v>
      </x:c>
      <x:c r="J803" s="14" t="n">
        <x:v>23000</x:v>
      </x:c>
      <x:c r="K803" s="14" t="n">
        <x:v>46000</x:v>
      </x:c>
      <x:c r="L803" s="12" t="n">
        <x:f>IF(COUNT(J803:K803)=2,IF(K803=0,"",J803/K803),"")</x:f>
        <x:v>0.5</x:v>
      </x:c>
      <x:c r="M803" s="10" t="str">
        <x:v>Тема: כאן מקשיבים: בעלי נלחם למרות שהיה לו פטור ממילואים - ונפל בקרב. Личный монолог позволяет сосредоточиться на одном голосе и эмоциональной лексике.</x:v>
      </x:c>
      <x:c r="N803" s="10" t="str">
        <x:v>Выделить прошлое время и фразы чувств; пересказать с сохранением позиции рассказчика.</x:v>
      </x:c>
      <x:c r="O803" s="10" t="str">
        <x:v>Травма, утрата и здоровье возможны; проверить выпуск</x:v>
      </x:c>
      <x:c r="P803" s="10" t="str">
        <x:v>Самостоятельное видео</x:v>
      </x:c>
      <x:c r="Q803" s="9" t="str">
        <x:v>Нет</x:v>
      </x:c>
      <x:c r="R803" s="9" t="str">
        <x:v>C046</x:v>
      </x:c>
      <x:c r="S803" s="9" t="str">
        <x:v>C046</x:v>
      </x:c>
      <x:c r="T803" s="10" t="str">
        <x:v>כאן | דיגיטל - תאגיד השידור הישראלי</x:v>
      </x:c>
      <x:c r="U803" s="11" t="str">
        <x:v>https://www.youtube.com/watch?v=Xxz8wTjKrX0</x:v>
      </x:c>
      <x:c r="V803" s="16" t="n">
        <x:v>46308</x:v>
      </x:c>
      <x:c r="W803" s="16"/>
      <x:c r="X803" s="10" t="str">
        <x:v>Иврит предполагается по заголовку и источнику</x:v>
      </x:c>
      <x:c r="Y803" s="10" t="str">
        <x:v>Не проверено</x:v>
      </x:c>
      <x:c r="Z803" s="10" t="str">
        <x:v>Не проверено</x:v>
      </x:c>
      <x:c r="AA803" s="10" t="str">
        <x:v>Метаданные списка; видео не просмотрено</x:v>
      </x:c>
      <x:c r="AB803" s="13" t="str">
        <x:f>IF(AND(ISNUMBER(H803),ISNUMBER(W803)),H803/MAX(1,'Обзор'!$B$4-W803),"")</x:f>
      </x:c>
      <x:c r="AC803" s="17" t="str">
        <x:v>Не решено</x:v>
      </x:c>
      <x:c r="AD803" s="17" t="str">
        <x:v>Не проверено</x:v>
      </x:c>
      <x:c r="AE803" s="17" t="str">
        <x:v>Не проверено</x:v>
      </x:c>
      <x:c r="AF803" s="17" t="str">
        <x:v>Не проверено</x:v>
      </x:c>
      <x:c r="AG803" s="17" t="str">
        <x:v>Не решено</x:v>
      </x:c>
      <x:c r="AH803" s="17" t="str">
        <x:v>Не проверено</x:v>
      </x:c>
      <x:c r="AI803" s="10" t="str">
        <x:f>IF(AC803="Отклонить","Отклонено",IF(AND(AC803="Взять",COUNTIFS(AD803:AH803,"Да")=5),"Готово","Нужна редактура"))</x:f>
        <x:v>Нужна редактура</x:v>
      </x:c>
      <x:c r="AJ803" s="17" t="str"/>
      <x:c r="AK803" s="9" t="str">
        <x:v>https://www.youtube.com/playlist?list=PLXv9BeKApRvwwoU0XglgsitrJW7JfOYpX</x:v>
      </x:c>
      <x:c r="AL803" s="9" t="n">
        <x:v>12</x:v>
      </x:c>
      <x:c r="AM803" s="9"/>
      <x:c r="AN803" s="9"/>
    </x:row>
    <x:row r="804" ht="60" customHeight="1">
      <x:c r="A804" s="9" t="str">
        <x:v>jmXwn3Cpsps</x:v>
      </x:c>
      <x:c r="B804" s="10" t="str">
        <x:v>כאן מקשיבים: אני קצינת נפגעים במלחמה</x:v>
      </x:c>
      <x:c r="C804" s="10" t="str">
        <x:v>Личные истории</x:v>
      </x:c>
      <x:c r="D804" s="9" t="str">
        <x:v>Общество</x:v>
      </x:c>
      <x:c r="E804" s="10" t="str">
        <x:v>Общество; психология; эмпатия</x:v>
      </x:c>
      <x:c r="F804" s="10" t="str">
        <x:v>B1–B2 (гипотеза)</x:v>
      </x:c>
      <x:c r="G804" s="12" t="n">
        <x:v>9.5</x:v>
      </x:c>
      <x:c r="H804" s="14" t="n">
        <x:v>54855</x:v>
      </x:c>
      <x:c r="I804" s="15" t="str">
        <x:v>Точный счётчик метаданных видео</x:v>
      </x:c>
      <x:c r="J804" s="14" t="n">
        <x:v>54000</x:v>
      </x:c>
      <x:c r="K804" s="14" t="n">
        <x:v>46000</x:v>
      </x:c>
      <x:c r="L804" s="12" t="n">
        <x:f>IF(COUNT(J804:K804)=2,IF(K804=0,"",J804/K804),"")</x:f>
        <x:v>1.173913043478261</x:v>
      </x:c>
      <x:c r="M804" s="10" t="str">
        <x:v>Завершённый короткий просмотр около 10 мин. Личный монолог позволяет сосредоточиться на одном голосе и эмоциональной лексике.</x:v>
      </x:c>
      <x:c r="N804" s="10" t="str">
        <x:v>Выделить прошлое время и фразы чувств; пересказать с сохранением позиции рассказчика.</x:v>
      </x:c>
      <x:c r="O804" s="10" t="str">
        <x:v>Травма, утрата и здоровье возможны; проверить выпуск</x:v>
      </x:c>
      <x:c r="P804" s="10" t="str">
        <x:v>Самостоятельное видео</x:v>
      </x:c>
      <x:c r="Q804" s="9" t="str">
        <x:v>Нет</x:v>
      </x:c>
      <x:c r="R804" s="9" t="str">
        <x:v>C046</x:v>
      </x:c>
      <x:c r="S804" s="9" t="str">
        <x:v>C046</x:v>
      </x:c>
      <x:c r="T804" s="10" t="str">
        <x:v>כאן | דיגיטל - תאגיד השידור הישראלי</x:v>
      </x:c>
      <x:c r="U804" s="11" t="str">
        <x:v>https://www.youtube.com/watch?v=jmXwn3Cpsps</x:v>
      </x:c>
      <x:c r="V804" s="16" t="n">
        <x:v>46308</x:v>
      </x:c>
      <x:c r="W804" s="16" t="n">
        <x:v>45553</x:v>
      </x:c>
      <x:c r="X804" s="10" t="str">
        <x:v>Иврит предполагается по заголовку и источнику</x:v>
      </x:c>
      <x:c r="Y804" s="10" t="str">
        <x:v>Дорожка HE не найдена в метаданных; вшитые титры не проверены</x:v>
      </x:c>
      <x:c r="Z804" s="10" t="str">
        <x:v>Разрешено по метаданным</x:v>
      </x:c>
      <x:c r="AA804" s="10" t="str">
        <x:v>Метаданные видео; воспроизведение и содержание не проверены</x:v>
      </x:c>
      <x:c r="AB804" s="13" t="n">
        <x:f>IF(AND(ISNUMBER(H804),ISNUMBER(W804)),H804/MAX(1,'Обзор'!$B$4-W804),"")</x:f>
        <x:v>72.65562913907284</x:v>
      </x:c>
      <x:c r="AC804" s="17" t="str">
        <x:v>Не решено</x:v>
      </x:c>
      <x:c r="AD804" s="17" t="str">
        <x:v>Не проверено</x:v>
      </x:c>
      <x:c r="AE804" s="17" t="str">
        <x:v>Не проверено</x:v>
      </x:c>
      <x:c r="AF804" s="17" t="str">
        <x:v>Не проверено</x:v>
      </x:c>
      <x:c r="AG804" s="17" t="str">
        <x:v>Не решено</x:v>
      </x:c>
      <x:c r="AH804" s="17" t="str">
        <x:v>Не проверено</x:v>
      </x:c>
      <x:c r="AI804" s="10" t="str">
        <x:f>IF(AC804="Отклонить","Отклонено",IF(AND(AC804="Взять",COUNTIFS(AD804:AH804,"Да")=5),"Готово","Нужна редактура"))</x:f>
        <x:v>Нужна редактура</x:v>
      </x:c>
      <x:c r="AJ804" s="17" t="str"/>
      <x:c r="AK804" s="9" t="str">
        <x:v>https://www.youtube.com/playlist?list=PLXv9BeKApRvwwoU0XglgsitrJW7JfOYpX</x:v>
      </x:c>
      <x:c r="AL804" s="9" t="n">
        <x:v>13</x:v>
      </x:c>
      <x:c r="AM804" s="9"/>
      <x:c r="AN804" s="9" t="n">
        <x:v>0</x:v>
      </x:c>
    </x:row>
    <x:row r="805" ht="60" customHeight="1">
      <x:c r="A805" s="9" t="str">
        <x:v>KXZpV7vqdUM</x:v>
      </x:c>
      <x:c r="B805" s="10" t="str">
        <x:v>כאן מקשיבים: "הרגשתי שנולדתי פגומה"</x:v>
      </x:c>
      <x:c r="C805" s="10" t="str">
        <x:v>Личные истории</x:v>
      </x:c>
      <x:c r="D805" s="9" t="str">
        <x:v>Общество</x:v>
      </x:c>
      <x:c r="E805" s="10" t="str">
        <x:v>Общество; психология; эмпатия</x:v>
      </x:c>
      <x:c r="F805" s="10" t="str">
        <x:v>B1–B2 (гипотеза)</x:v>
      </x:c>
      <x:c r="G805" s="12" t="n">
        <x:v>12.7</x:v>
      </x:c>
      <x:c r="H805" s="14" t="n">
        <x:v>46798</x:v>
      </x:c>
      <x:c r="I805" s="15" t="str">
        <x:v>Точный счётчик метаданных видео</x:v>
      </x:c>
      <x:c r="J805" s="14" t="n">
        <x:v>46000</x:v>
      </x:c>
      <x:c r="K805" s="14" t="n">
        <x:v>46000</x:v>
      </x:c>
      <x:c r="L805" s="12" t="n">
        <x:f>IF(COUNT(J805:K805)=2,IF(K805=0,"",J805/K805),"")</x:f>
        <x:v>1</x:v>
      </x:c>
      <x:c r="M805" s="10" t="str">
        <x:v>Тема: כאן מקשיבים: "הרגשתי שנולדתי פגומה". Личный монолог позволяет сосредоточиться на одном голосе и эмоциональной лексике.</x:v>
      </x:c>
      <x:c r="N805" s="10" t="str">
        <x:v>Выделить прошлое время и фразы чувств; пересказать с сохранением позиции рассказчика.</x:v>
      </x:c>
      <x:c r="O805" s="10" t="str">
        <x:v>Травма, утрата и здоровье возможны; проверить выпуск</x:v>
      </x:c>
      <x:c r="P805" s="10" t="str">
        <x:v>Самостоятельное видео</x:v>
      </x:c>
      <x:c r="Q805" s="9" t="str">
        <x:v>Нет</x:v>
      </x:c>
      <x:c r="R805" s="9" t="str">
        <x:v>C046</x:v>
      </x:c>
      <x:c r="S805" s="9" t="str">
        <x:v>C046</x:v>
      </x:c>
      <x:c r="T805" s="10" t="str">
        <x:v>כאן | דיגיטל - תאגיד השידור הישראלי</x:v>
      </x:c>
      <x:c r="U805" s="11" t="str">
        <x:v>https://www.youtube.com/watch?v=KXZpV7vqdUM</x:v>
      </x:c>
      <x:c r="V805" s="16" t="n">
        <x:v>46308</x:v>
      </x:c>
      <x:c r="W805" s="16" t="n">
        <x:v>45519</x:v>
      </x:c>
      <x:c r="X805" s="10" t="str">
        <x:v>Иврит предполагается по заголовку и источнику</x:v>
      </x:c>
      <x:c r="Y805" s="10" t="str">
        <x:v>Автоматическая дорожка HE по метаданным</x:v>
      </x:c>
      <x:c r="Z805" s="10" t="str">
        <x:v>Разрешено по метаданным</x:v>
      </x:c>
      <x:c r="AA805" s="10" t="str">
        <x:v>Метаданные видео; воспроизведение и содержание не проверены</x:v>
      </x:c>
      <x:c r="AB805" s="13" t="n">
        <x:f>IF(AND(ISNUMBER(H805),ISNUMBER(W805)),H805/MAX(1,'Обзор'!$B$4-W805),"")</x:f>
        <x:v>59.31305449936629</x:v>
      </x:c>
      <x:c r="AC805" s="17" t="str">
        <x:v>Не решено</x:v>
      </x:c>
      <x:c r="AD805" s="17" t="str">
        <x:v>Не проверено</x:v>
      </x:c>
      <x:c r="AE805" s="17" t="str">
        <x:v>Не проверено</x:v>
      </x:c>
      <x:c r="AF805" s="17" t="str">
        <x:v>Не проверено</x:v>
      </x:c>
      <x:c r="AG805" s="17" t="str">
        <x:v>Не решено</x:v>
      </x:c>
      <x:c r="AH805" s="17" t="str">
        <x:v>Не проверено</x:v>
      </x:c>
      <x:c r="AI805" s="10" t="str">
        <x:f>IF(AC805="Отклонить","Отклонено",IF(AND(AC805="Взять",COUNTIFS(AD805:AH805,"Да")=5),"Готово","Нужна редактура"))</x:f>
        <x:v>Нужна редактура</x:v>
      </x:c>
      <x:c r="AJ805" s="17" t="str"/>
      <x:c r="AK805" s="9" t="str">
        <x:v>https://www.youtube.com/playlist?list=PLXv9BeKApRvwwoU0XglgsitrJW7JfOYpX</x:v>
      </x:c>
      <x:c r="AL805" s="9" t="n">
        <x:v>14</x:v>
      </x:c>
      <x:c r="AM805" s="9"/>
      <x:c r="AN805" s="9" t="n">
        <x:v>0</x:v>
      </x:c>
    </x:row>
    <x:row r="806" ht="60" customHeight="1">
      <x:c r="A806" s="9" t="str">
        <x:v>JpMPLPDvAVo</x:v>
      </x:c>
      <x:c r="B806" s="10" t="str">
        <x:v>כאן מקשיבים: פגשתי את הנייה בחדר הלידה</x:v>
      </x:c>
      <x:c r="C806" s="10" t="str">
        <x:v>Личные истории</x:v>
      </x:c>
      <x:c r="D806" s="9" t="str">
        <x:v>Общество</x:v>
      </x:c>
      <x:c r="E806" s="10" t="str">
        <x:v>Общество; психология; эмпатия</x:v>
      </x:c>
      <x:c r="F806" s="10" t="str">
        <x:v>B1–B2 (гипотеза)</x:v>
      </x:c>
      <x:c r="G806" s="12" t="n">
        <x:v>13.7</x:v>
      </x:c>
      <x:c r="H806" s="14" t="n">
        <x:v>102921</x:v>
      </x:c>
      <x:c r="I806" s="15" t="str">
        <x:v>Точный счётчик метаданных видео</x:v>
      </x:c>
      <x:c r="J806" s="14" t="n">
        <x:v>102000</x:v>
      </x:c>
      <x:c r="K806" s="14" t="n">
        <x:v>46000</x:v>
      </x:c>
      <x:c r="L806" s="12" t="n">
        <x:f>IF(COUNT(J806:K806)=2,IF(K806=0,"",J806/K806),"")</x:f>
        <x:v>2.217391304347826</x:v>
      </x:c>
      <x:c r="M806" s="10" t="str">
        <x:v>Тема: כאן מקשיבים: פגשתי את הנייה בחדר הלידה. Просмотры в списке выше медианы выборки этого цикла в 2.22 раза. Личный монолог позволяет сосредоточиться на одном голосе и эмоциональной лексике.</x:v>
      </x:c>
      <x:c r="N806" s="10" t="str">
        <x:v>Выделить прошлое время и фразы чувств; пересказать с сохранением позиции рассказчика.</x:v>
      </x:c>
      <x:c r="O806" s="10" t="str">
        <x:v>Травма, утрата и здоровье возможны; проверить выпуск</x:v>
      </x:c>
      <x:c r="P806" s="10" t="str">
        <x:v>Самостоятельное видео</x:v>
      </x:c>
      <x:c r="Q806" s="9" t="str">
        <x:v>Нет</x:v>
      </x:c>
      <x:c r="R806" s="9" t="str">
        <x:v>C046</x:v>
      </x:c>
      <x:c r="S806" s="9" t="str">
        <x:v>C046</x:v>
      </x:c>
      <x:c r="T806" s="10" t="str">
        <x:v>כאן | דיגיטל - תאגיד השידור הישראלי</x:v>
      </x:c>
      <x:c r="U806" s="11" t="str">
        <x:v>https://www.youtube.com/watch?v=JpMPLPDvAVo</x:v>
      </x:c>
      <x:c r="V806" s="16" t="n">
        <x:v>46308</x:v>
      </x:c>
      <x:c r="W806" s="16" t="n">
        <x:v>45512</x:v>
      </x:c>
      <x:c r="X806" s="10" t="str">
        <x:v>Иврит предполагается по заголовку и источнику</x:v>
      </x:c>
      <x:c r="Y806" s="10" t="str">
        <x:v>Дорожка HE не найдена в метаданных; вшитые титры не проверены</x:v>
      </x:c>
      <x:c r="Z806" s="10" t="str">
        <x:v>Разрешено по метаданным</x:v>
      </x:c>
      <x:c r="AA806" s="10" t="str">
        <x:v>Метаданные видео; воспроизведение и содержание не проверены</x:v>
      </x:c>
      <x:c r="AB806" s="13" t="n">
        <x:f>IF(AND(ISNUMBER(H806),ISNUMBER(W806)),H806/MAX(1,'Обзор'!$B$4-W806),"")</x:f>
        <x:v>129.29773869346732</x:v>
      </x:c>
      <x:c r="AC806" s="17" t="str">
        <x:v>Не решено</x:v>
      </x:c>
      <x:c r="AD806" s="17" t="str">
        <x:v>Не проверено</x:v>
      </x:c>
      <x:c r="AE806" s="17" t="str">
        <x:v>Не проверено</x:v>
      </x:c>
      <x:c r="AF806" s="17" t="str">
        <x:v>Не проверено</x:v>
      </x:c>
      <x:c r="AG806" s="17" t="str">
        <x:v>Не решено</x:v>
      </x:c>
      <x:c r="AH806" s="17" t="str">
        <x:v>Не проверено</x:v>
      </x:c>
      <x:c r="AI806" s="10" t="str">
        <x:f>IF(AC806="Отклонить","Отклонено",IF(AND(AC806="Взять",COUNTIFS(AD806:AH806,"Да")=5),"Готово","Нужна редактура"))</x:f>
        <x:v>Нужна редактура</x:v>
      </x:c>
      <x:c r="AJ806" s="17" t="str"/>
      <x:c r="AK806" s="9" t="str">
        <x:v>https://www.youtube.com/playlist?list=PLXv9BeKApRvwwoU0XglgsitrJW7JfOYpX</x:v>
      </x:c>
      <x:c r="AL806" s="9" t="n">
        <x:v>15</x:v>
      </x:c>
      <x:c r="AM806" s="9"/>
      <x:c r="AN806" s="9" t="n">
        <x:v>0</x:v>
      </x:c>
    </x:row>
    <x:row r="807" ht="60" customHeight="1">
      <x:c r="A807" s="9" t="str">
        <x:v>7u87PAjLHes</x:v>
      </x:c>
      <x:c r="B807" s="10" t="str">
        <x:v>כאן מקשיבים: בעלי נשבר בשבעה באוקטובר</x:v>
      </x:c>
      <x:c r="C807" s="10" t="str">
        <x:v>Личные истории</x:v>
      </x:c>
      <x:c r="D807" s="9" t="str">
        <x:v>Общество</x:v>
      </x:c>
      <x:c r="E807" s="10" t="str">
        <x:v>Общество; психология; эмпатия</x:v>
      </x:c>
      <x:c r="F807" s="10" t="str">
        <x:v>B1–B2 (гипотеза)</x:v>
      </x:c>
      <x:c r="G807" s="12" t="n">
        <x:v>14.1</x:v>
      </x:c>
      <x:c r="H807" s="14" t="n">
        <x:v>85254</x:v>
      </x:c>
      <x:c r="I807" s="15" t="str">
        <x:v>Точный счётчик метаданных видео</x:v>
      </x:c>
      <x:c r="J807" s="14" t="n">
        <x:v>85000</x:v>
      </x:c>
      <x:c r="K807" s="14" t="n">
        <x:v>46000</x:v>
      </x:c>
      <x:c r="L807" s="12" t="n">
        <x:f>IF(COUNT(J807:K807)=2,IF(K807=0,"",J807/K807),"")</x:f>
        <x:v>1.8478260869565217</x:v>
      </x:c>
      <x:c r="M807" s="10" t="str">
        <x:v>Тема: כאן מקשיבים: בעלי נשבר בשבעה באוקטובר. Просмотры в списке выше медианы выборки этого цикла в 1.85 раза. Личный монолог позволяет сосредоточиться на одном голосе и эмоциональной лексике.</x:v>
      </x:c>
      <x:c r="N807" s="10" t="str">
        <x:v>Выделить прошлое время и фразы чувств; пересказать с сохранением позиции рассказчика.</x:v>
      </x:c>
      <x:c r="O807" s="10" t="str">
        <x:v>Травма, утрата и здоровье возможны; проверить выпуск</x:v>
      </x:c>
      <x:c r="P807" s="10" t="str">
        <x:v>Самостоятельное видео</x:v>
      </x:c>
      <x:c r="Q807" s="9" t="str">
        <x:v>Нет</x:v>
      </x:c>
      <x:c r="R807" s="9" t="str">
        <x:v>C046</x:v>
      </x:c>
      <x:c r="S807" s="9" t="str">
        <x:v>C046</x:v>
      </x:c>
      <x:c r="T807" s="10" t="str">
        <x:v>כאן | דיגיטל - תאגיד השידור הישראלי</x:v>
      </x:c>
      <x:c r="U807" s="11" t="str">
        <x:v>https://www.youtube.com/watch?v=7u87PAjLHes</x:v>
      </x:c>
      <x:c r="V807" s="16" t="n">
        <x:v>46308</x:v>
      </x:c>
      <x:c r="W807" s="16" t="n">
        <x:v>45502</x:v>
      </x:c>
      <x:c r="X807" s="10" t="str">
        <x:v>iw</x:v>
      </x:c>
      <x:c r="Y807" s="10" t="str">
        <x:v>Автоматическая дорожка HE по метаданным</x:v>
      </x:c>
      <x:c r="Z807" s="10" t="str">
        <x:v>Разрешено по метаданным</x:v>
      </x:c>
      <x:c r="AA807" s="10" t="str">
        <x:v>Метаданные видео; воспроизведение и содержание не проверены</x:v>
      </x:c>
      <x:c r="AB807" s="13" t="n">
        <x:f>IF(AND(ISNUMBER(H807),ISNUMBER(W807)),H807/MAX(1,'Обзор'!$B$4-W807),"")</x:f>
        <x:v>105.7741935483871</x:v>
      </x:c>
      <x:c r="AC807" s="17" t="str">
        <x:v>Не решено</x:v>
      </x:c>
      <x:c r="AD807" s="17" t="str">
        <x:v>Не проверено</x:v>
      </x:c>
      <x:c r="AE807" s="17" t="str">
        <x:v>Не проверено</x:v>
      </x:c>
      <x:c r="AF807" s="17" t="str">
        <x:v>Не проверено</x:v>
      </x:c>
      <x:c r="AG807" s="17" t="str">
        <x:v>Не решено</x:v>
      </x:c>
      <x:c r="AH807" s="17" t="str">
        <x:v>Не проверено</x:v>
      </x:c>
      <x:c r="AI807" s="10" t="str">
        <x:f>IF(AC807="Отклонить","Отклонено",IF(AND(AC807="Взять",COUNTIFS(AD807:AH807,"Да")=5),"Готово","Нужна редактура"))</x:f>
        <x:v>Нужна редактура</x:v>
      </x:c>
      <x:c r="AJ807" s="17" t="str"/>
      <x:c r="AK807" s="9" t="str">
        <x:v>https://www.youtube.com/playlist?list=PLXv9BeKApRvwwoU0XglgsitrJW7JfOYpX</x:v>
      </x:c>
      <x:c r="AL807" s="9" t="n">
        <x:v>16</x:v>
      </x:c>
      <x:c r="AM807" s="9"/>
      <x:c r="AN807" s="9" t="n">
        <x:v>0</x:v>
      </x:c>
    </x:row>
    <x:row r="808" ht="60" customHeight="1">
      <x:c r="A808" s="9" t="str">
        <x:v>dmmTHxflwJg</x:v>
      </x:c>
      <x:c r="B808" s="10" t="str">
        <x:v>כאן מקשיבים: בני היחיד נפטר מאפילפסיה</x:v>
      </x:c>
      <x:c r="C808" s="10" t="str">
        <x:v>Личные истории</x:v>
      </x:c>
      <x:c r="D808" s="9" t="str">
        <x:v>Общество</x:v>
      </x:c>
      <x:c r="E808" s="10" t="str">
        <x:v>Общество; психология; эмпатия</x:v>
      </x:c>
      <x:c r="F808" s="10" t="str">
        <x:v>B1–B2 (гипотеза)</x:v>
      </x:c>
      <x:c r="G808" s="12" t="n">
        <x:v>14.9</x:v>
      </x:c>
      <x:c r="H808" s="14" t="n">
        <x:v>31000</x:v>
      </x:c>
      <x:c r="I808" s="15" t="str">
        <x:v>Округлённый счётчик в списке YouTube</x:v>
      </x:c>
      <x:c r="J808" s="14" t="n">
        <x:v>31000</x:v>
      </x:c>
      <x:c r="K808" s="14" t="n">
        <x:v>46000</x:v>
      </x:c>
      <x:c r="L808" s="12" t="n">
        <x:f>IF(COUNT(J808:K808)=2,IF(K808=0,"",J808/K808),"")</x:f>
        <x:v>0.6739130434782609</x:v>
      </x:c>
      <x:c r="M808" s="10" t="str">
        <x:v>Тема: כאן מקשיבים: בני היחיד נפטר מאפילפסיה. Личный монолог позволяет сосредоточиться на одном голосе и эмоциональной лексике.</x:v>
      </x:c>
      <x:c r="N808" s="10" t="str">
        <x:v>Выделить прошлое время и фразы чувств; пересказать с сохранением позиции рассказчика.</x:v>
      </x:c>
      <x:c r="O808" s="10" t="str">
        <x:v>Травма, утрата и здоровье возможны; проверить выпуск</x:v>
      </x:c>
      <x:c r="P808" s="10" t="str">
        <x:v>Самостоятельное видео</x:v>
      </x:c>
      <x:c r="Q808" s="9" t="str">
        <x:v>Нет</x:v>
      </x:c>
      <x:c r="R808" s="9" t="str">
        <x:v>C046</x:v>
      </x:c>
      <x:c r="S808" s="9" t="str">
        <x:v>C046</x:v>
      </x:c>
      <x:c r="T808" s="10" t="str">
        <x:v>כאן | דיגיטל - תאגיד השידור הישראלי</x:v>
      </x:c>
      <x:c r="U808" s="11" t="str">
        <x:v>https://www.youtube.com/watch?v=dmmTHxflwJg</x:v>
      </x:c>
      <x:c r="V808" s="16" t="n">
        <x:v>46308</x:v>
      </x:c>
      <x:c r="W808" s="16"/>
      <x:c r="X808" s="10" t="str">
        <x:v>Иврит предполагается по заголовку и источнику</x:v>
      </x:c>
      <x:c r="Y808" s="10" t="str">
        <x:v>Не проверено</x:v>
      </x:c>
      <x:c r="Z808" s="10" t="str">
        <x:v>Не проверено</x:v>
      </x:c>
      <x:c r="AA808" s="10" t="str">
        <x:v>Метаданные списка; видео не просмотрено</x:v>
      </x:c>
      <x:c r="AB808" s="13" t="str">
        <x:f>IF(AND(ISNUMBER(H808),ISNUMBER(W808)),H808/MAX(1,'Обзор'!$B$4-W808),"")</x:f>
      </x:c>
      <x:c r="AC808" s="17" t="str">
        <x:v>Не решено</x:v>
      </x:c>
      <x:c r="AD808" s="17" t="str">
        <x:v>Не проверено</x:v>
      </x:c>
      <x:c r="AE808" s="17" t="str">
        <x:v>Не проверено</x:v>
      </x:c>
      <x:c r="AF808" s="17" t="str">
        <x:v>Не проверено</x:v>
      </x:c>
      <x:c r="AG808" s="17" t="str">
        <x:v>Не решено</x:v>
      </x:c>
      <x:c r="AH808" s="17" t="str">
        <x:v>Не проверено</x:v>
      </x:c>
      <x:c r="AI808" s="10" t="str">
        <x:f>IF(AC808="Отклонить","Отклонено",IF(AND(AC808="Взять",COUNTIFS(AD808:AH808,"Да")=5),"Готово","Нужна редактура"))</x:f>
        <x:v>Нужна редактура</x:v>
      </x:c>
      <x:c r="AJ808" s="17" t="str"/>
      <x:c r="AK808" s="9" t="str">
        <x:v>https://www.youtube.com/playlist?list=PLXv9BeKApRvwwoU0XglgsitrJW7JfOYpX</x:v>
      </x:c>
      <x:c r="AL808" s="9" t="n">
        <x:v>17</x:v>
      </x:c>
      <x:c r="AM808" s="9"/>
      <x:c r="AN808" s="9"/>
    </x:row>
    <x:row r="809" ht="60" customHeight="1">
      <x:c r="A809" s="9" t="str">
        <x:v>FsjPGZO57lI</x:v>
      </x:c>
      <x:c r="B809" s="10" t="str">
        <x:v>כאן מקשיבים: "סבא שלי חשב שאני מנכ"לית אבל הייתי זונה"</x:v>
      </x:c>
      <x:c r="C809" s="10" t="str">
        <x:v>Личные истории</x:v>
      </x:c>
      <x:c r="D809" s="9" t="str">
        <x:v>Общество</x:v>
      </x:c>
      <x:c r="E809" s="10" t="str">
        <x:v>Общество; психология; эмпатия</x:v>
      </x:c>
      <x:c r="F809" s="10" t="str">
        <x:v>B1–B2 (гипотеза)</x:v>
      </x:c>
      <x:c r="G809" s="12" t="n">
        <x:v>15</x:v>
      </x:c>
      <x:c r="H809" s="14" t="n">
        <x:v>875927</x:v>
      </x:c>
      <x:c r="I809" s="15" t="str">
        <x:v>Точный счётчик метаданных видео</x:v>
      </x:c>
      <x:c r="J809" s="14" t="n">
        <x:v>875000</x:v>
      </x:c>
      <x:c r="K809" s="14" t="n">
        <x:v>46000</x:v>
      </x:c>
      <x:c r="L809" s="12" t="n">
        <x:f>IF(COUNT(J809:K809)=2,IF(K809=0,"",J809/K809),"")</x:f>
        <x:v>19.02173913043478</x:v>
      </x:c>
      <x:c r="M809" s="10" t="str">
        <x:v>Тема: כאן מקשיבים: "סבא שלי חשב שאני מנכ"לית אבל הייתי זונה". Просмотры в списке выше медианы выборки этого цикла в 19.02 раза. Личный монолог позволяет сосредоточиться на одном голосе и эмоциональной лексике.</x:v>
      </x:c>
      <x:c r="N809" s="10" t="str">
        <x:v>Выделить прошлое время и фразы чувств; пересказать с сохранением позиции рассказчика.</x:v>
      </x:c>
      <x:c r="O809" s="10" t="str">
        <x:v>Травма, утрата и здоровье возможны; проверить выпуск</x:v>
      </x:c>
      <x:c r="P809" s="10" t="str">
        <x:v>Самостоятельное видео</x:v>
      </x:c>
      <x:c r="Q809" s="9" t="str">
        <x:v>Нет</x:v>
      </x:c>
      <x:c r="R809" s="9" t="str">
        <x:v>C046</x:v>
      </x:c>
      <x:c r="S809" s="9" t="str">
        <x:v>C046</x:v>
      </x:c>
      <x:c r="T809" s="10" t="str">
        <x:v>כאן | דיגיטל - תאגיד השידור הישראלי</x:v>
      </x:c>
      <x:c r="U809" s="11" t="str">
        <x:v>https://www.youtube.com/watch?v=FsjPGZO57lI</x:v>
      </x:c>
      <x:c r="V809" s="16" t="n">
        <x:v>46308</x:v>
      </x:c>
      <x:c r="W809" s="16" t="n">
        <x:v>45477</x:v>
      </x:c>
      <x:c r="X809" s="10" t="str">
        <x:v>iw</x:v>
      </x:c>
      <x:c r="Y809" s="10" t="str">
        <x:v>Автоматическая дорожка HE по метаданным</x:v>
      </x:c>
      <x:c r="Z809" s="10" t="str">
        <x:v>Разрешено по метаданным</x:v>
      </x:c>
      <x:c r="AA809" s="10" t="str">
        <x:v>Метаданные видео; воспроизведение и содержание не проверены</x:v>
      </x:c>
      <x:c r="AB809" s="13" t="n">
        <x:f>IF(AND(ISNUMBER(H809),ISNUMBER(W809)),H809/MAX(1,'Обзор'!$B$4-W809),"")</x:f>
        <x:v>1054.063778580024</x:v>
      </x:c>
      <x:c r="AC809" s="17" t="str">
        <x:v>Не решено</x:v>
      </x:c>
      <x:c r="AD809" s="17" t="str">
        <x:v>Не проверено</x:v>
      </x:c>
      <x:c r="AE809" s="17" t="str">
        <x:v>Не проверено</x:v>
      </x:c>
      <x:c r="AF809" s="17" t="str">
        <x:v>Не проверено</x:v>
      </x:c>
      <x:c r="AG809" s="17" t="str">
        <x:v>Не решено</x:v>
      </x:c>
      <x:c r="AH809" s="17" t="str">
        <x:v>Не проверено</x:v>
      </x:c>
      <x:c r="AI809" s="10" t="str">
        <x:f>IF(AC809="Отклонить","Отклонено",IF(AND(AC809="Взять",COUNTIFS(AD809:AH809,"Да")=5),"Готово","Нужна редактура"))</x:f>
        <x:v>Нужна редактура</x:v>
      </x:c>
      <x:c r="AJ809" s="17" t="str"/>
      <x:c r="AK809" s="9" t="str">
        <x:v>https://www.youtube.com/playlist?list=PLXv9BeKApRvwwoU0XglgsitrJW7JfOYpX</x:v>
      </x:c>
      <x:c r="AL809" s="9" t="n">
        <x:v>18</x:v>
      </x:c>
      <x:c r="AM809" s="9"/>
      <x:c r="AN809" s="9" t="n">
        <x:v>0</x:v>
      </x:c>
    </x:row>
    <x:row r="810" ht="60" customHeight="1">
      <x:c r="A810" s="9" t="str">
        <x:v>6kae52rN3zk</x:v>
      </x:c>
      <x:c r="B810" s="10" t="str">
        <x:v>כאן מקשיבים לגבר טרנס עם כיפה</x:v>
      </x:c>
      <x:c r="C810" s="10" t="str">
        <x:v>Личные истории</x:v>
      </x:c>
      <x:c r="D810" s="9" t="str">
        <x:v>Общество</x:v>
      </x:c>
      <x:c r="E810" s="10" t="str">
        <x:v>Общество; психология; эмпатия</x:v>
      </x:c>
      <x:c r="F810" s="10" t="str">
        <x:v>B1–B2 (гипотеза)</x:v>
      </x:c>
      <x:c r="G810" s="12" t="n">
        <x:v>14.3</x:v>
      </x:c>
      <x:c r="H810" s="14" t="n">
        <x:v>45195</x:v>
      </x:c>
      <x:c r="I810" s="15" t="str">
        <x:v>Точный счётчик метаданных видео</x:v>
      </x:c>
      <x:c r="J810" s="14" t="n">
        <x:v>45000</x:v>
      </x:c>
      <x:c r="K810" s="14" t="n">
        <x:v>46000</x:v>
      </x:c>
      <x:c r="L810" s="12" t="n">
        <x:f>IF(COUNT(J810:K810)=2,IF(K810=0,"",J810/K810),"")</x:f>
        <x:v>0.9782608695652174</x:v>
      </x:c>
      <x:c r="M810" s="10" t="str">
        <x:v>Тема: כאן מקשיבים לגבר טרנס עם כיפה. Личный монолог позволяет сосредоточиться на одном голосе и эмоциональной лексике.</x:v>
      </x:c>
      <x:c r="N810" s="10" t="str">
        <x:v>Выделить прошлое время и фразы чувств; пересказать с сохранением позиции рассказчика.</x:v>
      </x:c>
      <x:c r="O810" s="10" t="str">
        <x:v>Травма, утрата и здоровье возможны; проверить выпуск</x:v>
      </x:c>
      <x:c r="P810" s="10" t="str">
        <x:v>Самостоятельное видео</x:v>
      </x:c>
      <x:c r="Q810" s="9" t="str">
        <x:v>Нет</x:v>
      </x:c>
      <x:c r="R810" s="9" t="str">
        <x:v>C046</x:v>
      </x:c>
      <x:c r="S810" s="9" t="str">
        <x:v>C046</x:v>
      </x:c>
      <x:c r="T810" s="10" t="str">
        <x:v>כאן | דיגיטל - תאגיד השידור הישראלי</x:v>
      </x:c>
      <x:c r="U810" s="11" t="str">
        <x:v>https://www.youtube.com/watch?v=6kae52rN3zk</x:v>
      </x:c>
      <x:c r="V810" s="16" t="n">
        <x:v>46308</x:v>
      </x:c>
      <x:c r="W810" s="16" t="n">
        <x:v>45469</x:v>
      </x:c>
      <x:c r="X810" s="10" t="str">
        <x:v>Иврит предполагается по заголовку и источнику</x:v>
      </x:c>
      <x:c r="Y810" s="10" t="str">
        <x:v>Дорожка HE не найдена в метаданных; вшитые титры не проверены</x:v>
      </x:c>
      <x:c r="Z810" s="10" t="str">
        <x:v>Разрешено по метаданным</x:v>
      </x:c>
      <x:c r="AA810" s="10" t="str">
        <x:v>Метаданные видео; воспроизведение и содержание не проверены</x:v>
      </x:c>
      <x:c r="AB810" s="13" t="n">
        <x:f>IF(AND(ISNUMBER(H810),ISNUMBER(W810)),H810/MAX(1,'Обзор'!$B$4-W810),"")</x:f>
        <x:v>53.86769964243147</x:v>
      </x:c>
      <x:c r="AC810" s="17" t="str">
        <x:v>Не решено</x:v>
      </x:c>
      <x:c r="AD810" s="17" t="str">
        <x:v>Не проверено</x:v>
      </x:c>
      <x:c r="AE810" s="17" t="str">
        <x:v>Не проверено</x:v>
      </x:c>
      <x:c r="AF810" s="17" t="str">
        <x:v>Не проверено</x:v>
      </x:c>
      <x:c r="AG810" s="17" t="str">
        <x:v>Не решено</x:v>
      </x:c>
      <x:c r="AH810" s="17" t="str">
        <x:v>Не проверено</x:v>
      </x:c>
      <x:c r="AI810" s="10" t="str">
        <x:f>IF(AC810="Отклонить","Отклонено",IF(AND(AC810="Взять",COUNTIFS(AD810:AH810,"Да")=5),"Готово","Нужна редактура"))</x:f>
        <x:v>Нужна редактура</x:v>
      </x:c>
      <x:c r="AJ810" s="17" t="str"/>
      <x:c r="AK810" s="9" t="str">
        <x:v>https://www.youtube.com/playlist?list=PLXv9BeKApRvwwoU0XglgsitrJW7JfOYpX</x:v>
      </x:c>
      <x:c r="AL810" s="9" t="n">
        <x:v>19</x:v>
      </x:c>
      <x:c r="AM810" s="9"/>
      <x:c r="AN810" s="9" t="n">
        <x:v>0</x:v>
      </x:c>
    </x:row>
    <x:row r="811" ht="60" customHeight="1">
      <x:c r="A811" s="9" t="str">
        <x:v>WK8tVXkECFM</x:v>
      </x:c>
      <x:c r="B811" s="10" t="str">
        <x:v>כאן מקשיבים: אין לי קיבה</x:v>
      </x:c>
      <x:c r="C811" s="10" t="str">
        <x:v>Личные истории</x:v>
      </x:c>
      <x:c r="D811" s="9" t="str">
        <x:v>Общество</x:v>
      </x:c>
      <x:c r="E811" s="10" t="str">
        <x:v>Общество; психология; эмпатия</x:v>
      </x:c>
      <x:c r="F811" s="10" t="str">
        <x:v>B1–B2 (гипотеза)</x:v>
      </x:c>
      <x:c r="G811" s="12" t="n">
        <x:v>10.6</x:v>
      </x:c>
      <x:c r="H811" s="14" t="n">
        <x:v>87353</x:v>
      </x:c>
      <x:c r="I811" s="15" t="str">
        <x:v>Точный счётчик метаданных видео</x:v>
      </x:c>
      <x:c r="J811" s="14" t="n">
        <x:v>87000</x:v>
      </x:c>
      <x:c r="K811" s="14" t="n">
        <x:v>46000</x:v>
      </x:c>
      <x:c r="L811" s="12" t="n">
        <x:f>IF(COUNT(J811:K811)=2,IF(K811=0,"",J811/K811),"")</x:f>
        <x:v>1.891304347826087</x:v>
      </x:c>
      <x:c r="M811" s="10" t="str">
        <x:v>Тема: כאן מקשיבים: אין לי קיבה. Просмотры в списке выше медианы выборки этого цикла в 1.89 раза. Личный монолог позволяет сосредоточиться на одном голосе и эмоциональной лексике.</x:v>
      </x:c>
      <x:c r="N811" s="10" t="str">
        <x:v>Выделить прошлое время и фразы чувств; пересказать с сохранением позиции рассказчика.</x:v>
      </x:c>
      <x:c r="O811" s="10" t="str">
        <x:v>Травма, утрата и здоровье возможны; проверить выпуск</x:v>
      </x:c>
      <x:c r="P811" s="10" t="str">
        <x:v>Самостоятельное видео</x:v>
      </x:c>
      <x:c r="Q811" s="9" t="str">
        <x:v>Нет</x:v>
      </x:c>
      <x:c r="R811" s="9" t="str">
        <x:v>C046</x:v>
      </x:c>
      <x:c r="S811" s="9" t="str">
        <x:v>C046</x:v>
      </x:c>
      <x:c r="T811" s="10" t="str">
        <x:v>כאן | דיגיטל - תאגיד השידור הישראלי</x:v>
      </x:c>
      <x:c r="U811" s="11" t="str">
        <x:v>https://www.youtube.com/watch?v=WK8tVXkECFM</x:v>
      </x:c>
      <x:c r="V811" s="16" t="n">
        <x:v>46308</x:v>
      </x:c>
      <x:c r="W811" s="16" t="n">
        <x:v>45462</x:v>
      </x:c>
      <x:c r="X811" s="10" t="str">
        <x:v>Иврит предполагается по заголовку и источнику</x:v>
      </x:c>
      <x:c r="Y811" s="10" t="str">
        <x:v>Автоматическая дорожка HE по метаданным</x:v>
      </x:c>
      <x:c r="Z811" s="10" t="str">
        <x:v>Разрешено по метаданным</x:v>
      </x:c>
      <x:c r="AA811" s="10" t="str">
        <x:v>Метаданные видео; воспроизведение и содержание не проверены</x:v>
      </x:c>
      <x:c r="AB811" s="13" t="n">
        <x:f>IF(AND(ISNUMBER(H811),ISNUMBER(W811)),H811/MAX(1,'Обзор'!$B$4-W811),"")</x:f>
        <x:v>103.25413711583924</x:v>
      </x:c>
      <x:c r="AC811" s="17" t="str">
        <x:v>Не решено</x:v>
      </x:c>
      <x:c r="AD811" s="17" t="str">
        <x:v>Не проверено</x:v>
      </x:c>
      <x:c r="AE811" s="17" t="str">
        <x:v>Не проверено</x:v>
      </x:c>
      <x:c r="AF811" s="17" t="str">
        <x:v>Не проверено</x:v>
      </x:c>
      <x:c r="AG811" s="17" t="str">
        <x:v>Не решено</x:v>
      </x:c>
      <x:c r="AH811" s="17" t="str">
        <x:v>Не проверено</x:v>
      </x:c>
      <x:c r="AI811" s="10" t="str">
        <x:f>IF(AC811="Отклонить","Отклонено",IF(AND(AC811="Взять",COUNTIFS(AD811:AH811,"Да")=5),"Готово","Нужна редактура"))</x:f>
        <x:v>Нужна редактура</x:v>
      </x:c>
      <x:c r="AJ811" s="17" t="str"/>
      <x:c r="AK811" s="9" t="str">
        <x:v>https://www.youtube.com/playlist?list=PLXv9BeKApRvwwoU0XglgsitrJW7JfOYpX</x:v>
      </x:c>
      <x:c r="AL811" s="9" t="n">
        <x:v>20</x:v>
      </x:c>
      <x:c r="AM811" s="9"/>
      <x:c r="AN811" s="9" t="n">
        <x:v>0</x:v>
      </x:c>
    </x:row>
    <x:row r="812" ht="60" customHeight="1">
      <x:c r="A812" s="9" t="str">
        <x:v>GPfEsDWn8To</x:v>
      </x:c>
      <x:c r="B812" s="10" t="str">
        <x:v>כאן מקשיבים: רוצה נכד מבתי שנפטרה</x:v>
      </x:c>
      <x:c r="C812" s="10" t="str">
        <x:v>Личные истории</x:v>
      </x:c>
      <x:c r="D812" s="9" t="str">
        <x:v>Общество</x:v>
      </x:c>
      <x:c r="E812" s="10" t="str">
        <x:v>Общество; психология; эмпатия</x:v>
      </x:c>
      <x:c r="F812" s="10" t="str">
        <x:v>B1–B2 (гипотеза)</x:v>
      </x:c>
      <x:c r="G812" s="12" t="n">
        <x:v>13.2</x:v>
      </x:c>
      <x:c r="H812" s="14" t="n">
        <x:v>20000</x:v>
      </x:c>
      <x:c r="I812" s="15" t="str">
        <x:v>Округлённый счётчик в списке YouTube</x:v>
      </x:c>
      <x:c r="J812" s="14" t="n">
        <x:v>20000</x:v>
      </x:c>
      <x:c r="K812" s="14" t="n">
        <x:v>46000</x:v>
      </x:c>
      <x:c r="L812" s="12" t="n">
        <x:f>IF(COUNT(J812:K812)=2,IF(K812=0,"",J812/K812),"")</x:f>
        <x:v>0.43478260869565216</x:v>
      </x:c>
      <x:c r="M812" s="10" t="str">
        <x:v>Тема: כאן מקשיבים: רוצה נכד מבתי שנפטרה.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812" s="10" t="str">
        <x:v>Выделить прошлое время и фразы чувств; пересказать с сохранением позиции рассказчика.</x:v>
      </x:c>
      <x:c r="O812" s="10" t="str">
        <x:v>Травма, утрата и здоровье возможны; проверить выпуск</x:v>
      </x:c>
      <x:c r="P812" s="10" t="str">
        <x:v>Самостоятельное видео</x:v>
      </x:c>
      <x:c r="Q812" s="9" t="str">
        <x:v>Нет</x:v>
      </x:c>
      <x:c r="R812" s="9" t="str">
        <x:v>C046</x:v>
      </x:c>
      <x:c r="S812" s="9" t="str">
        <x:v>C046</x:v>
      </x:c>
      <x:c r="T812" s="10" t="str">
        <x:v>כאן | דיגיטל - תאגיד השידור הישראלי</x:v>
      </x:c>
      <x:c r="U812" s="11" t="str">
        <x:v>https://www.youtube.com/watch?v=GPfEsDWn8To</x:v>
      </x:c>
      <x:c r="V812" s="16" t="n">
        <x:v>46308</x:v>
      </x:c>
      <x:c r="W812" s="16"/>
      <x:c r="X812" s="10" t="str">
        <x:v>Иврит предполагается по заголовку и источнику</x:v>
      </x:c>
      <x:c r="Y812" s="10" t="str">
        <x:v>Не проверено</x:v>
      </x:c>
      <x:c r="Z812" s="10" t="str">
        <x:v>Не проверено</x:v>
      </x:c>
      <x:c r="AA812" s="10" t="str">
        <x:v>Метаданные списка; видео не просмотрено</x:v>
      </x:c>
      <x:c r="AB812" s="13" t="str">
        <x:f>IF(AND(ISNUMBER(H812),ISNUMBER(W812)),H812/MAX(1,'Обзор'!$B$4-W812),"")</x:f>
      </x:c>
      <x:c r="AC812" s="17" t="str">
        <x:v>Не решено</x:v>
      </x:c>
      <x:c r="AD812" s="17" t="str">
        <x:v>Не проверено</x:v>
      </x:c>
      <x:c r="AE812" s="17" t="str">
        <x:v>Не проверено</x:v>
      </x:c>
      <x:c r="AF812" s="17" t="str">
        <x:v>Не проверено</x:v>
      </x:c>
      <x:c r="AG812" s="17" t="str">
        <x:v>Не решено</x:v>
      </x:c>
      <x:c r="AH812" s="17" t="str">
        <x:v>Не проверено</x:v>
      </x:c>
      <x:c r="AI812" s="10" t="str">
        <x:f>IF(AC812="Отклонить","Отклонено",IF(AND(AC812="Взять",COUNTIFS(AD812:AH812,"Да")=5),"Готово","Нужна редактура"))</x:f>
        <x:v>Нужна редактура</x:v>
      </x:c>
      <x:c r="AJ812" s="17" t="str"/>
      <x:c r="AK812" s="9" t="str">
        <x:v>https://www.youtube.com/playlist?list=PLXv9BeKApRvwwoU0XglgsitrJW7JfOYpX</x:v>
      </x:c>
      <x:c r="AL812" s="9" t="n">
        <x:v>21</x:v>
      </x:c>
      <x:c r="AM812" s="9"/>
      <x:c r="AN812" s="9"/>
    </x:row>
    <x:row r="813" ht="60" customHeight="1">
      <x:c r="A813" s="9" t="str">
        <x:v>5FQwbRTB1mw</x:v>
      </x:c>
      <x:c r="B813" s="10" t="str">
        <x:v>"למה זה שהתגרשתי זורק אותי לתחתית רשימת הרווקים?" | כאן מקשיבים</x:v>
      </x:c>
      <x:c r="C813" s="10" t="str">
        <x:v>Личные истории</x:v>
      </x:c>
      <x:c r="D813" s="9" t="str">
        <x:v>Общество</x:v>
      </x:c>
      <x:c r="E813" s="10" t="str">
        <x:v>Общество; психология; эмпатия</x:v>
      </x:c>
      <x:c r="F813" s="10" t="str">
        <x:v>B1–B2 (гипотеза)</x:v>
      </x:c>
      <x:c r="G813" s="12" t="n">
        <x:v>11.9</x:v>
      </x:c>
      <x:c r="H813" s="14" t="n">
        <x:v>39000</x:v>
      </x:c>
      <x:c r="I813" s="15" t="str">
        <x:v>Округлённый счётчик в списке YouTube</x:v>
      </x:c>
      <x:c r="J813" s="14" t="n">
        <x:v>39000</x:v>
      </x:c>
      <x:c r="K813" s="14" t="n">
        <x:v>46000</x:v>
      </x:c>
      <x:c r="L813" s="12" t="n">
        <x:f>IF(COUNT(J813:K813)=2,IF(K813=0,"",J813/K813),"")</x:f>
        <x:v>0.8478260869565217</x:v>
      </x:c>
      <x:c r="M813" s="10" t="str">
        <x:v>Тема: "למה זה שהתגרשתי זורק אותי לתחתית רשימת הרווקים?" | כאן מקשיבים. Личный монолог позволяет сосредоточиться на одном голосе и эмоциональной лексике.</x:v>
      </x:c>
      <x:c r="N813" s="10" t="str">
        <x:v>Выделить прошлое время и фразы чувств; пересказать с сохранением позиции рассказчика.</x:v>
      </x:c>
      <x:c r="O813" s="10" t="str">
        <x:v>Травма, утрата и здоровье возможны; проверить выпуск</x:v>
      </x:c>
      <x:c r="P813" s="10" t="str">
        <x:v>Самостоятельное видео</x:v>
      </x:c>
      <x:c r="Q813" s="9" t="str">
        <x:v>Нет</x:v>
      </x:c>
      <x:c r="R813" s="9" t="str">
        <x:v>C046</x:v>
      </x:c>
      <x:c r="S813" s="9" t="str">
        <x:v>C046</x:v>
      </x:c>
      <x:c r="T813" s="10" t="str">
        <x:v>כאן | דיגיטל - תאגיד השידור הישראלי</x:v>
      </x:c>
      <x:c r="U813" s="11" t="str">
        <x:v>https://www.youtube.com/watch?v=5FQwbRTB1mw</x:v>
      </x:c>
      <x:c r="V813" s="16" t="n">
        <x:v>46308</x:v>
      </x:c>
      <x:c r="W813" s="16"/>
      <x:c r="X813" s="10" t="str">
        <x:v>Иврит предполагается по заголовку и источнику</x:v>
      </x:c>
      <x:c r="Y813" s="10" t="str">
        <x:v>Не проверено</x:v>
      </x:c>
      <x:c r="Z813" s="10" t="str">
        <x:v>Не проверено</x:v>
      </x:c>
      <x:c r="AA813" s="10" t="str">
        <x:v>Метаданные списка; видео не просмотрено</x:v>
      </x:c>
      <x:c r="AB813" s="13" t="str">
        <x:f>IF(AND(ISNUMBER(H813),ISNUMBER(W813)),H813/MAX(1,'Обзор'!$B$4-W813),"")</x:f>
      </x:c>
      <x:c r="AC813" s="17" t="str">
        <x:v>Не решено</x:v>
      </x:c>
      <x:c r="AD813" s="17" t="str">
        <x:v>Не проверено</x:v>
      </x:c>
      <x:c r="AE813" s="17" t="str">
        <x:v>Не проверено</x:v>
      </x:c>
      <x:c r="AF813" s="17" t="str">
        <x:v>Не проверено</x:v>
      </x:c>
      <x:c r="AG813" s="17" t="str">
        <x:v>Не решено</x:v>
      </x:c>
      <x:c r="AH813" s="17" t="str">
        <x:v>Не проверено</x:v>
      </x:c>
      <x:c r="AI813" s="10" t="str">
        <x:f>IF(AC813="Отклонить","Отклонено",IF(AND(AC813="Взять",COUNTIFS(AD813:AH813,"Да")=5),"Готово","Нужна редактура"))</x:f>
        <x:v>Нужна редактура</x:v>
      </x:c>
      <x:c r="AJ813" s="17" t="str"/>
      <x:c r="AK813" s="9" t="str">
        <x:v>https://www.youtube.com/playlist?list=PLXv9BeKApRvwwoU0XglgsitrJW7JfOYpX</x:v>
      </x:c>
      <x:c r="AL813" s="9" t="n">
        <x:v>22</x:v>
      </x:c>
      <x:c r="AM813" s="9"/>
      <x:c r="AN813" s="9"/>
    </x:row>
    <x:row r="814" ht="60" customHeight="1">
      <x:c r="A814" s="9" t="str">
        <x:v>m3FgTSoeiTs</x:v>
      </x:c>
      <x:c r="B814" s="10" t="str">
        <x:v>כאן מקשיבים: התעוררתי בלי רגליים</x:v>
      </x:c>
      <x:c r="C814" s="10" t="str">
        <x:v>Личные истории</x:v>
      </x:c>
      <x:c r="D814" s="9" t="str">
        <x:v>Общество</x:v>
      </x:c>
      <x:c r="E814" s="10" t="str">
        <x:v>Общество; психология; эмпатия</x:v>
      </x:c>
      <x:c r="F814" s="10" t="str">
        <x:v>B1–B2 (гипотеза)</x:v>
      </x:c>
      <x:c r="G814" s="12" t="n">
        <x:v>12.5</x:v>
      </x:c>
      <x:c r="H814" s="14" t="n">
        <x:v>38000</x:v>
      </x:c>
      <x:c r="I814" s="15" t="str">
        <x:v>Округлённый счётчик в списке YouTube</x:v>
      </x:c>
      <x:c r="J814" s="14" t="n">
        <x:v>38000</x:v>
      </x:c>
      <x:c r="K814" s="14" t="n">
        <x:v>46000</x:v>
      </x:c>
      <x:c r="L814" s="12" t="n">
        <x:f>IF(COUNT(J814:K814)=2,IF(K814=0,"",J814/K814),"")</x:f>
        <x:v>0.8260869565217391</x:v>
      </x:c>
      <x:c r="M814" s="10" t="str">
        <x:v>Тема: כאן מקשיבים: התעוררתי בלי רגליים. Личный монолог позволяет сосредоточиться на одном голосе и эмоциональной лексике.</x:v>
      </x:c>
      <x:c r="N814" s="10" t="str">
        <x:v>Выделить прошлое время и фразы чувств; пересказать с сохранением позиции рассказчика.</x:v>
      </x:c>
      <x:c r="O814" s="10" t="str">
        <x:v>Травма, утрата и здоровье возможны; проверить выпуск</x:v>
      </x:c>
      <x:c r="P814" s="10" t="str">
        <x:v>Самостоятельное видео</x:v>
      </x:c>
      <x:c r="Q814" s="9" t="str">
        <x:v>Нет</x:v>
      </x:c>
      <x:c r="R814" s="9" t="str">
        <x:v>C046</x:v>
      </x:c>
      <x:c r="S814" s="9" t="str">
        <x:v>C046</x:v>
      </x:c>
      <x:c r="T814" s="10" t="str">
        <x:v>כאן | דיגיטל - תאגיד השידור הישראלי</x:v>
      </x:c>
      <x:c r="U814" s="11" t="str">
        <x:v>https://www.youtube.com/watch?v=m3FgTSoeiTs</x:v>
      </x:c>
      <x:c r="V814" s="16" t="n">
        <x:v>46308</x:v>
      </x:c>
      <x:c r="W814" s="16"/>
      <x:c r="X814" s="10" t="str">
        <x:v>Иврит предполагается по заголовку и источнику</x:v>
      </x:c>
      <x:c r="Y814" s="10" t="str">
        <x:v>Не проверено</x:v>
      </x:c>
      <x:c r="Z814" s="10" t="str">
        <x:v>Не проверено</x:v>
      </x:c>
      <x:c r="AA814" s="10" t="str">
        <x:v>Метаданные списка; видео не просмотрено</x:v>
      </x:c>
      <x:c r="AB814" s="13" t="str">
        <x:f>IF(AND(ISNUMBER(H814),ISNUMBER(W814)),H814/MAX(1,'Обзор'!$B$4-W814),"")</x:f>
      </x:c>
      <x:c r="AC814" s="17" t="str">
        <x:v>Не решено</x:v>
      </x:c>
      <x:c r="AD814" s="17" t="str">
        <x:v>Не проверено</x:v>
      </x:c>
      <x:c r="AE814" s="17" t="str">
        <x:v>Не проверено</x:v>
      </x:c>
      <x:c r="AF814" s="17" t="str">
        <x:v>Не проверено</x:v>
      </x:c>
      <x:c r="AG814" s="17" t="str">
        <x:v>Не решено</x:v>
      </x:c>
      <x:c r="AH814" s="17" t="str">
        <x:v>Не проверено</x:v>
      </x:c>
      <x:c r="AI814" s="10" t="str">
        <x:f>IF(AC814="Отклонить","Отклонено",IF(AND(AC814="Взять",COUNTIFS(AD814:AH814,"Да")=5),"Готово","Нужна редактура"))</x:f>
        <x:v>Нужна редактура</x:v>
      </x:c>
      <x:c r="AJ814" s="17" t="str"/>
      <x:c r="AK814" s="9" t="str">
        <x:v>https://www.youtube.com/playlist?list=PLXv9BeKApRvwwoU0XglgsitrJW7JfOYpX</x:v>
      </x:c>
      <x:c r="AL814" s="9" t="n">
        <x:v>23</x:v>
      </x:c>
      <x:c r="AM814" s="9"/>
      <x:c r="AN814" s="9"/>
    </x:row>
    <x:row r="815" ht="60" customHeight="1">
      <x:c r="A815" s="9" t="str">
        <x:v>S0V7_Ag9Nek</x:v>
      </x:c>
      <x:c r="B815" s="10" t="str">
        <x:v>כאן מקשיבים: חשבתי שבגללי אבא שלי נעלם</x:v>
      </x:c>
      <x:c r="C815" s="10" t="str">
        <x:v>Личные истории</x:v>
      </x:c>
      <x:c r="D815" s="9" t="str">
        <x:v>Общество</x:v>
      </x:c>
      <x:c r="E815" s="10" t="str">
        <x:v>Общество; психология; эмпатия</x:v>
      </x:c>
      <x:c r="F815" s="10" t="str">
        <x:v>B1–B2 (гипотеза)</x:v>
      </x:c>
      <x:c r="G815" s="12" t="n">
        <x:v>13.8</x:v>
      </x:c>
      <x:c r="H815" s="14" t="n">
        <x:v>47417</x:v>
      </x:c>
      <x:c r="I815" s="15" t="str">
        <x:v>Точный счётчик метаданных видео</x:v>
      </x:c>
      <x:c r="J815" s="14" t="n">
        <x:v>47000</x:v>
      </x:c>
      <x:c r="K815" s="14" t="n">
        <x:v>46000</x:v>
      </x:c>
      <x:c r="L815" s="12" t="n">
        <x:f>IF(COUNT(J815:K815)=2,IF(K815=0,"",J815/K815),"")</x:f>
        <x:v>1.0217391304347827</x:v>
      </x:c>
      <x:c r="M815" s="10" t="str">
        <x:v>Тема: כאן מקשיבים: חשבתי שבגללי אבא שלי נעלם. Личный монолог позволяет сосредоточиться на одном голосе и эмоциональной лексике.</x:v>
      </x:c>
      <x:c r="N815" s="10" t="str">
        <x:v>Выделить прошлое время и фразы чувств; пересказать с сохранением позиции рассказчика.</x:v>
      </x:c>
      <x:c r="O815" s="10" t="str">
        <x:v>Травма, утрата и здоровье возможны; проверить выпуск</x:v>
      </x:c>
      <x:c r="P815" s="10" t="str">
        <x:v>Самостоятельное видео</x:v>
      </x:c>
      <x:c r="Q815" s="9" t="str">
        <x:v>Нет</x:v>
      </x:c>
      <x:c r="R815" s="9" t="str">
        <x:v>C046</x:v>
      </x:c>
      <x:c r="S815" s="9" t="str">
        <x:v>C046</x:v>
      </x:c>
      <x:c r="T815" s="10" t="str">
        <x:v>כאן | דיגיטל - תאגיד השידור הישראלי</x:v>
      </x:c>
      <x:c r="U815" s="11" t="str">
        <x:v>https://www.youtube.com/watch?v=S0V7_Ag9Nek</x:v>
      </x:c>
      <x:c r="V815" s="16" t="n">
        <x:v>46308</x:v>
      </x:c>
      <x:c r="W815" s="16" t="n">
        <x:v>45386</x:v>
      </x:c>
      <x:c r="X815" s="10" t="str">
        <x:v>Иврит предполагается по заголовку и источнику</x:v>
      </x:c>
      <x:c r="Y815" s="10" t="str">
        <x:v>Автоматическая дорожка HE по метаданным</x:v>
      </x:c>
      <x:c r="Z815" s="10" t="str">
        <x:v>Разрешено по метаданным</x:v>
      </x:c>
      <x:c r="AA815" s="10" t="str">
        <x:v>Метаданные видео; воспроизведение и содержание не проверены</x:v>
      </x:c>
      <x:c r="AB815" s="13" t="n">
        <x:f>IF(AND(ISNUMBER(H815),ISNUMBER(W815)),H815/MAX(1,'Обзор'!$B$4-W815),"")</x:f>
        <x:v>51.428416485900215</x:v>
      </x:c>
      <x:c r="AC815" s="17" t="str">
        <x:v>Не решено</x:v>
      </x:c>
      <x:c r="AD815" s="17" t="str">
        <x:v>Не проверено</x:v>
      </x:c>
      <x:c r="AE815" s="17" t="str">
        <x:v>Не проверено</x:v>
      </x:c>
      <x:c r="AF815" s="17" t="str">
        <x:v>Не проверено</x:v>
      </x:c>
      <x:c r="AG815" s="17" t="str">
        <x:v>Не решено</x:v>
      </x:c>
      <x:c r="AH815" s="17" t="str">
        <x:v>Не проверено</x:v>
      </x:c>
      <x:c r="AI815" s="10" t="str">
        <x:f>IF(AC815="Отклонить","Отклонено",IF(AND(AC815="Взять",COUNTIFS(AD815:AH815,"Да")=5),"Готово","Нужна редактура"))</x:f>
        <x:v>Нужна редактура</x:v>
      </x:c>
      <x:c r="AJ815" s="17" t="str"/>
      <x:c r="AK815" s="9" t="str">
        <x:v>https://www.youtube.com/playlist?list=PLXv9BeKApRvwwoU0XglgsitrJW7JfOYpX</x:v>
      </x:c>
      <x:c r="AL815" s="9" t="n">
        <x:v>24</x:v>
      </x:c>
      <x:c r="AM815" s="9"/>
      <x:c r="AN815" s="9" t="n">
        <x:v>0</x:v>
      </x:c>
    </x:row>
    <x:row r="816" ht="60" customHeight="1">
      <x:c r="A816" s="9" t="str">
        <x:v>6n7yIuGtdmw</x:v>
      </x:c>
      <x:c r="B816" s="10" t="str">
        <x:v>כאן מקשיבים: בכל יום קצין דפק לי בדלת</x:v>
      </x:c>
      <x:c r="C816" s="10" t="str">
        <x:v>Личные истории</x:v>
      </x:c>
      <x:c r="D816" s="9" t="str">
        <x:v>Общество</x:v>
      </x:c>
      <x:c r="E816" s="10" t="str">
        <x:v>Общество; психология; эмпатия</x:v>
      </x:c>
      <x:c r="F816" s="10" t="str">
        <x:v>B1–B2 (гипотеза)</x:v>
      </x:c>
      <x:c r="G816" s="12" t="n">
        <x:v>13.2</x:v>
      </x:c>
      <x:c r="H816" s="14" t="n">
        <x:v>25000</x:v>
      </x:c>
      <x:c r="I816" s="15" t="str">
        <x:v>Округлённый счётчик в списке YouTube</x:v>
      </x:c>
      <x:c r="J816" s="14" t="n">
        <x:v>25000</x:v>
      </x:c>
      <x:c r="K816" s="14" t="n">
        <x:v>46000</x:v>
      </x:c>
      <x:c r="L816" s="12" t="n">
        <x:f>IF(COUNT(J816:K816)=2,IF(K816=0,"",J816/K816),"")</x:f>
        <x:v>0.5434782608695652</x:v>
      </x:c>
      <x:c r="M816" s="10" t="str">
        <x:v>Тема: כאן מקשיבים: בכל יום קצין דפק לי בדלת. Личный монолог позволяет сосредоточиться на одном голосе и эмоциональной лексике.</x:v>
      </x:c>
      <x:c r="N816" s="10" t="str">
        <x:v>Выделить прошлое время и фразы чувств; пересказать с сохранением позиции рассказчика.</x:v>
      </x:c>
      <x:c r="O816" s="10" t="str">
        <x:v>Травма, утрата и здоровье возможны; проверить выпуск</x:v>
      </x:c>
      <x:c r="P816" s="10" t="str">
        <x:v>Самостоятельное видео</x:v>
      </x:c>
      <x:c r="Q816" s="9" t="str">
        <x:v>Нет</x:v>
      </x:c>
      <x:c r="R816" s="9" t="str">
        <x:v>C046</x:v>
      </x:c>
      <x:c r="S816" s="9" t="str">
        <x:v>C046</x:v>
      </x:c>
      <x:c r="T816" s="10" t="str">
        <x:v>כאן | דיגיטל - תאגיד השידור הישראלי</x:v>
      </x:c>
      <x:c r="U816" s="11" t="str">
        <x:v>https://www.youtube.com/watch?v=6n7yIuGtdmw</x:v>
      </x:c>
      <x:c r="V816" s="16" t="n">
        <x:v>46308</x:v>
      </x:c>
      <x:c r="W816" s="16"/>
      <x:c r="X816" s="10" t="str">
        <x:v>Иврит предполагается по заголовку и источнику</x:v>
      </x:c>
      <x:c r="Y816" s="10" t="str">
        <x:v>Не проверено</x:v>
      </x:c>
      <x:c r="Z816" s="10" t="str">
        <x:v>Не проверено</x:v>
      </x:c>
      <x:c r="AA816" s="10" t="str">
        <x:v>Метаданные списка; видео не просмотрено</x:v>
      </x:c>
      <x:c r="AB816" s="13" t="str">
        <x:f>IF(AND(ISNUMBER(H816),ISNUMBER(W816)),H816/MAX(1,'Обзор'!$B$4-W816),"")</x:f>
      </x:c>
      <x:c r="AC816" s="17" t="str">
        <x:v>Не решено</x:v>
      </x:c>
      <x:c r="AD816" s="17" t="str">
        <x:v>Не проверено</x:v>
      </x:c>
      <x:c r="AE816" s="17" t="str">
        <x:v>Не проверено</x:v>
      </x:c>
      <x:c r="AF816" s="17" t="str">
        <x:v>Не проверено</x:v>
      </x:c>
      <x:c r="AG816" s="17" t="str">
        <x:v>Не решено</x:v>
      </x:c>
      <x:c r="AH816" s="17" t="str">
        <x:v>Не проверено</x:v>
      </x:c>
      <x:c r="AI816" s="10" t="str">
        <x:f>IF(AC816="Отклонить","Отклонено",IF(AND(AC816="Взять",COUNTIFS(AD816:AH816,"Да")=5),"Готово","Нужна редактура"))</x:f>
        <x:v>Нужна редактура</x:v>
      </x:c>
      <x:c r="AJ816" s="17" t="str"/>
      <x:c r="AK816" s="9" t="str">
        <x:v>https://www.youtube.com/playlist?list=PLXv9BeKApRvwwoU0XglgsitrJW7JfOYpX</x:v>
      </x:c>
      <x:c r="AL816" s="9" t="n">
        <x:v>25</x:v>
      </x:c>
      <x:c r="AM816" s="9"/>
      <x:c r="AN816" s="9"/>
    </x:row>
    <x:row r="817" ht="60" customHeight="1">
      <x:c r="A817" s="9" t="str">
        <x:v>LIOjOzIjdYo</x:v>
      </x:c>
      <x:c r="B817" s="10" t="str">
        <x:v>כאן מקשיבים: הצלתי חבר בקרב</x:v>
      </x:c>
      <x:c r="C817" s="10" t="str">
        <x:v>Личные истории</x:v>
      </x:c>
      <x:c r="D817" s="9" t="str">
        <x:v>Общество</x:v>
      </x:c>
      <x:c r="E817" s="10" t="str">
        <x:v>Общество; психология; эмпатия</x:v>
      </x:c>
      <x:c r="F817" s="10" t="str">
        <x:v>B1–B2 (гипотеза)</x:v>
      </x:c>
      <x:c r="G817" s="12" t="n">
        <x:v>8.6</x:v>
      </x:c>
      <x:c r="H817" s="14" t="n">
        <x:v>16000</x:v>
      </x:c>
      <x:c r="I817" s="15" t="str">
        <x:v>Округлённый счётчик в списке YouTube</x:v>
      </x:c>
      <x:c r="J817" s="14" t="n">
        <x:v>16000</x:v>
      </x:c>
      <x:c r="K817" s="14" t="n">
        <x:v>46000</x:v>
      </x:c>
      <x:c r="L817" s="12" t="n">
        <x:f>IF(COUNT(J817:K817)=2,IF(K817=0,"",J817/K817),"")</x:f>
        <x:v>0.34782608695652173</x:v>
      </x:c>
      <x:c r="M817" s="10" t="str">
        <x:v>Завершённый короткий просмотр около 9 мин.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817" s="10" t="str">
        <x:v>Выделить прошлое время и фразы чувств; пересказать с сохранением позиции рассказчика.</x:v>
      </x:c>
      <x:c r="O817" s="10" t="str">
        <x:v>Травма, утрата и здоровье возможны; проверить выпуск</x:v>
      </x:c>
      <x:c r="P817" s="10" t="str">
        <x:v>Самостоятельное видео</x:v>
      </x:c>
      <x:c r="Q817" s="9" t="str">
        <x:v>Нет</x:v>
      </x:c>
      <x:c r="R817" s="9" t="str">
        <x:v>C046</x:v>
      </x:c>
      <x:c r="S817" s="9" t="str">
        <x:v>C046</x:v>
      </x:c>
      <x:c r="T817" s="10" t="str">
        <x:v>כאן | דיגיטל - תאגיד השידור הישראלי</x:v>
      </x:c>
      <x:c r="U817" s="11" t="str">
        <x:v>https://www.youtube.com/watch?v=LIOjOzIjdYo</x:v>
      </x:c>
      <x:c r="V817" s="16" t="n">
        <x:v>46308</x:v>
      </x:c>
      <x:c r="W817" s="16"/>
      <x:c r="X817" s="10" t="str">
        <x:v>Иврит предполагается по заголовку и источнику</x:v>
      </x:c>
      <x:c r="Y817" s="10" t="str">
        <x:v>Не проверено</x:v>
      </x:c>
      <x:c r="Z817" s="10" t="str">
        <x:v>Не проверено</x:v>
      </x:c>
      <x:c r="AA817" s="10" t="str">
        <x:v>Метаданные списка; видео не просмотрено</x:v>
      </x:c>
      <x:c r="AB817" s="13" t="str">
        <x:f>IF(AND(ISNUMBER(H817),ISNUMBER(W817)),H817/MAX(1,'Обзор'!$B$4-W817),"")</x:f>
      </x:c>
      <x:c r="AC817" s="17" t="str">
        <x:v>Не решено</x:v>
      </x:c>
      <x:c r="AD817" s="17" t="str">
        <x:v>Не проверено</x:v>
      </x:c>
      <x:c r="AE817" s="17" t="str">
        <x:v>Не проверено</x:v>
      </x:c>
      <x:c r="AF817" s="17" t="str">
        <x:v>Не проверено</x:v>
      </x:c>
      <x:c r="AG817" s="17" t="str">
        <x:v>Не решено</x:v>
      </x:c>
      <x:c r="AH817" s="17" t="str">
        <x:v>Не проверено</x:v>
      </x:c>
      <x:c r="AI817" s="10" t="str">
        <x:f>IF(AC817="Отклонить","Отклонено",IF(AND(AC817="Взять",COUNTIFS(AD817:AH817,"Да")=5),"Готово","Нужна редактура"))</x:f>
        <x:v>Нужна редактура</x:v>
      </x:c>
      <x:c r="AJ817" s="17" t="str"/>
      <x:c r="AK817" s="9" t="str">
        <x:v>https://www.youtube.com/playlist?list=PLXv9BeKApRvwwoU0XglgsitrJW7JfOYpX</x:v>
      </x:c>
      <x:c r="AL817" s="9" t="n">
        <x:v>26</x:v>
      </x:c>
      <x:c r="AM817" s="9"/>
      <x:c r="AN817" s="9"/>
    </x:row>
    <x:row r="818" ht="60" customHeight="1">
      <x:c r="A818" s="9" t="str">
        <x:v>Rj48BYYyREs</x:v>
      </x:c>
      <x:c r="B818" s="10" t="str">
        <x:v>כאן מקשיבים: השבתי אלפי חפצים אישיים מהנובה</x:v>
      </x:c>
      <x:c r="C818" s="10" t="str">
        <x:v>Личные истории</x:v>
      </x:c>
      <x:c r="D818" s="9" t="str">
        <x:v>Общество</x:v>
      </x:c>
      <x:c r="E818" s="10" t="str">
        <x:v>Общество; психология; эмпатия</x:v>
      </x:c>
      <x:c r="F818" s="10" t="str">
        <x:v>B1–B2 (гипотеза)</x:v>
      </x:c>
      <x:c r="G818" s="12" t="n">
        <x:v>8.9</x:v>
      </x:c>
      <x:c r="H818" s="14" t="n">
        <x:v>22000</x:v>
      </x:c>
      <x:c r="I818" s="15" t="str">
        <x:v>Округлённый счётчик в списке YouTube</x:v>
      </x:c>
      <x:c r="J818" s="14" t="n">
        <x:v>22000</x:v>
      </x:c>
      <x:c r="K818" s="14" t="n">
        <x:v>46000</x:v>
      </x:c>
      <x:c r="L818" s="12" t="n">
        <x:f>IF(COUNT(J818:K818)=2,IF(K818=0,"",J818/K818),"")</x:f>
        <x:v>0.4782608695652174</x:v>
      </x:c>
      <x:c r="M818" s="10" t="str">
        <x:v>Завершённый короткий просмотр около 9 мин.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818" s="10" t="str">
        <x:v>Выделить прошлое время и фразы чувств; пересказать с сохранением позиции рассказчика.</x:v>
      </x:c>
      <x:c r="O818" s="10" t="str">
        <x:v>Травма, утрата и здоровье возможны; проверить выпуск</x:v>
      </x:c>
      <x:c r="P818" s="10" t="str">
        <x:v>Самостоятельное видео</x:v>
      </x:c>
      <x:c r="Q818" s="9" t="str">
        <x:v>Нет</x:v>
      </x:c>
      <x:c r="R818" s="9" t="str">
        <x:v>C046</x:v>
      </x:c>
      <x:c r="S818" s="9" t="str">
        <x:v>C046</x:v>
      </x:c>
      <x:c r="T818" s="10" t="str">
        <x:v>כאן | דיגיטל - תאגיד השידור הישראלי</x:v>
      </x:c>
      <x:c r="U818" s="11" t="str">
        <x:v>https://www.youtube.com/watch?v=Rj48BYYyREs</x:v>
      </x:c>
      <x:c r="V818" s="16" t="n">
        <x:v>46308</x:v>
      </x:c>
      <x:c r="W818" s="16"/>
      <x:c r="X818" s="10" t="str">
        <x:v>Иврит предполагается по заголовку и источнику</x:v>
      </x:c>
      <x:c r="Y818" s="10" t="str">
        <x:v>Не проверено</x:v>
      </x:c>
      <x:c r="Z818" s="10" t="str">
        <x:v>Не проверено</x:v>
      </x:c>
      <x:c r="AA818" s="10" t="str">
        <x:v>Метаданные списка; видео не просмотрено</x:v>
      </x:c>
      <x:c r="AB818" s="13" t="str">
        <x:f>IF(AND(ISNUMBER(H818),ISNUMBER(W818)),H818/MAX(1,'Обзор'!$B$4-W818),"")</x:f>
      </x:c>
      <x:c r="AC818" s="17" t="str">
        <x:v>Не решено</x:v>
      </x:c>
      <x:c r="AD818" s="17" t="str">
        <x:v>Не проверено</x:v>
      </x:c>
      <x:c r="AE818" s="17" t="str">
        <x:v>Не проверено</x:v>
      </x:c>
      <x:c r="AF818" s="17" t="str">
        <x:v>Не проверено</x:v>
      </x:c>
      <x:c r="AG818" s="17" t="str">
        <x:v>Не решено</x:v>
      </x:c>
      <x:c r="AH818" s="17" t="str">
        <x:v>Не проверено</x:v>
      </x:c>
      <x:c r="AI818" s="10" t="str">
        <x:f>IF(AC818="Отклонить","Отклонено",IF(AND(AC818="Взять",COUNTIFS(AD818:AH818,"Да")=5),"Готово","Нужна редактура"))</x:f>
        <x:v>Нужна редактура</x:v>
      </x:c>
      <x:c r="AJ818" s="17" t="str"/>
      <x:c r="AK818" s="9" t="str">
        <x:v>https://www.youtube.com/playlist?list=PLXv9BeKApRvwwoU0XglgsitrJW7JfOYpX</x:v>
      </x:c>
      <x:c r="AL818" s="9" t="n">
        <x:v>27</x:v>
      </x:c>
      <x:c r="AM818" s="9"/>
      <x:c r="AN818" s="9"/>
    </x:row>
    <x:row r="819" ht="60" customHeight="1">
      <x:c r="A819" s="9" t="str">
        <x:v>0B0DP1KqqRQ</x:v>
      </x:c>
      <x:c r="B819" s="10" t="str">
        <x:v>"התביישתי שיגידו ששחר חסון המצליח חי עם אחות משוגעת" | כאן מקשיבים לשמרית חסון</x:v>
      </x:c>
      <x:c r="C819" s="10" t="str">
        <x:v>Личные истории</x:v>
      </x:c>
      <x:c r="D819" s="9" t="str">
        <x:v>Общество</x:v>
      </x:c>
      <x:c r="E819" s="10" t="str">
        <x:v>Общество; психология; эмпатия</x:v>
      </x:c>
      <x:c r="F819" s="10" t="str">
        <x:v>B1–B2 (гипотеза)</x:v>
      </x:c>
      <x:c r="G819" s="12" t="n">
        <x:v>12.6</x:v>
      </x:c>
      <x:c r="H819" s="14" t="n">
        <x:v>97048</x:v>
      </x:c>
      <x:c r="I819" s="15" t="str">
        <x:v>Точный счётчик метаданных видео</x:v>
      </x:c>
      <x:c r="J819" s="14" t="n">
        <x:v>97000</x:v>
      </x:c>
      <x:c r="K819" s="14" t="n">
        <x:v>46000</x:v>
      </x:c>
      <x:c r="L819" s="12" t="n">
        <x:f>IF(COUNT(J819:K819)=2,IF(K819=0,"",J819/K819),"")</x:f>
        <x:v>2.108695652173913</x:v>
      </x:c>
      <x:c r="M819" s="10" t="str">
        <x:v>Тема: "התביישתי שיגידו ששחר חסון המצליח חי עם אחות משוגעת" | כאן מקשיבים לשמרית חסון. Просмотры в списке выше медианы выборки этого цикла в 2.11 раза. Личный монолог позволяет сосредоточиться на одном голосе и эмоциональной лексике.</x:v>
      </x:c>
      <x:c r="N819" s="10" t="str">
        <x:v>Выделить прошлое время и фразы чувств; пересказать с сохранением позиции рассказчика.</x:v>
      </x:c>
      <x:c r="O819" s="10" t="str">
        <x:v>Травма, утрата и здоровье возможны; проверить выпуск</x:v>
      </x:c>
      <x:c r="P819" s="10" t="str">
        <x:v>Самостоятельное видео</x:v>
      </x:c>
      <x:c r="Q819" s="9" t="str">
        <x:v>Нет</x:v>
      </x:c>
      <x:c r="R819" s="9" t="str">
        <x:v>C046</x:v>
      </x:c>
      <x:c r="S819" s="9" t="str">
        <x:v>C046</x:v>
      </x:c>
      <x:c r="T819" s="10" t="str">
        <x:v>כאן | דיגיטל - תאגיד השידור הישראלי</x:v>
      </x:c>
      <x:c r="U819" s="11" t="str">
        <x:v>https://www.youtube.com/watch?v=0B0DP1KqqRQ</x:v>
      </x:c>
      <x:c r="V819" s="16" t="n">
        <x:v>46308</x:v>
      </x:c>
      <x:c r="W819" s="16" t="n">
        <x:v>45323</x:v>
      </x:c>
      <x:c r="X819" s="10" t="str">
        <x:v>iw</x:v>
      </x:c>
      <x:c r="Y819" s="10" t="str">
        <x:v>Автоматическая дорожка HE по метаданным</x:v>
      </x:c>
      <x:c r="Z819" s="10" t="str">
        <x:v>Разрешено по метаданным</x:v>
      </x:c>
      <x:c r="AA819" s="10" t="str">
        <x:v>Метаданные видео; воспроизведение и содержание не проверены</x:v>
      </x:c>
      <x:c r="AB819" s="13" t="n">
        <x:f>IF(AND(ISNUMBER(H819),ISNUMBER(W819)),H819/MAX(1,'Обзор'!$B$4-W819),"")</x:f>
        <x:v>98.5258883248731</x:v>
      </x:c>
      <x:c r="AC819" s="17" t="str">
        <x:v>Не решено</x:v>
      </x:c>
      <x:c r="AD819" s="17" t="str">
        <x:v>Не проверено</x:v>
      </x:c>
      <x:c r="AE819" s="17" t="str">
        <x:v>Не проверено</x:v>
      </x:c>
      <x:c r="AF819" s="17" t="str">
        <x:v>Не проверено</x:v>
      </x:c>
      <x:c r="AG819" s="17" t="str">
        <x:v>Не решено</x:v>
      </x:c>
      <x:c r="AH819" s="17" t="str">
        <x:v>Не проверено</x:v>
      </x:c>
      <x:c r="AI819" s="10" t="str">
        <x:f>IF(AC819="Отклонить","Отклонено",IF(AND(AC819="Взять",COUNTIFS(AD819:AH819,"Да")=5),"Готово","Нужна редактура"))</x:f>
        <x:v>Нужна редактура</x:v>
      </x:c>
      <x:c r="AJ819" s="17" t="str"/>
      <x:c r="AK819" s="9" t="str">
        <x:v>https://www.youtube.com/playlist?list=PLXv9BeKApRvwwoU0XglgsitrJW7JfOYpX</x:v>
      </x:c>
      <x:c r="AL819" s="9" t="n">
        <x:v>28</x:v>
      </x:c>
      <x:c r="AM819" s="9"/>
      <x:c r="AN819" s="9" t="n">
        <x:v>0</x:v>
      </x:c>
    </x:row>
    <x:row r="820" ht="60" customHeight="1">
      <x:c r="A820" s="9" t="str">
        <x:v>lKWiCJY_51M</x:v>
      </x:c>
      <x:c r="B820" s="10" t="str">
        <x:v>״לא ישבנו שבעה, ישבנו שבעתיים״ | כאן מקשיבים</x:v>
      </x:c>
      <x:c r="C820" s="10" t="str">
        <x:v>Личные истории</x:v>
      </x:c>
      <x:c r="D820" s="9" t="str">
        <x:v>Общество</x:v>
      </x:c>
      <x:c r="E820" s="10" t="str">
        <x:v>Общество; психология; эмпатия</x:v>
      </x:c>
      <x:c r="F820" s="10" t="str">
        <x:v>B1–B2 (гипотеза)</x:v>
      </x:c>
      <x:c r="G820" s="12" t="n">
        <x:v>14.8</x:v>
      </x:c>
      <x:c r="H820" s="14" t="n">
        <x:v>25000</x:v>
      </x:c>
      <x:c r="I820" s="15" t="str">
        <x:v>Округлённый счётчик в списке YouTube</x:v>
      </x:c>
      <x:c r="J820" s="14" t="n">
        <x:v>25000</x:v>
      </x:c>
      <x:c r="K820" s="14" t="n">
        <x:v>46000</x:v>
      </x:c>
      <x:c r="L820" s="12" t="n">
        <x:f>IF(COUNT(J820:K820)=2,IF(K820=0,"",J820/K820),"")</x:f>
        <x:v>0.5434782608695652</x:v>
      </x:c>
      <x:c r="M820" s="10" t="str">
        <x:v>Тема: ״לא ישבנו שבעה, ישבנו שבעתיים״ | כאן מקשיבים. Личный монолог позволяет сосредоточиться на одном голосе и эмоциональной лексике.</x:v>
      </x:c>
      <x:c r="N820" s="10" t="str">
        <x:v>Выделить прошлое время и фразы чувств; пересказать с сохранением позиции рассказчика.</x:v>
      </x:c>
      <x:c r="O820" s="10" t="str">
        <x:v>Травма, утрата и здоровье возможны; проверить выпуск</x:v>
      </x:c>
      <x:c r="P820" s="10" t="str">
        <x:v>Самостоятельное видео</x:v>
      </x:c>
      <x:c r="Q820" s="9" t="str">
        <x:v>Нет</x:v>
      </x:c>
      <x:c r="R820" s="9" t="str">
        <x:v>C046</x:v>
      </x:c>
      <x:c r="S820" s="9" t="str">
        <x:v>C046</x:v>
      </x:c>
      <x:c r="T820" s="10" t="str">
        <x:v>כאן | דיגיטל - תאגיד השידור הישראלי</x:v>
      </x:c>
      <x:c r="U820" s="11" t="str">
        <x:v>https://www.youtube.com/watch?v=lKWiCJY_51M</x:v>
      </x:c>
      <x:c r="V820" s="16" t="n">
        <x:v>46308</x:v>
      </x:c>
      <x:c r="W820" s="16"/>
      <x:c r="X820" s="10" t="str">
        <x:v>Иврит предполагается по заголовку и источнику</x:v>
      </x:c>
      <x:c r="Y820" s="10" t="str">
        <x:v>Не проверено</x:v>
      </x:c>
      <x:c r="Z820" s="10" t="str">
        <x:v>Не проверено</x:v>
      </x:c>
      <x:c r="AA820" s="10" t="str">
        <x:v>Метаданные списка; видео не просмотрено</x:v>
      </x:c>
      <x:c r="AB820" s="13" t="str">
        <x:f>IF(AND(ISNUMBER(H820),ISNUMBER(W820)),H820/MAX(1,'Обзор'!$B$4-W820),"")</x:f>
      </x:c>
      <x:c r="AC820" s="17" t="str">
        <x:v>Не решено</x:v>
      </x:c>
      <x:c r="AD820" s="17" t="str">
        <x:v>Не проверено</x:v>
      </x:c>
      <x:c r="AE820" s="17" t="str">
        <x:v>Не проверено</x:v>
      </x:c>
      <x:c r="AF820" s="17" t="str">
        <x:v>Не проверено</x:v>
      </x:c>
      <x:c r="AG820" s="17" t="str">
        <x:v>Не решено</x:v>
      </x:c>
      <x:c r="AH820" s="17" t="str">
        <x:v>Не проверено</x:v>
      </x:c>
      <x:c r="AI820" s="10" t="str">
        <x:f>IF(AC820="Отклонить","Отклонено",IF(AND(AC820="Взять",COUNTIFS(AD820:AH820,"Да")=5),"Готово","Нужна редактура"))</x:f>
        <x:v>Нужна редактура</x:v>
      </x:c>
      <x:c r="AJ820" s="17" t="str"/>
      <x:c r="AK820" s="9" t="str">
        <x:v>https://www.youtube.com/playlist?list=PLXv9BeKApRvwwoU0XglgsitrJW7JfOYpX</x:v>
      </x:c>
      <x:c r="AL820" s="9" t="n">
        <x:v>29</x:v>
      </x:c>
      <x:c r="AM820" s="9"/>
      <x:c r="AN820" s="9"/>
    </x:row>
    <x:row r="821" ht="60" customHeight="1">
      <x:c r="A821" s="9" t="str">
        <x:v>SxjipgikMHw</x:v>
      </x:c>
      <x:c r="B821" s="10" t="str">
        <x:v>כאן מקשיבים: אין לי זמן לגידול במוח</x:v>
      </x:c>
      <x:c r="C821" s="10" t="str">
        <x:v>Личные истории</x:v>
      </x:c>
      <x:c r="D821" s="9" t="str">
        <x:v>Общество</x:v>
      </x:c>
      <x:c r="E821" s="10" t="str">
        <x:v>Общество; психология; эмпатия</x:v>
      </x:c>
      <x:c r="F821" s="10" t="str">
        <x:v>B1–B2 (гипотеза)</x:v>
      </x:c>
      <x:c r="G821" s="12" t="n">
        <x:v>13.7</x:v>
      </x:c>
      <x:c r="H821" s="14" t="n">
        <x:v>19000</x:v>
      </x:c>
      <x:c r="I821" s="15" t="str">
        <x:v>Округлённый счётчик в списке YouTube</x:v>
      </x:c>
      <x:c r="J821" s="14" t="n">
        <x:v>19000</x:v>
      </x:c>
      <x:c r="K821" s="14" t="n">
        <x:v>46000</x:v>
      </x:c>
      <x:c r="L821" s="12" t="n">
        <x:f>IF(COUNT(J821:K821)=2,IF(K821=0,"",J821/K821),"")</x:f>
        <x:v>0.41304347826086957</x:v>
      </x:c>
      <x:c r="M821" s="10" t="str">
        <x:v>Тема: כאן מקשיבים: אין לי זמן לגידול במוח.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821" s="10" t="str">
        <x:v>Выделить прошлое время и фразы чувств; пересказать с сохранением позиции рассказчика.</x:v>
      </x:c>
      <x:c r="O821" s="10" t="str">
        <x:v>Травма, утрата и здоровье возможны; проверить выпуск</x:v>
      </x:c>
      <x:c r="P821" s="10" t="str">
        <x:v>Самостоятельное видео</x:v>
      </x:c>
      <x:c r="Q821" s="9" t="str">
        <x:v>Нет</x:v>
      </x:c>
      <x:c r="R821" s="9" t="str">
        <x:v>C046</x:v>
      </x:c>
      <x:c r="S821" s="9" t="str">
        <x:v>C046</x:v>
      </x:c>
      <x:c r="T821" s="10" t="str">
        <x:v>כאן | דיגיטל - תאגיד השידור הישראלי</x:v>
      </x:c>
      <x:c r="U821" s="11" t="str">
        <x:v>https://www.youtube.com/watch?v=SxjipgikMHw</x:v>
      </x:c>
      <x:c r="V821" s="16" t="n">
        <x:v>46308</x:v>
      </x:c>
      <x:c r="W821" s="16"/>
      <x:c r="X821" s="10" t="str">
        <x:v>Иврит предполагается по заголовку и источнику</x:v>
      </x:c>
      <x:c r="Y821" s="10" t="str">
        <x:v>Не проверено</x:v>
      </x:c>
      <x:c r="Z821" s="10" t="str">
        <x:v>Не проверено</x:v>
      </x:c>
      <x:c r="AA821" s="10" t="str">
        <x:v>Метаданные списка; видео не просмотрено</x:v>
      </x:c>
      <x:c r="AB821" s="13" t="str">
        <x:f>IF(AND(ISNUMBER(H821),ISNUMBER(W821)),H821/MAX(1,'Обзор'!$B$4-W821),"")</x:f>
      </x:c>
      <x:c r="AC821" s="17" t="str">
        <x:v>Не решено</x:v>
      </x:c>
      <x:c r="AD821" s="17" t="str">
        <x:v>Не проверено</x:v>
      </x:c>
      <x:c r="AE821" s="17" t="str">
        <x:v>Не проверено</x:v>
      </x:c>
      <x:c r="AF821" s="17" t="str">
        <x:v>Не проверено</x:v>
      </x:c>
      <x:c r="AG821" s="17" t="str">
        <x:v>Не решено</x:v>
      </x:c>
      <x:c r="AH821" s="17" t="str">
        <x:v>Не проверено</x:v>
      </x:c>
      <x:c r="AI821" s="10" t="str">
        <x:f>IF(AC821="Отклонить","Отклонено",IF(AND(AC821="Взять",COUNTIFS(AD821:AH821,"Да")=5),"Готово","Нужна редактура"))</x:f>
        <x:v>Нужна редактура</x:v>
      </x:c>
      <x:c r="AJ821" s="17" t="str"/>
      <x:c r="AK821" s="9" t="str">
        <x:v>https://www.youtube.com/playlist?list=PLXv9BeKApRvwwoU0XglgsitrJW7JfOYpX</x:v>
      </x:c>
      <x:c r="AL821" s="9" t="n">
        <x:v>30</x:v>
      </x:c>
      <x:c r="AM821" s="9"/>
      <x:c r="AN821" s="9"/>
    </x:row>
    <x:row r="822" ht="60" customHeight="1">
      <x:c r="A822" s="9" t="str">
        <x:v>J8XXTgy2ijE</x:v>
      </x:c>
      <x:c r="B822" s="10" t="str">
        <x:v>כאן מקשיבים: אני מפחד לאבד עוד תלמידים</x:v>
      </x:c>
      <x:c r="C822" s="10" t="str">
        <x:v>Личные истории</x:v>
      </x:c>
      <x:c r="D822" s="9" t="str">
        <x:v>Общество</x:v>
      </x:c>
      <x:c r="E822" s="10" t="str">
        <x:v>Общество; психология; эмпатия</x:v>
      </x:c>
      <x:c r="F822" s="10" t="str">
        <x:v>B1–B2 (гипотеза)</x:v>
      </x:c>
      <x:c r="G822" s="12" t="n">
        <x:v>12.3</x:v>
      </x:c>
      <x:c r="H822" s="14" t="n">
        <x:v>17000</x:v>
      </x:c>
      <x:c r="I822" s="15" t="str">
        <x:v>Округлённый счётчик в списке YouTube</x:v>
      </x:c>
      <x:c r="J822" s="14" t="n">
        <x:v>17000</x:v>
      </x:c>
      <x:c r="K822" s="14" t="n">
        <x:v>46000</x:v>
      </x:c>
      <x:c r="L822" s="12" t="n">
        <x:f>IF(COUNT(J822:K822)=2,IF(K822=0,"",J822/K822),"")</x:f>
        <x:v>0.3695652173913043</x:v>
      </x:c>
      <x:c r="M822" s="10" t="str">
        <x:v>Тема: כאן מקשיבים: אני מפחד לאבד עוד תלמידים.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822" s="10" t="str">
        <x:v>Выделить прошлое время и фразы чувств; пересказать с сохранением позиции рассказчика.</x:v>
      </x:c>
      <x:c r="O822" s="10" t="str">
        <x:v>Травма, утрата и здоровье возможны; проверить выпуск</x:v>
      </x:c>
      <x:c r="P822" s="10" t="str">
        <x:v>Самостоятельное видео</x:v>
      </x:c>
      <x:c r="Q822" s="9" t="str">
        <x:v>Нет</x:v>
      </x:c>
      <x:c r="R822" s="9" t="str">
        <x:v>C046</x:v>
      </x:c>
      <x:c r="S822" s="9" t="str">
        <x:v>C046</x:v>
      </x:c>
      <x:c r="T822" s="10" t="str">
        <x:v>כאן | דיגיטל - תאגיד השידור הישראלי</x:v>
      </x:c>
      <x:c r="U822" s="11" t="str">
        <x:v>https://www.youtube.com/watch?v=J8XXTgy2ijE</x:v>
      </x:c>
      <x:c r="V822" s="16" t="n">
        <x:v>46308</x:v>
      </x:c>
      <x:c r="W822" s="16"/>
      <x:c r="X822" s="10" t="str">
        <x:v>Иврит предполагается по заголовку и источнику</x:v>
      </x:c>
      <x:c r="Y822" s="10" t="str">
        <x:v>Не проверено</x:v>
      </x:c>
      <x:c r="Z822" s="10" t="str">
        <x:v>Не проверено</x:v>
      </x:c>
      <x:c r="AA822" s="10" t="str">
        <x:v>Метаданные списка; видео не просмотрено</x:v>
      </x:c>
      <x:c r="AB822" s="13" t="str">
        <x:f>IF(AND(ISNUMBER(H822),ISNUMBER(W822)),H822/MAX(1,'Обзор'!$B$4-W822),"")</x:f>
      </x:c>
      <x:c r="AC822" s="17" t="str">
        <x:v>Не решено</x:v>
      </x:c>
      <x:c r="AD822" s="17" t="str">
        <x:v>Не проверено</x:v>
      </x:c>
      <x:c r="AE822" s="17" t="str">
        <x:v>Не проверено</x:v>
      </x:c>
      <x:c r="AF822" s="17" t="str">
        <x:v>Не проверено</x:v>
      </x:c>
      <x:c r="AG822" s="17" t="str">
        <x:v>Не решено</x:v>
      </x:c>
      <x:c r="AH822" s="17" t="str">
        <x:v>Не проверено</x:v>
      </x:c>
      <x:c r="AI822" s="10" t="str">
        <x:f>IF(AC822="Отклонить","Отклонено",IF(AND(AC822="Взять",COUNTIFS(AD822:AH822,"Да")=5),"Готово","Нужна редактура"))</x:f>
        <x:v>Нужна редактура</x:v>
      </x:c>
      <x:c r="AJ822" s="17" t="str"/>
      <x:c r="AK822" s="9" t="str">
        <x:v>https://www.youtube.com/playlist?list=PLXv9BeKApRvwwoU0XglgsitrJW7JfOYpX</x:v>
      </x:c>
      <x:c r="AL822" s="9" t="n">
        <x:v>31</x:v>
      </x:c>
      <x:c r="AM822" s="9"/>
      <x:c r="AN822" s="9"/>
    </x:row>
    <x:row r="823" ht="60" customHeight="1">
      <x:c r="A823" s="9" t="str">
        <x:v>gcBfQgZV7pc</x:v>
      </x:c>
      <x:c r="B823" s="10" t="str">
        <x:v>כאן מקשיבים: המוות רדף אותי</x:v>
      </x:c>
      <x:c r="C823" s="10" t="str">
        <x:v>Личные истории</x:v>
      </x:c>
      <x:c r="D823" s="9" t="str">
        <x:v>Общество</x:v>
      </x:c>
      <x:c r="E823" s="10" t="str">
        <x:v>Общество; психология; эмпатия</x:v>
      </x:c>
      <x:c r="F823" s="10" t="str">
        <x:v>B1–B2 (гипотеза)</x:v>
      </x:c>
      <x:c r="G823" s="12" t="n">
        <x:v>13.8</x:v>
      </x:c>
      <x:c r="H823" s="14" t="n">
        <x:v>76779</x:v>
      </x:c>
      <x:c r="I823" s="15" t="str">
        <x:v>Точный счётчик метаданных видео</x:v>
      </x:c>
      <x:c r="J823" s="14" t="n">
        <x:v>76000</x:v>
      </x:c>
      <x:c r="K823" s="14" t="n">
        <x:v>46000</x:v>
      </x:c>
      <x:c r="L823" s="12" t="n">
        <x:f>IF(COUNT(J823:K823)=2,IF(K823=0,"",J823/K823),"")</x:f>
        <x:v>1.6521739130434783</x:v>
      </x:c>
      <x:c r="M823" s="10" t="str">
        <x:v>Тема: כאן מקשיבים: המוות רדף אותי. Просмотры в списке выше медианы выборки этого цикла в 1.65 раза. Личный монолог позволяет сосредоточиться на одном голосе и эмоциональной лексике.</x:v>
      </x:c>
      <x:c r="N823" s="10" t="str">
        <x:v>Выделить прошлое время и фразы чувств; пересказать с сохранением позиции рассказчика.</x:v>
      </x:c>
      <x:c r="O823" s="10" t="str">
        <x:v>Травма, утрата и здоровье возможны; проверить выпуск</x:v>
      </x:c>
      <x:c r="P823" s="10" t="str">
        <x:v>Самостоятельное видео</x:v>
      </x:c>
      <x:c r="Q823" s="9" t="str">
        <x:v>Нет</x:v>
      </x:c>
      <x:c r="R823" s="9" t="str">
        <x:v>C046</x:v>
      </x:c>
      <x:c r="S823" s="9" t="str">
        <x:v>C046</x:v>
      </x:c>
      <x:c r="T823" s="10" t="str">
        <x:v>כאן | דיגיטל - תאגיד השידור הישראלי</x:v>
      </x:c>
      <x:c r="U823" s="11" t="str">
        <x:v>https://www.youtube.com/watch?v=gcBfQgZV7pc</x:v>
      </x:c>
      <x:c r="V823" s="16" t="n">
        <x:v>46308</x:v>
      </x:c>
      <x:c r="W823" s="16" t="n">
        <x:v>45295</x:v>
      </x:c>
      <x:c r="X823" s="10" t="str">
        <x:v>Иврит предполагается по заголовку и источнику</x:v>
      </x:c>
      <x:c r="Y823" s="10" t="str">
        <x:v>Автоматическая дорожка HE по метаданным</x:v>
      </x:c>
      <x:c r="Z823" s="10" t="str">
        <x:v>Разрешено по метаданным</x:v>
      </x:c>
      <x:c r="AA823" s="10" t="str">
        <x:v>Метаданные видео; воспроизведение и содержание не проверены</x:v>
      </x:c>
      <x:c r="AB823" s="13" t="n">
        <x:f>IF(AND(ISNUMBER(H823),ISNUMBER(W823)),H823/MAX(1,'Обзор'!$B$4-W823),"")</x:f>
        <x:v>75.79368213228035</x:v>
      </x:c>
      <x:c r="AC823" s="17" t="str">
        <x:v>Не решено</x:v>
      </x:c>
      <x:c r="AD823" s="17" t="str">
        <x:v>Не проверено</x:v>
      </x:c>
      <x:c r="AE823" s="17" t="str">
        <x:v>Не проверено</x:v>
      </x:c>
      <x:c r="AF823" s="17" t="str">
        <x:v>Не проверено</x:v>
      </x:c>
      <x:c r="AG823" s="17" t="str">
        <x:v>Не решено</x:v>
      </x:c>
      <x:c r="AH823" s="17" t="str">
        <x:v>Не проверено</x:v>
      </x:c>
      <x:c r="AI823" s="10" t="str">
        <x:f>IF(AC823="Отклонить","Отклонено",IF(AND(AC823="Взять",COUNTIFS(AD823:AH823,"Да")=5),"Готово","Нужна редактура"))</x:f>
        <x:v>Нужна редактура</x:v>
      </x:c>
      <x:c r="AJ823" s="17" t="str"/>
      <x:c r="AK823" s="9" t="str">
        <x:v>https://www.youtube.com/playlist?list=PLXv9BeKApRvwwoU0XglgsitrJW7JfOYpX</x:v>
      </x:c>
      <x:c r="AL823" s="9" t="n">
        <x:v>32</x:v>
      </x:c>
      <x:c r="AM823" s="9"/>
      <x:c r="AN823" s="9" t="n">
        <x:v>0</x:v>
      </x:c>
    </x:row>
    <x:row r="824" ht="60" customHeight="1">
      <x:c r="A824" s="9" t="str">
        <x:v>rOzJ66gLYtA</x:v>
      </x:c>
      <x:c r="B824" s="10" t="str">
        <x:v>כאן מקשיבים: אלון שלי בעזה</x:v>
      </x:c>
      <x:c r="C824" s="10" t="str">
        <x:v>Личные истории</x:v>
      </x:c>
      <x:c r="D824" s="9" t="str">
        <x:v>Общество</x:v>
      </x:c>
      <x:c r="E824" s="10" t="str">
        <x:v>Общество; психология; эмпатия</x:v>
      </x:c>
      <x:c r="F824" s="10" t="str">
        <x:v>B1–B2 (гипотеза)</x:v>
      </x:c>
      <x:c r="G824" s="12" t="n">
        <x:v>13.5</x:v>
      </x:c>
      <x:c r="H824" s="14" t="n">
        <x:v>14000</x:v>
      </x:c>
      <x:c r="I824" s="15" t="str">
        <x:v>Округлённый счётчик в списке YouTube</x:v>
      </x:c>
      <x:c r="J824" s="14" t="n">
        <x:v>14000</x:v>
      </x:c>
      <x:c r="K824" s="14" t="n">
        <x:v>46000</x:v>
      </x:c>
      <x:c r="L824" s="12" t="n">
        <x:f>IF(COUNT(J824:K824)=2,IF(K824=0,"",J824/K824),"")</x:f>
        <x:v>0.30434782608695654</x:v>
      </x:c>
      <x:c r="M824" s="10" t="str">
        <x:v>Тема: כאן מקשיבים: אלון שלי בעזה.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824" s="10" t="str">
        <x:v>Выделить прошлое время и фразы чувств; пересказать с сохранением позиции рассказчика.</x:v>
      </x:c>
      <x:c r="O824" s="10" t="str">
        <x:v>В заголовке есть чувствительная тема: предварительный просмотр и добровольный выбор. Травма, утрата и здоровье возможны; проверить выпуск</x:v>
      </x:c>
      <x:c r="P824" s="10" t="str">
        <x:v>Самостоятельное видео</x:v>
      </x:c>
      <x:c r="Q824" s="9" t="str">
        <x:v>Нет</x:v>
      </x:c>
      <x:c r="R824" s="9" t="str">
        <x:v>C046</x:v>
      </x:c>
      <x:c r="S824" s="9" t="str">
        <x:v>C046</x:v>
      </x:c>
      <x:c r="T824" s="10" t="str">
        <x:v>כאן | דיגיטל - תאגיד השידור הישראלי</x:v>
      </x:c>
      <x:c r="U824" s="11" t="str">
        <x:v>https://www.youtube.com/watch?v=rOzJ66gLYtA</x:v>
      </x:c>
      <x:c r="V824" s="16" t="n">
        <x:v>46308</x:v>
      </x:c>
      <x:c r="W824" s="16"/>
      <x:c r="X824" s="10" t="str">
        <x:v>Иврит предполагается по заголовку и источнику</x:v>
      </x:c>
      <x:c r="Y824" s="10" t="str">
        <x:v>Не проверено</x:v>
      </x:c>
      <x:c r="Z824" s="10" t="str">
        <x:v>Не проверено</x:v>
      </x:c>
      <x:c r="AA824" s="10" t="str">
        <x:v>Метаданные списка; видео не просмотрено</x:v>
      </x:c>
      <x:c r="AB824" s="13" t="str">
        <x:f>IF(AND(ISNUMBER(H824),ISNUMBER(W824)),H824/MAX(1,'Обзор'!$B$4-W824),"")</x:f>
      </x:c>
      <x:c r="AC824" s="17" t="str">
        <x:v>Не решено</x:v>
      </x:c>
      <x:c r="AD824" s="17" t="str">
        <x:v>Не проверено</x:v>
      </x:c>
      <x:c r="AE824" s="17" t="str">
        <x:v>Не проверено</x:v>
      </x:c>
      <x:c r="AF824" s="17" t="str">
        <x:v>Не проверено</x:v>
      </x:c>
      <x:c r="AG824" s="17" t="str">
        <x:v>Не решено</x:v>
      </x:c>
      <x:c r="AH824" s="17" t="str">
        <x:v>Не проверено</x:v>
      </x:c>
      <x:c r="AI824" s="10" t="str">
        <x:f>IF(AC824="Отклонить","Отклонено",IF(AND(AC824="Взять",COUNTIFS(AD824:AH824,"Да")=5),"Готово","Нужна редактура"))</x:f>
        <x:v>Нужна редактура</x:v>
      </x:c>
      <x:c r="AJ824" s="17" t="str"/>
      <x:c r="AK824" s="9" t="str">
        <x:v>https://www.youtube.com/playlist?list=PLXv9BeKApRvwwoU0XglgsitrJW7JfOYpX</x:v>
      </x:c>
      <x:c r="AL824" s="9" t="n">
        <x:v>33</x:v>
      </x:c>
      <x:c r="AM824" s="9"/>
      <x:c r="AN824" s="9"/>
    </x:row>
    <x:row r="825" ht="60" customHeight="1">
      <x:c r="A825" s="9" t="str">
        <x:v>WxZAoWq3oSM</x:v>
      </x:c>
      <x:c r="B825" s="10" t="str">
        <x:v>כאן מקשיבים: המשפחה שלי חטופה בעזה</x:v>
      </x:c>
      <x:c r="C825" s="10" t="str">
        <x:v>Личные истории</x:v>
      </x:c>
      <x:c r="D825" s="9" t="str">
        <x:v>Общество</x:v>
      </x:c>
      <x:c r="E825" s="10" t="str">
        <x:v>Общество; психология; эмпатия</x:v>
      </x:c>
      <x:c r="F825" s="10" t="str">
        <x:v>B1–B2 (гипотеза)</x:v>
      </x:c>
      <x:c r="G825" s="12" t="n">
        <x:v>11.6</x:v>
      </x:c>
      <x:c r="H825" s="14" t="n">
        <x:v>25000</x:v>
      </x:c>
      <x:c r="I825" s="15" t="str">
        <x:v>Округлённый счётчик в списке YouTube</x:v>
      </x:c>
      <x:c r="J825" s="14" t="n">
        <x:v>25000</x:v>
      </x:c>
      <x:c r="K825" s="14" t="n">
        <x:v>46000</x:v>
      </x:c>
      <x:c r="L825" s="12" t="n">
        <x:f>IF(COUNT(J825:K825)=2,IF(K825=0,"",J825/K825),"")</x:f>
        <x:v>0.5434782608695652</x:v>
      </x:c>
      <x:c r="M825" s="10" t="str">
        <x:v>Тема: כאן מקשיבים: המשפחה שלי חטופה בעזה. Личный монолог позволяет сосредоточиться на одном голосе и эмоциональной лексике.</x:v>
      </x:c>
      <x:c r="N825" s="10" t="str">
        <x:v>Выделить прошлое время и фразы чувств; пересказать с сохранением позиции рассказчика.</x:v>
      </x:c>
      <x:c r="O825" s="10" t="str">
        <x:v>В заголовке есть чувствительная тема: предварительный просмотр и добровольный выбор. Травма, утрата и здоровье возможны; проверить выпуск</x:v>
      </x:c>
      <x:c r="P825" s="10" t="str">
        <x:v>Самостоятельное видео</x:v>
      </x:c>
      <x:c r="Q825" s="9" t="str">
        <x:v>Нет</x:v>
      </x:c>
      <x:c r="R825" s="9" t="str">
        <x:v>C046</x:v>
      </x:c>
      <x:c r="S825" s="9" t="str">
        <x:v>C046</x:v>
      </x:c>
      <x:c r="T825" s="10" t="str">
        <x:v>כאן | דיגיטל - תאגיד השידור הישראלי</x:v>
      </x:c>
      <x:c r="U825" s="11" t="str">
        <x:v>https://www.youtube.com/watch?v=WxZAoWq3oSM</x:v>
      </x:c>
      <x:c r="V825" s="16" t="n">
        <x:v>46308</x:v>
      </x:c>
      <x:c r="W825" s="16"/>
      <x:c r="X825" s="10" t="str">
        <x:v>Иврит предполагается по заголовку и источнику</x:v>
      </x:c>
      <x:c r="Y825" s="10" t="str">
        <x:v>Не проверено</x:v>
      </x:c>
      <x:c r="Z825" s="10" t="str">
        <x:v>Не проверено</x:v>
      </x:c>
      <x:c r="AA825" s="10" t="str">
        <x:v>Метаданные списка; видео не просмотрено</x:v>
      </x:c>
      <x:c r="AB825" s="13" t="str">
        <x:f>IF(AND(ISNUMBER(H825),ISNUMBER(W825)),H825/MAX(1,'Обзор'!$B$4-W825),"")</x:f>
      </x:c>
      <x:c r="AC825" s="17" t="str">
        <x:v>Не решено</x:v>
      </x:c>
      <x:c r="AD825" s="17" t="str">
        <x:v>Не проверено</x:v>
      </x:c>
      <x:c r="AE825" s="17" t="str">
        <x:v>Не проверено</x:v>
      </x:c>
      <x:c r="AF825" s="17" t="str">
        <x:v>Не проверено</x:v>
      </x:c>
      <x:c r="AG825" s="17" t="str">
        <x:v>Не решено</x:v>
      </x:c>
      <x:c r="AH825" s="17" t="str">
        <x:v>Не проверено</x:v>
      </x:c>
      <x:c r="AI825" s="10" t="str">
        <x:f>IF(AC825="Отклонить","Отклонено",IF(AND(AC825="Взять",COUNTIFS(AD825:AH825,"Да")=5),"Готово","Нужна редактура"))</x:f>
        <x:v>Нужна редактура</x:v>
      </x:c>
      <x:c r="AJ825" s="17" t="str"/>
      <x:c r="AK825" s="9" t="str">
        <x:v>https://www.youtube.com/playlist?list=PLXv9BeKApRvwwoU0XglgsitrJW7JfOYpX</x:v>
      </x:c>
      <x:c r="AL825" s="9" t="n">
        <x:v>34</x:v>
      </x:c>
      <x:c r="AM825" s="9"/>
      <x:c r="AN825" s="9"/>
    </x:row>
    <x:row r="826" ht="60" customHeight="1">
      <x:c r="A826" s="9" t="str">
        <x:v>KA8X0mOH5fE</x:v>
      </x:c>
      <x:c r="B826" s="10" t="str">
        <x:v>כאן מקשיבים: ניצלתי פעמיים בשבת השחורה</x:v>
      </x:c>
      <x:c r="C826" s="10" t="str">
        <x:v>Личные истории</x:v>
      </x:c>
      <x:c r="D826" s="9" t="str">
        <x:v>Общество</x:v>
      </x:c>
      <x:c r="E826" s="10" t="str">
        <x:v>Общество; психология; эмпатия</x:v>
      </x:c>
      <x:c r="F826" s="10" t="str">
        <x:v>B1–B2 (гипотеза)</x:v>
      </x:c>
      <x:c r="G826" s="12" t="n">
        <x:v>12.8</x:v>
      </x:c>
      <x:c r="H826" s="14" t="n">
        <x:v>184301</x:v>
      </x:c>
      <x:c r="I826" s="15" t="str">
        <x:v>Точный счётчик метаданных видео</x:v>
      </x:c>
      <x:c r="J826" s="14" t="n">
        <x:v>184000</x:v>
      </x:c>
      <x:c r="K826" s="14" t="n">
        <x:v>46000</x:v>
      </x:c>
      <x:c r="L826" s="12" t="n">
        <x:f>IF(COUNT(J826:K826)=2,IF(K826=0,"",J826/K826),"")</x:f>
        <x:v>4</x:v>
      </x:c>
      <x:c r="M826" s="10" t="str">
        <x:v>Тема: כאן מקשיבים: ניצלתי פעמיים בשבת השחורה. Просмотры в списке выше медианы выборки этого цикла в 4.0 раза. Личный монолог позволяет сосредоточиться на одном голосе и эмоциональной лексике.</x:v>
      </x:c>
      <x:c r="N826" s="10" t="str">
        <x:v>Выделить прошлое время и фразы чувств; пересказать с сохранением позиции рассказчика.</x:v>
      </x:c>
      <x:c r="O826" s="10" t="str">
        <x:v>Травма, утрата и здоровье возможны; проверить выпуск</x:v>
      </x:c>
      <x:c r="P826" s="10" t="str">
        <x:v>Самостоятельное видео</x:v>
      </x:c>
      <x:c r="Q826" s="9" t="str">
        <x:v>Нет</x:v>
      </x:c>
      <x:c r="R826" s="9" t="str">
        <x:v>C046</x:v>
      </x:c>
      <x:c r="S826" s="9" t="str">
        <x:v>C046</x:v>
      </x:c>
      <x:c r="T826" s="10" t="str">
        <x:v>כאן | דיגיטל - תאגיד השידור הישראלי</x:v>
      </x:c>
      <x:c r="U826" s="11" t="str">
        <x:v>https://www.youtube.com/watch?v=KA8X0mOH5fE</x:v>
      </x:c>
      <x:c r="V826" s="16" t="n">
        <x:v>46308</x:v>
      </x:c>
      <x:c r="W826" s="16" t="n">
        <x:v>45242</x:v>
      </x:c>
      <x:c r="X826" s="10" t="str">
        <x:v>Иврит предполагается по заголовку и источнику</x:v>
      </x:c>
      <x:c r="Y826" s="10" t="str">
        <x:v>Автоматическая дорожка HE по метаданным</x:v>
      </x:c>
      <x:c r="Z826" s="10" t="str">
        <x:v>Разрешено по метаданным</x:v>
      </x:c>
      <x:c r="AA826" s="10" t="str">
        <x:v>Метаданные видео; воспроизведение и содержание не проверены</x:v>
      </x:c>
      <x:c r="AB826" s="13" t="n">
        <x:f>IF(AND(ISNUMBER(H826),ISNUMBER(W826)),H826/MAX(1,'Обзор'!$B$4-W826),"")</x:f>
        <x:v>172.890243902439</x:v>
      </x:c>
      <x:c r="AC826" s="17" t="str">
        <x:v>Не решено</x:v>
      </x:c>
      <x:c r="AD826" s="17" t="str">
        <x:v>Не проверено</x:v>
      </x:c>
      <x:c r="AE826" s="17" t="str">
        <x:v>Не проверено</x:v>
      </x:c>
      <x:c r="AF826" s="17" t="str">
        <x:v>Не проверено</x:v>
      </x:c>
      <x:c r="AG826" s="17" t="str">
        <x:v>Не решено</x:v>
      </x:c>
      <x:c r="AH826" s="17" t="str">
        <x:v>Не проверено</x:v>
      </x:c>
      <x:c r="AI826" s="10" t="str">
        <x:f>IF(AC826="Отклонить","Отклонено",IF(AND(AC826="Взять",COUNTIFS(AD826:AH826,"Да")=5),"Готово","Нужна редактура"))</x:f>
        <x:v>Нужна редактура</x:v>
      </x:c>
      <x:c r="AJ826" s="17" t="str"/>
      <x:c r="AK826" s="9" t="str">
        <x:v>https://www.youtube.com/playlist?list=PLXv9BeKApRvwwoU0XglgsitrJW7JfOYpX</x:v>
      </x:c>
      <x:c r="AL826" s="9" t="n">
        <x:v>35</x:v>
      </x:c>
      <x:c r="AM826" s="9"/>
      <x:c r="AN826" s="9" t="n">
        <x:v>0</x:v>
      </x:c>
    </x:row>
    <x:row r="827" ht="60" customHeight="1">
      <x:c r="A827" s="9" t="str">
        <x:v>-pIQgeKJ1Uk</x:v>
      </x:c>
      <x:c r="B827" s="10" t="str">
        <x:v>כאן מקשיבים | אריק חזר מהשבי הסורי והפך לפסיכולוג קליני שמקדיש את חייו להלומי קרב</x:v>
      </x:c>
      <x:c r="C827" s="10" t="str">
        <x:v>Личные истории</x:v>
      </x:c>
      <x:c r="D827" s="9" t="str">
        <x:v>Общество</x:v>
      </x:c>
      <x:c r="E827" s="10" t="str">
        <x:v>Общество; психология; эмпатия</x:v>
      </x:c>
      <x:c r="F827" s="10" t="str">
        <x:v>B1–B2 (гипотеза)</x:v>
      </x:c>
      <x:c r="G827" s="12" t="n">
        <x:v>14.8</x:v>
      </x:c>
      <x:c r="H827" s="14" t="n">
        <x:v>36000</x:v>
      </x:c>
      <x:c r="I827" s="15" t="str">
        <x:v>Округлённый счётчик в списке YouTube</x:v>
      </x:c>
      <x:c r="J827" s="14" t="n">
        <x:v>36000</x:v>
      </x:c>
      <x:c r="K827" s="14" t="n">
        <x:v>46000</x:v>
      </x:c>
      <x:c r="L827" s="12" t="n">
        <x:f>IF(COUNT(J827:K827)=2,IF(K827=0,"",J827/K827),"")</x:f>
        <x:v>0.782608695652174</x:v>
      </x:c>
      <x:c r="M827" s="10" t="str">
        <x:v>Тема: כאן מקשיבים | אריק חזר מהשבי הסורי והפך לפסיכולוג קליני שמקדיש את חייו להלומי קרב. Личный монолог позволяет сосредоточиться на одном голосе и эмоциональной лексике.</x:v>
      </x:c>
      <x:c r="N827" s="10" t="str">
        <x:v>Выделить прошлое время и фразы чувств; пересказать с сохранением позиции рассказчика.</x:v>
      </x:c>
      <x:c r="O827" s="10" t="str">
        <x:v>Травма, утрата и здоровье возможны; проверить выпуск</x:v>
      </x:c>
      <x:c r="P827" s="10" t="str">
        <x:v>Самостоятельное видео</x:v>
      </x:c>
      <x:c r="Q827" s="9" t="str">
        <x:v>Нет</x:v>
      </x:c>
      <x:c r="R827" s="9" t="str">
        <x:v>C046</x:v>
      </x:c>
      <x:c r="S827" s="9" t="str">
        <x:v>C046</x:v>
      </x:c>
      <x:c r="T827" s="10" t="str">
        <x:v>כאן | דיגיטל - תאגיד השידור הישראלי</x:v>
      </x:c>
      <x:c r="U827" s="11" t="str">
        <x:v>https://www.youtube.com/watch?v=-pIQgeKJ1Uk</x:v>
      </x:c>
      <x:c r="V827" s="16" t="n">
        <x:v>46308</x:v>
      </x:c>
      <x:c r="W827" s="16"/>
      <x:c r="X827" s="10" t="str">
        <x:v>Иврит предполагается по заголовку и источнику</x:v>
      </x:c>
      <x:c r="Y827" s="10" t="str">
        <x:v>Не проверено</x:v>
      </x:c>
      <x:c r="Z827" s="10" t="str">
        <x:v>Не проверено</x:v>
      </x:c>
      <x:c r="AA827" s="10" t="str">
        <x:v>Метаданные списка; видео не просмотрено</x:v>
      </x:c>
      <x:c r="AB827" s="13" t="str">
        <x:f>IF(AND(ISNUMBER(H827),ISNUMBER(W827)),H827/MAX(1,'Обзор'!$B$4-W827),"")</x:f>
      </x:c>
      <x:c r="AC827" s="17" t="str">
        <x:v>Не решено</x:v>
      </x:c>
      <x:c r="AD827" s="17" t="str">
        <x:v>Не проверено</x:v>
      </x:c>
      <x:c r="AE827" s="17" t="str">
        <x:v>Не проверено</x:v>
      </x:c>
      <x:c r="AF827" s="17" t="str">
        <x:v>Не проверено</x:v>
      </x:c>
      <x:c r="AG827" s="17" t="str">
        <x:v>Не решено</x:v>
      </x:c>
      <x:c r="AH827" s="17" t="str">
        <x:v>Не проверено</x:v>
      </x:c>
      <x:c r="AI827" s="10" t="str">
        <x:f>IF(AC827="Отклонить","Отклонено",IF(AND(AC827="Взять",COUNTIFS(AD827:AH827,"Да")=5),"Готово","Нужна редактура"))</x:f>
        <x:v>Нужна редактура</x:v>
      </x:c>
      <x:c r="AJ827" s="17" t="str"/>
      <x:c r="AK827" s="9" t="str">
        <x:v>https://www.youtube.com/playlist?list=PLXv9BeKApRvwwoU0XglgsitrJW7JfOYpX</x:v>
      </x:c>
      <x:c r="AL827" s="9" t="n">
        <x:v>36</x:v>
      </x:c>
      <x:c r="AM827" s="9"/>
      <x:c r="AN827" s="9"/>
    </x:row>
    <x:row r="828" ht="60" customHeight="1">
      <x:c r="A828" s="9" t="str">
        <x:v>bsli78okTww</x:v>
      </x:c>
      <x:c r="B828" s="10" t="str">
        <x:v>"כל הלשכה קרסה עליי, הייתי מלאה בדם" | מונולוגים מהחזית: החיילות של מלחמת יום הכיפורים</x:v>
      </x:c>
      <x:c r="C828" s="10" t="str">
        <x:v>Личные истории</x:v>
      </x:c>
      <x:c r="D828" s="9" t="str">
        <x:v>Общество</x:v>
      </x:c>
      <x:c r="E828" s="10" t="str">
        <x:v>Общество; психология; эмпатия</x:v>
      </x:c>
      <x:c r="F828" s="10" t="str">
        <x:v>B1–B2 (гипотеза)</x:v>
      </x:c>
      <x:c r="G828" s="12" t="n">
        <x:v>23</x:v>
      </x:c>
      <x:c r="H828" s="14" t="n">
        <x:v>19000</x:v>
      </x:c>
      <x:c r="I828" s="15" t="str">
        <x:v>Округлённый счётчик в списке YouTube</x:v>
      </x:c>
      <x:c r="J828" s="14" t="n">
        <x:v>19000</x:v>
      </x:c>
      <x:c r="K828" s="14" t="n">
        <x:v>46000</x:v>
      </x:c>
      <x:c r="L828" s="12" t="n">
        <x:f>IF(COUNT(J828:K828)=2,IF(K828=0,"",J828/K828),"")</x:f>
        <x:v>0.41304347826086957</x:v>
      </x:c>
      <x:c r="M828" s="10" t="str">
        <x:v>Тема: "כל הלשכה קרסה עליי, הייתי מלאה בדם" | מונולוגים מהחזית: החיילות של מלחמת יום הכיפורים. Просмотры ниже медианы цикла; выбирать за нишевую ценность, а не за массовый охват. Личный монолог позволяет сосредоточиться на одном голосе и эмоциональной лексике.</x:v>
      </x:c>
      <x:c r="N828" s="10" t="str">
        <x:v>Выделить прошлое время и фразы чувств; пересказать с сохранением позиции рассказчика.</x:v>
      </x:c>
      <x:c r="O828" s="10" t="str">
        <x:v>Травма, утрата и здоровье возможны; проверить выпуск</x:v>
      </x:c>
      <x:c r="P828" s="10" t="str">
        <x:v>Самостоятельное видео</x:v>
      </x:c>
      <x:c r="Q828" s="9" t="str">
        <x:v>Нет</x:v>
      </x:c>
      <x:c r="R828" s="9" t="str">
        <x:v>C046</x:v>
      </x:c>
      <x:c r="S828" s="9" t="str">
        <x:v>C046</x:v>
      </x:c>
      <x:c r="T828" s="10" t="str">
        <x:v>כאן | דיגיטל - תאגיד השידור הישראלי</x:v>
      </x:c>
      <x:c r="U828" s="11" t="str">
        <x:v>https://www.youtube.com/watch?v=bsli78okTww</x:v>
      </x:c>
      <x:c r="V828" s="16" t="n">
        <x:v>46308</x:v>
      </x:c>
      <x:c r="W828" s="16"/>
      <x:c r="X828" s="10" t="str">
        <x:v>Иврит предполагается по заголовку и источнику</x:v>
      </x:c>
      <x:c r="Y828" s="10" t="str">
        <x:v>Не проверено</x:v>
      </x:c>
      <x:c r="Z828" s="10" t="str">
        <x:v>Не проверено</x:v>
      </x:c>
      <x:c r="AA828" s="10" t="str">
        <x:v>Метаданные списка; видео не просмотрено</x:v>
      </x:c>
      <x:c r="AB828" s="13" t="str">
        <x:f>IF(AND(ISNUMBER(H828),ISNUMBER(W828)),H828/MAX(1,'Обзор'!$B$4-W828),"")</x:f>
      </x:c>
      <x:c r="AC828" s="17" t="str">
        <x:v>Не решено</x:v>
      </x:c>
      <x:c r="AD828" s="17" t="str">
        <x:v>Не проверено</x:v>
      </x:c>
      <x:c r="AE828" s="17" t="str">
        <x:v>Не проверено</x:v>
      </x:c>
      <x:c r="AF828" s="17" t="str">
        <x:v>Не проверено</x:v>
      </x:c>
      <x:c r="AG828" s="17" t="str">
        <x:v>Не решено</x:v>
      </x:c>
      <x:c r="AH828" s="17" t="str">
        <x:v>Не проверено</x:v>
      </x:c>
      <x:c r="AI828" s="10" t="str">
        <x:f>IF(AC828="Отклонить","Отклонено",IF(AND(AC828="Взять",COUNTIFS(AD828:AH828,"Да")=5),"Готово","Нужна редактура"))</x:f>
        <x:v>Нужна редактура</x:v>
      </x:c>
      <x:c r="AJ828" s="17" t="str"/>
      <x:c r="AK828" s="9" t="str">
        <x:v>https://www.youtube.com/playlist?list=PLXv9BeKApRvwwoU0XglgsitrJW7JfOYpX</x:v>
      </x:c>
      <x:c r="AL828" s="9" t="n">
        <x:v>37</x:v>
      </x:c>
      <x:c r="AM828" s="9"/>
      <x:c r="AN828" s="9"/>
    </x:row>
    <x:row r="829" ht="60" customHeight="1">
      <x:c r="A829" s="9" t="str">
        <x:v>sKkU2anSRe4</x:v>
      </x:c>
      <x:c r="B829" s="10" t="str">
        <x:v>כאן מקשיבים: התחשמלתי</x:v>
      </x:c>
      <x:c r="C829" s="10" t="str">
        <x:v>Личные истории</x:v>
      </x:c>
      <x:c r="D829" s="9" t="str">
        <x:v>Общество</x:v>
      </x:c>
      <x:c r="E829" s="10" t="str">
        <x:v>Общество; психология; эмпатия</x:v>
      </x:c>
      <x:c r="F829" s="10" t="str">
        <x:v>B1–B2 (гипотеза)</x:v>
      </x:c>
      <x:c r="G829" s="12" t="n">
        <x:v>11.7</x:v>
      </x:c>
      <x:c r="H829" s="14" t="n">
        <x:v>61330</x:v>
      </x:c>
      <x:c r="I829" s="15" t="str">
        <x:v>Точный счётчик метаданных видео</x:v>
      </x:c>
      <x:c r="J829" s="14" t="n">
        <x:v>61000</x:v>
      </x:c>
      <x:c r="K829" s="14" t="n">
        <x:v>46000</x:v>
      </x:c>
      <x:c r="L829" s="12" t="n">
        <x:f>IF(COUNT(J829:K829)=2,IF(K829=0,"",J829/K829),"")</x:f>
        <x:v>1.326086956521739</x:v>
      </x:c>
      <x:c r="M829" s="10" t="str">
        <x:v>Тема: כאן מקשיבים: התחשמלתי. Личный монолог позволяет сосредоточиться на одном голосе и эмоциональной лексике.</x:v>
      </x:c>
      <x:c r="N829" s="10" t="str">
        <x:v>Выделить прошлое время и фразы чувств; пересказать с сохранением позиции рассказчика.</x:v>
      </x:c>
      <x:c r="O829" s="10" t="str">
        <x:v>Травма, утрата и здоровье возможны; проверить выпуск</x:v>
      </x:c>
      <x:c r="P829" s="10" t="str">
        <x:v>Самостоятельное видео</x:v>
      </x:c>
      <x:c r="Q829" s="9" t="str">
        <x:v>Нет</x:v>
      </x:c>
      <x:c r="R829" s="9" t="str">
        <x:v>C046</x:v>
      </x:c>
      <x:c r="S829" s="9" t="str">
        <x:v>C046</x:v>
      </x:c>
      <x:c r="T829" s="10" t="str">
        <x:v>כאן | דיגיטל - תאגיד השידור הישראלי</x:v>
      </x:c>
      <x:c r="U829" s="11" t="str">
        <x:v>https://www.youtube.com/watch?v=sKkU2anSRe4</x:v>
      </x:c>
      <x:c r="V829" s="16" t="n">
        <x:v>46308</x:v>
      </x:c>
      <x:c r="W829" s="16" t="n">
        <x:v>45175</x:v>
      </x:c>
      <x:c r="X829" s="10" t="str">
        <x:v>Иврит предполагается по заголовку и источнику</x:v>
      </x:c>
      <x:c r="Y829" s="10" t="str">
        <x:v>Автоматическая дорожка HE по метаданным</x:v>
      </x:c>
      <x:c r="Z829" s="10" t="str">
        <x:v>Разрешено по метаданным</x:v>
      </x:c>
      <x:c r="AA829" s="10" t="str">
        <x:v>Метаданные видео; воспроизведение и содержание не проверены</x:v>
      </x:c>
      <x:c r="AB829" s="13" t="n">
        <x:f>IF(AND(ISNUMBER(H829),ISNUMBER(W829)),H829/MAX(1,'Обзор'!$B$4-W829),"")</x:f>
        <x:v>54.1306266548985</x:v>
      </x:c>
      <x:c r="AC829" s="17" t="str">
        <x:v>Не решено</x:v>
      </x:c>
      <x:c r="AD829" s="17" t="str">
        <x:v>Не проверено</x:v>
      </x:c>
      <x:c r="AE829" s="17" t="str">
        <x:v>Не проверено</x:v>
      </x:c>
      <x:c r="AF829" s="17" t="str">
        <x:v>Не проверено</x:v>
      </x:c>
      <x:c r="AG829" s="17" t="str">
        <x:v>Не решено</x:v>
      </x:c>
      <x:c r="AH829" s="17" t="str">
        <x:v>Не проверено</x:v>
      </x:c>
      <x:c r="AI829" s="10" t="str">
        <x:f>IF(AC829="Отклонить","Отклонено",IF(AND(AC829="Взять",COUNTIFS(AD829:AH829,"Да")=5),"Готово","Нужна редактура"))</x:f>
        <x:v>Нужна редактура</x:v>
      </x:c>
      <x:c r="AJ829" s="17" t="str"/>
      <x:c r="AK829" s="9" t="str">
        <x:v>https://www.youtube.com/playlist?list=PLXv9BeKApRvwwoU0XglgsitrJW7JfOYpX</x:v>
      </x:c>
      <x:c r="AL829" s="9" t="n">
        <x:v>38</x:v>
      </x:c>
      <x:c r="AM829" s="9"/>
      <x:c r="AN829" s="9" t="n">
        <x:v>0</x:v>
      </x:c>
    </x:row>
    <x:row r="830" ht="60" customHeight="1">
      <x:c r="A830" s="9" t="str">
        <x:v>PsT2ANBnW40</x:v>
      </x:c>
      <x:c r="B830" s="10" t="str">
        <x:v>״הרב שלא גייר אותי פספס אחלה יהודייה״ | כאן מקשיבים: היו לי חיים כפולים</x:v>
      </x:c>
      <x:c r="C830" s="10" t="str">
        <x:v>Личные истории</x:v>
      </x:c>
      <x:c r="D830" s="9" t="str">
        <x:v>Общество</x:v>
      </x:c>
      <x:c r="E830" s="10" t="str">
        <x:v>Общество; психология; эмпатия</x:v>
      </x:c>
      <x:c r="F830" s="10" t="str">
        <x:v>B1–B2 (гипотеза)</x:v>
      </x:c>
      <x:c r="G830" s="12" t="n">
        <x:v>13.9</x:v>
      </x:c>
      <x:c r="H830" s="14" t="n">
        <x:v>70922</x:v>
      </x:c>
      <x:c r="I830" s="15" t="str">
        <x:v>Точный счётчик метаданных видео</x:v>
      </x:c>
      <x:c r="J830" s="14" t="n">
        <x:v>70000</x:v>
      </x:c>
      <x:c r="K830" s="14" t="n">
        <x:v>46000</x:v>
      </x:c>
      <x:c r="L830" s="12" t="n">
        <x:f>IF(COUNT(J830:K830)=2,IF(K830=0,"",J830/K830),"")</x:f>
        <x:v>1.5217391304347827</x:v>
      </x:c>
      <x:c r="M830" s="10" t="str">
        <x:v>Тема: ״הרב שלא גייר אותי פספס אחלה יהודייה״ | כאן מקשיבים: היו לי חיים כפולים. Просмотры в списке выше медианы выборки этого цикла в 1.52 раза. Личный монолог позволяет сосредоточиться на одном голосе и эмоциональной лексике.</x:v>
      </x:c>
      <x:c r="N830" s="10" t="str">
        <x:v>Выделить прошлое время и фразы чувств; пересказать с сохранением позиции рассказчика.</x:v>
      </x:c>
      <x:c r="O830" s="10" t="str">
        <x:v>Травма, утрата и здоровье возможны; проверить выпуск</x:v>
      </x:c>
      <x:c r="P830" s="10" t="str">
        <x:v>Самостоятельное видео</x:v>
      </x:c>
      <x:c r="Q830" s="9" t="str">
        <x:v>Нет</x:v>
      </x:c>
      <x:c r="R830" s="9" t="str">
        <x:v>C046</x:v>
      </x:c>
      <x:c r="S830" s="9" t="str">
        <x:v>C046</x:v>
      </x:c>
      <x:c r="T830" s="10" t="str">
        <x:v>כאן | דיגיטל - תאגיד השידור הישראלי</x:v>
      </x:c>
      <x:c r="U830" s="11" t="str">
        <x:v>https://www.youtube.com/watch?v=PsT2ANBnW40</x:v>
      </x:c>
      <x:c r="V830" s="16" t="n">
        <x:v>46308</x:v>
      </x:c>
      <x:c r="W830" s="16" t="n">
        <x:v>45168</x:v>
      </x:c>
      <x:c r="X830" s="10" t="str">
        <x:v>Иврит предполагается по заголовку и источнику</x:v>
      </x:c>
      <x:c r="Y830" s="10" t="str">
        <x:v>Автоматическая дорожка HE по метаданным</x:v>
      </x:c>
      <x:c r="Z830" s="10" t="str">
        <x:v>Разрешено по метаданным</x:v>
      </x:c>
      <x:c r="AA830" s="10" t="str">
        <x:v>Метаданные видео; воспроизведение и содержание не проверены</x:v>
      </x:c>
      <x:c r="AB830" s="13" t="n">
        <x:f>IF(AND(ISNUMBER(H830),ISNUMBER(W830)),H830/MAX(1,'Обзор'!$B$4-W830),"")</x:f>
        <x:v>62.21228070175439</x:v>
      </x:c>
      <x:c r="AC830" s="17" t="str">
        <x:v>Не решено</x:v>
      </x:c>
      <x:c r="AD830" s="17" t="str">
        <x:v>Не проверено</x:v>
      </x:c>
      <x:c r="AE830" s="17" t="str">
        <x:v>Не проверено</x:v>
      </x:c>
      <x:c r="AF830" s="17" t="str">
        <x:v>Не проверено</x:v>
      </x:c>
      <x:c r="AG830" s="17" t="str">
        <x:v>Не решено</x:v>
      </x:c>
      <x:c r="AH830" s="17" t="str">
        <x:v>Не проверено</x:v>
      </x:c>
      <x:c r="AI830" s="10" t="str">
        <x:f>IF(AC830="Отклонить","Отклонено",IF(AND(AC830="Взять",COUNTIFS(AD830:AH830,"Да")=5),"Готово","Нужна редактура"))</x:f>
        <x:v>Нужна редактура</x:v>
      </x:c>
      <x:c r="AJ830" s="17" t="str"/>
      <x:c r="AK830" s="9" t="str">
        <x:v>https://www.youtube.com/playlist?list=PLXv9BeKApRvwwoU0XglgsitrJW7JfOYpX</x:v>
      </x:c>
      <x:c r="AL830" s="9" t="n">
        <x:v>39</x:v>
      </x:c>
      <x:c r="AM830" s="9"/>
      <x:c r="AN830" s="9" t="n">
        <x:v>0</x:v>
      </x:c>
    </x:row>
    <x:row r="831" ht="60" customHeight="1">
      <x:c r="A831" s="9" t="str">
        <x:v>zUC6NT0nAyY</x:v>
      </x:c>
      <x:c r="B831" s="10" t="str">
        <x:v>כאן מקשיבים: גם אני איבדתי ילד</x:v>
      </x:c>
      <x:c r="C831" s="10" t="str">
        <x:v>Личные истории</x:v>
      </x:c>
      <x:c r="D831" s="9" t="str">
        <x:v>Общество</x:v>
      </x:c>
      <x:c r="E831" s="10" t="str">
        <x:v>Общество; психология; эмпатия</x:v>
      </x:c>
      <x:c r="F831" s="10" t="str">
        <x:v>B1–B2 (гипотеза)</x:v>
      </x:c>
      <x:c r="G831" s="12" t="n">
        <x:v>14.7</x:v>
      </x:c>
      <x:c r="H831" s="14" t="n">
        <x:v>47375</x:v>
      </x:c>
      <x:c r="I831" s="15" t="str">
        <x:v>Точный счётчик метаданных видео</x:v>
      </x:c>
      <x:c r="J831" s="14" t="n">
        <x:v>47000</x:v>
      </x:c>
      <x:c r="K831" s="14" t="n">
        <x:v>46000</x:v>
      </x:c>
      <x:c r="L831" s="12" t="n">
        <x:f>IF(COUNT(J831:K831)=2,IF(K831=0,"",J831/K831),"")</x:f>
        <x:v>1.0217391304347827</x:v>
      </x:c>
      <x:c r="M831" s="10" t="str">
        <x:v>Тема: כאן מקשיבים: גם אני איבדתי ילד. Личный монолог позволяет сосредоточиться на одном голосе и эмоциональной лексике.</x:v>
      </x:c>
      <x:c r="N831" s="10" t="str">
        <x:v>Выделить прошлое время и фразы чувств; пересказать с сохранением позиции рассказчика.</x:v>
      </x:c>
      <x:c r="O831" s="10" t="str">
        <x:v>Травма, утрата и здоровье возможны; проверить выпуск</x:v>
      </x:c>
      <x:c r="P831" s="10" t="str">
        <x:v>Самостоятельное видео</x:v>
      </x:c>
      <x:c r="Q831" s="9" t="str">
        <x:v>Нет</x:v>
      </x:c>
      <x:c r="R831" s="9" t="str">
        <x:v>C046</x:v>
      </x:c>
      <x:c r="S831" s="9" t="str">
        <x:v>C046</x:v>
      </x:c>
      <x:c r="T831" s="10" t="str">
        <x:v>כאן | דיגיטל - תאגיד השידור הישראלי</x:v>
      </x:c>
      <x:c r="U831" s="11" t="str">
        <x:v>https://www.youtube.com/watch?v=zUC6NT0nAyY</x:v>
      </x:c>
      <x:c r="V831" s="16" t="n">
        <x:v>46308</x:v>
      </x:c>
      <x:c r="W831" s="16" t="n">
        <x:v>45161</x:v>
      </x:c>
      <x:c r="X831" s="10" t="str">
        <x:v>Иврит предполагается по заголовку и источнику</x:v>
      </x:c>
      <x:c r="Y831" s="10" t="str">
        <x:v>Автоматическая дорожка HE по метаданным</x:v>
      </x:c>
      <x:c r="Z831" s="10" t="str">
        <x:v>Разрешено по метаданным</x:v>
      </x:c>
      <x:c r="AA831" s="10" t="str">
        <x:v>Метаданные видео; воспроизведение и содержание не проверены</x:v>
      </x:c>
      <x:c r="AB831" s="13" t="n">
        <x:f>IF(AND(ISNUMBER(H831),ISNUMBER(W831)),H831/MAX(1,'Обзор'!$B$4-W831),"")</x:f>
        <x:v>41.303400174367916</x:v>
      </x:c>
      <x:c r="AC831" s="17" t="str">
        <x:v>Не решено</x:v>
      </x:c>
      <x:c r="AD831" s="17" t="str">
        <x:v>Не проверено</x:v>
      </x:c>
      <x:c r="AE831" s="17" t="str">
        <x:v>Не проверено</x:v>
      </x:c>
      <x:c r="AF831" s="17" t="str">
        <x:v>Не проверено</x:v>
      </x:c>
      <x:c r="AG831" s="17" t="str">
        <x:v>Не решено</x:v>
      </x:c>
      <x:c r="AH831" s="17" t="str">
        <x:v>Не проверено</x:v>
      </x:c>
      <x:c r="AI831" s="10" t="str">
        <x:f>IF(AC831="Отклонить","Отклонено",IF(AND(AC831="Взять",COUNTIFS(AD831:AH831,"Да")=5),"Готово","Нужна редактура"))</x:f>
        <x:v>Нужна редактура</x:v>
      </x:c>
      <x:c r="AJ831" s="17" t="str"/>
      <x:c r="AK831" s="9" t="str">
        <x:v>https://www.youtube.com/playlist?list=PLXv9BeKApRvwwoU0XglgsitrJW7JfOYpX</x:v>
      </x:c>
      <x:c r="AL831" s="9" t="n">
        <x:v>40</x:v>
      </x:c>
      <x:c r="AM831" s="9"/>
      <x:c r="AN831" s="9" t="n">
        <x:v>0</x:v>
      </x:c>
    </x:row>
    <x:row r="832" ht="60" customHeight="1">
      <x:c r="A832" s="9" t="str">
        <x:v>sv7QyD_56CY</x:v>
      </x:c>
      <x:c r="B832" s="10" t="str">
        <x:v>כאן מקשיבים: נעצרתי במצרים באשמת ריגול</x:v>
      </x:c>
      <x:c r="C832" s="10" t="str">
        <x:v>Личные истории</x:v>
      </x:c>
      <x:c r="D832" s="9" t="str">
        <x:v>Общество</x:v>
      </x:c>
      <x:c r="E832" s="10" t="str">
        <x:v>Общество; психология; эмпатия</x:v>
      </x:c>
      <x:c r="F832" s="10" t="str">
        <x:v>B1–B2 (гипотеза)</x:v>
      </x:c>
      <x:c r="G832" s="12" t="n">
        <x:v>12.7</x:v>
      </x:c>
      <x:c r="H832" s="14" t="n">
        <x:v>68446</x:v>
      </x:c>
      <x:c r="I832" s="15" t="str">
        <x:v>Точный счётчик метаданных видео</x:v>
      </x:c>
      <x:c r="J832" s="14" t="n">
        <x:v>68000</x:v>
      </x:c>
      <x:c r="K832" s="14" t="n">
        <x:v>46000</x:v>
      </x:c>
      <x:c r="L832" s="12" t="n">
        <x:f>IF(COUNT(J832:K832)=2,IF(K832=0,"",J832/K832),"")</x:f>
        <x:v>1.4782608695652173</x:v>
      </x:c>
      <x:c r="M832" s="10" t="str">
        <x:v>Тема: כאן מקשיבים: נעצרתי במצרים באשמת ריגול. Личный монолог позволяет сосредоточиться на одном голосе и эмоциональной лексике.</x:v>
      </x:c>
      <x:c r="N832" s="10" t="str">
        <x:v>Выделить прошлое время и фразы чувств; пересказать с сохранением позиции рассказчика.</x:v>
      </x:c>
      <x:c r="O832" s="10" t="str">
        <x:v>Травма, утрата и здоровье возможны; проверить выпуск</x:v>
      </x:c>
      <x:c r="P832" s="10" t="str">
        <x:v>Самостоятельное видео</x:v>
      </x:c>
      <x:c r="Q832" s="9" t="str">
        <x:v>Нет</x:v>
      </x:c>
      <x:c r="R832" s="9" t="str">
        <x:v>C046</x:v>
      </x:c>
      <x:c r="S832" s="9" t="str">
        <x:v>C046</x:v>
      </x:c>
      <x:c r="T832" s="10" t="str">
        <x:v>כאן | דיגיטל - תאגיד השידור הישראלי</x:v>
      </x:c>
      <x:c r="U832" s="11" t="str">
        <x:v>https://www.youtube.com/watch?v=sv7QyD_56CY</x:v>
      </x:c>
      <x:c r="V832" s="16" t="n">
        <x:v>46308</x:v>
      </x:c>
      <x:c r="W832" s="16" t="n">
        <x:v>45154</x:v>
      </x:c>
      <x:c r="X832" s="10" t="str">
        <x:v>Иврит предполагается по заголовку и источнику</x:v>
      </x:c>
      <x:c r="Y832" s="10" t="str">
        <x:v>Автоматическая дорожка HE по метаданным</x:v>
      </x:c>
      <x:c r="Z832" s="10" t="str">
        <x:v>Разрешено по метаданным</x:v>
      </x:c>
      <x:c r="AA832" s="10" t="str">
        <x:v>Метаданные видео; воспроизведение и содержание не проверены</x:v>
      </x:c>
      <x:c r="AB832" s="13" t="n">
        <x:f>IF(AND(ISNUMBER(H832),ISNUMBER(W832)),H832/MAX(1,'Обзор'!$B$4-W832),"")</x:f>
        <x:v>59.31195840554593</x:v>
      </x:c>
      <x:c r="AC832" s="17" t="str">
        <x:v>Не решено</x:v>
      </x:c>
      <x:c r="AD832" s="17" t="str">
        <x:v>Не проверено</x:v>
      </x:c>
      <x:c r="AE832" s="17" t="str">
        <x:v>Не проверено</x:v>
      </x:c>
      <x:c r="AF832" s="17" t="str">
        <x:v>Не проверено</x:v>
      </x:c>
      <x:c r="AG832" s="17" t="str">
        <x:v>Не решено</x:v>
      </x:c>
      <x:c r="AH832" s="17" t="str">
        <x:v>Не проверено</x:v>
      </x:c>
      <x:c r="AI832" s="10" t="str">
        <x:f>IF(AC832="Отклонить","Отклонено",IF(AND(AC832="Взять",COUNTIFS(AD832:AH832,"Да")=5),"Готово","Нужна редактура"))</x:f>
        <x:v>Нужна редактура</x:v>
      </x:c>
      <x:c r="AJ832" s="17" t="str"/>
      <x:c r="AK832" s="9" t="str">
        <x:v>https://www.youtube.com/playlist?list=PLXv9BeKApRvwwoU0XglgsitrJW7JfOYpX</x:v>
      </x:c>
      <x:c r="AL832" s="9" t="n">
        <x:v>41</x:v>
      </x:c>
      <x:c r="AM832" s="9"/>
      <x:c r="AN832" s="9" t="n">
        <x:v>0</x:v>
      </x:c>
    </x:row>
    <x:row r="833" ht="60" customHeight="1">
      <x:c r="A833" s="9" t="str">
        <x:v>Pv3Mk5sOkpU</x:v>
      </x:c>
      <x:c r="B833" s="10" t="str">
        <x:v>"אני בתחילת המסע של האלצהיימר" - דוד מאבד את הזיכרון | כאן מקשיבים</x:v>
      </x:c>
      <x:c r="C833" s="10" t="str">
        <x:v>Личные истории</x:v>
      </x:c>
      <x:c r="D833" s="9" t="str">
        <x:v>Общество</x:v>
      </x:c>
      <x:c r="E833" s="10" t="str">
        <x:v>Общество; психология; эмпатия</x:v>
      </x:c>
      <x:c r="F833" s="10" t="str">
        <x:v>B1–B2 (гипотеза)</x:v>
      </x:c>
      <x:c r="G833" s="12" t="n">
        <x:v>15.3</x:v>
      </x:c>
      <x:c r="H833" s="14" t="n">
        <x:v>86518</x:v>
      </x:c>
      <x:c r="I833" s="15" t="str">
        <x:v>Точный счётчик метаданных видео</x:v>
      </x:c>
      <x:c r="J833" s="14" t="n">
        <x:v>86000</x:v>
      </x:c>
      <x:c r="K833" s="14" t="n">
        <x:v>46000</x:v>
      </x:c>
      <x:c r="L833" s="12" t="n">
        <x:f>IF(COUNT(J833:K833)=2,IF(K833=0,"",J833/K833),"")</x:f>
        <x:v>1.8695652173913044</x:v>
      </x:c>
      <x:c r="M833" s="10" t="str">
        <x:v>Тема: "אני בתחילת המסע של האלצהיימר" - דוד מאבד את הזיכרון | כאן מקשיבים. Просмотры в списке выше медианы выборки этого цикла в 1.87 раза. Личный монолог позволяет сосредоточиться на одном голосе и эмоциональной лексике.</x:v>
      </x:c>
      <x:c r="N833" s="10" t="str">
        <x:v>Выделить прошлое время и фразы чувств; пересказать с сохранением позиции рассказчика.</x:v>
      </x:c>
      <x:c r="O833" s="10" t="str">
        <x:v>Травма, утрата и здоровье возможны; проверить выпуск</x:v>
      </x:c>
      <x:c r="P833" s="10" t="str">
        <x:v>Самостоятельное видео</x:v>
      </x:c>
      <x:c r="Q833" s="9" t="str">
        <x:v>Нет</x:v>
      </x:c>
      <x:c r="R833" s="9" t="str">
        <x:v>C046</x:v>
      </x:c>
      <x:c r="S833" s="9" t="str">
        <x:v>C046</x:v>
      </x:c>
      <x:c r="T833" s="10" t="str">
        <x:v>כאן | דיגיטל - תאגיד השידור הישראלי</x:v>
      </x:c>
      <x:c r="U833" s="11" t="str">
        <x:v>https://www.youtube.com/watch?v=Pv3Mk5sOkpU</x:v>
      </x:c>
      <x:c r="V833" s="16" t="n">
        <x:v>46308</x:v>
      </x:c>
      <x:c r="W833" s="16" t="n">
        <x:v>45147</x:v>
      </x:c>
      <x:c r="X833" s="10" t="str">
        <x:v>Иврит предполагается по заголовку и источнику</x:v>
      </x:c>
      <x:c r="Y833" s="10" t="str">
        <x:v>Дорожка HE не найдена в метаданных; вшитые титры не проверены</x:v>
      </x:c>
      <x:c r="Z833" s="10" t="str">
        <x:v>Разрешено по метаданным</x:v>
      </x:c>
      <x:c r="AA833" s="10" t="str">
        <x:v>Метаданные видео; воспроизведение и содержание не проверены</x:v>
      </x:c>
      <x:c r="AB833" s="13" t="n">
        <x:f>IF(AND(ISNUMBER(H833),ISNUMBER(W833)),H833/MAX(1,'Обзор'!$B$4-W833),"")</x:f>
        <x:v>74.52024117140397</x:v>
      </x:c>
      <x:c r="AC833" s="17" t="str">
        <x:v>Не решено</x:v>
      </x:c>
      <x:c r="AD833" s="17" t="str">
        <x:v>Не проверено</x:v>
      </x:c>
      <x:c r="AE833" s="17" t="str">
        <x:v>Не проверено</x:v>
      </x:c>
      <x:c r="AF833" s="17" t="str">
        <x:v>Не проверено</x:v>
      </x:c>
      <x:c r="AG833" s="17" t="str">
        <x:v>Не решено</x:v>
      </x:c>
      <x:c r="AH833" s="17" t="str">
        <x:v>Не проверено</x:v>
      </x:c>
      <x:c r="AI833" s="10" t="str">
        <x:f>IF(AC833="Отклонить","Отклонено",IF(AND(AC833="Взять",COUNTIFS(AD833:AH833,"Да")=5),"Готово","Нужна редактура"))</x:f>
        <x:v>Нужна редактура</x:v>
      </x:c>
      <x:c r="AJ833" s="17" t="str"/>
      <x:c r="AK833" s="9" t="str">
        <x:v>https://www.youtube.com/playlist?list=PLXv9BeKApRvwwoU0XglgsitrJW7JfOYpX</x:v>
      </x:c>
      <x:c r="AL833" s="9" t="n">
        <x:v>42</x:v>
      </x:c>
      <x:c r="AM833" s="9"/>
      <x:c r="AN833" s="9" t="n">
        <x:v>0</x:v>
      </x:c>
    </x:row>
    <x:row r="834" ht="60" customHeight="1">
      <x:c r="A834" s="9" t="str">
        <x:v>CQ4dktzDF4M</x:v>
      </x:c>
      <x:c r="B834" s="10" t="str">
        <x:v>כאן מקשיבים: הייתי משרתת</x:v>
      </x:c>
      <x:c r="C834" s="10" t="str">
        <x:v>Личные истории</x:v>
      </x:c>
      <x:c r="D834" s="9" t="str">
        <x:v>Общество</x:v>
      </x:c>
      <x:c r="E834" s="10" t="str">
        <x:v>Общество; психология; эмпатия</x:v>
      </x:c>
      <x:c r="F834" s="10" t="str">
        <x:v>B1–B2 (гипотеза)</x:v>
      </x:c>
      <x:c r="G834" s="12" t="n">
        <x:v>16.5</x:v>
      </x:c>
      <x:c r="H834" s="14" t="n">
        <x:v>406051</x:v>
      </x:c>
      <x:c r="I834" s="15" t="str">
        <x:v>Точный счётчик метаданных видео</x:v>
      </x:c>
      <x:c r="J834" s="14" t="n">
        <x:v>406000</x:v>
      </x:c>
      <x:c r="K834" s="14" t="n">
        <x:v>46000</x:v>
      </x:c>
      <x:c r="L834" s="12" t="n">
        <x:f>IF(COUNT(J834:K834)=2,IF(K834=0,"",J834/K834),"")</x:f>
        <x:v>8.826086956521738</x:v>
      </x:c>
      <x:c r="M834" s="10" t="str">
        <x:v>Тема: כאן מקשיבים: הייתי משרתת. Просмотры в списке выше медианы выборки этого цикла в 8.83 раза. Личный монолог позволяет сосредоточиться на одном голосе и эмоциональной лексике.</x:v>
      </x:c>
      <x:c r="N834" s="10" t="str">
        <x:v>Выделить прошлое время и фразы чувств; пересказать с сохранением позиции рассказчика.</x:v>
      </x:c>
      <x:c r="O834" s="10" t="str">
        <x:v>Травма, утрата и здоровье возможны; проверить выпуск</x:v>
      </x:c>
      <x:c r="P834" s="10" t="str">
        <x:v>Самостоятельное видео</x:v>
      </x:c>
      <x:c r="Q834" s="9" t="str">
        <x:v>Нет</x:v>
      </x:c>
      <x:c r="R834" s="9" t="str">
        <x:v>C046</x:v>
      </x:c>
      <x:c r="S834" s="9" t="str">
        <x:v>C046</x:v>
      </x:c>
      <x:c r="T834" s="10" t="str">
        <x:v>כאן | דיגיטל - תאגיד השידור הישראלי</x:v>
      </x:c>
      <x:c r="U834" s="11" t="str">
        <x:v>https://www.youtube.com/watch?v=CQ4dktzDF4M</x:v>
      </x:c>
      <x:c r="V834" s="16" t="n">
        <x:v>46308</x:v>
      </x:c>
      <x:c r="W834" s="16" t="n">
        <x:v>45126</x:v>
      </x:c>
      <x:c r="X834" s="10" t="str">
        <x:v>iw</x:v>
      </x:c>
      <x:c r="Y834" s="10" t="str">
        <x:v>Автоматическая дорожка HE по метаданным</x:v>
      </x:c>
      <x:c r="Z834" s="10" t="str">
        <x:v>Разрешено по метаданным</x:v>
      </x:c>
      <x:c r="AA834" s="10" t="str">
        <x:v>Метаданные видео; воспроизведение и содержание не проверены</x:v>
      </x:c>
      <x:c r="AB834" s="13" t="n">
        <x:f>IF(AND(ISNUMBER(H834),ISNUMBER(W834)),H834/MAX(1,'Обзор'!$B$4-W834),"")</x:f>
        <x:v>343.52876480541454</x:v>
      </x:c>
      <x:c r="AC834" s="17" t="str">
        <x:v>Не решено</x:v>
      </x:c>
      <x:c r="AD834" s="17" t="str">
        <x:v>Не проверено</x:v>
      </x:c>
      <x:c r="AE834" s="17" t="str">
        <x:v>Не проверено</x:v>
      </x:c>
      <x:c r="AF834" s="17" t="str">
        <x:v>Не проверено</x:v>
      </x:c>
      <x:c r="AG834" s="17" t="str">
        <x:v>Не решено</x:v>
      </x:c>
      <x:c r="AH834" s="17" t="str">
        <x:v>Не проверено</x:v>
      </x:c>
      <x:c r="AI834" s="10" t="str">
        <x:f>IF(AC834="Отклонить","Отклонено",IF(AND(AC834="Взять",COUNTIFS(AD834:AH834,"Да")=5),"Готово","Нужна редактура"))</x:f>
        <x:v>Нужна редактура</x:v>
      </x:c>
      <x:c r="AJ834" s="17" t="str"/>
      <x:c r="AK834" s="9" t="str">
        <x:v>https://www.youtube.com/playlist?list=PLXv9BeKApRvwwoU0XglgsitrJW7JfOYpX</x:v>
      </x:c>
      <x:c r="AL834" s="9" t="n">
        <x:v>43</x:v>
      </x:c>
      <x:c r="AM834" s="9"/>
      <x:c r="AN834" s="9" t="n">
        <x:v>0</x:v>
      </x:c>
    </x:row>
    <x:row r="835" ht="60" customHeight="1">
      <x:c r="A835" s="9" t="str">
        <x:v>Ik9Om__KJeA</x:v>
      </x:c>
      <x:c r="B835" s="10" t="str">
        <x:v>כאן מקשיבים: החלטנו לעבור לתאילנד</x:v>
      </x:c>
      <x:c r="C835" s="10" t="str">
        <x:v>Личные истории</x:v>
      </x:c>
      <x:c r="D835" s="9" t="str">
        <x:v>Общество</x:v>
      </x:c>
      <x:c r="E835" s="10" t="str">
        <x:v>Общество; психология; эмпатия</x:v>
      </x:c>
      <x:c r="F835" s="10" t="str">
        <x:v>B1–B2 (гипотеза)</x:v>
      </x:c>
      <x:c r="G835" s="12" t="n">
        <x:v>13.7</x:v>
      </x:c>
      <x:c r="H835" s="14" t="n">
        <x:v>99774</x:v>
      </x:c>
      <x:c r="I835" s="15" t="str">
        <x:v>Точный счётчик метаданных видео</x:v>
      </x:c>
      <x:c r="J835" s="14" t="n">
        <x:v>99000</x:v>
      </x:c>
      <x:c r="K835" s="14" t="n">
        <x:v>46000</x:v>
      </x:c>
      <x:c r="L835" s="12" t="n">
        <x:f>IF(COUNT(J835:K835)=2,IF(K835=0,"",J835/K835),"")</x:f>
        <x:v>2.152173913043478</x:v>
      </x:c>
      <x:c r="M835" s="10" t="str">
        <x:v>Тема: כאן מקשיבים: החלטנו לעבור לתאילנד. Просмотры в списке выше медианы выборки этого цикла в 2.15 раза. Личный монолог позволяет сосредоточиться на одном голосе и эмоциональной лексике.</x:v>
      </x:c>
      <x:c r="N835" s="10" t="str">
        <x:v>Выделить прошлое время и фразы чувств; пересказать с сохранением позиции рассказчика.</x:v>
      </x:c>
      <x:c r="O835" s="10" t="str">
        <x:v>Травма, утрата и здоровье возможны; проверить выпуск</x:v>
      </x:c>
      <x:c r="P835" s="10" t="str">
        <x:v>Самостоятельное видео</x:v>
      </x:c>
      <x:c r="Q835" s="9" t="str">
        <x:v>Нет</x:v>
      </x:c>
      <x:c r="R835" s="9" t="str">
        <x:v>C046</x:v>
      </x:c>
      <x:c r="S835" s="9" t="str">
        <x:v>C046</x:v>
      </x:c>
      <x:c r="T835" s="10" t="str">
        <x:v>כאן | דיגיטל - תאגיד השידור הישראלי</x:v>
      </x:c>
      <x:c r="U835" s="11" t="str">
        <x:v>https://www.youtube.com/watch?v=Ik9Om__KJeA</x:v>
      </x:c>
      <x:c r="V835" s="16" t="n">
        <x:v>46308</x:v>
      </x:c>
      <x:c r="W835" s="16" t="n">
        <x:v>45119</x:v>
      </x:c>
      <x:c r="X835" s="10" t="str">
        <x:v>Иврит предполагается по заголовку и источнику</x:v>
      </x:c>
      <x:c r="Y835" s="10" t="str">
        <x:v>Дорожка HE не найдена в метаданных; вшитые титры не проверены</x:v>
      </x:c>
      <x:c r="Z835" s="10" t="str">
        <x:v>Разрешено по метаданным</x:v>
      </x:c>
      <x:c r="AA835" s="10" t="str">
        <x:v>Метаданные видео; воспроизведение и содержание не проверены</x:v>
      </x:c>
      <x:c r="AB835" s="13" t="n">
        <x:f>IF(AND(ISNUMBER(H835),ISNUMBER(W835)),H835/MAX(1,'Обзор'!$B$4-W835),"")</x:f>
        <x:v>83.91421362489487</x:v>
      </x:c>
      <x:c r="AC835" s="17" t="str">
        <x:v>Не решено</x:v>
      </x:c>
      <x:c r="AD835" s="17" t="str">
        <x:v>Не проверено</x:v>
      </x:c>
      <x:c r="AE835" s="17" t="str">
        <x:v>Не проверено</x:v>
      </x:c>
      <x:c r="AF835" s="17" t="str">
        <x:v>Не проверено</x:v>
      </x:c>
      <x:c r="AG835" s="17" t="str">
        <x:v>Не решено</x:v>
      </x:c>
      <x:c r="AH835" s="17" t="str">
        <x:v>Не проверено</x:v>
      </x:c>
      <x:c r="AI835" s="10" t="str">
        <x:f>IF(AC835="Отклонить","Отклонено",IF(AND(AC835="Взять",COUNTIFS(AD835:AH835,"Да")=5),"Готово","Нужна редактура"))</x:f>
        <x:v>Нужна редактура</x:v>
      </x:c>
      <x:c r="AJ835" s="17" t="str"/>
      <x:c r="AK835" s="9" t="str">
        <x:v>https://www.youtube.com/playlist?list=PLXv9BeKApRvwwoU0XglgsitrJW7JfOYpX</x:v>
      </x:c>
      <x:c r="AL835" s="9" t="n">
        <x:v>44</x:v>
      </x:c>
      <x:c r="AM835" s="9"/>
      <x:c r="AN835" s="9" t="n">
        <x:v>0</x:v>
      </x:c>
    </x:row>
    <x:row r="836" ht="60" customHeight="1">
      <x:c r="A836" s="9" t="str">
        <x:v>RA_zBKVHe6U</x:v>
      </x:c>
      <x:c r="B836" s="10" t="str">
        <x:v>כאן מקשיבים: דור חמק מחיים של פשע ומתכנן עתיד טוב יותר</x:v>
      </x:c>
      <x:c r="C836" s="10" t="str">
        <x:v>Личные истории</x:v>
      </x:c>
      <x:c r="D836" s="9" t="str">
        <x:v>Общество</x:v>
      </x:c>
      <x:c r="E836" s="10" t="str">
        <x:v>Общество; психология; эмпатия</x:v>
      </x:c>
      <x:c r="F836" s="10" t="str">
        <x:v>B1–B2 (гипотеза)</x:v>
      </x:c>
      <x:c r="G836" s="12" t="n">
        <x:v>15</x:v>
      </x:c>
      <x:c r="H836" s="14" t="n">
        <x:v>77631</x:v>
      </x:c>
      <x:c r="I836" s="15" t="str">
        <x:v>Точный счётчик метаданных видео</x:v>
      </x:c>
      <x:c r="J836" s="14" t="n">
        <x:v>77000</x:v>
      </x:c>
      <x:c r="K836" s="14" t="n">
        <x:v>46000</x:v>
      </x:c>
      <x:c r="L836" s="12" t="n">
        <x:f>IF(COUNT(J836:K836)=2,IF(K836=0,"",J836/K836),"")</x:f>
        <x:v>1.673913043478261</x:v>
      </x:c>
      <x:c r="M836" s="10" t="str">
        <x:v>Тема: כאן מקשיבים: דור חמק מחיים של פשע ומתכנן עתיד טוב יותר. Просмотры в списке выше медианы выборки этого цикла в 1.67 раза. Личный монолог позволяет сосредоточиться на одном голосе и эмоциональной лексике.</x:v>
      </x:c>
      <x:c r="N836" s="10" t="str">
        <x:v>Выделить прошлое время и фразы чувств; пересказать с сохранением позиции рассказчика.</x:v>
      </x:c>
      <x:c r="O836" s="10" t="str">
        <x:v>Травма, утрата и здоровье возможны; проверить выпуск</x:v>
      </x:c>
      <x:c r="P836" s="10" t="str">
        <x:v>Самостоятельное видео</x:v>
      </x:c>
      <x:c r="Q836" s="9" t="str">
        <x:v>Нет</x:v>
      </x:c>
      <x:c r="R836" s="9" t="str">
        <x:v>C046</x:v>
      </x:c>
      <x:c r="S836" s="9" t="str">
        <x:v>C046</x:v>
      </x:c>
      <x:c r="T836" s="10" t="str">
        <x:v>כאן | דיגיטל - תאגיד השידור הישראלי</x:v>
      </x:c>
      <x:c r="U836" s="11" t="str">
        <x:v>https://www.youtube.com/watch?v=RA_zBKVHe6U</x:v>
      </x:c>
      <x:c r="V836" s="16" t="n">
        <x:v>46308</x:v>
      </x:c>
      <x:c r="W836" s="16" t="n">
        <x:v>45112</x:v>
      </x:c>
      <x:c r="X836" s="10" t="str">
        <x:v>Иврит предполагается по заголовку и источнику</x:v>
      </x:c>
      <x:c r="Y836" s="10" t="str">
        <x:v>Автоматическая дорожка HE по метаданным</x:v>
      </x:c>
      <x:c r="Z836" s="10" t="str">
        <x:v>Разрешено по метаданным</x:v>
      </x:c>
      <x:c r="AA836" s="10" t="str">
        <x:v>Метаданные видео; воспроизведение и содержание не проверены</x:v>
      </x:c>
      <x:c r="AB836" s="13" t="n">
        <x:f>IF(AND(ISNUMBER(H836),ISNUMBER(W836)),H836/MAX(1,'Обзор'!$B$4-W836),"")</x:f>
        <x:v>64.90886287625418</x:v>
      </x:c>
      <x:c r="AC836" s="17" t="str">
        <x:v>Не решено</x:v>
      </x:c>
      <x:c r="AD836" s="17" t="str">
        <x:v>Не проверено</x:v>
      </x:c>
      <x:c r="AE836" s="17" t="str">
        <x:v>Не проверено</x:v>
      </x:c>
      <x:c r="AF836" s="17" t="str">
        <x:v>Не проверено</x:v>
      </x:c>
      <x:c r="AG836" s="17" t="str">
        <x:v>Не решено</x:v>
      </x:c>
      <x:c r="AH836" s="17" t="str">
        <x:v>Не проверено</x:v>
      </x:c>
      <x:c r="AI836" s="10" t="str">
        <x:f>IF(AC836="Отклонить","Отклонено",IF(AND(AC836="Взять",COUNTIFS(AD836:AH836,"Да")=5),"Готово","Нужна редактура"))</x:f>
        <x:v>Нужна редактура</x:v>
      </x:c>
      <x:c r="AJ836" s="17" t="str"/>
      <x:c r="AK836" s="9" t="str">
        <x:v>https://www.youtube.com/playlist?list=PLXv9BeKApRvwwoU0XglgsitrJW7JfOYpX</x:v>
      </x:c>
      <x:c r="AL836" s="9" t="n">
        <x:v>45</x:v>
      </x:c>
      <x:c r="AM836" s="9"/>
      <x:c r="AN836" s="9" t="n">
        <x:v>0</x:v>
      </x:c>
    </x:row>
    <x:row r="837" ht="60" customHeight="1">
      <x:c r="A837" s="9" t="str">
        <x:v>FLxypWUmYJY</x:v>
      </x:c>
      <x:c r="B837" s="10" t="str">
        <x:v>כאן מקשיבים - חני חוותה חיים של אונס ואלימות</x:v>
      </x:c>
      <x:c r="C837" s="10" t="str">
        <x:v>Личные истории</x:v>
      </x:c>
      <x:c r="D837" s="9" t="str">
        <x:v>Общество</x:v>
      </x:c>
      <x:c r="E837" s="10" t="str">
        <x:v>Общество; психология; эмпатия</x:v>
      </x:c>
      <x:c r="F837" s="10" t="str">
        <x:v>B1–B2 (гипотеза)</x:v>
      </x:c>
      <x:c r="G837" s="12" t="n">
        <x:v>14.3</x:v>
      </x:c>
      <x:c r="H837" s="14" t="n">
        <x:v>120340</x:v>
      </x:c>
      <x:c r="I837" s="15" t="str">
        <x:v>Точный счётчик метаданных видео</x:v>
      </x:c>
      <x:c r="J837" s="14" t="n">
        <x:v>120000</x:v>
      </x:c>
      <x:c r="K837" s="14" t="n">
        <x:v>46000</x:v>
      </x:c>
      <x:c r="L837" s="12" t="n">
        <x:f>IF(COUNT(J837:K837)=2,IF(K837=0,"",J837/K837),"")</x:f>
        <x:v>2.608695652173913</x:v>
      </x:c>
      <x:c r="M837" s="10" t="str">
        <x:v>Тема: כאן מקשיבים - חני חוותה חיים של אונס ואלימות. Просмотры в списке выше медианы выборки этого цикла в 2.61 раза. Личный монолог позволяет сосредоточиться на одном голосе и эмоциональной лексике.</x:v>
      </x:c>
      <x:c r="N837" s="10" t="str">
        <x:v>Выделить прошлое время и фразы чувств; пересказать с сохранением позиции рассказчика.</x:v>
      </x:c>
      <x:c r="O837" s="10" t="str">
        <x:v>В заголовке есть чувствительная тема: предварительный просмотр и добровольный выбор. Травма, утрата и здоровье возможны; проверить выпуск</x:v>
      </x:c>
      <x:c r="P837" s="10" t="str">
        <x:v>Самостоятельное видео</x:v>
      </x:c>
      <x:c r="Q837" s="9" t="str">
        <x:v>Нет</x:v>
      </x:c>
      <x:c r="R837" s="9" t="str">
        <x:v>C046</x:v>
      </x:c>
      <x:c r="S837" s="9" t="str">
        <x:v>C046</x:v>
      </x:c>
      <x:c r="T837" s="10" t="str">
        <x:v>כאן | דיגיטל - תאגיד השידור הישראלי</x:v>
      </x:c>
      <x:c r="U837" s="11" t="str">
        <x:v>https://www.youtube.com/watch?v=FLxypWUmYJY</x:v>
      </x:c>
      <x:c r="V837" s="16" t="n">
        <x:v>46308</x:v>
      </x:c>
      <x:c r="W837" s="16" t="n">
        <x:v>45098</x:v>
      </x:c>
      <x:c r="X837" s="10" t="str">
        <x:v>Иврит предполагается по заголовку и источнику</x:v>
      </x:c>
      <x:c r="Y837" s="10" t="str">
        <x:v>Дорожка HE не найдена в метаданных; вшитые титры не проверены</x:v>
      </x:c>
      <x:c r="Z837" s="10" t="str">
        <x:v>Разрешено по метаданным</x:v>
      </x:c>
      <x:c r="AA837" s="10" t="str">
        <x:v>Метаданные видео; воспроизведение и содержание не проверены</x:v>
      </x:c>
      <x:c r="AB837" s="13" t="n">
        <x:f>IF(AND(ISNUMBER(H837),ISNUMBER(W837)),H837/MAX(1,'Обзор'!$B$4-W837),"")</x:f>
        <x:v>99.45454545454545</x:v>
      </x:c>
      <x:c r="AC837" s="17" t="str">
        <x:v>Не решено</x:v>
      </x:c>
      <x:c r="AD837" s="17" t="str">
        <x:v>Не проверено</x:v>
      </x:c>
      <x:c r="AE837" s="17" t="str">
        <x:v>Не проверено</x:v>
      </x:c>
      <x:c r="AF837" s="17" t="str">
        <x:v>Не проверено</x:v>
      </x:c>
      <x:c r="AG837" s="17" t="str">
        <x:v>Не решено</x:v>
      </x:c>
      <x:c r="AH837" s="17" t="str">
        <x:v>Не проверено</x:v>
      </x:c>
      <x:c r="AI837" s="10" t="str">
        <x:f>IF(AC837="Отклонить","Отклонено",IF(AND(AC837="Взять",COUNTIFS(AD837:AH837,"Да")=5),"Готово","Нужна редактура"))</x:f>
        <x:v>Нужна редактура</x:v>
      </x:c>
      <x:c r="AJ837" s="17" t="str"/>
      <x:c r="AK837" s="9" t="str">
        <x:v>https://www.youtube.com/playlist?list=PLXv9BeKApRvwwoU0XglgsitrJW7JfOYpX</x:v>
      </x:c>
      <x:c r="AL837" s="9" t="n">
        <x:v>46</x:v>
      </x:c>
      <x:c r="AM837" s="9"/>
      <x:c r="AN837" s="9" t="n">
        <x:v>0</x:v>
      </x:c>
    </x:row>
    <x:row r="838" ht="60" customHeight="1">
      <x:c r="A838" s="9" t="str">
        <x:v>ay80GD7NNEM</x:v>
      </x:c>
      <x:c r="B838" s="10" t="str">
        <x:v>כאן מקשיבים: התמודדתי עם מחלת הסרטן של בתי בעודי בהריון</x:v>
      </x:c>
      <x:c r="C838" s="10" t="str">
        <x:v>Личные истории</x:v>
      </x:c>
      <x:c r="D838" s="9" t="str">
        <x:v>Общество</x:v>
      </x:c>
      <x:c r="E838" s="10" t="str">
        <x:v>Общество; психология; эмпатия</x:v>
      </x:c>
      <x:c r="F838" s="10" t="str">
        <x:v>B1–B2 (гипотеза)</x:v>
      </x:c>
      <x:c r="G838" s="12" t="n">
        <x:v>11.7</x:v>
      </x:c>
      <x:c r="H838" s="14" t="n">
        <x:v>46062</x:v>
      </x:c>
      <x:c r="I838" s="15" t="str">
        <x:v>Точный счётчик метаданных видео</x:v>
      </x:c>
      <x:c r="J838" s="14" t="n">
        <x:v>46000</x:v>
      </x:c>
      <x:c r="K838" s="14" t="n">
        <x:v>46000</x:v>
      </x:c>
      <x:c r="L838" s="12" t="n">
        <x:f>IF(COUNT(J838:K838)=2,IF(K838=0,"",J838/K838),"")</x:f>
        <x:v>1</x:v>
      </x:c>
      <x:c r="M838" s="10" t="str">
        <x:v>Тема: כאן מקשיבים: התמודדתי עם מחלת הסרטן של בתי בעודי בהריון. Личный монолог позволяет сосредоточиться на одном голосе и эмоциональной лексике.</x:v>
      </x:c>
      <x:c r="N838" s="10" t="str">
        <x:v>Выделить прошлое время и фразы чувств; пересказать с сохранением позиции рассказчика.</x:v>
      </x:c>
      <x:c r="O838" s="10" t="str">
        <x:v>Травма, утрата и здоровье возможны; проверить выпуск</x:v>
      </x:c>
      <x:c r="P838" s="10" t="str">
        <x:v>Самостоятельное видео</x:v>
      </x:c>
      <x:c r="Q838" s="9" t="str">
        <x:v>Нет</x:v>
      </x:c>
      <x:c r="R838" s="9" t="str">
        <x:v>C046</x:v>
      </x:c>
      <x:c r="S838" s="9" t="str">
        <x:v>C046</x:v>
      </x:c>
      <x:c r="T838" s="10" t="str">
        <x:v>כאן | דיגיטל - תאגיד השידור הישראלי</x:v>
      </x:c>
      <x:c r="U838" s="11" t="str">
        <x:v>https://www.youtube.com/watch?v=ay80GD7NNEM</x:v>
      </x:c>
      <x:c r="V838" s="16" t="n">
        <x:v>46308</x:v>
      </x:c>
      <x:c r="W838" s="16" t="n">
        <x:v>45091</x:v>
      </x:c>
      <x:c r="X838" s="10" t="str">
        <x:v>Иврит предполагается по заголовку и источнику</x:v>
      </x:c>
      <x:c r="Y838" s="10" t="str">
        <x:v>Дорожка HE не найдена в метаданных; вшитые титры не проверены</x:v>
      </x:c>
      <x:c r="Z838" s="10" t="str">
        <x:v>Разрешено по метаданным</x:v>
      </x:c>
      <x:c r="AA838" s="10" t="str">
        <x:v>Метаданные видео; воспроизведение и содержание не проверены</x:v>
      </x:c>
      <x:c r="AB838" s="13" t="n">
        <x:f>IF(AND(ISNUMBER(H838),ISNUMBER(W838)),H838/MAX(1,'Обзор'!$B$4-W838),"")</x:f>
        <x:v>37.848808545603944</x:v>
      </x:c>
      <x:c r="AC838" s="17" t="str">
        <x:v>Не решено</x:v>
      </x:c>
      <x:c r="AD838" s="17" t="str">
        <x:v>Не проверено</x:v>
      </x:c>
      <x:c r="AE838" s="17" t="str">
        <x:v>Не проверено</x:v>
      </x:c>
      <x:c r="AF838" s="17" t="str">
        <x:v>Не проверено</x:v>
      </x:c>
      <x:c r="AG838" s="17" t="str">
        <x:v>Не решено</x:v>
      </x:c>
      <x:c r="AH838" s="17" t="str">
        <x:v>Не проверено</x:v>
      </x:c>
      <x:c r="AI838" s="10" t="str">
        <x:f>IF(AC838="Отклонить","Отклонено",IF(AND(AC838="Взять",COUNTIFS(AD838:AH838,"Да")=5),"Готово","Нужна редактура"))</x:f>
        <x:v>Нужна редактура</x:v>
      </x:c>
      <x:c r="AJ838" s="17" t="str"/>
      <x:c r="AK838" s="9" t="str">
        <x:v>https://www.youtube.com/playlist?list=PLXv9BeKApRvwwoU0XglgsitrJW7JfOYpX</x:v>
      </x:c>
      <x:c r="AL838" s="9" t="n">
        <x:v>47</x:v>
      </x:c>
      <x:c r="AM838" s="9"/>
      <x:c r="AN838" s="9" t="n">
        <x:v>0</x:v>
      </x:c>
    </x:row>
    <x:row r="839" ht="60" customHeight="1">
      <x:c r="A839" s="9" t="str">
        <x:v>KMsZYy00zoU</x:v>
      </x:c>
      <x:c r="B839" s="10" t="str">
        <x:v>"עצבן אותי שקוראים למקום הזה בית משוגעים. אנחנו אנשים רגילים שסובלים בצורה בלתי רגילה" | כאן מקשיבים</x:v>
      </x:c>
      <x:c r="C839" s="10" t="str">
        <x:v>Личные истории</x:v>
      </x:c>
      <x:c r="D839" s="9" t="str">
        <x:v>Общество</x:v>
      </x:c>
      <x:c r="E839" s="10" t="str">
        <x:v>Общество; психология; эмпатия</x:v>
      </x:c>
      <x:c r="F839" s="10" t="str">
        <x:v>B1–B2 (гипотеза)</x:v>
      </x:c>
      <x:c r="G839" s="12" t="n">
        <x:v>8.4</x:v>
      </x:c>
      <x:c r="H839" s="14" t="n">
        <x:v>91844</x:v>
      </x:c>
      <x:c r="I839" s="15" t="str">
        <x:v>Точный счётчик метаданных видео</x:v>
      </x:c>
      <x:c r="J839" s="14" t="n">
        <x:v>91000</x:v>
      </x:c>
      <x:c r="K839" s="14" t="n">
        <x:v>46000</x:v>
      </x:c>
      <x:c r="L839" s="12" t="n">
        <x:f>IF(COUNT(J839:K839)=2,IF(K839=0,"",J839/K839),"")</x:f>
        <x:v>1.9782608695652173</x:v>
      </x:c>
      <x:c r="M839" s="10" t="str">
        <x:v>Завершённый короткий просмотр около 8 мин. Просмотры в списке выше медианы выборки этого цикла в 1.98 раза. Личный монолог позволяет сосредоточиться на одном голосе и эмоциональной лексике.</x:v>
      </x:c>
      <x:c r="N839" s="10" t="str">
        <x:v>Выделить прошлое время и фразы чувств; пересказать с сохранением позиции рассказчика.</x:v>
      </x:c>
      <x:c r="O839" s="10" t="str">
        <x:v>Травма, утрата и здоровье возможны; проверить выпуск</x:v>
      </x:c>
      <x:c r="P839" s="10" t="str">
        <x:v>Самостоятельное видео</x:v>
      </x:c>
      <x:c r="Q839" s="9" t="str">
        <x:v>Нет</x:v>
      </x:c>
      <x:c r="R839" s="9" t="str">
        <x:v>C046</x:v>
      </x:c>
      <x:c r="S839" s="9" t="str">
        <x:v>C046</x:v>
      </x:c>
      <x:c r="T839" s="10" t="str">
        <x:v>כאן | דיגיטל - תאגיד השידור הישראלי</x:v>
      </x:c>
      <x:c r="U839" s="11" t="str">
        <x:v>https://www.youtube.com/watch?v=KMsZYy00zoU</x:v>
      </x:c>
      <x:c r="V839" s="16" t="n">
        <x:v>46308</x:v>
      </x:c>
      <x:c r="W839" s="16" t="n">
        <x:v>45084</x:v>
      </x:c>
      <x:c r="X839" s="10" t="str">
        <x:v>Иврит предполагается по заголовку и источнику</x:v>
      </x:c>
      <x:c r="Y839" s="10" t="str">
        <x:v>Дорожка HE не найдена в метаданных; вшитые титры не проверены</x:v>
      </x:c>
      <x:c r="Z839" s="10" t="str">
        <x:v>Разрешено по метаданным</x:v>
      </x:c>
      <x:c r="AA839" s="10" t="str">
        <x:v>Метаданные видео; воспроизведение и содержание не проверены</x:v>
      </x:c>
      <x:c r="AB839" s="13" t="n">
        <x:f>IF(AND(ISNUMBER(H839),ISNUMBER(W839)),H839/MAX(1,'Обзор'!$B$4-W839),"")</x:f>
        <x:v>75.0359477124183</x:v>
      </x:c>
      <x:c r="AC839" s="17" t="str">
        <x:v>Не решено</x:v>
      </x:c>
      <x:c r="AD839" s="17" t="str">
        <x:v>Не проверено</x:v>
      </x:c>
      <x:c r="AE839" s="17" t="str">
        <x:v>Не проверено</x:v>
      </x:c>
      <x:c r="AF839" s="17" t="str">
        <x:v>Не проверено</x:v>
      </x:c>
      <x:c r="AG839" s="17" t="str">
        <x:v>Не решено</x:v>
      </x:c>
      <x:c r="AH839" s="17" t="str">
        <x:v>Не проверено</x:v>
      </x:c>
      <x:c r="AI839" s="10" t="str">
        <x:f>IF(AC839="Отклонить","Отклонено",IF(AND(AC839="Взять",COUNTIFS(AD839:AH839,"Да")=5),"Готово","Нужна редактура"))</x:f>
        <x:v>Нужна редактура</x:v>
      </x:c>
      <x:c r="AJ839" s="17" t="str"/>
      <x:c r="AK839" s="9" t="str">
        <x:v>https://www.youtube.com/playlist?list=PLXv9BeKApRvwwoU0XglgsitrJW7JfOYpX</x:v>
      </x:c>
      <x:c r="AL839" s="9" t="n">
        <x:v>48</x:v>
      </x:c>
      <x:c r="AM839" s="9"/>
      <x:c r="AN839" s="9" t="n">
        <x:v>0</x:v>
      </x:c>
    </x:row>
    <x:row r="840" ht="60" customHeight="1">
      <x:c r="A840" s="9" t="str">
        <x:v>na8avlra2JM</x:v>
      </x:c>
      <x:c r="B840" s="10" t="str">
        <x:v>כאן מקשיבים: הצלחתי לצאת מהזנות</x:v>
      </x:c>
      <x:c r="C840" s="10" t="str">
        <x:v>Личные истории</x:v>
      </x:c>
      <x:c r="D840" s="9" t="str">
        <x:v>Общество</x:v>
      </x:c>
      <x:c r="E840" s="10" t="str">
        <x:v>Общество; психология; эмпатия</x:v>
      </x:c>
      <x:c r="F840" s="10" t="str">
        <x:v>B1–B2 (гипотеза)</x:v>
      </x:c>
      <x:c r="G840" s="12" t="n">
        <x:v>16.6</x:v>
      </x:c>
      <x:c r="H840" s="14" t="n">
        <x:v>460817</x:v>
      </x:c>
      <x:c r="I840" s="15" t="str">
        <x:v>Точный счётчик метаданных видео</x:v>
      </x:c>
      <x:c r="J840" s="14" t="n">
        <x:v>460000</x:v>
      </x:c>
      <x:c r="K840" s="14" t="n">
        <x:v>46000</x:v>
      </x:c>
      <x:c r="L840" s="12" t="n">
        <x:f>IF(COUNT(J840:K840)=2,IF(K840=0,"",J840/K840),"")</x:f>
        <x:v>10</x:v>
      </x:c>
      <x:c r="M840" s="10" t="str">
        <x:v>Тема: כאן מקשיבים: הצלחתי לצאת מהזנות. Просмотры в списке выше медианы выборки этого цикла в 10.0 раза. Личный монолог позволяет сосредоточиться на одном голосе и эмоциональной лексике.</x:v>
      </x:c>
      <x:c r="N840" s="10" t="str">
        <x:v>Выделить прошлое время и фразы чувств; пересказать с сохранением позиции рассказчика.</x:v>
      </x:c>
      <x:c r="O840" s="10" t="str">
        <x:v>Травма, утрата и здоровье возможны; проверить выпуск</x:v>
      </x:c>
      <x:c r="P840" s="10" t="str">
        <x:v>Самостоятельное видео</x:v>
      </x:c>
      <x:c r="Q840" s="9" t="str">
        <x:v>Нет</x:v>
      </x:c>
      <x:c r="R840" s="9" t="str">
        <x:v>C046</x:v>
      </x:c>
      <x:c r="S840" s="9" t="str">
        <x:v>C046</x:v>
      </x:c>
      <x:c r="T840" s="10" t="str">
        <x:v>כאן | דיגיטל - תאגיד השידור הישראלי</x:v>
      </x:c>
      <x:c r="U840" s="11" t="str">
        <x:v>https://www.youtube.com/watch?v=na8avlra2JM</x:v>
      </x:c>
      <x:c r="V840" s="16" t="n">
        <x:v>46308</x:v>
      </x:c>
      <x:c r="W840" s="16" t="n">
        <x:v>45070</x:v>
      </x:c>
      <x:c r="X840" s="10" t="str">
        <x:v>Иврит предполагается по заголовку и источнику</x:v>
      </x:c>
      <x:c r="Y840" s="10" t="str">
        <x:v>Дорожка HE не найдена в метаданных; вшитые титры не проверены</x:v>
      </x:c>
      <x:c r="Z840" s="10" t="str">
        <x:v>Разрешено по метаданным</x:v>
      </x:c>
      <x:c r="AA840" s="10" t="str">
        <x:v>Метаданные видео; воспроизведение и содержание не проверены</x:v>
      </x:c>
      <x:c r="AB840" s="13" t="n">
        <x:f>IF(AND(ISNUMBER(H840),ISNUMBER(W840)),H840/MAX(1,'Обзор'!$B$4-W840),"")</x:f>
        <x:v>372.2269789983845</x:v>
      </x:c>
      <x:c r="AC840" s="17" t="str">
        <x:v>Не решено</x:v>
      </x:c>
      <x:c r="AD840" s="17" t="str">
        <x:v>Не проверено</x:v>
      </x:c>
      <x:c r="AE840" s="17" t="str">
        <x:v>Не проверено</x:v>
      </x:c>
      <x:c r="AF840" s="17" t="str">
        <x:v>Не проверено</x:v>
      </x:c>
      <x:c r="AG840" s="17" t="str">
        <x:v>Не решено</x:v>
      </x:c>
      <x:c r="AH840" s="17" t="str">
        <x:v>Не проверено</x:v>
      </x:c>
      <x:c r="AI840" s="10" t="str">
        <x:f>IF(AC840="Отклонить","Отклонено",IF(AND(AC840="Взять",COUNTIFS(AD840:AH840,"Да")=5),"Готово","Нужна редактура"))</x:f>
        <x:v>Нужна редактура</x:v>
      </x:c>
      <x:c r="AJ840" s="17" t="str"/>
      <x:c r="AK840" s="9" t="str">
        <x:v>https://www.youtube.com/playlist?list=PLXv9BeKApRvwwoU0XglgsitrJW7JfOYpX</x:v>
      </x:c>
      <x:c r="AL840" s="9" t="n">
        <x:v>49</x:v>
      </x:c>
      <x:c r="AM840" s="9"/>
      <x:c r="AN840" s="9" t="n">
        <x:v>0</x:v>
      </x:c>
    </x:row>
    <x:row r="841" ht="60" customHeight="1">
      <x:c r="A841" s="9" t="str">
        <x:v>I0zk3c1Q_h8</x:v>
      </x:c>
      <x:c r="B841" s="10" t="str">
        <x:v>כאן מקשיבים: אני היחידה ששומעת במשפחה של חירשים</x:v>
      </x:c>
      <x:c r="C841" s="10" t="str">
        <x:v>Личные истории</x:v>
      </x:c>
      <x:c r="D841" s="9" t="str">
        <x:v>Общество</x:v>
      </x:c>
      <x:c r="E841" s="10" t="str">
        <x:v>Общество; психология; эмпатия</x:v>
      </x:c>
      <x:c r="F841" s="10" t="str">
        <x:v>B1–B2 (гипотеза)</x:v>
      </x:c>
      <x:c r="G841" s="12" t="n">
        <x:v>16.4</x:v>
      </x:c>
      <x:c r="H841" s="14" t="n">
        <x:v>66908</x:v>
      </x:c>
      <x:c r="I841" s="15" t="str">
        <x:v>Точный счётчик метаданных видео</x:v>
      </x:c>
      <x:c r="J841" s="14" t="n">
        <x:v>66000</x:v>
      </x:c>
      <x:c r="K841" s="14" t="n">
        <x:v>46000</x:v>
      </x:c>
      <x:c r="L841" s="12" t="n">
        <x:f>IF(COUNT(J841:K841)=2,IF(K841=0,"",J841/K841),"")</x:f>
        <x:v>1.434782608695652</x:v>
      </x:c>
      <x:c r="M841" s="10" t="str">
        <x:v>Тема: כאן מקשיבים: אני היחידה ששומעת במשפחה של חירשים. Личный монолог позволяет сосредоточиться на одном голосе и эмоциональной лексике.</x:v>
      </x:c>
      <x:c r="N841" s="10" t="str">
        <x:v>Выделить прошлое время и фразы чувств; пересказать с сохранением позиции рассказчика.</x:v>
      </x:c>
      <x:c r="O841" s="10" t="str">
        <x:v>Травма, утрата и здоровье возможны; проверить выпуск</x:v>
      </x:c>
      <x:c r="P841" s="10" t="str">
        <x:v>Самостоятельное видео</x:v>
      </x:c>
      <x:c r="Q841" s="9" t="str">
        <x:v>Нет</x:v>
      </x:c>
      <x:c r="R841" s="9" t="str">
        <x:v>C046</x:v>
      </x:c>
      <x:c r="S841" s="9" t="str">
        <x:v>C046</x:v>
      </x:c>
      <x:c r="T841" s="10" t="str">
        <x:v>כאן | דיגיטל - תאגיד השידור הישראלי</x:v>
      </x:c>
      <x:c r="U841" s="11" t="str">
        <x:v>https://www.youtube.com/watch?v=I0zk3c1Q_h8</x:v>
      </x:c>
      <x:c r="V841" s="16" t="n">
        <x:v>46308</x:v>
      </x:c>
      <x:c r="W841" s="16" t="n">
        <x:v>45063</x:v>
      </x:c>
      <x:c r="X841" s="10" t="str">
        <x:v>Иврит предполагается по заголовку и источнику</x:v>
      </x:c>
      <x:c r="Y841" s="10" t="str">
        <x:v>Дорожка HE не найдена в метаданных; вшитые титры не проверены</x:v>
      </x:c>
      <x:c r="Z841" s="10" t="str">
        <x:v>Разрешено по метаданным</x:v>
      </x:c>
      <x:c r="AA841" s="10" t="str">
        <x:v>Метаданные видео; воспроизведение и содержание не проверены</x:v>
      </x:c>
      <x:c r="AB841" s="13" t="n">
        <x:f>IF(AND(ISNUMBER(H841),ISNUMBER(W841)),H841/MAX(1,'Обзор'!$B$4-W841),"")</x:f>
        <x:v>53.74136546184739</x:v>
      </x:c>
      <x:c r="AC841" s="17" t="str">
        <x:v>Не решено</x:v>
      </x:c>
      <x:c r="AD841" s="17" t="str">
        <x:v>Не проверено</x:v>
      </x:c>
      <x:c r="AE841" s="17" t="str">
        <x:v>Не проверено</x:v>
      </x:c>
      <x:c r="AF841" s="17" t="str">
        <x:v>Не проверено</x:v>
      </x:c>
      <x:c r="AG841" s="17" t="str">
        <x:v>Не решено</x:v>
      </x:c>
      <x:c r="AH841" s="17" t="str">
        <x:v>Не проверено</x:v>
      </x:c>
      <x:c r="AI841" s="10" t="str">
        <x:f>IF(AC841="Отклонить","Отклонено",IF(AND(AC841="Взять",COUNTIFS(AD841:AH841,"Да")=5),"Готово","Нужна редактура"))</x:f>
        <x:v>Нужна редактура</x:v>
      </x:c>
      <x:c r="AJ841" s="17" t="str"/>
      <x:c r="AK841" s="9" t="str">
        <x:v>https://www.youtube.com/playlist?list=PLXv9BeKApRvwwoU0XglgsitrJW7JfOYpX</x:v>
      </x:c>
      <x:c r="AL841" s="9" t="n">
        <x:v>50</x:v>
      </x:c>
      <x:c r="AM841" s="9"/>
      <x:c r="AN841" s="9" t="n">
        <x:v>0</x:v>
      </x:c>
    </x:row>
    <x:row r="842" ht="60" customHeight="1">
      <x:c r="A842" s="9" t="str">
        <x:v>6ba7KJ9a1Co</x:v>
      </x:c>
      <x:c r="B842" s="10" t="str">
        <x:v>איך הגְרוּש של מר קראב מבוב ספוג הגיע לאילת?</x:v>
      </x:c>
      <x:c r="C842" s="10" t="str">
        <x:v>География и город</x:v>
      </x:c>
      <x:c r="D842" s="9" t="str">
        <x:v>Быт</x:v>
      </x:c>
      <x:c r="E842" s="10" t="str">
        <x:v>Город; путешествия; репатрианты</x:v>
      </x:c>
      <x:c r="F842" s="10" t="str">
        <x:v>B1–B2 (гипотеза)</x:v>
      </x:c>
      <x:c r="G842" s="12" t="n">
        <x:v>1.6</x:v>
      </x:c>
      <x:c r="H842" s="14" t="n">
        <x:v>312542</x:v>
      </x:c>
      <x:c r="I842" s="15" t="str">
        <x:v>Точный счётчик метаданных видео</x:v>
      </x:c>
      <x:c r="J842" s="14" t="n">
        <x:v>312000</x:v>
      </x:c>
      <x:c r="K842" s="14" t="n">
        <x:v>119000</x:v>
      </x:c>
      <x:c r="L842" s="12" t="n">
        <x:f>IF(COUNT(J842:K842)=2,IF(K842=0,"",J842/K842),"")</x:f>
        <x:v>2.6218487394957983</x:v>
      </x:c>
      <x:c r="M842" s="10" t="str">
        <x:v>Завершённый короткий просмотр около 2 мин. Просмотры в списке выше медианы выборки этого цикла в 2.62 раза. Короткие истории мест помогают освоить страну через реальные маршруты и городскую среду.</x:v>
      </x:c>
      <x:c r="N842" s="10" t="str">
        <x:v>Дать устную инструкцию, как добраться; описать место.</x:v>
      </x:c>
      <x:c r="O842" s="10" t="str">
        <x:v>Проверить содержание</x:v>
      </x:c>
      <x:c r="P842" s="10" t="str">
        <x:v>Самостоятельное видео</x:v>
      </x:c>
      <x:c r="Q842" s="9" t="str">
        <x:v>Нет</x:v>
      </x:c>
      <x:c r="R842" s="9" t="str">
        <x:v>C047</x:v>
      </x:c>
      <x:c r="S842" s="9" t="str">
        <x:v>C047</x:v>
      </x:c>
      <x:c r="T842" s="10" t="str">
        <x:v>כאן | דיגיטל - תאגיד השידור הישראלי</x:v>
      </x:c>
      <x:c r="U842" s="11" t="str">
        <x:v>https://www.youtube.com/watch?v=6ba7KJ9a1Co</x:v>
      </x:c>
      <x:c r="V842" s="16" t="n">
        <x:v>46308</x:v>
      </x:c>
      <x:c r="W842" s="16" t="n">
        <x:v>45936</x:v>
      </x:c>
      <x:c r="X842" s="10" t="str">
        <x:v>iw</x:v>
      </x:c>
      <x:c r="Y842" s="10" t="str">
        <x:v>Автоматическая дорожка HE по метаданным</x:v>
      </x:c>
      <x:c r="Z842" s="10" t="str">
        <x:v>Разрешено по метаданным</x:v>
      </x:c>
      <x:c r="AA842" s="10" t="str">
        <x:v>Метаданные видео; воспроизведение и содержание не проверены</x:v>
      </x:c>
      <x:c r="AB842" s="13" t="n">
        <x:f>IF(AND(ISNUMBER(H842),ISNUMBER(W842)),H842/MAX(1,'Обзор'!$B$4-W842),"")</x:f>
        <x:v>840.1666666666666</x:v>
      </x:c>
      <x:c r="AC842" s="17" t="str">
        <x:v>Не решено</x:v>
      </x:c>
      <x:c r="AD842" s="17" t="str">
        <x:v>Не проверено</x:v>
      </x:c>
      <x:c r="AE842" s="17" t="str">
        <x:v>Не проверено</x:v>
      </x:c>
      <x:c r="AF842" s="17" t="str">
        <x:v>Не проверено</x:v>
      </x:c>
      <x:c r="AG842" s="17" t="str">
        <x:v>Не решено</x:v>
      </x:c>
      <x:c r="AH842" s="17" t="str">
        <x:v>Не проверено</x:v>
      </x:c>
      <x:c r="AI842" s="10" t="str">
        <x:f>IF(AC842="Отклонить","Отклонено",IF(AND(AC842="Взять",COUNTIFS(AD842:AH842,"Да")=5),"Готово","Нужна редактура"))</x:f>
        <x:v>Нужна редактура</x:v>
      </x:c>
      <x:c r="AJ842" s="17" t="str"/>
      <x:c r="AK842" s="9" t="str">
        <x:v>https://www.youtube.com/playlist?list=PLXv9BeKApRvwpYz2zsSdzBKsODDzSWTmc</x:v>
      </x:c>
      <x:c r="AL842" s="9" t="n">
        <x:v>1</x:v>
      </x:c>
      <x:c r="AM842" s="9"/>
      <x:c r="AN842" s="9" t="n">
        <x:v>0</x:v>
      </x:c>
    </x:row>
    <x:row r="843" ht="60" customHeight="1">
      <x:c r="A843" s="9" t="str">
        <x:v>xl_zloQyg0U</x:v>
      </x:c>
      <x:c r="B843" s="10" t="str">
        <x:v>מה הסיפור של הכרמלית בחיפה? | בצד הדרך</x:v>
      </x:c>
      <x:c r="C843" s="10" t="str">
        <x:v>География и город</x:v>
      </x:c>
      <x:c r="D843" s="9" t="str">
        <x:v>Быт</x:v>
      </x:c>
      <x:c r="E843" s="10" t="str">
        <x:v>Город; путешествия; репатрианты</x:v>
      </x:c>
      <x:c r="F843" s="10" t="str">
        <x:v>B1–B2 (гипотеза)</x:v>
      </x:c>
      <x:c r="G843" s="12" t="n">
        <x:v>1.9</x:v>
      </x:c>
      <x:c r="H843" s="14" t="n">
        <x:v>121395</x:v>
      </x:c>
      <x:c r="I843" s="15" t="str">
        <x:v>Точный счётчик метаданных видео</x:v>
      </x:c>
      <x:c r="J843" s="14" t="n">
        <x:v>121000</x:v>
      </x:c>
      <x:c r="K843" s="14" t="n">
        <x:v>119000</x:v>
      </x:c>
      <x:c r="L843" s="12" t="n">
        <x:f>IF(COUNT(J843:K843)=2,IF(K843=0,"",J843/K843),"")</x:f>
        <x:v>1.0168067226890756</x:v>
      </x:c>
      <x:c r="M843" s="10" t="str">
        <x:v>Завершённый короткий просмотр около 2 мин. Короткие истории мест помогают освоить страну через реальные маршруты и городскую среду.</x:v>
      </x:c>
      <x:c r="N843" s="10" t="str">
        <x:v>Дать устную инструкцию, как добраться; описать место.</x:v>
      </x:c>
      <x:c r="O843" s="10" t="str">
        <x:v>Проверить содержание</x:v>
      </x:c>
      <x:c r="P843" s="10" t="str">
        <x:v>Самостоятельное видео</x:v>
      </x:c>
      <x:c r="Q843" s="9" t="str">
        <x:v>Нет</x:v>
      </x:c>
      <x:c r="R843" s="9" t="str">
        <x:v>C047</x:v>
      </x:c>
      <x:c r="S843" s="9" t="str">
        <x:v>C047</x:v>
      </x:c>
      <x:c r="T843" s="10" t="str">
        <x:v>כאן | דיגיטל - תאגיד השידור הישראלי</x:v>
      </x:c>
      <x:c r="U843" s="11" t="str">
        <x:v>https://www.youtube.com/watch?v=xl_zloQyg0U</x:v>
      </x:c>
      <x:c r="V843" s="16" t="n">
        <x:v>46308</x:v>
      </x:c>
      <x:c r="W843" s="16" t="n">
        <x:v>45866</x:v>
      </x:c>
      <x:c r="X843" s="10" t="str">
        <x:v>Иврит предполагается по заголовку и источнику</x:v>
      </x:c>
      <x:c r="Y843" s="10" t="str">
        <x:v>Автоматическая дорожка HE по метаданным</x:v>
      </x:c>
      <x:c r="Z843" s="10" t="str">
        <x:v>Разрешено по метаданным</x:v>
      </x:c>
      <x:c r="AA843" s="10" t="str">
        <x:v>Метаданные видео; воспроизведение и содержание не проверены</x:v>
      </x:c>
      <x:c r="AB843" s="13" t="n">
        <x:f>IF(AND(ISNUMBER(H843),ISNUMBER(W843)),H843/MAX(1,'Обзор'!$B$4-W843),"")</x:f>
        <x:v>274.64932126696834</x:v>
      </x:c>
      <x:c r="AC843" s="17" t="str">
        <x:v>Не решено</x:v>
      </x:c>
      <x:c r="AD843" s="17" t="str">
        <x:v>Не проверено</x:v>
      </x:c>
      <x:c r="AE843" s="17" t="str">
        <x:v>Не проверено</x:v>
      </x:c>
      <x:c r="AF843" s="17" t="str">
        <x:v>Не проверено</x:v>
      </x:c>
      <x:c r="AG843" s="17" t="str">
        <x:v>Не решено</x:v>
      </x:c>
      <x:c r="AH843" s="17" t="str">
        <x:v>Не проверено</x:v>
      </x:c>
      <x:c r="AI843" s="10" t="str">
        <x:f>IF(AC843="Отклонить","Отклонено",IF(AND(AC843="Взять",COUNTIFS(AD843:AH843,"Да")=5),"Готово","Нужна редактура"))</x:f>
        <x:v>Нужна редактура</x:v>
      </x:c>
      <x:c r="AJ843" s="17" t="str"/>
      <x:c r="AK843" s="9" t="str">
        <x:v>https://www.youtube.com/playlist?list=PLXv9BeKApRvwpYz2zsSdzBKsODDzSWTmc</x:v>
      </x:c>
      <x:c r="AL843" s="9" t="n">
        <x:v>2</x:v>
      </x:c>
      <x:c r="AM843" s="9"/>
      <x:c r="AN843" s="9" t="n">
        <x:v>0</x:v>
      </x:c>
    </x:row>
    <x:row r="844" ht="60" customHeight="1">
      <x:c r="A844" s="9" t="str">
        <x:v>T3g3roUGVgs</x:v>
      </x:c>
      <x:c r="B844" s="10" t="str">
        <x:v>למה יש פילבוקס בכניסה לאשדוד? | בצד הדרך</x:v>
      </x:c>
      <x:c r="C844" s="10" t="str">
        <x:v>География и город</x:v>
      </x:c>
      <x:c r="D844" s="9" t="str">
        <x:v>Быт</x:v>
      </x:c>
      <x:c r="E844" s="10" t="str">
        <x:v>Город; путешествия; репатрианты</x:v>
      </x:c>
      <x:c r="F844" s="10" t="str">
        <x:v>B1–B2 (гипотеза)</x:v>
      </x:c>
      <x:c r="G844" s="12" t="n">
        <x:v>2.5</x:v>
      </x:c>
      <x:c r="H844" s="14" t="n">
        <x:v>119989</x:v>
      </x:c>
      <x:c r="I844" s="15" t="str">
        <x:v>Точный счётчик метаданных видео</x:v>
      </x:c>
      <x:c r="J844" s="14" t="n">
        <x:v>119000</x:v>
      </x:c>
      <x:c r="K844" s="14" t="n">
        <x:v>119000</x:v>
      </x:c>
      <x:c r="L844" s="12" t="n">
        <x:f>IF(COUNT(J844:K844)=2,IF(K844=0,"",J844/K844),"")</x:f>
        <x:v>1</x:v>
      </x:c>
      <x:c r="M844" s="10" t="str">
        <x:v>Завершённый короткий просмотр около 2 мин. Короткие истории мест помогают освоить страну через реальные маршруты и городскую среду.</x:v>
      </x:c>
      <x:c r="N844" s="10" t="str">
        <x:v>Дать устную инструкцию, как добраться; описать место.</x:v>
      </x:c>
      <x:c r="O844" s="10" t="str">
        <x:v>Проверить содержание</x:v>
      </x:c>
      <x:c r="P844" s="10" t="str">
        <x:v>Самостоятельное видео</x:v>
      </x:c>
      <x:c r="Q844" s="9" t="str">
        <x:v>Нет</x:v>
      </x:c>
      <x:c r="R844" s="9" t="str">
        <x:v>C047</x:v>
      </x:c>
      <x:c r="S844" s="9" t="str">
        <x:v>C047</x:v>
      </x:c>
      <x:c r="T844" s="10" t="str">
        <x:v>כאן | דיגיטל - תאגיד השידור הישראלי</x:v>
      </x:c>
      <x:c r="U844" s="11" t="str">
        <x:v>https://www.youtube.com/watch?v=T3g3roUGVgs</x:v>
      </x:c>
      <x:c r="V844" s="16" t="n">
        <x:v>46308</x:v>
      </x:c>
      <x:c r="W844" s="16" t="n">
        <x:v>45775</x:v>
      </x:c>
      <x:c r="X844" s="10" t="str">
        <x:v>Иврит предполагается по заголовку и источнику</x:v>
      </x:c>
      <x:c r="Y844" s="10" t="str">
        <x:v>Автоматическая дорожка HE по метаданным</x:v>
      </x:c>
      <x:c r="Z844" s="10" t="str">
        <x:v>Разрешено по метаданным</x:v>
      </x:c>
      <x:c r="AA844" s="10" t="str">
        <x:v>Метаданные видео; воспроизведение и содержание не проверены</x:v>
      </x:c>
      <x:c r="AB844" s="13" t="n">
        <x:f>IF(AND(ISNUMBER(H844),ISNUMBER(W844)),H844/MAX(1,'Обзор'!$B$4-W844),"")</x:f>
        <x:v>225.1200750469043</x:v>
      </x:c>
      <x:c r="AC844" s="17" t="str">
        <x:v>Не решено</x:v>
      </x:c>
      <x:c r="AD844" s="17" t="str">
        <x:v>Не проверено</x:v>
      </x:c>
      <x:c r="AE844" s="17" t="str">
        <x:v>Не проверено</x:v>
      </x:c>
      <x:c r="AF844" s="17" t="str">
        <x:v>Не проверено</x:v>
      </x:c>
      <x:c r="AG844" s="17" t="str">
        <x:v>Не решено</x:v>
      </x:c>
      <x:c r="AH844" s="17" t="str">
        <x:v>Не проверено</x:v>
      </x:c>
      <x:c r="AI844" s="10" t="str">
        <x:f>IF(AC844="Отклонить","Отклонено",IF(AND(AC844="Взять",COUNTIFS(AD844:AH844,"Да")=5),"Готово","Нужна редактура"))</x:f>
        <x:v>Нужна редактура</x:v>
      </x:c>
      <x:c r="AJ844" s="17" t="str"/>
      <x:c r="AK844" s="9" t="str">
        <x:v>https://www.youtube.com/playlist?list=PLXv9BeKApRvwpYz2zsSdzBKsODDzSWTmc</x:v>
      </x:c>
      <x:c r="AL844" s="9" t="n">
        <x:v>3</x:v>
      </x:c>
      <x:c r="AM844" s="9"/>
      <x:c r="AN844" s="9" t="n">
        <x:v>0</x:v>
      </x:c>
    </x:row>
    <x:row r="845" ht="60" customHeight="1">
      <x:c r="A845" s="9" t="str">
        <x:v>eX0eZNkwRdc</x:v>
      </x:c>
      <x:c r="B845" s="10" t="str">
        <x:v>האם מגרש הרוסים בירושלים שייך לרוסיה? 🪆  | בצד הדרך</x:v>
      </x:c>
      <x:c r="C845" s="10" t="str">
        <x:v>География и город</x:v>
      </x:c>
      <x:c r="D845" s="9" t="str">
        <x:v>Быт</x:v>
      </x:c>
      <x:c r="E845" s="10" t="str">
        <x:v>Город; путешествия; репатрианты</x:v>
      </x:c>
      <x:c r="F845" s="10" t="str">
        <x:v>B1–B2 (гипотеза)</x:v>
      </x:c>
      <x:c r="G845" s="12" t="n">
        <x:v>1.9</x:v>
      </x:c>
      <x:c r="H845" s="14" t="n">
        <x:v>28219</x:v>
      </x:c>
      <x:c r="I845" s="15" t="str">
        <x:v>Точный счётчик метаданных видео</x:v>
      </x:c>
      <x:c r="J845" s="14" t="n">
        <x:v>28000</x:v>
      </x:c>
      <x:c r="K845" s="14" t="n">
        <x:v>119000</x:v>
      </x:c>
      <x:c r="L845" s="12" t="n">
        <x:f>IF(COUNT(J845:K845)=2,IF(K845=0,"",J845/K845),"")</x:f>
        <x:v>0.23529411764705882</x:v>
      </x:c>
      <x:c r="M845" s="10" t="str">
        <x:v>Завершённый короткий просмотр около 2 мин. Просмотры ниже медианы цикла; выбирать за нишевую ценность, а не за массовый охват. Короткие истории мест помогают освоить страну через реальные маршруты и городскую среду.</x:v>
      </x:c>
      <x:c r="N845" s="10" t="str">
        <x:v>Дать устную инструкцию, как добраться; описать место.</x:v>
      </x:c>
      <x:c r="O845" s="10" t="str">
        <x:v>Проверить содержание</x:v>
      </x:c>
      <x:c r="P845" s="10" t="str">
        <x:v>Самостоятельное видео</x:v>
      </x:c>
      <x:c r="Q845" s="9" t="str">
        <x:v>Нет</x:v>
      </x:c>
      <x:c r="R845" s="9" t="str">
        <x:v>C047</x:v>
      </x:c>
      <x:c r="S845" s="9" t="str">
        <x:v>C047</x:v>
      </x:c>
      <x:c r="T845" s="10" t="str">
        <x:v>כאן | דיגיטל - תאגיד השידור הישראלי</x:v>
      </x:c>
      <x:c r="U845" s="11" t="str">
        <x:v>https://www.youtube.com/watch?v=eX0eZNkwRdc</x:v>
      </x:c>
      <x:c r="V845" s="16" t="n">
        <x:v>46308</x:v>
      </x:c>
      <x:c r="W845" s="16" t="n">
        <x:v>45726</x:v>
      </x:c>
      <x:c r="X845" s="10" t="str">
        <x:v>Иврит предполагается по заголовку и источнику</x:v>
      </x:c>
      <x:c r="Y845" s="10" t="str">
        <x:v>Автоматическая дорожка HE по метаданным</x:v>
      </x:c>
      <x:c r="Z845" s="10" t="str">
        <x:v>Разрешено по метаданным</x:v>
      </x:c>
      <x:c r="AA845" s="10" t="str">
        <x:v>Метаданные видео; воспроизведение и содержание не проверены</x:v>
      </x:c>
      <x:c r="AB845" s="13" t="n">
        <x:f>IF(AND(ISNUMBER(H845),ISNUMBER(W845)),H845/MAX(1,'Обзор'!$B$4-W845),"")</x:f>
        <x:v>48.486254295532646</x:v>
      </x:c>
      <x:c r="AC845" s="17" t="str">
        <x:v>Не решено</x:v>
      </x:c>
      <x:c r="AD845" s="17" t="str">
        <x:v>Не проверено</x:v>
      </x:c>
      <x:c r="AE845" s="17" t="str">
        <x:v>Не проверено</x:v>
      </x:c>
      <x:c r="AF845" s="17" t="str">
        <x:v>Не проверено</x:v>
      </x:c>
      <x:c r="AG845" s="17" t="str">
        <x:v>Не решено</x:v>
      </x:c>
      <x:c r="AH845" s="17" t="str">
        <x:v>Не проверено</x:v>
      </x:c>
      <x:c r="AI845" s="10" t="str">
        <x:f>IF(AC845="Отклонить","Отклонено",IF(AND(AC845="Взять",COUNTIFS(AD845:AH845,"Да")=5),"Готово","Нужна редактура"))</x:f>
        <x:v>Нужна редактура</x:v>
      </x:c>
      <x:c r="AJ845" s="17" t="str"/>
      <x:c r="AK845" s="9" t="str">
        <x:v>https://www.youtube.com/playlist?list=PLXv9BeKApRvwpYz2zsSdzBKsODDzSWTmc</x:v>
      </x:c>
      <x:c r="AL845" s="9" t="n">
        <x:v>4</x:v>
      </x:c>
      <x:c r="AM845" s="9"/>
      <x:c r="AN845" s="9" t="n">
        <x:v>0</x:v>
      </x:c>
    </x:row>
    <x:row r="846" ht="60" customHeight="1">
      <x:c r="A846" s="9" t="str">
        <x:v>vQ1SROPFCFQ</x:v>
      </x:c>
      <x:c r="B846" s="10" t="str">
        <x:v>למה יש כסא ענק בכביש החוף? 🪑 | בצד הדרך</x:v>
      </x:c>
      <x:c r="C846" s="10" t="str">
        <x:v>География и город</x:v>
      </x:c>
      <x:c r="D846" s="9" t="str">
        <x:v>Быт</x:v>
      </x:c>
      <x:c r="E846" s="10" t="str">
        <x:v>Город; путешествия; репатрианты</x:v>
      </x:c>
      <x:c r="F846" s="10" t="str">
        <x:v>B1–B2 (гипотеза)</x:v>
      </x:c>
      <x:c r="G846" s="12" t="n">
        <x:v>1.7</x:v>
      </x:c>
      <x:c r="H846" s="14" t="n">
        <x:v>126991</x:v>
      </x:c>
      <x:c r="I846" s="15" t="str">
        <x:v>Точный счётчик метаданных видео</x:v>
      </x:c>
      <x:c r="J846" s="14" t="n">
        <x:v>126000</x:v>
      </x:c>
      <x:c r="K846" s="14" t="n">
        <x:v>119000</x:v>
      </x:c>
      <x:c r="L846" s="12" t="n">
        <x:f>IF(COUNT(J846:K846)=2,IF(K846=0,"",J846/K846),"")</x:f>
        <x:v>1.0588235294117647</x:v>
      </x:c>
      <x:c r="M846" s="10" t="str">
        <x:v>Завершённый короткий просмотр около 2 мин. Короткие истории мест помогают освоить страну через реальные маршруты и городскую среду.</x:v>
      </x:c>
      <x:c r="N846" s="10" t="str">
        <x:v>Дать устную инструкцию, как добраться; описать место.</x:v>
      </x:c>
      <x:c r="O846" s="10" t="str">
        <x:v>Проверить содержание</x:v>
      </x:c>
      <x:c r="P846" s="10" t="str">
        <x:v>Самостоятельное видео</x:v>
      </x:c>
      <x:c r="Q846" s="9" t="str">
        <x:v>Нет</x:v>
      </x:c>
      <x:c r="R846" s="9" t="str">
        <x:v>C047</x:v>
      </x:c>
      <x:c r="S846" s="9" t="str">
        <x:v>C047</x:v>
      </x:c>
      <x:c r="T846" s="10" t="str">
        <x:v>כאן | דיגיטל - תאגיד השידור הישראלי</x:v>
      </x:c>
      <x:c r="U846" s="11" t="str">
        <x:v>https://www.youtube.com/watch?v=vQ1SROPFCFQ</x:v>
      </x:c>
      <x:c r="V846" s="16" t="n">
        <x:v>46308</x:v>
      </x:c>
      <x:c r="W846" s="16" t="n">
        <x:v>45707</x:v>
      </x:c>
      <x:c r="X846" s="10" t="str">
        <x:v>Иврит предполагается по заголовку и источнику</x:v>
      </x:c>
      <x:c r="Y846" s="10" t="str">
        <x:v>Автоматическая дорожка HE по метаданным</x:v>
      </x:c>
      <x:c r="Z846" s="10" t="str">
        <x:v>Разрешено по метаданным</x:v>
      </x:c>
      <x:c r="AA846" s="10" t="str">
        <x:v>Метаданные видео; воспроизведение и содержание не проверены</x:v>
      </x:c>
      <x:c r="AB846" s="13" t="n">
        <x:f>IF(AND(ISNUMBER(H846),ISNUMBER(W846)),H846/MAX(1,'Обзор'!$B$4-W846),"")</x:f>
        <x:v>211.29950083194674</x:v>
      </x:c>
      <x:c r="AC846" s="17" t="str">
        <x:v>Не решено</x:v>
      </x:c>
      <x:c r="AD846" s="17" t="str">
        <x:v>Не проверено</x:v>
      </x:c>
      <x:c r="AE846" s="17" t="str">
        <x:v>Не проверено</x:v>
      </x:c>
      <x:c r="AF846" s="17" t="str">
        <x:v>Не проверено</x:v>
      </x:c>
      <x:c r="AG846" s="17" t="str">
        <x:v>Не решено</x:v>
      </x:c>
      <x:c r="AH846" s="17" t="str">
        <x:v>Не проверено</x:v>
      </x:c>
      <x:c r="AI846" s="10" t="str">
        <x:f>IF(AC846="Отклонить","Отклонено",IF(AND(AC846="Взять",COUNTIFS(AD846:AH846,"Да")=5),"Готово","Нужна редактура"))</x:f>
        <x:v>Нужна редактура</x:v>
      </x:c>
      <x:c r="AJ846" s="17" t="str"/>
      <x:c r="AK846" s="9" t="str">
        <x:v>https://www.youtube.com/playlist?list=PLXv9BeKApRvwpYz2zsSdzBKsODDzSWTmc</x:v>
      </x:c>
      <x:c r="AL846" s="9" t="n">
        <x:v>5</x:v>
      </x:c>
      <x:c r="AM846" s="9"/>
      <x:c r="AN846" s="9" t="n">
        <x:v>0</x:v>
      </x:c>
    </x:row>
    <x:row r="847" ht="60" customHeight="1">
      <x:c r="A847" s="9" t="str">
        <x:v>gA5uAkKZpNA</x:v>
      </x:c>
      <x:c r="B847" s="10" t="str">
        <x:v>מה הסיפור של מגדל השעון ביפו? | בצד הדרך</x:v>
      </x:c>
      <x:c r="C847" s="10" t="str">
        <x:v>География и город</x:v>
      </x:c>
      <x:c r="D847" s="9" t="str">
        <x:v>Быт</x:v>
      </x:c>
      <x:c r="E847" s="10" t="str">
        <x:v>Город; путешествия; репатрианты</x:v>
      </x:c>
      <x:c r="F847" s="10" t="str">
        <x:v>B1–B2 (гипотеза)</x:v>
      </x:c>
      <x:c r="G847" s="12" t="n">
        <x:v>1.5</x:v>
      </x:c>
      <x:c r="H847" s="14" t="n">
        <x:v>10000</x:v>
      </x:c>
      <x:c r="I847" s="15" t="str">
        <x:v>Округлённый счётчик в списке YouTube</x:v>
      </x:c>
      <x:c r="J847" s="14" t="n">
        <x:v>10000</x:v>
      </x:c>
      <x:c r="K847" s="14" t="n">
        <x:v>119000</x:v>
      </x:c>
      <x:c r="L847" s="12" t="n">
        <x:f>IF(COUNT(J847:K847)=2,IF(K847=0,"",J847/K847),"")</x:f>
        <x:v>0.08403361344537816</x:v>
      </x:c>
      <x:c r="M847" s="10" t="str">
        <x:v>Завершённый короткий просмотр около 1 мин. Просмотры ниже медианы цикла; выбирать за нишевую ценность, а не за массовый охват. Короткие истории мест помогают освоить страну через реальные маршруты и городскую среду.</x:v>
      </x:c>
      <x:c r="N847" s="10" t="str">
        <x:v>Дать устную инструкцию, как добраться; описать место.</x:v>
      </x:c>
      <x:c r="O847" s="10" t="str">
        <x:v>Проверить содержание</x:v>
      </x:c>
      <x:c r="P847" s="10" t="str">
        <x:v>Самостоятельное видео</x:v>
      </x:c>
      <x:c r="Q847" s="9" t="str">
        <x:v>Нет</x:v>
      </x:c>
      <x:c r="R847" s="9" t="str">
        <x:v>C047</x:v>
      </x:c>
      <x:c r="S847" s="9" t="str">
        <x:v>C047</x:v>
      </x:c>
      <x:c r="T847" s="10" t="str">
        <x:v>כאן | דיגיטל - תאגיד השידור הישראלי</x:v>
      </x:c>
      <x:c r="U847" s="11" t="str">
        <x:v>https://www.youtube.com/watch?v=gA5uAkKZpNA</x:v>
      </x:c>
      <x:c r="V847" s="16" t="n">
        <x:v>46308</x:v>
      </x:c>
      <x:c r="W847" s="16"/>
      <x:c r="X847" s="10" t="str">
        <x:v>Иврит предполагается по заголовку и источнику</x:v>
      </x:c>
      <x:c r="Y847" s="10" t="str">
        <x:v>Не проверено</x:v>
      </x:c>
      <x:c r="Z847" s="10" t="str">
        <x:v>Не проверено</x:v>
      </x:c>
      <x:c r="AA847" s="10" t="str">
        <x:v>Метаданные списка; видео не просмотрено</x:v>
      </x:c>
      <x:c r="AB847" s="13" t="str">
        <x:f>IF(AND(ISNUMBER(H847),ISNUMBER(W847)),H847/MAX(1,'Обзор'!$B$4-W847),"")</x:f>
      </x:c>
      <x:c r="AC847" s="17" t="str">
        <x:v>Не решено</x:v>
      </x:c>
      <x:c r="AD847" s="17" t="str">
        <x:v>Не проверено</x:v>
      </x:c>
      <x:c r="AE847" s="17" t="str">
        <x:v>Не проверено</x:v>
      </x:c>
      <x:c r="AF847" s="17" t="str">
        <x:v>Не проверено</x:v>
      </x:c>
      <x:c r="AG847" s="17" t="str">
        <x:v>Не решено</x:v>
      </x:c>
      <x:c r="AH847" s="17" t="str">
        <x:v>Не проверено</x:v>
      </x:c>
      <x:c r="AI847" s="10" t="str">
        <x:f>IF(AC847="Отклонить","Отклонено",IF(AND(AC847="Взять",COUNTIFS(AD847:AH847,"Да")=5),"Готово","Нужна редактура"))</x:f>
        <x:v>Нужна редактура</x:v>
      </x:c>
      <x:c r="AJ847" s="17" t="str"/>
      <x:c r="AK847" s="9" t="str">
        <x:v>https://www.youtube.com/playlist?list=PLXv9BeKApRvwpYz2zsSdzBKsODDzSWTmc</x:v>
      </x:c>
      <x:c r="AL847" s="9" t="n">
        <x:v>6</x:v>
      </x:c>
      <x:c r="AM847" s="9"/>
      <x:c r="AN847" s="9"/>
    </x:row>
    <x:row r="848" ht="60" customHeight="1">
      <x:c r="A848" s="9" t="str">
        <x:v>EKhnmLYr9yU</x:v>
      </x:c>
      <x:c r="B848" s="10" t="str">
        <x:v>מה הסיפור של תחנות האוטובוס הענקיות עם העיצוב המוזר? | בצד הדרך</x:v>
      </x:c>
      <x:c r="C848" s="10" t="str">
        <x:v>География и город</x:v>
      </x:c>
      <x:c r="D848" s="9" t="str">
        <x:v>Быт</x:v>
      </x:c>
      <x:c r="E848" s="10" t="str">
        <x:v>Город; путешествия; репатрианты</x:v>
      </x:c>
      <x:c r="F848" s="10" t="str">
        <x:v>B1–B2 (гипотеза)</x:v>
      </x:c>
      <x:c r="G848" s="12" t="n">
        <x:v>1.5</x:v>
      </x:c>
      <x:c r="H848" s="14" t="n">
        <x:v>28000</x:v>
      </x:c>
      <x:c r="I848" s="15" t="str">
        <x:v>Округлённый счётчик в списке YouTube</x:v>
      </x:c>
      <x:c r="J848" s="14" t="n">
        <x:v>28000</x:v>
      </x:c>
      <x:c r="K848" s="14" t="n">
        <x:v>119000</x:v>
      </x:c>
      <x:c r="L848" s="12" t="n">
        <x:f>IF(COUNT(J848:K848)=2,IF(K848=0,"",J848/K848),"")</x:f>
        <x:v>0.23529411764705882</x:v>
      </x:c>
      <x:c r="M848" s="10" t="str">
        <x:v>Завершённый короткий просмотр около 2 мин. Просмотры ниже медианы цикла; выбирать за нишевую ценность, а не за массовый охват. Короткие истории мест помогают освоить страну через реальные маршруты и городскую среду.</x:v>
      </x:c>
      <x:c r="N848" s="10" t="str">
        <x:v>Дать устную инструкцию, как добраться; описать место.</x:v>
      </x:c>
      <x:c r="O848" s="10" t="str">
        <x:v>Проверить содержание</x:v>
      </x:c>
      <x:c r="P848" s="10" t="str">
        <x:v>Самостоятельное видео</x:v>
      </x:c>
      <x:c r="Q848" s="9" t="str">
        <x:v>Нет</x:v>
      </x:c>
      <x:c r="R848" s="9" t="str">
        <x:v>C047</x:v>
      </x:c>
      <x:c r="S848" s="9" t="str">
        <x:v>C047</x:v>
      </x:c>
      <x:c r="T848" s="10" t="str">
        <x:v>כאן | דיגיטל - תאגיד השידור הישראלי</x:v>
      </x:c>
      <x:c r="U848" s="11" t="str">
        <x:v>https://www.youtube.com/watch?v=EKhnmLYr9yU</x:v>
      </x:c>
      <x:c r="V848" s="16" t="n">
        <x:v>46308</x:v>
      </x:c>
      <x:c r="W848" s="16"/>
      <x:c r="X848" s="10" t="str">
        <x:v>Иврит предполагается по заголовку и источнику</x:v>
      </x:c>
      <x:c r="Y848" s="10" t="str">
        <x:v>Не проверено</x:v>
      </x:c>
      <x:c r="Z848" s="10" t="str">
        <x:v>Не проверено</x:v>
      </x:c>
      <x:c r="AA848" s="10" t="str">
        <x:v>Метаданные списка; видео не просмотрено</x:v>
      </x:c>
      <x:c r="AB848" s="13" t="str">
        <x:f>IF(AND(ISNUMBER(H848),ISNUMBER(W848)),H848/MAX(1,'Обзор'!$B$4-W848),"")</x:f>
      </x:c>
      <x:c r="AC848" s="17" t="str">
        <x:v>Не решено</x:v>
      </x:c>
      <x:c r="AD848" s="17" t="str">
        <x:v>Не проверено</x:v>
      </x:c>
      <x:c r="AE848" s="17" t="str">
        <x:v>Не проверено</x:v>
      </x:c>
      <x:c r="AF848" s="17" t="str">
        <x:v>Не проверено</x:v>
      </x:c>
      <x:c r="AG848" s="17" t="str">
        <x:v>Не решено</x:v>
      </x:c>
      <x:c r="AH848" s="17" t="str">
        <x:v>Не проверено</x:v>
      </x:c>
      <x:c r="AI848" s="10" t="str">
        <x:f>IF(AC848="Отклонить","Отклонено",IF(AND(AC848="Взять",COUNTIFS(AD848:AH848,"Да")=5),"Готово","Нужна редактура"))</x:f>
        <x:v>Нужна редактура</x:v>
      </x:c>
      <x:c r="AJ848" s="17" t="str"/>
      <x:c r="AK848" s="9" t="str">
        <x:v>https://www.youtube.com/playlist?list=PLXv9BeKApRvwpYz2zsSdzBKsODDzSWTmc</x:v>
      </x:c>
      <x:c r="AL848" s="9" t="n">
        <x:v>7</x:v>
      </x:c>
      <x:c r="AM848" s="9"/>
      <x:c r="AN848" s="9"/>
    </x:row>
    <x:row r="849" ht="60" customHeight="1">
      <x:c r="A849" s="9" t="str">
        <x:v>Fry5_P-M6co</x:v>
      </x:c>
      <x:c r="B849" s="10" t="str">
        <x:v>"אנשים יושבים כל היום עם מחשבים, הם רוצים להתנתק": יום בחיי משיט סירות טורנדו | זום אין</x:v>
      </x:c>
      <x:c r="C849" s="10" t="str">
        <x:v>Профессии и работа</x:v>
      </x:c>
      <x:c r="D849" s="9" t="str">
        <x:v>Быт</x:v>
      </x:c>
      <x:c r="E849" s="10" t="str">
        <x:v>Карьера; репатрианты; общество</x:v>
      </x:c>
      <x:c r="F849" s="10" t="str">
        <x:v>B1–B2 (гипотеза)</x:v>
      </x:c>
      <x:c r="G849" s="12" t="n">
        <x:v>5.7</x:v>
      </x:c>
      <x:c r="H849" s="14" t="n">
        <x:v>46000</x:v>
      </x:c>
      <x:c r="I849" s="15" t="str">
        <x:v>Округлённый счётчик в списке YouTube</x:v>
      </x:c>
      <x:c r="J849" s="14" t="n">
        <x:v>46000</x:v>
      </x:c>
      <x:c r="K849" s="14" t="n">
        <x:v>322000</x:v>
      </x:c>
      <x:c r="L849" s="12" t="n">
        <x:f>IF(COUNT(J849:K849)=2,IF(K849=0,"",J849/K849),"")</x:f>
        <x:v>0.14285714285714285</x:v>
      </x:c>
      <x:c r="M849" s="10" t="str">
        <x:v>Завершённый короткий просмотр около 6 мин. Просмотры ниже медианы цикла; выбирать за нишевую ценность, а не за массовый охват. День в жизни специалиста связывает язык с конкретными действиями и рабочей средой.</x:v>
      </x:c>
      <x:c r="N849" s="10" t="str">
        <x:v>Составить рассказ о рабочем дне и 8 профессиональных глаголов.</x:v>
      </x:c>
      <x:c r="O849" s="10" t="str">
        <x:v>Проверить содержание</x:v>
      </x:c>
      <x:c r="P849" s="10" t="str">
        <x:v>Самостоятельное видео</x:v>
      </x:c>
      <x:c r="Q849" s="9" t="str">
        <x:v>Нет</x:v>
      </x:c>
      <x:c r="R849" s="9" t="str">
        <x:v>C048</x:v>
      </x:c>
      <x:c r="S849" s="9" t="str">
        <x:v>C048</x:v>
      </x:c>
      <x:c r="T849" s="10" t="str">
        <x:v>כאן | דיגיטל - תאגיד השידור הישראלי</x:v>
      </x:c>
      <x:c r="U849" s="11" t="str">
        <x:v>https://www.youtube.com/watch?v=Fry5_P-M6co</x:v>
      </x:c>
      <x:c r="V849" s="16" t="n">
        <x:v>46308</x:v>
      </x:c>
      <x:c r="W849" s="16"/>
      <x:c r="X849" s="10" t="str">
        <x:v>Иврит предполагается по заголовку и источнику</x:v>
      </x:c>
      <x:c r="Y849" s="10" t="str">
        <x:v>Не проверено</x:v>
      </x:c>
      <x:c r="Z849" s="10" t="str">
        <x:v>Не проверено</x:v>
      </x:c>
      <x:c r="AA849" s="10" t="str">
        <x:v>Метаданные списка; видео не просмотрено</x:v>
      </x:c>
      <x:c r="AB849" s="13" t="str">
        <x:f>IF(AND(ISNUMBER(H849),ISNUMBER(W849)),H849/MAX(1,'Обзор'!$B$4-W849),"")</x:f>
      </x:c>
      <x:c r="AC849" s="17" t="str">
        <x:v>Не решено</x:v>
      </x:c>
      <x:c r="AD849" s="17" t="str">
        <x:v>Не проверено</x:v>
      </x:c>
      <x:c r="AE849" s="17" t="str">
        <x:v>Не проверено</x:v>
      </x:c>
      <x:c r="AF849" s="17" t="str">
        <x:v>Не проверено</x:v>
      </x:c>
      <x:c r="AG849" s="17" t="str">
        <x:v>Не решено</x:v>
      </x:c>
      <x:c r="AH849" s="17" t="str">
        <x:v>Не проверено</x:v>
      </x:c>
      <x:c r="AI849" s="10" t="str">
        <x:f>IF(AC849="Отклонить","Отклонено",IF(AND(AC849="Взять",COUNTIFS(AD849:AH849,"Да")=5),"Готово","Нужна редактура"))</x:f>
        <x:v>Нужна редактура</x:v>
      </x:c>
      <x:c r="AJ849" s="17" t="str"/>
      <x:c r="AK849" s="9" t="str">
        <x:v>https://www.youtube.com/playlist?list=PLXv9BeKApRvyYqYs4hCwY29qbl-_BqSBc</x:v>
      </x:c>
      <x:c r="AL849" s="9" t="n">
        <x:v>1</x:v>
      </x:c>
      <x:c r="AM849" s="9"/>
      <x:c r="AN849" s="9"/>
    </x:row>
    <x:row r="850" ht="60" customHeight="1">
      <x:c r="A850" s="9" t="str">
        <x:v>0LSNHXGyInI</x:v>
      </x:c>
      <x:c r="B850" s="10" t="str">
        <x:v>הרס"ר שעשה מעל 900 טקסים וחולם לפקד על טקס הסכם שלום | זום אין</x:v>
      </x:c>
      <x:c r="C850" s="10" t="str">
        <x:v>Профессии и работа</x:v>
      </x:c>
      <x:c r="D850" s="9" t="str">
        <x:v>Быт</x:v>
      </x:c>
      <x:c r="E850" s="10" t="str">
        <x:v>Карьера; репатрианты; общество</x:v>
      </x:c>
      <x:c r="F850" s="10" t="str">
        <x:v>B1–B2 (гипотеза)</x:v>
      </x:c>
      <x:c r="G850" s="12" t="n">
        <x:v>6.1</x:v>
      </x:c>
      <x:c r="H850" s="14" t="n">
        <x:v>54000</x:v>
      </x:c>
      <x:c r="I850" s="15" t="str">
        <x:v>Округлённый счётчик в списке YouTube</x:v>
      </x:c>
      <x:c r="J850" s="14" t="n">
        <x:v>54000</x:v>
      </x:c>
      <x:c r="K850" s="14" t="n">
        <x:v>322000</x:v>
      </x:c>
      <x:c r="L850" s="12" t="n">
        <x:f>IF(COUNT(J850:K850)=2,IF(K850=0,"",J850/K850),"")</x:f>
        <x:v>0.16770186335403728</x:v>
      </x:c>
      <x:c r="M850" s="10" t="str">
        <x:v>Завершённый короткий просмотр около 6 мин. Просмотры ниже медианы цикла; выбирать за нишевую ценность, а не за массовый охват. День в жизни специалиста связывает язык с конкретными действиями и рабочей средой.</x:v>
      </x:c>
      <x:c r="N850" s="10" t="str">
        <x:v>Составить рассказ о рабочем дне и 8 профессиональных глаголов.</x:v>
      </x:c>
      <x:c r="O850" s="10" t="str">
        <x:v>Проверить содержание</x:v>
      </x:c>
      <x:c r="P850" s="10" t="str">
        <x:v>Самостоятельное видео</x:v>
      </x:c>
      <x:c r="Q850" s="9" t="str">
        <x:v>Нет</x:v>
      </x:c>
      <x:c r="R850" s="9" t="str">
        <x:v>C048</x:v>
      </x:c>
      <x:c r="S850" s="9" t="str">
        <x:v>C048</x:v>
      </x:c>
      <x:c r="T850" s="10" t="str">
        <x:v>כאן | דיגיטל - תאגיד השידור הישראלי</x:v>
      </x:c>
      <x:c r="U850" s="11" t="str">
        <x:v>https://www.youtube.com/watch?v=0LSNHXGyInI</x:v>
      </x:c>
      <x:c r="V850" s="16" t="n">
        <x:v>46308</x:v>
      </x:c>
      <x:c r="W850" s="16"/>
      <x:c r="X850" s="10" t="str">
        <x:v>Иврит предполагается по заголовку и источнику</x:v>
      </x:c>
      <x:c r="Y850" s="10" t="str">
        <x:v>Не проверено</x:v>
      </x:c>
      <x:c r="Z850" s="10" t="str">
        <x:v>Не проверено</x:v>
      </x:c>
      <x:c r="AA850" s="10" t="str">
        <x:v>Метаданные списка; видео не просмотрено</x:v>
      </x:c>
      <x:c r="AB850" s="13" t="str">
        <x:f>IF(AND(ISNUMBER(H850),ISNUMBER(W850)),H850/MAX(1,'Обзор'!$B$4-W850),"")</x:f>
      </x:c>
      <x:c r="AC850" s="17" t="str">
        <x:v>Не решено</x:v>
      </x:c>
      <x:c r="AD850" s="17" t="str">
        <x:v>Не проверено</x:v>
      </x:c>
      <x:c r="AE850" s="17" t="str">
        <x:v>Не проверено</x:v>
      </x:c>
      <x:c r="AF850" s="17" t="str">
        <x:v>Не проверено</x:v>
      </x:c>
      <x:c r="AG850" s="17" t="str">
        <x:v>Не решено</x:v>
      </x:c>
      <x:c r="AH850" s="17" t="str">
        <x:v>Не проверено</x:v>
      </x:c>
      <x:c r="AI850" s="10" t="str">
        <x:f>IF(AC850="Отклонить","Отклонено",IF(AND(AC850="Взять",COUNTIFS(AD850:AH850,"Да")=5),"Готово","Нужна редактура"))</x:f>
        <x:v>Нужна редактура</x:v>
      </x:c>
      <x:c r="AJ850" s="17" t="str"/>
      <x:c r="AK850" s="9" t="str">
        <x:v>https://www.youtube.com/playlist?list=PLXv9BeKApRvyYqYs4hCwY29qbl-_BqSBc</x:v>
      </x:c>
      <x:c r="AL850" s="9" t="n">
        <x:v>2</x:v>
      </x:c>
      <x:c r="AM850" s="9"/>
      <x:c r="AN850" s="9"/>
    </x:row>
    <x:row r="851" ht="60" customHeight="1">
      <x:c r="A851" s="9" t="str">
        <x:v>fa-YCsxMEvA</x:v>
      </x:c>
      <x:c r="B851" s="10" t="str">
        <x:v>"בושה! בושה! בושה שאתם לא קונים" | זום אין: מוכר בייגלה בהפגנות</x:v>
      </x:c>
      <x:c r="C851" s="10" t="str">
        <x:v>Профессии и работа</x:v>
      </x:c>
      <x:c r="D851" s="9" t="str">
        <x:v>Быт</x:v>
      </x:c>
      <x:c r="E851" s="10" t="str">
        <x:v>Карьера; репатрианты; общество</x:v>
      </x:c>
      <x:c r="F851" s="10" t="str">
        <x:v>B1–B2 (гипотеза)</x:v>
      </x:c>
      <x:c r="G851" s="12" t="n">
        <x:v>3.2</x:v>
      </x:c>
      <x:c r="H851" s="14" t="n">
        <x:v>28000</x:v>
      </x:c>
      <x:c r="I851" s="15" t="str">
        <x:v>Округлённый счётчик в списке YouTube</x:v>
      </x:c>
      <x:c r="J851" s="14" t="n">
        <x:v>28000</x:v>
      </x:c>
      <x:c r="K851" s="14" t="n">
        <x:v>322000</x:v>
      </x:c>
      <x:c r="L851" s="12" t="n">
        <x:f>IF(COUNT(J851:K851)=2,IF(K851=0,"",J851/K851),"")</x:f>
        <x:v>0.08695652173913043</x:v>
      </x:c>
      <x:c r="M851" s="10" t="str">
        <x:v>Завершённый короткий просмотр около 3 мин. Просмотры ниже медианы цикла; выбирать за нишевую ценность, а не за массовый охват. День в жизни специалиста связывает язык с конкретными действиями и рабочей средой.</x:v>
      </x:c>
      <x:c r="N851" s="10" t="str">
        <x:v>Составить рассказ о рабочем дне и 8 профессиональных глаголов.</x:v>
      </x:c>
      <x:c r="O851" s="10" t="str">
        <x:v>Проверить содержание</x:v>
      </x:c>
      <x:c r="P851" s="10" t="str">
        <x:v>Самостоятельное видео</x:v>
      </x:c>
      <x:c r="Q851" s="9" t="str">
        <x:v>Нет</x:v>
      </x:c>
      <x:c r="R851" s="9" t="str">
        <x:v>C048</x:v>
      </x:c>
      <x:c r="S851" s="9" t="str">
        <x:v>C048</x:v>
      </x:c>
      <x:c r="T851" s="10" t="str">
        <x:v>כאן | דיגיטל - תאגיד השידור הישראלי</x:v>
      </x:c>
      <x:c r="U851" s="11" t="str">
        <x:v>https://www.youtube.com/watch?v=fa-YCsxMEvA</x:v>
      </x:c>
      <x:c r="V851" s="16" t="n">
        <x:v>46308</x:v>
      </x:c>
      <x:c r="W851" s="16"/>
      <x:c r="X851" s="10" t="str">
        <x:v>Иврит предполагается по заголовку и источнику</x:v>
      </x:c>
      <x:c r="Y851" s="10" t="str">
        <x:v>Не проверено</x:v>
      </x:c>
      <x:c r="Z851" s="10" t="str">
        <x:v>Не проверено</x:v>
      </x:c>
      <x:c r="AA851" s="10" t="str">
        <x:v>Метаданные списка; видео не просмотрено</x:v>
      </x:c>
      <x:c r="AB851" s="13" t="str">
        <x:f>IF(AND(ISNUMBER(H851),ISNUMBER(W851)),H851/MAX(1,'Обзор'!$B$4-W851),"")</x:f>
      </x:c>
      <x:c r="AC851" s="17" t="str">
        <x:v>Не решено</x:v>
      </x:c>
      <x:c r="AD851" s="17" t="str">
        <x:v>Не проверено</x:v>
      </x:c>
      <x:c r="AE851" s="17" t="str">
        <x:v>Не проверено</x:v>
      </x:c>
      <x:c r="AF851" s="17" t="str">
        <x:v>Не проверено</x:v>
      </x:c>
      <x:c r="AG851" s="17" t="str">
        <x:v>Не решено</x:v>
      </x:c>
      <x:c r="AH851" s="17" t="str">
        <x:v>Не проверено</x:v>
      </x:c>
      <x:c r="AI851" s="10" t="str">
        <x:f>IF(AC851="Отклонить","Отклонено",IF(AND(AC851="Взять",COUNTIFS(AD851:AH851,"Да")=5),"Готово","Нужна редактура"))</x:f>
        <x:v>Нужна редактура</x:v>
      </x:c>
      <x:c r="AJ851" s="17" t="str"/>
      <x:c r="AK851" s="9" t="str">
        <x:v>https://www.youtube.com/playlist?list=PLXv9BeKApRvyYqYs4hCwY29qbl-_BqSBc</x:v>
      </x:c>
      <x:c r="AL851" s="9" t="n">
        <x:v>3</x:v>
      </x:c>
      <x:c r="AM851" s="9"/>
      <x:c r="AN851" s="9"/>
    </x:row>
    <x:row r="852" ht="60" customHeight="1">
      <x:c r="A852" s="9" t="str">
        <x:v>rb8lq6nXsQQ</x:v>
      </x:c>
      <x:c r="B852" s="10" t="str">
        <x:v>חזי דין: "אשתי אמרה לי שאני הקוסם הכי גרוע שהיא ראתה" | זום אין: קוסם</x:v>
      </x:c>
      <x:c r="C852" s="10" t="str">
        <x:v>Профессии и работа</x:v>
      </x:c>
      <x:c r="D852" s="9" t="str">
        <x:v>Быт</x:v>
      </x:c>
      <x:c r="E852" s="10" t="str">
        <x:v>Карьера; репатрианты; общество</x:v>
      </x:c>
      <x:c r="F852" s="10" t="str">
        <x:v>B1–B2 (гипотеза)</x:v>
      </x:c>
      <x:c r="G852" s="12" t="n">
        <x:v>5.1</x:v>
      </x:c>
      <x:c r="H852" s="14" t="n">
        <x:v>29000</x:v>
      </x:c>
      <x:c r="I852" s="15" t="str">
        <x:v>Округлённый счётчик в списке YouTube</x:v>
      </x:c>
      <x:c r="J852" s="14" t="n">
        <x:v>29000</x:v>
      </x:c>
      <x:c r="K852" s="14" t="n">
        <x:v>322000</x:v>
      </x:c>
      <x:c r="L852" s="12" t="n">
        <x:f>IF(COUNT(J852:K852)=2,IF(K852=0,"",J852/K852),"")</x:f>
        <x:v>0.09006211180124224</x:v>
      </x:c>
      <x:c r="M852" s="10" t="str">
        <x:v>Завершённый короткий просмотр около 5 мин. Просмотры ниже медианы цикла; выбирать за нишевую ценность, а не за массовый охват. День в жизни специалиста связывает язык с конкретными действиями и рабочей средой.</x:v>
      </x:c>
      <x:c r="N852" s="10" t="str">
        <x:v>Составить рассказ о рабочем дне и 8 профессиональных глаголов.</x:v>
      </x:c>
      <x:c r="O852" s="10" t="str">
        <x:v>Проверить содержание</x:v>
      </x:c>
      <x:c r="P852" s="10" t="str">
        <x:v>Самостоятельное видео</x:v>
      </x:c>
      <x:c r="Q852" s="9" t="str">
        <x:v>Нет</x:v>
      </x:c>
      <x:c r="R852" s="9" t="str">
        <x:v>C048</x:v>
      </x:c>
      <x:c r="S852" s="9" t="str">
        <x:v>C048</x:v>
      </x:c>
      <x:c r="T852" s="10" t="str">
        <x:v>כאן | דיגיטל - תאגיד השידור הישראלי</x:v>
      </x:c>
      <x:c r="U852" s="11" t="str">
        <x:v>https://www.youtube.com/watch?v=rb8lq6nXsQQ</x:v>
      </x:c>
      <x:c r="V852" s="16" t="n">
        <x:v>46308</x:v>
      </x:c>
      <x:c r="W852" s="16"/>
      <x:c r="X852" s="10" t="str">
        <x:v>Иврит предполагается по заголовку и источнику</x:v>
      </x:c>
      <x:c r="Y852" s="10" t="str">
        <x:v>Не проверено</x:v>
      </x:c>
      <x:c r="Z852" s="10" t="str">
        <x:v>Не проверено</x:v>
      </x:c>
      <x:c r="AA852" s="10" t="str">
        <x:v>Метаданные списка; видео не просмотрено</x:v>
      </x:c>
      <x:c r="AB852" s="13" t="str">
        <x:f>IF(AND(ISNUMBER(H852),ISNUMBER(W852)),H852/MAX(1,'Обзор'!$B$4-W852),"")</x:f>
      </x:c>
      <x:c r="AC852" s="17" t="str">
        <x:v>Не решено</x:v>
      </x:c>
      <x:c r="AD852" s="17" t="str">
        <x:v>Не проверено</x:v>
      </x:c>
      <x:c r="AE852" s="17" t="str">
        <x:v>Не проверено</x:v>
      </x:c>
      <x:c r="AF852" s="17" t="str">
        <x:v>Не проверено</x:v>
      </x:c>
      <x:c r="AG852" s="17" t="str">
        <x:v>Не решено</x:v>
      </x:c>
      <x:c r="AH852" s="17" t="str">
        <x:v>Не проверено</x:v>
      </x:c>
      <x:c r="AI852" s="10" t="str">
        <x:f>IF(AC852="Отклонить","Отклонено",IF(AND(AC852="Взять",COUNTIFS(AD852:AH852,"Да")=5),"Готово","Нужна редактура"))</x:f>
        <x:v>Нужна редактура</x:v>
      </x:c>
      <x:c r="AJ852" s="17" t="str"/>
      <x:c r="AK852" s="9" t="str">
        <x:v>https://www.youtube.com/playlist?list=PLXv9BeKApRvyYqYs4hCwY29qbl-_BqSBc</x:v>
      </x:c>
      <x:c r="AL852" s="9" t="n">
        <x:v>4</x:v>
      </x:c>
      <x:c r="AM852" s="9"/>
      <x:c r="AN852" s="9"/>
    </x:row>
    <x:row r="853" ht="60" customHeight="1">
      <x:c r="A853" s="9" t="str">
        <x:v>RqXT8GqRXXY</x:v>
      </x:c>
      <x:c r="B853" s="10" t="str">
        <x:v>רוני מראה לגברים מי הבוס במגרש | זום אין: שופטת כדורגל</x:v>
      </x:c>
      <x:c r="C853" s="10" t="str">
        <x:v>Профессии и работа</x:v>
      </x:c>
      <x:c r="D853" s="9" t="str">
        <x:v>Быт</x:v>
      </x:c>
      <x:c r="E853" s="10" t="str">
        <x:v>Карьера; репатрианты; общество</x:v>
      </x:c>
      <x:c r="F853" s="10" t="str">
        <x:v>B1–B2 (гипотеза)</x:v>
      </x:c>
      <x:c r="G853" s="12" t="n">
        <x:v>5.6</x:v>
      </x:c>
      <x:c r="H853" s="14" t="n">
        <x:v>52000</x:v>
      </x:c>
      <x:c r="I853" s="15" t="str">
        <x:v>Округлённый счётчик в списке YouTube</x:v>
      </x:c>
      <x:c r="J853" s="14" t="n">
        <x:v>52000</x:v>
      </x:c>
      <x:c r="K853" s="14" t="n">
        <x:v>322000</x:v>
      </x:c>
      <x:c r="L853" s="12" t="n">
        <x:f>IF(COUNT(J853:K853)=2,IF(K853=0,"",J853/K853),"")</x:f>
        <x:v>0.16149068322981366</x:v>
      </x:c>
      <x:c r="M853" s="10" t="str">
        <x:v>Завершённый короткий просмотр около 6 мин. Просмотры ниже медианы цикла; выбирать за нишевую ценность, а не за массовый охват. День в жизни специалиста связывает язык с конкретными действиями и рабочей средой.</x:v>
      </x:c>
      <x:c r="N853" s="10" t="str">
        <x:v>Составить рассказ о рабочем дне и 8 профессиональных глаголов.</x:v>
      </x:c>
      <x:c r="O853" s="10" t="str">
        <x:v>Проверить содержание</x:v>
      </x:c>
      <x:c r="P853" s="10" t="str">
        <x:v>Самостоятельное видео</x:v>
      </x:c>
      <x:c r="Q853" s="9" t="str">
        <x:v>Нет</x:v>
      </x:c>
      <x:c r="R853" s="9" t="str">
        <x:v>C048</x:v>
      </x:c>
      <x:c r="S853" s="9" t="str">
        <x:v>C048</x:v>
      </x:c>
      <x:c r="T853" s="10" t="str">
        <x:v>כאן | דיגיטל - תאגיד השידור הישראלי</x:v>
      </x:c>
      <x:c r="U853" s="11" t="str">
        <x:v>https://www.youtube.com/watch?v=RqXT8GqRXXY</x:v>
      </x:c>
      <x:c r="V853" s="16" t="n">
        <x:v>46308</x:v>
      </x:c>
      <x:c r="W853" s="16"/>
      <x:c r="X853" s="10" t="str">
        <x:v>Иврит предполагается по заголовку и источнику</x:v>
      </x:c>
      <x:c r="Y853" s="10" t="str">
        <x:v>Не проверено</x:v>
      </x:c>
      <x:c r="Z853" s="10" t="str">
        <x:v>Не проверено</x:v>
      </x:c>
      <x:c r="AA853" s="10" t="str">
        <x:v>Метаданные списка; видео не просмотрено</x:v>
      </x:c>
      <x:c r="AB853" s="13" t="str">
        <x:f>IF(AND(ISNUMBER(H853),ISNUMBER(W853)),H853/MAX(1,'Обзор'!$B$4-W853),"")</x:f>
      </x:c>
      <x:c r="AC853" s="17" t="str">
        <x:v>Не решено</x:v>
      </x:c>
      <x:c r="AD853" s="17" t="str">
        <x:v>Не проверено</x:v>
      </x:c>
      <x:c r="AE853" s="17" t="str">
        <x:v>Не проверено</x:v>
      </x:c>
      <x:c r="AF853" s="17" t="str">
        <x:v>Не проверено</x:v>
      </x:c>
      <x:c r="AG853" s="17" t="str">
        <x:v>Не решено</x:v>
      </x:c>
      <x:c r="AH853" s="17" t="str">
        <x:v>Не проверено</x:v>
      </x:c>
      <x:c r="AI853" s="10" t="str">
        <x:f>IF(AC853="Отклонить","Отклонено",IF(AND(AC853="Взять",COUNTIFS(AD853:AH853,"Да")=5),"Готово","Нужна редактура"))</x:f>
        <x:v>Нужна редактура</x:v>
      </x:c>
      <x:c r="AJ853" s="17" t="str"/>
      <x:c r="AK853" s="9" t="str">
        <x:v>https://www.youtube.com/playlist?list=PLXv9BeKApRvyYqYs4hCwY29qbl-_BqSBc</x:v>
      </x:c>
      <x:c r="AL853" s="9" t="n">
        <x:v>5</x:v>
      </x:c>
      <x:c r="AM853" s="9"/>
      <x:c r="AN853" s="9"/>
    </x:row>
    <x:row r="854" ht="60" customHeight="1">
      <x:c r="A854" s="9" t="str">
        <x:v>OEIOWo3fivk</x:v>
      </x:c>
      <x:c r="B854" s="10" t="str">
        <x:v>איך מפיקים מסיבה עם 35 אלף איש?</x:v>
      </x:c>
      <x:c r="C854" s="10" t="str">
        <x:v>Профессии и работа</x:v>
      </x:c>
      <x:c r="D854" s="9" t="str">
        <x:v>Быт</x:v>
      </x:c>
      <x:c r="E854" s="10" t="str">
        <x:v>Карьера; репатрианты; общество</x:v>
      </x:c>
      <x:c r="F854" s="10" t="str">
        <x:v>B1–B2 (гипотеза)</x:v>
      </x:c>
      <x:c r="G854" s="12" t="n">
        <x:v>9</x:v>
      </x:c>
      <x:c r="H854" s="14" t="n">
        <x:v>71000</x:v>
      </x:c>
      <x:c r="I854" s="15" t="str">
        <x:v>Округлённый счётчик в списке YouTube</x:v>
      </x:c>
      <x:c r="J854" s="14" t="n">
        <x:v>71000</x:v>
      </x:c>
      <x:c r="K854" s="14" t="n">
        <x:v>322000</x:v>
      </x:c>
      <x:c r="L854" s="12" t="n">
        <x:f>IF(COUNT(J854:K854)=2,IF(K854=0,"",J854/K854),"")</x:f>
        <x:v>0.2204968944099379</x:v>
      </x:c>
      <x:c r="M854" s="10" t="str">
        <x:v>Завершённый короткий просмотр около 9 мин. Просмотры ниже медианы цикла; выбирать за нишевую ценность, а не за массовый охват. День в жизни специалиста связывает язык с конкретными действиями и рабочей средой.</x:v>
      </x:c>
      <x:c r="N854" s="10" t="str">
        <x:v>Составить рассказ о рабочем дне и 8 профессиональных глаголов.</x:v>
      </x:c>
      <x:c r="O854" s="10" t="str">
        <x:v>Проверить содержание</x:v>
      </x:c>
      <x:c r="P854" s="10" t="str">
        <x:v>Самостоятельное видео</x:v>
      </x:c>
      <x:c r="Q854" s="9" t="str">
        <x:v>Нет</x:v>
      </x:c>
      <x:c r="R854" s="9" t="str">
        <x:v>C048</x:v>
      </x:c>
      <x:c r="S854" s="9" t="str">
        <x:v>C048</x:v>
      </x:c>
      <x:c r="T854" s="10" t="str">
        <x:v>כאן | דיגיטל - תאגיד השידור הישראלי</x:v>
      </x:c>
      <x:c r="U854" s="11" t="str">
        <x:v>https://www.youtube.com/watch?v=OEIOWo3fivk</x:v>
      </x:c>
      <x:c r="V854" s="16" t="n">
        <x:v>46308</x:v>
      </x:c>
      <x:c r="W854" s="16"/>
      <x:c r="X854" s="10" t="str">
        <x:v>Иврит предполагается по заголовку и источнику</x:v>
      </x:c>
      <x:c r="Y854" s="10" t="str">
        <x:v>Не проверено</x:v>
      </x:c>
      <x:c r="Z854" s="10" t="str">
        <x:v>Не проверено</x:v>
      </x:c>
      <x:c r="AA854" s="10" t="str">
        <x:v>Метаданные списка; видео не просмотрено</x:v>
      </x:c>
      <x:c r="AB854" s="13" t="str">
        <x:f>IF(AND(ISNUMBER(H854),ISNUMBER(W854)),H854/MAX(1,'Обзор'!$B$4-W854),"")</x:f>
      </x:c>
      <x:c r="AC854" s="17" t="str">
        <x:v>Не решено</x:v>
      </x:c>
      <x:c r="AD854" s="17" t="str">
        <x:v>Не проверено</x:v>
      </x:c>
      <x:c r="AE854" s="17" t="str">
        <x:v>Не проверено</x:v>
      </x:c>
      <x:c r="AF854" s="17" t="str">
        <x:v>Не проверено</x:v>
      </x:c>
      <x:c r="AG854" s="17" t="str">
        <x:v>Не решено</x:v>
      </x:c>
      <x:c r="AH854" s="17" t="str">
        <x:v>Не проверено</x:v>
      </x:c>
      <x:c r="AI854" s="10" t="str">
        <x:f>IF(AC854="Отклонить","Отклонено",IF(AND(AC854="Взять",COUNTIFS(AD854:AH854,"Да")=5),"Готово","Нужна редактура"))</x:f>
        <x:v>Нужна редактура</x:v>
      </x:c>
      <x:c r="AJ854" s="17" t="str"/>
      <x:c r="AK854" s="9" t="str">
        <x:v>https://www.youtube.com/playlist?list=PLXv9BeKApRvyYqYs4hCwY29qbl-_BqSBc</x:v>
      </x:c>
      <x:c r="AL854" s="9" t="n">
        <x:v>6</x:v>
      </x:c>
      <x:c r="AM854" s="9"/>
      <x:c r="AN854" s="9"/>
    </x:row>
    <x:row r="855" ht="60" customHeight="1">
      <x:c r="A855" s="9" t="str">
        <x:v>AElBLKhuhO4</x:v>
      </x:c>
      <x:c r="B855" s="10" t="str">
        <x:v>"כשזה ייגמר, תבוא צרה אחרת'': יום בחיי דוגם קורונה | זום אין</x:v>
      </x:c>
      <x:c r="C855" s="10" t="str">
        <x:v>Профессии и работа</x:v>
      </x:c>
      <x:c r="D855" s="9" t="str">
        <x:v>Быт</x:v>
      </x:c>
      <x:c r="E855" s="10" t="str">
        <x:v>Карьера; репатрианты; общество</x:v>
      </x:c>
      <x:c r="F855" s="10" t="str">
        <x:v>B1–B2 (гипотеза)</x:v>
      </x:c>
      <x:c r="G855" s="12" t="n">
        <x:v>6.1</x:v>
      </x:c>
      <x:c r="H855" s="14" t="n">
        <x:v>21000</x:v>
      </x:c>
      <x:c r="I855" s="15" t="str">
        <x:v>Округлённый счётчик в списке YouTube</x:v>
      </x:c>
      <x:c r="J855" s="14" t="n">
        <x:v>21000</x:v>
      </x:c>
      <x:c r="K855" s="14" t="n">
        <x:v>322000</x:v>
      </x:c>
      <x:c r="L855" s="12" t="n">
        <x:f>IF(COUNT(J855:K855)=2,IF(K855=0,"",J855/K855),"")</x:f>
        <x:v>0.06521739130434782</x:v>
      </x:c>
      <x:c r="M855" s="10" t="str">
        <x:v>Завершённый короткий просмотр около 6 мин. Просмотры ниже медианы цикла; выбирать за нишевую ценность, а не за массовый охват. День в жизни специалиста связывает язык с конкретными действиями и рабочей средой.</x:v>
      </x:c>
      <x:c r="N855" s="10" t="str">
        <x:v>Составить рассказ о рабочем дне и 8 профессиональных глаголов.</x:v>
      </x:c>
      <x:c r="O855" s="10" t="str">
        <x:v>Проверить содержание</x:v>
      </x:c>
      <x:c r="P855" s="10" t="str">
        <x:v>Самостоятельное видео</x:v>
      </x:c>
      <x:c r="Q855" s="9" t="str">
        <x:v>Нет</x:v>
      </x:c>
      <x:c r="R855" s="9" t="str">
        <x:v>C048</x:v>
      </x:c>
      <x:c r="S855" s="9" t="str">
        <x:v>C048</x:v>
      </x:c>
      <x:c r="T855" s="10" t="str">
        <x:v>כאן | דיגיטל - תאגיד השידור הישראלי</x:v>
      </x:c>
      <x:c r="U855" s="11" t="str">
        <x:v>https://www.youtube.com/watch?v=AElBLKhuhO4</x:v>
      </x:c>
      <x:c r="V855" s="16" t="n">
        <x:v>46308</x:v>
      </x:c>
      <x:c r="W855" s="16"/>
      <x:c r="X855" s="10" t="str">
        <x:v>Иврит предполагается по заголовку и источнику</x:v>
      </x:c>
      <x:c r="Y855" s="10" t="str">
        <x:v>Не проверено</x:v>
      </x:c>
      <x:c r="Z855" s="10" t="str">
        <x:v>Не проверено</x:v>
      </x:c>
      <x:c r="AA855" s="10" t="str">
        <x:v>Метаданные списка; видео не просмотрено</x:v>
      </x:c>
      <x:c r="AB855" s="13" t="str">
        <x:f>IF(AND(ISNUMBER(H855),ISNUMBER(W855)),H855/MAX(1,'Обзор'!$B$4-W855),"")</x:f>
      </x:c>
      <x:c r="AC855" s="17" t="str">
        <x:v>Не решено</x:v>
      </x:c>
      <x:c r="AD855" s="17" t="str">
        <x:v>Не проверено</x:v>
      </x:c>
      <x:c r="AE855" s="17" t="str">
        <x:v>Не проверено</x:v>
      </x:c>
      <x:c r="AF855" s="17" t="str">
        <x:v>Не проверено</x:v>
      </x:c>
      <x:c r="AG855" s="17" t="str">
        <x:v>Не решено</x:v>
      </x:c>
      <x:c r="AH855" s="17" t="str">
        <x:v>Не проверено</x:v>
      </x:c>
      <x:c r="AI855" s="10" t="str">
        <x:f>IF(AC855="Отклонить","Отклонено",IF(AND(AC855="Взять",COUNTIFS(AD855:AH855,"Да")=5),"Готово","Нужна редактура"))</x:f>
        <x:v>Нужна редактура</x:v>
      </x:c>
      <x:c r="AJ855" s="17" t="str"/>
      <x:c r="AK855" s="9" t="str">
        <x:v>https://www.youtube.com/playlist?list=PLXv9BeKApRvyYqYs4hCwY29qbl-_BqSBc</x:v>
      </x:c>
      <x:c r="AL855" s="9" t="n">
        <x:v>7</x:v>
      </x:c>
      <x:c r="AM855" s="9"/>
      <x:c r="AN855" s="9"/>
    </x:row>
    <x:row r="856" ht="60" customHeight="1">
      <x:c r="A856" s="9" t="str">
        <x:v>8DGDUX7dbNI</x:v>
      </x:c>
      <x:c r="B856" s="10" t="str">
        <x:v>"לא סופרים אותך, זה מתסכל": יום בחיי פקח רשות שמורות הטבע | זום אין</x:v>
      </x:c>
      <x:c r="C856" s="10" t="str">
        <x:v>Профессии и работа</x:v>
      </x:c>
      <x:c r="D856" s="9" t="str">
        <x:v>Быт</x:v>
      </x:c>
      <x:c r="E856" s="10" t="str">
        <x:v>Карьера; репатрианты; общество</x:v>
      </x:c>
      <x:c r="F856" s="10" t="str">
        <x:v>B1–B2 (гипотеза)</x:v>
      </x:c>
      <x:c r="G856" s="12" t="n">
        <x:v>6.5</x:v>
      </x:c>
      <x:c r="H856" s="14" t="n">
        <x:v>448752</x:v>
      </x:c>
      <x:c r="I856" s="15" t="str">
        <x:v>Точный счётчик метаданных видео</x:v>
      </x:c>
      <x:c r="J856" s="14" t="n">
        <x:v>448000</x:v>
      </x:c>
      <x:c r="K856" s="14" t="n">
        <x:v>322000</x:v>
      </x:c>
      <x:c r="L856" s="12" t="n">
        <x:f>IF(COUNT(J856:K856)=2,IF(K856=0,"",J856/K856),"")</x:f>
        <x:v>1.391304347826087</x:v>
      </x:c>
      <x:c r="M856" s="10" t="str">
        <x:v>Завершённый короткий просмотр около 7 мин. День в жизни специалиста связывает язык с конкретными действиями и рабочей средой.</x:v>
      </x:c>
      <x:c r="N856" s="10" t="str">
        <x:v>Составить рассказ о рабочем дне и 8 профессиональных глаголов.</x:v>
      </x:c>
      <x:c r="O856" s="10" t="str">
        <x:v>Проверить содержание</x:v>
      </x:c>
      <x:c r="P856" s="10" t="str">
        <x:v>Самостоятельное видео</x:v>
      </x:c>
      <x:c r="Q856" s="9" t="str">
        <x:v>Нет</x:v>
      </x:c>
      <x:c r="R856" s="9" t="str">
        <x:v>C048</x:v>
      </x:c>
      <x:c r="S856" s="9" t="str">
        <x:v>C048</x:v>
      </x:c>
      <x:c r="T856" s="10" t="str">
        <x:v>כאן | חדשות - תאגיד השידור הישראלי</x:v>
      </x:c>
      <x:c r="U856" s="11" t="str">
        <x:v>https://www.youtube.com/watch?v=8DGDUX7dbNI</x:v>
      </x:c>
      <x:c r="V856" s="16" t="n">
        <x:v>46308</x:v>
      </x:c>
      <x:c r="W856" s="16" t="n">
        <x:v>43591</x:v>
      </x:c>
      <x:c r="X856" s="10" t="str">
        <x:v>Иврит предполагается по заголовку и источнику</x:v>
      </x:c>
      <x:c r="Y856" s="10" t="str">
        <x:v>Дорожка HE не найдена в метаданных; вшитые титры не проверены</x:v>
      </x:c>
      <x:c r="Z856" s="10" t="str">
        <x:v>Разрешено по метаданным</x:v>
      </x:c>
      <x:c r="AA856" s="10" t="str">
        <x:v>Метаданные видео; воспроизведение и содержание не проверены</x:v>
      </x:c>
      <x:c r="AB856" s="13" t="n">
        <x:f>IF(AND(ISNUMBER(H856),ISNUMBER(W856)),H856/MAX(1,'Обзор'!$B$4-W856),"")</x:f>
        <x:v>165.16451969083548</x:v>
      </x:c>
      <x:c r="AC856" s="17" t="str">
        <x:v>Не решено</x:v>
      </x:c>
      <x:c r="AD856" s="17" t="str">
        <x:v>Не проверено</x:v>
      </x:c>
      <x:c r="AE856" s="17" t="str">
        <x:v>Не проверено</x:v>
      </x:c>
      <x:c r="AF856" s="17" t="str">
        <x:v>Не проверено</x:v>
      </x:c>
      <x:c r="AG856" s="17" t="str">
        <x:v>Не решено</x:v>
      </x:c>
      <x:c r="AH856" s="17" t="str">
        <x:v>Не проверено</x:v>
      </x:c>
      <x:c r="AI856" s="10" t="str">
        <x:f>IF(AC856="Отклонить","Отклонено",IF(AND(AC856="Взять",COUNTIFS(AD856:AH856,"Да")=5),"Готово","Нужна редактура"))</x:f>
        <x:v>Нужна редактура</x:v>
      </x:c>
      <x:c r="AJ856" s="17" t="str"/>
      <x:c r="AK856" s="9" t="str">
        <x:v>https://www.youtube.com/playlist?list=PLXv9BeKApRvyYqYs4hCwY29qbl-_BqSBc</x:v>
      </x:c>
      <x:c r="AL856" s="9" t="n">
        <x:v>8</x:v>
      </x:c>
      <x:c r="AM856" s="9"/>
      <x:c r="AN856" s="9" t="n">
        <x:v>0</x:v>
      </x:c>
    </x:row>
    <x:row r="857" ht="60" customHeight="1">
      <x:c r="A857" s="9" t="str">
        <x:v>N_fGBRSMG3g</x:v>
      </x:c>
      <x:c r="B857" s="10" t="str">
        <x:v>"אין צמחונים במשפחה": יום בחיי קצב ביום העצמאות | זום אין</x:v>
      </x:c>
      <x:c r="C857" s="10" t="str">
        <x:v>Профессии и работа</x:v>
      </x:c>
      <x:c r="D857" s="9" t="str">
        <x:v>Быт</x:v>
      </x:c>
      <x:c r="E857" s="10" t="str">
        <x:v>Карьера; репатрианты; общество</x:v>
      </x:c>
      <x:c r="F857" s="10" t="str">
        <x:v>B1–B2 (гипотеза)</x:v>
      </x:c>
      <x:c r="G857" s="12" t="n">
        <x:v>4.6</x:v>
      </x:c>
      <x:c r="H857" s="14" t="n">
        <x:v>315000</x:v>
      </x:c>
      <x:c r="I857" s="15" t="str">
        <x:v>Округлённый счётчик в списке YouTube</x:v>
      </x:c>
      <x:c r="J857" s="14" t="n">
        <x:v>315000</x:v>
      </x:c>
      <x:c r="K857" s="14" t="n">
        <x:v>322000</x:v>
      </x:c>
      <x:c r="L857" s="12" t="n">
        <x:f>IF(COUNT(J857:K857)=2,IF(K857=0,"",J857/K857),"")</x:f>
        <x:v>0.9782608695652174</x:v>
      </x:c>
      <x:c r="M857" s="10" t="str">
        <x:v>Завершённый короткий просмотр около 5 мин. День в жизни специалиста связывает язык с конкретными действиями и рабочей средой.</x:v>
      </x:c>
      <x:c r="N857" s="10" t="str">
        <x:v>Составить рассказ о рабочем дне и 8 профессиональных глаголов.</x:v>
      </x:c>
      <x:c r="O857" s="10" t="str">
        <x:v>Проверить содержание</x:v>
      </x:c>
      <x:c r="P857" s="10" t="str">
        <x:v>Самостоятельное видео</x:v>
      </x:c>
      <x:c r="Q857" s="9" t="str">
        <x:v>Нет</x:v>
      </x:c>
      <x:c r="R857" s="9" t="str">
        <x:v>C048</x:v>
      </x:c>
      <x:c r="S857" s="9" t="str">
        <x:v>C048</x:v>
      </x:c>
      <x:c r="T857" s="10" t="str">
        <x:v>כאן | חדשות - תאגיד השידור הישראלי</x:v>
      </x:c>
      <x:c r="U857" s="11" t="str">
        <x:v>https://www.youtube.com/watch?v=N_fGBRSMG3g</x:v>
      </x:c>
      <x:c r="V857" s="16" t="n">
        <x:v>46308</x:v>
      </x:c>
      <x:c r="W857" s="16"/>
      <x:c r="X857" s="10" t="str">
        <x:v>Иврит предполагается по заголовку и источнику</x:v>
      </x:c>
      <x:c r="Y857" s="10" t="str">
        <x:v>Не проверено</x:v>
      </x:c>
      <x:c r="Z857" s="10" t="str">
        <x:v>Не проверено</x:v>
      </x:c>
      <x:c r="AA857" s="10" t="str">
        <x:v>Метаданные списка; видео не просмотрено</x:v>
      </x:c>
      <x:c r="AB857" s="13" t="str">
        <x:f>IF(AND(ISNUMBER(H857),ISNUMBER(W857)),H857/MAX(1,'Обзор'!$B$4-W857),"")</x:f>
      </x:c>
      <x:c r="AC857" s="17" t="str">
        <x:v>Не решено</x:v>
      </x:c>
      <x:c r="AD857" s="17" t="str">
        <x:v>Не проверено</x:v>
      </x:c>
      <x:c r="AE857" s="17" t="str">
        <x:v>Не проверено</x:v>
      </x:c>
      <x:c r="AF857" s="17" t="str">
        <x:v>Не проверено</x:v>
      </x:c>
      <x:c r="AG857" s="17" t="str">
        <x:v>Не решено</x:v>
      </x:c>
      <x:c r="AH857" s="17" t="str">
        <x:v>Не проверено</x:v>
      </x:c>
      <x:c r="AI857" s="10" t="str">
        <x:f>IF(AC857="Отклонить","Отклонено",IF(AND(AC857="Взять",COUNTIFS(AD857:AH857,"Да")=5),"Готово","Нужна редактура"))</x:f>
        <x:v>Нужна редактура</x:v>
      </x:c>
      <x:c r="AJ857" s="17" t="str"/>
      <x:c r="AK857" s="9" t="str">
        <x:v>https://www.youtube.com/playlist?list=PLXv9BeKApRvyYqYs4hCwY29qbl-_BqSBc</x:v>
      </x:c>
      <x:c r="AL857" s="9" t="n">
        <x:v>9</x:v>
      </x:c>
      <x:c r="AM857" s="9"/>
      <x:c r="AN857" s="9"/>
    </x:row>
    <x:row r="858" ht="60" customHeight="1">
      <x:c r="A858" s="9" t="str">
        <x:v>jgE-rwAg3qQ</x:v>
      </x:c>
      <x:c r="B858" s="10" t="str">
        <x:v>"מישהי קראה לי 'מלצר' ושאלה איפה התפריט": יום בחיי פקח ברכבת | זום אין</x:v>
      </x:c>
      <x:c r="C858" s="10" t="str">
        <x:v>Профессии и работа</x:v>
      </x:c>
      <x:c r="D858" s="9" t="str">
        <x:v>Быт</x:v>
      </x:c>
      <x:c r="E858" s="10" t="str">
        <x:v>Карьера; репатрианты; общество</x:v>
      </x:c>
      <x:c r="F858" s="10" t="str">
        <x:v>B1–B2 (гипотеза)</x:v>
      </x:c>
      <x:c r="G858" s="12" t="n">
        <x:v>4.9</x:v>
      </x:c>
      <x:c r="H858" s="14" t="n">
        <x:v>527988</x:v>
      </x:c>
      <x:c r="I858" s="15" t="str">
        <x:v>Точный счётчик метаданных видео</x:v>
      </x:c>
      <x:c r="J858" s="14" t="n">
        <x:v>527000</x:v>
      </x:c>
      <x:c r="K858" s="14" t="n">
        <x:v>322000</x:v>
      </x:c>
      <x:c r="L858" s="12" t="n">
        <x:f>IF(COUNT(J858:K858)=2,IF(K858=0,"",J858/K858),"")</x:f>
        <x:v>1.6366459627329193</x:v>
      </x:c>
      <x:c r="M858" s="10" t="str">
        <x:v>Завершённый короткий просмотр около 5 мин. Просмотры в списке выше медианы выборки этого цикла в 1.64 раза. День в жизни специалиста связывает язык с конкретными действиями и рабочей средой.</x:v>
      </x:c>
      <x:c r="N858" s="10" t="str">
        <x:v>Составить рассказ о рабочем дне и 8 профессиональных глаголов.</x:v>
      </x:c>
      <x:c r="O858" s="10" t="str">
        <x:v>Проверить содержание</x:v>
      </x:c>
      <x:c r="P858" s="10" t="str">
        <x:v>Самостоятельное видео</x:v>
      </x:c>
      <x:c r="Q858" s="9" t="str">
        <x:v>Нет</x:v>
      </x:c>
      <x:c r="R858" s="9" t="str">
        <x:v>C048</x:v>
      </x:c>
      <x:c r="S858" s="9" t="str">
        <x:v>C048</x:v>
      </x:c>
      <x:c r="T858" s="10" t="str">
        <x:v>כאן | חדשות - תאגיד השידור הישראלי</x:v>
      </x:c>
      <x:c r="U858" s="11" t="str">
        <x:v>https://www.youtube.com/watch?v=jgE-rwAg3qQ</x:v>
      </x:c>
      <x:c r="V858" s="16" t="n">
        <x:v>46308</x:v>
      </x:c>
      <x:c r="W858" s="16" t="n">
        <x:v>43608</x:v>
      </x:c>
      <x:c r="X858" s="10" t="str">
        <x:v>Иврит предполагается по заголовку и источнику</x:v>
      </x:c>
      <x:c r="Y858" s="10" t="str">
        <x:v>Дорожка HE не найдена в метаданных; вшитые титры не проверены</x:v>
      </x:c>
      <x:c r="Z858" s="10" t="str">
        <x:v>Разрешено по метаданным</x:v>
      </x:c>
      <x:c r="AA858" s="10" t="str">
        <x:v>Метаданные видео; воспроизведение и содержание не проверены</x:v>
      </x:c>
      <x:c r="AB858" s="13" t="n">
        <x:f>IF(AND(ISNUMBER(H858),ISNUMBER(W858)),H858/MAX(1,'Обзор'!$B$4-W858),"")</x:f>
        <x:v>195.5511111111111</x:v>
      </x:c>
      <x:c r="AC858" s="17" t="str">
        <x:v>Не решено</x:v>
      </x:c>
      <x:c r="AD858" s="17" t="str">
        <x:v>Не проверено</x:v>
      </x:c>
      <x:c r="AE858" s="17" t="str">
        <x:v>Не проверено</x:v>
      </x:c>
      <x:c r="AF858" s="17" t="str">
        <x:v>Не проверено</x:v>
      </x:c>
      <x:c r="AG858" s="17" t="str">
        <x:v>Не решено</x:v>
      </x:c>
      <x:c r="AH858" s="17" t="str">
        <x:v>Не проверено</x:v>
      </x:c>
      <x:c r="AI858" s="10" t="str">
        <x:f>IF(AC858="Отклонить","Отклонено",IF(AND(AC858="Взять",COUNTIFS(AD858:AH858,"Да")=5),"Готово","Нужна редактура"))</x:f>
        <x:v>Нужна редактура</x:v>
      </x:c>
      <x:c r="AJ858" s="17" t="str"/>
      <x:c r="AK858" s="9" t="str">
        <x:v>https://www.youtube.com/playlist?list=PLXv9BeKApRvyYqYs4hCwY29qbl-_BqSBc</x:v>
      </x:c>
      <x:c r="AL858" s="9" t="n">
        <x:v>10</x:v>
      </x:c>
      <x:c r="AM858" s="9"/>
      <x:c r="AN858" s="9" t="n">
        <x:v>0</x:v>
      </x:c>
    </x:row>
    <x:row r="859" ht="60" customHeight="1">
      <x:c r="A859" s="9" t="str">
        <x:v>_LYt1siwHMk</x:v>
      </x:c>
      <x:c r="B859" s="10" t="str">
        <x:v>"באנו לכבות שריפה ותקפו את הצוות": יום בחיי לוחם אש במדורות ל"ג בעומר | זום אין</x:v>
      </x:c>
      <x:c r="C859" s="10" t="str">
        <x:v>Профессии и работа</x:v>
      </x:c>
      <x:c r="D859" s="9" t="str">
        <x:v>Быт</x:v>
      </x:c>
      <x:c r="E859" s="10" t="str">
        <x:v>Карьера; репатрианты; общество</x:v>
      </x:c>
      <x:c r="F859" s="10" t="str">
        <x:v>B1–B2 (гипотеза)</x:v>
      </x:c>
      <x:c r="G859" s="12" t="n">
        <x:v>7</x:v>
      </x:c>
      <x:c r="H859" s="14" t="n">
        <x:v>343522</x:v>
      </x:c>
      <x:c r="I859" s="15" t="str">
        <x:v>Точный счётчик метаданных видео</x:v>
      </x:c>
      <x:c r="J859" s="14" t="n">
        <x:v>343000</x:v>
      </x:c>
      <x:c r="K859" s="14" t="n">
        <x:v>322000</x:v>
      </x:c>
      <x:c r="L859" s="12" t="n">
        <x:f>IF(COUNT(J859:K859)=2,IF(K859=0,"",J859/K859),"")</x:f>
        <x:v>1.065217391304348</x:v>
      </x:c>
      <x:c r="M859" s="10" t="str">
        <x:v>Завершённый короткий просмотр около 7 мин. День в жизни специалиста связывает язык с конкретными действиями и рабочей средой.</x:v>
      </x:c>
      <x:c r="N859" s="10" t="str">
        <x:v>Составить рассказ о рабочем дне и 8 профессиональных глаголов.</x:v>
      </x:c>
      <x:c r="O859" s="10" t="str">
        <x:v>Проверить содержание</x:v>
      </x:c>
      <x:c r="P859" s="10" t="str">
        <x:v>Самостоятельное видео</x:v>
      </x:c>
      <x:c r="Q859" s="9" t="str">
        <x:v>Нет</x:v>
      </x:c>
      <x:c r="R859" s="9" t="str">
        <x:v>C048</x:v>
      </x:c>
      <x:c r="S859" s="9" t="str">
        <x:v>C048</x:v>
      </x:c>
      <x:c r="T859" s="10" t="str">
        <x:v>כאן | חדשות - תאגיד השידור הישראלי</x:v>
      </x:c>
      <x:c r="U859" s="11" t="str">
        <x:v>https://www.youtube.com/watch?v=_LYt1siwHMk</x:v>
      </x:c>
      <x:c r="V859" s="16" t="n">
        <x:v>46308</x:v>
      </x:c>
      <x:c r="W859" s="16" t="n">
        <x:v>43622</x:v>
      </x:c>
      <x:c r="X859" s="10" t="str">
        <x:v>Иврит предполагается по заголовку и источнику</x:v>
      </x:c>
      <x:c r="Y859" s="10" t="str">
        <x:v>Дорожка HE не найдена в метаданных; вшитые титры не проверены</x:v>
      </x:c>
      <x:c r="Z859" s="10" t="str">
        <x:v>Разрешено по метаданным</x:v>
      </x:c>
      <x:c r="AA859" s="10" t="str">
        <x:v>Метаданные видео; воспроизведение и содержание не проверены</x:v>
      </x:c>
      <x:c r="AB859" s="13" t="n">
        <x:f>IF(AND(ISNUMBER(H859),ISNUMBER(W859)),H859/MAX(1,'Обзор'!$B$4-W859),"")</x:f>
        <x:v>127.89352196574832</x:v>
      </x:c>
      <x:c r="AC859" s="17" t="str">
        <x:v>Не решено</x:v>
      </x:c>
      <x:c r="AD859" s="17" t="str">
        <x:v>Не проверено</x:v>
      </x:c>
      <x:c r="AE859" s="17" t="str">
        <x:v>Не проверено</x:v>
      </x:c>
      <x:c r="AF859" s="17" t="str">
        <x:v>Не проверено</x:v>
      </x:c>
      <x:c r="AG859" s="17" t="str">
        <x:v>Не решено</x:v>
      </x:c>
      <x:c r="AH859" s="17" t="str">
        <x:v>Не проверено</x:v>
      </x:c>
      <x:c r="AI859" s="10" t="str">
        <x:f>IF(AC859="Отклонить","Отклонено",IF(AND(AC859="Взять",COUNTIFS(AD859:AH859,"Да")=5),"Готово","Нужна редактура"))</x:f>
        <x:v>Нужна редактура</x:v>
      </x:c>
      <x:c r="AJ859" s="17" t="str"/>
      <x:c r="AK859" s="9" t="str">
        <x:v>https://www.youtube.com/playlist?list=PLXv9BeKApRvyYqYs4hCwY29qbl-_BqSBc</x:v>
      </x:c>
      <x:c r="AL859" s="9" t="n">
        <x:v>11</x:v>
      </x:c>
      <x:c r="AM859" s="9"/>
      <x:c r="AN859" s="9" t="n">
        <x:v>0</x:v>
      </x:c>
    </x:row>
    <x:row r="860" ht="60" customHeight="1">
      <x:c r="A860" s="9" t="str">
        <x:v>jfgl4iEeWSk</x:v>
      </x:c>
      <x:c r="B860" s="10" t="str">
        <x:v>"אתה פותח את המכסה ורואה ים של ג'וקים": יום בחיי המדביר הכי מפורסם במרכז | זום אין</x:v>
      </x:c>
      <x:c r="C860" s="10" t="str">
        <x:v>Профессии и работа</x:v>
      </x:c>
      <x:c r="D860" s="9" t="str">
        <x:v>Быт</x:v>
      </x:c>
      <x:c r="E860" s="10" t="str">
        <x:v>Карьера; репатрианты; общество</x:v>
      </x:c>
      <x:c r="F860" s="10" t="str">
        <x:v>B1–B2 (гипотеза)</x:v>
      </x:c>
      <x:c r="G860" s="12" t="n">
        <x:v>4.4</x:v>
      </x:c>
      <x:c r="H860" s="14" t="n">
        <x:v>341453</x:v>
      </x:c>
      <x:c r="I860" s="15" t="str">
        <x:v>Точный счётчик метаданных видео</x:v>
      </x:c>
      <x:c r="J860" s="14" t="n">
        <x:v>341000</x:v>
      </x:c>
      <x:c r="K860" s="14" t="n">
        <x:v>322000</x:v>
      </x:c>
      <x:c r="L860" s="12" t="n">
        <x:f>IF(COUNT(J860:K860)=2,IF(K860=0,"",J860/K860),"")</x:f>
        <x:v>1.0590062111801242</x:v>
      </x:c>
      <x:c r="M860" s="10" t="str">
        <x:v>Завершённый короткий просмотр около 4 мин. День в жизни специалиста связывает язык с конкретными действиями и рабочей средой.</x:v>
      </x:c>
      <x:c r="N860" s="10" t="str">
        <x:v>Составить рассказ о рабочем дне и 8 профессиональных глаголов.</x:v>
      </x:c>
      <x:c r="O860" s="10" t="str">
        <x:v>Проверить содержание</x:v>
      </x:c>
      <x:c r="P860" s="10" t="str">
        <x:v>Самостоятельное видео</x:v>
      </x:c>
      <x:c r="Q860" s="9" t="str">
        <x:v>Нет</x:v>
      </x:c>
      <x:c r="R860" s="9" t="str">
        <x:v>C048</x:v>
      </x:c>
      <x:c r="S860" s="9" t="str">
        <x:v>C048</x:v>
      </x:c>
      <x:c r="T860" s="10" t="str">
        <x:v>כאן | חדשות - תאגיד השידור הישראלי</x:v>
      </x:c>
      <x:c r="U860" s="11" t="str">
        <x:v>https://www.youtube.com/watch?v=jfgl4iEeWSk</x:v>
      </x:c>
      <x:c r="V860" s="16" t="n">
        <x:v>46308</x:v>
      </x:c>
      <x:c r="W860" s="16" t="n">
        <x:v>43643</x:v>
      </x:c>
      <x:c r="X860" s="10" t="str">
        <x:v>Иврит предполагается по заголовку и источнику</x:v>
      </x:c>
      <x:c r="Y860" s="10" t="str">
        <x:v>Дорожка HE не найдена в метаданных; вшитые титры не проверены</x:v>
      </x:c>
      <x:c r="Z860" s="10" t="str">
        <x:v>Разрешено по метаданным</x:v>
      </x:c>
      <x:c r="AA860" s="10" t="str">
        <x:v>Метаданные видео; воспроизведение и содержание не проверены</x:v>
      </x:c>
      <x:c r="AB860" s="13" t="n">
        <x:f>IF(AND(ISNUMBER(H860),ISNUMBER(W860)),H860/MAX(1,'Обзор'!$B$4-W860),"")</x:f>
        <x:v>128.12495309568482</x:v>
      </x:c>
      <x:c r="AC860" s="17" t="str">
        <x:v>Не решено</x:v>
      </x:c>
      <x:c r="AD860" s="17" t="str">
        <x:v>Не проверено</x:v>
      </x:c>
      <x:c r="AE860" s="17" t="str">
        <x:v>Не проверено</x:v>
      </x:c>
      <x:c r="AF860" s="17" t="str">
        <x:v>Не проверено</x:v>
      </x:c>
      <x:c r="AG860" s="17" t="str">
        <x:v>Не решено</x:v>
      </x:c>
      <x:c r="AH860" s="17" t="str">
        <x:v>Не проверено</x:v>
      </x:c>
      <x:c r="AI860" s="10" t="str">
        <x:f>IF(AC860="Отклонить","Отклонено",IF(AND(AC860="Взять",COUNTIFS(AD860:AH860,"Да")=5),"Готово","Нужна редактура"))</x:f>
        <x:v>Нужна редактура</x:v>
      </x:c>
      <x:c r="AJ860" s="17" t="str"/>
      <x:c r="AK860" s="9" t="str">
        <x:v>https://www.youtube.com/playlist?list=PLXv9BeKApRvyYqYs4hCwY29qbl-_BqSBc</x:v>
      </x:c>
      <x:c r="AL860" s="9" t="n">
        <x:v>12</x:v>
      </x:c>
      <x:c r="AM860" s="9"/>
      <x:c r="AN860" s="9" t="n">
        <x:v>0</x:v>
      </x:c>
    </x:row>
    <x:row r="861" ht="60" customHeight="1">
      <x:c r="A861" s="9" t="str">
        <x:v>kkfUTcMmkts</x:v>
      </x:c>
      <x:c r="B861" s="10" t="str">
        <x:v>סיגריות בלאפה וגורי כלבים בשקיות: בודק המכס שרואה כמעט הכל בנתב"ג | זום אין</x:v>
      </x:c>
      <x:c r="C861" s="10" t="str">
        <x:v>Профессии и работа</x:v>
      </x:c>
      <x:c r="D861" s="9" t="str">
        <x:v>Быт</x:v>
      </x:c>
      <x:c r="E861" s="10" t="str">
        <x:v>Карьера; репатрианты; общество</x:v>
      </x:c>
      <x:c r="F861" s="10" t="str">
        <x:v>B1–B2 (гипотеза)</x:v>
      </x:c>
      <x:c r="G861" s="12" t="n">
        <x:v>6.1</x:v>
      </x:c>
      <x:c r="H861" s="14" t="n">
        <x:v>1235949</x:v>
      </x:c>
      <x:c r="I861" s="15" t="str">
        <x:v>Точный счётчик метаданных видео</x:v>
      </x:c>
      <x:c r="J861" s="14" t="n">
        <x:v>1200000</x:v>
      </x:c>
      <x:c r="K861" s="14" t="n">
        <x:v>322000</x:v>
      </x:c>
      <x:c r="L861" s="12" t="n">
        <x:f>IF(COUNT(J861:K861)=2,IF(K861=0,"",J861/K861),"")</x:f>
        <x:v>3.7267080745341614</x:v>
      </x:c>
      <x:c r="M861" s="10" t="str">
        <x:v>Завершённый короткий просмотр около 6 мин. Просмотры в списке выше медианы выборки этого цикла в 3.73 раза. День в жизни специалиста связывает язык с конкретными действиями и рабочей средой.</x:v>
      </x:c>
      <x:c r="N861" s="10" t="str">
        <x:v>Составить рассказ о рабочем дне и 8 профессиональных глаголов.</x:v>
      </x:c>
      <x:c r="O861" s="10" t="str">
        <x:v>Проверить содержание</x:v>
      </x:c>
      <x:c r="P861" s="10" t="str">
        <x:v>Самостоятельное видео</x:v>
      </x:c>
      <x:c r="Q861" s="9" t="str">
        <x:v>Нет</x:v>
      </x:c>
      <x:c r="R861" s="9" t="str">
        <x:v>C048</x:v>
      </x:c>
      <x:c r="S861" s="9" t="str">
        <x:v>C048</x:v>
      </x:c>
      <x:c r="T861" s="10" t="str">
        <x:v>כאן | חדשות - תאגיד השידור הישראלי</x:v>
      </x:c>
      <x:c r="U861" s="11" t="str">
        <x:v>https://www.youtube.com/watch?v=kkfUTcMmkts</x:v>
      </x:c>
      <x:c r="V861" s="16" t="n">
        <x:v>46308</x:v>
      </x:c>
      <x:c r="W861" s="16" t="n">
        <x:v>43658</x:v>
      </x:c>
      <x:c r="X861" s="10" t="str">
        <x:v>Иврит предполагается по заголовку и источнику</x:v>
      </x:c>
      <x:c r="Y861" s="10" t="str">
        <x:v>Дорожка HE не найдена в метаданных; вшитые титры не проверены</x:v>
      </x:c>
      <x:c r="Z861" s="10" t="str">
        <x:v>Разрешено по метаданным</x:v>
      </x:c>
      <x:c r="AA861" s="10" t="str">
        <x:v>Метаданные видео; воспроизведение и содержание не проверены</x:v>
      </x:c>
      <x:c r="AB861" s="13" t="n">
        <x:f>IF(AND(ISNUMBER(H861),ISNUMBER(W861)),H861/MAX(1,'Обзор'!$B$4-W861),"")</x:f>
        <x:v>466.39584905660377</x:v>
      </x:c>
      <x:c r="AC861" s="17" t="str">
        <x:v>Не решено</x:v>
      </x:c>
      <x:c r="AD861" s="17" t="str">
        <x:v>Не проверено</x:v>
      </x:c>
      <x:c r="AE861" s="17" t="str">
        <x:v>Не проверено</x:v>
      </x:c>
      <x:c r="AF861" s="17" t="str">
        <x:v>Не проверено</x:v>
      </x:c>
      <x:c r="AG861" s="17" t="str">
        <x:v>Не решено</x:v>
      </x:c>
      <x:c r="AH861" s="17" t="str">
        <x:v>Не проверено</x:v>
      </x:c>
      <x:c r="AI861" s="10" t="str">
        <x:f>IF(AC861="Отклонить","Отклонено",IF(AND(AC861="Взять",COUNTIFS(AD861:AH861,"Да")=5),"Готово","Нужна редактура"))</x:f>
        <x:v>Нужна редактура</x:v>
      </x:c>
      <x:c r="AJ861" s="17" t="str"/>
      <x:c r="AK861" s="9" t="str">
        <x:v>https://www.youtube.com/playlist?list=PLXv9BeKApRvyYqYs4hCwY29qbl-_BqSBc</x:v>
      </x:c>
      <x:c r="AL861" s="9" t="n">
        <x:v>13</x:v>
      </x:c>
      <x:c r="AM861" s="9"/>
      <x:c r="AN861" s="9" t="n">
        <x:v>0</x:v>
      </x:c>
    </x:row>
    <x:row r="862" ht="60" customHeight="1">
      <x:c r="A862" s="9" t="str">
        <x:v>czomP-JyNg4</x:v>
      </x:c>
      <x:c r="B862" s="10" t="str">
        <x:v>בין אלכוהול מוברח לדיווחים על קקי במגלשה: יום בחיי מנהל פארק מים | זום אין</x:v>
      </x:c>
      <x:c r="C862" s="10" t="str">
        <x:v>Профессии и работа</x:v>
      </x:c>
      <x:c r="D862" s="9" t="str">
        <x:v>Быт</x:v>
      </x:c>
      <x:c r="E862" s="10" t="str">
        <x:v>Карьера; репатрианты; общество</x:v>
      </x:c>
      <x:c r="F862" s="10" t="str">
        <x:v>B1–B2 (гипотеза)</x:v>
      </x:c>
      <x:c r="G862" s="12" t="n">
        <x:v>7.1</x:v>
      </x:c>
      <x:c r="H862" s="14" t="n">
        <x:v>953883</x:v>
      </x:c>
      <x:c r="I862" s="15" t="str">
        <x:v>Точный счётчик метаданных видео</x:v>
      </x:c>
      <x:c r="J862" s="14" t="n">
        <x:v>953000</x:v>
      </x:c>
      <x:c r="K862" s="14" t="n">
        <x:v>322000</x:v>
      </x:c>
      <x:c r="L862" s="12" t="n">
        <x:f>IF(COUNT(J862:K862)=2,IF(K862=0,"",J862/K862),"")</x:f>
        <x:v>2.959627329192547</x:v>
      </x:c>
      <x:c r="M862" s="10" t="str">
        <x:v>Завершённый короткий просмотр около 7 мин. Просмотры в списке выше медианы выборки этого цикла в 2.96 раза. День в жизни специалиста связывает язык с конкретными действиями и рабочей средой.</x:v>
      </x:c>
      <x:c r="N862" s="10" t="str">
        <x:v>Составить рассказ о рабочем дне и 8 профессиональных глаголов.</x:v>
      </x:c>
      <x:c r="O862" s="10" t="str">
        <x:v>Проверить содержание</x:v>
      </x:c>
      <x:c r="P862" s="10" t="str">
        <x:v>Самостоятельное видео</x:v>
      </x:c>
      <x:c r="Q862" s="9" t="str">
        <x:v>Нет</x:v>
      </x:c>
      <x:c r="R862" s="9" t="str">
        <x:v>C048</x:v>
      </x:c>
      <x:c r="S862" s="9" t="str">
        <x:v>C048</x:v>
      </x:c>
      <x:c r="T862" s="10" t="str">
        <x:v>כאן | חדשות - תאגיד השידור הישראלי</x:v>
      </x:c>
      <x:c r="U862" s="11" t="str">
        <x:v>https://www.youtube.com/watch?v=czomP-JyNg4</x:v>
      </x:c>
      <x:c r="V862" s="16" t="n">
        <x:v>46308</x:v>
      </x:c>
      <x:c r="W862" s="16" t="n">
        <x:v>43677</x:v>
      </x:c>
      <x:c r="X862" s="10" t="str">
        <x:v>Иврит предполагается по заголовку и источнику</x:v>
      </x:c>
      <x:c r="Y862" s="10" t="str">
        <x:v>Дорожка HE не найдена в метаданных; вшитые титры не проверены</x:v>
      </x:c>
      <x:c r="Z862" s="10" t="str">
        <x:v>Разрешено по метаданным</x:v>
      </x:c>
      <x:c r="AA862" s="10" t="str">
        <x:v>Метаданные видео; воспроизведение и содержание не проверены</x:v>
      </x:c>
      <x:c r="AB862" s="13" t="n">
        <x:f>IF(AND(ISNUMBER(H862),ISNUMBER(W862)),H862/MAX(1,'Обзор'!$B$4-W862),"")</x:f>
        <x:v>362.5553021664766</x:v>
      </x:c>
      <x:c r="AC862" s="17" t="str">
        <x:v>Не решено</x:v>
      </x:c>
      <x:c r="AD862" s="17" t="str">
        <x:v>Не проверено</x:v>
      </x:c>
      <x:c r="AE862" s="17" t="str">
        <x:v>Не проверено</x:v>
      </x:c>
      <x:c r="AF862" s="17" t="str">
        <x:v>Не проверено</x:v>
      </x:c>
      <x:c r="AG862" s="17" t="str">
        <x:v>Не решено</x:v>
      </x:c>
      <x:c r="AH862" s="17" t="str">
        <x:v>Не проверено</x:v>
      </x:c>
      <x:c r="AI862" s="10" t="str">
        <x:f>IF(AC862="Отклонить","Отклонено",IF(AND(AC862="Взять",COUNTIFS(AD862:AH862,"Да")=5),"Готово","Нужна редактура"))</x:f>
        <x:v>Нужна редактура</x:v>
      </x:c>
      <x:c r="AJ862" s="17" t="str"/>
      <x:c r="AK862" s="9" t="str">
        <x:v>https://www.youtube.com/playlist?list=PLXv9BeKApRvyYqYs4hCwY29qbl-_BqSBc</x:v>
      </x:c>
      <x:c r="AL862" s="9" t="n">
        <x:v>14</x:v>
      </x:c>
      <x:c r="AM862" s="9"/>
      <x:c r="AN862" s="9" t="n">
        <x:v>0</x:v>
      </x:c>
    </x:row>
    <x:row r="863" ht="60" customHeight="1">
      <x:c r="A863" s="9" t="str">
        <x:v>S4-AFqkZcTU</x:v>
      </x:c>
      <x:c r="B863" s="10" t="str">
        <x:v>מה עושים כשחוטפים חציל בראש מלקוח? הקופאית שמצליחה לחייך כל המשמרת |  זום אין</x:v>
      </x:c>
      <x:c r="C863" s="10" t="str">
        <x:v>Профессии и работа</x:v>
      </x:c>
      <x:c r="D863" s="9" t="str">
        <x:v>Быт</x:v>
      </x:c>
      <x:c r="E863" s="10" t="str">
        <x:v>Карьера; репатрианты; общество</x:v>
      </x:c>
      <x:c r="F863" s="10" t="str">
        <x:v>B1–B2 (гипотеза)</x:v>
      </x:c>
      <x:c r="G863" s="12" t="n">
        <x:v>6.3</x:v>
      </x:c>
      <x:c r="H863" s="14" t="n">
        <x:v>451383</x:v>
      </x:c>
      <x:c r="I863" s="15" t="str">
        <x:v>Точный счётчик метаданных видео</x:v>
      </x:c>
      <x:c r="J863" s="14" t="n">
        <x:v>451000</x:v>
      </x:c>
      <x:c r="K863" s="14" t="n">
        <x:v>322000</x:v>
      </x:c>
      <x:c r="L863" s="12" t="n">
        <x:f>IF(COUNT(J863:K863)=2,IF(K863=0,"",J863/K863),"")</x:f>
        <x:v>1.4006211180124224</x:v>
      </x:c>
      <x:c r="M863" s="10" t="str">
        <x:v>Завершённый короткий просмотр около 6 мин. День в жизни специалиста связывает язык с конкретными действиями и рабочей средой.</x:v>
      </x:c>
      <x:c r="N863" s="10" t="str">
        <x:v>Составить рассказ о рабочем дне и 8 профессиональных глаголов.</x:v>
      </x:c>
      <x:c r="O863" s="10" t="str">
        <x:v>Проверить содержание</x:v>
      </x:c>
      <x:c r="P863" s="10" t="str">
        <x:v>Самостоятельное видео</x:v>
      </x:c>
      <x:c r="Q863" s="9" t="str">
        <x:v>Нет</x:v>
      </x:c>
      <x:c r="R863" s="9" t="str">
        <x:v>C048</x:v>
      </x:c>
      <x:c r="S863" s="9" t="str">
        <x:v>C048</x:v>
      </x:c>
      <x:c r="T863" s="10" t="str">
        <x:v>כאן | חדשות - תאגיד השידור הישראלי</x:v>
      </x:c>
      <x:c r="U863" s="11" t="str">
        <x:v>https://www.youtube.com/watch?v=S4-AFqkZcTU</x:v>
      </x:c>
      <x:c r="V863" s="16" t="n">
        <x:v>46308</x:v>
      </x:c>
      <x:c r="W863" s="16" t="n">
        <x:v>43700</x:v>
      </x:c>
      <x:c r="X863" s="10" t="str">
        <x:v>Иврит предполагается по заголовку и источнику</x:v>
      </x:c>
      <x:c r="Y863" s="10" t="str">
        <x:v>Дорожка HE не найдена в метаданных; вшитые титры не проверены</x:v>
      </x:c>
      <x:c r="Z863" s="10" t="str">
        <x:v>Разрешено по метаданным</x:v>
      </x:c>
      <x:c r="AA863" s="10" t="str">
        <x:v>Метаданные видео; воспроизведение и содержание не проверены</x:v>
      </x:c>
      <x:c r="AB863" s="13" t="n">
        <x:f>IF(AND(ISNUMBER(H863),ISNUMBER(W863)),H863/MAX(1,'Обзор'!$B$4-W863),"")</x:f>
        <x:v>173.0763036809816</x:v>
      </x:c>
      <x:c r="AC863" s="17" t="str">
        <x:v>Не решено</x:v>
      </x:c>
      <x:c r="AD863" s="17" t="str">
        <x:v>Не проверено</x:v>
      </x:c>
      <x:c r="AE863" s="17" t="str">
        <x:v>Не проверено</x:v>
      </x:c>
      <x:c r="AF863" s="17" t="str">
        <x:v>Не проверено</x:v>
      </x:c>
      <x:c r="AG863" s="17" t="str">
        <x:v>Не решено</x:v>
      </x:c>
      <x:c r="AH863" s="17" t="str">
        <x:v>Не проверено</x:v>
      </x:c>
      <x:c r="AI863" s="10" t="str">
        <x:f>IF(AC863="Отклонить","Отклонено",IF(AND(AC863="Взять",COUNTIFS(AD863:AH863,"Да")=5),"Готово","Нужна редактура"))</x:f>
        <x:v>Нужна редактура</x:v>
      </x:c>
      <x:c r="AJ863" s="17" t="str"/>
      <x:c r="AK863" s="9" t="str">
        <x:v>https://www.youtube.com/playlist?list=PLXv9BeKApRvyYqYs4hCwY29qbl-_BqSBc</x:v>
      </x:c>
      <x:c r="AL863" s="9" t="n">
        <x:v>15</x:v>
      </x:c>
      <x:c r="AM863" s="9"/>
      <x:c r="AN863" s="9" t="n">
        <x:v>0</x:v>
      </x:c>
    </x:row>
    <x:row r="864" ht="60" customHeight="1">
      <x:c r="A864" s="9" t="str">
        <x:v>_OUPPbttyjw</x:v>
      </x:c>
      <x:c r="B864" s="10" t="str">
        <x:v>"שימו לב, נפלטה מדוזה עם שיניים": המציל בחוף הנפרד מחזיר את כולם בשלום | זום אין</x:v>
      </x:c>
      <x:c r="C864" s="10" t="str">
        <x:v>Профессии и работа</x:v>
      </x:c>
      <x:c r="D864" s="9" t="str">
        <x:v>Быт</x:v>
      </x:c>
      <x:c r="E864" s="10" t="str">
        <x:v>Карьера; репатрианты; общество</x:v>
      </x:c>
      <x:c r="F864" s="10" t="str">
        <x:v>B1–B2 (гипотеза)</x:v>
      </x:c>
      <x:c r="G864" s="12" t="n">
        <x:v>5.6</x:v>
      </x:c>
      <x:c r="H864" s="14" t="n">
        <x:v>548843</x:v>
      </x:c>
      <x:c r="I864" s="15" t="str">
        <x:v>Точный счётчик метаданных видео</x:v>
      </x:c>
      <x:c r="J864" s="14" t="n">
        <x:v>548000</x:v>
      </x:c>
      <x:c r="K864" s="14" t="n">
        <x:v>322000</x:v>
      </x:c>
      <x:c r="L864" s="12" t="n">
        <x:f>IF(COUNT(J864:K864)=2,IF(K864=0,"",J864/K864),"")</x:f>
        <x:v>1.7018633540372672</x:v>
      </x:c>
      <x:c r="M864" s="10" t="str">
        <x:v>Завершённый короткий просмотр около 6 мин. Просмотры в списке выше медианы выборки этого цикла в 1.7 раза. День в жизни специалиста связывает язык с конкретными действиями и рабочей средой.</x:v>
      </x:c>
      <x:c r="N864" s="10" t="str">
        <x:v>Составить рассказ о рабочем дне и 8 профессиональных глаголов.</x:v>
      </x:c>
      <x:c r="O864" s="10" t="str">
        <x:v>Проверить содержание</x:v>
      </x:c>
      <x:c r="P864" s="10" t="str">
        <x:v>Самостоятельное видео</x:v>
      </x:c>
      <x:c r="Q864" s="9" t="str">
        <x:v>Нет</x:v>
      </x:c>
      <x:c r="R864" s="9" t="str">
        <x:v>C048</x:v>
      </x:c>
      <x:c r="S864" s="9" t="str">
        <x:v>C048</x:v>
      </x:c>
      <x:c r="T864" s="10" t="str">
        <x:v>כאן | חדשות - תאגיד השידור הישראלי</x:v>
      </x:c>
      <x:c r="U864" s="11" t="str">
        <x:v>https://www.youtube.com/watch?v=_OUPPbttyjw</x:v>
      </x:c>
      <x:c r="V864" s="16" t="n">
        <x:v>46308</x:v>
      </x:c>
      <x:c r="W864" s="16" t="n">
        <x:v>43714</x:v>
      </x:c>
      <x:c r="X864" s="10" t="str">
        <x:v>Иврит предполагается по заголовку и источнику</x:v>
      </x:c>
      <x:c r="Y864" s="10" t="str">
        <x:v>Дорожка HE не найдена в метаданных; вшитые титры не проверены</x:v>
      </x:c>
      <x:c r="Z864" s="10" t="str">
        <x:v>Разрешено по метаданным</x:v>
      </x:c>
      <x:c r="AA864" s="10" t="str">
        <x:v>Метаданные видео; воспроизведение и содержание не проверены</x:v>
      </x:c>
      <x:c r="AB864" s="13" t="n">
        <x:f>IF(AND(ISNUMBER(H864),ISNUMBER(W864)),H864/MAX(1,'Обзор'!$B$4-W864),"")</x:f>
        <x:v>211.58172706245182</x:v>
      </x:c>
      <x:c r="AC864" s="17" t="str">
        <x:v>Не решено</x:v>
      </x:c>
      <x:c r="AD864" s="17" t="str">
        <x:v>Не проверено</x:v>
      </x:c>
      <x:c r="AE864" s="17" t="str">
        <x:v>Не проверено</x:v>
      </x:c>
      <x:c r="AF864" s="17" t="str">
        <x:v>Не проверено</x:v>
      </x:c>
      <x:c r="AG864" s="17" t="str">
        <x:v>Не решено</x:v>
      </x:c>
      <x:c r="AH864" s="17" t="str">
        <x:v>Не проверено</x:v>
      </x:c>
      <x:c r="AI864" s="10" t="str">
        <x:f>IF(AC864="Отклонить","Отклонено",IF(AND(AC864="Взять",COUNTIFS(AD864:AH864,"Да")=5),"Готово","Нужна редактура"))</x:f>
        <x:v>Нужна редактура</x:v>
      </x:c>
      <x:c r="AJ864" s="17" t="str"/>
      <x:c r="AK864" s="9" t="str">
        <x:v>https://www.youtube.com/playlist?list=PLXv9BeKApRvyYqYs4hCwY29qbl-_BqSBc</x:v>
      </x:c>
      <x:c r="AL864" s="9" t="n">
        <x:v>16</x:v>
      </x:c>
      <x:c r="AM864" s="9"/>
      <x:c r="AN864" s="9" t="n">
        <x:v>0</x:v>
      </x:c>
    </x:row>
    <x:row r="865" ht="60" customHeight="1">
      <x:c r="A865" s="9" t="str">
        <x:v>f-81K-AhKy4</x:v>
      </x:c>
      <x:c r="B865" s="10" t="str">
        <x:v>מה עושים כשמישהו מחפש את "המנהל הגבר"? ליטל הטסטרית מחכה לכולם | זום אין</x:v>
      </x:c>
      <x:c r="C865" s="10" t="str">
        <x:v>Профессии и работа</x:v>
      </x:c>
      <x:c r="D865" s="9" t="str">
        <x:v>Быт</x:v>
      </x:c>
      <x:c r="E865" s="10" t="str">
        <x:v>Карьера; репатрианты; общество</x:v>
      </x:c>
      <x:c r="F865" s="10" t="str">
        <x:v>B1–B2 (гипотеза)</x:v>
      </x:c>
      <x:c r="G865" s="12" t="n">
        <x:v>5.9</x:v>
      </x:c>
      <x:c r="H865" s="14" t="n">
        <x:v>238000</x:v>
      </x:c>
      <x:c r="I865" s="15" t="str">
        <x:v>Округлённый счётчик в списке YouTube</x:v>
      </x:c>
      <x:c r="J865" s="14" t="n">
        <x:v>238000</x:v>
      </x:c>
      <x:c r="K865" s="14" t="n">
        <x:v>322000</x:v>
      </x:c>
      <x:c r="L865" s="12" t="n">
        <x:f>IF(COUNT(J865:K865)=2,IF(K865=0,"",J865/K865),"")</x:f>
        <x:v>0.7391304347826086</x:v>
      </x:c>
      <x:c r="M865" s="10" t="str">
        <x:v>Завершённый короткий просмотр около 6 мин. День в жизни специалиста связывает язык с конкретными действиями и рабочей средой.</x:v>
      </x:c>
      <x:c r="N865" s="10" t="str">
        <x:v>Составить рассказ о рабочем дне и 8 профессиональных глаголов.</x:v>
      </x:c>
      <x:c r="O865" s="10" t="str">
        <x:v>Проверить содержание</x:v>
      </x:c>
      <x:c r="P865" s="10" t="str">
        <x:v>Самостоятельное видео</x:v>
      </x:c>
      <x:c r="Q865" s="9" t="str">
        <x:v>Нет</x:v>
      </x:c>
      <x:c r="R865" s="9" t="str">
        <x:v>C048</x:v>
      </x:c>
      <x:c r="S865" s="9" t="str">
        <x:v>C048</x:v>
      </x:c>
      <x:c r="T865" s="10" t="str">
        <x:v>כאן | חדשות - תאגיד השידור הישראלי</x:v>
      </x:c>
      <x:c r="U865" s="11" t="str">
        <x:v>https://www.youtube.com/watch?v=f-81K-AhKy4</x:v>
      </x:c>
      <x:c r="V865" s="16" t="n">
        <x:v>46308</x:v>
      </x:c>
      <x:c r="W865" s="16"/>
      <x:c r="X865" s="10" t="str">
        <x:v>Иврит предполагается по заголовку и источнику</x:v>
      </x:c>
      <x:c r="Y865" s="10" t="str">
        <x:v>Не проверено</x:v>
      </x:c>
      <x:c r="Z865" s="10" t="str">
        <x:v>Не проверено</x:v>
      </x:c>
      <x:c r="AA865" s="10" t="str">
        <x:v>Метаданные списка; видео не просмотрено</x:v>
      </x:c>
      <x:c r="AB865" s="13" t="str">
        <x:f>IF(AND(ISNUMBER(H865),ISNUMBER(W865)),H865/MAX(1,'Обзор'!$B$4-W865),"")</x:f>
      </x:c>
      <x:c r="AC865" s="17" t="str">
        <x:v>Не решено</x:v>
      </x:c>
      <x:c r="AD865" s="17" t="str">
        <x:v>Не проверено</x:v>
      </x:c>
      <x:c r="AE865" s="17" t="str">
        <x:v>Не проверено</x:v>
      </x:c>
      <x:c r="AF865" s="17" t="str">
        <x:v>Не проверено</x:v>
      </x:c>
      <x:c r="AG865" s="17" t="str">
        <x:v>Не решено</x:v>
      </x:c>
      <x:c r="AH865" s="17" t="str">
        <x:v>Не проверено</x:v>
      </x:c>
      <x:c r="AI865" s="10" t="str">
        <x:f>IF(AC865="Отклонить","Отклонено",IF(AND(AC865="Взять",COUNTIFS(AD865:AH865,"Да")=5),"Готово","Нужна редактура"))</x:f>
        <x:v>Нужна редактура</x:v>
      </x:c>
      <x:c r="AJ865" s="17" t="str"/>
      <x:c r="AK865" s="9" t="str">
        <x:v>https://www.youtube.com/playlist?list=PLXv9BeKApRvyYqYs4hCwY29qbl-_BqSBc</x:v>
      </x:c>
      <x:c r="AL865" s="9" t="n">
        <x:v>17</x:v>
      </x:c>
      <x:c r="AM865" s="9"/>
      <x:c r="AN865" s="9"/>
    </x:row>
    <x:row r="866" ht="60" customHeight="1">
      <x:c r="A866" s="9" t="str">
        <x:v>BIFJ_rhbuYI</x:v>
      </x:c>
      <x:c r="B866" s="10" t="str">
        <x:v>נוסעים עירומים וחיתולים מלוכלכים: הדייל שלא מפחד מטיסות שוקולד | זום אין</x:v>
      </x:c>
      <x:c r="C866" s="10" t="str">
        <x:v>Профессии и работа</x:v>
      </x:c>
      <x:c r="D866" s="9" t="str">
        <x:v>Быт</x:v>
      </x:c>
      <x:c r="E866" s="10" t="str">
        <x:v>Карьера; репатрианты; общество</x:v>
      </x:c>
      <x:c r="F866" s="10" t="str">
        <x:v>B1–B2 (гипотеза)</x:v>
      </x:c>
      <x:c r="G866" s="12" t="n">
        <x:v>7</x:v>
      </x:c>
      <x:c r="H866" s="14" t="n">
        <x:v>1280494</x:v>
      </x:c>
      <x:c r="I866" s="15" t="str">
        <x:v>Точный счётчик метаданных видео</x:v>
      </x:c>
      <x:c r="J866" s="14" t="n">
        <x:v>1200000</x:v>
      </x:c>
      <x:c r="K866" s="14" t="n">
        <x:v>322000</x:v>
      </x:c>
      <x:c r="L866" s="12" t="n">
        <x:f>IF(COUNT(J866:K866)=2,IF(K866=0,"",J866/K866),"")</x:f>
        <x:v>3.7267080745341614</x:v>
      </x:c>
      <x:c r="M866" s="10" t="str">
        <x:v>Завершённый короткий просмотр около 7 мин. Просмотры в списке выше медианы выборки этого цикла в 3.73 раза. День в жизни специалиста связывает язык с конкретными действиями и рабочей средой.</x:v>
      </x:c>
      <x:c r="N866" s="10" t="str">
        <x:v>Составить рассказ о рабочем дне и 8 профессиональных глаголов.</x:v>
      </x:c>
      <x:c r="O866" s="10" t="str">
        <x:v>Проверить содержание</x:v>
      </x:c>
      <x:c r="P866" s="10" t="str">
        <x:v>Самостоятельное видео</x:v>
      </x:c>
      <x:c r="Q866" s="9" t="str">
        <x:v>Нет</x:v>
      </x:c>
      <x:c r="R866" s="9" t="str">
        <x:v>C048</x:v>
      </x:c>
      <x:c r="S866" s="9" t="str">
        <x:v>C048</x:v>
      </x:c>
      <x:c r="T866" s="10" t="str">
        <x:v>כאן | חדשות - תאגיד השידור הישראלי</x:v>
      </x:c>
      <x:c r="U866" s="11" t="str">
        <x:v>https://www.youtube.com/watch?v=BIFJ_rhbuYI</x:v>
      </x:c>
      <x:c r="V866" s="16" t="n">
        <x:v>46308</x:v>
      </x:c>
      <x:c r="W866" s="16" t="n">
        <x:v>43777</x:v>
      </x:c>
      <x:c r="X866" s="10" t="str">
        <x:v>Иврит предполагается по заголовку и источнику</x:v>
      </x:c>
      <x:c r="Y866" s="10" t="str">
        <x:v>Дорожка HE не найдена в метаданных; вшитые титры не проверены</x:v>
      </x:c>
      <x:c r="Z866" s="10" t="str">
        <x:v>Разрешено по метаданным</x:v>
      </x:c>
      <x:c r="AA866" s="10" t="str">
        <x:v>Метаданные видео; воспроизведение и содержание не проверены</x:v>
      </x:c>
      <x:c r="AB866" s="13" t="n">
        <x:f>IF(AND(ISNUMBER(H866),ISNUMBER(W866)),H866/MAX(1,'Обзор'!$B$4-W866),"")</x:f>
        <x:v>505.92414065586723</x:v>
      </x:c>
      <x:c r="AC866" s="17" t="str">
        <x:v>Не решено</x:v>
      </x:c>
      <x:c r="AD866" s="17" t="str">
        <x:v>Не проверено</x:v>
      </x:c>
      <x:c r="AE866" s="17" t="str">
        <x:v>Не проверено</x:v>
      </x:c>
      <x:c r="AF866" s="17" t="str">
        <x:v>Не проверено</x:v>
      </x:c>
      <x:c r="AG866" s="17" t="str">
        <x:v>Не решено</x:v>
      </x:c>
      <x:c r="AH866" s="17" t="str">
        <x:v>Не проверено</x:v>
      </x:c>
      <x:c r="AI866" s="10" t="str">
        <x:f>IF(AC866="Отклонить","Отклонено",IF(AND(AC866="Взять",COUNTIFS(AD866:AH866,"Да")=5),"Готово","Нужна редактура"))</x:f>
        <x:v>Нужна редактура</x:v>
      </x:c>
      <x:c r="AJ866" s="17" t="str"/>
      <x:c r="AK866" s="9" t="str">
        <x:v>https://www.youtube.com/playlist?list=PLXv9BeKApRvyYqYs4hCwY29qbl-_BqSBc</x:v>
      </x:c>
      <x:c r="AL866" s="9" t="n">
        <x:v>18</x:v>
      </x:c>
      <x:c r="AM866" s="9"/>
      <x:c r="AN866" s="9" t="n">
        <x:v>0</x:v>
      </x:c>
    </x:row>
    <x:row r="867" ht="60" customHeight="1">
      <x:c r="A867" s="9" t="str">
        <x:v>ScwJduq3Mh4</x:v>
      </x:c>
      <x:c r="B867" s="10" t="str">
        <x:v>מטופלת שבלעה סכין ופחים על הצוות: איך נראית משמרת של אחות בחדר מיון? | זום אין</x:v>
      </x:c>
      <x:c r="C867" s="10" t="str">
        <x:v>Профессии и работа</x:v>
      </x:c>
      <x:c r="D867" s="9" t="str">
        <x:v>Быт</x:v>
      </x:c>
      <x:c r="E867" s="10" t="str">
        <x:v>Карьера; репатрианты; общество</x:v>
      </x:c>
      <x:c r="F867" s="10" t="str">
        <x:v>B1–B2 (гипотеза)</x:v>
      </x:c>
      <x:c r="G867" s="12" t="n">
        <x:v>7.8</x:v>
      </x:c>
      <x:c r="H867" s="14" t="n">
        <x:v>322665</x:v>
      </x:c>
      <x:c r="I867" s="15" t="str">
        <x:v>Точный счётчик метаданных видео</x:v>
      </x:c>
      <x:c r="J867" s="14" t="n">
        <x:v>322000</x:v>
      </x:c>
      <x:c r="K867" s="14" t="n">
        <x:v>322000</x:v>
      </x:c>
      <x:c r="L867" s="12" t="n">
        <x:f>IF(COUNT(J867:K867)=2,IF(K867=0,"",J867/K867),"")</x:f>
        <x:v>1</x:v>
      </x:c>
      <x:c r="M867" s="10" t="str">
        <x:v>Завершённый короткий просмотр около 8 мин. День в жизни специалиста связывает язык с конкретными действиями и рабочей средой.</x:v>
      </x:c>
      <x:c r="N867" s="10" t="str">
        <x:v>Составить рассказ о рабочем дне и 8 профессиональных глаголов.</x:v>
      </x:c>
      <x:c r="O867" s="10" t="str">
        <x:v>Проверить содержание</x:v>
      </x:c>
      <x:c r="P867" s="10" t="str">
        <x:v>Самостоятельное видео</x:v>
      </x:c>
      <x:c r="Q867" s="9" t="str">
        <x:v>Нет</x:v>
      </x:c>
      <x:c r="R867" s="9" t="str">
        <x:v>C048</x:v>
      </x:c>
      <x:c r="S867" s="9" t="str">
        <x:v>C048</x:v>
      </x:c>
      <x:c r="T867" s="10" t="str">
        <x:v>כאן | חדשות - תאגיד השידור הישראלי</x:v>
      </x:c>
      <x:c r="U867" s="11" t="str">
        <x:v>https://www.youtube.com/watch?v=ScwJduq3Mh4</x:v>
      </x:c>
      <x:c r="V867" s="16" t="n">
        <x:v>46308</x:v>
      </x:c>
      <x:c r="W867" s="16" t="n">
        <x:v>43797</x:v>
      </x:c>
      <x:c r="X867" s="10" t="str">
        <x:v>Иврит предполагается по заголовку и источнику</x:v>
      </x:c>
      <x:c r="Y867" s="10" t="str">
        <x:v>Дорожка HE не найдена в метаданных; вшитые титры не проверены</x:v>
      </x:c>
      <x:c r="Z867" s="10" t="str">
        <x:v>Разрешено по метаданным</x:v>
      </x:c>
      <x:c r="AA867" s="10" t="str">
        <x:v>Метаданные видео; воспроизведение и содержание не проверены</x:v>
      </x:c>
      <x:c r="AB867" s="13" t="n">
        <x:f>IF(AND(ISNUMBER(H867),ISNUMBER(W867)),H867/MAX(1,'Обзор'!$B$4-W867),"")</x:f>
        <x:v>128.5005973715651</x:v>
      </x:c>
      <x:c r="AC867" s="17" t="str">
        <x:v>Не решено</x:v>
      </x:c>
      <x:c r="AD867" s="17" t="str">
        <x:v>Не проверено</x:v>
      </x:c>
      <x:c r="AE867" s="17" t="str">
        <x:v>Не проверено</x:v>
      </x:c>
      <x:c r="AF867" s="17" t="str">
        <x:v>Не проверено</x:v>
      </x:c>
      <x:c r="AG867" s="17" t="str">
        <x:v>Не решено</x:v>
      </x:c>
      <x:c r="AH867" s="17" t="str">
        <x:v>Не проверено</x:v>
      </x:c>
      <x:c r="AI867" s="10" t="str">
        <x:f>IF(AC867="Отклонить","Отклонено",IF(AND(AC867="Взять",COUNTIFS(AD867:AH867,"Да")=5),"Готово","Нужна редактура"))</x:f>
        <x:v>Нужна редактура</x:v>
      </x:c>
      <x:c r="AJ867" s="17" t="str"/>
      <x:c r="AK867" s="9" t="str">
        <x:v>https://www.youtube.com/playlist?list=PLXv9BeKApRvyYqYs4hCwY29qbl-_BqSBc</x:v>
      </x:c>
      <x:c r="AL867" s="9" t="n">
        <x:v>19</x:v>
      </x:c>
      <x:c r="AM867" s="9"/>
      <x:c r="AN867" s="9" t="n">
        <x:v>0</x:v>
      </x:c>
    </x:row>
    <x:row r="868" ht="60" customHeight="1">
      <x:c r="A868" s="9" t="str">
        <x:v>Rp6Kbz4P8UY</x:v>
      </x:c>
      <x:c r="B868" s="10" t="str">
        <x:v>אנטילופה בקרון וקללות מהנוסעים: הפקח ברכבת הקלה לא מתרגש מכלום | זום אין</x:v>
      </x:c>
      <x:c r="C868" s="10" t="str">
        <x:v>Профессии и работа</x:v>
      </x:c>
      <x:c r="D868" s="9" t="str">
        <x:v>Быт</x:v>
      </x:c>
      <x:c r="E868" s="10" t="str">
        <x:v>Карьера; репатрианты; общество</x:v>
      </x:c>
      <x:c r="F868" s="10" t="str">
        <x:v>B1–B2 (гипотеза)</x:v>
      </x:c>
      <x:c r="G868" s="12" t="n">
        <x:v>6.5</x:v>
      </x:c>
      <x:c r="H868" s="14" t="n">
        <x:v>358991</x:v>
      </x:c>
      <x:c r="I868" s="15" t="str">
        <x:v>Точный счётчик метаданных видео</x:v>
      </x:c>
      <x:c r="J868" s="14" t="n">
        <x:v>358000</x:v>
      </x:c>
      <x:c r="K868" s="14" t="n">
        <x:v>322000</x:v>
      </x:c>
      <x:c r="L868" s="12" t="n">
        <x:f>IF(COUNT(J868:K868)=2,IF(K868=0,"",J868/K868),"")</x:f>
        <x:v>1.1118012422360248</x:v>
      </x:c>
      <x:c r="M868" s="10" t="str">
        <x:v>Завершённый короткий просмотр около 6 мин. День в жизни специалиста связывает язык с конкретными действиями и рабочей средой.</x:v>
      </x:c>
      <x:c r="N868" s="10" t="str">
        <x:v>Составить рассказ о рабочем дне и 8 профессиональных глаголов.</x:v>
      </x:c>
      <x:c r="O868" s="10" t="str">
        <x:v>Проверить содержание</x:v>
      </x:c>
      <x:c r="P868" s="10" t="str">
        <x:v>Самостоятельное видео</x:v>
      </x:c>
      <x:c r="Q868" s="9" t="str">
        <x:v>Нет</x:v>
      </x:c>
      <x:c r="R868" s="9" t="str">
        <x:v>C048</x:v>
      </x:c>
      <x:c r="S868" s="9" t="str">
        <x:v>C048</x:v>
      </x:c>
      <x:c r="T868" s="10" t="str">
        <x:v>כאן | חדשות - תאגיד השידור הישראלי</x:v>
      </x:c>
      <x:c r="U868" s="11" t="str">
        <x:v>https://www.youtube.com/watch?v=Rp6Kbz4P8UY</x:v>
      </x:c>
      <x:c r="V868" s="16" t="n">
        <x:v>46308</x:v>
      </x:c>
      <x:c r="W868" s="16" t="n">
        <x:v>43826</x:v>
      </x:c>
      <x:c r="X868" s="10" t="str">
        <x:v>Иврит предполагается по заголовку и источнику</x:v>
      </x:c>
      <x:c r="Y868" s="10" t="str">
        <x:v>Дорожка HE не найдена в метаданных; вшитые титры не проверены</x:v>
      </x:c>
      <x:c r="Z868" s="10" t="str">
        <x:v>Разрешено по метаданным</x:v>
      </x:c>
      <x:c r="AA868" s="10" t="str">
        <x:v>Метаданные видео; воспроизведение и содержание не проверены</x:v>
      </x:c>
      <x:c r="AB868" s="13" t="n">
        <x:f>IF(AND(ISNUMBER(H868),ISNUMBER(W868)),H868/MAX(1,'Обзор'!$B$4-W868),"")</x:f>
        <x:v>144.63779210314263</x:v>
      </x:c>
      <x:c r="AC868" s="17" t="str">
        <x:v>Не решено</x:v>
      </x:c>
      <x:c r="AD868" s="17" t="str">
        <x:v>Не проверено</x:v>
      </x:c>
      <x:c r="AE868" s="17" t="str">
        <x:v>Не проверено</x:v>
      </x:c>
      <x:c r="AF868" s="17" t="str">
        <x:v>Не проверено</x:v>
      </x:c>
      <x:c r="AG868" s="17" t="str">
        <x:v>Не решено</x:v>
      </x:c>
      <x:c r="AH868" s="17" t="str">
        <x:v>Не проверено</x:v>
      </x:c>
      <x:c r="AI868" s="10" t="str">
        <x:f>IF(AC868="Отклонить","Отклонено",IF(AND(AC868="Взять",COUNTIFS(AD868:AH868,"Да")=5),"Готово","Нужна редактура"))</x:f>
        <x:v>Нужна редактура</x:v>
      </x:c>
      <x:c r="AJ868" s="17" t="str"/>
      <x:c r="AK868" s="9" t="str">
        <x:v>https://www.youtube.com/playlist?list=PLXv9BeKApRvyYqYs4hCwY29qbl-_BqSBc</x:v>
      </x:c>
      <x:c r="AL868" s="9" t="n">
        <x:v>20</x:v>
      </x:c>
      <x:c r="AM868" s="9"/>
      <x:c r="AN868" s="9" t="n">
        <x:v>0</x:v>
      </x:c>
    </x:row>
    <x:row r="869" ht="60" customHeight="1">
      <x:c r="A869" s="9" t="str">
        <x:v>2d-CpsoL5Ao</x:v>
      </x:c>
      <x:c r="B869" s="10" t="str">
        <x:v>מכות רצח וצבע אדום: איך מאבטחים מסיבה של אלפי אנשים?</x:v>
      </x:c>
      <x:c r="C869" s="10" t="str">
        <x:v>Профессии и работа</x:v>
      </x:c>
      <x:c r="D869" s="9" t="str">
        <x:v>Быт</x:v>
      </x:c>
      <x:c r="E869" s="10" t="str">
        <x:v>Карьера; репатрианты; общество</x:v>
      </x:c>
      <x:c r="F869" s="10" t="str">
        <x:v>B1–B2 (гипотеза)</x:v>
      </x:c>
      <x:c r="G869" s="12" t="n">
        <x:v>6.1</x:v>
      </x:c>
      <x:c r="H869" s="14" t="n">
        <x:v>596396</x:v>
      </x:c>
      <x:c r="I869" s="15" t="str">
        <x:v>Точный счётчик метаданных видео</x:v>
      </x:c>
      <x:c r="J869" s="14" t="n">
        <x:v>596000</x:v>
      </x:c>
      <x:c r="K869" s="14" t="n">
        <x:v>322000</x:v>
      </x:c>
      <x:c r="L869" s="12" t="n">
        <x:f>IF(COUNT(J869:K869)=2,IF(K869=0,"",J869/K869),"")</x:f>
        <x:v>1.8509316770186335</x:v>
      </x:c>
      <x:c r="M869" s="10" t="str">
        <x:v>Завершённый короткий просмотр около 6 мин. Просмотры в списке выше медианы выборки этого цикла в 1.85 раза. День в жизни специалиста связывает язык с конкретными действиями и рабочей средой.</x:v>
      </x:c>
      <x:c r="N869" s="10" t="str">
        <x:v>Составить рассказ о рабочем дне и 8 профессиональных глаголов.</x:v>
      </x:c>
      <x:c r="O869" s="10" t="str">
        <x:v>Проверить содержание</x:v>
      </x:c>
      <x:c r="P869" s="10" t="str">
        <x:v>Самостоятельное видео</x:v>
      </x:c>
      <x:c r="Q869" s="9" t="str">
        <x:v>Нет</x:v>
      </x:c>
      <x:c r="R869" s="9" t="str">
        <x:v>C048</x:v>
      </x:c>
      <x:c r="S869" s="9" t="str">
        <x:v>C048</x:v>
      </x:c>
      <x:c r="T869" s="10" t="str">
        <x:v>כאן | חדשות - תאגיד השידור הישראלי</x:v>
      </x:c>
      <x:c r="U869" s="11" t="str">
        <x:v>https://www.youtube.com/watch?v=2d-CpsoL5Ao</x:v>
      </x:c>
      <x:c r="V869" s="16" t="n">
        <x:v>46308</x:v>
      </x:c>
      <x:c r="W869" s="16" t="n">
        <x:v>43847</x:v>
      </x:c>
      <x:c r="X869" s="10" t="str">
        <x:v>Иврит предполагается по заголовку и источнику</x:v>
      </x:c>
      <x:c r="Y869" s="10" t="str">
        <x:v>Дорожка HE не найдена в метаданных; вшитые титры не проверены</x:v>
      </x:c>
      <x:c r="Z869" s="10" t="str">
        <x:v>Разрешено по метаданным</x:v>
      </x:c>
      <x:c r="AA869" s="10" t="str">
        <x:v>Метаданные видео; воспроизведение и содержание не проверены</x:v>
      </x:c>
      <x:c r="AB869" s="13" t="n">
        <x:f>IF(AND(ISNUMBER(H869),ISNUMBER(W869)),H869/MAX(1,'Обзор'!$B$4-W869),"")</x:f>
        <x:v>242.33888663145063</x:v>
      </x:c>
      <x:c r="AC869" s="17" t="str">
        <x:v>Не решено</x:v>
      </x:c>
      <x:c r="AD869" s="17" t="str">
        <x:v>Не проверено</x:v>
      </x:c>
      <x:c r="AE869" s="17" t="str">
        <x:v>Не проверено</x:v>
      </x:c>
      <x:c r="AF869" s="17" t="str">
        <x:v>Не проверено</x:v>
      </x:c>
      <x:c r="AG869" s="17" t="str">
        <x:v>Не решено</x:v>
      </x:c>
      <x:c r="AH869" s="17" t="str">
        <x:v>Не проверено</x:v>
      </x:c>
      <x:c r="AI869" s="10" t="str">
        <x:f>IF(AC869="Отклонить","Отклонено",IF(AND(AC869="Взять",COUNTIFS(AD869:AH869,"Да")=5),"Готово","Нужна редактура"))</x:f>
        <x:v>Нужна редактура</x:v>
      </x:c>
      <x:c r="AJ869" s="17" t="str"/>
      <x:c r="AK869" s="9" t="str">
        <x:v>https://www.youtube.com/playlist?list=PLXv9BeKApRvyYqYs4hCwY29qbl-_BqSBc</x:v>
      </x:c>
      <x:c r="AL869" s="9" t="n">
        <x:v>21</x:v>
      </x:c>
      <x:c r="AM869" s="9"/>
      <x:c r="AN869" s="9" t="n">
        <x:v>0</x:v>
      </x:c>
    </x:row>
    <x:row r="870" ht="60" customHeight="1">
      <x:c r="A870" s="9" t="str">
        <x:v>_yEgzK9sjY0</x:v>
      </x:c>
      <x:c r="B870" s="10" t="str">
        <x:v>הפקח שלא מפחד מהיעד מספר 1 ומחכה לאיחולים שהם לא סרטן</x:v>
      </x:c>
      <x:c r="C870" s="10" t="str">
        <x:v>Профессии и работа</x:v>
      </x:c>
      <x:c r="D870" s="9" t="str">
        <x:v>Быт</x:v>
      </x:c>
      <x:c r="E870" s="10" t="str">
        <x:v>Карьера; репатрианты; общество</x:v>
      </x:c>
      <x:c r="F870" s="10" t="str">
        <x:v>B1–B2 (гипотеза)</x:v>
      </x:c>
      <x:c r="G870" s="12" t="n">
        <x:v>7.3</x:v>
      </x:c>
      <x:c r="H870" s="14" t="n">
        <x:v>514348</x:v>
      </x:c>
      <x:c r="I870" s="15" t="str">
        <x:v>Точный счётчик метаданных видео</x:v>
      </x:c>
      <x:c r="J870" s="14" t="n">
        <x:v>514000</x:v>
      </x:c>
      <x:c r="K870" s="14" t="n">
        <x:v>322000</x:v>
      </x:c>
      <x:c r="L870" s="12" t="n">
        <x:f>IF(COUNT(J870:K870)=2,IF(K870=0,"",J870/K870),"")</x:f>
        <x:v>1.5962732919254659</x:v>
      </x:c>
      <x:c r="M870" s="10" t="str">
        <x:v>Завершённый короткий просмотр около 7 мин. Просмотры в списке выше медианы выборки этого цикла в 1.6 раза. День в жизни специалиста связывает язык с конкретными действиями и рабочей средой.</x:v>
      </x:c>
      <x:c r="N870" s="10" t="str">
        <x:v>Составить рассказ о рабочем дне и 8 профессиональных глаголов.</x:v>
      </x:c>
      <x:c r="O870" s="10" t="str">
        <x:v>Проверить содержание</x:v>
      </x:c>
      <x:c r="P870" s="10" t="str">
        <x:v>Самостоятельное видео</x:v>
      </x:c>
      <x:c r="Q870" s="9" t="str">
        <x:v>Нет</x:v>
      </x:c>
      <x:c r="R870" s="9" t="str">
        <x:v>C048</x:v>
      </x:c>
      <x:c r="S870" s="9" t="str">
        <x:v>C048</x:v>
      </x:c>
      <x:c r="T870" s="10" t="str">
        <x:v>כאן | חדשות - תאגיד השידור הישראלי</x:v>
      </x:c>
      <x:c r="U870" s="11" t="str">
        <x:v>https://www.youtube.com/watch?v=_yEgzK9sjY0</x:v>
      </x:c>
      <x:c r="V870" s="16" t="n">
        <x:v>46308</x:v>
      </x:c>
      <x:c r="W870" s="16" t="n">
        <x:v>43889</x:v>
      </x:c>
      <x:c r="X870" s="10" t="str">
        <x:v>Иврит предполагается по заголовку и источнику</x:v>
      </x:c>
      <x:c r="Y870" s="10" t="str">
        <x:v>Дорожка HE не найдена в метаданных; вшитые титры не проверены</x:v>
      </x:c>
      <x:c r="Z870" s="10" t="str">
        <x:v>Разрешено по метаданным</x:v>
      </x:c>
      <x:c r="AA870" s="10" t="str">
        <x:v>Метаданные видео; воспроизведение и содержание не проверены</x:v>
      </x:c>
      <x:c r="AB870" s="13" t="n">
        <x:f>IF(AND(ISNUMBER(H870),ISNUMBER(W870)),H870/MAX(1,'Обзор'!$B$4-W870),"")</x:f>
        <x:v>212.62835882596113</x:v>
      </x:c>
      <x:c r="AC870" s="17" t="str">
        <x:v>Не решено</x:v>
      </x:c>
      <x:c r="AD870" s="17" t="str">
        <x:v>Не проверено</x:v>
      </x:c>
      <x:c r="AE870" s="17" t="str">
        <x:v>Не проверено</x:v>
      </x:c>
      <x:c r="AF870" s="17" t="str">
        <x:v>Не проверено</x:v>
      </x:c>
      <x:c r="AG870" s="17" t="str">
        <x:v>Не решено</x:v>
      </x:c>
      <x:c r="AH870" s="17" t="str">
        <x:v>Не проверено</x:v>
      </x:c>
      <x:c r="AI870" s="10" t="str">
        <x:f>IF(AC870="Отклонить","Отклонено",IF(AND(AC870="Взять",COUNTIFS(AD870:AH870,"Да")=5),"Готово","Нужна редактура"))</x:f>
        <x:v>Нужна редактура</x:v>
      </x:c>
      <x:c r="AJ870" s="17" t="str"/>
      <x:c r="AK870" s="9" t="str">
        <x:v>https://www.youtube.com/playlist?list=PLXv9BeKApRvyYqYs4hCwY29qbl-_BqSBc</x:v>
      </x:c>
      <x:c r="AL870" s="9" t="n">
        <x:v>22</x:v>
      </x:c>
      <x:c r="AM870" s="9"/>
      <x:c r="AN870" s="9" t="n">
        <x:v>0</x:v>
      </x:c>
    </x:row>
    <x:row r="871" ht="60" customHeight="1">
      <x:c r="A871" s="9" t="str">
        <x:v>0N3KJQllVjQ</x:v>
      </x:c>
      <x:c r="B871" s="10" t="str">
        <x:v>קניות ב-8,000 שקל ואלכוג'ל שנגמר מול העיניים: לנהל סופר בימי קורונה</x:v>
      </x:c>
      <x:c r="C871" s="10" t="str">
        <x:v>Профессии и работа</x:v>
      </x:c>
      <x:c r="D871" s="9" t="str">
        <x:v>Быт</x:v>
      </x:c>
      <x:c r="E871" s="10" t="str">
        <x:v>Карьера; репатрианты; общество</x:v>
      </x:c>
      <x:c r="F871" s="10" t="str">
        <x:v>B1–B2 (гипотеза)</x:v>
      </x:c>
      <x:c r="G871" s="12" t="n">
        <x:v>6.2</x:v>
      </x:c>
      <x:c r="H871" s="14" t="n">
        <x:v>178000</x:v>
      </x:c>
      <x:c r="I871" s="15" t="str">
        <x:v>Округлённый счётчик в списке YouTube</x:v>
      </x:c>
      <x:c r="J871" s="14" t="n">
        <x:v>178000</x:v>
      </x:c>
      <x:c r="K871" s="14" t="n">
        <x:v>322000</x:v>
      </x:c>
      <x:c r="L871" s="12" t="n">
        <x:f>IF(COUNT(J871:K871)=2,IF(K871=0,"",J871/K871),"")</x:f>
        <x:v>0.5527950310559007</x:v>
      </x:c>
      <x:c r="M871" s="10" t="str">
        <x:v>Завершённый короткий просмотр около 6 мин. День в жизни специалиста связывает язык с конкретными действиями и рабочей средой.</x:v>
      </x:c>
      <x:c r="N871" s="10" t="str">
        <x:v>Составить рассказ о рабочем дне и 8 профессиональных глаголов.</x:v>
      </x:c>
      <x:c r="O871" s="10" t="str">
        <x:v>Проверить содержание</x:v>
      </x:c>
      <x:c r="P871" s="10" t="str">
        <x:v>Самостоятельное видео</x:v>
      </x:c>
      <x:c r="Q871" s="9" t="str">
        <x:v>Нет</x:v>
      </x:c>
      <x:c r="R871" s="9" t="str">
        <x:v>C048</x:v>
      </x:c>
      <x:c r="S871" s="9" t="str">
        <x:v>C048</x:v>
      </x:c>
      <x:c r="T871" s="10" t="str">
        <x:v>כאן | חדשות - תאגיד השידור הישראלי</x:v>
      </x:c>
      <x:c r="U871" s="11" t="str">
        <x:v>https://www.youtube.com/watch?v=0N3KJQllVjQ</x:v>
      </x:c>
      <x:c r="V871" s="16" t="n">
        <x:v>46308</x:v>
      </x:c>
      <x:c r="W871" s="16"/>
      <x:c r="X871" s="10" t="str">
        <x:v>Иврит предполагается по заголовку и источнику</x:v>
      </x:c>
      <x:c r="Y871" s="10" t="str">
        <x:v>Не проверено</x:v>
      </x:c>
      <x:c r="Z871" s="10" t="str">
        <x:v>Не проверено</x:v>
      </x:c>
      <x:c r="AA871" s="10" t="str">
        <x:v>Метаданные списка; видео не просмотрено</x:v>
      </x:c>
      <x:c r="AB871" s="13" t="str">
        <x:f>IF(AND(ISNUMBER(H871),ISNUMBER(W871)),H871/MAX(1,'Обзор'!$B$4-W871),"")</x:f>
      </x:c>
      <x:c r="AC871" s="17" t="str">
        <x:v>Не решено</x:v>
      </x:c>
      <x:c r="AD871" s="17" t="str">
        <x:v>Не проверено</x:v>
      </x:c>
      <x:c r="AE871" s="17" t="str">
        <x:v>Не проверено</x:v>
      </x:c>
      <x:c r="AF871" s="17" t="str">
        <x:v>Не проверено</x:v>
      </x:c>
      <x:c r="AG871" s="17" t="str">
        <x:v>Не решено</x:v>
      </x:c>
      <x:c r="AH871" s="17" t="str">
        <x:v>Не проверено</x:v>
      </x:c>
      <x:c r="AI871" s="10" t="str">
        <x:f>IF(AC871="Отклонить","Отклонено",IF(AND(AC871="Взять",COUNTIFS(AD871:AH871,"Да")=5),"Готово","Нужна редактура"))</x:f>
        <x:v>Нужна редактура</x:v>
      </x:c>
      <x:c r="AJ871" s="17" t="str"/>
      <x:c r="AK871" s="9" t="str">
        <x:v>https://www.youtube.com/playlist?list=PLXv9BeKApRvyYqYs4hCwY29qbl-_BqSBc</x:v>
      </x:c>
      <x:c r="AL871" s="9" t="n">
        <x:v>23</x:v>
      </x:c>
      <x:c r="AM871" s="9"/>
      <x:c r="AN871" s="9"/>
    </x:row>
    <x:row r="872" ht="60" customHeight="1">
      <x:c r="A872" s="9" t="str">
        <x:v>fiIiBQUx0Xo</x:v>
      </x:c>
      <x:c r="B872" s="10" t="str">
        <x:v>להסתובב בחוץ רק עם שוטרים ולעשות אלפייה ביום: שליח וולט בימי קורונה</x:v>
      </x:c>
      <x:c r="C872" s="10" t="str">
        <x:v>Профессии и работа</x:v>
      </x:c>
      <x:c r="D872" s="9" t="str">
        <x:v>Быт</x:v>
      </x:c>
      <x:c r="E872" s="10" t="str">
        <x:v>Карьера; репатрианты; общество</x:v>
      </x:c>
      <x:c r="F872" s="10" t="str">
        <x:v>B1–B2 (гипотеза)</x:v>
      </x:c>
      <x:c r="G872" s="12" t="n">
        <x:v>6.8</x:v>
      </x:c>
      <x:c r="H872" s="14" t="n">
        <x:v>223000</x:v>
      </x:c>
      <x:c r="I872" s="15" t="str">
        <x:v>Округлённый счётчик в списке YouTube</x:v>
      </x:c>
      <x:c r="J872" s="14" t="n">
        <x:v>223000</x:v>
      </x:c>
      <x:c r="K872" s="14" t="n">
        <x:v>322000</x:v>
      </x:c>
      <x:c r="L872" s="12" t="n">
        <x:f>IF(COUNT(J872:K872)=2,IF(K872=0,"",J872/K872),"")</x:f>
        <x:v>0.6925465838509317</x:v>
      </x:c>
      <x:c r="M872" s="10" t="str">
        <x:v>Завершённый короткий просмотр около 7 мин. День в жизни специалиста связывает язык с конкретными действиями и рабочей средой.</x:v>
      </x:c>
      <x:c r="N872" s="10" t="str">
        <x:v>Составить рассказ о рабочем дне и 8 профессиональных глаголов.</x:v>
      </x:c>
      <x:c r="O872" s="10" t="str">
        <x:v>Проверить содержание</x:v>
      </x:c>
      <x:c r="P872" s="10" t="str">
        <x:v>Самостоятельное видео</x:v>
      </x:c>
      <x:c r="Q872" s="9" t="str">
        <x:v>Нет</x:v>
      </x:c>
      <x:c r="R872" s="9" t="str">
        <x:v>C048</x:v>
      </x:c>
      <x:c r="S872" s="9" t="str">
        <x:v>C048</x:v>
      </x:c>
      <x:c r="T872" s="10" t="str">
        <x:v>כאן | חדשות - תאגיד השידור הישראלי</x:v>
      </x:c>
      <x:c r="U872" s="11" t="str">
        <x:v>https://www.youtube.com/watch?v=fiIiBQUx0Xo</x:v>
      </x:c>
      <x:c r="V872" s="16" t="n">
        <x:v>46308</x:v>
      </x:c>
      <x:c r="W872" s="16"/>
      <x:c r="X872" s="10" t="str">
        <x:v>Иврит предполагается по заголовку и источнику</x:v>
      </x:c>
      <x:c r="Y872" s="10" t="str">
        <x:v>Не проверено</x:v>
      </x:c>
      <x:c r="Z872" s="10" t="str">
        <x:v>Не проверено</x:v>
      </x:c>
      <x:c r="AA872" s="10" t="str">
        <x:v>Метаданные списка; видео не просмотрено</x:v>
      </x:c>
      <x:c r="AB872" s="13" t="str">
        <x:f>IF(AND(ISNUMBER(H872),ISNUMBER(W872)),H872/MAX(1,'Обзор'!$B$4-W872),"")</x:f>
      </x:c>
      <x:c r="AC872" s="17" t="str">
        <x:v>Не решено</x:v>
      </x:c>
      <x:c r="AD872" s="17" t="str">
        <x:v>Не проверено</x:v>
      </x:c>
      <x:c r="AE872" s="17" t="str">
        <x:v>Не проверено</x:v>
      </x:c>
      <x:c r="AF872" s="17" t="str">
        <x:v>Не проверено</x:v>
      </x:c>
      <x:c r="AG872" s="17" t="str">
        <x:v>Не решено</x:v>
      </x:c>
      <x:c r="AH872" s="17" t="str">
        <x:v>Не проверено</x:v>
      </x:c>
      <x:c r="AI872" s="10" t="str">
        <x:f>IF(AC872="Отклонить","Отклонено",IF(AND(AC872="Взять",COUNTIFS(AD872:AH872,"Да")=5),"Готово","Нужна редактура"))</x:f>
        <x:v>Нужна редактура</x:v>
      </x:c>
      <x:c r="AJ872" s="17" t="str"/>
      <x:c r="AK872" s="9" t="str">
        <x:v>https://www.youtube.com/playlist?list=PLXv9BeKApRvyYqYs4hCwY29qbl-_BqSBc</x:v>
      </x:c>
      <x:c r="AL872" s="9" t="n">
        <x:v>24</x:v>
      </x:c>
      <x:c r="AM872" s="9"/>
      <x:c r="AN872" s="9"/>
    </x:row>
    <x:row r="873" ht="60" customHeight="1">
      <x:c r="A873" s="9" t="str">
        <x:v>Y1JQ4zE4IMI</x:v>
      </x:c>
      <x:c r="B873" s="10" t="str">
        <x:v>"אני בייביסיטר של מבוגרים": המורה לנהיגה מונעת שנלחם על כל תלמיד</x:v>
      </x:c>
      <x:c r="C873" s="10" t="str">
        <x:v>Профессии и работа</x:v>
      </x:c>
      <x:c r="D873" s="9" t="str">
        <x:v>Быт</x:v>
      </x:c>
      <x:c r="E873" s="10" t="str">
        <x:v>Карьера; репатрианты; общество</x:v>
      </x:c>
      <x:c r="F873" s="10" t="str">
        <x:v>B1–B2 (гипотеза)</x:v>
      </x:c>
      <x:c r="G873" s="12" t="n">
        <x:v>6.3</x:v>
      </x:c>
      <x:c r="H873" s="14" t="n">
        <x:v>178000</x:v>
      </x:c>
      <x:c r="I873" s="15" t="str">
        <x:v>Округлённый счётчик в списке YouTube</x:v>
      </x:c>
      <x:c r="J873" s="14" t="n">
        <x:v>178000</x:v>
      </x:c>
      <x:c r="K873" s="14" t="n">
        <x:v>322000</x:v>
      </x:c>
      <x:c r="L873" s="12" t="n">
        <x:f>IF(COUNT(J873:K873)=2,IF(K873=0,"",J873/K873),"")</x:f>
        <x:v>0.5527950310559007</x:v>
      </x:c>
      <x:c r="M873" s="10" t="str">
        <x:v>Завершённый короткий просмотр около 6 мин. День в жизни специалиста связывает язык с конкретными действиями и рабочей средой.</x:v>
      </x:c>
      <x:c r="N873" s="10" t="str">
        <x:v>Составить рассказ о рабочем дне и 8 профессиональных глаголов.</x:v>
      </x:c>
      <x:c r="O873" s="10" t="str">
        <x:v>Проверить содержание</x:v>
      </x:c>
      <x:c r="P873" s="10" t="str">
        <x:v>Самостоятельное видео</x:v>
      </x:c>
      <x:c r="Q873" s="9" t="str">
        <x:v>Нет</x:v>
      </x:c>
      <x:c r="R873" s="9" t="str">
        <x:v>C048</x:v>
      </x:c>
      <x:c r="S873" s="9" t="str">
        <x:v>C048</x:v>
      </x:c>
      <x:c r="T873" s="10" t="str">
        <x:v>כאן | חדשות - תאגיד השידור הישראלי</x:v>
      </x:c>
      <x:c r="U873" s="11" t="str">
        <x:v>https://www.youtube.com/watch?v=Y1JQ4zE4IMI</x:v>
      </x:c>
      <x:c r="V873" s="16" t="n">
        <x:v>46308</x:v>
      </x:c>
      <x:c r="W873" s="16"/>
      <x:c r="X873" s="10" t="str">
        <x:v>Иврит предполагается по заголовку и источнику</x:v>
      </x:c>
      <x:c r="Y873" s="10" t="str">
        <x:v>Не проверено</x:v>
      </x:c>
      <x:c r="Z873" s="10" t="str">
        <x:v>Не проверено</x:v>
      </x:c>
      <x:c r="AA873" s="10" t="str">
        <x:v>Метаданные списка; видео не просмотрено</x:v>
      </x:c>
      <x:c r="AB873" s="13" t="str">
        <x:f>IF(AND(ISNUMBER(H873),ISNUMBER(W873)),H873/MAX(1,'Обзор'!$B$4-W873),"")</x:f>
      </x:c>
      <x:c r="AC873" s="17" t="str">
        <x:v>Не решено</x:v>
      </x:c>
      <x:c r="AD873" s="17" t="str">
        <x:v>Не проверено</x:v>
      </x:c>
      <x:c r="AE873" s="17" t="str">
        <x:v>Не проверено</x:v>
      </x:c>
      <x:c r="AF873" s="17" t="str">
        <x:v>Не проверено</x:v>
      </x:c>
      <x:c r="AG873" s="17" t="str">
        <x:v>Не решено</x:v>
      </x:c>
      <x:c r="AH873" s="17" t="str">
        <x:v>Не проверено</x:v>
      </x:c>
      <x:c r="AI873" s="10" t="str">
        <x:f>IF(AC873="Отклонить","Отклонено",IF(AND(AC873="Взять",COUNTIFS(AD873:AH873,"Да")=5),"Готово","Нужна редактура"))</x:f>
        <x:v>Нужна редактура</x:v>
      </x:c>
      <x:c r="AJ873" s="17" t="str"/>
      <x:c r="AK873" s="9" t="str">
        <x:v>https://www.youtube.com/playlist?list=PLXv9BeKApRvyYqYs4hCwY29qbl-_BqSBc</x:v>
      </x:c>
      <x:c r="AL873" s="9" t="n">
        <x:v>25</x:v>
      </x:c>
      <x:c r="AM873" s="9"/>
      <x:c r="AN873" s="9"/>
    </x:row>
    <x:row r="874" ht="60" customHeight="1">
      <x:c r="A874" s="9" t="str">
        <x:v>cWlKjOuLm3A</x:v>
      </x:c>
      <x:c r="B874" s="10" t="str">
        <x:v>אנחנו יודעים מה הילדים שלכם הולכים לעשות בקיץ הזה 😎</x:v>
      </x:c>
      <x:c r="C874" s="10" t="str">
        <x:v>Деньги и повседневность</x:v>
      </x:c>
      <x:c r="D874" s="9" t="str">
        <x:v>Образование</x:v>
      </x:c>
      <x:c r="E874" s="10" t="str">
        <x:v>Экономика; репатрианты; взрослые</x:v>
      </x:c>
      <x:c r="F874" s="10" t="str">
        <x:v>B1–B2 (гипотеза)</x:v>
      </x:c>
      <x:c r="G874" s="12" t="n">
        <x:v>0.9</x:v>
      </x:c>
      <x:c r="H874" s="14" t="n">
        <x:v>15000</x:v>
      </x:c>
      <x:c r="I874" s="15" t="str">
        <x:v>Округлённый счётчик в списке YouTube</x:v>
      </x:c>
      <x:c r="J874" s="14" t="n">
        <x:v>15000</x:v>
      </x:c>
      <x:c r="K874" s="14" t="n">
        <x:v>35500</x:v>
      </x:c>
      <x:c r="L874" s="12" t="n">
        <x:f>IF(COUNT(J874:K874)=2,IF(K874=0,"",J874/K874),"")</x:f>
        <x:v>0.4225352112676056</x:v>
      </x:c>
      <x:c r="M874" s="10" t="str">
        <x:v>Завершённый короткий просмотр около 1 мин. Просмотры ниже медианы цикла; выбирать за нишевую ценность, а не за массовый охват. Экономика через бытовой вопрос полезна зрителю с практической мотивацией.</x:v>
      </x:c>
      <x:c r="N874" s="10" t="str">
        <x:v>Пересказать пример и объяснение; проверить цифры перед публикацией.</x:v>
      </x:c>
      <x:c r="O874" s="10" t="str">
        <x:v>Не выдавать архивный выпуск за актуальную финансовую рекомендацию</x:v>
      </x:c>
      <x:c r="P874" s="10" t="str">
        <x:v>Самостоятельное видео</x:v>
      </x:c>
      <x:c r="Q874" s="9" t="str">
        <x:v>Нет</x:v>
      </x:c>
      <x:c r="R874" s="9" t="str">
        <x:v>C049</x:v>
      </x:c>
      <x:c r="S874" s="9" t="str">
        <x:v>C049</x:v>
      </x:c>
      <x:c r="T874" s="10" t="str">
        <x:v>כאן | דיגיטל - תאגיד השידור הישראלי</x:v>
      </x:c>
      <x:c r="U874" s="11" t="str">
        <x:v>https://www.youtube.com/watch?v=cWlKjOuLm3A</x:v>
      </x:c>
      <x:c r="V874" s="16" t="n">
        <x:v>46308</x:v>
      </x:c>
      <x:c r="W874" s="16"/>
      <x:c r="X874" s="10" t="str">
        <x:v>Иврит предполагается по заголовку и источнику</x:v>
      </x:c>
      <x:c r="Y874" s="10" t="str">
        <x:v>Не проверено</x:v>
      </x:c>
      <x:c r="Z874" s="10" t="str">
        <x:v>Не проверено</x:v>
      </x:c>
      <x:c r="AA874" s="10" t="str">
        <x:v>Метаданные списка; видео не просмотрено</x:v>
      </x:c>
      <x:c r="AB874" s="13" t="str">
        <x:f>IF(AND(ISNUMBER(H874),ISNUMBER(W874)),H874/MAX(1,'Обзор'!$B$4-W874),"")</x:f>
      </x:c>
      <x:c r="AC874" s="17" t="str">
        <x:v>Не решено</x:v>
      </x:c>
      <x:c r="AD874" s="17" t="str">
        <x:v>Не проверено</x:v>
      </x:c>
      <x:c r="AE874" s="17" t="str">
        <x:v>Не проверено</x:v>
      </x:c>
      <x:c r="AF874" s="17" t="str">
        <x:v>Не проверено</x:v>
      </x:c>
      <x:c r="AG874" s="17" t="str">
        <x:v>Не решено</x:v>
      </x:c>
      <x:c r="AH874" s="17" t="str">
        <x:v>Не проверено</x:v>
      </x:c>
      <x:c r="AI874" s="10" t="str">
        <x:f>IF(AC874="Отклонить","Отклонено",IF(AND(AC874="Взять",COUNTIFS(AD874:AH874,"Да")=5),"Готово","Нужна редактура"))</x:f>
        <x:v>Нужна редактура</x:v>
      </x:c>
      <x:c r="AJ874" s="17" t="str"/>
      <x:c r="AK874" s="9" t="str">
        <x:v>https://www.youtube.com/playlist?list=PLXv9BeKApRvzbGTKMtatvGWnycWCP3Bf5</x:v>
      </x:c>
      <x:c r="AL874" s="9" t="n">
        <x:v>1</x:v>
      </x:c>
      <x:c r="AM874" s="9"/>
      <x:c r="AN874" s="9"/>
    </x:row>
    <x:row r="875" ht="60" customHeight="1">
      <x:c r="A875" s="9" t="str">
        <x:v>t5Gh5zCL7Co</x:v>
      </x:c>
      <x:c r="B875" s="10" t="str">
        <x:v>איך להשקיע נכון את הכסף מהמילואים? | חיות כיס בפרק מצולם</x:v>
      </x:c>
      <x:c r="C875" s="10" t="str">
        <x:v>Деньги и повседневность</x:v>
      </x:c>
      <x:c r="D875" s="9" t="str">
        <x:v>Образование</x:v>
      </x:c>
      <x:c r="E875" s="10" t="str">
        <x:v>Экономика; репатрианты; взрослые</x:v>
      </x:c>
      <x:c r="F875" s="10" t="str">
        <x:v>B1–B2 (гипотеза)</x:v>
      </x:c>
      <x:c r="G875" s="12" t="n">
        <x:v>31.6</x:v>
      </x:c>
      <x:c r="H875" s="14" t="n">
        <x:v>17000</x:v>
      </x:c>
      <x:c r="I875" s="15" t="str">
        <x:v>Округлённый счётчик в списке YouTube</x:v>
      </x:c>
      <x:c r="J875" s="14" t="n">
        <x:v>17000</x:v>
      </x:c>
      <x:c r="K875" s="14" t="n">
        <x:v>35500</x:v>
      </x:c>
      <x:c r="L875" s="12" t="n">
        <x:f>IF(COUNT(J875:K875)=2,IF(K875=0,"",J875/K875),"")</x:f>
        <x:v>0.4788732394366197</x:v>
      </x:c>
      <x:c r="M875" s="10" t="str">
        <x:v>Тема: איך להשקיע נכון את הכסף מהמילואים? | חיות כיס בפרק מצולם. Просмотры ниже медианы цикла; выбирать за нишевую ценность, а не за массовый охват. Экономика через бытовой вопрос полезна зрителю с практической мотивацией.</x:v>
      </x:c>
      <x:c r="N875" s="10" t="str">
        <x:v>Пересказать пример и объяснение; проверить цифры перед публикацией.</x:v>
      </x:c>
      <x:c r="O875" s="10" t="str">
        <x:v>Не выдавать архивный выпуск за актуальную финансовую рекомендацию</x:v>
      </x:c>
      <x:c r="P875" s="10" t="str">
        <x:v>Самостоятельное видео</x:v>
      </x:c>
      <x:c r="Q875" s="9" t="str">
        <x:v>Нет</x:v>
      </x:c>
      <x:c r="R875" s="9" t="str">
        <x:v>C049</x:v>
      </x:c>
      <x:c r="S875" s="9" t="str">
        <x:v>C049</x:v>
      </x:c>
      <x:c r="T875" s="10" t="str">
        <x:v>כאן | דיגיטל - תאגיד השידור הישראלי</x:v>
      </x:c>
      <x:c r="U875" s="11" t="str">
        <x:v>https://www.youtube.com/watch?v=t5Gh5zCL7Co</x:v>
      </x:c>
      <x:c r="V875" s="16" t="n">
        <x:v>46308</x:v>
      </x:c>
      <x:c r="W875" s="16"/>
      <x:c r="X875" s="10" t="str">
        <x:v>Иврит предполагается по заголовку и источнику</x:v>
      </x:c>
      <x:c r="Y875" s="10" t="str">
        <x:v>Не проверено</x:v>
      </x:c>
      <x:c r="Z875" s="10" t="str">
        <x:v>Не проверено</x:v>
      </x:c>
      <x:c r="AA875" s="10" t="str">
        <x:v>Метаданные списка; видео не просмотрено</x:v>
      </x:c>
      <x:c r="AB875" s="13" t="str">
        <x:f>IF(AND(ISNUMBER(H875),ISNUMBER(W875)),H875/MAX(1,'Обзор'!$B$4-W875),"")</x:f>
      </x:c>
      <x:c r="AC875" s="17" t="str">
        <x:v>Не решено</x:v>
      </x:c>
      <x:c r="AD875" s="17" t="str">
        <x:v>Не проверено</x:v>
      </x:c>
      <x:c r="AE875" s="17" t="str">
        <x:v>Не проверено</x:v>
      </x:c>
      <x:c r="AF875" s="17" t="str">
        <x:v>Не проверено</x:v>
      </x:c>
      <x:c r="AG875" s="17" t="str">
        <x:v>Не решено</x:v>
      </x:c>
      <x:c r="AH875" s="17" t="str">
        <x:v>Не проверено</x:v>
      </x:c>
      <x:c r="AI875" s="10" t="str">
        <x:f>IF(AC875="Отклонить","Отклонено",IF(AND(AC875="Взять",COUNTIFS(AD875:AH875,"Да")=5),"Готово","Нужна редактура"))</x:f>
        <x:v>Нужна редактура</x:v>
      </x:c>
      <x:c r="AJ875" s="17" t="str"/>
      <x:c r="AK875" s="9" t="str">
        <x:v>https://www.youtube.com/playlist?list=PLXv9BeKApRvzbGTKMtatvGWnycWCP3Bf5</x:v>
      </x:c>
      <x:c r="AL875" s="9" t="n">
        <x:v>2</x:v>
      </x:c>
      <x:c r="AM875" s="9"/>
      <x:c r="AN875" s="9"/>
    </x:row>
    <x:row r="876" ht="60" customHeight="1">
      <x:c r="A876" s="9" t="str">
        <x:v>expZhAuj8Ro</x:v>
      </x:c>
      <x:c r="B876" s="10" t="str">
        <x:v>"קיבלתי 35,000 שקל על סרטון של דקה״ | חיות כיס</x:v>
      </x:c>
      <x:c r="C876" s="10" t="str">
        <x:v>Деньги и повседневность</x:v>
      </x:c>
      <x:c r="D876" s="9" t="str">
        <x:v>Образование</x:v>
      </x:c>
      <x:c r="E876" s="10" t="str">
        <x:v>Экономика; репатрианты; взрослые</x:v>
      </x:c>
      <x:c r="F876" s="10" t="str">
        <x:v>B1–B2 (гипотеза)</x:v>
      </x:c>
      <x:c r="G876" s="12" t="n">
        <x:v>11.2</x:v>
      </x:c>
      <x:c r="H876" s="14" t="n">
        <x:v>204851</x:v>
      </x:c>
      <x:c r="I876" s="15" t="str">
        <x:v>Точный счётчик метаданных видео</x:v>
      </x:c>
      <x:c r="J876" s="14" t="n">
        <x:v>204000</x:v>
      </x:c>
      <x:c r="K876" s="14" t="n">
        <x:v>35500</x:v>
      </x:c>
      <x:c r="L876" s="12" t="n">
        <x:f>IF(COUNT(J876:K876)=2,IF(K876=0,"",J876/K876),"")</x:f>
        <x:v>5.746478873239437</x:v>
      </x:c>
      <x:c r="M876" s="10" t="str">
        <x:v>Тема: "קיבלתי 35,000 שקל על סרטון של דקה״ | חיות כיס. Просмотры в списке выше медианы выборки этого цикла в 5.75 раза. Экономика через бытовой вопрос полезна зрителю с практической мотивацией.</x:v>
      </x:c>
      <x:c r="N876" s="10" t="str">
        <x:v>Пересказать пример и объяснение; проверить цифры перед публикацией.</x:v>
      </x:c>
      <x:c r="O876" s="10" t="str">
        <x:v>Не выдавать архивный выпуск за актуальную финансовую рекомендацию</x:v>
      </x:c>
      <x:c r="P876" s="10" t="str">
        <x:v>Самостоятельное видео</x:v>
      </x:c>
      <x:c r="Q876" s="9" t="str">
        <x:v>Нет</x:v>
      </x:c>
      <x:c r="R876" s="9" t="str">
        <x:v>C049</x:v>
      </x:c>
      <x:c r="S876" s="9" t="str">
        <x:v>C049</x:v>
      </x:c>
      <x:c r="T876" s="10" t="str">
        <x:v>כאן | דיגיטל - תאגיד השידור הישראלי</x:v>
      </x:c>
      <x:c r="U876" s="11" t="str">
        <x:v>https://www.youtube.com/watch?v=expZhAuj8Ro</x:v>
      </x:c>
      <x:c r="V876" s="16" t="n">
        <x:v>46308</x:v>
      </x:c>
      <x:c r="W876" s="16" t="n">
        <x:v>45035</x:v>
      </x:c>
      <x:c r="X876" s="10" t="str">
        <x:v>Иврит предполагается по заголовку и источнику</x:v>
      </x:c>
      <x:c r="Y876" s="10" t="str">
        <x:v>Дорожка HE не найдена в метаданных; вшитые титры не проверены</x:v>
      </x:c>
      <x:c r="Z876" s="10" t="str">
        <x:v>Разрешено по метаданным</x:v>
      </x:c>
      <x:c r="AA876" s="10" t="str">
        <x:v>Метаданные видео; воспроизведение и содержание не проверены</x:v>
      </x:c>
      <x:c r="AB876" s="13" t="n">
        <x:f>IF(AND(ISNUMBER(H876),ISNUMBER(W876)),H876/MAX(1,'Обзор'!$B$4-W876),"")</x:f>
        <x:v>160.9198743126473</x:v>
      </x:c>
      <x:c r="AC876" s="17" t="str">
        <x:v>Не решено</x:v>
      </x:c>
      <x:c r="AD876" s="17" t="str">
        <x:v>Не проверено</x:v>
      </x:c>
      <x:c r="AE876" s="17" t="str">
        <x:v>Не проверено</x:v>
      </x:c>
      <x:c r="AF876" s="17" t="str">
        <x:v>Не проверено</x:v>
      </x:c>
      <x:c r="AG876" s="17" t="str">
        <x:v>Не решено</x:v>
      </x:c>
      <x:c r="AH876" s="17" t="str">
        <x:v>Не проверено</x:v>
      </x:c>
      <x:c r="AI876" s="10" t="str">
        <x:f>IF(AC876="Отклонить","Отклонено",IF(AND(AC876="Взять",COUNTIFS(AD876:AH876,"Да")=5),"Готово","Нужна редактура"))</x:f>
        <x:v>Нужна редактура</x:v>
      </x:c>
      <x:c r="AJ876" s="17" t="str"/>
      <x:c r="AK876" s="9" t="str">
        <x:v>https://www.youtube.com/playlist?list=PLXv9BeKApRvzbGTKMtatvGWnycWCP3Bf5</x:v>
      </x:c>
      <x:c r="AL876" s="9" t="n">
        <x:v>3</x:v>
      </x:c>
      <x:c r="AM876" s="9"/>
      <x:c r="AN876" s="9" t="n">
        <x:v>0</x:v>
      </x:c>
    </x:row>
    <x:row r="877" ht="60" customHeight="1">
      <x:c r="A877" s="9" t="str">
        <x:v>Xu03tIpHKfo</x:v>
      </x:c>
      <x:c r="B877" s="10" t="str">
        <x:v>עזרו לנו להפוך את שאול לרובוט</x:v>
      </x:c>
      <x:c r="C877" s="10" t="str">
        <x:v>Деньги и повседневность</x:v>
      </x:c>
      <x:c r="D877" s="9" t="str">
        <x:v>Образование</x:v>
      </x:c>
      <x:c r="E877" s="10" t="str">
        <x:v>Экономика; репатрианты; взрослые</x:v>
      </x:c>
      <x:c r="F877" s="10" t="str">
        <x:v>B1–B2 (гипотеза)</x:v>
      </x:c>
      <x:c r="G877" s="12" t="n">
        <x:v>1.9</x:v>
      </x:c>
      <x:c r="H877" s="14" t="n">
        <x:v>30000</x:v>
      </x:c>
      <x:c r="I877" s="15" t="str">
        <x:v>Округлённый счётчик в списке YouTube</x:v>
      </x:c>
      <x:c r="J877" s="14" t="n">
        <x:v>30000</x:v>
      </x:c>
      <x:c r="K877" s="14" t="n">
        <x:v>35500</x:v>
      </x:c>
      <x:c r="L877" s="12" t="n">
        <x:f>IF(COUNT(J877:K877)=2,IF(K877=0,"",J877/K877),"")</x:f>
        <x:v>0.8450704225352113</x:v>
      </x:c>
      <x:c r="M877" s="10" t="str">
        <x:v>Завершённый короткий просмотр около 2 мин. Экономика через бытовой вопрос полезна зрителю с практической мотивацией.</x:v>
      </x:c>
      <x:c r="N877" s="10" t="str">
        <x:v>Пересказать пример и объяснение; проверить цифры перед публикацией.</x:v>
      </x:c>
      <x:c r="O877" s="10" t="str">
        <x:v>Не выдавать архивный выпуск за актуальную финансовую рекомендацию</x:v>
      </x:c>
      <x:c r="P877" s="10" t="str">
        <x:v>Самостоятельное видео</x:v>
      </x:c>
      <x:c r="Q877" s="9" t="str">
        <x:v>Нет</x:v>
      </x:c>
      <x:c r="R877" s="9" t="str">
        <x:v>C049</x:v>
      </x:c>
      <x:c r="S877" s="9" t="str">
        <x:v>C049</x:v>
      </x:c>
      <x:c r="T877" s="10" t="str">
        <x:v>כאן | דיגיטל - תאגיד השידור הישראלי</x:v>
      </x:c>
      <x:c r="U877" s="11" t="str">
        <x:v>https://www.youtube.com/watch?v=Xu03tIpHKfo</x:v>
      </x:c>
      <x:c r="V877" s="16" t="n">
        <x:v>46308</x:v>
      </x:c>
      <x:c r="W877" s="16"/>
      <x:c r="X877" s="10" t="str">
        <x:v>Иврит предполагается по заголовку и источнику</x:v>
      </x:c>
      <x:c r="Y877" s="10" t="str">
        <x:v>Не проверено</x:v>
      </x:c>
      <x:c r="Z877" s="10" t="str">
        <x:v>Не проверено</x:v>
      </x:c>
      <x:c r="AA877" s="10" t="str">
        <x:v>Метаданные списка; видео не просмотрено</x:v>
      </x:c>
      <x:c r="AB877" s="13" t="str">
        <x:f>IF(AND(ISNUMBER(H877),ISNUMBER(W877)),H877/MAX(1,'Обзор'!$B$4-W877),"")</x:f>
      </x:c>
      <x:c r="AC877" s="17" t="str">
        <x:v>Не решено</x:v>
      </x:c>
      <x:c r="AD877" s="17" t="str">
        <x:v>Не проверено</x:v>
      </x:c>
      <x:c r="AE877" s="17" t="str">
        <x:v>Не проверено</x:v>
      </x:c>
      <x:c r="AF877" s="17" t="str">
        <x:v>Не проверено</x:v>
      </x:c>
      <x:c r="AG877" s="17" t="str">
        <x:v>Не решено</x:v>
      </x:c>
      <x:c r="AH877" s="17" t="str">
        <x:v>Не проверено</x:v>
      </x:c>
      <x:c r="AI877" s="10" t="str">
        <x:f>IF(AC877="Отклонить","Отклонено",IF(AND(AC877="Взять",COUNTIFS(AD877:AH877,"Да")=5),"Готово","Нужна редактура"))</x:f>
        <x:v>Нужна редактура</x:v>
      </x:c>
      <x:c r="AJ877" s="17" t="str"/>
      <x:c r="AK877" s="9" t="str">
        <x:v>https://www.youtube.com/playlist?list=PLXv9BeKApRvzbGTKMtatvGWnycWCP3Bf5</x:v>
      </x:c>
      <x:c r="AL877" s="9" t="n">
        <x:v>4</x:v>
      </x:c>
      <x:c r="AM877" s="9"/>
      <x:c r="AN877" s="9"/>
    </x:row>
    <x:row r="878" ht="60" customHeight="1">
      <x:c r="A878" s="9" t="str">
        <x:v>G_ljlf_Bswk</x:v>
      </x:c>
      <x:c r="B878" s="10" t="str">
        <x:v>למה משכירים לנו דירות בחוזה לשנה אחת? | חיות כיס</x:v>
      </x:c>
      <x:c r="C878" s="10" t="str">
        <x:v>Деньги и повседневность</x:v>
      </x:c>
      <x:c r="D878" s="9" t="str">
        <x:v>Образование</x:v>
      </x:c>
      <x:c r="E878" s="10" t="str">
        <x:v>Экономика; репатрианты; взрослые</x:v>
      </x:c>
      <x:c r="F878" s="10" t="str">
        <x:v>B1–B2 (гипотеза)</x:v>
      </x:c>
      <x:c r="G878" s="12" t="n">
        <x:v>3</x:v>
      </x:c>
      <x:c r="H878" s="14" t="n">
        <x:v>36393</x:v>
      </x:c>
      <x:c r="I878" s="15" t="str">
        <x:v>Точный счётчик метаданных видео</x:v>
      </x:c>
      <x:c r="J878" s="14" t="n">
        <x:v>36000</x:v>
      </x:c>
      <x:c r="K878" s="14" t="n">
        <x:v>35500</x:v>
      </x:c>
      <x:c r="L878" s="12" t="n">
        <x:f>IF(COUNT(J878:K878)=2,IF(K878=0,"",J878/K878),"")</x:f>
        <x:v>1.0140845070422535</x:v>
      </x:c>
      <x:c r="M878" s="10" t="str">
        <x:v>Завершённый короткий просмотр около 3 мин. Экономика через бытовой вопрос полезна зрителю с практической мотивацией.</x:v>
      </x:c>
      <x:c r="N878" s="10" t="str">
        <x:v>Пересказать пример и объяснение; проверить цифры перед публикацией.</x:v>
      </x:c>
      <x:c r="O878" s="10" t="str">
        <x:v>Не выдавать архивный выпуск за актуальную финансовую рекомендацию</x:v>
      </x:c>
      <x:c r="P878" s="10" t="str">
        <x:v>Самостоятельное видео</x:v>
      </x:c>
      <x:c r="Q878" s="9" t="str">
        <x:v>Нет</x:v>
      </x:c>
      <x:c r="R878" s="9" t="str">
        <x:v>C049</x:v>
      </x:c>
      <x:c r="S878" s="9" t="str">
        <x:v>C049</x:v>
      </x:c>
      <x:c r="T878" s="10" t="str">
        <x:v>כאן | דיגיטל - תאגיד השידור הישראלי</x:v>
      </x:c>
      <x:c r="U878" s="11" t="str">
        <x:v>https://www.youtube.com/watch?v=G_ljlf_Bswk</x:v>
      </x:c>
      <x:c r="V878" s="16" t="n">
        <x:v>46308</x:v>
      </x:c>
      <x:c r="W878" s="16" t="n">
        <x:v>44756</x:v>
      </x:c>
      <x:c r="X878" s="10" t="str">
        <x:v>Иврит предполагается по заголовку и источнику</x:v>
      </x:c>
      <x:c r="Y878" s="10" t="str">
        <x:v>Дорожка HE не найдена в метаданных; вшитые титры не проверены</x:v>
      </x:c>
      <x:c r="Z878" s="10" t="str">
        <x:v>Разрешено по метаданным</x:v>
      </x:c>
      <x:c r="AA878" s="10" t="str">
        <x:v>Метаданные видео; воспроизведение и содержание не проверены</x:v>
      </x:c>
      <x:c r="AB878" s="13" t="n">
        <x:f>IF(AND(ISNUMBER(H878),ISNUMBER(W878)),H878/MAX(1,'Обзор'!$B$4-W878),"")</x:f>
        <x:v>23.44909793814433</x:v>
      </x:c>
      <x:c r="AC878" s="17" t="str">
        <x:v>Не решено</x:v>
      </x:c>
      <x:c r="AD878" s="17" t="str">
        <x:v>Не проверено</x:v>
      </x:c>
      <x:c r="AE878" s="17" t="str">
        <x:v>Не проверено</x:v>
      </x:c>
      <x:c r="AF878" s="17" t="str">
        <x:v>Не проверено</x:v>
      </x:c>
      <x:c r="AG878" s="17" t="str">
        <x:v>Не решено</x:v>
      </x:c>
      <x:c r="AH878" s="17" t="str">
        <x:v>Не проверено</x:v>
      </x:c>
      <x:c r="AI878" s="10" t="str">
        <x:f>IF(AC878="Отклонить","Отклонено",IF(AND(AC878="Взять",COUNTIFS(AD878:AH878,"Да")=5),"Готово","Нужна редактура"))</x:f>
        <x:v>Нужна редактура</x:v>
      </x:c>
      <x:c r="AJ878" s="17" t="str"/>
      <x:c r="AK878" s="9" t="str">
        <x:v>https://www.youtube.com/playlist?list=PLXv9BeKApRvzbGTKMtatvGWnycWCP3Bf5</x:v>
      </x:c>
      <x:c r="AL878" s="9" t="n">
        <x:v>5</x:v>
      </x:c>
      <x:c r="AM878" s="9"/>
      <x:c r="AN878" s="9" t="n">
        <x:v>0</x:v>
      </x:c>
    </x:row>
    <x:row r="879" ht="60" customHeight="1">
      <x:c r="A879" s="9" t="str">
        <x:v>VTI76jURYiM</x:v>
      </x:c>
      <x:c r="B879" s="10" t="str">
        <x:v>עלייה בשכר המינימום תגרום לאבטלה? | חיות כיס</x:v>
      </x:c>
      <x:c r="C879" s="10" t="str">
        <x:v>Деньги и повседневность</x:v>
      </x:c>
      <x:c r="D879" s="9" t="str">
        <x:v>Образование</x:v>
      </x:c>
      <x:c r="E879" s="10" t="str">
        <x:v>Экономика; репатрианты; взрослые</x:v>
      </x:c>
      <x:c r="F879" s="10" t="str">
        <x:v>B1–B2 (гипотеза)</x:v>
      </x:c>
      <x:c r="G879" s="12" t="n">
        <x:v>5.1</x:v>
      </x:c>
      <x:c r="H879" s="14" t="n">
        <x:v>37144</x:v>
      </x:c>
      <x:c r="I879" s="15" t="str">
        <x:v>Точный счётчик метаданных видео</x:v>
      </x:c>
      <x:c r="J879" s="14" t="n">
        <x:v>37000</x:v>
      </x:c>
      <x:c r="K879" s="14" t="n">
        <x:v>35500</x:v>
      </x:c>
      <x:c r="L879" s="12" t="n">
        <x:f>IF(COUNT(J879:K879)=2,IF(K879=0,"",J879/K879),"")</x:f>
        <x:v>1.0422535211267605</x:v>
      </x:c>
      <x:c r="M879" s="10" t="str">
        <x:v>Завершённый короткий просмотр около 5 мин. Экономика через бытовой вопрос полезна зрителю с практической мотивацией.</x:v>
      </x:c>
      <x:c r="N879" s="10" t="str">
        <x:v>Пересказать пример и объяснение; проверить цифры перед публикацией.</x:v>
      </x:c>
      <x:c r="O879" s="10" t="str">
        <x:v>Не выдавать архивный выпуск за актуальную финансовую рекомендацию</x:v>
      </x:c>
      <x:c r="P879" s="10" t="str">
        <x:v>Самостоятельное видео</x:v>
      </x:c>
      <x:c r="Q879" s="9" t="str">
        <x:v>Нет</x:v>
      </x:c>
      <x:c r="R879" s="9" t="str">
        <x:v>C049</x:v>
      </x:c>
      <x:c r="S879" s="9" t="str">
        <x:v>C049</x:v>
      </x:c>
      <x:c r="T879" s="10" t="str">
        <x:v>כאן | דיגיטל - תאגיד השידור הישראלי</x:v>
      </x:c>
      <x:c r="U879" s="11" t="str">
        <x:v>https://www.youtube.com/watch?v=VTI76jURYiM</x:v>
      </x:c>
      <x:c r="V879" s="16" t="n">
        <x:v>46308</x:v>
      </x:c>
      <x:c r="W879" s="16" t="n">
        <x:v>44720</x:v>
      </x:c>
      <x:c r="X879" s="10" t="str">
        <x:v>Иврит предполагается по заголовку и источнику</x:v>
      </x:c>
      <x:c r="Y879" s="10" t="str">
        <x:v>Дорожка HE не найдена в метаданных; вшитые титры не проверены</x:v>
      </x:c>
      <x:c r="Z879" s="10" t="str">
        <x:v>Разрешено по метаданным</x:v>
      </x:c>
      <x:c r="AA879" s="10" t="str">
        <x:v>Метаданные видео; воспроизведение и содержание не проверены</x:v>
      </x:c>
      <x:c r="AB879" s="13" t="n">
        <x:f>IF(AND(ISNUMBER(H879),ISNUMBER(W879)),H879/MAX(1,'Обзор'!$B$4-W879),"")</x:f>
        <x:v>23.3904282115869</x:v>
      </x:c>
      <x:c r="AC879" s="17" t="str">
        <x:v>Не решено</x:v>
      </x:c>
      <x:c r="AD879" s="17" t="str">
        <x:v>Не проверено</x:v>
      </x:c>
      <x:c r="AE879" s="17" t="str">
        <x:v>Не проверено</x:v>
      </x:c>
      <x:c r="AF879" s="17" t="str">
        <x:v>Не проверено</x:v>
      </x:c>
      <x:c r="AG879" s="17" t="str">
        <x:v>Не решено</x:v>
      </x:c>
      <x:c r="AH879" s="17" t="str">
        <x:v>Не проверено</x:v>
      </x:c>
      <x:c r="AI879" s="10" t="str">
        <x:f>IF(AC879="Отклонить","Отклонено",IF(AND(AC879="Взять",COUNTIFS(AD879:AH879,"Да")=5),"Готово","Нужна редактура"))</x:f>
        <x:v>Нужна редактура</x:v>
      </x:c>
      <x:c r="AJ879" s="17" t="str"/>
      <x:c r="AK879" s="9" t="str">
        <x:v>https://www.youtube.com/playlist?list=PLXv9BeKApRvzbGTKMtatvGWnycWCP3Bf5</x:v>
      </x:c>
      <x:c r="AL879" s="9" t="n">
        <x:v>6</x:v>
      </x:c>
      <x:c r="AM879" s="9"/>
      <x:c r="AN879" s="9" t="n">
        <x:v>0</x:v>
      </x:c>
    </x:row>
    <x:row r="880" ht="60" customHeight="1">
      <x:c r="A880" s="9" t="str">
        <x:v>dVXTiAf7QpM</x:v>
      </x:c>
      <x:c r="B880" s="10" t="str">
        <x:v>אנחנו מעריצים שרופים של חיות כיס | כאן מכירים</x:v>
      </x:c>
      <x:c r="C880" s="10" t="str">
        <x:v>Деньги и повседневность</x:v>
      </x:c>
      <x:c r="D880" s="9" t="str">
        <x:v>Образование</x:v>
      </x:c>
      <x:c r="E880" s="10" t="str">
        <x:v>Экономика; репатрианты; взрослые</x:v>
      </x:c>
      <x:c r="F880" s="10" t="str">
        <x:v>B1–B2 (гипотеза)</x:v>
      </x:c>
      <x:c r="G880" s="12" t="n">
        <x:v>5.5</x:v>
      </x:c>
      <x:c r="H880" s="14" t="n">
        <x:v>16000</x:v>
      </x:c>
      <x:c r="I880" s="15" t="str">
        <x:v>Округлённый счётчик в списке YouTube</x:v>
      </x:c>
      <x:c r="J880" s="14" t="n">
        <x:v>16000</x:v>
      </x:c>
      <x:c r="K880" s="14" t="n">
        <x:v>35500</x:v>
      </x:c>
      <x:c r="L880" s="12" t="n">
        <x:f>IF(COUNT(J880:K880)=2,IF(K880=0,"",J880/K880),"")</x:f>
        <x:v>0.4507042253521127</x:v>
      </x:c>
      <x:c r="M880" s="10" t="str">
        <x:v>Завершённый короткий просмотр около 6 мин. Просмотры ниже медианы цикла; выбирать за нишевую ценность, а не за массовый охват. Экономика через бытовой вопрос полезна зрителю с практической мотивацией.</x:v>
      </x:c>
      <x:c r="N880" s="10" t="str">
        <x:v>Пересказать пример и объяснение; проверить цифры перед публикацией.</x:v>
      </x:c>
      <x:c r="O880" s="10" t="str">
        <x:v>Не выдавать архивный выпуск за актуальную финансовую рекомендацию</x:v>
      </x:c>
      <x:c r="P880" s="10" t="str">
        <x:v>Самостоятельное видео</x:v>
      </x:c>
      <x:c r="Q880" s="9" t="str">
        <x:v>Нет</x:v>
      </x:c>
      <x:c r="R880" s="9" t="str">
        <x:v>C049</x:v>
      </x:c>
      <x:c r="S880" s="9" t="str">
        <x:v>C049</x:v>
      </x:c>
      <x:c r="T880" s="10" t="str">
        <x:v>כאן | דיגיטל - תאגיד השידור הישראלי</x:v>
      </x:c>
      <x:c r="U880" s="11" t="str">
        <x:v>https://www.youtube.com/watch?v=dVXTiAf7QpM</x:v>
      </x:c>
      <x:c r="V880" s="16" t="n">
        <x:v>46308</x:v>
      </x:c>
      <x:c r="W880" s="16"/>
      <x:c r="X880" s="10" t="str">
        <x:v>Иврит предполагается по заголовку и источнику</x:v>
      </x:c>
      <x:c r="Y880" s="10" t="str">
        <x:v>Не проверено</x:v>
      </x:c>
      <x:c r="Z880" s="10" t="str">
        <x:v>Не проверено</x:v>
      </x:c>
      <x:c r="AA880" s="10" t="str">
        <x:v>Метаданные списка; видео не просмотрено</x:v>
      </x:c>
      <x:c r="AB880" s="13" t="str">
        <x:f>IF(AND(ISNUMBER(H880),ISNUMBER(W880)),H880/MAX(1,'Обзор'!$B$4-W880),"")</x:f>
      </x:c>
      <x:c r="AC880" s="17" t="str">
        <x:v>Не решено</x:v>
      </x:c>
      <x:c r="AD880" s="17" t="str">
        <x:v>Не проверено</x:v>
      </x:c>
      <x:c r="AE880" s="17" t="str">
        <x:v>Не проверено</x:v>
      </x:c>
      <x:c r="AF880" s="17" t="str">
        <x:v>Не проверено</x:v>
      </x:c>
      <x:c r="AG880" s="17" t="str">
        <x:v>Не решено</x:v>
      </x:c>
      <x:c r="AH880" s="17" t="str">
        <x:v>Не проверено</x:v>
      </x:c>
      <x:c r="AI880" s="10" t="str">
        <x:f>IF(AC880="Отклонить","Отклонено",IF(AND(AC880="Взять",COUNTIFS(AD880:AH880,"Да")=5),"Готово","Нужна редактура"))</x:f>
        <x:v>Нужна редактура</x:v>
      </x:c>
      <x:c r="AJ880" s="17" t="str"/>
      <x:c r="AK880" s="9" t="str">
        <x:v>https://www.youtube.com/playlist?list=PLXv9BeKApRvzbGTKMtatvGWnycWCP3Bf5</x:v>
      </x:c>
      <x:c r="AL880" s="9" t="n">
        <x:v>7</x:v>
      </x:c>
      <x:c r="AM880" s="9"/>
      <x:c r="AN880" s="9"/>
    </x:row>
    <x:row r="881" ht="60" customHeight="1">
      <x:c r="A881" s="9" t="str">
        <x:v>Q8nCMpFKOog</x:v>
      </x:c>
      <x:c r="B881" s="10" t="str">
        <x:v>למה משרד השיכון שולח אותנו (שוב) לגור בפריפריה? | חיות כיס</x:v>
      </x:c>
      <x:c r="C881" s="10" t="str">
        <x:v>Деньги и повседневность</x:v>
      </x:c>
      <x:c r="D881" s="9" t="str">
        <x:v>Образование</x:v>
      </x:c>
      <x:c r="E881" s="10" t="str">
        <x:v>Экономика; репатрианты; взрослые</x:v>
      </x:c>
      <x:c r="F881" s="10" t="str">
        <x:v>B1–B2 (гипотеза)</x:v>
      </x:c>
      <x:c r="G881" s="12" t="n">
        <x:v>3.3</x:v>
      </x:c>
      <x:c r="H881" s="14" t="n">
        <x:v>9300</x:v>
      </x:c>
      <x:c r="I881" s="15" t="str">
        <x:v>Округлённый счётчик в списке YouTube</x:v>
      </x:c>
      <x:c r="J881" s="14" t="n">
        <x:v>9300</x:v>
      </x:c>
      <x:c r="K881" s="14" t="n">
        <x:v>35500</x:v>
      </x:c>
      <x:c r="L881" s="12" t="n">
        <x:f>IF(COUNT(J881:K881)=2,IF(K881=0,"",J881/K881),"")</x:f>
        <x:v>0.2619718309859155</x:v>
      </x:c>
      <x:c r="M881" s="10" t="str">
        <x:v>Завершённый короткий просмотр около 3 мин. Просмотры ниже медианы цикла; выбирать за нишевую ценность, а не за массовый охват. Экономика через бытовой вопрос полезна зрителю с практической мотивацией.</x:v>
      </x:c>
      <x:c r="N881" s="10" t="str">
        <x:v>Пересказать пример и объяснение; проверить цифры перед публикацией.</x:v>
      </x:c>
      <x:c r="O881" s="10" t="str">
        <x:v>Не выдавать архивный выпуск за актуальную финансовую рекомендацию</x:v>
      </x:c>
      <x:c r="P881" s="10" t="str">
        <x:v>Самостоятельное видео</x:v>
      </x:c>
      <x:c r="Q881" s="9" t="str">
        <x:v>Нет</x:v>
      </x:c>
      <x:c r="R881" s="9" t="str">
        <x:v>C049</x:v>
      </x:c>
      <x:c r="S881" s="9" t="str">
        <x:v>C049</x:v>
      </x:c>
      <x:c r="T881" s="10" t="str">
        <x:v>כאן | דיגיטל - תאגיד השידור הישראלי</x:v>
      </x:c>
      <x:c r="U881" s="11" t="str">
        <x:v>https://www.youtube.com/watch?v=Q8nCMpFKOog</x:v>
      </x:c>
      <x:c r="V881" s="16" t="n">
        <x:v>46308</x:v>
      </x:c>
      <x:c r="W881" s="16"/>
      <x:c r="X881" s="10" t="str">
        <x:v>Иврит предполагается по заголовку и источнику</x:v>
      </x:c>
      <x:c r="Y881" s="10" t="str">
        <x:v>Не проверено</x:v>
      </x:c>
      <x:c r="Z881" s="10" t="str">
        <x:v>Не проверено</x:v>
      </x:c>
      <x:c r="AA881" s="10" t="str">
        <x:v>Метаданные списка; видео не просмотрено</x:v>
      </x:c>
      <x:c r="AB881" s="13" t="str">
        <x:f>IF(AND(ISNUMBER(H881),ISNUMBER(W881)),H881/MAX(1,'Обзор'!$B$4-W881),"")</x:f>
      </x:c>
      <x:c r="AC881" s="17" t="str">
        <x:v>Не решено</x:v>
      </x:c>
      <x:c r="AD881" s="17" t="str">
        <x:v>Не проверено</x:v>
      </x:c>
      <x:c r="AE881" s="17" t="str">
        <x:v>Не проверено</x:v>
      </x:c>
      <x:c r="AF881" s="17" t="str">
        <x:v>Не проверено</x:v>
      </x:c>
      <x:c r="AG881" s="17" t="str">
        <x:v>Не решено</x:v>
      </x:c>
      <x:c r="AH881" s="17" t="str">
        <x:v>Не проверено</x:v>
      </x:c>
      <x:c r="AI881" s="10" t="str">
        <x:f>IF(AC881="Отклонить","Отклонено",IF(AND(AC881="Взять",COUNTIFS(AD881:AH881,"Да")=5),"Готово","Нужна редактура"))</x:f>
        <x:v>Нужна редактура</x:v>
      </x:c>
      <x:c r="AJ881" s="17" t="str"/>
      <x:c r="AK881" s="9" t="str">
        <x:v>https://www.youtube.com/playlist?list=PLXv9BeKApRvzbGTKMtatvGWnycWCP3Bf5</x:v>
      </x:c>
      <x:c r="AL881" s="9" t="n">
        <x:v>8</x:v>
      </x:c>
      <x:c r="AM881" s="9"/>
      <x:c r="AN881" s="9"/>
    </x:row>
    <x:row r="882" ht="60" customHeight="1">
      <x:c r="A882" s="9" t="str">
        <x:v>hme2eRuR9lQ</x:v>
      </x:c>
      <x:c r="B882" s="10" t="str">
        <x:v>גברים או נשים - מי עושה יותר בבית? | חיות כיס</x:v>
      </x:c>
      <x:c r="C882" s="10" t="str">
        <x:v>Деньги и повседневность</x:v>
      </x:c>
      <x:c r="D882" s="9" t="str">
        <x:v>Образование</x:v>
      </x:c>
      <x:c r="E882" s="10" t="str">
        <x:v>Экономика; репатрианты; взрослые</x:v>
      </x:c>
      <x:c r="F882" s="10" t="str">
        <x:v>B1–B2 (гипотеза)</x:v>
      </x:c>
      <x:c r="G882" s="12" t="n">
        <x:v>7.3</x:v>
      </x:c>
      <x:c r="H882" s="14" t="n">
        <x:v>38681</x:v>
      </x:c>
      <x:c r="I882" s="15" t="str">
        <x:v>Точный счётчик метаданных видео</x:v>
      </x:c>
      <x:c r="J882" s="14" t="n">
        <x:v>38000</x:v>
      </x:c>
      <x:c r="K882" s="14" t="n">
        <x:v>35500</x:v>
      </x:c>
      <x:c r="L882" s="12" t="n">
        <x:f>IF(COUNT(J882:K882)=2,IF(K882=0,"",J882/K882),"")</x:f>
        <x:v>1.0704225352112675</x:v>
      </x:c>
      <x:c r="M882" s="10" t="str">
        <x:v>Завершённый короткий просмотр около 7 мин. Экономика через бытовой вопрос полезна зрителю с практической мотивацией.</x:v>
      </x:c>
      <x:c r="N882" s="10" t="str">
        <x:v>Пересказать пример и объяснение; проверить цифры перед публикацией.</x:v>
      </x:c>
      <x:c r="O882" s="10" t="str">
        <x:v>Не выдавать архивный выпуск за актуальную финансовую рекомендацию</x:v>
      </x:c>
      <x:c r="P882" s="10" t="str">
        <x:v>Самостоятельное видео</x:v>
      </x:c>
      <x:c r="Q882" s="9" t="str">
        <x:v>Нет</x:v>
      </x:c>
      <x:c r="R882" s="9" t="str">
        <x:v>C049</x:v>
      </x:c>
      <x:c r="S882" s="9" t="str">
        <x:v>C049</x:v>
      </x:c>
      <x:c r="T882" s="10" t="str">
        <x:v>כאן | דיגיטל - תאגיד השידור הישראלי</x:v>
      </x:c>
      <x:c r="U882" s="11" t="str">
        <x:v>https://www.youtube.com/watch?v=hme2eRuR9lQ</x:v>
      </x:c>
      <x:c r="V882" s="16" t="n">
        <x:v>46308</x:v>
      </x:c>
      <x:c r="W882" s="16" t="n">
        <x:v>44217</x:v>
      </x:c>
      <x:c r="X882" s="10" t="str">
        <x:v>Иврит предполагается по заголовку и источнику</x:v>
      </x:c>
      <x:c r="Y882" s="10" t="str">
        <x:v>Ручная дорожка HE по метаданным</x:v>
      </x:c>
      <x:c r="Z882" s="10" t="str">
        <x:v>Разрешено по метаданным</x:v>
      </x:c>
      <x:c r="AA882" s="10" t="str">
        <x:v>Метаданные видео; воспроизведение и содержание не проверены</x:v>
      </x:c>
      <x:c r="AB882" s="13" t="n">
        <x:f>IF(AND(ISNUMBER(H882),ISNUMBER(W882)),H882/MAX(1,'Обзор'!$B$4-W882),"")</x:f>
        <x:v>18.498804399808705</x:v>
      </x:c>
      <x:c r="AC882" s="17" t="str">
        <x:v>Не решено</x:v>
      </x:c>
      <x:c r="AD882" s="17" t="str">
        <x:v>Не проверено</x:v>
      </x:c>
      <x:c r="AE882" s="17" t="str">
        <x:v>Не проверено</x:v>
      </x:c>
      <x:c r="AF882" s="17" t="str">
        <x:v>Не проверено</x:v>
      </x:c>
      <x:c r="AG882" s="17" t="str">
        <x:v>Не решено</x:v>
      </x:c>
      <x:c r="AH882" s="17" t="str">
        <x:v>Не проверено</x:v>
      </x:c>
      <x:c r="AI882" s="10" t="str">
        <x:f>IF(AC882="Отклонить","Отклонено",IF(AND(AC882="Взять",COUNTIFS(AD882:AH882,"Да")=5),"Готово","Нужна редактура"))</x:f>
        <x:v>Нужна редактура</x:v>
      </x:c>
      <x:c r="AJ882" s="17" t="str"/>
      <x:c r="AK882" s="9" t="str">
        <x:v>https://www.youtube.com/playlist?list=PLXv9BeKApRvzbGTKMtatvGWnycWCP3Bf5</x:v>
      </x:c>
      <x:c r="AL882" s="9" t="n">
        <x:v>9</x:v>
      </x:c>
      <x:c r="AM882" s="9"/>
      <x:c r="AN882" s="9" t="n">
        <x:v>0</x:v>
      </x:c>
    </x:row>
    <x:row r="883" ht="60" customHeight="1">
      <x:c r="A883" s="9" t="str">
        <x:v>bZwV7HHkQDU</x:v>
      </x:c>
      <x:c r="B883" s="10" t="str">
        <x:v>למה אנחנו חותמים על הצהרת בריאות ואיך זה קשור למוסר? | כאן קורונה</x:v>
      </x:c>
      <x:c r="C883" s="10" t="str">
        <x:v>Деньги и повседневность</x:v>
      </x:c>
      <x:c r="D883" s="9" t="str">
        <x:v>Образование</x:v>
      </x:c>
      <x:c r="E883" s="10" t="str">
        <x:v>Экономика; репатрианты; взрослые</x:v>
      </x:c>
      <x:c r="F883" s="10" t="str">
        <x:v>B1–B2 (гипотеза)</x:v>
      </x:c>
      <x:c r="G883" s="12" t="n">
        <x:v>7.7</x:v>
      </x:c>
      <x:c r="H883" s="14" t="n">
        <x:v>24000</x:v>
      </x:c>
      <x:c r="I883" s="15" t="str">
        <x:v>Округлённый счётчик в списке YouTube</x:v>
      </x:c>
      <x:c r="J883" s="14" t="n">
        <x:v>24000</x:v>
      </x:c>
      <x:c r="K883" s="14" t="n">
        <x:v>35500</x:v>
      </x:c>
      <x:c r="L883" s="12" t="n">
        <x:f>IF(COUNT(J883:K883)=2,IF(K883=0,"",J883/K883),"")</x:f>
        <x:v>0.676056338028169</x:v>
      </x:c>
      <x:c r="M883" s="10" t="str">
        <x:v>Завершённый короткий просмотр около 8 мин. Экономика через бытовой вопрос полезна зрителю с практической мотивацией.</x:v>
      </x:c>
      <x:c r="N883" s="10" t="str">
        <x:v>Пересказать пример и объяснение; проверить цифры перед публикацией.</x:v>
      </x:c>
      <x:c r="O883" s="10" t="str">
        <x:v>Не выдавать архивный выпуск за актуальную финансовую рекомендацию</x:v>
      </x:c>
      <x:c r="P883" s="10" t="str">
        <x:v>Самостоятельное видео</x:v>
      </x:c>
      <x:c r="Q883" s="9" t="str">
        <x:v>Нет</x:v>
      </x:c>
      <x:c r="R883" s="9" t="str">
        <x:v>C049</x:v>
      </x:c>
      <x:c r="S883" s="9" t="str">
        <x:v>C049</x:v>
      </x:c>
      <x:c r="T883" s="10" t="str">
        <x:v>כאן | דיגיטל - תאגיד השידור הישראלי</x:v>
      </x:c>
      <x:c r="U883" s="11" t="str">
        <x:v>https://www.youtube.com/watch?v=bZwV7HHkQDU</x:v>
      </x:c>
      <x:c r="V883" s="16" t="n">
        <x:v>46308</x:v>
      </x:c>
      <x:c r="W883" s="16"/>
      <x:c r="X883" s="10" t="str">
        <x:v>Иврит предполагается по заголовку и источнику</x:v>
      </x:c>
      <x:c r="Y883" s="10" t="str">
        <x:v>Не проверено</x:v>
      </x:c>
      <x:c r="Z883" s="10" t="str">
        <x:v>Не проверено</x:v>
      </x:c>
      <x:c r="AA883" s="10" t="str">
        <x:v>Метаданные списка; видео не просмотрено</x:v>
      </x:c>
      <x:c r="AB883" s="13" t="str">
        <x:f>IF(AND(ISNUMBER(H883),ISNUMBER(W883)),H883/MAX(1,'Обзор'!$B$4-W883),"")</x:f>
      </x:c>
      <x:c r="AC883" s="17" t="str">
        <x:v>Не решено</x:v>
      </x:c>
      <x:c r="AD883" s="17" t="str">
        <x:v>Не проверено</x:v>
      </x:c>
      <x:c r="AE883" s="17" t="str">
        <x:v>Не проверено</x:v>
      </x:c>
      <x:c r="AF883" s="17" t="str">
        <x:v>Не проверено</x:v>
      </x:c>
      <x:c r="AG883" s="17" t="str">
        <x:v>Не решено</x:v>
      </x:c>
      <x:c r="AH883" s="17" t="str">
        <x:v>Не проверено</x:v>
      </x:c>
      <x:c r="AI883" s="10" t="str">
        <x:f>IF(AC883="Отклонить","Отклонено",IF(AND(AC883="Взять",COUNTIFS(AD883:AH883,"Да")=5),"Готово","Нужна редактура"))</x:f>
        <x:v>Нужна редактура</x:v>
      </x:c>
      <x:c r="AJ883" s="17" t="str"/>
      <x:c r="AK883" s="9" t="str">
        <x:v>https://www.youtube.com/playlist?list=PLXv9BeKApRvzbGTKMtatvGWnycWCP3Bf5</x:v>
      </x:c>
      <x:c r="AL883" s="9" t="n">
        <x:v>10</x:v>
      </x:c>
      <x:c r="AM883" s="9"/>
      <x:c r="AN883" s="9"/>
    </x:row>
    <x:row r="884" ht="60" customHeight="1">
      <x:c r="A884" s="9" t="str">
        <x:v>wImv6l6L4yg</x:v>
      </x:c>
      <x:c r="B884" s="10" t="str">
        <x:v>הפסטיבל נדחה בגלל הקורונה והעיר כרמיאל חווה פגיעה כלכלית | חיות כיס</x:v>
      </x:c>
      <x:c r="C884" s="10" t="str">
        <x:v>Деньги и повседневность</x:v>
      </x:c>
      <x:c r="D884" s="9" t="str">
        <x:v>Образование</x:v>
      </x:c>
      <x:c r="E884" s="10" t="str">
        <x:v>Экономика; репатрианты; взрослые</x:v>
      </x:c>
      <x:c r="F884" s="10" t="str">
        <x:v>B1–B2 (гипотеза)</x:v>
      </x:c>
      <x:c r="G884" s="12" t="n">
        <x:v>4</x:v>
      </x:c>
      <x:c r="H884" s="14" t="n">
        <x:v>5400</x:v>
      </x:c>
      <x:c r="I884" s="15" t="str">
        <x:v>Округлённый счётчик в списке YouTube</x:v>
      </x:c>
      <x:c r="J884" s="14" t="n">
        <x:v>5400</x:v>
      </x:c>
      <x:c r="K884" s="14" t="n">
        <x:v>35500</x:v>
      </x:c>
      <x:c r="L884" s="12" t="n">
        <x:f>IF(COUNT(J884:K884)=2,IF(K884=0,"",J884/K884),"")</x:f>
        <x:v>0.15211267605633802</x:v>
      </x:c>
      <x:c r="M884" s="10" t="str">
        <x:v>Завершённый короткий просмотр около 4 мин. Просмотры ниже медианы цикла; выбирать за нишевую ценность, а не за массовый охват. Экономика через бытовой вопрос полезна зрителю с практической мотивацией.</x:v>
      </x:c>
      <x:c r="N884" s="10" t="str">
        <x:v>Пересказать пример и объяснение; проверить цифры перед публикацией.</x:v>
      </x:c>
      <x:c r="O884" s="10" t="str">
        <x:v>Не выдавать архивный выпуск за актуальную финансовую рекомендацию</x:v>
      </x:c>
      <x:c r="P884" s="10" t="str">
        <x:v>Самостоятельное видео</x:v>
      </x:c>
      <x:c r="Q884" s="9" t="str">
        <x:v>Нет</x:v>
      </x:c>
      <x:c r="R884" s="9" t="str">
        <x:v>C049</x:v>
      </x:c>
      <x:c r="S884" s="9" t="str">
        <x:v>C049</x:v>
      </x:c>
      <x:c r="T884" s="10" t="str">
        <x:v>כאן | דיגיטל - תאגיד השידור הישראלי</x:v>
      </x:c>
      <x:c r="U884" s="11" t="str">
        <x:v>https://www.youtube.com/watch?v=wImv6l6L4yg</x:v>
      </x:c>
      <x:c r="V884" s="16" t="n">
        <x:v>46308</x:v>
      </x:c>
      <x:c r="W884" s="16"/>
      <x:c r="X884" s="10" t="str">
        <x:v>Иврит предполагается по заголовку и источнику</x:v>
      </x:c>
      <x:c r="Y884" s="10" t="str">
        <x:v>Не проверено</x:v>
      </x:c>
      <x:c r="Z884" s="10" t="str">
        <x:v>Не проверено</x:v>
      </x:c>
      <x:c r="AA884" s="10" t="str">
        <x:v>Метаданные списка; видео не просмотрено</x:v>
      </x:c>
      <x:c r="AB884" s="13" t="str">
        <x:f>IF(AND(ISNUMBER(H884),ISNUMBER(W884)),H884/MAX(1,'Обзор'!$B$4-W884),"")</x:f>
      </x:c>
      <x:c r="AC884" s="17" t="str">
        <x:v>Не решено</x:v>
      </x:c>
      <x:c r="AD884" s="17" t="str">
        <x:v>Не проверено</x:v>
      </x:c>
      <x:c r="AE884" s="17" t="str">
        <x:v>Не проверено</x:v>
      </x:c>
      <x:c r="AF884" s="17" t="str">
        <x:v>Не проверено</x:v>
      </x:c>
      <x:c r="AG884" s="17" t="str">
        <x:v>Не решено</x:v>
      </x:c>
      <x:c r="AH884" s="17" t="str">
        <x:v>Не проверено</x:v>
      </x:c>
      <x:c r="AI884" s="10" t="str">
        <x:f>IF(AC884="Отклонить","Отклонено",IF(AND(AC884="Взять",COUNTIFS(AD884:AH884,"Да")=5),"Готово","Нужна редактура"))</x:f>
        <x:v>Нужна редактура</x:v>
      </x:c>
      <x:c r="AJ884" s="17" t="str"/>
      <x:c r="AK884" s="9" t="str">
        <x:v>https://www.youtube.com/playlist?list=PLXv9BeKApRvzbGTKMtatvGWnycWCP3Bf5</x:v>
      </x:c>
      <x:c r="AL884" s="9" t="n">
        <x:v>11</x:v>
      </x:c>
      <x:c r="AM884" s="9"/>
      <x:c r="AN884" s="9"/>
    </x:row>
    <x:row r="885" ht="60" customHeight="1">
      <x:c r="A885" s="9" t="str">
        <x:v>Kz1sEkSpdds</x:v>
      </x:c>
      <x:c r="B885" s="10" t="str">
        <x:v>מה עושים מדריכי טיולים כשנסגרים השמיים? | חיות כיס</x:v>
      </x:c>
      <x:c r="C885" s="10" t="str">
        <x:v>Деньги и повседневность</x:v>
      </x:c>
      <x:c r="D885" s="9" t="str">
        <x:v>Образование</x:v>
      </x:c>
      <x:c r="E885" s="10" t="str">
        <x:v>Экономика; репатрианты; взрослые</x:v>
      </x:c>
      <x:c r="F885" s="10" t="str">
        <x:v>B1–B2 (гипотеза)</x:v>
      </x:c>
      <x:c r="G885" s="12" t="n">
        <x:v>4.5</x:v>
      </x:c>
      <x:c r="H885" s="14" t="n">
        <x:v>13000</x:v>
      </x:c>
      <x:c r="I885" s="15" t="str">
        <x:v>Округлённый счётчик в списке YouTube</x:v>
      </x:c>
      <x:c r="J885" s="14" t="n">
        <x:v>13000</x:v>
      </x:c>
      <x:c r="K885" s="14" t="n">
        <x:v>35500</x:v>
      </x:c>
      <x:c r="L885" s="12" t="n">
        <x:f>IF(COUNT(J885:K885)=2,IF(K885=0,"",J885/K885),"")</x:f>
        <x:v>0.36619718309859156</x:v>
      </x:c>
      <x:c r="M885" s="10" t="str">
        <x:v>Завершённый короткий просмотр около 4 мин. Просмотры ниже медианы цикла; выбирать за нишевую ценность, а не за массовый охват. Экономика через бытовой вопрос полезна зрителю с практической мотивацией.</x:v>
      </x:c>
      <x:c r="N885" s="10" t="str">
        <x:v>Пересказать пример и объяснение; проверить цифры перед публикацией.</x:v>
      </x:c>
      <x:c r="O885" s="10" t="str">
        <x:v>Не выдавать архивный выпуск за актуальную финансовую рекомендацию</x:v>
      </x:c>
      <x:c r="P885" s="10" t="str">
        <x:v>Самостоятельное видео</x:v>
      </x:c>
      <x:c r="Q885" s="9" t="str">
        <x:v>Нет</x:v>
      </x:c>
      <x:c r="R885" s="9" t="str">
        <x:v>C049</x:v>
      </x:c>
      <x:c r="S885" s="9" t="str">
        <x:v>C049</x:v>
      </x:c>
      <x:c r="T885" s="10" t="str">
        <x:v>כאן | דיגיטל - תאגיד השידור הישראלי</x:v>
      </x:c>
      <x:c r="U885" s="11" t="str">
        <x:v>https://www.youtube.com/watch?v=Kz1sEkSpdds</x:v>
      </x:c>
      <x:c r="V885" s="16" t="n">
        <x:v>46308</x:v>
      </x:c>
      <x:c r="W885" s="16"/>
      <x:c r="X885" s="10" t="str">
        <x:v>Иврит предполагается по заголовку и источнику</x:v>
      </x:c>
      <x:c r="Y885" s="10" t="str">
        <x:v>Не проверено</x:v>
      </x:c>
      <x:c r="Z885" s="10" t="str">
        <x:v>Не проверено</x:v>
      </x:c>
      <x:c r="AA885" s="10" t="str">
        <x:v>Метаданные списка; видео не просмотрено</x:v>
      </x:c>
      <x:c r="AB885" s="13" t="str">
        <x:f>IF(AND(ISNUMBER(H885),ISNUMBER(W885)),H885/MAX(1,'Обзор'!$B$4-W885),"")</x:f>
      </x:c>
      <x:c r="AC885" s="17" t="str">
        <x:v>Не решено</x:v>
      </x:c>
      <x:c r="AD885" s="17" t="str">
        <x:v>Не проверено</x:v>
      </x:c>
      <x:c r="AE885" s="17" t="str">
        <x:v>Не проверено</x:v>
      </x:c>
      <x:c r="AF885" s="17" t="str">
        <x:v>Не проверено</x:v>
      </x:c>
      <x:c r="AG885" s="17" t="str">
        <x:v>Не решено</x:v>
      </x:c>
      <x:c r="AH885" s="17" t="str">
        <x:v>Не проверено</x:v>
      </x:c>
      <x:c r="AI885" s="10" t="str">
        <x:f>IF(AC885="Отклонить","Отклонено",IF(AND(AC885="Взять",COUNTIFS(AD885:AH885,"Да")=5),"Готово","Нужна редактура"))</x:f>
        <x:v>Нужна редактура</x:v>
      </x:c>
      <x:c r="AJ885" s="17" t="str"/>
      <x:c r="AK885" s="9" t="str">
        <x:v>https://www.youtube.com/playlist?list=PLXv9BeKApRvzbGTKMtatvGWnycWCP3Bf5</x:v>
      </x:c>
      <x:c r="AL885" s="9" t="n">
        <x:v>12</x:v>
      </x:c>
      <x:c r="AM885" s="9"/>
      <x:c r="AN885" s="9"/>
    </x:row>
    <x:row r="886" ht="60" customHeight="1">
      <x:c r="A886" s="9" t="str">
        <x:v>TDJvuFHhv0Y</x:v>
      </x:c>
      <x:c r="B886" s="10" t="str">
        <x:v>למה הצימרים בישראל כל כך יקרים? | חיות כיס</x:v>
      </x:c>
      <x:c r="C886" s="10" t="str">
        <x:v>Деньги и повседневность</x:v>
      </x:c>
      <x:c r="D886" s="9" t="str">
        <x:v>Образование</x:v>
      </x:c>
      <x:c r="E886" s="10" t="str">
        <x:v>Экономика; репатрианты; взрослые</x:v>
      </x:c>
      <x:c r="F886" s="10" t="str">
        <x:v>B1–B2 (гипотеза)</x:v>
      </x:c>
      <x:c r="G886" s="12" t="n">
        <x:v>4.8</x:v>
      </x:c>
      <x:c r="H886" s="14" t="n">
        <x:v>62759</x:v>
      </x:c>
      <x:c r="I886" s="15" t="str">
        <x:v>Точный счётчик метаданных видео</x:v>
      </x:c>
      <x:c r="J886" s="14" t="n">
        <x:v>62000</x:v>
      </x:c>
      <x:c r="K886" s="14" t="n">
        <x:v>35500</x:v>
      </x:c>
      <x:c r="L886" s="12" t="n">
        <x:f>IF(COUNT(J886:K886)=2,IF(K886=0,"",J886/K886),"")</x:f>
        <x:v>1.7464788732394365</x:v>
      </x:c>
      <x:c r="M886" s="10" t="str">
        <x:v>Завершённый короткий просмотр около 5 мин. Просмотры в списке выше медианы выборки этого цикла в 1.75 раза. Экономика через бытовой вопрос полезна зрителю с практической мотивацией.</x:v>
      </x:c>
      <x:c r="N886" s="10" t="str">
        <x:v>Пересказать пример и объяснение; проверить цифры перед публикацией.</x:v>
      </x:c>
      <x:c r="O886" s="10" t="str">
        <x:v>Не выдавать архивный выпуск за актуальную финансовую рекомендацию</x:v>
      </x:c>
      <x:c r="P886" s="10" t="str">
        <x:v>Самостоятельное видео</x:v>
      </x:c>
      <x:c r="Q886" s="9" t="str">
        <x:v>Нет</x:v>
      </x:c>
      <x:c r="R886" s="9" t="str">
        <x:v>C049</x:v>
      </x:c>
      <x:c r="S886" s="9" t="str">
        <x:v>C049</x:v>
      </x:c>
      <x:c r="T886" s="10" t="str">
        <x:v>כאן | דיגיטל - תאגיד השידור הישראלי</x:v>
      </x:c>
      <x:c r="U886" s="11" t="str">
        <x:v>https://www.youtube.com/watch?v=TDJvuFHhv0Y</x:v>
      </x:c>
      <x:c r="V886" s="16" t="n">
        <x:v>46308</x:v>
      </x:c>
      <x:c r="W886" s="16" t="n">
        <x:v>44031</x:v>
      </x:c>
      <x:c r="X886" s="10" t="str">
        <x:v>Иврит предполагается по заголовку и источнику</x:v>
      </x:c>
      <x:c r="Y886" s="10" t="str">
        <x:v>Ручная дорожка HE по метаданным</x:v>
      </x:c>
      <x:c r="Z886" s="10" t="str">
        <x:v>Разрешено по метаданным</x:v>
      </x:c>
      <x:c r="AA886" s="10" t="str">
        <x:v>Метаданные видео; воспроизведение и содержание не проверены</x:v>
      </x:c>
      <x:c r="AB886" s="13" t="n">
        <x:f>IF(AND(ISNUMBER(H886),ISNUMBER(W886)),H886/MAX(1,'Обзор'!$B$4-W886),"")</x:f>
        <x:v>27.562143170838823</x:v>
      </x:c>
      <x:c r="AC886" s="17" t="str">
        <x:v>Не решено</x:v>
      </x:c>
      <x:c r="AD886" s="17" t="str">
        <x:v>Не проверено</x:v>
      </x:c>
      <x:c r="AE886" s="17" t="str">
        <x:v>Не проверено</x:v>
      </x:c>
      <x:c r="AF886" s="17" t="str">
        <x:v>Не проверено</x:v>
      </x:c>
      <x:c r="AG886" s="17" t="str">
        <x:v>Не решено</x:v>
      </x:c>
      <x:c r="AH886" s="17" t="str">
        <x:v>Не проверено</x:v>
      </x:c>
      <x:c r="AI886" s="10" t="str">
        <x:f>IF(AC886="Отклонить","Отклонено",IF(AND(AC886="Взять",COUNTIFS(AD886:AH886,"Да")=5),"Готово","Нужна редактура"))</x:f>
        <x:v>Нужна редактура</x:v>
      </x:c>
      <x:c r="AJ886" s="17" t="str"/>
      <x:c r="AK886" s="9" t="str">
        <x:v>https://www.youtube.com/playlist?list=PLXv9BeKApRvzbGTKMtatvGWnycWCP3Bf5</x:v>
      </x:c>
      <x:c r="AL886" s="9" t="n">
        <x:v>13</x:v>
      </x:c>
      <x:c r="AM886" s="9"/>
      <x:c r="AN886" s="9" t="n">
        <x:v>0</x:v>
      </x:c>
    </x:row>
    <x:row r="887" ht="60" customHeight="1">
      <x:c r="A887" s="9" t="str">
        <x:v>Yi-l5QYaGGA</x:v>
      </x:c>
      <x:c r="B887" s="10" t="str">
        <x:v>למה עסקים לא שרדו את משבר הקורונה? | חיות כיס</x:v>
      </x:c>
      <x:c r="C887" s="10" t="str">
        <x:v>Деньги и повседневность</x:v>
      </x:c>
      <x:c r="D887" s="9" t="str">
        <x:v>Образование</x:v>
      </x:c>
      <x:c r="E887" s="10" t="str">
        <x:v>Экономика; репатрианты; взрослые</x:v>
      </x:c>
      <x:c r="F887" s="10" t="str">
        <x:v>B1–B2 (гипотеза)</x:v>
      </x:c>
      <x:c r="G887" s="12" t="n">
        <x:v>5.6</x:v>
      </x:c>
      <x:c r="H887" s="14" t="n">
        <x:v>35645</x:v>
      </x:c>
      <x:c r="I887" s="15" t="str">
        <x:v>Точный счётчик метаданных видео</x:v>
      </x:c>
      <x:c r="J887" s="14" t="n">
        <x:v>35000</x:v>
      </x:c>
      <x:c r="K887" s="14" t="n">
        <x:v>35500</x:v>
      </x:c>
      <x:c r="L887" s="12" t="n">
        <x:f>IF(COUNT(J887:K887)=2,IF(K887=0,"",J887/K887),"")</x:f>
        <x:v>0.9859154929577465</x:v>
      </x:c>
      <x:c r="M887" s="10" t="str">
        <x:v>Завершённый короткий просмотр около 6 мин. Экономика через бытовой вопрос полезна зрителю с практической мотивацией.</x:v>
      </x:c>
      <x:c r="N887" s="10" t="str">
        <x:v>Пересказать пример и объяснение; проверить цифры перед публикацией.</x:v>
      </x:c>
      <x:c r="O887" s="10" t="str">
        <x:v>Не выдавать архивный выпуск за актуальную финансовую рекомендацию</x:v>
      </x:c>
      <x:c r="P887" s="10" t="str">
        <x:v>Самостоятельное видео</x:v>
      </x:c>
      <x:c r="Q887" s="9" t="str">
        <x:v>Нет</x:v>
      </x:c>
      <x:c r="R887" s="9" t="str">
        <x:v>C049</x:v>
      </x:c>
      <x:c r="S887" s="9" t="str">
        <x:v>C049</x:v>
      </x:c>
      <x:c r="T887" s="10" t="str">
        <x:v>כאן | דיגיטל - תאגיד השידור הישראלי</x:v>
      </x:c>
      <x:c r="U887" s="11" t="str">
        <x:v>https://www.youtube.com/watch?v=Yi-l5QYaGGA</x:v>
      </x:c>
      <x:c r="V887" s="16" t="n">
        <x:v>46308</x:v>
      </x:c>
      <x:c r="W887" s="16" t="n">
        <x:v>44018</x:v>
      </x:c>
      <x:c r="X887" s="10" t="str">
        <x:v>Иврит предполагается по заголовку и источнику</x:v>
      </x:c>
      <x:c r="Y887" s="10" t="str">
        <x:v>Ручная дорожка HE по метаданным</x:v>
      </x:c>
      <x:c r="Z887" s="10" t="str">
        <x:v>Разрешено по метаданным</x:v>
      </x:c>
      <x:c r="AA887" s="10" t="str">
        <x:v>Метаданные видео; воспроизведение и содержание не проверены</x:v>
      </x:c>
      <x:c r="AB887" s="13" t="n">
        <x:f>IF(AND(ISNUMBER(H887),ISNUMBER(W887)),H887/MAX(1,'Обзор'!$B$4-W887),"")</x:f>
        <x:v>15.565502183406114</x:v>
      </x:c>
      <x:c r="AC887" s="17" t="str">
        <x:v>Не решено</x:v>
      </x:c>
      <x:c r="AD887" s="17" t="str">
        <x:v>Не проверено</x:v>
      </x:c>
      <x:c r="AE887" s="17" t="str">
        <x:v>Не проверено</x:v>
      </x:c>
      <x:c r="AF887" s="17" t="str">
        <x:v>Не проверено</x:v>
      </x:c>
      <x:c r="AG887" s="17" t="str">
        <x:v>Не решено</x:v>
      </x:c>
      <x:c r="AH887" s="17" t="str">
        <x:v>Не проверено</x:v>
      </x:c>
      <x:c r="AI887" s="10" t="str">
        <x:f>IF(AC887="Отклонить","Отклонено",IF(AND(AC887="Взять",COUNTIFS(AD887:AH887,"Да")=5),"Готово","Нужна редактура"))</x:f>
        <x:v>Нужна редактура</x:v>
      </x:c>
      <x:c r="AJ887" s="17" t="str"/>
      <x:c r="AK887" s="9" t="str">
        <x:v>https://www.youtube.com/playlist?list=PLXv9BeKApRvzbGTKMtatvGWnycWCP3Bf5</x:v>
      </x:c>
      <x:c r="AL887" s="9" t="n">
        <x:v>14</x:v>
      </x:c>
      <x:c r="AM887" s="9"/>
      <x:c r="AN887" s="9" t="n">
        <x:v>0</x:v>
      </x:c>
    </x:row>
    <x:row r="888" ht="60" customHeight="1">
      <x:c r="A888" s="9" t="str">
        <x:v>ro0Q8Ah86ts</x:v>
      </x:c>
      <x:c r="B888" s="10" t="str">
        <x:v>העבודה מהבית הוכחה כיעילה - האם היא תימשך? | חיות כיס</x:v>
      </x:c>
      <x:c r="C888" s="10" t="str">
        <x:v>Деньги и повседневность</x:v>
      </x:c>
      <x:c r="D888" s="9" t="str">
        <x:v>Образование</x:v>
      </x:c>
      <x:c r="E888" s="10" t="str">
        <x:v>Экономика; репатрианты; взрослые</x:v>
      </x:c>
      <x:c r="F888" s="10" t="str">
        <x:v>B1–B2 (гипотеза)</x:v>
      </x:c>
      <x:c r="G888" s="12" t="n">
        <x:v>5.5</x:v>
      </x:c>
      <x:c r="H888" s="14" t="n">
        <x:v>11000</x:v>
      </x:c>
      <x:c r="I888" s="15" t="str">
        <x:v>Округлённый счётчик в списке YouTube</x:v>
      </x:c>
      <x:c r="J888" s="14" t="n">
        <x:v>11000</x:v>
      </x:c>
      <x:c r="K888" s="14" t="n">
        <x:v>35500</x:v>
      </x:c>
      <x:c r="L888" s="12" t="n">
        <x:f>IF(COUNT(J888:K888)=2,IF(K888=0,"",J888/K888),"")</x:f>
        <x:v>0.30985915492957744</x:v>
      </x:c>
      <x:c r="M888" s="10" t="str">
        <x:v>Завершённый короткий просмотр около 5 мин. Просмотры ниже медианы цикла; выбирать за нишевую ценность, а не за массовый охват. Экономика через бытовой вопрос полезна зрителю с практической мотивацией.</x:v>
      </x:c>
      <x:c r="N888" s="10" t="str">
        <x:v>Пересказать пример и объяснение; проверить цифры перед публикацией.</x:v>
      </x:c>
      <x:c r="O888" s="10" t="str">
        <x:v>Не выдавать архивный выпуск за актуальную финансовую рекомендацию</x:v>
      </x:c>
      <x:c r="P888" s="10" t="str">
        <x:v>Самостоятельное видео</x:v>
      </x:c>
      <x:c r="Q888" s="9" t="str">
        <x:v>Нет</x:v>
      </x:c>
      <x:c r="R888" s="9" t="str">
        <x:v>C049</x:v>
      </x:c>
      <x:c r="S888" s="9" t="str">
        <x:v>C049</x:v>
      </x:c>
      <x:c r="T888" s="10" t="str">
        <x:v>כאן | דיגיטל - תאגיד השידור הישראלי</x:v>
      </x:c>
      <x:c r="U888" s="11" t="str">
        <x:v>https://www.youtube.com/watch?v=ro0Q8Ah86ts</x:v>
      </x:c>
      <x:c r="V888" s="16" t="n">
        <x:v>46308</x:v>
      </x:c>
      <x:c r="W888" s="16"/>
      <x:c r="X888" s="10" t="str">
        <x:v>Иврит предполагается по заголовку и источнику</x:v>
      </x:c>
      <x:c r="Y888" s="10" t="str">
        <x:v>Не проверено</x:v>
      </x:c>
      <x:c r="Z888" s="10" t="str">
        <x:v>Не проверено</x:v>
      </x:c>
      <x:c r="AA888" s="10" t="str">
        <x:v>Метаданные списка; видео не просмотрено</x:v>
      </x:c>
      <x:c r="AB888" s="13" t="str">
        <x:f>IF(AND(ISNUMBER(H888),ISNUMBER(W888)),H888/MAX(1,'Обзор'!$B$4-W888),"")</x:f>
      </x:c>
      <x:c r="AC888" s="17" t="str">
        <x:v>Не решено</x:v>
      </x:c>
      <x:c r="AD888" s="17" t="str">
        <x:v>Не проверено</x:v>
      </x:c>
      <x:c r="AE888" s="17" t="str">
        <x:v>Не проверено</x:v>
      </x:c>
      <x:c r="AF888" s="17" t="str">
        <x:v>Не проверено</x:v>
      </x:c>
      <x:c r="AG888" s="17" t="str">
        <x:v>Не решено</x:v>
      </x:c>
      <x:c r="AH888" s="17" t="str">
        <x:v>Не проверено</x:v>
      </x:c>
      <x:c r="AI888" s="10" t="str">
        <x:f>IF(AC888="Отклонить","Отклонено",IF(AND(AC888="Взять",COUNTIFS(AD888:AH888,"Да")=5),"Готово","Нужна редактура"))</x:f>
        <x:v>Нужна редактура</x:v>
      </x:c>
      <x:c r="AJ888" s="17" t="str"/>
      <x:c r="AK888" s="9" t="str">
        <x:v>https://www.youtube.com/playlist?list=PLXv9BeKApRvzbGTKMtatvGWnycWCP3Bf5</x:v>
      </x:c>
      <x:c r="AL888" s="9" t="n">
        <x:v>15</x:v>
      </x:c>
      <x:c r="AM888" s="9"/>
      <x:c r="AN888" s="9"/>
    </x:row>
    <x:row r="889" ht="60" customHeight="1">
      <x:c r="A889" s="9" t="str">
        <x:v>SXTm3GHX3VY</x:v>
      </x:c>
      <x:c r="B889" s="10" t="str">
        <x:v>האם עבודה מהבית יעילה יותר מהמשרד?  | חיות כיס</x:v>
      </x:c>
      <x:c r="C889" s="10" t="str">
        <x:v>Деньги и повседневность</x:v>
      </x:c>
      <x:c r="D889" s="9" t="str">
        <x:v>Образование</x:v>
      </x:c>
      <x:c r="E889" s="10" t="str">
        <x:v>Экономика; репатрианты; взрослые</x:v>
      </x:c>
      <x:c r="F889" s="10" t="str">
        <x:v>B1–B2 (гипотеза)</x:v>
      </x:c>
      <x:c r="G889" s="12" t="n">
        <x:v>4.5</x:v>
      </x:c>
      <x:c r="H889" s="14" t="n">
        <x:v>24000</x:v>
      </x:c>
      <x:c r="I889" s="15" t="str">
        <x:v>Округлённый счётчик в списке YouTube</x:v>
      </x:c>
      <x:c r="J889" s="14" t="n">
        <x:v>24000</x:v>
      </x:c>
      <x:c r="K889" s="14" t="n">
        <x:v>35500</x:v>
      </x:c>
      <x:c r="L889" s="12" t="n">
        <x:f>IF(COUNT(J889:K889)=2,IF(K889=0,"",J889/K889),"")</x:f>
        <x:v>0.676056338028169</x:v>
      </x:c>
      <x:c r="M889" s="10" t="str">
        <x:v>Завершённый короткий просмотр около 4 мин. Экономика через бытовой вопрос полезна зрителю с практической мотивацией.</x:v>
      </x:c>
      <x:c r="N889" s="10" t="str">
        <x:v>Пересказать пример и объяснение; проверить цифры перед публикацией.</x:v>
      </x:c>
      <x:c r="O889" s="10" t="str">
        <x:v>Не выдавать архивный выпуск за актуальную финансовую рекомендацию</x:v>
      </x:c>
      <x:c r="P889" s="10" t="str">
        <x:v>Самостоятельное видео</x:v>
      </x:c>
      <x:c r="Q889" s="9" t="str">
        <x:v>Нет</x:v>
      </x:c>
      <x:c r="R889" s="9" t="str">
        <x:v>C049</x:v>
      </x:c>
      <x:c r="S889" s="9" t="str">
        <x:v>C049</x:v>
      </x:c>
      <x:c r="T889" s="10" t="str">
        <x:v>כאן | דיגיטל - תאגיד השידור הישראלי</x:v>
      </x:c>
      <x:c r="U889" s="11" t="str">
        <x:v>https://www.youtube.com/watch?v=SXTm3GHX3VY</x:v>
      </x:c>
      <x:c r="V889" s="16" t="n">
        <x:v>46308</x:v>
      </x:c>
      <x:c r="W889" s="16"/>
      <x:c r="X889" s="10" t="str">
        <x:v>Иврит предполагается по заголовку и источнику</x:v>
      </x:c>
      <x:c r="Y889" s="10" t="str">
        <x:v>Не проверено</x:v>
      </x:c>
      <x:c r="Z889" s="10" t="str">
        <x:v>Не проверено</x:v>
      </x:c>
      <x:c r="AA889" s="10" t="str">
        <x:v>Метаданные списка; видео не просмотрено</x:v>
      </x:c>
      <x:c r="AB889" s="13" t="str">
        <x:f>IF(AND(ISNUMBER(H889),ISNUMBER(W889)),H889/MAX(1,'Обзор'!$B$4-W889),"")</x:f>
      </x:c>
      <x:c r="AC889" s="17" t="str">
        <x:v>Не решено</x:v>
      </x:c>
      <x:c r="AD889" s="17" t="str">
        <x:v>Не проверено</x:v>
      </x:c>
      <x:c r="AE889" s="17" t="str">
        <x:v>Не проверено</x:v>
      </x:c>
      <x:c r="AF889" s="17" t="str">
        <x:v>Не проверено</x:v>
      </x:c>
      <x:c r="AG889" s="17" t="str">
        <x:v>Не решено</x:v>
      </x:c>
      <x:c r="AH889" s="17" t="str">
        <x:v>Не проверено</x:v>
      </x:c>
      <x:c r="AI889" s="10" t="str">
        <x:f>IF(AC889="Отклонить","Отклонено",IF(AND(AC889="Взять",COUNTIFS(AD889:AH889,"Да")=5),"Готово","Нужна редактура"))</x:f>
        <x:v>Нужна редактура</x:v>
      </x:c>
      <x:c r="AJ889" s="17" t="str"/>
      <x:c r="AK889" s="9" t="str">
        <x:v>https://www.youtube.com/playlist?list=PLXv9BeKApRvzbGTKMtatvGWnycWCP3Bf5</x:v>
      </x:c>
      <x:c r="AL889" s="9" t="n">
        <x:v>16</x:v>
      </x:c>
      <x:c r="AM889" s="9"/>
      <x:c r="AN889" s="9"/>
    </x:row>
    <x:row r="890" ht="60" customHeight="1">
      <x:c r="A890" s="9" t="str">
        <x:v>9GILgYotj94</x:v>
      </x:c>
      <x:c r="B890" s="10" t="str">
        <x:v>יצאתם לחל"ת? זה מה שחשוב לדעת❗ | חיות כיס</x:v>
      </x:c>
      <x:c r="C890" s="10" t="str">
        <x:v>Деньги и повседневность</x:v>
      </x:c>
      <x:c r="D890" s="9" t="str">
        <x:v>Образование</x:v>
      </x:c>
      <x:c r="E890" s="10" t="str">
        <x:v>Экономика; репатрианты; взрослые</x:v>
      </x:c>
      <x:c r="F890" s="10" t="str">
        <x:v>B1–B2 (гипотеза)</x:v>
      </x:c>
      <x:c r="G890" s="12" t="n">
        <x:v>3.2</x:v>
      </x:c>
      <x:c r="H890" s="14" t="n">
        <x:v>21000</x:v>
      </x:c>
      <x:c r="I890" s="15" t="str">
        <x:v>Округлённый счётчик в списке YouTube</x:v>
      </x:c>
      <x:c r="J890" s="14" t="n">
        <x:v>21000</x:v>
      </x:c>
      <x:c r="K890" s="14" t="n">
        <x:v>35500</x:v>
      </x:c>
      <x:c r="L890" s="12" t="n">
        <x:f>IF(COUNT(J890:K890)=2,IF(K890=0,"",J890/K890),"")</x:f>
        <x:v>0.5915492957746479</x:v>
      </x:c>
      <x:c r="M890" s="10" t="str">
        <x:v>Завершённый короткий просмотр около 3 мин. Экономика через бытовой вопрос полезна зрителю с практической мотивацией.</x:v>
      </x:c>
      <x:c r="N890" s="10" t="str">
        <x:v>Пересказать пример и объяснение; проверить цифры перед публикацией.</x:v>
      </x:c>
      <x:c r="O890" s="10" t="str">
        <x:v>Не выдавать архивный выпуск за актуальную финансовую рекомендацию</x:v>
      </x:c>
      <x:c r="P890" s="10" t="str">
        <x:v>Самостоятельное видео</x:v>
      </x:c>
      <x:c r="Q890" s="9" t="str">
        <x:v>Нет</x:v>
      </x:c>
      <x:c r="R890" s="9" t="str">
        <x:v>C049</x:v>
      </x:c>
      <x:c r="S890" s="9" t="str">
        <x:v>C049</x:v>
      </x:c>
      <x:c r="T890" s="10" t="str">
        <x:v>כאן | דיגיטל - תאגיד השידור הישראלי</x:v>
      </x:c>
      <x:c r="U890" s="11" t="str">
        <x:v>https://www.youtube.com/watch?v=9GILgYotj94</x:v>
      </x:c>
      <x:c r="V890" s="16" t="n">
        <x:v>46308</x:v>
      </x:c>
      <x:c r="W890" s="16"/>
      <x:c r="X890" s="10" t="str">
        <x:v>Иврит предполагается по заголовку и источнику</x:v>
      </x:c>
      <x:c r="Y890" s="10" t="str">
        <x:v>Не проверено</x:v>
      </x:c>
      <x:c r="Z890" s="10" t="str">
        <x:v>Не проверено</x:v>
      </x:c>
      <x:c r="AA890" s="10" t="str">
        <x:v>Метаданные списка; видео не просмотрено</x:v>
      </x:c>
      <x:c r="AB890" s="13" t="str">
        <x:f>IF(AND(ISNUMBER(H890),ISNUMBER(W890)),H890/MAX(1,'Обзор'!$B$4-W890),"")</x:f>
      </x:c>
      <x:c r="AC890" s="17" t="str">
        <x:v>Не решено</x:v>
      </x:c>
      <x:c r="AD890" s="17" t="str">
        <x:v>Не проверено</x:v>
      </x:c>
      <x:c r="AE890" s="17" t="str">
        <x:v>Не проверено</x:v>
      </x:c>
      <x:c r="AF890" s="17" t="str">
        <x:v>Не проверено</x:v>
      </x:c>
      <x:c r="AG890" s="17" t="str">
        <x:v>Не решено</x:v>
      </x:c>
      <x:c r="AH890" s="17" t="str">
        <x:v>Не проверено</x:v>
      </x:c>
      <x:c r="AI890" s="10" t="str">
        <x:f>IF(AC890="Отклонить","Отклонено",IF(AND(AC890="Взять",COUNTIFS(AD890:AH890,"Да")=5),"Готово","Нужна редактура"))</x:f>
        <x:v>Нужна редактура</x:v>
      </x:c>
      <x:c r="AJ890" s="17" t="str"/>
      <x:c r="AK890" s="9" t="str">
        <x:v>https://www.youtube.com/playlist?list=PLXv9BeKApRvzbGTKMtatvGWnycWCP3Bf5</x:v>
      </x:c>
      <x:c r="AL890" s="9" t="n">
        <x:v>17</x:v>
      </x:c>
      <x:c r="AM890" s="9"/>
      <x:c r="AN890" s="9"/>
    </x:row>
    <x:row r="891" ht="60" customHeight="1">
      <x:c r="A891" s="9" t="str">
        <x:v>OPSfmjlvkIo</x:v>
      </x:c>
      <x:c r="B891" s="10" t="str">
        <x:v>למה הביצים והחלב בסופר כל כך רחוקים? | חיות כיס</x:v>
      </x:c>
      <x:c r="C891" s="10" t="str">
        <x:v>Деньги и повседневность</x:v>
      </x:c>
      <x:c r="D891" s="9" t="str">
        <x:v>Образование</x:v>
      </x:c>
      <x:c r="E891" s="10" t="str">
        <x:v>Экономика; репатрианты; взрослые</x:v>
      </x:c>
      <x:c r="F891" s="10" t="str">
        <x:v>B1–B2 (гипотеза)</x:v>
      </x:c>
      <x:c r="G891" s="12" t="n">
        <x:v>3</x:v>
      </x:c>
      <x:c r="H891" s="14" t="n">
        <x:v>53059</x:v>
      </x:c>
      <x:c r="I891" s="15" t="str">
        <x:v>Точный счётчик метаданных видео</x:v>
      </x:c>
      <x:c r="J891" s="14" t="n">
        <x:v>53000</x:v>
      </x:c>
      <x:c r="K891" s="14" t="n">
        <x:v>35500</x:v>
      </x:c>
      <x:c r="L891" s="12" t="n">
        <x:f>IF(COUNT(J891:K891)=2,IF(K891=0,"",J891/K891),"")</x:f>
        <x:v>1.4929577464788732</x:v>
      </x:c>
      <x:c r="M891" s="10" t="str">
        <x:v>Завершённый короткий просмотр около 3 мин. Экономика через бытовой вопрос полезна зрителю с практической мотивацией.</x:v>
      </x:c>
      <x:c r="N891" s="10" t="str">
        <x:v>Пересказать пример и объяснение; проверить цифры перед публикацией.</x:v>
      </x:c>
      <x:c r="O891" s="10" t="str">
        <x:v>Не выдавать архивный выпуск за актуальную финансовую рекомендацию</x:v>
      </x:c>
      <x:c r="P891" s="10" t="str">
        <x:v>Самостоятельное видео</x:v>
      </x:c>
      <x:c r="Q891" s="9" t="str">
        <x:v>Нет</x:v>
      </x:c>
      <x:c r="R891" s="9" t="str">
        <x:v>C049</x:v>
      </x:c>
      <x:c r="S891" s="9" t="str">
        <x:v>C049</x:v>
      </x:c>
      <x:c r="T891" s="10" t="str">
        <x:v>כאן | דיגיטל - תאגיד השידור הישראלי</x:v>
      </x:c>
      <x:c r="U891" s="11" t="str">
        <x:v>https://www.youtube.com/watch?v=OPSfmjlvkIo</x:v>
      </x:c>
      <x:c r="V891" s="16" t="n">
        <x:v>46308</x:v>
      </x:c>
      <x:c r="W891" s="16" t="n">
        <x:v>43891</x:v>
      </x:c>
      <x:c r="X891" s="10" t="str">
        <x:v>Иврит предполагается по заголовку и источнику</x:v>
      </x:c>
      <x:c r="Y891" s="10" t="str">
        <x:v>Ручная дорожка HE по метаданным</x:v>
      </x:c>
      <x:c r="Z891" s="10" t="str">
        <x:v>Разрешено по метаданным</x:v>
      </x:c>
      <x:c r="AA891" s="10" t="str">
        <x:v>Метаданные видео; воспроизведение и содержание не проверены</x:v>
      </x:c>
      <x:c r="AB891" s="13" t="n">
        <x:f>IF(AND(ISNUMBER(H891),ISNUMBER(W891)),H891/MAX(1,'Обзор'!$B$4-W891),"")</x:f>
        <x:v>21.95242035581299</x:v>
      </x:c>
      <x:c r="AC891" s="17" t="str">
        <x:v>Не решено</x:v>
      </x:c>
      <x:c r="AD891" s="17" t="str">
        <x:v>Не проверено</x:v>
      </x:c>
      <x:c r="AE891" s="17" t="str">
        <x:v>Не проверено</x:v>
      </x:c>
      <x:c r="AF891" s="17" t="str">
        <x:v>Не проверено</x:v>
      </x:c>
      <x:c r="AG891" s="17" t="str">
        <x:v>Не решено</x:v>
      </x:c>
      <x:c r="AH891" s="17" t="str">
        <x:v>Не проверено</x:v>
      </x:c>
      <x:c r="AI891" s="10" t="str">
        <x:f>IF(AC891="Отклонить","Отклонено",IF(AND(AC891="Взять",COUNTIFS(AD891:AH891,"Да")=5),"Готово","Нужна редактура"))</x:f>
        <x:v>Нужна редактура</x:v>
      </x:c>
      <x:c r="AJ891" s="17" t="str"/>
      <x:c r="AK891" s="9" t="str">
        <x:v>https://www.youtube.com/playlist?list=PLXv9BeKApRvzbGTKMtatvGWnycWCP3Bf5</x:v>
      </x:c>
      <x:c r="AL891" s="9" t="n">
        <x:v>18</x:v>
      </x:c>
      <x:c r="AM891" s="9"/>
      <x:c r="AN891" s="9" t="n">
        <x:v>0</x:v>
      </x:c>
    </x:row>
    <x:row r="892" ht="60" customHeight="1">
      <x:c r="A892" s="9" t="str">
        <x:v>rHObsAG24S0</x:v>
      </x:c>
      <x:c r="B892" s="10" t="str">
        <x:v>למה כל כך מסובך להגיע לרכבת?🚆 | חיות כיס</x:v>
      </x:c>
      <x:c r="C892" s="10" t="str">
        <x:v>Деньги и повседневность</x:v>
      </x:c>
      <x:c r="D892" s="9" t="str">
        <x:v>Образование</x:v>
      </x:c>
      <x:c r="E892" s="10" t="str">
        <x:v>Экономика; репатрианты; взрослые</x:v>
      </x:c>
      <x:c r="F892" s="10" t="str">
        <x:v>B1–B2 (гипотеза)</x:v>
      </x:c>
      <x:c r="G892" s="12" t="n">
        <x:v>5.8</x:v>
      </x:c>
      <x:c r="H892" s="14" t="n">
        <x:v>105583</x:v>
      </x:c>
      <x:c r="I892" s="15" t="str">
        <x:v>Точный счётчик метаданных видео</x:v>
      </x:c>
      <x:c r="J892" s="14" t="n">
        <x:v>105000</x:v>
      </x:c>
      <x:c r="K892" s="14" t="n">
        <x:v>35500</x:v>
      </x:c>
      <x:c r="L892" s="12" t="n">
        <x:f>IF(COUNT(J892:K892)=2,IF(K892=0,"",J892/K892),"")</x:f>
        <x:v>2.9577464788732395</x:v>
      </x:c>
      <x:c r="M892" s="10" t="str">
        <x:v>Завершённый короткий просмотр около 6 мин. Просмотры в списке выше медианы выборки этого цикла в 2.96 раза. Экономика через бытовой вопрос полезна зрителю с практической мотивацией.</x:v>
      </x:c>
      <x:c r="N892" s="10" t="str">
        <x:v>Пересказать пример и объяснение; проверить цифры перед публикацией.</x:v>
      </x:c>
      <x:c r="O892" s="10" t="str">
        <x:v>Не выдавать архивный выпуск за актуальную финансовую рекомендацию</x:v>
      </x:c>
      <x:c r="P892" s="10" t="str">
        <x:v>Самостоятельное видео</x:v>
      </x:c>
      <x:c r="Q892" s="9" t="str">
        <x:v>Нет</x:v>
      </x:c>
      <x:c r="R892" s="9" t="str">
        <x:v>C049</x:v>
      </x:c>
      <x:c r="S892" s="9" t="str">
        <x:v>C049</x:v>
      </x:c>
      <x:c r="T892" s="10" t="str">
        <x:v>כאן | דיגיטל - תאגיד השידור הישראלי</x:v>
      </x:c>
      <x:c r="U892" s="11" t="str">
        <x:v>https://www.youtube.com/watch?v=rHObsAG24S0</x:v>
      </x:c>
      <x:c r="V892" s="16" t="n">
        <x:v>46308</x:v>
      </x:c>
      <x:c r="W892" s="16" t="n">
        <x:v>43877</x:v>
      </x:c>
      <x:c r="X892" s="10" t="str">
        <x:v>Иврит предполагается по заголовку и источнику</x:v>
      </x:c>
      <x:c r="Y892" s="10" t="str">
        <x:v>Ручная дорожка HE по метаданным</x:v>
      </x:c>
      <x:c r="Z892" s="10" t="str">
        <x:v>Разрешено по метаданным</x:v>
      </x:c>
      <x:c r="AA892" s="10" t="str">
        <x:v>Метаданные видео; воспроизведение и содержание не проверены</x:v>
      </x:c>
      <x:c r="AB892" s="13" t="n">
        <x:f>IF(AND(ISNUMBER(H892),ISNUMBER(W892)),H892/MAX(1,'Обзор'!$B$4-W892),"")</x:f>
        <x:v>43.43192102015632</x:v>
      </x:c>
      <x:c r="AC892" s="17" t="str">
        <x:v>Не решено</x:v>
      </x:c>
      <x:c r="AD892" s="17" t="str">
        <x:v>Не проверено</x:v>
      </x:c>
      <x:c r="AE892" s="17" t="str">
        <x:v>Не проверено</x:v>
      </x:c>
      <x:c r="AF892" s="17" t="str">
        <x:v>Не проверено</x:v>
      </x:c>
      <x:c r="AG892" s="17" t="str">
        <x:v>Не решено</x:v>
      </x:c>
      <x:c r="AH892" s="17" t="str">
        <x:v>Не проверено</x:v>
      </x:c>
      <x:c r="AI892" s="10" t="str">
        <x:f>IF(AC892="Отклонить","Отклонено",IF(AND(AC892="Взять",COUNTIFS(AD892:AH892,"Да")=5),"Готово","Нужна редактура"))</x:f>
        <x:v>Нужна редактура</x:v>
      </x:c>
      <x:c r="AJ892" s="17" t="str"/>
      <x:c r="AK892" s="9" t="str">
        <x:v>https://www.youtube.com/playlist?list=PLXv9BeKApRvzbGTKMtatvGWnycWCP3Bf5</x:v>
      </x:c>
      <x:c r="AL892" s="9" t="n">
        <x:v>19</x:v>
      </x:c>
      <x:c r="AM892" s="9"/>
      <x:c r="AN892" s="9" t="n">
        <x:v>0</x:v>
      </x:c>
    </x:row>
    <x:row r="893" ht="60" customHeight="1">
      <x:c r="A893" s="9" t="str">
        <x:v>o4lSM6RebBQ</x:v>
      </x:c>
      <x:c r="B893" s="10" t="str">
        <x:v>למה בישראל לא באמת משלמים לנו על ימי מחלה? 😷 | חיות כיס</x:v>
      </x:c>
      <x:c r="C893" s="10" t="str">
        <x:v>Деньги и повседневность</x:v>
      </x:c>
      <x:c r="D893" s="9" t="str">
        <x:v>Образование</x:v>
      </x:c>
      <x:c r="E893" s="10" t="str">
        <x:v>Экономика; репатрианты; взрослые</x:v>
      </x:c>
      <x:c r="F893" s="10" t="str">
        <x:v>B1–B2 (гипотеза)</x:v>
      </x:c>
      <x:c r="G893" s="12" t="n">
        <x:v>3.1</x:v>
      </x:c>
      <x:c r="H893" s="14" t="n">
        <x:v>35762</x:v>
      </x:c>
      <x:c r="I893" s="15" t="str">
        <x:v>Точный счётчик метаданных видео</x:v>
      </x:c>
      <x:c r="J893" s="14" t="n">
        <x:v>35000</x:v>
      </x:c>
      <x:c r="K893" s="14" t="n">
        <x:v>35500</x:v>
      </x:c>
      <x:c r="L893" s="12" t="n">
        <x:f>IF(COUNT(J893:K893)=2,IF(K893=0,"",J893/K893),"")</x:f>
        <x:v>0.9859154929577465</x:v>
      </x:c>
      <x:c r="M893" s="10" t="str">
        <x:v>Завершённый короткий просмотр около 3 мин. Экономика через бытовой вопрос полезна зрителю с практической мотивацией.</x:v>
      </x:c>
      <x:c r="N893" s="10" t="str">
        <x:v>Пересказать пример и объяснение; проверить цифры перед публикацией.</x:v>
      </x:c>
      <x:c r="O893" s="10" t="str">
        <x:v>Не выдавать архивный выпуск за актуальную финансовую рекомендацию</x:v>
      </x:c>
      <x:c r="P893" s="10" t="str">
        <x:v>Самостоятельное видео</x:v>
      </x:c>
      <x:c r="Q893" s="9" t="str">
        <x:v>Нет</x:v>
      </x:c>
      <x:c r="R893" s="9" t="str">
        <x:v>C049</x:v>
      </x:c>
      <x:c r="S893" s="9" t="str">
        <x:v>C049</x:v>
      </x:c>
      <x:c r="T893" s="10" t="str">
        <x:v>כאן | דיגיטל - תאגיד השידור הישראלי</x:v>
      </x:c>
      <x:c r="U893" s="11" t="str">
        <x:v>https://www.youtube.com/watch?v=o4lSM6RebBQ</x:v>
      </x:c>
      <x:c r="V893" s="16" t="n">
        <x:v>46308</x:v>
      </x:c>
      <x:c r="W893" s="16" t="n">
        <x:v>43863</x:v>
      </x:c>
      <x:c r="X893" s="10" t="str">
        <x:v>Иврит предполагается по заголовку и источнику</x:v>
      </x:c>
      <x:c r="Y893" s="10" t="str">
        <x:v>Ручная дорожка HE по метаданным</x:v>
      </x:c>
      <x:c r="Z893" s="10" t="str">
        <x:v>Разрешено по метаданным</x:v>
      </x:c>
      <x:c r="AA893" s="10" t="str">
        <x:v>Метаданные видео; воспроизведение и содержание не проверены</x:v>
      </x:c>
      <x:c r="AB893" s="13" t="n">
        <x:f>IF(AND(ISNUMBER(H893),ISNUMBER(W893)),H893/MAX(1,'Обзор'!$B$4-W893),"")</x:f>
        <x:v>14.626584867075664</x:v>
      </x:c>
      <x:c r="AC893" s="17" t="str">
        <x:v>Не решено</x:v>
      </x:c>
      <x:c r="AD893" s="17" t="str">
        <x:v>Не проверено</x:v>
      </x:c>
      <x:c r="AE893" s="17" t="str">
        <x:v>Не проверено</x:v>
      </x:c>
      <x:c r="AF893" s="17" t="str">
        <x:v>Не проверено</x:v>
      </x:c>
      <x:c r="AG893" s="17" t="str">
        <x:v>Не решено</x:v>
      </x:c>
      <x:c r="AH893" s="17" t="str">
        <x:v>Не проверено</x:v>
      </x:c>
      <x:c r="AI893" s="10" t="str">
        <x:f>IF(AC893="Отклонить","Отклонено",IF(AND(AC893="Взять",COUNTIFS(AD893:AH893,"Да")=5),"Готово","Нужна редактура"))</x:f>
        <x:v>Нужна редактура</x:v>
      </x:c>
      <x:c r="AJ893" s="17" t="str"/>
      <x:c r="AK893" s="9" t="str">
        <x:v>https://www.youtube.com/playlist?list=PLXv9BeKApRvzbGTKMtatvGWnycWCP3Bf5</x:v>
      </x:c>
      <x:c r="AL893" s="9" t="n">
        <x:v>20</x:v>
      </x:c>
      <x:c r="AM893" s="9"/>
      <x:c r="AN893" s="9" t="n">
        <x:v>0</x:v>
      </x:c>
    </x:row>
    <x:row r="894" ht="60" customHeight="1">
      <x:c r="A894" s="9" t="str">
        <x:v>BatkzC9f0C0</x:v>
      </x:c>
      <x:c r="B894" s="10" t="str">
        <x:v>חיות כיס | האם טענות העצמאים נכונות? 📝</x:v>
      </x:c>
      <x:c r="C894" s="10" t="str">
        <x:v>Деньги и повседневность</x:v>
      </x:c>
      <x:c r="D894" s="9" t="str">
        <x:v>Образование</x:v>
      </x:c>
      <x:c r="E894" s="10" t="str">
        <x:v>Экономика; репатрианты; взрослые</x:v>
      </x:c>
      <x:c r="F894" s="10" t="str">
        <x:v>B1–B2 (гипотеза)</x:v>
      </x:c>
      <x:c r="G894" s="12" t="n">
        <x:v>4</x:v>
      </x:c>
      <x:c r="H894" s="14" t="n">
        <x:v>33000</x:v>
      </x:c>
      <x:c r="I894" s="15" t="str">
        <x:v>Округлённый счётчик в списке YouTube</x:v>
      </x:c>
      <x:c r="J894" s="14" t="n">
        <x:v>33000</x:v>
      </x:c>
      <x:c r="K894" s="14" t="n">
        <x:v>35500</x:v>
      </x:c>
      <x:c r="L894" s="12" t="n">
        <x:f>IF(COUNT(J894:K894)=2,IF(K894=0,"",J894/K894),"")</x:f>
        <x:v>0.9295774647887324</x:v>
      </x:c>
      <x:c r="M894" s="10" t="str">
        <x:v>Завершённый короткий просмотр около 4 мин. Экономика через бытовой вопрос полезна зрителю с практической мотивацией.</x:v>
      </x:c>
      <x:c r="N894" s="10" t="str">
        <x:v>Пересказать пример и объяснение; проверить цифры перед публикацией.</x:v>
      </x:c>
      <x:c r="O894" s="10" t="str">
        <x:v>Не выдавать архивный выпуск за актуальную финансовую рекомендацию</x:v>
      </x:c>
      <x:c r="P894" s="10" t="str">
        <x:v>Самостоятельное видео</x:v>
      </x:c>
      <x:c r="Q894" s="9" t="str">
        <x:v>Нет</x:v>
      </x:c>
      <x:c r="R894" s="9" t="str">
        <x:v>C049</x:v>
      </x:c>
      <x:c r="S894" s="9" t="str">
        <x:v>C049</x:v>
      </x:c>
      <x:c r="T894" s="10" t="str">
        <x:v>כאן | דיגיטל - תאגיד השידור הישראלי</x:v>
      </x:c>
      <x:c r="U894" s="11" t="str">
        <x:v>https://www.youtube.com/watch?v=BatkzC9f0C0</x:v>
      </x:c>
      <x:c r="V894" s="16" t="n">
        <x:v>46308</x:v>
      </x:c>
      <x:c r="W894" s="16"/>
      <x:c r="X894" s="10" t="str">
        <x:v>Иврит предполагается по заголовку и источнику</x:v>
      </x:c>
      <x:c r="Y894" s="10" t="str">
        <x:v>Не проверено</x:v>
      </x:c>
      <x:c r="Z894" s="10" t="str">
        <x:v>Не проверено</x:v>
      </x:c>
      <x:c r="AA894" s="10" t="str">
        <x:v>Метаданные списка; видео не просмотрено</x:v>
      </x:c>
      <x:c r="AB894" s="13" t="str">
        <x:f>IF(AND(ISNUMBER(H894),ISNUMBER(W894)),H894/MAX(1,'Обзор'!$B$4-W894),"")</x:f>
      </x:c>
      <x:c r="AC894" s="17" t="str">
        <x:v>Не решено</x:v>
      </x:c>
      <x:c r="AD894" s="17" t="str">
        <x:v>Не проверено</x:v>
      </x:c>
      <x:c r="AE894" s="17" t="str">
        <x:v>Не проверено</x:v>
      </x:c>
      <x:c r="AF894" s="17" t="str">
        <x:v>Не проверено</x:v>
      </x:c>
      <x:c r="AG894" s="17" t="str">
        <x:v>Не решено</x:v>
      </x:c>
      <x:c r="AH894" s="17" t="str">
        <x:v>Не проверено</x:v>
      </x:c>
      <x:c r="AI894" s="10" t="str">
        <x:f>IF(AC894="Отклонить","Отклонено",IF(AND(AC894="Взять",COUNTIFS(AD894:AH894,"Да")=5),"Готово","Нужна редактура"))</x:f>
        <x:v>Нужна редактура</x:v>
      </x:c>
      <x:c r="AJ894" s="17" t="str"/>
      <x:c r="AK894" s="9" t="str">
        <x:v>https://www.youtube.com/playlist?list=PLXv9BeKApRvzbGTKMtatvGWnycWCP3Bf5</x:v>
      </x:c>
      <x:c r="AL894" s="9" t="n">
        <x:v>21</x:v>
      </x:c>
      <x:c r="AM894" s="9"/>
      <x:c r="AN894" s="9"/>
    </x:row>
    <x:row r="895" ht="60" customHeight="1">
      <x:c r="A895" s="9" t="str">
        <x:v>SfIw73eIGYI</x:v>
      </x:c>
      <x:c r="B895" s="10" t="str">
        <x:v>חיות כיס | מה הבעיה עם השליחים של וולט? 🚲🍔</x:v>
      </x:c>
      <x:c r="C895" s="10" t="str">
        <x:v>Деньги и повседневность</x:v>
      </x:c>
      <x:c r="D895" s="9" t="str">
        <x:v>Образование</x:v>
      </x:c>
      <x:c r="E895" s="10" t="str">
        <x:v>Экономика; репатрианты; взрослые</x:v>
      </x:c>
      <x:c r="F895" s="10" t="str">
        <x:v>B1–B2 (гипотеза)</x:v>
      </x:c>
      <x:c r="G895" s="12" t="n">
        <x:v>4.9</x:v>
      </x:c>
      <x:c r="H895" s="14" t="n">
        <x:v>69915</x:v>
      </x:c>
      <x:c r="I895" s="15" t="str">
        <x:v>Точный счётчик метаданных видео</x:v>
      </x:c>
      <x:c r="J895" s="14" t="n">
        <x:v>69000</x:v>
      </x:c>
      <x:c r="K895" s="14" t="n">
        <x:v>35500</x:v>
      </x:c>
      <x:c r="L895" s="12" t="n">
        <x:f>IF(COUNT(J895:K895)=2,IF(K895=0,"",J895/K895),"")</x:f>
        <x:v>1.943661971830986</x:v>
      </x:c>
      <x:c r="M895" s="10" t="str">
        <x:v>Завершённый короткий просмотр около 5 мин. Просмотры в списке выше медианы выборки этого цикла в 1.94 раза. Экономика через бытовой вопрос полезна зрителю с практической мотивацией.</x:v>
      </x:c>
      <x:c r="N895" s="10" t="str">
        <x:v>Пересказать пример и объяснение; проверить цифры перед публикацией.</x:v>
      </x:c>
      <x:c r="O895" s="10" t="str">
        <x:v>Не выдавать архивный выпуск за актуальную финансовую рекомендацию</x:v>
      </x:c>
      <x:c r="P895" s="10" t="str">
        <x:v>Самостоятельное видео</x:v>
      </x:c>
      <x:c r="Q895" s="9" t="str">
        <x:v>Нет</x:v>
      </x:c>
      <x:c r="R895" s="9" t="str">
        <x:v>C049</x:v>
      </x:c>
      <x:c r="S895" s="9" t="str">
        <x:v>C049</x:v>
      </x:c>
      <x:c r="T895" s="10" t="str">
        <x:v>כאן | דיגיטל - תאגיד השידור הישראלי</x:v>
      </x:c>
      <x:c r="U895" s="11" t="str">
        <x:v>https://www.youtube.com/watch?v=SfIw73eIGYI</x:v>
      </x:c>
      <x:c r="V895" s="16" t="n">
        <x:v>46308</x:v>
      </x:c>
      <x:c r="W895" s="16" t="n">
        <x:v>43835</x:v>
      </x:c>
      <x:c r="X895" s="10" t="str">
        <x:v>Иврит предполагается по заголовку и источнику</x:v>
      </x:c>
      <x:c r="Y895" s="10" t="str">
        <x:v>Ручная дорожка HE по метаданным</x:v>
      </x:c>
      <x:c r="Z895" s="10" t="str">
        <x:v>Разрешено по метаданным</x:v>
      </x:c>
      <x:c r="AA895" s="10" t="str">
        <x:v>Метаданные видео; воспроизведение и содержание не проверены</x:v>
      </x:c>
      <x:c r="AB895" s="13" t="n">
        <x:f>IF(AND(ISNUMBER(H895),ISNUMBER(W895)),H895/MAX(1,'Обзор'!$B$4-W895),"")</x:f>
        <x:v>28.27133036797412</x:v>
      </x:c>
      <x:c r="AC895" s="17" t="str">
        <x:v>Не решено</x:v>
      </x:c>
      <x:c r="AD895" s="17" t="str">
        <x:v>Не проверено</x:v>
      </x:c>
      <x:c r="AE895" s="17" t="str">
        <x:v>Не проверено</x:v>
      </x:c>
      <x:c r="AF895" s="17" t="str">
        <x:v>Не проверено</x:v>
      </x:c>
      <x:c r="AG895" s="17" t="str">
        <x:v>Не решено</x:v>
      </x:c>
      <x:c r="AH895" s="17" t="str">
        <x:v>Не проверено</x:v>
      </x:c>
      <x:c r="AI895" s="10" t="str">
        <x:f>IF(AC895="Отклонить","Отклонено",IF(AND(AC895="Взять",COUNTIFS(AD895:AH895,"Да")=5),"Готово","Нужна редактура"))</x:f>
        <x:v>Нужна редактура</x:v>
      </x:c>
      <x:c r="AJ895" s="17" t="str"/>
      <x:c r="AK895" s="9" t="str">
        <x:v>https://www.youtube.com/playlist?list=PLXv9BeKApRvzbGTKMtatvGWnycWCP3Bf5</x:v>
      </x:c>
      <x:c r="AL895" s="9" t="n">
        <x:v>22</x:v>
      </x:c>
      <x:c r="AM895" s="9"/>
      <x:c r="AN895" s="9" t="n">
        <x:v>0</x:v>
      </x:c>
    </x:row>
    <x:row r="896" ht="60" customHeight="1">
      <x:c r="A896" s="9" t="str">
        <x:v>8kJDN6aebZg</x:v>
      </x:c>
      <x:c r="B896" s="10" t="str">
        <x:v>חיות כיס | עצות כלכליות לפי עשור</x:v>
      </x:c>
      <x:c r="C896" s="10" t="str">
        <x:v>Деньги и повседневность</x:v>
      </x:c>
      <x:c r="D896" s="9" t="str">
        <x:v>Образование</x:v>
      </x:c>
      <x:c r="E896" s="10" t="str">
        <x:v>Экономика; репатрианты; взрослые</x:v>
      </x:c>
      <x:c r="F896" s="10" t="str">
        <x:v>B1–B2 (гипотеза)</x:v>
      </x:c>
      <x:c r="G896" s="12" t="n">
        <x:v>8.7</x:v>
      </x:c>
      <x:c r="H896" s="14" t="n">
        <x:v>39892</x:v>
      </x:c>
      <x:c r="I896" s="15" t="str">
        <x:v>Точный счётчик метаданных видео</x:v>
      </x:c>
      <x:c r="J896" s="14" t="n">
        <x:v>39000</x:v>
      </x:c>
      <x:c r="K896" s="14" t="n">
        <x:v>35500</x:v>
      </x:c>
      <x:c r="L896" s="12" t="n">
        <x:f>IF(COUNT(J896:K896)=2,IF(K896=0,"",J896/K896),"")</x:f>
        <x:v>1.0985915492957747</x:v>
      </x:c>
      <x:c r="M896" s="10" t="str">
        <x:v>Завершённый короткий просмотр около 9 мин. Экономика через бытовой вопрос полезна зрителю с практической мотивацией.</x:v>
      </x:c>
      <x:c r="N896" s="10" t="str">
        <x:v>Пересказать пример и объяснение; проверить цифры перед публикацией.</x:v>
      </x:c>
      <x:c r="O896" s="10" t="str">
        <x:v>Не выдавать архивный выпуск за актуальную финансовую рекомендацию</x:v>
      </x:c>
      <x:c r="P896" s="10" t="str">
        <x:v>Самостоятельное видео</x:v>
      </x:c>
      <x:c r="Q896" s="9" t="str">
        <x:v>Нет</x:v>
      </x:c>
      <x:c r="R896" s="9" t="str">
        <x:v>C049</x:v>
      </x:c>
      <x:c r="S896" s="9" t="str">
        <x:v>C049</x:v>
      </x:c>
      <x:c r="T896" s="10" t="str">
        <x:v>כאן | דיגיטל - תאגיד השידור הישראלי</x:v>
      </x:c>
      <x:c r="U896" s="11" t="str">
        <x:v>https://www.youtube.com/watch?v=8kJDN6aebZg</x:v>
      </x:c>
      <x:c r="V896" s="16" t="n">
        <x:v>46308</x:v>
      </x:c>
      <x:c r="W896" s="16" t="n">
        <x:v>43829</x:v>
      </x:c>
      <x:c r="X896" s="10" t="str">
        <x:v>Иврит предполагается по заголовку и источнику</x:v>
      </x:c>
      <x:c r="Y896" s="10" t="str">
        <x:v>Ручная дорожка HE по метаданным</x:v>
      </x:c>
      <x:c r="Z896" s="10" t="str">
        <x:v>Разрешено по метаданным</x:v>
      </x:c>
      <x:c r="AA896" s="10" t="str">
        <x:v>Метаданные видео; воспроизведение и содержание не проверены</x:v>
      </x:c>
      <x:c r="AB896" s="13" t="n">
        <x:f>IF(AND(ISNUMBER(H896),ISNUMBER(W896)),H896/MAX(1,'Обзор'!$B$4-W896),"")</x:f>
        <x:v>16.09197256958451</x:v>
      </x:c>
      <x:c r="AC896" s="17" t="str">
        <x:v>Не решено</x:v>
      </x:c>
      <x:c r="AD896" s="17" t="str">
        <x:v>Не проверено</x:v>
      </x:c>
      <x:c r="AE896" s="17" t="str">
        <x:v>Не проверено</x:v>
      </x:c>
      <x:c r="AF896" s="17" t="str">
        <x:v>Не проверено</x:v>
      </x:c>
      <x:c r="AG896" s="17" t="str">
        <x:v>Не решено</x:v>
      </x:c>
      <x:c r="AH896" s="17" t="str">
        <x:v>Не проверено</x:v>
      </x:c>
      <x:c r="AI896" s="10" t="str">
        <x:f>IF(AC896="Отклонить","Отклонено",IF(AND(AC896="Взять",COUNTIFS(AD896:AH896,"Да")=5),"Готово","Нужна редактура"))</x:f>
        <x:v>Нужна редактура</x:v>
      </x:c>
      <x:c r="AJ896" s="17" t="str"/>
      <x:c r="AK896" s="9" t="str">
        <x:v>https://www.youtube.com/playlist?list=PLXv9BeKApRvzbGTKMtatvGWnycWCP3Bf5</x:v>
      </x:c>
      <x:c r="AL896" s="9" t="n">
        <x:v>23</x:v>
      </x:c>
      <x:c r="AM896" s="9"/>
      <x:c r="AN896" s="9" t="n">
        <x:v>0</x:v>
      </x:c>
    </x:row>
    <x:row r="897" ht="60" customHeight="1">
      <x:c r="A897" s="9" t="str">
        <x:v>aeeFnx0nzDI</x:v>
      </x:c>
      <x:c r="B897" s="10" t="str">
        <x:v>חיות כיס | למה אין מה לראות בנטפליקס? 📺🍿</x:v>
      </x:c>
      <x:c r="C897" s="10" t="str">
        <x:v>Деньги и повседневность</x:v>
      </x:c>
      <x:c r="D897" s="9" t="str">
        <x:v>Образование</x:v>
      </x:c>
      <x:c r="E897" s="10" t="str">
        <x:v>Экономика; репатрианты; взрослые</x:v>
      </x:c>
      <x:c r="F897" s="10" t="str">
        <x:v>B1–B2 (гипотеза)</x:v>
      </x:c>
      <x:c r="G897" s="12" t="n">
        <x:v>3.5</x:v>
      </x:c>
      <x:c r="H897" s="14" t="n">
        <x:v>150011</x:v>
      </x:c>
      <x:c r="I897" s="15" t="str">
        <x:v>Точный счётчик метаданных видео</x:v>
      </x:c>
      <x:c r="J897" s="14" t="n">
        <x:v>150000</x:v>
      </x:c>
      <x:c r="K897" s="14" t="n">
        <x:v>35500</x:v>
      </x:c>
      <x:c r="L897" s="12" t="n">
        <x:f>IF(COUNT(J897:K897)=2,IF(K897=0,"",J897/K897),"")</x:f>
        <x:v>4.225352112676056</x:v>
      </x:c>
      <x:c r="M897" s="10" t="str">
        <x:v>Завершённый короткий просмотр около 4 мин. Просмотры в списке выше медианы выборки этого цикла в 4.23 раза. Экономика через бытовой вопрос полезна зрителю с практической мотивацией.</x:v>
      </x:c>
      <x:c r="N897" s="10" t="str">
        <x:v>Пересказать пример и объяснение; проверить цифры перед публикацией.</x:v>
      </x:c>
      <x:c r="O897" s="10" t="str">
        <x:v>Не выдавать архивный выпуск за актуальную финансовую рекомендацию</x:v>
      </x:c>
      <x:c r="P897" s="10" t="str">
        <x:v>Самостоятельное видео</x:v>
      </x:c>
      <x:c r="Q897" s="9" t="str">
        <x:v>Нет</x:v>
      </x:c>
      <x:c r="R897" s="9" t="str">
        <x:v>C049</x:v>
      </x:c>
      <x:c r="S897" s="9" t="str">
        <x:v>C049</x:v>
      </x:c>
      <x:c r="T897" s="10" t="str">
        <x:v>כאן | דיגיטל - תאגיד השידור הישראלי</x:v>
      </x:c>
      <x:c r="U897" s="11" t="str">
        <x:v>https://www.youtube.com/watch?v=aeeFnx0nzDI</x:v>
      </x:c>
      <x:c r="V897" s="16" t="n">
        <x:v>46308</x:v>
      </x:c>
      <x:c r="W897" s="16" t="n">
        <x:v>43807</x:v>
      </x:c>
      <x:c r="X897" s="10" t="str">
        <x:v>Иврит предполагается по заголовку и источнику</x:v>
      </x:c>
      <x:c r="Y897" s="10" t="str">
        <x:v>Ручная дорожка HE по метаданным</x:v>
      </x:c>
      <x:c r="Z897" s="10" t="str">
        <x:v>Разрешено по метаданным</x:v>
      </x:c>
      <x:c r="AA897" s="10" t="str">
        <x:v>Метаданные видео; воспроизведение и содержание не проверены</x:v>
      </x:c>
      <x:c r="AB897" s="13" t="n">
        <x:f>IF(AND(ISNUMBER(H897),ISNUMBER(W897)),H897/MAX(1,'Обзор'!$B$4-W897),"")</x:f>
        <x:v>59.980407836865254</x:v>
      </x:c>
      <x:c r="AC897" s="17" t="str">
        <x:v>Не решено</x:v>
      </x:c>
      <x:c r="AD897" s="17" t="str">
        <x:v>Не проверено</x:v>
      </x:c>
      <x:c r="AE897" s="17" t="str">
        <x:v>Не проверено</x:v>
      </x:c>
      <x:c r="AF897" s="17" t="str">
        <x:v>Не проверено</x:v>
      </x:c>
      <x:c r="AG897" s="17" t="str">
        <x:v>Не решено</x:v>
      </x:c>
      <x:c r="AH897" s="17" t="str">
        <x:v>Не проверено</x:v>
      </x:c>
      <x:c r="AI897" s="10" t="str">
        <x:f>IF(AC897="Отклонить","Отклонено",IF(AND(AC897="Взять",COUNTIFS(AD897:AH897,"Да")=5),"Готово","Нужна редактура"))</x:f>
        <x:v>Нужна редактура</x:v>
      </x:c>
      <x:c r="AJ897" s="17" t="str"/>
      <x:c r="AK897" s="9" t="str">
        <x:v>https://www.youtube.com/playlist?list=PLXv9BeKApRvzbGTKMtatvGWnycWCP3Bf5</x:v>
      </x:c>
      <x:c r="AL897" s="9" t="n">
        <x:v>24</x:v>
      </x:c>
      <x:c r="AM897" s="9"/>
      <x:c r="AN897" s="9" t="n">
        <x:v>0</x:v>
      </x:c>
    </x:row>
    <x:row r="898" ht="60" customHeight="1">
      <x:c r="A898" s="9" t="str">
        <x:v>EyEvRCHGoSw</x:v>
      </x:c>
      <x:c r="B898" s="10" t="str">
        <x:v>חיות כיס | לאן נעלמה החמאה? 🍞🔪</x:v>
      </x:c>
      <x:c r="C898" s="10" t="str">
        <x:v>Деньги и повседневность</x:v>
      </x:c>
      <x:c r="D898" s="9" t="str">
        <x:v>Образование</x:v>
      </x:c>
      <x:c r="E898" s="10" t="str">
        <x:v>Экономика; репатрианты; взрослые</x:v>
      </x:c>
      <x:c r="F898" s="10" t="str">
        <x:v>B1–B2 (гипотеза)</x:v>
      </x:c>
      <x:c r="G898" s="12" t="n">
        <x:v>2.9</x:v>
      </x:c>
      <x:c r="H898" s="14" t="n">
        <x:v>105579</x:v>
      </x:c>
      <x:c r="I898" s="15" t="str">
        <x:v>Точный счётчик метаданных видео</x:v>
      </x:c>
      <x:c r="J898" s="14" t="n">
        <x:v>105000</x:v>
      </x:c>
      <x:c r="K898" s="14" t="n">
        <x:v>35500</x:v>
      </x:c>
      <x:c r="L898" s="12" t="n">
        <x:f>IF(COUNT(J898:K898)=2,IF(K898=0,"",J898/K898),"")</x:f>
        <x:v>2.9577464788732395</x:v>
      </x:c>
      <x:c r="M898" s="10" t="str">
        <x:v>Завершённый короткий просмотр около 3 мин. Просмотры в списке выше медианы выборки этого цикла в 2.96 раза. Экономика через бытовой вопрос полезна зрителю с практической мотивацией.</x:v>
      </x:c>
      <x:c r="N898" s="10" t="str">
        <x:v>Пересказать пример и объяснение; проверить цифры перед публикацией.</x:v>
      </x:c>
      <x:c r="O898" s="10" t="str">
        <x:v>Не выдавать архивный выпуск за актуальную финансовую рекомендацию</x:v>
      </x:c>
      <x:c r="P898" s="10" t="str">
        <x:v>Самостоятельное видео</x:v>
      </x:c>
      <x:c r="Q898" s="9" t="str">
        <x:v>Нет</x:v>
      </x:c>
      <x:c r="R898" s="9" t="str">
        <x:v>C049</x:v>
      </x:c>
      <x:c r="S898" s="9" t="str">
        <x:v>C049</x:v>
      </x:c>
      <x:c r="T898" s="10" t="str">
        <x:v>כאן | דיגיטל - תאגיד השידור הישראלי</x:v>
      </x:c>
      <x:c r="U898" s="11" t="str">
        <x:v>https://www.youtube.com/watch?v=EyEvRCHGoSw</x:v>
      </x:c>
      <x:c r="V898" s="16" t="n">
        <x:v>46308</x:v>
      </x:c>
      <x:c r="W898" s="16" t="n">
        <x:v>43755</x:v>
      </x:c>
      <x:c r="X898" s="10" t="str">
        <x:v>Иврит предполагается по заголовку и источнику</x:v>
      </x:c>
      <x:c r="Y898" s="10" t="str">
        <x:v>Ручная дорожка HE по метаданным</x:v>
      </x:c>
      <x:c r="Z898" s="10" t="str">
        <x:v>Разрешено по метаданным</x:v>
      </x:c>
      <x:c r="AA898" s="10" t="str">
        <x:v>Метаданные видео; воспроизведение и содержание не проверены</x:v>
      </x:c>
      <x:c r="AB898" s="13" t="n">
        <x:f>IF(AND(ISNUMBER(H898),ISNUMBER(W898)),H898/MAX(1,'Обзор'!$B$4-W898),"")</x:f>
        <x:v>41.35487661574618</x:v>
      </x:c>
      <x:c r="AC898" s="17" t="str">
        <x:v>Не решено</x:v>
      </x:c>
      <x:c r="AD898" s="17" t="str">
        <x:v>Не проверено</x:v>
      </x:c>
      <x:c r="AE898" s="17" t="str">
        <x:v>Не проверено</x:v>
      </x:c>
      <x:c r="AF898" s="17" t="str">
        <x:v>Не проверено</x:v>
      </x:c>
      <x:c r="AG898" s="17" t="str">
        <x:v>Не решено</x:v>
      </x:c>
      <x:c r="AH898" s="17" t="str">
        <x:v>Не проверено</x:v>
      </x:c>
      <x:c r="AI898" s="10" t="str">
        <x:f>IF(AC898="Отклонить","Отклонено",IF(AND(AC898="Взять",COUNTIFS(AD898:AH898,"Да")=5),"Готово","Нужна редактура"))</x:f>
        <x:v>Нужна редактура</x:v>
      </x:c>
      <x:c r="AJ898" s="17" t="str"/>
      <x:c r="AK898" s="9" t="str">
        <x:v>https://www.youtube.com/playlist?list=PLXv9BeKApRvzbGTKMtatvGWnycWCP3Bf5</x:v>
      </x:c>
      <x:c r="AL898" s="9" t="n">
        <x:v>25</x:v>
      </x:c>
      <x:c r="AM898" s="9"/>
      <x:c r="AN898" s="9" t="n">
        <x:v>0</x:v>
      </x:c>
    </x:row>
    <x:row r="899" ht="60" customHeight="1">
      <x:c r="A899" s="9" t="str">
        <x:v>rR7oJNdoKeY</x:v>
      </x:c>
      <x:c r="B899" s="10" t="str">
        <x:v>חיות כיס | למה עדיין יש מדבקות מחיר על המוצרים בסופרמרקט? 🛒</x:v>
      </x:c>
      <x:c r="C899" s="10" t="str">
        <x:v>Деньги и повседневность</x:v>
      </x:c>
      <x:c r="D899" s="9" t="str">
        <x:v>Образование</x:v>
      </x:c>
      <x:c r="E899" s="10" t="str">
        <x:v>Экономика; репатрианты; взрослые</x:v>
      </x:c>
      <x:c r="F899" s="10" t="str">
        <x:v>B1–B2 (гипотеза)</x:v>
      </x:c>
      <x:c r="G899" s="12" t="n">
        <x:v>3.1</x:v>
      </x:c>
      <x:c r="H899" s="14" t="n">
        <x:v>92768</x:v>
      </x:c>
      <x:c r="I899" s="15" t="str">
        <x:v>Точный счётчик метаданных видео</x:v>
      </x:c>
      <x:c r="J899" s="14" t="n">
        <x:v>92000</x:v>
      </x:c>
      <x:c r="K899" s="14" t="n">
        <x:v>35500</x:v>
      </x:c>
      <x:c r="L899" s="12" t="n">
        <x:f>IF(COUNT(J899:K899)=2,IF(K899=0,"",J899/K899),"")</x:f>
        <x:v>2.591549295774648</x:v>
      </x:c>
      <x:c r="M899" s="10" t="str">
        <x:v>Завершённый короткий просмотр около 3 мин. Просмотры в списке выше медианы выборки этого цикла в 2.59 раза. Экономика через бытовой вопрос полезна зрителю с практической мотивацией.</x:v>
      </x:c>
      <x:c r="N899" s="10" t="str">
        <x:v>Пересказать пример и объяснение; проверить цифры перед публикацией.</x:v>
      </x:c>
      <x:c r="O899" s="10" t="str">
        <x:v>Не выдавать архивный выпуск за актуальную финансовую рекомендацию</x:v>
      </x:c>
      <x:c r="P899" s="10" t="str">
        <x:v>Самостоятельное видео</x:v>
      </x:c>
      <x:c r="Q899" s="9" t="str">
        <x:v>Нет</x:v>
      </x:c>
      <x:c r="R899" s="9" t="str">
        <x:v>C049</x:v>
      </x:c>
      <x:c r="S899" s="9" t="str">
        <x:v>C049</x:v>
      </x:c>
      <x:c r="T899" s="10" t="str">
        <x:v>כאן | דיגיטל - תאגיד השידור הישראלי</x:v>
      </x:c>
      <x:c r="U899" s="11" t="str">
        <x:v>https://www.youtube.com/watch?v=rR7oJNdoKeY</x:v>
      </x:c>
      <x:c r="V899" s="16" t="n">
        <x:v>46308</x:v>
      </x:c>
      <x:c r="W899" s="16" t="n">
        <x:v>43726</x:v>
      </x:c>
      <x:c r="X899" s="10" t="str">
        <x:v>Иврит предполагается по заголовку и источнику</x:v>
      </x:c>
      <x:c r="Y899" s="10" t="str">
        <x:v>Ручная дорожка HE по метаданным</x:v>
      </x:c>
      <x:c r="Z899" s="10" t="str">
        <x:v>Разрешено по метаданным</x:v>
      </x:c>
      <x:c r="AA899" s="10" t="str">
        <x:v>Метаданные видео; воспроизведение и содержание не проверены</x:v>
      </x:c>
      <x:c r="AB899" s="13" t="n">
        <x:f>IF(AND(ISNUMBER(H899),ISNUMBER(W899)),H899/MAX(1,'Обзор'!$B$4-W899),"")</x:f>
        <x:v>35.92873741285825</x:v>
      </x:c>
      <x:c r="AC899" s="17" t="str">
        <x:v>Не решено</x:v>
      </x:c>
      <x:c r="AD899" s="17" t="str">
        <x:v>Не проверено</x:v>
      </x:c>
      <x:c r="AE899" s="17" t="str">
        <x:v>Не проверено</x:v>
      </x:c>
      <x:c r="AF899" s="17" t="str">
        <x:v>Не проверено</x:v>
      </x:c>
      <x:c r="AG899" s="17" t="str">
        <x:v>Не решено</x:v>
      </x:c>
      <x:c r="AH899" s="17" t="str">
        <x:v>Не проверено</x:v>
      </x:c>
      <x:c r="AI899" s="10" t="str">
        <x:f>IF(AC899="Отклонить","Отклонено",IF(AND(AC899="Взять",COUNTIFS(AD899:AH899,"Да")=5),"Готово","Нужна редактура"))</x:f>
        <x:v>Нужна редактура</x:v>
      </x:c>
      <x:c r="AJ899" s="17" t="str"/>
      <x:c r="AK899" s="9" t="str">
        <x:v>https://www.youtube.com/playlist?list=PLXv9BeKApRvzbGTKMtatvGWnycWCP3Bf5</x:v>
      </x:c>
      <x:c r="AL899" s="9" t="n">
        <x:v>26</x:v>
      </x:c>
      <x:c r="AM899" s="9"/>
      <x:c r="AN899" s="9" t="n">
        <x:v>0</x:v>
      </x:c>
    </x:row>
    <x:row r="900" ht="60" customHeight="1">
      <x:c r="A900" s="9" t="str">
        <x:v>8O-EYhawlPc</x:v>
      </x:c>
      <x:c r="B900" s="10" t="str">
        <x:v>אז כמה באמת יעלו לנו הבחירות?</x:v>
      </x:c>
      <x:c r="C900" s="10" t="str">
        <x:v>Деньги и повседневность</x:v>
      </x:c>
      <x:c r="D900" s="9" t="str">
        <x:v>Образование</x:v>
      </x:c>
      <x:c r="E900" s="10" t="str">
        <x:v>Экономика; репатрианты; взрослые</x:v>
      </x:c>
      <x:c r="F900" s="10" t="str">
        <x:v>B1–B2 (гипотеза)</x:v>
      </x:c>
      <x:c r="G900" s="12" t="n">
        <x:v>2.8</x:v>
      </x:c>
      <x:c r="H900" s="14" t="n">
        <x:v>35000</x:v>
      </x:c>
      <x:c r="I900" s="15" t="str">
        <x:v>Округлённый счётчик в списке YouTube</x:v>
      </x:c>
      <x:c r="J900" s="14" t="n">
        <x:v>35000</x:v>
      </x:c>
      <x:c r="K900" s="14" t="n">
        <x:v>35500</x:v>
      </x:c>
      <x:c r="L900" s="12" t="n">
        <x:f>IF(COUNT(J900:K900)=2,IF(K900=0,"",J900/K900),"")</x:f>
        <x:v>0.9859154929577465</x:v>
      </x:c>
      <x:c r="M900" s="10" t="str">
        <x:v>Завершённый короткий просмотр около 3 мин. Экономика через бытовой вопрос полезна зрителю с практической мотивацией.</x:v>
      </x:c>
      <x:c r="N900" s="10" t="str">
        <x:v>Пересказать пример и объяснение; проверить цифры перед публикацией.</x:v>
      </x:c>
      <x:c r="O900" s="10" t="str">
        <x:v>Не выдавать архивный выпуск за актуальную финансовую рекомендацию</x:v>
      </x:c>
      <x:c r="P900" s="10" t="str">
        <x:v>Самостоятельное видео</x:v>
      </x:c>
      <x:c r="Q900" s="9" t="str">
        <x:v>Нет</x:v>
      </x:c>
      <x:c r="R900" s="9" t="str">
        <x:v>C049</x:v>
      </x:c>
      <x:c r="S900" s="9" t="str">
        <x:v>C049</x:v>
      </x:c>
      <x:c r="T900" s="10" t="str">
        <x:v>כאן | דיגיטל - תאגיד השידור הישראלי</x:v>
      </x:c>
      <x:c r="U900" s="11" t="str">
        <x:v>https://www.youtube.com/watch?v=8O-EYhawlPc</x:v>
      </x:c>
      <x:c r="V900" s="16" t="n">
        <x:v>46308</x:v>
      </x:c>
      <x:c r="W900" s="16"/>
      <x:c r="X900" s="10" t="str">
        <x:v>Иврит предполагается по заголовку и источнику</x:v>
      </x:c>
      <x:c r="Y900" s="10" t="str">
        <x:v>Не проверено</x:v>
      </x:c>
      <x:c r="Z900" s="10" t="str">
        <x:v>Не проверено</x:v>
      </x:c>
      <x:c r="AA900" s="10" t="str">
        <x:v>Метаданные списка; видео не просмотрено</x:v>
      </x:c>
      <x:c r="AB900" s="13" t="str">
        <x:f>IF(AND(ISNUMBER(H900),ISNUMBER(W900)),H900/MAX(1,'Обзор'!$B$4-W900),"")</x:f>
      </x:c>
      <x:c r="AC900" s="17" t="str">
        <x:v>Не решено</x:v>
      </x:c>
      <x:c r="AD900" s="17" t="str">
        <x:v>Не проверено</x:v>
      </x:c>
      <x:c r="AE900" s="17" t="str">
        <x:v>Не проверено</x:v>
      </x:c>
      <x:c r="AF900" s="17" t="str">
        <x:v>Не проверено</x:v>
      </x:c>
      <x:c r="AG900" s="17" t="str">
        <x:v>Не решено</x:v>
      </x:c>
      <x:c r="AH900" s="17" t="str">
        <x:v>Не проверено</x:v>
      </x:c>
      <x:c r="AI900" s="10" t="str">
        <x:f>IF(AC900="Отклонить","Отклонено",IF(AND(AC900="Взять",COUNTIFS(AD900:AH900,"Да")=5),"Готово","Нужна редактура"))</x:f>
        <x:v>Нужна редактура</x:v>
      </x:c>
      <x:c r="AJ900" s="17" t="str"/>
      <x:c r="AK900" s="9" t="str">
        <x:v>https://www.youtube.com/playlist?list=PLXv9BeKApRvzbGTKMtatvGWnycWCP3Bf5</x:v>
      </x:c>
      <x:c r="AL900" s="9" t="n">
        <x:v>27</x:v>
      </x:c>
      <x:c r="AM900" s="9"/>
      <x:c r="AN900" s="9"/>
    </x:row>
    <x:row r="901" ht="60" customHeight="1">
      <x:c r="A901" s="9" t="str">
        <x:v>5n92Ev-wwTA</x:v>
      </x:c>
      <x:c r="B901" s="10" t="str">
        <x:v>חיות כיס | למה העובדים בישראל לא יעילים? 🔋</x:v>
      </x:c>
      <x:c r="C901" s="10" t="str">
        <x:v>Деньги и повседневность</x:v>
      </x:c>
      <x:c r="D901" s="9" t="str">
        <x:v>Образование</x:v>
      </x:c>
      <x:c r="E901" s="10" t="str">
        <x:v>Экономика; репатрианты; взрослые</x:v>
      </x:c>
      <x:c r="F901" s="10" t="str">
        <x:v>B1–B2 (гипотеза)</x:v>
      </x:c>
      <x:c r="G901" s="12" t="n">
        <x:v>3.1</x:v>
      </x:c>
      <x:c r="H901" s="14" t="n">
        <x:v>79687</x:v>
      </x:c>
      <x:c r="I901" s="15" t="str">
        <x:v>Точный счётчик метаданных видео</x:v>
      </x:c>
      <x:c r="J901" s="14" t="n">
        <x:v>79000</x:v>
      </x:c>
      <x:c r="K901" s="14" t="n">
        <x:v>35500</x:v>
      </x:c>
      <x:c r="L901" s="12" t="n">
        <x:f>IF(COUNT(J901:K901)=2,IF(K901=0,"",J901/K901),"")</x:f>
        <x:v>2.2253521126760565</x:v>
      </x:c>
      <x:c r="M901" s="10" t="str">
        <x:v>Завершённый короткий просмотр около 3 мин. Просмотры в списке выше медианы выборки этого цикла в 2.23 раза. Экономика через бытовой вопрос полезна зрителю с практической мотивацией.</x:v>
      </x:c>
      <x:c r="N901" s="10" t="str">
        <x:v>Пересказать пример и объяснение; проверить цифры перед публикацией.</x:v>
      </x:c>
      <x:c r="O901" s="10" t="str">
        <x:v>Не выдавать архивный выпуск за актуальную финансовую рекомендацию</x:v>
      </x:c>
      <x:c r="P901" s="10" t="str">
        <x:v>Самостоятельное видео</x:v>
      </x:c>
      <x:c r="Q901" s="9" t="str">
        <x:v>Нет</x:v>
      </x:c>
      <x:c r="R901" s="9" t="str">
        <x:v>C049</x:v>
      </x:c>
      <x:c r="S901" s="9" t="str">
        <x:v>C049</x:v>
      </x:c>
      <x:c r="T901" s="10" t="str">
        <x:v>כאן | דיגיטל - תאגיד השידור הישראלי</x:v>
      </x:c>
      <x:c r="U901" s="11" t="str">
        <x:v>https://www.youtube.com/watch?v=5n92Ev-wwTA</x:v>
      </x:c>
      <x:c r="V901" s="16" t="n">
        <x:v>46308</x:v>
      </x:c>
      <x:c r="W901" s="16" t="n">
        <x:v>43695</x:v>
      </x:c>
      <x:c r="X901" s="10" t="str">
        <x:v>Иврит предполагается по заголовку и источнику</x:v>
      </x:c>
      <x:c r="Y901" s="10" t="str">
        <x:v>Ручная дорожка HE по метаданным</x:v>
      </x:c>
      <x:c r="Z901" s="10" t="str">
        <x:v>Разрешено по метаданным</x:v>
      </x:c>
      <x:c r="AA901" s="10" t="str">
        <x:v>Метаданные видео; воспроизведение и содержание не проверены</x:v>
      </x:c>
      <x:c r="AB901" s="13" t="n">
        <x:f>IF(AND(ISNUMBER(H901),ISNUMBER(W901)),H901/MAX(1,'Обзор'!$B$4-W901),"")</x:f>
        <x:v>30.496364332185227</x:v>
      </x:c>
      <x:c r="AC901" s="17" t="str">
        <x:v>Не решено</x:v>
      </x:c>
      <x:c r="AD901" s="17" t="str">
        <x:v>Не проверено</x:v>
      </x:c>
      <x:c r="AE901" s="17" t="str">
        <x:v>Не проверено</x:v>
      </x:c>
      <x:c r="AF901" s="17" t="str">
        <x:v>Не проверено</x:v>
      </x:c>
      <x:c r="AG901" s="17" t="str">
        <x:v>Не решено</x:v>
      </x:c>
      <x:c r="AH901" s="17" t="str">
        <x:v>Не проверено</x:v>
      </x:c>
      <x:c r="AI901" s="10" t="str">
        <x:f>IF(AC901="Отклонить","Отклонено",IF(AND(AC901="Взять",COUNTIFS(AD901:AH901,"Да")=5),"Готово","Нужна редактура"))</x:f>
        <x:v>Нужна редактура</x:v>
      </x:c>
      <x:c r="AJ901" s="17" t="str"/>
      <x:c r="AK901" s="9" t="str">
        <x:v>https://www.youtube.com/playlist?list=PLXv9BeKApRvzbGTKMtatvGWnycWCP3Bf5</x:v>
      </x:c>
      <x:c r="AL901" s="9" t="n">
        <x:v>28</x:v>
      </x:c>
      <x:c r="AM901" s="9"/>
      <x:c r="AN901" s="9" t="n">
        <x:v>0</x:v>
      </x:c>
    </x:row>
    <x:row r="902" ht="60" customHeight="1">
      <x:c r="A902" s="9" t="str">
        <x:v>twGl1Uv4YMw</x:v>
      </x:c>
      <x:c r="B902" s="10" t="str">
        <x:v>חיות כיס |  למה לכללית יש כל כך מעט בתי מרקחת בהסדר? 💊💊💊</x:v>
      </x:c>
      <x:c r="C902" s="10" t="str">
        <x:v>Деньги и повседневность</x:v>
      </x:c>
      <x:c r="D902" s="9" t="str">
        <x:v>Образование</x:v>
      </x:c>
      <x:c r="E902" s="10" t="str">
        <x:v>Экономика; репатрианты; взрослые</x:v>
      </x:c>
      <x:c r="F902" s="10" t="str">
        <x:v>B1–B2 (гипотеза)</x:v>
      </x:c>
      <x:c r="G902" s="12" t="n">
        <x:v>1.7</x:v>
      </x:c>
      <x:c r="H902" s="14" t="n">
        <x:v>24000</x:v>
      </x:c>
      <x:c r="I902" s="15" t="str">
        <x:v>Округлённый счётчик в списке YouTube</x:v>
      </x:c>
      <x:c r="J902" s="14" t="n">
        <x:v>24000</x:v>
      </x:c>
      <x:c r="K902" s="14" t="n">
        <x:v>35500</x:v>
      </x:c>
      <x:c r="L902" s="12" t="n">
        <x:f>IF(COUNT(J902:K902)=2,IF(K902=0,"",J902/K902),"")</x:f>
        <x:v>0.676056338028169</x:v>
      </x:c>
      <x:c r="M902" s="10" t="str">
        <x:v>Завершённый короткий просмотр около 2 мин. Экономика через бытовой вопрос полезна зрителю с практической мотивацией.</x:v>
      </x:c>
      <x:c r="N902" s="10" t="str">
        <x:v>Пересказать пример и объяснение; проверить цифры перед публикацией.</x:v>
      </x:c>
      <x:c r="O902" s="10" t="str">
        <x:v>Не выдавать архивный выпуск за актуальную финансовую рекомендацию</x:v>
      </x:c>
      <x:c r="P902" s="10" t="str">
        <x:v>Самостоятельное видео</x:v>
      </x:c>
      <x:c r="Q902" s="9" t="str">
        <x:v>Нет</x:v>
      </x:c>
      <x:c r="R902" s="9" t="str">
        <x:v>C049</x:v>
      </x:c>
      <x:c r="S902" s="9" t="str">
        <x:v>C049</x:v>
      </x:c>
      <x:c r="T902" s="10" t="str">
        <x:v>כאן | דיגיטל - תאגיד השידור הישראלי</x:v>
      </x:c>
      <x:c r="U902" s="11" t="str">
        <x:v>https://www.youtube.com/watch?v=twGl1Uv4YMw</x:v>
      </x:c>
      <x:c r="V902" s="16" t="n">
        <x:v>46308</x:v>
      </x:c>
      <x:c r="W902" s="16"/>
      <x:c r="X902" s="10" t="str">
        <x:v>Иврит предполагается по заголовку и источнику</x:v>
      </x:c>
      <x:c r="Y902" s="10" t="str">
        <x:v>Не проверено</x:v>
      </x:c>
      <x:c r="Z902" s="10" t="str">
        <x:v>Не проверено</x:v>
      </x:c>
      <x:c r="AA902" s="10" t="str">
        <x:v>Метаданные списка; видео не просмотрено</x:v>
      </x:c>
      <x:c r="AB902" s="13" t="str">
        <x:f>IF(AND(ISNUMBER(H902),ISNUMBER(W902)),H902/MAX(1,'Обзор'!$B$4-W902),"")</x:f>
      </x:c>
      <x:c r="AC902" s="17" t="str">
        <x:v>Не решено</x:v>
      </x:c>
      <x:c r="AD902" s="17" t="str">
        <x:v>Не проверено</x:v>
      </x:c>
      <x:c r="AE902" s="17" t="str">
        <x:v>Не проверено</x:v>
      </x:c>
      <x:c r="AF902" s="17" t="str">
        <x:v>Не проверено</x:v>
      </x:c>
      <x:c r="AG902" s="17" t="str">
        <x:v>Не решено</x:v>
      </x:c>
      <x:c r="AH902" s="17" t="str">
        <x:v>Не проверено</x:v>
      </x:c>
      <x:c r="AI902" s="10" t="str">
        <x:f>IF(AC902="Отклонить","Отклонено",IF(AND(AC902="Взять",COUNTIFS(AD902:AH902,"Да")=5),"Готово","Нужна редактура"))</x:f>
        <x:v>Нужна редактура</x:v>
      </x:c>
      <x:c r="AJ902" s="17" t="str"/>
      <x:c r="AK902" s="9" t="str">
        <x:v>https://www.youtube.com/playlist?list=PLXv9BeKApRvzbGTKMtatvGWnycWCP3Bf5</x:v>
      </x:c>
      <x:c r="AL902" s="9" t="n">
        <x:v>29</x:v>
      </x:c>
      <x:c r="AM902" s="9"/>
      <x:c r="AN902" s="9"/>
    </x:row>
    <x:row r="903" ht="60" customHeight="1">
      <x:c r="A903" s="9" t="str">
        <x:v>sjOTiFo7f7k</x:v>
      </x:c>
      <x:c r="B903" s="10" t="str">
        <x:v>חיות כיס | למה אי אפשר לשלם באפליקציה על פיצה? 🍕</x:v>
      </x:c>
      <x:c r="C903" s="10" t="str">
        <x:v>Деньги и повседневность</x:v>
      </x:c>
      <x:c r="D903" s="9" t="str">
        <x:v>Образование</x:v>
      </x:c>
      <x:c r="E903" s="10" t="str">
        <x:v>Экономика; репатрианты; взрослые</x:v>
      </x:c>
      <x:c r="F903" s="10" t="str">
        <x:v>B1–B2 (гипотеза)</x:v>
      </x:c>
      <x:c r="G903" s="12" t="n">
        <x:v>3.1</x:v>
      </x:c>
      <x:c r="H903" s="14" t="n">
        <x:v>103133</x:v>
      </x:c>
      <x:c r="I903" s="15" t="str">
        <x:v>Точный счётчик метаданных видео</x:v>
      </x:c>
      <x:c r="J903" s="14" t="n">
        <x:v>103000</x:v>
      </x:c>
      <x:c r="K903" s="14" t="n">
        <x:v>35500</x:v>
      </x:c>
      <x:c r="L903" s="12" t="n">
        <x:f>IF(COUNT(J903:K903)=2,IF(K903=0,"",J903/K903),"")</x:f>
        <x:v>2.9014084507042255</x:v>
      </x:c>
      <x:c r="M903" s="10" t="str">
        <x:v>Завершённый короткий просмотр около 3 мин. Просмотры в списке выше медианы выборки этого цикла в 2.9 раза. Экономика через бытовой вопрос полезна зрителю с практической мотивацией.</x:v>
      </x:c>
      <x:c r="N903" s="10" t="str">
        <x:v>Пересказать пример и объяснение; проверить цифры перед публикацией.</x:v>
      </x:c>
      <x:c r="O903" s="10" t="str">
        <x:v>Не выдавать архивный выпуск за актуальную финансовую рекомендацию</x:v>
      </x:c>
      <x:c r="P903" s="10" t="str">
        <x:v>Самостоятельное видео</x:v>
      </x:c>
      <x:c r="Q903" s="9" t="str">
        <x:v>Нет</x:v>
      </x:c>
      <x:c r="R903" s="9" t="str">
        <x:v>C049</x:v>
      </x:c>
      <x:c r="S903" s="9" t="str">
        <x:v>C049</x:v>
      </x:c>
      <x:c r="T903" s="10" t="str">
        <x:v>כאן | דיגיטל - תאגיד השידור הישראלי</x:v>
      </x:c>
      <x:c r="U903" s="11" t="str">
        <x:v>https://www.youtube.com/watch?v=sjOTiFo7f7k</x:v>
      </x:c>
      <x:c r="V903" s="16" t="n">
        <x:v>46308</x:v>
      </x:c>
      <x:c r="W903" s="16" t="n">
        <x:v>43677</x:v>
      </x:c>
      <x:c r="X903" s="10" t="str">
        <x:v>Иврит предполагается по заголовку и источнику</x:v>
      </x:c>
      <x:c r="Y903" s="10" t="str">
        <x:v>Ручная дорожка HE по метаданным</x:v>
      </x:c>
      <x:c r="Z903" s="10" t="str">
        <x:v>Разрешено по метаданным</x:v>
      </x:c>
      <x:c r="AA903" s="10" t="str">
        <x:v>Метаданные видео; воспроизведение и содержание не проверены</x:v>
      </x:c>
      <x:c r="AB903" s="13" t="n">
        <x:f>IF(AND(ISNUMBER(H903),ISNUMBER(W903)),H903/MAX(1,'Обзор'!$B$4-W903),"")</x:f>
        <x:v>39.19916381603953</x:v>
      </x:c>
      <x:c r="AC903" s="17" t="str">
        <x:v>Не решено</x:v>
      </x:c>
      <x:c r="AD903" s="17" t="str">
        <x:v>Не проверено</x:v>
      </x:c>
      <x:c r="AE903" s="17" t="str">
        <x:v>Не проверено</x:v>
      </x:c>
      <x:c r="AF903" s="17" t="str">
        <x:v>Не проверено</x:v>
      </x:c>
      <x:c r="AG903" s="17" t="str">
        <x:v>Не решено</x:v>
      </x:c>
      <x:c r="AH903" s="17" t="str">
        <x:v>Не проверено</x:v>
      </x:c>
      <x:c r="AI903" s="10" t="str">
        <x:f>IF(AC903="Отклонить","Отклонено",IF(AND(AC903="Взять",COUNTIFS(AD903:AH903,"Да")=5),"Готово","Нужна редактура"))</x:f>
        <x:v>Нужна редактура</x:v>
      </x:c>
      <x:c r="AJ903" s="17" t="str"/>
      <x:c r="AK903" s="9" t="str">
        <x:v>https://www.youtube.com/playlist?list=PLXv9BeKApRvzbGTKMtatvGWnycWCP3Bf5</x:v>
      </x:c>
      <x:c r="AL903" s="9" t="n">
        <x:v>30</x:v>
      </x:c>
      <x:c r="AM903" s="9"/>
      <x:c r="AN903" s="9" t="n">
        <x:v>0</x:v>
      </x:c>
    </x:row>
    <x:row r="904" ht="60" customHeight="1">
      <x:c r="A904" s="9" t="str">
        <x:v>4ZymkTw4a10</x:v>
      </x:c>
      <x:c r="B904" s="10" t="str">
        <x:v>חיות כיס | לאן נעלמו הגלולות? 💊</x:v>
      </x:c>
      <x:c r="C904" s="10" t="str">
        <x:v>Деньги и повседневность</x:v>
      </x:c>
      <x:c r="D904" s="9" t="str">
        <x:v>Образование</x:v>
      </x:c>
      <x:c r="E904" s="10" t="str">
        <x:v>Экономика; репатрианты; взрослые</x:v>
      </x:c>
      <x:c r="F904" s="10" t="str">
        <x:v>B1–B2 (гипотеза)</x:v>
      </x:c>
      <x:c r="G904" s="12" t="n">
        <x:v>3.7</x:v>
      </x:c>
      <x:c r="H904" s="14" t="n">
        <x:v>34000</x:v>
      </x:c>
      <x:c r="I904" s="15" t="str">
        <x:v>Округлённый счётчик в списке YouTube</x:v>
      </x:c>
      <x:c r="J904" s="14" t="n">
        <x:v>34000</x:v>
      </x:c>
      <x:c r="K904" s="14" t="n">
        <x:v>35500</x:v>
      </x:c>
      <x:c r="L904" s="12" t="n">
        <x:f>IF(COUNT(J904:K904)=2,IF(K904=0,"",J904/K904),"")</x:f>
        <x:v>0.9577464788732394</x:v>
      </x:c>
      <x:c r="M904" s="10" t="str">
        <x:v>Завершённый короткий просмотр около 4 мин. Экономика через бытовой вопрос полезна зрителю с практической мотивацией.</x:v>
      </x:c>
      <x:c r="N904" s="10" t="str">
        <x:v>Пересказать пример и объяснение; проверить цифры перед публикацией.</x:v>
      </x:c>
      <x:c r="O904" s="10" t="str">
        <x:v>Не выдавать архивный выпуск за актуальную финансовую рекомендацию</x:v>
      </x:c>
      <x:c r="P904" s="10" t="str">
        <x:v>Самостоятельное видео</x:v>
      </x:c>
      <x:c r="Q904" s="9" t="str">
        <x:v>Нет</x:v>
      </x:c>
      <x:c r="R904" s="9" t="str">
        <x:v>C049</x:v>
      </x:c>
      <x:c r="S904" s="9" t="str">
        <x:v>C049</x:v>
      </x:c>
      <x:c r="T904" s="10" t="str">
        <x:v>כאן | דיגיטל - תאגיד השידור הישראלי</x:v>
      </x:c>
      <x:c r="U904" s="11" t="str">
        <x:v>https://www.youtube.com/watch?v=4ZymkTw4a10</x:v>
      </x:c>
      <x:c r="V904" s="16" t="n">
        <x:v>46308</x:v>
      </x:c>
      <x:c r="W904" s="16"/>
      <x:c r="X904" s="10" t="str">
        <x:v>Иврит предполагается по заголовку и источнику</x:v>
      </x:c>
      <x:c r="Y904" s="10" t="str">
        <x:v>Не проверено</x:v>
      </x:c>
      <x:c r="Z904" s="10" t="str">
        <x:v>Не проверено</x:v>
      </x:c>
      <x:c r="AA904" s="10" t="str">
        <x:v>Метаданные списка; видео не просмотрено</x:v>
      </x:c>
      <x:c r="AB904" s="13" t="str">
        <x:f>IF(AND(ISNUMBER(H904),ISNUMBER(W904)),H904/MAX(1,'Обзор'!$B$4-W904),"")</x:f>
      </x:c>
      <x:c r="AC904" s="17" t="str">
        <x:v>Не решено</x:v>
      </x:c>
      <x:c r="AD904" s="17" t="str">
        <x:v>Не проверено</x:v>
      </x:c>
      <x:c r="AE904" s="17" t="str">
        <x:v>Не проверено</x:v>
      </x:c>
      <x:c r="AF904" s="17" t="str">
        <x:v>Не проверено</x:v>
      </x:c>
      <x:c r="AG904" s="17" t="str">
        <x:v>Не решено</x:v>
      </x:c>
      <x:c r="AH904" s="17" t="str">
        <x:v>Не проверено</x:v>
      </x:c>
      <x:c r="AI904" s="10" t="str">
        <x:f>IF(AC904="Отклонить","Отклонено",IF(AND(AC904="Взять",COUNTIFS(AD904:AH904,"Да")=5),"Готово","Нужна редактура"))</x:f>
        <x:v>Нужна редактура</x:v>
      </x:c>
      <x:c r="AJ904" s="17" t="str"/>
      <x:c r="AK904" s="9" t="str">
        <x:v>https://www.youtube.com/playlist?list=PLXv9BeKApRvzbGTKMtatvGWnycWCP3Bf5</x:v>
      </x:c>
      <x:c r="AL904" s="9" t="n">
        <x:v>31</x:v>
      </x:c>
      <x:c r="AM904" s="9"/>
      <x:c r="AN904" s="9"/>
    </x:row>
    <x:row r="905" ht="60" customHeight="1">
      <x:c r="A905" s="9" t="str">
        <x:v>KkVXBupAhkk</x:v>
      </x:c>
      <x:c r="B905" s="10" t="str">
        <x:v>חיות כיס | האם משתלם כלכלית להיות נשואים? 💵💵💵</x:v>
      </x:c>
      <x:c r="C905" s="10" t="str">
        <x:v>Деньги и повседневность</x:v>
      </x:c>
      <x:c r="D905" s="9" t="str">
        <x:v>Образование</x:v>
      </x:c>
      <x:c r="E905" s="10" t="str">
        <x:v>Экономика; репатрианты; взрослые</x:v>
      </x:c>
      <x:c r="F905" s="10" t="str">
        <x:v>B1–B2 (гипотеза)</x:v>
      </x:c>
      <x:c r="G905" s="12" t="n">
        <x:v>2.2</x:v>
      </x:c>
      <x:c r="H905" s="14" t="n">
        <x:v>60367</x:v>
      </x:c>
      <x:c r="I905" s="15" t="str">
        <x:v>Точный счётчик метаданных видео</x:v>
      </x:c>
      <x:c r="J905" s="14" t="n">
        <x:v>60000</x:v>
      </x:c>
      <x:c r="K905" s="14" t="n">
        <x:v>35500</x:v>
      </x:c>
      <x:c r="L905" s="12" t="n">
        <x:f>IF(COUNT(J905:K905)=2,IF(K905=0,"",J905/K905),"")</x:f>
        <x:v>1.6901408450704225</x:v>
      </x:c>
      <x:c r="M905" s="10" t="str">
        <x:v>Завершённый короткий просмотр около 2 мин. Просмотры в списке выше медианы выборки этого цикла в 1.69 раза. Экономика через бытовой вопрос полезна зрителю с практической мотивацией.</x:v>
      </x:c>
      <x:c r="N905" s="10" t="str">
        <x:v>Пересказать пример и объяснение; проверить цифры перед публикацией.</x:v>
      </x:c>
      <x:c r="O905" s="10" t="str">
        <x:v>Не выдавать архивный выпуск за актуальную финансовую рекомендацию</x:v>
      </x:c>
      <x:c r="P905" s="10" t="str">
        <x:v>Самостоятельное видео</x:v>
      </x:c>
      <x:c r="Q905" s="9" t="str">
        <x:v>Нет</x:v>
      </x:c>
      <x:c r="R905" s="9" t="str">
        <x:v>C049</x:v>
      </x:c>
      <x:c r="S905" s="9" t="str">
        <x:v>C049</x:v>
      </x:c>
      <x:c r="T905" s="10" t="str">
        <x:v>כאן | דיגיטל - תאגיד השידור הישראלי</x:v>
      </x:c>
      <x:c r="U905" s="11" t="str">
        <x:v>https://www.youtube.com/watch?v=KkVXBupAhkk</x:v>
      </x:c>
      <x:c r="V905" s="16" t="n">
        <x:v>46308</x:v>
      </x:c>
      <x:c r="W905" s="16" t="n">
        <x:v>43660</x:v>
      </x:c>
      <x:c r="X905" s="10" t="str">
        <x:v>Иврит предполагается по заголовку и источнику</x:v>
      </x:c>
      <x:c r="Y905" s="10" t="str">
        <x:v>Ручная дорожка HE по метаданным</x:v>
      </x:c>
      <x:c r="Z905" s="10" t="str">
        <x:v>Разрешено по метаданным</x:v>
      </x:c>
      <x:c r="AA905" s="10" t="str">
        <x:v>Метаданные видео; воспроизведение и содержание не проверены</x:v>
      </x:c>
      <x:c r="AB905" s="13" t="n">
        <x:f>IF(AND(ISNUMBER(H905),ISNUMBER(W905)),H905/MAX(1,'Обзор'!$B$4-W905),"")</x:f>
        <x:v>22.797205438066467</x:v>
      </x:c>
      <x:c r="AC905" s="17" t="str">
        <x:v>Не решено</x:v>
      </x:c>
      <x:c r="AD905" s="17" t="str">
        <x:v>Не проверено</x:v>
      </x:c>
      <x:c r="AE905" s="17" t="str">
        <x:v>Не проверено</x:v>
      </x:c>
      <x:c r="AF905" s="17" t="str">
        <x:v>Не проверено</x:v>
      </x:c>
      <x:c r="AG905" s="17" t="str">
        <x:v>Не решено</x:v>
      </x:c>
      <x:c r="AH905" s="17" t="str">
        <x:v>Не проверено</x:v>
      </x:c>
      <x:c r="AI905" s="10" t="str">
        <x:f>IF(AC905="Отклонить","Отклонено",IF(AND(AC905="Взять",COUNTIFS(AD905:AH905,"Да")=5),"Готово","Нужна редактура"))</x:f>
        <x:v>Нужна редактура</x:v>
      </x:c>
      <x:c r="AJ905" s="17" t="str"/>
      <x:c r="AK905" s="9" t="str">
        <x:v>https://www.youtube.com/playlist?list=PLXv9BeKApRvzbGTKMtatvGWnycWCP3Bf5</x:v>
      </x:c>
      <x:c r="AL905" s="9" t="n">
        <x:v>32</x:v>
      </x:c>
      <x:c r="AM905" s="9"/>
      <x:c r="AN905" s="9" t="n">
        <x:v>0</x:v>
      </x:c>
    </x:row>
    <x:row r="906" ht="60" customHeight="1">
      <x:c r="A906" s="9" t="str">
        <x:v>1XUuxBsZ55A</x:v>
      </x:c>
      <x:c r="B906" s="10" t="str">
        <x:v>חיות כיס | למה המורים בישראל לא מספיק טובים? 📚</x:v>
      </x:c>
      <x:c r="C906" s="10" t="str">
        <x:v>Деньги и повседневность</x:v>
      </x:c>
      <x:c r="D906" s="9" t="str">
        <x:v>Образование</x:v>
      </x:c>
      <x:c r="E906" s="10" t="str">
        <x:v>Экономика; репатрианты; взрослые</x:v>
      </x:c>
      <x:c r="F906" s="10" t="str">
        <x:v>B1–B2 (гипотеза)</x:v>
      </x:c>
      <x:c r="G906" s="12" t="n">
        <x:v>3.7</x:v>
      </x:c>
      <x:c r="H906" s="14" t="n">
        <x:v>82241</x:v>
      </x:c>
      <x:c r="I906" s="15" t="str">
        <x:v>Точный счётчик метаданных видео</x:v>
      </x:c>
      <x:c r="J906" s="14" t="n">
        <x:v>82000</x:v>
      </x:c>
      <x:c r="K906" s="14" t="n">
        <x:v>35500</x:v>
      </x:c>
      <x:c r="L906" s="12" t="n">
        <x:f>IF(COUNT(J906:K906)=2,IF(K906=0,"",J906/K906),"")</x:f>
        <x:v>2.3098591549295775</x:v>
      </x:c>
      <x:c r="M906" s="10" t="str">
        <x:v>Завершённый короткий просмотр около 4 мин. Просмотры в списке выше медианы выборки этого цикла в 2.31 раза. Экономика через бытовой вопрос полезна зрителю с практической мотивацией.</x:v>
      </x:c>
      <x:c r="N906" s="10" t="str">
        <x:v>Пересказать пример и объяснение; проверить цифры перед публикацией.</x:v>
      </x:c>
      <x:c r="O906" s="10" t="str">
        <x:v>Не выдавать архивный выпуск за актуальную финансовую рекомендацию</x:v>
      </x:c>
      <x:c r="P906" s="10" t="str">
        <x:v>Самостоятельное видео</x:v>
      </x:c>
      <x:c r="Q906" s="9" t="str">
        <x:v>Нет</x:v>
      </x:c>
      <x:c r="R906" s="9" t="str">
        <x:v>C049</x:v>
      </x:c>
      <x:c r="S906" s="9" t="str">
        <x:v>C049</x:v>
      </x:c>
      <x:c r="T906" s="10" t="str">
        <x:v>כאן | דיגיטל - תאגיד השידור הישראלי</x:v>
      </x:c>
      <x:c r="U906" s="11" t="str">
        <x:v>https://www.youtube.com/watch?v=1XUuxBsZ55A</x:v>
      </x:c>
      <x:c r="V906" s="16" t="n">
        <x:v>46308</x:v>
      </x:c>
      <x:c r="W906" s="16" t="n">
        <x:v>43614</x:v>
      </x:c>
      <x:c r="X906" s="10" t="str">
        <x:v>Иврит предполагается по заголовку и источнику</x:v>
      </x:c>
      <x:c r="Y906" s="10" t="str">
        <x:v>Ручная дорожка HE по метаданным</x:v>
      </x:c>
      <x:c r="Z906" s="10" t="str">
        <x:v>Разрешено по метаданным</x:v>
      </x:c>
      <x:c r="AA906" s="10" t="str">
        <x:v>Метаданные видео; воспроизведение и содержание не проверены</x:v>
      </x:c>
      <x:c r="AB906" s="13" t="n">
        <x:f>IF(AND(ISNUMBER(H906),ISNUMBER(W906)),H906/MAX(1,'Обзор'!$B$4-W906),"")</x:f>
        <x:v>30.52746844840386</x:v>
      </x:c>
      <x:c r="AC906" s="17" t="str">
        <x:v>Не решено</x:v>
      </x:c>
      <x:c r="AD906" s="17" t="str">
        <x:v>Не проверено</x:v>
      </x:c>
      <x:c r="AE906" s="17" t="str">
        <x:v>Не проверено</x:v>
      </x:c>
      <x:c r="AF906" s="17" t="str">
        <x:v>Не проверено</x:v>
      </x:c>
      <x:c r="AG906" s="17" t="str">
        <x:v>Не решено</x:v>
      </x:c>
      <x:c r="AH906" s="17" t="str">
        <x:v>Не проверено</x:v>
      </x:c>
      <x:c r="AI906" s="10" t="str">
        <x:f>IF(AC906="Отклонить","Отклонено",IF(AND(AC906="Взять",COUNTIFS(AD906:AH906,"Да")=5),"Готово","Нужна редактура"))</x:f>
        <x:v>Нужна редактура</x:v>
      </x:c>
      <x:c r="AJ906" s="17" t="str"/>
      <x:c r="AK906" s="9" t="str">
        <x:v>https://www.youtube.com/playlist?list=PLXv9BeKApRvzbGTKMtatvGWnycWCP3Bf5</x:v>
      </x:c>
      <x:c r="AL906" s="9" t="n">
        <x:v>33</x:v>
      </x:c>
      <x:c r="AM906" s="9"/>
      <x:c r="AN906" s="9" t="n">
        <x:v>0</x:v>
      </x:c>
    </x:row>
    <x:row r="907" ht="60" customHeight="1">
      <x:c r="A907" s="9" t="str">
        <x:v>jAybKifO4l8</x:v>
      </x:c>
      <x:c r="B907" s="10" t="str">
        <x:v>חיות כיס | למה נהגי האוטובוס כל כך עצבניים? 🚌</x:v>
      </x:c>
      <x:c r="C907" s="10" t="str">
        <x:v>Деньги и повседневность</x:v>
      </x:c>
      <x:c r="D907" s="9" t="str">
        <x:v>Образование</x:v>
      </x:c>
      <x:c r="E907" s="10" t="str">
        <x:v>Экономика; репатрианты; взрослые</x:v>
      </x:c>
      <x:c r="F907" s="10" t="str">
        <x:v>B1–B2 (гипотеза)</x:v>
      </x:c>
      <x:c r="G907" s="12" t="n">
        <x:v>3</x:v>
      </x:c>
      <x:c r="H907" s="14" t="n">
        <x:v>164857</x:v>
      </x:c>
      <x:c r="I907" s="15" t="str">
        <x:v>Точный счётчик метаданных видео</x:v>
      </x:c>
      <x:c r="J907" s="14" t="n">
        <x:v>164000</x:v>
      </x:c>
      <x:c r="K907" s="14" t="n">
        <x:v>35500</x:v>
      </x:c>
      <x:c r="L907" s="12" t="n">
        <x:f>IF(COUNT(J907:K907)=2,IF(K907=0,"",J907/K907),"")</x:f>
        <x:v>4.619718309859155</x:v>
      </x:c>
      <x:c r="M907" s="10" t="str">
        <x:v>Завершённый короткий просмотр около 3 мин. Просмотры в списке выше медианы выборки этого цикла в 4.62 раза. Экономика через бытовой вопрос полезна зрителю с практической мотивацией.</x:v>
      </x:c>
      <x:c r="N907" s="10" t="str">
        <x:v>Пересказать пример и объяснение; проверить цифры перед публикацией.</x:v>
      </x:c>
      <x:c r="O907" s="10" t="str">
        <x:v>Не выдавать архивный выпуск за актуальную финансовую рекомендацию</x:v>
      </x:c>
      <x:c r="P907" s="10" t="str">
        <x:v>Самостоятельное видео</x:v>
      </x:c>
      <x:c r="Q907" s="9" t="str">
        <x:v>Нет</x:v>
      </x:c>
      <x:c r="R907" s="9" t="str">
        <x:v>C049</x:v>
      </x:c>
      <x:c r="S907" s="9" t="str">
        <x:v>C049</x:v>
      </x:c>
      <x:c r="T907" s="10" t="str">
        <x:v>כאן | דיגיטל - תאגיד השידור הישראלי</x:v>
      </x:c>
      <x:c r="U907" s="11" t="str">
        <x:v>https://www.youtube.com/watch?v=jAybKifO4l8</x:v>
      </x:c>
      <x:c r="V907" s="16" t="n">
        <x:v>46308</x:v>
      </x:c>
      <x:c r="W907" s="16" t="n">
        <x:v>43583</x:v>
      </x:c>
      <x:c r="X907" s="10" t="str">
        <x:v>Иврит предполагается по заголовку и источнику</x:v>
      </x:c>
      <x:c r="Y907" s="10" t="str">
        <x:v>Ручная дорожка HE по метаданным</x:v>
      </x:c>
      <x:c r="Z907" s="10" t="str">
        <x:v>Разрешено по метаданным</x:v>
      </x:c>
      <x:c r="AA907" s="10" t="str">
        <x:v>Метаданные видео; воспроизведение и содержание не проверены</x:v>
      </x:c>
      <x:c r="AB907" s="13" t="n">
        <x:f>IF(AND(ISNUMBER(H907),ISNUMBER(W907)),H907/MAX(1,'Обзор'!$B$4-W907),"")</x:f>
        <x:v>60.49798165137614</x:v>
      </x:c>
      <x:c r="AC907" s="17" t="str">
        <x:v>Не решено</x:v>
      </x:c>
      <x:c r="AD907" s="17" t="str">
        <x:v>Не проверено</x:v>
      </x:c>
      <x:c r="AE907" s="17" t="str">
        <x:v>Не проверено</x:v>
      </x:c>
      <x:c r="AF907" s="17" t="str">
        <x:v>Не проверено</x:v>
      </x:c>
      <x:c r="AG907" s="17" t="str">
        <x:v>Не решено</x:v>
      </x:c>
      <x:c r="AH907" s="17" t="str">
        <x:v>Не проверено</x:v>
      </x:c>
      <x:c r="AI907" s="10" t="str">
        <x:f>IF(AC907="Отклонить","Отклонено",IF(AND(AC907="Взять",COUNTIFS(AD907:AH907,"Да")=5),"Готово","Нужна редактура"))</x:f>
        <x:v>Нужна редактура</x:v>
      </x:c>
      <x:c r="AJ907" s="17" t="str"/>
      <x:c r="AK907" s="9" t="str">
        <x:v>https://www.youtube.com/playlist?list=PLXv9BeKApRvzbGTKMtatvGWnycWCP3Bf5</x:v>
      </x:c>
      <x:c r="AL907" s="9" t="n">
        <x:v>34</x:v>
      </x:c>
      <x:c r="AM907" s="9"/>
      <x:c r="AN907" s="9" t="n">
        <x:v>0</x:v>
      </x:c>
    </x:row>
    <x:row r="908" ht="60" customHeight="1">
      <x:c r="A908" s="9" t="str">
        <x:v>Ec6VYSMuZK0</x:v>
      </x:c>
      <x:c r="B908" s="10" t="str">
        <x:v>איך מקררים ערים? | הכל סביבה</x:v>
      </x:c>
      <x:c r="C908" s="10" t="str">
        <x:v>Экология и природа</x:v>
      </x:c>
      <x:c r="D908" s="9" t="str">
        <x:v>Образование</x:v>
      </x:c>
      <x:c r="E908" s="10" t="str">
        <x:v>Экология; семья; любознательные</x:v>
      </x:c>
      <x:c r="F908" s="10" t="str">
        <x:v>B1–B2 (гипотеза)</x:v>
      </x:c>
      <x:c r="G908" s="12" t="n">
        <x:v>8.7</x:v>
      </x:c>
      <x:c r="H908" s="14" t="n">
        <x:v>111830</x:v>
      </x:c>
      <x:c r="I908" s="15" t="str">
        <x:v>Точный счётчик метаданных видео</x:v>
      </x:c>
      <x:c r="J908" s="14" t="n">
        <x:v>111000</x:v>
      </x:c>
      <x:c r="K908" s="14" t="n">
        <x:v>64000</x:v>
      </x:c>
      <x:c r="L908" s="12" t="n">
        <x:f>IF(COUNT(J908:K908)=2,IF(K908=0,"",J908/K908),"")</x:f>
        <x:v>1.734375</x:v>
      </x:c>
      <x:c r="M908" s="10" t="str">
        <x:v>Завершённый короткий просмотр около 9 мин. Просмотры в списке выше медианы выборки этого цикла в 1.73 раза. Экология вводит темы за пределами истории и политики и даёт визуально понятные объяснения.</x:v>
      </x:c>
      <x:c r="N908" s="10" t="str">
        <x:v>Связки причины и последствия; предложить действие и объяснить его.</x:v>
      </x:c>
      <x:c r="O908" s="10" t="str">
        <x:v>Проверить содержание</x:v>
      </x:c>
      <x:c r="P908" s="10" t="str">
        <x:v>Самостоятельное видео</x:v>
      </x:c>
      <x:c r="Q908" s="9" t="str">
        <x:v>Нет</x:v>
      </x:c>
      <x:c r="R908" s="9" t="str">
        <x:v>C050</x:v>
      </x:c>
      <x:c r="S908" s="9" t="str">
        <x:v>C050</x:v>
      </x:c>
      <x:c r="T908" s="10" t="str">
        <x:v>כאן | דיגיטל - תאגיד השידור הישראלי</x:v>
      </x:c>
      <x:c r="U908" s="11" t="str">
        <x:v>https://www.youtube.com/watch?v=Ec6VYSMuZK0</x:v>
      </x:c>
      <x:c r="V908" s="16" t="n">
        <x:v>46308</x:v>
      </x:c>
      <x:c r="W908" s="16" t="n">
        <x:v>44305</x:v>
      </x:c>
      <x:c r="X908" s="10" t="str">
        <x:v>Иврит предполагается по заголовку и источнику</x:v>
      </x:c>
      <x:c r="Y908" s="10" t="str">
        <x:v>Ручная дорожка HE по метаданным</x:v>
      </x:c>
      <x:c r="Z908" s="10" t="str">
        <x:v>Разрешено по метаданным</x:v>
      </x:c>
      <x:c r="AA908" s="10" t="str">
        <x:v>Метаданные видео; воспроизведение и содержание не проверены</x:v>
      </x:c>
      <x:c r="AB908" s="13" t="n">
        <x:f>IF(AND(ISNUMBER(H908),ISNUMBER(W908)),H908/MAX(1,'Обзор'!$B$4-W908),"")</x:f>
        <x:v>55.83125312031952</x:v>
      </x:c>
      <x:c r="AC908" s="17" t="str">
        <x:v>Не решено</x:v>
      </x:c>
      <x:c r="AD908" s="17" t="str">
        <x:v>Не проверено</x:v>
      </x:c>
      <x:c r="AE908" s="17" t="str">
        <x:v>Не проверено</x:v>
      </x:c>
      <x:c r="AF908" s="17" t="str">
        <x:v>Не проверено</x:v>
      </x:c>
      <x:c r="AG908" s="17" t="str">
        <x:v>Не решено</x:v>
      </x:c>
      <x:c r="AH908" s="17" t="str">
        <x:v>Не проверено</x:v>
      </x:c>
      <x:c r="AI908" s="10" t="str">
        <x:f>IF(AC908="Отклонить","Отклонено",IF(AND(AC908="Взять",COUNTIFS(AD908:AH908,"Да")=5),"Готово","Нужна редактура"))</x:f>
        <x:v>Нужна редактура</x:v>
      </x:c>
      <x:c r="AJ908" s="17" t="str"/>
      <x:c r="AK908" s="9" t="str">
        <x:v>https://www.youtube.com/playlist?list=PLXv9BeKApRvx7iocYLt_Y4O8CVAfM1LlI</x:v>
      </x:c>
      <x:c r="AL908" s="9" t="n">
        <x:v>1</x:v>
      </x:c>
      <x:c r="AM908" s="9"/>
      <x:c r="AN908" s="9" t="n">
        <x:v>0</x:v>
      </x:c>
    </x:row>
    <x:row r="909" ht="60" customHeight="1">
      <x:c r="A909" s="9" t="str">
        <x:v>f_PMlXqWQ7I</x:v>
      </x:c>
      <x:c r="B909" s="10" t="str">
        <x:v>האם פרי האבוקדו מזיק לאיכות הסביבה? | הכל סביבה</x:v>
      </x:c>
      <x:c r="C909" s="10" t="str">
        <x:v>Экология и природа</x:v>
      </x:c>
      <x:c r="D909" s="9" t="str">
        <x:v>Образование</x:v>
      </x:c>
      <x:c r="E909" s="10" t="str">
        <x:v>Экология; семья; любознательные</x:v>
      </x:c>
      <x:c r="F909" s="10" t="str">
        <x:v>B1–B2 (гипотеза)</x:v>
      </x:c>
      <x:c r="G909" s="12" t="n">
        <x:v>6.7</x:v>
      </x:c>
      <x:c r="H909" s="14" t="n">
        <x:v>46000</x:v>
      </x:c>
      <x:c r="I909" s="15" t="str">
        <x:v>Округлённый счётчик в списке YouTube</x:v>
      </x:c>
      <x:c r="J909" s="14" t="n">
        <x:v>46000</x:v>
      </x:c>
      <x:c r="K909" s="14" t="n">
        <x:v>64000</x:v>
      </x:c>
      <x:c r="L909" s="12" t="n">
        <x:f>IF(COUNT(J909:K909)=2,IF(K909=0,"",J909/K909),"")</x:f>
        <x:v>0.71875</x:v>
      </x:c>
      <x:c r="M909" s="10" t="str">
        <x:v>Завершённый короткий просмотр около 7 мин. Экология вводит темы за пределами истории и политики и даёт визуально понятные объяснения.</x:v>
      </x:c>
      <x:c r="N909" s="10" t="str">
        <x:v>Связки причины и последствия; предложить действие и объяснить его.</x:v>
      </x:c>
      <x:c r="O909" s="10" t="str">
        <x:v>Проверить содержание</x:v>
      </x:c>
      <x:c r="P909" s="10" t="str">
        <x:v>Самостоятельное видео</x:v>
      </x:c>
      <x:c r="Q909" s="9" t="str">
        <x:v>Нет</x:v>
      </x:c>
      <x:c r="R909" s="9" t="str">
        <x:v>C050</x:v>
      </x:c>
      <x:c r="S909" s="9" t="str">
        <x:v>C050</x:v>
      </x:c>
      <x:c r="T909" s="10" t="str">
        <x:v>כאן | דיגיטל - תאגיד השידור הישראלי</x:v>
      </x:c>
      <x:c r="U909" s="11" t="str">
        <x:v>https://www.youtube.com/watch?v=f_PMlXqWQ7I</x:v>
      </x:c>
      <x:c r="V909" s="16" t="n">
        <x:v>46308</x:v>
      </x:c>
      <x:c r="W909" s="16"/>
      <x:c r="X909" s="10" t="str">
        <x:v>Иврит предполагается по заголовку и источнику</x:v>
      </x:c>
      <x:c r="Y909" s="10" t="str">
        <x:v>Не проверено</x:v>
      </x:c>
      <x:c r="Z909" s="10" t="str">
        <x:v>Не проверено</x:v>
      </x:c>
      <x:c r="AA909" s="10" t="str">
        <x:v>Метаданные списка; видео не просмотрено</x:v>
      </x:c>
      <x:c r="AB909" s="13" t="str">
        <x:f>IF(AND(ISNUMBER(H909),ISNUMBER(W909)),H909/MAX(1,'Обзор'!$B$4-W909),"")</x:f>
      </x:c>
      <x:c r="AC909" s="17" t="str">
        <x:v>Не решено</x:v>
      </x:c>
      <x:c r="AD909" s="17" t="str">
        <x:v>Не проверено</x:v>
      </x:c>
      <x:c r="AE909" s="17" t="str">
        <x:v>Не проверено</x:v>
      </x:c>
      <x:c r="AF909" s="17" t="str">
        <x:v>Не проверено</x:v>
      </x:c>
      <x:c r="AG909" s="17" t="str">
        <x:v>Не решено</x:v>
      </x:c>
      <x:c r="AH909" s="17" t="str">
        <x:v>Не проверено</x:v>
      </x:c>
      <x:c r="AI909" s="10" t="str">
        <x:f>IF(AC909="Отклонить","Отклонено",IF(AND(AC909="Взять",COUNTIFS(AD909:AH909,"Да")=5),"Готово","Нужна редактура"))</x:f>
        <x:v>Нужна редактура</x:v>
      </x:c>
      <x:c r="AJ909" s="17" t="str"/>
      <x:c r="AK909" s="9" t="str">
        <x:v>https://www.youtube.com/playlist?list=PLXv9BeKApRvx7iocYLt_Y4O8CVAfM1LlI</x:v>
      </x:c>
      <x:c r="AL909" s="9" t="n">
        <x:v>2</x:v>
      </x:c>
      <x:c r="AM909" s="9"/>
      <x:c r="AN909" s="9"/>
    </x:row>
    <x:row r="910" ht="60" customHeight="1">
      <x:c r="A910" s="9" t="str">
        <x:v>k1_QczW6cdA</x:v>
      </x:c>
      <x:c r="B910" s="10" t="str">
        <x:v>הקורונה תעזור להתמודד עם משבר האקלים? 🌎 | הכל סביבה</x:v>
      </x:c>
      <x:c r="C910" s="10" t="str">
        <x:v>Экология и природа</x:v>
      </x:c>
      <x:c r="D910" s="9" t="str">
        <x:v>Образование</x:v>
      </x:c>
      <x:c r="E910" s="10" t="str">
        <x:v>Экология; семья; любознательные</x:v>
      </x:c>
      <x:c r="F910" s="10" t="str">
        <x:v>B1–B2 (гипотеза)</x:v>
      </x:c>
      <x:c r="G910" s="12" t="n">
        <x:v>6.9</x:v>
      </x:c>
      <x:c r="H910" s="14" t="n">
        <x:v>36000</x:v>
      </x:c>
      <x:c r="I910" s="15" t="str">
        <x:v>Округлённый счётчик в списке YouTube</x:v>
      </x:c>
      <x:c r="J910" s="14" t="n">
        <x:v>36000</x:v>
      </x:c>
      <x:c r="K910" s="14" t="n">
        <x:v>64000</x:v>
      </x:c>
      <x:c r="L910" s="12" t="n">
        <x:f>IF(COUNT(J910:K910)=2,IF(K910=0,"",J910/K910),"")</x:f>
        <x:v>0.5625</x:v>
      </x:c>
      <x:c r="M910" s="10" t="str">
        <x:v>Завершённый короткий просмотр около 7 мин. Экология вводит темы за пределами истории и политики и даёт визуально понятные объяснения.</x:v>
      </x:c>
      <x:c r="N910" s="10" t="str">
        <x:v>Связки причины и последствия; предложить действие и объяснить его.</x:v>
      </x:c>
      <x:c r="O910" s="10" t="str">
        <x:v>Проверить содержание</x:v>
      </x:c>
      <x:c r="P910" s="10" t="str">
        <x:v>Самостоятельное видео</x:v>
      </x:c>
      <x:c r="Q910" s="9" t="str">
        <x:v>Нет</x:v>
      </x:c>
      <x:c r="R910" s="9" t="str">
        <x:v>C050</x:v>
      </x:c>
      <x:c r="S910" s="9" t="str">
        <x:v>C050</x:v>
      </x:c>
      <x:c r="T910" s="10" t="str">
        <x:v>כאן | דיגיטל - תאגיד השידור הישראלי</x:v>
      </x:c>
      <x:c r="U910" s="11" t="str">
        <x:v>https://www.youtube.com/watch?v=k1_QczW6cdA</x:v>
      </x:c>
      <x:c r="V910" s="16" t="n">
        <x:v>46308</x:v>
      </x:c>
      <x:c r="W910" s="16"/>
      <x:c r="X910" s="10" t="str">
        <x:v>Иврит предполагается по заголовку и источнику</x:v>
      </x:c>
      <x:c r="Y910" s="10" t="str">
        <x:v>Не проверено</x:v>
      </x:c>
      <x:c r="Z910" s="10" t="str">
        <x:v>Не проверено</x:v>
      </x:c>
      <x:c r="AA910" s="10" t="str">
        <x:v>Метаданные списка; видео не просмотрено</x:v>
      </x:c>
      <x:c r="AB910" s="13" t="str">
        <x:f>IF(AND(ISNUMBER(H910),ISNUMBER(W910)),H910/MAX(1,'Обзор'!$B$4-W910),"")</x:f>
      </x:c>
      <x:c r="AC910" s="17" t="str">
        <x:v>Не решено</x:v>
      </x:c>
      <x:c r="AD910" s="17" t="str">
        <x:v>Не проверено</x:v>
      </x:c>
      <x:c r="AE910" s="17" t="str">
        <x:v>Не проверено</x:v>
      </x:c>
      <x:c r="AF910" s="17" t="str">
        <x:v>Не проверено</x:v>
      </x:c>
      <x:c r="AG910" s="17" t="str">
        <x:v>Не решено</x:v>
      </x:c>
      <x:c r="AH910" s="17" t="str">
        <x:v>Не проверено</x:v>
      </x:c>
      <x:c r="AI910" s="10" t="str">
        <x:f>IF(AC910="Отклонить","Отклонено",IF(AND(AC910="Взять",COUNTIFS(AD910:AH910,"Да")=5),"Готово","Нужна редактура"))</x:f>
        <x:v>Нужна редактура</x:v>
      </x:c>
      <x:c r="AJ910" s="17" t="str"/>
      <x:c r="AK910" s="9" t="str">
        <x:v>https://www.youtube.com/playlist?list=PLXv9BeKApRvx7iocYLt_Y4O8CVAfM1LlI</x:v>
      </x:c>
      <x:c r="AL910" s="9" t="n">
        <x:v>3</x:v>
      </x:c>
      <x:c r="AM910" s="9"/>
      <x:c r="AN910" s="9"/>
    </x:row>
    <x:row r="911" ht="60" customHeight="1">
      <x:c r="A911" s="9" t="str">
        <x:v>b0Y5lrEJOBA</x:v>
      </x:c>
      <x:c r="B911" s="10" t="str">
        <x:v>המחיר הסביבתי של ''אופנה מהירה'' 👚 | הכל סביבה</x:v>
      </x:c>
      <x:c r="C911" s="10" t="str">
        <x:v>Экология и природа</x:v>
      </x:c>
      <x:c r="D911" s="9" t="str">
        <x:v>Образование</x:v>
      </x:c>
      <x:c r="E911" s="10" t="str">
        <x:v>Экология; семья; любознательные</x:v>
      </x:c>
      <x:c r="F911" s="10" t="str">
        <x:v>B1–B2 (гипотеза)</x:v>
      </x:c>
      <x:c r="G911" s="12" t="n">
        <x:v>8.2</x:v>
      </x:c>
      <x:c r="H911" s="14" t="n">
        <x:v>64290</x:v>
      </x:c>
      <x:c r="I911" s="15" t="str">
        <x:v>Точный счётчик метаданных видео</x:v>
      </x:c>
      <x:c r="J911" s="14" t="n">
        <x:v>64000</x:v>
      </x:c>
      <x:c r="K911" s="14" t="n">
        <x:v>64000</x:v>
      </x:c>
      <x:c r="L911" s="12" t="n">
        <x:f>IF(COUNT(J911:K911)=2,IF(K911=0,"",J911/K911),"")</x:f>
        <x:v>1</x:v>
      </x:c>
      <x:c r="M911" s="10" t="str">
        <x:v>Завершённый короткий просмотр около 8 мин. Экология вводит темы за пределами истории и политики и даёт визуально понятные объяснения.</x:v>
      </x:c>
      <x:c r="N911" s="10" t="str">
        <x:v>Связки причины и последствия; предложить действие и объяснить его.</x:v>
      </x:c>
      <x:c r="O911" s="10" t="str">
        <x:v>Проверить содержание</x:v>
      </x:c>
      <x:c r="P911" s="10" t="str">
        <x:v>Самостоятельное видео</x:v>
      </x:c>
      <x:c r="Q911" s="9" t="str">
        <x:v>Нет</x:v>
      </x:c>
      <x:c r="R911" s="9" t="str">
        <x:v>C050</x:v>
      </x:c>
      <x:c r="S911" s="9" t="str">
        <x:v>C050</x:v>
      </x:c>
      <x:c r="T911" s="10" t="str">
        <x:v>כאן | דיגיטל - תאגיד השידור הישראלי</x:v>
      </x:c>
      <x:c r="U911" s="11" t="str">
        <x:v>https://www.youtube.com/watch?v=b0Y5lrEJOBA</x:v>
      </x:c>
      <x:c r="V911" s="16" t="n">
        <x:v>46308</x:v>
      </x:c>
      <x:c r="W911" s="16" t="n">
        <x:v>43907</x:v>
      </x:c>
      <x:c r="X911" s="10" t="str">
        <x:v>Иврит предполагается по заголовку и источнику</x:v>
      </x:c>
      <x:c r="Y911" s="10" t="str">
        <x:v>Ручная дорожка HE по метаданным</x:v>
      </x:c>
      <x:c r="Z911" s="10" t="str">
        <x:v>Разрешено по метаданным</x:v>
      </x:c>
      <x:c r="AA911" s="10" t="str">
        <x:v>Метаданные видео; воспроизведение и содержание не проверены</x:v>
      </x:c>
      <x:c r="AB911" s="13" t="n">
        <x:f>IF(AND(ISNUMBER(H911),ISNUMBER(W911)),H911/MAX(1,'Обзор'!$B$4-W911),"")</x:f>
        <x:v>26.77634319033736</x:v>
      </x:c>
      <x:c r="AC911" s="17" t="str">
        <x:v>Не решено</x:v>
      </x:c>
      <x:c r="AD911" s="17" t="str">
        <x:v>Не проверено</x:v>
      </x:c>
      <x:c r="AE911" s="17" t="str">
        <x:v>Не проверено</x:v>
      </x:c>
      <x:c r="AF911" s="17" t="str">
        <x:v>Не проверено</x:v>
      </x:c>
      <x:c r="AG911" s="17" t="str">
        <x:v>Не решено</x:v>
      </x:c>
      <x:c r="AH911" s="17" t="str">
        <x:v>Не проверено</x:v>
      </x:c>
      <x:c r="AI911" s="10" t="str">
        <x:f>IF(AC911="Отклонить","Отклонено",IF(AND(AC911="Взять",COUNTIFS(AD911:AH911,"Да")=5),"Готово","Нужна редактура"))</x:f>
        <x:v>Нужна редактура</x:v>
      </x:c>
      <x:c r="AJ911" s="17" t="str"/>
      <x:c r="AK911" s="9" t="str">
        <x:v>https://www.youtube.com/playlist?list=PLXv9BeKApRvx7iocYLt_Y4O8CVAfM1LlI</x:v>
      </x:c>
      <x:c r="AL911" s="9" t="n">
        <x:v>4</x:v>
      </x:c>
      <x:c r="AM911" s="9"/>
      <x:c r="AN911" s="9" t="n">
        <x:v>0</x:v>
      </x:c>
    </x:row>
    <x:row r="912" ht="60" customHeight="1">
      <x:c r="A912" s="9" t="str">
        <x:v>uTJ5TN8eWBw</x:v>
      </x:c>
      <x:c r="B912" s="10" t="str">
        <x:v>האם פלסטיק מתכלה אכן מתכלה? | הכל סביבה</x:v>
      </x:c>
      <x:c r="C912" s="10" t="str">
        <x:v>Экология и природа</x:v>
      </x:c>
      <x:c r="D912" s="9" t="str">
        <x:v>Образование</x:v>
      </x:c>
      <x:c r="E912" s="10" t="str">
        <x:v>Экология; семья; любознательные</x:v>
      </x:c>
      <x:c r="F912" s="10" t="str">
        <x:v>B1–B2 (гипотеза)</x:v>
      </x:c>
      <x:c r="G912" s="12" t="n">
        <x:v>7.6</x:v>
      </x:c>
      <x:c r="H912" s="14" t="n">
        <x:v>79146</x:v>
      </x:c>
      <x:c r="I912" s="15" t="str">
        <x:v>Точный счётчик метаданных видео</x:v>
      </x:c>
      <x:c r="J912" s="14" t="n">
        <x:v>79000</x:v>
      </x:c>
      <x:c r="K912" s="14" t="n">
        <x:v>64000</x:v>
      </x:c>
      <x:c r="L912" s="12" t="n">
        <x:f>IF(COUNT(J912:K912)=2,IF(K912=0,"",J912/K912),"")</x:f>
        <x:v>1.234375</x:v>
      </x:c>
      <x:c r="M912" s="10" t="str">
        <x:v>Завершённый короткий просмотр около 8 мин. Экология вводит темы за пределами истории и политики и даёт визуально понятные объяснения.</x:v>
      </x:c>
      <x:c r="N912" s="10" t="str">
        <x:v>Связки причины и последствия; предложить действие и объяснить его.</x:v>
      </x:c>
      <x:c r="O912" s="10" t="str">
        <x:v>Проверить содержание</x:v>
      </x:c>
      <x:c r="P912" s="10" t="str">
        <x:v>Самостоятельное видео</x:v>
      </x:c>
      <x:c r="Q912" s="9" t="str">
        <x:v>Нет</x:v>
      </x:c>
      <x:c r="R912" s="9" t="str">
        <x:v>C050</x:v>
      </x:c>
      <x:c r="S912" s="9" t="str">
        <x:v>C050</x:v>
      </x:c>
      <x:c r="T912" s="10" t="str">
        <x:v>כאן | דיגיטל - תאגיד השידור הישראלי</x:v>
      </x:c>
      <x:c r="U912" s="11" t="str">
        <x:v>https://www.youtube.com/watch?v=uTJ5TN8eWBw</x:v>
      </x:c>
      <x:c r="V912" s="16" t="n">
        <x:v>46308</x:v>
      </x:c>
      <x:c r="W912" s="16" t="n">
        <x:v>43881</x:v>
      </x:c>
      <x:c r="X912" s="10" t="str">
        <x:v>Иврит предполагается по заголовку и источнику</x:v>
      </x:c>
      <x:c r="Y912" s="10" t="str">
        <x:v>Ручная дорожка HE по метаданным</x:v>
      </x:c>
      <x:c r="Z912" s="10" t="str">
        <x:v>Разрешено по метаданным</x:v>
      </x:c>
      <x:c r="AA912" s="10" t="str">
        <x:v>Метаданные видео; воспроизведение и содержание не проверены</x:v>
      </x:c>
      <x:c r="AB912" s="13" t="n">
        <x:f>IF(AND(ISNUMBER(H912),ISNUMBER(W912)),H912/MAX(1,'Обзор'!$B$4-W912),"")</x:f>
        <x:v>32.610630407911</x:v>
      </x:c>
      <x:c r="AC912" s="17" t="str">
        <x:v>Не решено</x:v>
      </x:c>
      <x:c r="AD912" s="17" t="str">
        <x:v>Не проверено</x:v>
      </x:c>
      <x:c r="AE912" s="17" t="str">
        <x:v>Не проверено</x:v>
      </x:c>
      <x:c r="AF912" s="17" t="str">
        <x:v>Не проверено</x:v>
      </x:c>
      <x:c r="AG912" s="17" t="str">
        <x:v>Не решено</x:v>
      </x:c>
      <x:c r="AH912" s="17" t="str">
        <x:v>Не проверено</x:v>
      </x:c>
      <x:c r="AI912" s="10" t="str">
        <x:f>IF(AC912="Отклонить","Отклонено",IF(AND(AC912="Взять",COUNTIFS(AD912:AH912,"Да")=5),"Готово","Нужна редактура"))</x:f>
        <x:v>Нужна редактура</x:v>
      </x:c>
      <x:c r="AJ912" s="17" t="str"/>
      <x:c r="AK912" s="9" t="str">
        <x:v>https://www.youtube.com/playlist?list=PLXv9BeKApRvx7iocYLt_Y4O8CVAfM1LlI</x:v>
      </x:c>
      <x:c r="AL912" s="9" t="n">
        <x:v>5</x:v>
      </x:c>
      <x:c r="AM912" s="9"/>
      <x:c r="AN912" s="9" t="n">
        <x:v>0</x:v>
      </x:c>
    </x:row>
    <x:row r="913" ht="60" customHeight="1">
      <x:c r="A913" s="9" t="str">
        <x:v>T7QhPlZGkFU</x:v>
      </x:c>
      <x:c r="B913" s="10" t="str">
        <x:v>האם החרם על קשיות הפלסטיק יציל את כדור הארץ? 🥤 | הכל סביבה</x:v>
      </x:c>
      <x:c r="C913" s="10" t="str">
        <x:v>Экология и природа</x:v>
      </x:c>
      <x:c r="D913" s="9" t="str">
        <x:v>Образование</x:v>
      </x:c>
      <x:c r="E913" s="10" t="str">
        <x:v>Экология; семья; любознательные</x:v>
      </x:c>
      <x:c r="F913" s="10" t="str">
        <x:v>B1–B2 (гипотеза)</x:v>
      </x:c>
      <x:c r="G913" s="12" t="n">
        <x:v>5.3</x:v>
      </x:c>
      <x:c r="H913" s="14" t="n">
        <x:v>64418</x:v>
      </x:c>
      <x:c r="I913" s="15" t="str">
        <x:v>Точный счётчик метаданных видео</x:v>
      </x:c>
      <x:c r="J913" s="14" t="n">
        <x:v>64000</x:v>
      </x:c>
      <x:c r="K913" s="14" t="n">
        <x:v>64000</x:v>
      </x:c>
      <x:c r="L913" s="12" t="n">
        <x:f>IF(COUNT(J913:K913)=2,IF(K913=0,"",J913/K913),"")</x:f>
        <x:v>1</x:v>
      </x:c>
      <x:c r="M913" s="10" t="str">
        <x:v>Завершённый короткий просмотр около 5 мин. Экология вводит темы за пределами истории и политики и даёт визуально понятные объяснения.</x:v>
      </x:c>
      <x:c r="N913" s="10" t="str">
        <x:v>Связки причины и последствия; предложить действие и объяснить его.</x:v>
      </x:c>
      <x:c r="O913" s="10" t="str">
        <x:v>Проверить содержание</x:v>
      </x:c>
      <x:c r="P913" s="10" t="str">
        <x:v>Самостоятельное видео</x:v>
      </x:c>
      <x:c r="Q913" s="9" t="str">
        <x:v>Нет</x:v>
      </x:c>
      <x:c r="R913" s="9" t="str">
        <x:v>C050</x:v>
      </x:c>
      <x:c r="S913" s="9" t="str">
        <x:v>C050</x:v>
      </x:c>
      <x:c r="T913" s="10" t="str">
        <x:v>כאן | דיגיטל - תאגיד השידור הישראלי</x:v>
      </x:c>
      <x:c r="U913" s="11" t="str">
        <x:v>https://www.youtube.com/watch?v=T7QhPlZGkFU</x:v>
      </x:c>
      <x:c r="V913" s="16" t="n">
        <x:v>46308</x:v>
      </x:c>
      <x:c r="W913" s="16" t="n">
        <x:v>43818</x:v>
      </x:c>
      <x:c r="X913" s="10" t="str">
        <x:v>Иврит предполагается по заголовку и источнику</x:v>
      </x:c>
      <x:c r="Y913" s="10" t="str">
        <x:v>Ручная дорожка HE по метаданным</x:v>
      </x:c>
      <x:c r="Z913" s="10" t="str">
        <x:v>Разрешено по метаданным</x:v>
      </x:c>
      <x:c r="AA913" s="10" t="str">
        <x:v>Метаданные видео; воспроизведение и содержание не проверены</x:v>
      </x:c>
      <x:c r="AB913" s="13" t="n">
        <x:f>IF(AND(ISNUMBER(H913),ISNUMBER(W913)),H913/MAX(1,'Обзор'!$B$4-W913),"")</x:f>
        <x:v>25.870682730923694</x:v>
      </x:c>
      <x:c r="AC913" s="17" t="str">
        <x:v>Не решено</x:v>
      </x:c>
      <x:c r="AD913" s="17" t="str">
        <x:v>Не проверено</x:v>
      </x:c>
      <x:c r="AE913" s="17" t="str">
        <x:v>Не проверено</x:v>
      </x:c>
      <x:c r="AF913" s="17" t="str">
        <x:v>Не проверено</x:v>
      </x:c>
      <x:c r="AG913" s="17" t="str">
        <x:v>Не решено</x:v>
      </x:c>
      <x:c r="AH913" s="17" t="str">
        <x:v>Не проверено</x:v>
      </x:c>
      <x:c r="AI913" s="10" t="str">
        <x:f>IF(AC913="Отклонить","Отклонено",IF(AND(AC913="Взять",COUNTIFS(AD913:AH913,"Да")=5),"Готово","Нужна редактура"))</x:f>
        <x:v>Нужна редактура</x:v>
      </x:c>
      <x:c r="AJ913" s="17" t="str"/>
      <x:c r="AK913" s="9" t="str">
        <x:v>https://www.youtube.com/playlist?list=PLXv9BeKApRvx7iocYLt_Y4O8CVAfM1LlI</x:v>
      </x:c>
      <x:c r="AL913" s="9" t="n">
        <x:v>6</x:v>
      </x:c>
      <x:c r="AM913" s="9"/>
      <x:c r="AN913" s="9" t="n">
        <x:v>0</x:v>
      </x:c>
    </x:row>
    <x:row r="914" ht="60" customHeight="1">
      <x:c r="A914" s="9" t="str">
        <x:v>LSFcfppjsus</x:v>
      </x:c>
      <x:c r="B914" s="10" t="str">
        <x:v>"לפעמים אני ישן בצהריים": טפיי הגיע מיפן כדי לעבוד בהייטק הישראלי | דוקותיים tech</x:v>
      </x:c>
      <x:c r="C914" s="10" t="str">
        <x:v>Технологии и люди</x:v>
      </x:c>
      <x:c r="D914" s="9" t="str">
        <x:v>Быт</x:v>
      </x:c>
      <x:c r="E914" s="10" t="str">
        <x:v>Технологии; карьера; общество</x:v>
      </x:c>
      <x:c r="F914" s="10" t="str">
        <x:v>B1–B2 (гипотеза)</x:v>
      </x:c>
      <x:c r="G914" s="12" t="n">
        <x:v>5.9</x:v>
      </x:c>
      <x:c r="H914" s="14" t="n">
        <x:v>105895</x:v>
      </x:c>
      <x:c r="I914" s="15" t="str">
        <x:v>Точный счётчик метаданных видео</x:v>
      </x:c>
      <x:c r="J914" s="14" t="n">
        <x:v>105000</x:v>
      </x:c>
      <x:c r="K914" s="14" t="n">
        <x:v>51000</x:v>
      </x:c>
      <x:c r="L914" s="12" t="n">
        <x:f>IF(COUNT(J914:K914)=2,IF(K914=0,"",J914/K914),"")</x:f>
        <x:v>2.0588235294117645</x:v>
      </x:c>
      <x:c r="M914" s="10" t="str">
        <x:v>Завершённый короткий просмотр около 6 мин. Просмотры в списке выше медианы выборки этого цикла в 2.06 раза. Человеческая история в технологической среде соединяет профессиональный интерес и короткий формат.</x:v>
      </x:c>
      <x:c r="N914" s="10" t="str">
        <x:v>Объяснить профессию человеку вне отрасли.</x:v>
      </x:c>
      <x:c r="O914" s="10" t="str">
        <x:v>Проверить содержание</x:v>
      </x:c>
      <x:c r="P914" s="10" t="str">
        <x:v>Самостоятельное видео</x:v>
      </x:c>
      <x:c r="Q914" s="9" t="str">
        <x:v>Нет</x:v>
      </x:c>
      <x:c r="R914" s="9" t="str">
        <x:v>C051</x:v>
      </x:c>
      <x:c r="S914" s="9" t="str">
        <x:v>C051</x:v>
      </x:c>
      <x:c r="T914" s="10" t="str">
        <x:v>כאן | דיגיטל - תאגיד השידור הישראלי</x:v>
      </x:c>
      <x:c r="U914" s="11" t="str">
        <x:v>https://www.youtube.com/watch?v=LSFcfppjsus</x:v>
      </x:c>
      <x:c r="V914" s="16" t="n">
        <x:v>46308</x:v>
      </x:c>
      <x:c r="W914" s="16" t="n">
        <x:v>44614</x:v>
      </x:c>
      <x:c r="X914" s="10" t="str">
        <x:v>Иврит предполагается по заголовку и источнику</x:v>
      </x:c>
      <x:c r="Y914" s="10" t="str">
        <x:v>Ручная дорожка HE по метаданным</x:v>
      </x:c>
      <x:c r="Z914" s="10" t="str">
        <x:v>Разрешено по метаданным</x:v>
      </x:c>
      <x:c r="AA914" s="10" t="str">
        <x:v>Метаданные видео; воспроизведение и содержание не проверены</x:v>
      </x:c>
      <x:c r="AB914" s="13" t="n">
        <x:f>IF(AND(ISNUMBER(H914),ISNUMBER(W914)),H914/MAX(1,'Обзор'!$B$4-W914),"")</x:f>
        <x:v>62.51180637544274</x:v>
      </x:c>
      <x:c r="AC914" s="17" t="str">
        <x:v>Не решено</x:v>
      </x:c>
      <x:c r="AD914" s="17" t="str">
        <x:v>Не проверено</x:v>
      </x:c>
      <x:c r="AE914" s="17" t="str">
        <x:v>Не проверено</x:v>
      </x:c>
      <x:c r="AF914" s="17" t="str">
        <x:v>Не проверено</x:v>
      </x:c>
      <x:c r="AG914" s="17" t="str">
        <x:v>Не решено</x:v>
      </x:c>
      <x:c r="AH914" s="17" t="str">
        <x:v>Не проверено</x:v>
      </x:c>
      <x:c r="AI914" s="10" t="str">
        <x:f>IF(AC914="Отклонить","Отклонено",IF(AND(AC914="Взять",COUNTIFS(AD914:AH914,"Да")=5),"Готово","Нужна редактура"))</x:f>
        <x:v>Нужна редактура</x:v>
      </x:c>
      <x:c r="AJ914" s="17" t="str"/>
      <x:c r="AK914" s="9" t="str">
        <x:v>https://www.youtube.com/playlist?list=PLXv9BeKApRvyja2oEAjEB3GzBIJjyvQIj</x:v>
      </x:c>
      <x:c r="AL914" s="9" t="n">
        <x:v>1</x:v>
      </x:c>
      <x:c r="AM914" s="9"/>
      <x:c r="AN914" s="9" t="n">
        <x:v>0</x:v>
      </x:c>
    </x:row>
    <x:row r="915" ht="60" customHeight="1">
      <x:c r="A915" s="9" t="str">
        <x:v>XtNYQcaGsJg</x:v>
      </x:c>
      <x:c r="B915" s="10" t="str">
        <x:v>"בני ברק יכולה להיות הסיליקון שטייטל": חרדים עושים הייטק | דוקותיים tech</x:v>
      </x:c>
      <x:c r="C915" s="10" t="str">
        <x:v>Технологии и люди</x:v>
      </x:c>
      <x:c r="D915" s="9" t="str">
        <x:v>Быт</x:v>
      </x:c>
      <x:c r="E915" s="10" t="str">
        <x:v>Технологии; карьера; общество</x:v>
      </x:c>
      <x:c r="F915" s="10" t="str">
        <x:v>B1–B2 (гипотеза)</x:v>
      </x:c>
      <x:c r="G915" s="12" t="n">
        <x:v>6.5</x:v>
      </x:c>
      <x:c r="H915" s="14" t="n">
        <x:v>47026</x:v>
      </x:c>
      <x:c r="I915" s="15" t="str">
        <x:v>Точный счётчик метаданных видео</x:v>
      </x:c>
      <x:c r="J915" s="14" t="n">
        <x:v>47000</x:v>
      </x:c>
      <x:c r="K915" s="14" t="n">
        <x:v>51000</x:v>
      </x:c>
      <x:c r="L915" s="12" t="n">
        <x:f>IF(COUNT(J915:K915)=2,IF(K915=0,"",J915/K915),"")</x:f>
        <x:v>0.9215686274509803</x:v>
      </x:c>
      <x:c r="M915" s="10" t="str">
        <x:v>Завершённый короткий просмотр около 7 мин. Человеческая история в технологической среде соединяет профессиональный интерес и короткий формат.</x:v>
      </x:c>
      <x:c r="N915" s="10" t="str">
        <x:v>Объяснить профессию человеку вне отрасли.</x:v>
      </x:c>
      <x:c r="O915" s="10" t="str">
        <x:v>Проверить содержание</x:v>
      </x:c>
      <x:c r="P915" s="10" t="str">
        <x:v>Самостоятельное видео</x:v>
      </x:c>
      <x:c r="Q915" s="9" t="str">
        <x:v>Нет</x:v>
      </x:c>
      <x:c r="R915" s="9" t="str">
        <x:v>C051</x:v>
      </x:c>
      <x:c r="S915" s="9" t="str">
        <x:v>C051</x:v>
      </x:c>
      <x:c r="T915" s="10" t="str">
        <x:v>כאן | דיגיטל - תאגיד השידור הישראלי</x:v>
      </x:c>
      <x:c r="U915" s="11" t="str">
        <x:v>https://www.youtube.com/watch?v=XtNYQcaGsJg</x:v>
      </x:c>
      <x:c r="V915" s="16" t="n">
        <x:v>46308</x:v>
      </x:c>
      <x:c r="W915" s="16" t="n">
        <x:v>44474</x:v>
      </x:c>
      <x:c r="X915" s="10" t="str">
        <x:v>Иврит предполагается по заголовку и источнику</x:v>
      </x:c>
      <x:c r="Y915" s="10" t="str">
        <x:v>Ручная дорожка HE по метаданным</x:v>
      </x:c>
      <x:c r="Z915" s="10" t="str">
        <x:v>Разрешено по метаданным</x:v>
      </x:c>
      <x:c r="AA915" s="10" t="str">
        <x:v>Метаданные видео; воспроизведение и содержание не проверены</x:v>
      </x:c>
      <x:c r="AB915" s="13" t="n">
        <x:f>IF(AND(ISNUMBER(H915),ISNUMBER(W915)),H915/MAX(1,'Обзор'!$B$4-W915),"")</x:f>
        <x:v>25.641221374045802</x:v>
      </x:c>
      <x:c r="AC915" s="17" t="str">
        <x:v>Не решено</x:v>
      </x:c>
      <x:c r="AD915" s="17" t="str">
        <x:v>Не проверено</x:v>
      </x:c>
      <x:c r="AE915" s="17" t="str">
        <x:v>Не проверено</x:v>
      </x:c>
      <x:c r="AF915" s="17" t="str">
        <x:v>Не проверено</x:v>
      </x:c>
      <x:c r="AG915" s="17" t="str">
        <x:v>Не решено</x:v>
      </x:c>
      <x:c r="AH915" s="17" t="str">
        <x:v>Не проверено</x:v>
      </x:c>
      <x:c r="AI915" s="10" t="str">
        <x:f>IF(AC915="Отклонить","Отклонено",IF(AND(AC915="Взять",COUNTIFS(AD915:AH915,"Да")=5),"Готово","Нужна редактура"))</x:f>
        <x:v>Нужна редактура</x:v>
      </x:c>
      <x:c r="AJ915" s="17" t="str"/>
      <x:c r="AK915" s="9" t="str">
        <x:v>https://www.youtube.com/playlist?list=PLXv9BeKApRvyja2oEAjEB3GzBIJjyvQIj</x:v>
      </x:c>
      <x:c r="AL915" s="9" t="n">
        <x:v>2</x:v>
      </x:c>
      <x:c r="AM915" s="9"/>
      <x:c r="AN915" s="9" t="n">
        <x:v>0</x:v>
      </x:c>
    </x:row>
    <x:row r="916" ht="60" customHeight="1">
      <x:c r="A916" s="9" t="str">
        <x:v>AO6qR3ONK-I</x:v>
      </x:c>
      <x:c r="B916" s="10" t="str">
        <x:v>להתמנות לסגן נשיא אינטל העולמית | דוקותיים tech</x:v>
      </x:c>
      <x:c r="C916" s="10" t="str">
        <x:v>Технологии и люди</x:v>
      </x:c>
      <x:c r="D916" s="9" t="str">
        <x:v>Быт</x:v>
      </x:c>
      <x:c r="E916" s="10" t="str">
        <x:v>Технологии; карьера; общество</x:v>
      </x:c>
      <x:c r="F916" s="10" t="str">
        <x:v>B1–B2 (гипотеза)</x:v>
      </x:c>
      <x:c r="G916" s="12" t="n">
        <x:v>5.7</x:v>
      </x:c>
      <x:c r="H916" s="14" t="n">
        <x:v>51566</x:v>
      </x:c>
      <x:c r="I916" s="15" t="str">
        <x:v>Точный счётчик метаданных видео</x:v>
      </x:c>
      <x:c r="J916" s="14" t="n">
        <x:v>51000</x:v>
      </x:c>
      <x:c r="K916" s="14" t="n">
        <x:v>51000</x:v>
      </x:c>
      <x:c r="L916" s="12" t="n">
        <x:f>IF(COUNT(J916:K916)=2,IF(K916=0,"",J916/K916),"")</x:f>
        <x:v>1</x:v>
      </x:c>
      <x:c r="M916" s="10" t="str">
        <x:v>Завершённый короткий просмотр около 6 мин. Человеческая история в технологической среде соединяет профессиональный интерес и короткий формат.</x:v>
      </x:c>
      <x:c r="N916" s="10" t="str">
        <x:v>Объяснить профессию человеку вне отрасли.</x:v>
      </x:c>
      <x:c r="O916" s="10" t="str">
        <x:v>Проверить содержание</x:v>
      </x:c>
      <x:c r="P916" s="10" t="str">
        <x:v>Самостоятельное видео</x:v>
      </x:c>
      <x:c r="Q916" s="9" t="str">
        <x:v>Нет</x:v>
      </x:c>
      <x:c r="R916" s="9" t="str">
        <x:v>C051</x:v>
      </x:c>
      <x:c r="S916" s="9" t="str">
        <x:v>C051</x:v>
      </x:c>
      <x:c r="T916" s="10" t="str">
        <x:v>כאן | דיגיטל - תאגיד השידור הישראלי</x:v>
      </x:c>
      <x:c r="U916" s="11" t="str">
        <x:v>https://www.youtube.com/watch?v=AO6qR3ONK-I</x:v>
      </x:c>
      <x:c r="V916" s="16" t="n">
        <x:v>46308</x:v>
      </x:c>
      <x:c r="W916" s="16" t="n">
        <x:v>44253</x:v>
      </x:c>
      <x:c r="X916" s="10" t="str">
        <x:v>Иврит предполагается по заголовку и источнику</x:v>
      </x:c>
      <x:c r="Y916" s="10" t="str">
        <x:v>Ручная дорожка HE по метаданным</x:v>
      </x:c>
      <x:c r="Z916" s="10" t="str">
        <x:v>Разрешено по метаданным</x:v>
      </x:c>
      <x:c r="AA916" s="10" t="str">
        <x:v>Метаданные видео; воспроизведение и содержание не проверены</x:v>
      </x:c>
      <x:c r="AB916" s="13" t="n">
        <x:f>IF(AND(ISNUMBER(H916),ISNUMBER(W916)),H916/MAX(1,'Обзор'!$B$4-W916),"")</x:f>
        <x:v>25.092944038929442</x:v>
      </x:c>
      <x:c r="AC916" s="17" t="str">
        <x:v>Не решено</x:v>
      </x:c>
      <x:c r="AD916" s="17" t="str">
        <x:v>Не проверено</x:v>
      </x:c>
      <x:c r="AE916" s="17" t="str">
        <x:v>Не проверено</x:v>
      </x:c>
      <x:c r="AF916" s="17" t="str">
        <x:v>Не проверено</x:v>
      </x:c>
      <x:c r="AG916" s="17" t="str">
        <x:v>Не решено</x:v>
      </x:c>
      <x:c r="AH916" s="17" t="str">
        <x:v>Не проверено</x:v>
      </x:c>
      <x:c r="AI916" s="10" t="str">
        <x:f>IF(AC916="Отклонить","Отклонено",IF(AND(AC916="Взять",COUNTIFS(AD916:AH916,"Да")=5),"Готово","Нужна редактура"))</x:f>
        <x:v>Нужна редактура</x:v>
      </x:c>
      <x:c r="AJ916" s="17" t="str"/>
      <x:c r="AK916" s="9" t="str">
        <x:v>https://www.youtube.com/playlist?list=PLXv9BeKApRvyja2oEAjEB3GzBIJjyvQIj</x:v>
      </x:c>
      <x:c r="AL916" s="9" t="n">
        <x:v>3</x:v>
      </x:c>
      <x:c r="AM916" s="9"/>
      <x:c r="AN916" s="9" t="n">
        <x:v>0</x:v>
      </x:c>
    </x:row>
    <x:row r="917" ht="60" customHeight="1">
      <x:c r="A917" s="9" t="str">
        <x:v>ce1pKgHoRjQ</x:v>
      </x:c>
      <x:c r="B917" s="10" t="str">
        <x:v>להיות מנכ"ל של חברת הייטק בגיל 23 | דוקותיים tech</x:v>
      </x:c>
      <x:c r="C917" s="10" t="str">
        <x:v>Технологии и люди</x:v>
      </x:c>
      <x:c r="D917" s="9" t="str">
        <x:v>Быт</x:v>
      </x:c>
      <x:c r="E917" s="10" t="str">
        <x:v>Технологии; карьера; общество</x:v>
      </x:c>
      <x:c r="F917" s="10" t="str">
        <x:v>B1–B2 (гипотеза)</x:v>
      </x:c>
      <x:c r="G917" s="12" t="n">
        <x:v>6.7</x:v>
      </x:c>
      <x:c r="H917" s="14" t="n">
        <x:v>133915</x:v>
      </x:c>
      <x:c r="I917" s="15" t="str">
        <x:v>Точный счётчик метаданных видео</x:v>
      </x:c>
      <x:c r="J917" s="14" t="n">
        <x:v>133000</x:v>
      </x:c>
      <x:c r="K917" s="14" t="n">
        <x:v>51000</x:v>
      </x:c>
      <x:c r="L917" s="12" t="n">
        <x:f>IF(COUNT(J917:K917)=2,IF(K917=0,"",J917/K917),"")</x:f>
        <x:v>2.607843137254902</x:v>
      </x:c>
      <x:c r="M917" s="10" t="str">
        <x:v>Завершённый короткий просмотр около 7 мин. Просмотры в списке выше медианы выборки этого цикла в 2.61 раза. Человеческая история в технологической среде соединяет профессиональный интерес и короткий формат.</x:v>
      </x:c>
      <x:c r="N917" s="10" t="str">
        <x:v>Объяснить профессию человеку вне отрасли.</x:v>
      </x:c>
      <x:c r="O917" s="10" t="str">
        <x:v>Проверить содержание</x:v>
      </x:c>
      <x:c r="P917" s="10" t="str">
        <x:v>Самостоятельное видео</x:v>
      </x:c>
      <x:c r="Q917" s="9" t="str">
        <x:v>Нет</x:v>
      </x:c>
      <x:c r="R917" s="9" t="str">
        <x:v>C051</x:v>
      </x:c>
      <x:c r="S917" s="9" t="str">
        <x:v>C051</x:v>
      </x:c>
      <x:c r="T917" s="10" t="str">
        <x:v>כאן | דיגיטל - תאגיד השידור הישראלי</x:v>
      </x:c>
      <x:c r="U917" s="11" t="str">
        <x:v>https://www.youtube.com/watch?v=ce1pKgHoRjQ</x:v>
      </x:c>
      <x:c r="V917" s="16" t="n">
        <x:v>46308</x:v>
      </x:c>
      <x:c r="W917" s="16" t="n">
        <x:v>44238</x:v>
      </x:c>
      <x:c r="X917" s="10" t="str">
        <x:v>Иврит предполагается по заголовку и источнику</x:v>
      </x:c>
      <x:c r="Y917" s="10" t="str">
        <x:v>Ручная дорожка HE по метаданным</x:v>
      </x:c>
      <x:c r="Z917" s="10" t="str">
        <x:v>Разрешено по метаданным</x:v>
      </x:c>
      <x:c r="AA917" s="10" t="str">
        <x:v>Метаданные видео; воспроизведение и содержание не проверены</x:v>
      </x:c>
      <x:c r="AB917" s="13" t="n">
        <x:f>IF(AND(ISNUMBER(H917),ISNUMBER(W917)),H917/MAX(1,'Обзор'!$B$4-W917),"")</x:f>
        <x:v>64.69323671497584</x:v>
      </x:c>
      <x:c r="AC917" s="17" t="str">
        <x:v>Не решено</x:v>
      </x:c>
      <x:c r="AD917" s="17" t="str">
        <x:v>Не проверено</x:v>
      </x:c>
      <x:c r="AE917" s="17" t="str">
        <x:v>Не проверено</x:v>
      </x:c>
      <x:c r="AF917" s="17" t="str">
        <x:v>Не проверено</x:v>
      </x:c>
      <x:c r="AG917" s="17" t="str">
        <x:v>Не решено</x:v>
      </x:c>
      <x:c r="AH917" s="17" t="str">
        <x:v>Не проверено</x:v>
      </x:c>
      <x:c r="AI917" s="10" t="str">
        <x:f>IF(AC917="Отклонить","Отклонено",IF(AND(AC917="Взять",COUNTIFS(AD917:AH917,"Да")=5),"Готово","Нужна редактура"))</x:f>
        <x:v>Нужна редактура</x:v>
      </x:c>
      <x:c r="AJ917" s="17" t="str"/>
      <x:c r="AK917" s="9" t="str">
        <x:v>https://www.youtube.com/playlist?list=PLXv9BeKApRvyja2oEAjEB3GzBIJjyvQIj</x:v>
      </x:c>
      <x:c r="AL917" s="9" t="n">
        <x:v>4</x:v>
      </x:c>
      <x:c r="AM917" s="9"/>
      <x:c r="AN917" s="9" t="n">
        <x:v>0</x:v>
      </x:c>
    </x:row>
    <x:row r="918" ht="60" customHeight="1">
      <x:c r="A918" s="9" t="str">
        <x:v>RuGh7XE8AHw</x:v>
      </x:c>
      <x:c r="B918" s="10" t="str">
        <x:v>"רמות שכר שלא הכרנו כשהיינו בגיל שלהם". כשאמזון משקיעה ב-Allcloud | דוקותיים tech</x:v>
      </x:c>
      <x:c r="C918" s="10" t="str">
        <x:v>Технологии и люди</x:v>
      </x:c>
      <x:c r="D918" s="9" t="str">
        <x:v>Быт</x:v>
      </x:c>
      <x:c r="E918" s="10" t="str">
        <x:v>Технологии; карьера; общество</x:v>
      </x:c>
      <x:c r="F918" s="10" t="str">
        <x:v>B1–B2 (гипотеза)</x:v>
      </x:c>
      <x:c r="G918" s="12" t="n">
        <x:v>7</x:v>
      </x:c>
      <x:c r="H918" s="14" t="n">
        <x:v>34363</x:v>
      </x:c>
      <x:c r="I918" s="15" t="str">
        <x:v>Точный счётчик метаданных видео</x:v>
      </x:c>
      <x:c r="J918" s="14" t="n">
        <x:v>34000</x:v>
      </x:c>
      <x:c r="K918" s="14" t="n">
        <x:v>51000</x:v>
      </x:c>
      <x:c r="L918" s="12" t="n">
        <x:f>IF(COUNT(J918:K918)=2,IF(K918=0,"",J918/K918),"")</x:f>
        <x:v>0.6666666666666666</x:v>
      </x:c>
      <x:c r="M918" s="10" t="str">
        <x:v>Завершённый короткий просмотр около 7 мин. Человеческая история в технологической среде соединяет профессиональный интерес и короткий формат.</x:v>
      </x:c>
      <x:c r="N918" s="10" t="str">
        <x:v>Объяснить профессию человеку вне отрасли.</x:v>
      </x:c>
      <x:c r="O918" s="10" t="str">
        <x:v>Проверить содержание</x:v>
      </x:c>
      <x:c r="P918" s="10" t="str">
        <x:v>Самостоятельное видео</x:v>
      </x:c>
      <x:c r="Q918" s="9" t="str">
        <x:v>Нет</x:v>
      </x:c>
      <x:c r="R918" s="9" t="str">
        <x:v>C051</x:v>
      </x:c>
      <x:c r="S918" s="9" t="str">
        <x:v>C051</x:v>
      </x:c>
      <x:c r="T918" s="10" t="str">
        <x:v>כאן | דיגיטל - תאגיד השידור הישראלי</x:v>
      </x:c>
      <x:c r="U918" s="11" t="str">
        <x:v>https://www.youtube.com/watch?v=RuGh7XE8AHw</x:v>
      </x:c>
      <x:c r="V918" s="16" t="n">
        <x:v>46308</x:v>
      </x:c>
      <x:c r="W918" s="16" t="n">
        <x:v>44231</x:v>
      </x:c>
      <x:c r="X918" s="10" t="str">
        <x:v>Иврит предполагается по заголовку и источнику</x:v>
      </x:c>
      <x:c r="Y918" s="10" t="str">
        <x:v>Ручная дорожка HE по метаданным</x:v>
      </x:c>
      <x:c r="Z918" s="10" t="str">
        <x:v>Разрешено по метаданным</x:v>
      </x:c>
      <x:c r="AA918" s="10" t="str">
        <x:v>Метаданные видео; воспроизведение и содержание не проверены</x:v>
      </x:c>
      <x:c r="AB918" s="13" t="n">
        <x:f>IF(AND(ISNUMBER(H918),ISNUMBER(W918)),H918/MAX(1,'Обзор'!$B$4-W918),"")</x:f>
        <x:v>16.54453538757824</x:v>
      </x:c>
      <x:c r="AC918" s="17" t="str">
        <x:v>Не решено</x:v>
      </x:c>
      <x:c r="AD918" s="17" t="str">
        <x:v>Не проверено</x:v>
      </x:c>
      <x:c r="AE918" s="17" t="str">
        <x:v>Не проверено</x:v>
      </x:c>
      <x:c r="AF918" s="17" t="str">
        <x:v>Не проверено</x:v>
      </x:c>
      <x:c r="AG918" s="17" t="str">
        <x:v>Не решено</x:v>
      </x:c>
      <x:c r="AH918" s="17" t="str">
        <x:v>Не проверено</x:v>
      </x:c>
      <x:c r="AI918" s="10" t="str">
        <x:f>IF(AC918="Отклонить","Отклонено",IF(AND(AC918="Взять",COUNTIFS(AD918:AH918,"Да")=5),"Готово","Нужна редактура"))</x:f>
        <x:v>Нужна редактура</x:v>
      </x:c>
      <x:c r="AJ918" s="17" t="str"/>
      <x:c r="AK918" s="9" t="str">
        <x:v>https://www.youtube.com/playlist?list=PLXv9BeKApRvyja2oEAjEB3GzBIJjyvQIj</x:v>
      </x:c>
      <x:c r="AL918" s="9" t="n">
        <x:v>5</x:v>
      </x:c>
      <x:c r="AM918" s="9"/>
      <x:c r="AN918" s="9" t="n">
        <x:v>0</x:v>
      </x:c>
    </x:row>
    <x:row r="919" ht="60" customHeight="1">
      <x:c r="A919" s="9" t="str">
        <x:v>g4DgPmWIPZQ</x:v>
      </x:c>
      <x:c r="B919" s="10" t="str">
        <x:v>אלמנתו של יוסי שרעבי: "אם יוסי היה יוצא לגלוש בשבת בבוקר, אולי הוא היה חי"</x:v>
      </x:c>
      <x:c r="C919" s="10" t="str">
        <x:v>7 октября и память</x:v>
      </x:c>
      <x:c r="D919" s="9" t="str">
        <x:v>Память</x:v>
      </x:c>
      <x:c r="E919" s="10" t="str">
        <x:v>История; память; взрослые</x:v>
      </x:c>
      <x:c r="F919" s="10" t="str">
        <x:v>B2–C1 (гипотеза)</x:v>
      </x:c>
      <x:c r="G919" s="12" t="n">
        <x:v>11.1</x:v>
      </x:c>
      <x:c r="H919" s="14" t="n">
        <x:v>15188</x:v>
      </x:c>
      <x:c r="I919" s="15" t="str">
        <x:v>Точный счётчик метаданных видео</x:v>
      </x:c>
      <x:c r="J919" s="14" t="n">
        <x:v>15000</x:v>
      </x:c>
      <x:c r="K919" s="14"/>
      <x:c r="L919" s="12" t="str">
        <x:f>IF(COUNT(J919:K919)=2,IF(K919=0,"",J919/K919),"")</x:f>
      </x:c>
      <x:c r="M919" s="10" t="str">
        <x:v>Тема: אלמנתו של יוסי שרעבי: "אם יוסי היה יוצא לגלוש בשבת בבוקר, אולי הוא היה חי". Короткие истории музейного проекта дополняют длинные фильмы и позволяют выбирать посильный объём.</x:v>
      </x:c>
      <x:c r="N919" s="10" t="str">
        <x:v>Уточнить место, время и источник рассказа; добровольный пересказ.</x:v>
      </x:c>
      <x:c r="O919" s="10" t="str">
        <x:v>Тяжёлый контент; не ставить в общий autoplay</x:v>
      </x:c>
      <x:c r="P919" s="10" t="str">
        <x:v>Самостоятельное видео</x:v>
      </x:c>
      <x:c r="Q919" s="9" t="str">
        <x:v>Нет</x:v>
      </x:c>
      <x:c r="R919" s="9" t="str">
        <x:v>C052</x:v>
      </x:c>
      <x:c r="S919" s="9" t="str">
        <x:v>C052</x:v>
      </x:c>
      <x:c r="T919" s="10" t="str">
        <x:v>כאן | דיגיטל - תאגיד השידור הישראלי</x:v>
      </x:c>
      <x:c r="U919" s="11" t="str">
        <x:v>https://www.youtube.com/watch?v=g4DgPmWIPZQ</x:v>
      </x:c>
      <x:c r="V919" s="16" t="n">
        <x:v>46308</x:v>
      </x:c>
      <x:c r="W919" s="16" t="n">
        <x:v>45957</x:v>
      </x:c>
      <x:c r="X919" s="10" t="str">
        <x:v>Иврит предполагается по заголовку и источнику</x:v>
      </x:c>
      <x:c r="Y919" s="10" t="str">
        <x:v>Автоматическая дорожка HE по метаданным</x:v>
      </x:c>
      <x:c r="Z919" s="10" t="str">
        <x:v>Разрешено по метаданным</x:v>
      </x:c>
      <x:c r="AA919" s="10" t="str">
        <x:v>Метаданные видео; воспроизведение и содержание не проверены</x:v>
      </x:c>
      <x:c r="AB919" s="13" t="n">
        <x:f>IF(AND(ISNUMBER(H919),ISNUMBER(W919)),H919/MAX(1,'Обзор'!$B$4-W919),"")</x:f>
        <x:v>43.27065527065527</x:v>
      </x:c>
      <x:c r="AC919" s="17" t="str">
        <x:v>Не решено</x:v>
      </x:c>
      <x:c r="AD919" s="17" t="str">
        <x:v>Не проверено</x:v>
      </x:c>
      <x:c r="AE919" s="17" t="str">
        <x:v>Не проверено</x:v>
      </x:c>
      <x:c r="AF919" s="17" t="str">
        <x:v>Не проверено</x:v>
      </x:c>
      <x:c r="AG919" s="17" t="str">
        <x:v>Не решено</x:v>
      </x:c>
      <x:c r="AH919" s="17" t="str">
        <x:v>Не проверено</x:v>
      </x:c>
      <x:c r="AI919" s="10" t="str">
        <x:f>IF(AC919="Отклонить","Отклонено",IF(AND(AC919="Взять",COUNTIFS(AD919:AH919,"Да")=5),"Готово","Нужна редактура"))</x:f>
        <x:v>Нужна редактура</x:v>
      </x:c>
      <x:c r="AJ919" s="17" t="str"/>
      <x:c r="AK919" s="9" t="str">
        <x:v>https://www.youtube.com/playlist?list=PLXv9BeKApRvyZVWRfKZqLjt28kWum6MI-</x:v>
      </x:c>
      <x:c r="AL919" s="9" t="n">
        <x:v>1</x:v>
      </x:c>
      <x:c r="AM919" s="9"/>
      <x:c r="AN919" s="9" t="n">
        <x:v>0</x:v>
      </x:c>
    </x:row>
    <x:row r="920" ht="60" customHeight="1">
      <x:c r="A920" s="9" t="str">
        <x:v>gHFeeg77Vuw</x:v>
      </x:c>
      <x:c r="B920" s="10" t="str">
        <x:v>אמא יצאה לריצת בוקר ולא חזרה | אופק שטרית מספר על אמא נעמי</x:v>
      </x:c>
      <x:c r="C920" s="10" t="str">
        <x:v>7 октября и память</x:v>
      </x:c>
      <x:c r="D920" s="9" t="str">
        <x:v>Память</x:v>
      </x:c>
      <x:c r="E920" s="10" t="str">
        <x:v>История; память; взрослые</x:v>
      </x:c>
      <x:c r="F920" s="10" t="str">
        <x:v>B2–C1 (гипотеза)</x:v>
      </x:c>
      <x:c r="G920" s="12" t="n">
        <x:v>14.4</x:v>
      </x:c>
      <x:c r="H920" s="14" t="n">
        <x:v>7766</x:v>
      </x:c>
      <x:c r="I920" s="15" t="str">
        <x:v>Точный счётчик метаданных видео</x:v>
      </x:c>
      <x:c r="J920" s="14" t="n">
        <x:v>7700</x:v>
      </x:c>
      <x:c r="K920" s="14"/>
      <x:c r="L920" s="12" t="str">
        <x:f>IF(COUNT(J920:K920)=2,IF(K920=0,"",J920/K920),"")</x:f>
      </x:c>
      <x:c r="M920" s="10" t="str">
        <x:v>Тема: אמא יצאה לריצת בוקר ולא חזרה | אופק שטרית מספר על אמא נעמי. Короткие истории музейного проекта дополняют длинные фильмы и позволяют выбирать посильный объём.</x:v>
      </x:c>
      <x:c r="N920" s="10" t="str">
        <x:v>Уточнить место, время и источник рассказа; добровольный пересказ.</x:v>
      </x:c>
      <x:c r="O920" s="10" t="str">
        <x:v>Тяжёлый контент; не ставить в общий autoplay</x:v>
      </x:c>
      <x:c r="P920" s="10" t="str">
        <x:v>Самостоятельное видео</x:v>
      </x:c>
      <x:c r="Q920" s="9" t="str">
        <x:v>Нет</x:v>
      </x:c>
      <x:c r="R920" s="9" t="str">
        <x:v>C052</x:v>
      </x:c>
      <x:c r="S920" s="9" t="str">
        <x:v>C052</x:v>
      </x:c>
      <x:c r="T920" s="10" t="str">
        <x:v>כאן | דיגיטל - תאגיד השידור הישראלי</x:v>
      </x:c>
      <x:c r="U920" s="11" t="str">
        <x:v>https://www.youtube.com/watch?v=gHFeeg77Vuw</x:v>
      </x:c>
      <x:c r="V920" s="16" t="n">
        <x:v>46308</x:v>
      </x:c>
      <x:c r="W920" s="16" t="n">
        <x:v>45777</x:v>
      </x:c>
      <x:c r="X920" s="10" t="str">
        <x:v>Иврит предполагается по заголовку и источнику</x:v>
      </x:c>
      <x:c r="Y920" s="10" t="str">
        <x:v>Автоматическая дорожка HE по метаданным</x:v>
      </x:c>
      <x:c r="Z920" s="10" t="str">
        <x:v>Разрешено по метаданным</x:v>
      </x:c>
      <x:c r="AA920" s="10" t="str">
        <x:v>Метаданные видео; воспроизведение и содержание не проверены</x:v>
      </x:c>
      <x:c r="AB920" s="13" t="n">
        <x:f>IF(AND(ISNUMBER(H920),ISNUMBER(W920)),H920/MAX(1,'Обзор'!$B$4-W920),"")</x:f>
        <x:v>14.625235404896422</x:v>
      </x:c>
      <x:c r="AC920" s="17" t="str">
        <x:v>Не решено</x:v>
      </x:c>
      <x:c r="AD920" s="17" t="str">
        <x:v>Не проверено</x:v>
      </x:c>
      <x:c r="AE920" s="17" t="str">
        <x:v>Не проверено</x:v>
      </x:c>
      <x:c r="AF920" s="17" t="str">
        <x:v>Не проверено</x:v>
      </x:c>
      <x:c r="AG920" s="17" t="str">
        <x:v>Не решено</x:v>
      </x:c>
      <x:c r="AH920" s="17" t="str">
        <x:v>Не проверено</x:v>
      </x:c>
      <x:c r="AI920" s="10" t="str">
        <x:f>IF(AC920="Отклонить","Отклонено",IF(AND(AC920="Взять",COUNTIFS(AD920:AH920,"Да")=5),"Готово","Нужна редактура"))</x:f>
        <x:v>Нужна редактура</x:v>
      </x:c>
      <x:c r="AJ920" s="17" t="str"/>
      <x:c r="AK920" s="9" t="str">
        <x:v>https://www.youtube.com/playlist?list=PLXv9BeKApRvyZVWRfKZqLjt28kWum6MI-</x:v>
      </x:c>
      <x:c r="AL920" s="9" t="n">
        <x:v>2</x:v>
      </x:c>
      <x:c r="AM920" s="9"/>
      <x:c r="AN920" s="9" t="n">
        <x:v>0</x:v>
      </x:c>
    </x:row>
    <x:row r="921" ht="60" customHeight="1">
      <x:c r="A921" s="9" t="str">
        <x:v>aBukORxY7Ng</x:v>
      </x:c>
      <x:c r="B921" s="10" t="str">
        <x:v>"ההורים שלי, אחי הקטן והכלב נרצחו בבית" | העדות של הדר זק מקיבוץ כיסופים</x:v>
      </x:c>
      <x:c r="C921" s="10" t="str">
        <x:v>7 октября и память</x:v>
      </x:c>
      <x:c r="D921" s="9" t="str">
        <x:v>Память</x:v>
      </x:c>
      <x:c r="E921" s="10" t="str">
        <x:v>История; память; взрослые</x:v>
      </x:c>
      <x:c r="F921" s="10" t="str">
        <x:v>B2–C1 (гипотеза)</x:v>
      </x:c>
      <x:c r="G921" s="12" t="n">
        <x:v>12</x:v>
      </x:c>
      <x:c r="H921" s="14" t="n">
        <x:v>21508</x:v>
      </x:c>
      <x:c r="I921" s="15" t="str">
        <x:v>Точный счётчик метаданных видео</x:v>
      </x:c>
      <x:c r="J921" s="14" t="n">
        <x:v>21000</x:v>
      </x:c>
      <x:c r="K921" s="14"/>
      <x:c r="L921" s="12" t="str">
        <x:f>IF(COUNT(J921:K921)=2,IF(K921=0,"",J921/K921),"")</x:f>
      </x:c>
      <x:c r="M921" s="10" t="str">
        <x:v>Тема: "ההורים שלי, אחי הקטן והכלב נרצחו בבית" | העדות של הדר זק מקיבוץ כיסופים. Короткие истории музейного проекта дополняют длинные фильмы и позволяют выбирать посильный объём.</x:v>
      </x:c>
      <x:c r="N921" s="10" t="str">
        <x:v>Уточнить место, время и источник рассказа; добровольный пересказ.</x:v>
      </x:c>
      <x:c r="O921" s="10" t="str">
        <x:v>В заголовке есть чувствительная тема: предварительный просмотр и добровольный выбор. Тяжёлый контент; не ставить в общий autoplay</x:v>
      </x:c>
      <x:c r="P921" s="10" t="str">
        <x:v>Самостоятельное видео</x:v>
      </x:c>
      <x:c r="Q921" s="9" t="str">
        <x:v>Нет</x:v>
      </x:c>
      <x:c r="R921" s="9" t="str">
        <x:v>C052</x:v>
      </x:c>
      <x:c r="S921" s="9" t="str">
        <x:v>C052</x:v>
      </x:c>
      <x:c r="T921" s="10" t="str">
        <x:v>כאן | דיגיטל - תאגיד השידור הישראלי</x:v>
      </x:c>
      <x:c r="U921" s="11" t="str">
        <x:v>https://www.youtube.com/watch?v=aBukORxY7Ng</x:v>
      </x:c>
      <x:c r="V921" s="16" t="n">
        <x:v>46308</x:v>
      </x:c>
      <x:c r="W921" s="16" t="n">
        <x:v>45705</x:v>
      </x:c>
      <x:c r="X921" s="10" t="str">
        <x:v>Иврит предполагается по заголовку и источнику</x:v>
      </x:c>
      <x:c r="Y921" s="10" t="str">
        <x:v>Автоматическая дорожка HE по метаданным</x:v>
      </x:c>
      <x:c r="Z921" s="10" t="str">
        <x:v>Разрешено по метаданным</x:v>
      </x:c>
      <x:c r="AA921" s="10" t="str">
        <x:v>Метаданные видео; воспроизведение и содержание не проверены</x:v>
      </x:c>
      <x:c r="AB921" s="13" t="n">
        <x:f>IF(AND(ISNUMBER(H921),ISNUMBER(W921)),H921/MAX(1,'Обзор'!$B$4-W921),"")</x:f>
        <x:v>35.66832504145937</x:v>
      </x:c>
      <x:c r="AC921" s="17" t="str">
        <x:v>Не решено</x:v>
      </x:c>
      <x:c r="AD921" s="17" t="str">
        <x:v>Не проверено</x:v>
      </x:c>
      <x:c r="AE921" s="17" t="str">
        <x:v>Не проверено</x:v>
      </x:c>
      <x:c r="AF921" s="17" t="str">
        <x:v>Не проверено</x:v>
      </x:c>
      <x:c r="AG921" s="17" t="str">
        <x:v>Не решено</x:v>
      </x:c>
      <x:c r="AH921" s="17" t="str">
        <x:v>Не проверено</x:v>
      </x:c>
      <x:c r="AI921" s="10" t="str">
        <x:f>IF(AC921="Отклонить","Отклонено",IF(AND(AC921="Взять",COUNTIFS(AD921:AH921,"Да")=5),"Готово","Нужна редактура"))</x:f>
        <x:v>Нужна редактура</x:v>
      </x:c>
      <x:c r="AJ921" s="17" t="str"/>
      <x:c r="AK921" s="9" t="str">
        <x:v>https://www.youtube.com/playlist?list=PLXv9BeKApRvyZVWRfKZqLjt28kWum6MI-</x:v>
      </x:c>
      <x:c r="AL921" s="9" t="n">
        <x:v>3</x:v>
      </x:c>
      <x:c r="AM921" s="9"/>
      <x:c r="AN921" s="9" t="n">
        <x:v>0</x:v>
      </x:c>
    </x:row>
    <x:row r="922" ht="60" customHeight="1">
      <x:c r="A922" s="9" t="str">
        <x:v>Xz9MK1w9Yo0</x:v>
      </x:c>
      <x:c r="B922" s="10" t="str">
        <x:v>"הציפייה שלי הייתה לקבל כדור בראש באותו רגע" | העדות של איתי שאבי מה-7 באוקטובר</x:v>
      </x:c>
      <x:c r="C922" s="10" t="str">
        <x:v>7 октября и память</x:v>
      </x:c>
      <x:c r="D922" s="9" t="str">
        <x:v>Память</x:v>
      </x:c>
      <x:c r="E922" s="10" t="str">
        <x:v>История; память; взрослые</x:v>
      </x:c>
      <x:c r="F922" s="10" t="str">
        <x:v>B2–C1 (гипотеза)</x:v>
      </x:c>
      <x:c r="G922" s="12" t="n">
        <x:v>14.3</x:v>
      </x:c>
      <x:c r="H922" s="14" t="n">
        <x:v>12523</x:v>
      </x:c>
      <x:c r="I922" s="15" t="str">
        <x:v>Точный счётчик метаданных видео</x:v>
      </x:c>
      <x:c r="J922" s="14" t="n">
        <x:v>12000</x:v>
      </x:c>
      <x:c r="K922" s="14"/>
      <x:c r="L922" s="12" t="str">
        <x:f>IF(COUNT(J922:K922)=2,IF(K922=0,"",J922/K922),"")</x:f>
      </x:c>
      <x:c r="M922" s="10" t="str">
        <x:v>Тема: "הציפייה שלי הייתה לקבל כדור בראש באותו רגע" | העדות של איתי שאבי מה-7 באוקטובר. Короткие истории музейного проекта дополняют длинные фильмы и позволяют выбирать посильный объём.</x:v>
      </x:c>
      <x:c r="N922" s="10" t="str">
        <x:v>Уточнить место, время и источник рассказа; добровольный пересказ.</x:v>
      </x:c>
      <x:c r="O922" s="10" t="str">
        <x:v>Тяжёлый контент; не ставить в общий autoplay</x:v>
      </x:c>
      <x:c r="P922" s="10" t="str">
        <x:v>Самостоятельное видео</x:v>
      </x:c>
      <x:c r="Q922" s="9" t="str">
        <x:v>Нет</x:v>
      </x:c>
      <x:c r="R922" s="9" t="str">
        <x:v>C052</x:v>
      </x:c>
      <x:c r="S922" s="9" t="str">
        <x:v>C052</x:v>
      </x:c>
      <x:c r="T922" s="10" t="str">
        <x:v>כאן | דיגיטל - תאגיד השידור הישראלי</x:v>
      </x:c>
      <x:c r="U922" s="11" t="str">
        <x:v>https://www.youtube.com/watch?v=Xz9MK1w9Yo0</x:v>
      </x:c>
      <x:c r="V922" s="16" t="n">
        <x:v>46308</x:v>
      </x:c>
      <x:c r="W922" s="16" t="n">
        <x:v>45574</x:v>
      </x:c>
      <x:c r="X922" s="10" t="str">
        <x:v>Иврит предполагается по заголовку и источнику</x:v>
      </x:c>
      <x:c r="Y922" s="10" t="str">
        <x:v>Автоматическая дорожка HE по метаданным</x:v>
      </x:c>
      <x:c r="Z922" s="10" t="str">
        <x:v>Разрешено по метаданным</x:v>
      </x:c>
      <x:c r="AA922" s="10" t="str">
        <x:v>Метаданные видео; воспроизведение и содержание не проверены</x:v>
      </x:c>
      <x:c r="AB922" s="13" t="n">
        <x:f>IF(AND(ISNUMBER(H922),ISNUMBER(W922)),H922/MAX(1,'Обзор'!$B$4-W922),"")</x:f>
        <x:v>17.061307901907355</x:v>
      </x:c>
      <x:c r="AC922" s="17" t="str">
        <x:v>Не решено</x:v>
      </x:c>
      <x:c r="AD922" s="17" t="str">
        <x:v>Не проверено</x:v>
      </x:c>
      <x:c r="AE922" s="17" t="str">
        <x:v>Не проверено</x:v>
      </x:c>
      <x:c r="AF922" s="17" t="str">
        <x:v>Не проверено</x:v>
      </x:c>
      <x:c r="AG922" s="17" t="str">
        <x:v>Не решено</x:v>
      </x:c>
      <x:c r="AH922" s="17" t="str">
        <x:v>Не проверено</x:v>
      </x:c>
      <x:c r="AI922" s="10" t="str">
        <x:f>IF(AC922="Отклонить","Отклонено",IF(AND(AC922="Взять",COUNTIFS(AD922:AH922,"Да")=5),"Готово","Нужна редактура"))</x:f>
        <x:v>Нужна редактура</x:v>
      </x:c>
      <x:c r="AJ922" s="17" t="str"/>
      <x:c r="AK922" s="9" t="str">
        <x:v>https://www.youtube.com/playlist?list=PLXv9BeKApRvyZVWRfKZqLjt28kWum6MI-</x:v>
      </x:c>
      <x:c r="AL922" s="9" t="n">
        <x:v>5</x:v>
      </x:c>
      <x:c r="AM922" s="9"/>
      <x:c r="AN922" s="9" t="n">
        <x:v>0</x:v>
      </x:c>
    </x:row>
    <x:row r="923" ht="60" customHeight="1">
      <x:c r="A923" s="9" t="str">
        <x:v>0PqFUPz6vqE</x:v>
      </x:c>
      <x:c r="B923" s="10" t="str">
        <x:v>כראמל 🐱 | התיבה המסתורית - פרק 1</x:v>
      </x:c>
      <x:c r="C923" s="10" t="str">
        <x:v>Семейные сериалы</x:v>
      </x:c>
      <x:c r="D923" s="9" t="str">
        <x:v>Сериал</x:v>
      </x:c>
      <x:c r="E923" s="10" t="str">
        <x:v>Семьи; начинающие с опорой; молодёжь</x:v>
      </x:c>
      <x:c r="F923" s="10" t="str">
        <x:v>A2–B1 (гипотеза)</x:v>
      </x:c>
      <x:c r="G923" s="12" t="n">
        <x:v>24.7</x:v>
      </x:c>
      <x:c r="H923" s="14" t="n">
        <x:v>5218984</x:v>
      </x:c>
      <x:c r="I923" s="15" t="str">
        <x:v>Точный счётчик метаданных видео</x:v>
      </x:c>
      <x:c r="J923" s="14" t="n">
        <x:v>5200000</x:v>
      </x:c>
      <x:c r="K923" s="14" t="n">
        <x:v>4150000</x:v>
      </x:c>
      <x:c r="L923" s="12" t="n">
        <x:f>IF(COUNT(J923:K923)=2,IF(K923=0,"",J923/K923),"")</x:f>
        <x:v>1.2530120481927711</x:v>
      </x:c>
      <x:c r="M923" s="10" t="str">
        <x:v>Эпизод 1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23" s="10" t="str">
        <x:v>Выбрать сцену 1–3 минуты; описать действие и предсказать продолжение.</x:v>
      </x:c>
      <x:c r="O923" s="10" t="str">
        <x:v>Уровень предварительный; детский сериал не обязательно прост</x:v>
      </x:c>
      <x:c r="P923" s="10" t="str">
        <x:v>Полная серия — кандидат</x:v>
      </x:c>
      <x:c r="Q923" s="9" t="str">
        <x:v>Нет</x:v>
      </x:c>
      <x:c r="R923" s="9" t="str">
        <x:v>C053</x:v>
      </x:c>
      <x:c r="S923" s="9" t="str">
        <x:v>C053</x:v>
      </x:c>
      <x:c r="T923" s="10" t="str">
        <x:v>כאן חינוכית</x:v>
      </x:c>
      <x:c r="U923" s="11" t="str">
        <x:v>https://www.youtube.com/watch?v=0PqFUPz6vqE</x:v>
      </x:c>
      <x:c r="V923" s="16" t="n">
        <x:v>46308</x:v>
      </x:c>
      <x:c r="W923" s="16" t="n">
        <x:v>44563</x:v>
      </x:c>
      <x:c r="X923" s="10" t="str">
        <x:v>Иврит предполагается по заголовку и источнику</x:v>
      </x:c>
      <x:c r="Y923" s="10" t="str">
        <x:v>Автоматическая дорожка HE по метаданным</x:v>
      </x:c>
      <x:c r="Z923" s="10" t="str">
        <x:v>Разрешено по метаданным</x:v>
      </x:c>
      <x:c r="AA923" s="10" t="str">
        <x:v>Метаданные видео; воспроизведение и содержание не проверены</x:v>
      </x:c>
      <x:c r="AB923" s="13" t="n">
        <x:f>IF(AND(ISNUMBER(H923),ISNUMBER(W923)),H923/MAX(1,'Обзор'!$B$4-W923),"")</x:f>
        <x:v>2990.821776504298</x:v>
      </x:c>
      <x:c r="AC923" s="17" t="str">
        <x:v>Не решено</x:v>
      </x:c>
      <x:c r="AD923" s="17" t="str">
        <x:v>Не проверено</x:v>
      </x:c>
      <x:c r="AE923" s="17" t="str">
        <x:v>Не проверено</x:v>
      </x:c>
      <x:c r="AF923" s="17" t="str">
        <x:v>Не проверено</x:v>
      </x:c>
      <x:c r="AG923" s="17" t="str">
        <x:v>Не решено</x:v>
      </x:c>
      <x:c r="AH923" s="17" t="str">
        <x:v>Не проверено</x:v>
      </x:c>
      <x:c r="AI923" s="10" t="str">
        <x:f>IF(AC923="Отклонить","Отклонено",IF(AND(AC923="Взять",COUNTIFS(AD923:AH923,"Да")=5),"Готово","Нужна редактура"))</x:f>
        <x:v>Нужна редактура</x:v>
      </x:c>
      <x:c r="AJ923" s="17" t="str"/>
      <x:c r="AK923" s="9" t="str">
        <x:v>https://www.youtube.com/playlist?list=PL51YAgTlfPj63XlDuL-6gm5d53G9a1eg-</x:v>
      </x:c>
      <x:c r="AL923" s="9" t="n">
        <x:v>1</x:v>
      </x:c>
      <x:c r="AM923" s="9" t="n">
        <x:v>1</x:v>
      </x:c>
      <x:c r="AN923" s="9" t="n">
        <x:v>0</x:v>
      </x:c>
    </x:row>
    <x:row r="924" ht="60" customHeight="1">
      <x:c r="A924" s="9" t="str">
        <x:v>FyRhHspKt1w</x:v>
      </x:c>
      <x:c r="B924" s="10" t="str">
        <x:v>כראמל 🐱 | יש לי חתול מדבר - פרק 2</x:v>
      </x:c>
      <x:c r="C924" s="10" t="str">
        <x:v>Семейные сериалы</x:v>
      </x:c>
      <x:c r="D924" s="9" t="str">
        <x:v>Сериал</x:v>
      </x:c>
      <x:c r="E924" s="10" t="str">
        <x:v>Семьи; начинающие с опорой; молодёжь</x:v>
      </x:c>
      <x:c r="F924" s="10" t="str">
        <x:v>A2–B1 (гипотеза)</x:v>
      </x:c>
      <x:c r="G924" s="12" t="n">
        <x:v>27.2</x:v>
      </x:c>
      <x:c r="H924" s="14" t="n">
        <x:v>3556133</x:v>
      </x:c>
      <x:c r="I924" s="15" t="str">
        <x:v>Точный счётчик метаданных видео</x:v>
      </x:c>
      <x:c r="J924" s="14" t="n">
        <x:v>3500000</x:v>
      </x:c>
      <x:c r="K924" s="14" t="n">
        <x:v>4150000</x:v>
      </x:c>
      <x:c r="L924" s="12" t="n">
        <x:f>IF(COUNT(J924:K924)=2,IF(K924=0,"",J924/K924),"")</x:f>
        <x:v>0.8433734939759037</x:v>
      </x:c>
      <x:c r="M924" s="10" t="str">
        <x:v>Эпизод 2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24" s="10" t="str">
        <x:v>Выбрать сцену 1–3 минуты; описать действие и предсказать продолжение.</x:v>
      </x:c>
      <x:c r="O924" s="10" t="str">
        <x:v>Уровень предварительный; детский сериал не обязательно прост</x:v>
      </x:c>
      <x:c r="P924" s="10" t="str">
        <x:v>Полная серия — кандидат</x:v>
      </x:c>
      <x:c r="Q924" s="9" t="str">
        <x:v>Нет</x:v>
      </x:c>
      <x:c r="R924" s="9" t="str">
        <x:v>C053</x:v>
      </x:c>
      <x:c r="S924" s="9" t="str">
        <x:v>C053</x:v>
      </x:c>
      <x:c r="T924" s="10" t="str">
        <x:v>כאן חינוכית</x:v>
      </x:c>
      <x:c r="U924" s="11" t="str">
        <x:v>https://www.youtube.com/watch?v=FyRhHspKt1w</x:v>
      </x:c>
      <x:c r="V924" s="16" t="n">
        <x:v>46308</x:v>
      </x:c>
      <x:c r="W924" s="16" t="n">
        <x:v>44564</x:v>
      </x:c>
      <x:c r="X924" s="10" t="str">
        <x:v>Иврит предполагается по заголовку и источнику</x:v>
      </x:c>
      <x:c r="Y924" s="10" t="str">
        <x:v>Дорожка HE не найдена в метаданных; вшитые титры не проверены</x:v>
      </x:c>
      <x:c r="Z924" s="10" t="str">
        <x:v>Разрешено по метаданным</x:v>
      </x:c>
      <x:c r="AA924" s="10" t="str">
        <x:v>Метаданные видео; воспроизведение и содержание не проверены</x:v>
      </x:c>
      <x:c r="AB924" s="13" t="n">
        <x:f>IF(AND(ISNUMBER(H924),ISNUMBER(W924)),H924/MAX(1,'Обзор'!$B$4-W924),"")</x:f>
        <x:v>2039.0670871559632</x:v>
      </x:c>
      <x:c r="AC924" s="17" t="str">
        <x:v>Не решено</x:v>
      </x:c>
      <x:c r="AD924" s="17" t="str">
        <x:v>Не проверено</x:v>
      </x:c>
      <x:c r="AE924" s="17" t="str">
        <x:v>Не проверено</x:v>
      </x:c>
      <x:c r="AF924" s="17" t="str">
        <x:v>Не проверено</x:v>
      </x:c>
      <x:c r="AG924" s="17" t="str">
        <x:v>Не решено</x:v>
      </x:c>
      <x:c r="AH924" s="17" t="str">
        <x:v>Не проверено</x:v>
      </x:c>
      <x:c r="AI924" s="10" t="str">
        <x:f>IF(AC924="Отклонить","Отклонено",IF(AND(AC924="Взять",COUNTIFS(AD924:AH924,"Да")=5),"Готово","Нужна редактура"))</x:f>
        <x:v>Нужна редактура</x:v>
      </x:c>
      <x:c r="AJ924" s="17" t="str"/>
      <x:c r="AK924" s="9" t="str">
        <x:v>https://www.youtube.com/playlist?list=PL51YAgTlfPj63XlDuL-6gm5d53G9a1eg-</x:v>
      </x:c>
      <x:c r="AL924" s="9" t="n">
        <x:v>2</x:v>
      </x:c>
      <x:c r="AM924" s="9" t="n">
        <x:v>2</x:v>
      </x:c>
      <x:c r="AN924" s="9" t="n">
        <x:v>0</x:v>
      </x:c>
    </x:row>
    <x:row r="925" ht="60" customHeight="1">
      <x:c r="A925" s="9" t="str">
        <x:v>oC1ZifoAwkQ</x:v>
      </x:c>
      <x:c r="B925" s="10" t="str">
        <x:v>כראמל 🐱 | השיקוי - פרק 3</x:v>
      </x:c>
      <x:c r="C925" s="10" t="str">
        <x:v>Семейные сериалы</x:v>
      </x:c>
      <x:c r="D925" s="9" t="str">
        <x:v>Сериал</x:v>
      </x:c>
      <x:c r="E925" s="10" t="str">
        <x:v>Семьи; начинающие с опорой; молодёжь</x:v>
      </x:c>
      <x:c r="F925" s="10" t="str">
        <x:v>A2–B1 (гипотеза)</x:v>
      </x:c>
      <x:c r="G925" s="12" t="n">
        <x:v>26.3</x:v>
      </x:c>
      <x:c r="H925" s="14" t="n">
        <x:v>2011986</x:v>
      </x:c>
      <x:c r="I925" s="15" t="str">
        <x:v>Точный счётчик метаданных видео</x:v>
      </x:c>
      <x:c r="J925" s="14" t="n">
        <x:v>2000000</x:v>
      </x:c>
      <x:c r="K925" s="14" t="n">
        <x:v>4150000</x:v>
      </x:c>
      <x:c r="L925" s="12" t="n">
        <x:f>IF(COUNT(J925:K925)=2,IF(K925=0,"",J925/K925),"")</x:f>
        <x:v>0.4819277108433735</x:v>
      </x:c>
      <x:c r="M925" s="10" t="str">
        <x:v>Эпизод 3 в знакомой сюжетной ветке.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25" s="10" t="str">
        <x:v>Выбрать сцену 1–3 минуты; описать действие и предсказать продолжение.</x:v>
      </x:c>
      <x:c r="O925" s="10" t="str">
        <x:v>Уровень предварительный; детский сериал не обязательно прост</x:v>
      </x:c>
      <x:c r="P925" s="10" t="str">
        <x:v>Полная серия — кандидат</x:v>
      </x:c>
      <x:c r="Q925" s="9" t="str">
        <x:v>Нет</x:v>
      </x:c>
      <x:c r="R925" s="9" t="str">
        <x:v>C053</x:v>
      </x:c>
      <x:c r="S925" s="9" t="str">
        <x:v>C053</x:v>
      </x:c>
      <x:c r="T925" s="10" t="str">
        <x:v>כאן חינוכית</x:v>
      </x:c>
      <x:c r="U925" s="11" t="str">
        <x:v>https://www.youtube.com/watch?v=oC1ZifoAwkQ</x:v>
      </x:c>
      <x:c r="V925" s="16" t="n">
        <x:v>46308</x:v>
      </x:c>
      <x:c r="W925" s="16" t="n">
        <x:v>44565</x:v>
      </x:c>
      <x:c r="X925" s="10" t="str">
        <x:v>Иврит предполагается по заголовку и источнику</x:v>
      </x:c>
      <x:c r="Y925" s="10" t="str">
        <x:v>Дорожка HE не найдена в метаданных; вшитые титры не проверены</x:v>
      </x:c>
      <x:c r="Z925" s="10" t="str">
        <x:v>Разрешено по метаданным</x:v>
      </x:c>
      <x:c r="AA925" s="10" t="str">
        <x:v>Метаданные видео; воспроизведение и содержание не проверены</x:v>
      </x:c>
      <x:c r="AB925" s="13" t="n">
        <x:f>IF(AND(ISNUMBER(H925),ISNUMBER(W925)),H925/MAX(1,'Обзор'!$B$4-W925),"")</x:f>
        <x:v>1154.3235800344235</x:v>
      </x:c>
      <x:c r="AC925" s="17" t="str">
        <x:v>Не решено</x:v>
      </x:c>
      <x:c r="AD925" s="17" t="str">
        <x:v>Не проверено</x:v>
      </x:c>
      <x:c r="AE925" s="17" t="str">
        <x:v>Не проверено</x:v>
      </x:c>
      <x:c r="AF925" s="17" t="str">
        <x:v>Не проверено</x:v>
      </x:c>
      <x:c r="AG925" s="17" t="str">
        <x:v>Не решено</x:v>
      </x:c>
      <x:c r="AH925" s="17" t="str">
        <x:v>Не проверено</x:v>
      </x:c>
      <x:c r="AI925" s="10" t="str">
        <x:f>IF(AC925="Отклонить","Отклонено",IF(AND(AC925="Взять",COUNTIFS(AD925:AH925,"Да")=5),"Готово","Нужна редактура"))</x:f>
        <x:v>Нужна редактура</x:v>
      </x:c>
      <x:c r="AJ925" s="17" t="str"/>
      <x:c r="AK925" s="9" t="str">
        <x:v>https://www.youtube.com/playlist?list=PL51YAgTlfPj63XlDuL-6gm5d53G9a1eg-</x:v>
      </x:c>
      <x:c r="AL925" s="9" t="n">
        <x:v>3</x:v>
      </x:c>
      <x:c r="AM925" s="9" t="n">
        <x:v>3</x:v>
      </x:c>
      <x:c r="AN925" s="9" t="n">
        <x:v>0</x:v>
      </x:c>
    </x:row>
    <x:row r="926" ht="60" customHeight="1">
      <x:c r="A926" s="9" t="str">
        <x:v>jEpMMeHQSBU</x:v>
      </x:c>
      <x:c r="B926" s="10" t="str">
        <x:v>כראמל 🐱 | חתול קסום - פרק 4</x:v>
      </x:c>
      <x:c r="C926" s="10" t="str">
        <x:v>Семейные сериалы</x:v>
      </x:c>
      <x:c r="D926" s="9" t="str">
        <x:v>Сериал</x:v>
      </x:c>
      <x:c r="E926" s="10" t="str">
        <x:v>Семьи; начинающие с опорой; молодёжь</x:v>
      </x:c>
      <x:c r="F926" s="10" t="str">
        <x:v>A2–B1 (гипотеза)</x:v>
      </x:c>
      <x:c r="G926" s="12" t="n">
        <x:v>26.4</x:v>
      </x:c>
      <x:c r="H926" s="14" t="n">
        <x:v>4116873</x:v>
      </x:c>
      <x:c r="I926" s="15" t="str">
        <x:v>Точный счётчик метаданных видео</x:v>
      </x:c>
      <x:c r="J926" s="14" t="n">
        <x:v>4100000</x:v>
      </x:c>
      <x:c r="K926" s="14" t="n">
        <x:v>4150000</x:v>
      </x:c>
      <x:c r="L926" s="12" t="n">
        <x:f>IF(COUNT(J926:K926)=2,IF(K926=0,"",J926/K926),"")</x:f>
        <x:v>0.9879518072289156</x:v>
      </x:c>
      <x:c r="M926" s="10" t="str">
        <x:v>Эпизод 4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26" s="10" t="str">
        <x:v>Выбрать сцену 1–3 минуты; описать действие и предсказать продолжение.</x:v>
      </x:c>
      <x:c r="O926" s="10" t="str">
        <x:v>Уровень предварительный; детский сериал не обязательно прост</x:v>
      </x:c>
      <x:c r="P926" s="10" t="str">
        <x:v>Полная серия — кандидат</x:v>
      </x:c>
      <x:c r="Q926" s="9" t="str">
        <x:v>Нет</x:v>
      </x:c>
      <x:c r="R926" s="9" t="str">
        <x:v>C053</x:v>
      </x:c>
      <x:c r="S926" s="9" t="str">
        <x:v>C053</x:v>
      </x:c>
      <x:c r="T926" s="10" t="str">
        <x:v>כאן חינוכית</x:v>
      </x:c>
      <x:c r="U926" s="11" t="str">
        <x:v>https://www.youtube.com/watch?v=jEpMMeHQSBU</x:v>
      </x:c>
      <x:c r="V926" s="16" t="n">
        <x:v>46308</x:v>
      </x:c>
      <x:c r="W926" s="16" t="n">
        <x:v>44566</x:v>
      </x:c>
      <x:c r="X926" s="10" t="str">
        <x:v>Иврит предполагается по заголовку и источнику</x:v>
      </x:c>
      <x:c r="Y926" s="10" t="str">
        <x:v>Дорожка HE не найдена в метаданных; вшитые титры не проверены</x:v>
      </x:c>
      <x:c r="Z926" s="10" t="str">
        <x:v>Разрешено по метаданным</x:v>
      </x:c>
      <x:c r="AA926" s="10" t="str">
        <x:v>Метаданные видео; воспроизведение и содержание не проверены</x:v>
      </x:c>
      <x:c r="AB926" s="13" t="n">
        <x:f>IF(AND(ISNUMBER(H926),ISNUMBER(W926)),H926/MAX(1,'Обзор'!$B$4-W926),"")</x:f>
        <x:v>2363.3025258323764</x:v>
      </x:c>
      <x:c r="AC926" s="17" t="str">
        <x:v>Не решено</x:v>
      </x:c>
      <x:c r="AD926" s="17" t="str">
        <x:v>Не проверено</x:v>
      </x:c>
      <x:c r="AE926" s="17" t="str">
        <x:v>Не проверено</x:v>
      </x:c>
      <x:c r="AF926" s="17" t="str">
        <x:v>Не проверено</x:v>
      </x:c>
      <x:c r="AG926" s="17" t="str">
        <x:v>Не решено</x:v>
      </x:c>
      <x:c r="AH926" s="17" t="str">
        <x:v>Не проверено</x:v>
      </x:c>
      <x:c r="AI926" s="10" t="str">
        <x:f>IF(AC926="Отклонить","Отклонено",IF(AND(AC926="Взять",COUNTIFS(AD926:AH926,"Да")=5),"Готово","Нужна редактура"))</x:f>
        <x:v>Нужна редактура</x:v>
      </x:c>
      <x:c r="AJ926" s="17" t="str"/>
      <x:c r="AK926" s="9" t="str">
        <x:v>https://www.youtube.com/playlist?list=PL51YAgTlfPj63XlDuL-6gm5d53G9a1eg-</x:v>
      </x:c>
      <x:c r="AL926" s="9" t="n">
        <x:v>4</x:v>
      </x:c>
      <x:c r="AM926" s="9" t="n">
        <x:v>4</x:v>
      </x:c>
      <x:c r="AN926" s="9" t="n">
        <x:v>0</x:v>
      </x:c>
    </x:row>
    <x:row r="927" ht="60" customHeight="1">
      <x:c r="A927" s="9" t="str">
        <x:v>a2MQCH7xpxc</x:v>
      </x:c>
      <x:c r="B927" s="10" t="str">
        <x:v>כראמל 🐱 | גנב בטירה - פרק 5</x:v>
      </x:c>
      <x:c r="C927" s="10" t="str">
        <x:v>Семейные сериалы</x:v>
      </x:c>
      <x:c r="D927" s="9" t="str">
        <x:v>Сериал</x:v>
      </x:c>
      <x:c r="E927" s="10" t="str">
        <x:v>Семьи; начинающие с опорой; молодёжь</x:v>
      </x:c>
      <x:c r="F927" s="10" t="str">
        <x:v>A2–B1 (гипотеза)</x:v>
      </x:c>
      <x:c r="G927" s="12" t="n">
        <x:v>27.3</x:v>
      </x:c>
      <x:c r="H927" s="14" t="n">
        <x:v>5937670</x:v>
      </x:c>
      <x:c r="I927" s="15" t="str">
        <x:v>Точный счётчик метаданных видео</x:v>
      </x:c>
      <x:c r="J927" s="14" t="n">
        <x:v>5900000</x:v>
      </x:c>
      <x:c r="K927" s="14" t="n">
        <x:v>4150000</x:v>
      </x:c>
      <x:c r="L927" s="12" t="n">
        <x:f>IF(COUNT(J927:K927)=2,IF(K927=0,"",J927/K927),"")</x:f>
        <x:v>1.4216867469879517</x:v>
      </x:c>
      <x:c r="M927" s="10" t="str">
        <x:v>Эпизод 5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27" s="10" t="str">
        <x:v>Выбрать сцену 1–3 минуты; описать действие и предсказать продолжение.</x:v>
      </x:c>
      <x:c r="O927" s="10" t="str">
        <x:v>Уровень предварительный; детский сериал не обязательно прост</x:v>
      </x:c>
      <x:c r="P927" s="10" t="str">
        <x:v>Полная серия — кандидат</x:v>
      </x:c>
      <x:c r="Q927" s="9" t="str">
        <x:v>Нет</x:v>
      </x:c>
      <x:c r="R927" s="9" t="str">
        <x:v>C053</x:v>
      </x:c>
      <x:c r="S927" s="9" t="str">
        <x:v>C053</x:v>
      </x:c>
      <x:c r="T927" s="10" t="str">
        <x:v>כאן חינוכית</x:v>
      </x:c>
      <x:c r="U927" s="11" t="str">
        <x:v>https://www.youtube.com/watch?v=a2MQCH7xpxc</x:v>
      </x:c>
      <x:c r="V927" s="16" t="n">
        <x:v>46308</x:v>
      </x:c>
      <x:c r="W927" s="16" t="n">
        <x:v>44570</x:v>
      </x:c>
      <x:c r="X927" s="10" t="str">
        <x:v>Иврит предполагается по заголовку и источнику</x:v>
      </x:c>
      <x:c r="Y927" s="10" t="str">
        <x:v>Дорожка HE не найдена в метаданных; вшитые титры не проверены</x:v>
      </x:c>
      <x:c r="Z927" s="10" t="str">
        <x:v>Разрешено по метаданным</x:v>
      </x:c>
      <x:c r="AA927" s="10" t="str">
        <x:v>Метаданные видео; воспроизведение и содержание не проверены</x:v>
      </x:c>
      <x:c r="AB927" s="13" t="n">
        <x:f>IF(AND(ISNUMBER(H927),ISNUMBER(W927)),H927/MAX(1,'Обзор'!$B$4-W927),"")</x:f>
        <x:v>3416.380897583429</x:v>
      </x:c>
      <x:c r="AC927" s="17" t="str">
        <x:v>Не решено</x:v>
      </x:c>
      <x:c r="AD927" s="17" t="str">
        <x:v>Не проверено</x:v>
      </x:c>
      <x:c r="AE927" s="17" t="str">
        <x:v>Не проверено</x:v>
      </x:c>
      <x:c r="AF927" s="17" t="str">
        <x:v>Не проверено</x:v>
      </x:c>
      <x:c r="AG927" s="17" t="str">
        <x:v>Не решено</x:v>
      </x:c>
      <x:c r="AH927" s="17" t="str">
        <x:v>Не проверено</x:v>
      </x:c>
      <x:c r="AI927" s="10" t="str">
        <x:f>IF(AC927="Отклонить","Отклонено",IF(AND(AC927="Взять",COUNTIFS(AD927:AH927,"Да")=5),"Готово","Нужна редактура"))</x:f>
        <x:v>Нужна редактура</x:v>
      </x:c>
      <x:c r="AJ927" s="17" t="str"/>
      <x:c r="AK927" s="9" t="str">
        <x:v>https://www.youtube.com/playlist?list=PL51YAgTlfPj63XlDuL-6gm5d53G9a1eg-</x:v>
      </x:c>
      <x:c r="AL927" s="9" t="n">
        <x:v>5</x:v>
      </x:c>
      <x:c r="AM927" s="9" t="n">
        <x:v>5</x:v>
      </x:c>
      <x:c r="AN927" s="9" t="n">
        <x:v>0</x:v>
      </x:c>
    </x:row>
    <x:row r="928" ht="60" customHeight="1">
      <x:c r="A928" s="9" t="str">
        <x:v>LWxfewWBzoU</x:v>
      </x:c>
      <x:c r="B928" s="10" t="str">
        <x:v>כראמל 🐱 | צ'אנג צ'י - פרק 6</x:v>
      </x:c>
      <x:c r="C928" s="10" t="str">
        <x:v>Семейные сериалы</x:v>
      </x:c>
      <x:c r="D928" s="9" t="str">
        <x:v>Сериал</x:v>
      </x:c>
      <x:c r="E928" s="10" t="str">
        <x:v>Семьи; начинающие с опорой; молодёжь</x:v>
      </x:c>
      <x:c r="F928" s="10" t="str">
        <x:v>A2–B1 (гипотеза)</x:v>
      </x:c>
      <x:c r="G928" s="12" t="n">
        <x:v>26.1</x:v>
      </x:c>
      <x:c r="H928" s="14" t="n">
        <x:v>4174165</x:v>
      </x:c>
      <x:c r="I928" s="15" t="str">
        <x:v>Точный счётчик метаданных видео</x:v>
      </x:c>
      <x:c r="J928" s="14" t="n">
        <x:v>4100000</x:v>
      </x:c>
      <x:c r="K928" s="14" t="n">
        <x:v>4150000</x:v>
      </x:c>
      <x:c r="L928" s="12" t="n">
        <x:f>IF(COUNT(J928:K928)=2,IF(K928=0,"",J928/K928),"")</x:f>
        <x:v>0.9879518072289156</x:v>
      </x:c>
      <x:c r="M928" s="10" t="str">
        <x:v>Эпизод 6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28" s="10" t="str">
        <x:v>Выбрать сцену 1–3 минуты; описать действие и предсказать продолжение.</x:v>
      </x:c>
      <x:c r="O928" s="10" t="str">
        <x:v>Уровень предварительный; детский сериал не обязательно прост</x:v>
      </x:c>
      <x:c r="P928" s="10" t="str">
        <x:v>Полная серия — кандидат</x:v>
      </x:c>
      <x:c r="Q928" s="9" t="str">
        <x:v>Нет</x:v>
      </x:c>
      <x:c r="R928" s="9" t="str">
        <x:v>C053</x:v>
      </x:c>
      <x:c r="S928" s="9" t="str">
        <x:v>C053</x:v>
      </x:c>
      <x:c r="T928" s="10" t="str">
        <x:v>כאן חינוכית</x:v>
      </x:c>
      <x:c r="U928" s="11" t="str">
        <x:v>https://www.youtube.com/watch?v=LWxfewWBzoU</x:v>
      </x:c>
      <x:c r="V928" s="16" t="n">
        <x:v>46308</x:v>
      </x:c>
      <x:c r="W928" s="16" t="n">
        <x:v>44571</x:v>
      </x:c>
      <x:c r="X928" s="10" t="str">
        <x:v>Иврит предполагается по заголовку и источнику</x:v>
      </x:c>
      <x:c r="Y928" s="10" t="str">
        <x:v>Дорожка HE не найдена в метаданных; вшитые титры не проверены</x:v>
      </x:c>
      <x:c r="Z928" s="10" t="str">
        <x:v>Разрешено по метаданным</x:v>
      </x:c>
      <x:c r="AA928" s="10" t="str">
        <x:v>Метаданные видео; воспроизведение и содержание не проверены</x:v>
      </x:c>
      <x:c r="AB928" s="13" t="n">
        <x:f>IF(AND(ISNUMBER(H928),ISNUMBER(W928)),H928/MAX(1,'Обзор'!$B$4-W928),"")</x:f>
        <x:v>2403.088658606793</x:v>
      </x:c>
      <x:c r="AC928" s="17" t="str">
        <x:v>Не решено</x:v>
      </x:c>
      <x:c r="AD928" s="17" t="str">
        <x:v>Не проверено</x:v>
      </x:c>
      <x:c r="AE928" s="17" t="str">
        <x:v>Не проверено</x:v>
      </x:c>
      <x:c r="AF928" s="17" t="str">
        <x:v>Не проверено</x:v>
      </x:c>
      <x:c r="AG928" s="17" t="str">
        <x:v>Не решено</x:v>
      </x:c>
      <x:c r="AH928" s="17" t="str">
        <x:v>Не проверено</x:v>
      </x:c>
      <x:c r="AI928" s="10" t="str">
        <x:f>IF(AC928="Отклонить","Отклонено",IF(AND(AC928="Взять",COUNTIFS(AD928:AH928,"Да")=5),"Готово","Нужна редактура"))</x:f>
        <x:v>Нужна редактура</x:v>
      </x:c>
      <x:c r="AJ928" s="17" t="str"/>
      <x:c r="AK928" s="9" t="str">
        <x:v>https://www.youtube.com/playlist?list=PL51YAgTlfPj63XlDuL-6gm5d53G9a1eg-</x:v>
      </x:c>
      <x:c r="AL928" s="9" t="n">
        <x:v>6</x:v>
      </x:c>
      <x:c r="AM928" s="9" t="n">
        <x:v>6</x:v>
      </x:c>
      <x:c r="AN928" s="9" t="n">
        <x:v>0</x:v>
      </x:c>
    </x:row>
    <x:row r="929" ht="60" customHeight="1">
      <x:c r="A929" s="9" t="str">
        <x:v>tisFJ4c2kT4</x:v>
      </x:c>
      <x:c r="B929" s="10" t="str">
        <x:v>כראמל 🐱 | בלום הרקדנית - פרק 7</x:v>
      </x:c>
      <x:c r="C929" s="10" t="str">
        <x:v>Семейные сериалы</x:v>
      </x:c>
      <x:c r="D929" s="9" t="str">
        <x:v>Сериал</x:v>
      </x:c>
      <x:c r="E929" s="10" t="str">
        <x:v>Семьи; начинающие с опорой; молодёжь</x:v>
      </x:c>
      <x:c r="F929" s="10" t="str">
        <x:v>A2–B1 (гипотеза)</x:v>
      </x:c>
      <x:c r="G929" s="12" t="n">
        <x:v>27</x:v>
      </x:c>
      <x:c r="H929" s="14" t="n">
        <x:v>4091122</x:v>
      </x:c>
      <x:c r="I929" s="15" t="str">
        <x:v>Точный счётчик метаданных видео</x:v>
      </x:c>
      <x:c r="J929" s="14" t="n">
        <x:v>4000000</x:v>
      </x:c>
      <x:c r="K929" s="14" t="n">
        <x:v>4150000</x:v>
      </x:c>
      <x:c r="L929" s="12" t="n">
        <x:f>IF(COUNT(J929:K929)=2,IF(K929=0,"",J929/K929),"")</x:f>
        <x:v>0.963855421686747</x:v>
      </x:c>
      <x:c r="M929" s="10" t="str">
        <x:v>Эпизод 7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29" s="10" t="str">
        <x:v>Выбрать сцену 1–3 минуты; описать действие и предсказать продолжение.</x:v>
      </x:c>
      <x:c r="O929" s="10" t="str">
        <x:v>Уровень предварительный; детский сериал не обязательно прост</x:v>
      </x:c>
      <x:c r="P929" s="10" t="str">
        <x:v>Полная серия — кандидат</x:v>
      </x:c>
      <x:c r="Q929" s="9" t="str">
        <x:v>Нет</x:v>
      </x:c>
      <x:c r="R929" s="9" t="str">
        <x:v>C053</x:v>
      </x:c>
      <x:c r="S929" s="9" t="str">
        <x:v>C053</x:v>
      </x:c>
      <x:c r="T929" s="10" t="str">
        <x:v>כאן חינוכית</x:v>
      </x:c>
      <x:c r="U929" s="11" t="str">
        <x:v>https://www.youtube.com/watch?v=tisFJ4c2kT4</x:v>
      </x:c>
      <x:c r="V929" s="16" t="n">
        <x:v>46308</x:v>
      </x:c>
      <x:c r="W929" s="16" t="n">
        <x:v>44572</x:v>
      </x:c>
      <x:c r="X929" s="10" t="str">
        <x:v>Иврит предполагается по заголовку и источнику</x:v>
      </x:c>
      <x:c r="Y929" s="10" t="str">
        <x:v>Дорожка HE не найдена в метаданных; вшитые титры не проверены</x:v>
      </x:c>
      <x:c r="Z929" s="10" t="str">
        <x:v>Разрешено по метаданным</x:v>
      </x:c>
      <x:c r="AA929" s="10" t="str">
        <x:v>Метаданные видео; воспроизведение и содержание не проверены</x:v>
      </x:c>
      <x:c r="AB929" s="13" t="n">
        <x:f>IF(AND(ISNUMBER(H929),ISNUMBER(W929)),H929/MAX(1,'Обзор'!$B$4-W929),"")</x:f>
        <x:v>2356.6370967741937</x:v>
      </x:c>
      <x:c r="AC929" s="17" t="str">
        <x:v>Не решено</x:v>
      </x:c>
      <x:c r="AD929" s="17" t="str">
        <x:v>Не проверено</x:v>
      </x:c>
      <x:c r="AE929" s="17" t="str">
        <x:v>Не проверено</x:v>
      </x:c>
      <x:c r="AF929" s="17" t="str">
        <x:v>Не проверено</x:v>
      </x:c>
      <x:c r="AG929" s="17" t="str">
        <x:v>Не решено</x:v>
      </x:c>
      <x:c r="AH929" s="17" t="str">
        <x:v>Не проверено</x:v>
      </x:c>
      <x:c r="AI929" s="10" t="str">
        <x:f>IF(AC929="Отклонить","Отклонено",IF(AND(AC929="Взять",COUNTIFS(AD929:AH929,"Да")=5),"Готово","Нужна редактура"))</x:f>
        <x:v>Нужна редактура</x:v>
      </x:c>
      <x:c r="AJ929" s="17" t="str"/>
      <x:c r="AK929" s="9" t="str">
        <x:v>https://www.youtube.com/playlist?list=PL51YAgTlfPj63XlDuL-6gm5d53G9a1eg-</x:v>
      </x:c>
      <x:c r="AL929" s="9" t="n">
        <x:v>7</x:v>
      </x:c>
      <x:c r="AM929" s="9" t="n">
        <x:v>7</x:v>
      </x:c>
      <x:c r="AN929" s="9" t="n">
        <x:v>0</x:v>
      </x:c>
    </x:row>
    <x:row r="930" ht="60" customHeight="1">
      <x:c r="A930" s="9" t="str">
        <x:v>2oV4JL5Sf20</x:v>
      </x:c>
      <x:c r="B930" s="10" t="str">
        <x:v>כראמל 🐱 | ג'יין - פרק 8</x:v>
      </x:c>
      <x:c r="C930" s="10" t="str">
        <x:v>Семейные сериалы</x:v>
      </x:c>
      <x:c r="D930" s="9" t="str">
        <x:v>Сериал</x:v>
      </x:c>
      <x:c r="E930" s="10" t="str">
        <x:v>Семьи; начинающие с опорой; молодёжь</x:v>
      </x:c>
      <x:c r="F930" s="10" t="str">
        <x:v>A2–B1 (гипотеза)</x:v>
      </x:c>
      <x:c r="G930" s="12" t="n">
        <x:v>26.2</x:v>
      </x:c>
      <x:c r="H930" s="14" t="n">
        <x:v>4303846</x:v>
      </x:c>
      <x:c r="I930" s="15" t="str">
        <x:v>Точный счётчик метаданных видео</x:v>
      </x:c>
      <x:c r="J930" s="14" t="n">
        <x:v>4300000</x:v>
      </x:c>
      <x:c r="K930" s="14" t="n">
        <x:v>4150000</x:v>
      </x:c>
      <x:c r="L930" s="12" t="n">
        <x:f>IF(COUNT(J930:K930)=2,IF(K930=0,"",J930/K930),"")</x:f>
        <x:v>1.036144578313253</x:v>
      </x:c>
      <x:c r="M930" s="10" t="str">
        <x:v>Эпизод 8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30" s="10" t="str">
        <x:v>Выбрать сцену 1–3 минуты; описать действие и предсказать продолжение.</x:v>
      </x:c>
      <x:c r="O930" s="10" t="str">
        <x:v>Уровень предварительный; детский сериал не обязательно прост</x:v>
      </x:c>
      <x:c r="P930" s="10" t="str">
        <x:v>Полная серия — кандидат</x:v>
      </x:c>
      <x:c r="Q930" s="9" t="str">
        <x:v>Нет</x:v>
      </x:c>
      <x:c r="R930" s="9" t="str">
        <x:v>C053</x:v>
      </x:c>
      <x:c r="S930" s="9" t="str">
        <x:v>C053</x:v>
      </x:c>
      <x:c r="T930" s="10" t="str">
        <x:v>כאן חינוכית</x:v>
      </x:c>
      <x:c r="U930" s="11" t="str">
        <x:v>https://www.youtube.com/watch?v=2oV4JL5Sf20</x:v>
      </x:c>
      <x:c r="V930" s="16" t="n">
        <x:v>46308</x:v>
      </x:c>
      <x:c r="W930" s="16" t="n">
        <x:v>44573</x:v>
      </x:c>
      <x:c r="X930" s="10" t="str">
        <x:v>Иврит предполагается по заголовку и источнику</x:v>
      </x:c>
      <x:c r="Y930" s="10" t="str">
        <x:v>Дорожка HE не найдена в метаданных; вшитые титры не проверены</x:v>
      </x:c>
      <x:c r="Z930" s="10" t="str">
        <x:v>Разрешено по метаданным</x:v>
      </x:c>
      <x:c r="AA930" s="10" t="str">
        <x:v>Метаданные видео; воспроизведение и содержание не проверены</x:v>
      </x:c>
      <x:c r="AB930" s="13" t="n">
        <x:f>IF(AND(ISNUMBER(H930),ISNUMBER(W930)),H930/MAX(1,'Обзор'!$B$4-W930),"")</x:f>
        <x:v>2480.6028818443806</x:v>
      </x:c>
      <x:c r="AC930" s="17" t="str">
        <x:v>Не решено</x:v>
      </x:c>
      <x:c r="AD930" s="17" t="str">
        <x:v>Не проверено</x:v>
      </x:c>
      <x:c r="AE930" s="17" t="str">
        <x:v>Не проверено</x:v>
      </x:c>
      <x:c r="AF930" s="17" t="str">
        <x:v>Не проверено</x:v>
      </x:c>
      <x:c r="AG930" s="17" t="str">
        <x:v>Не решено</x:v>
      </x:c>
      <x:c r="AH930" s="17" t="str">
        <x:v>Не проверено</x:v>
      </x:c>
      <x:c r="AI930" s="10" t="str">
        <x:f>IF(AC930="Отклонить","Отклонено",IF(AND(AC930="Взять",COUNTIFS(AD930:AH930,"Да")=5),"Готово","Нужна редактура"))</x:f>
        <x:v>Нужна редактура</x:v>
      </x:c>
      <x:c r="AJ930" s="17" t="str"/>
      <x:c r="AK930" s="9" t="str">
        <x:v>https://www.youtube.com/playlist?list=PL51YAgTlfPj63XlDuL-6gm5d53G9a1eg-</x:v>
      </x:c>
      <x:c r="AL930" s="9" t="n">
        <x:v>8</x:v>
      </x:c>
      <x:c r="AM930" s="9" t="n">
        <x:v>8</x:v>
      </x:c>
      <x:c r="AN930" s="9" t="n">
        <x:v>0</x:v>
      </x:c>
    </x:row>
    <x:row r="931" ht="60" customHeight="1">
      <x:c r="A931" s="9" t="str">
        <x:v>4m-N-FdvShE</x:v>
      </x:c>
      <x:c r="B931" s="10" t="str">
        <x:v>כראמל 🐱 | החברה החדשה של כראמל - פרק 9</x:v>
      </x:c>
      <x:c r="C931" s="10" t="str">
        <x:v>Семейные сериалы</x:v>
      </x:c>
      <x:c r="D931" s="9" t="str">
        <x:v>Сериал</x:v>
      </x:c>
      <x:c r="E931" s="10" t="str">
        <x:v>Семьи; начинающие с опорой; молодёжь</x:v>
      </x:c>
      <x:c r="F931" s="10" t="str">
        <x:v>A2–B1 (гипотеза)</x:v>
      </x:c>
      <x:c r="G931" s="12" t="n">
        <x:v>25.9</x:v>
      </x:c>
      <x:c r="H931" s="14" t="n">
        <x:v>3763020</x:v>
      </x:c>
      <x:c r="I931" s="15" t="str">
        <x:v>Точный счётчик метаданных видео</x:v>
      </x:c>
      <x:c r="J931" s="14" t="n">
        <x:v>3700000</x:v>
      </x:c>
      <x:c r="K931" s="14" t="n">
        <x:v>4150000</x:v>
      </x:c>
      <x:c r="L931" s="12" t="n">
        <x:f>IF(COUNT(J931:K931)=2,IF(K931=0,"",J931/K931),"")</x:f>
        <x:v>0.891566265060241</x:v>
      </x:c>
      <x:c r="M931" s="10" t="str">
        <x:v>Эпизод 9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31" s="10" t="str">
        <x:v>Выбрать сцену 1–3 минуты; описать действие и предсказать продолжение.</x:v>
      </x:c>
      <x:c r="O931" s="10" t="str">
        <x:v>Уровень предварительный; детский сериал не обязательно прост</x:v>
      </x:c>
      <x:c r="P931" s="10" t="str">
        <x:v>Полная серия — кандидат</x:v>
      </x:c>
      <x:c r="Q931" s="9" t="str">
        <x:v>Нет</x:v>
      </x:c>
      <x:c r="R931" s="9" t="str">
        <x:v>C053</x:v>
      </x:c>
      <x:c r="S931" s="9" t="str">
        <x:v>C053</x:v>
      </x:c>
      <x:c r="T931" s="10" t="str">
        <x:v>כאן חינוכית</x:v>
      </x:c>
      <x:c r="U931" s="11" t="str">
        <x:v>https://www.youtube.com/watch?v=4m-N-FdvShE</x:v>
      </x:c>
      <x:c r="V931" s="16" t="n">
        <x:v>46308</x:v>
      </x:c>
      <x:c r="W931" s="16" t="n">
        <x:v>44577</x:v>
      </x:c>
      <x:c r="X931" s="10" t="str">
        <x:v>Иврит предполагается по заголовку и источнику</x:v>
      </x:c>
      <x:c r="Y931" s="10" t="str">
        <x:v>Дорожка HE не найдена в метаданных; вшитые титры не проверены</x:v>
      </x:c>
      <x:c r="Z931" s="10" t="str">
        <x:v>Разрешено по метаданным</x:v>
      </x:c>
      <x:c r="AA931" s="10" t="str">
        <x:v>Метаданные видео; воспроизведение и содержание не проверены</x:v>
      </x:c>
      <x:c r="AB931" s="13" t="n">
        <x:f>IF(AND(ISNUMBER(H931),ISNUMBER(W931)),H931/MAX(1,'Обзор'!$B$4-W931),"")</x:f>
        <x:v>2173.899480069324</x:v>
      </x:c>
      <x:c r="AC931" s="17" t="str">
        <x:v>Не решено</x:v>
      </x:c>
      <x:c r="AD931" s="17" t="str">
        <x:v>Не проверено</x:v>
      </x:c>
      <x:c r="AE931" s="17" t="str">
        <x:v>Не проверено</x:v>
      </x:c>
      <x:c r="AF931" s="17" t="str">
        <x:v>Не проверено</x:v>
      </x:c>
      <x:c r="AG931" s="17" t="str">
        <x:v>Не решено</x:v>
      </x:c>
      <x:c r="AH931" s="17" t="str">
        <x:v>Не проверено</x:v>
      </x:c>
      <x:c r="AI931" s="10" t="str">
        <x:f>IF(AC931="Отклонить","Отклонено",IF(AND(AC931="Взять",COUNTIFS(AD931:AH931,"Да")=5),"Готово","Нужна редактура"))</x:f>
        <x:v>Нужна редактура</x:v>
      </x:c>
      <x:c r="AJ931" s="17" t="str"/>
      <x:c r="AK931" s="9" t="str">
        <x:v>https://www.youtube.com/playlist?list=PL51YAgTlfPj63XlDuL-6gm5d53G9a1eg-</x:v>
      </x:c>
      <x:c r="AL931" s="9" t="n">
        <x:v>9</x:v>
      </x:c>
      <x:c r="AM931" s="9" t="n">
        <x:v>9</x:v>
      </x:c>
      <x:c r="AN931" s="9" t="n">
        <x:v>0</x:v>
      </x:c>
    </x:row>
    <x:row r="932" ht="60" customHeight="1">
      <x:c r="A932" s="9" t="str">
        <x:v>4dcFbaev2Zw</x:v>
      </x:c>
      <x:c r="B932" s="10" t="str">
        <x:v>כראמל 🐱 | הצמיד - פרק 10</x:v>
      </x:c>
      <x:c r="C932" s="10" t="str">
        <x:v>Семейные сериалы</x:v>
      </x:c>
      <x:c r="D932" s="9" t="str">
        <x:v>Сериал</x:v>
      </x:c>
      <x:c r="E932" s="10" t="str">
        <x:v>Семьи; начинающие с опорой; молодёжь</x:v>
      </x:c>
      <x:c r="F932" s="10" t="str">
        <x:v>A2–B1 (гипотеза)</x:v>
      </x:c>
      <x:c r="G932" s="12" t="n">
        <x:v>25.7</x:v>
      </x:c>
      <x:c r="H932" s="14" t="n">
        <x:v>4191693</x:v>
      </x:c>
      <x:c r="I932" s="15" t="str">
        <x:v>Точный счётчик метаданных видео</x:v>
      </x:c>
      <x:c r="J932" s="14" t="n">
        <x:v>4100000</x:v>
      </x:c>
      <x:c r="K932" s="14" t="n">
        <x:v>4150000</x:v>
      </x:c>
      <x:c r="L932" s="12" t="n">
        <x:f>IF(COUNT(J932:K932)=2,IF(K932=0,"",J932/K932),"")</x:f>
        <x:v>0.9879518072289156</x:v>
      </x:c>
      <x:c r="M932" s="10" t="str">
        <x:v>Эпизод 10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32" s="10" t="str">
        <x:v>Выбрать сцену 1–3 минуты; описать действие и предсказать продолжение.</x:v>
      </x:c>
      <x:c r="O932" s="10" t="str">
        <x:v>Уровень предварительный; детский сериал не обязательно прост</x:v>
      </x:c>
      <x:c r="P932" s="10" t="str">
        <x:v>Полная серия — кандидат</x:v>
      </x:c>
      <x:c r="Q932" s="9" t="str">
        <x:v>Нет</x:v>
      </x:c>
      <x:c r="R932" s="9" t="str">
        <x:v>C053</x:v>
      </x:c>
      <x:c r="S932" s="9" t="str">
        <x:v>C053</x:v>
      </x:c>
      <x:c r="T932" s="10" t="str">
        <x:v>כאן חינוכית</x:v>
      </x:c>
      <x:c r="U932" s="11" t="str">
        <x:v>https://www.youtube.com/watch?v=4dcFbaev2Zw</x:v>
      </x:c>
      <x:c r="V932" s="16" t="n">
        <x:v>46308</x:v>
      </x:c>
      <x:c r="W932" s="16" t="n">
        <x:v>44578</x:v>
      </x:c>
      <x:c r="X932" s="10" t="str">
        <x:v>Иврит предполагается по заголовку и источнику</x:v>
      </x:c>
      <x:c r="Y932" s="10" t="str">
        <x:v>Дорожка HE не найдена в метаданных; вшитые титры не проверены</x:v>
      </x:c>
      <x:c r="Z932" s="10" t="str">
        <x:v>Разрешено по метаданным</x:v>
      </x:c>
      <x:c r="AA932" s="10" t="str">
        <x:v>Метаданные видео; воспроизведение и содержание не проверены</x:v>
      </x:c>
      <x:c r="AB932" s="13" t="n">
        <x:f>IF(AND(ISNUMBER(H932),ISNUMBER(W932)),H932/MAX(1,'Обзор'!$B$4-W932),"")</x:f>
        <x:v>2422.943930635838</x:v>
      </x:c>
      <x:c r="AC932" s="17" t="str">
        <x:v>Не решено</x:v>
      </x:c>
      <x:c r="AD932" s="17" t="str">
        <x:v>Не проверено</x:v>
      </x:c>
      <x:c r="AE932" s="17" t="str">
        <x:v>Не проверено</x:v>
      </x:c>
      <x:c r="AF932" s="17" t="str">
        <x:v>Не проверено</x:v>
      </x:c>
      <x:c r="AG932" s="17" t="str">
        <x:v>Не решено</x:v>
      </x:c>
      <x:c r="AH932" s="17" t="str">
        <x:v>Не проверено</x:v>
      </x:c>
      <x:c r="AI932" s="10" t="str">
        <x:f>IF(AC932="Отклонить","Отклонено",IF(AND(AC932="Взять",COUNTIFS(AD932:AH932,"Да")=5),"Готово","Нужна редактура"))</x:f>
        <x:v>Нужна редактура</x:v>
      </x:c>
      <x:c r="AJ932" s="17" t="str"/>
      <x:c r="AK932" s="9" t="str">
        <x:v>https://www.youtube.com/playlist?list=PL51YAgTlfPj63XlDuL-6gm5d53G9a1eg-</x:v>
      </x:c>
      <x:c r="AL932" s="9" t="n">
        <x:v>10</x:v>
      </x:c>
      <x:c r="AM932" s="9" t="n">
        <x:v>10</x:v>
      </x:c>
      <x:c r="AN932" s="9" t="n">
        <x:v>0</x:v>
      </x:c>
    </x:row>
    <x:row r="933" ht="60" customHeight="1">
      <x:c r="A933" s="9" t="str">
        <x:v>waKryO5iRsw</x:v>
      </x:c>
      <x:c r="B933" s="10" t="str">
        <x:v>כראמל 🐱 | בית היתומים - פרק 11</x:v>
      </x:c>
      <x:c r="C933" s="10" t="str">
        <x:v>Семейные сериалы</x:v>
      </x:c>
      <x:c r="D933" s="9" t="str">
        <x:v>Сериал</x:v>
      </x:c>
      <x:c r="E933" s="10" t="str">
        <x:v>Семьи; начинающие с опорой; молодёжь</x:v>
      </x:c>
      <x:c r="F933" s="10" t="str">
        <x:v>A2–B1 (гипотеза)</x:v>
      </x:c>
      <x:c r="G933" s="12" t="n">
        <x:v>26.2</x:v>
      </x:c>
      <x:c r="H933" s="14" t="n">
        <x:v>4071754</x:v>
      </x:c>
      <x:c r="I933" s="15" t="str">
        <x:v>Точный счётчик метаданных видео</x:v>
      </x:c>
      <x:c r="J933" s="14" t="n">
        <x:v>4000000</x:v>
      </x:c>
      <x:c r="K933" s="14" t="n">
        <x:v>4150000</x:v>
      </x:c>
      <x:c r="L933" s="12" t="n">
        <x:f>IF(COUNT(J933:K933)=2,IF(K933=0,"",J933/K933),"")</x:f>
        <x:v>0.963855421686747</x:v>
      </x:c>
      <x:c r="M933" s="10" t="str">
        <x:v>Эпизод 11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33" s="10" t="str">
        <x:v>Выбрать сцену 1–3 минуты; описать действие и предсказать продолжение.</x:v>
      </x:c>
      <x:c r="O933" s="10" t="str">
        <x:v>Уровень предварительный; детский сериал не обязательно прост</x:v>
      </x:c>
      <x:c r="P933" s="10" t="str">
        <x:v>Полная серия — кандидат</x:v>
      </x:c>
      <x:c r="Q933" s="9" t="str">
        <x:v>Нет</x:v>
      </x:c>
      <x:c r="R933" s="9" t="str">
        <x:v>C053</x:v>
      </x:c>
      <x:c r="S933" s="9" t="str">
        <x:v>C053</x:v>
      </x:c>
      <x:c r="T933" s="10" t="str">
        <x:v>כאן חינוכית</x:v>
      </x:c>
      <x:c r="U933" s="11" t="str">
        <x:v>https://www.youtube.com/watch?v=waKryO5iRsw</x:v>
      </x:c>
      <x:c r="V933" s="16" t="n">
        <x:v>46308</x:v>
      </x:c>
      <x:c r="W933" s="16" t="n">
        <x:v>44579</x:v>
      </x:c>
      <x:c r="X933" s="10" t="str">
        <x:v>Иврит предполагается по заголовку и источнику</x:v>
      </x:c>
      <x:c r="Y933" s="10" t="str">
        <x:v>Автоматическая дорожка HE по метаданным</x:v>
      </x:c>
      <x:c r="Z933" s="10" t="str">
        <x:v>Разрешено по метаданным</x:v>
      </x:c>
      <x:c r="AA933" s="10" t="str">
        <x:v>Метаданные видео; воспроизведение и содержание не проверены</x:v>
      </x:c>
      <x:c r="AB933" s="13" t="n">
        <x:f>IF(AND(ISNUMBER(H933),ISNUMBER(W933)),H933/MAX(1,'Обзор'!$B$4-W933),"")</x:f>
        <x:v>2354.9762868710236</x:v>
      </x:c>
      <x:c r="AC933" s="17" t="str">
        <x:v>Не решено</x:v>
      </x:c>
      <x:c r="AD933" s="17" t="str">
        <x:v>Не проверено</x:v>
      </x:c>
      <x:c r="AE933" s="17" t="str">
        <x:v>Не проверено</x:v>
      </x:c>
      <x:c r="AF933" s="17" t="str">
        <x:v>Не проверено</x:v>
      </x:c>
      <x:c r="AG933" s="17" t="str">
        <x:v>Не решено</x:v>
      </x:c>
      <x:c r="AH933" s="17" t="str">
        <x:v>Не проверено</x:v>
      </x:c>
      <x:c r="AI933" s="10" t="str">
        <x:f>IF(AC933="Отклонить","Отклонено",IF(AND(AC933="Взять",COUNTIFS(AD933:AH933,"Да")=5),"Готово","Нужна редактура"))</x:f>
        <x:v>Нужна редактура</x:v>
      </x:c>
      <x:c r="AJ933" s="17" t="str"/>
      <x:c r="AK933" s="9" t="str">
        <x:v>https://www.youtube.com/playlist?list=PL51YAgTlfPj63XlDuL-6gm5d53G9a1eg-</x:v>
      </x:c>
      <x:c r="AL933" s="9" t="n">
        <x:v>11</x:v>
      </x:c>
      <x:c r="AM933" s="9" t="n">
        <x:v>11</x:v>
      </x:c>
      <x:c r="AN933" s="9" t="n">
        <x:v>0</x:v>
      </x:c>
    </x:row>
    <x:row r="934" ht="60" customHeight="1">
      <x:c r="A934" s="9" t="str">
        <x:v>dP98MQMoNIc</x:v>
      </x:c>
      <x:c r="B934" s="10" t="str">
        <x:v>כראמל 🐱 | אל תוך היער - פרק 12</x:v>
      </x:c>
      <x:c r="C934" s="10" t="str">
        <x:v>Семейные сериалы</x:v>
      </x:c>
      <x:c r="D934" s="9" t="str">
        <x:v>Сериал</x:v>
      </x:c>
      <x:c r="E934" s="10" t="str">
        <x:v>Семьи; начинающие с опорой; молодёжь</x:v>
      </x:c>
      <x:c r="F934" s="10" t="str">
        <x:v>A2–B1 (гипотеза)</x:v>
      </x:c>
      <x:c r="G934" s="12" t="n">
        <x:v>27.3</x:v>
      </x:c>
      <x:c r="H934" s="14" t="n">
        <x:v>2051992</x:v>
      </x:c>
      <x:c r="I934" s="15" t="str">
        <x:v>Точный счётчик метаданных видео</x:v>
      </x:c>
      <x:c r="J934" s="14" t="n">
        <x:v>2000000</x:v>
      </x:c>
      <x:c r="K934" s="14" t="n">
        <x:v>4150000</x:v>
      </x:c>
      <x:c r="L934" s="12" t="n">
        <x:f>IF(COUNT(J934:K934)=2,IF(K934=0,"",J934/K934),"")</x:f>
        <x:v>0.4819277108433735</x:v>
      </x:c>
      <x:c r="M934" s="10" t="str">
        <x:v>Эпизод 12 в знакомой сюжетной ветке.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34" s="10" t="str">
        <x:v>Выбрать сцену 1–3 минуты; описать действие и предсказать продолжение.</x:v>
      </x:c>
      <x:c r="O934" s="10" t="str">
        <x:v>Уровень предварительный; детский сериал не обязательно прост</x:v>
      </x:c>
      <x:c r="P934" s="10" t="str">
        <x:v>Полная серия — кандидат</x:v>
      </x:c>
      <x:c r="Q934" s="9" t="str">
        <x:v>Нет</x:v>
      </x:c>
      <x:c r="R934" s="9" t="str">
        <x:v>C053</x:v>
      </x:c>
      <x:c r="S934" s="9" t="str">
        <x:v>C053</x:v>
      </x:c>
      <x:c r="T934" s="10" t="str">
        <x:v>כאן חינוכית</x:v>
      </x:c>
      <x:c r="U934" s="11" t="str">
        <x:v>https://www.youtube.com/watch?v=dP98MQMoNIc</x:v>
      </x:c>
      <x:c r="V934" s="16" t="n">
        <x:v>46308</x:v>
      </x:c>
      <x:c r="W934" s="16" t="n">
        <x:v>44580</x:v>
      </x:c>
      <x:c r="X934" s="10" t="str">
        <x:v>Иврит предполагается по заголовку и источнику</x:v>
      </x:c>
      <x:c r="Y934" s="10" t="str">
        <x:v>Дорожка HE не найдена в метаданных; вшитые титры не проверены</x:v>
      </x:c>
      <x:c r="Z934" s="10" t="str">
        <x:v>Разрешено по метаданным</x:v>
      </x:c>
      <x:c r="AA934" s="10" t="str">
        <x:v>Метаданные видео; воспроизведение и содержание не проверены</x:v>
      </x:c>
      <x:c r="AB934" s="13" t="n">
        <x:f>IF(AND(ISNUMBER(H934),ISNUMBER(W934)),H934/MAX(1,'Обзор'!$B$4-W934),"")</x:f>
        <x:v>1187.4953703703704</x:v>
      </x:c>
      <x:c r="AC934" s="17" t="str">
        <x:v>Не решено</x:v>
      </x:c>
      <x:c r="AD934" s="17" t="str">
        <x:v>Не проверено</x:v>
      </x:c>
      <x:c r="AE934" s="17" t="str">
        <x:v>Не проверено</x:v>
      </x:c>
      <x:c r="AF934" s="17" t="str">
        <x:v>Не проверено</x:v>
      </x:c>
      <x:c r="AG934" s="17" t="str">
        <x:v>Не решено</x:v>
      </x:c>
      <x:c r="AH934" s="17" t="str">
        <x:v>Не проверено</x:v>
      </x:c>
      <x:c r="AI934" s="10" t="str">
        <x:f>IF(AC934="Отклонить","Отклонено",IF(AND(AC934="Взять",COUNTIFS(AD934:AH934,"Да")=5),"Готово","Нужна редактура"))</x:f>
        <x:v>Нужна редактура</x:v>
      </x:c>
      <x:c r="AJ934" s="17" t="str"/>
      <x:c r="AK934" s="9" t="str">
        <x:v>https://www.youtube.com/playlist?list=PL51YAgTlfPj63XlDuL-6gm5d53G9a1eg-</x:v>
      </x:c>
      <x:c r="AL934" s="9" t="n">
        <x:v>12</x:v>
      </x:c>
      <x:c r="AM934" s="9" t="n">
        <x:v>12</x:v>
      </x:c>
      <x:c r="AN934" s="9" t="n">
        <x:v>0</x:v>
      </x:c>
    </x:row>
    <x:row r="935" ht="60" customHeight="1">
      <x:c r="A935" s="9" t="str">
        <x:v>we5cbKVOXGc</x:v>
      </x:c>
      <x:c r="B935" s="10" t="str">
        <x:v>כראמל 🐱 | המכשף - פרק 13</x:v>
      </x:c>
      <x:c r="C935" s="10" t="str">
        <x:v>Семейные сериалы</x:v>
      </x:c>
      <x:c r="D935" s="9" t="str">
        <x:v>Сериал</x:v>
      </x:c>
      <x:c r="E935" s="10" t="str">
        <x:v>Семьи; начинающие с опорой; молодёжь</x:v>
      </x:c>
      <x:c r="F935" s="10" t="str">
        <x:v>A2–B1 (гипотеза)</x:v>
      </x:c>
      <x:c r="G935" s="12" t="n">
        <x:v>27.2</x:v>
      </x:c>
      <x:c r="H935" s="14" t="n">
        <x:v>3050492</x:v>
      </x:c>
      <x:c r="I935" s="15" t="str">
        <x:v>Точный счётчик метаданных видео</x:v>
      </x:c>
      <x:c r="J935" s="14" t="n">
        <x:v>3000000</x:v>
      </x:c>
      <x:c r="K935" s="14" t="n">
        <x:v>4150000</x:v>
      </x:c>
      <x:c r="L935" s="12" t="n">
        <x:f>IF(COUNT(J935:K935)=2,IF(K935=0,"",J935/K935),"")</x:f>
        <x:v>0.7228915662650602</x:v>
      </x:c>
      <x:c r="M935" s="10" t="str">
        <x:v>Эпизод 13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35" s="10" t="str">
        <x:v>Выбрать сцену 1–3 минуты; описать действие и предсказать продолжение.</x:v>
      </x:c>
      <x:c r="O935" s="10" t="str">
        <x:v>Уровень предварительный; детский сериал не обязательно прост</x:v>
      </x:c>
      <x:c r="P935" s="10" t="str">
        <x:v>Полная серия — кандидат</x:v>
      </x:c>
      <x:c r="Q935" s="9" t="str">
        <x:v>Нет</x:v>
      </x:c>
      <x:c r="R935" s="9" t="str">
        <x:v>C053</x:v>
      </x:c>
      <x:c r="S935" s="9" t="str">
        <x:v>C053</x:v>
      </x:c>
      <x:c r="T935" s="10" t="str">
        <x:v>כאן חינוכית</x:v>
      </x:c>
      <x:c r="U935" s="11" t="str">
        <x:v>https://www.youtube.com/watch?v=we5cbKVOXGc</x:v>
      </x:c>
      <x:c r="V935" s="16" t="n">
        <x:v>46308</x:v>
      </x:c>
      <x:c r="W935" s="16" t="n">
        <x:v>44584</x:v>
      </x:c>
      <x:c r="X935" s="10" t="str">
        <x:v>Иврит предполагается по заголовку и источнику</x:v>
      </x:c>
      <x:c r="Y935" s="10" t="str">
        <x:v>Дорожка HE не найдена в метаданных; вшитые титры не проверены</x:v>
      </x:c>
      <x:c r="Z935" s="10" t="str">
        <x:v>Разрешено по метаданным</x:v>
      </x:c>
      <x:c r="AA935" s="10" t="str">
        <x:v>Метаданные видео; воспроизведение и содержание не проверены</x:v>
      </x:c>
      <x:c r="AB935" s="13" t="n">
        <x:f>IF(AND(ISNUMBER(H935),ISNUMBER(W935)),H935/MAX(1,'Обзор'!$B$4-W935),"")</x:f>
        <x:v>1769.4269141531322</x:v>
      </x:c>
      <x:c r="AC935" s="17" t="str">
        <x:v>Не решено</x:v>
      </x:c>
      <x:c r="AD935" s="17" t="str">
        <x:v>Не проверено</x:v>
      </x:c>
      <x:c r="AE935" s="17" t="str">
        <x:v>Не проверено</x:v>
      </x:c>
      <x:c r="AF935" s="17" t="str">
        <x:v>Не проверено</x:v>
      </x:c>
      <x:c r="AG935" s="17" t="str">
        <x:v>Не решено</x:v>
      </x:c>
      <x:c r="AH935" s="17" t="str">
        <x:v>Не проверено</x:v>
      </x:c>
      <x:c r="AI935" s="10" t="str">
        <x:f>IF(AC935="Отклонить","Отклонено",IF(AND(AC935="Взять",COUNTIFS(AD935:AH935,"Да")=5),"Готово","Нужна редактура"))</x:f>
        <x:v>Нужна редактура</x:v>
      </x:c>
      <x:c r="AJ935" s="17" t="str"/>
      <x:c r="AK935" s="9" t="str">
        <x:v>https://www.youtube.com/playlist?list=PL51YAgTlfPj63XlDuL-6gm5d53G9a1eg-</x:v>
      </x:c>
      <x:c r="AL935" s="9" t="n">
        <x:v>13</x:v>
      </x:c>
      <x:c r="AM935" s="9" t="n">
        <x:v>13</x:v>
      </x:c>
      <x:c r="AN935" s="9" t="n">
        <x:v>0</x:v>
      </x:c>
    </x:row>
    <x:row r="936" ht="60" customHeight="1">
      <x:c r="A936" s="9" t="str">
        <x:v>EtYdM-Hqg8Y</x:v>
      </x:c>
      <x:c r="B936" s="10" t="str">
        <x:v>כראמל 🐱 | הדודה של ג'יין - פרק 14</x:v>
      </x:c>
      <x:c r="C936" s="10" t="str">
        <x:v>Семейные сериалы</x:v>
      </x:c>
      <x:c r="D936" s="9" t="str">
        <x:v>Сериал</x:v>
      </x:c>
      <x:c r="E936" s="10" t="str">
        <x:v>Семьи; начинающие с опорой; молодёжь</x:v>
      </x:c>
      <x:c r="F936" s="10" t="str">
        <x:v>A2–B1 (гипотеза)</x:v>
      </x:c>
      <x:c r="G936" s="12" t="n">
        <x:v>27.2</x:v>
      </x:c>
      <x:c r="H936" s="14" t="n">
        <x:v>4228372</x:v>
      </x:c>
      <x:c r="I936" s="15" t="str">
        <x:v>Точный счётчик метаданных видео</x:v>
      </x:c>
      <x:c r="J936" s="14" t="n">
        <x:v>4200000</x:v>
      </x:c>
      <x:c r="K936" s="14" t="n">
        <x:v>4150000</x:v>
      </x:c>
      <x:c r="L936" s="12" t="n">
        <x:f>IF(COUNT(J936:K936)=2,IF(K936=0,"",J936/K936),"")</x:f>
        <x:v>1.0120481927710843</x:v>
      </x:c>
      <x:c r="M936" s="10" t="str">
        <x:v>Эпизод 14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36" s="10" t="str">
        <x:v>Выбрать сцену 1–3 минуты; описать действие и предсказать продолжение.</x:v>
      </x:c>
      <x:c r="O936" s="10" t="str">
        <x:v>Уровень предварительный; детский сериал не обязательно прост</x:v>
      </x:c>
      <x:c r="P936" s="10" t="str">
        <x:v>Полная серия — кандидат</x:v>
      </x:c>
      <x:c r="Q936" s="9" t="str">
        <x:v>Нет</x:v>
      </x:c>
      <x:c r="R936" s="9" t="str">
        <x:v>C053</x:v>
      </x:c>
      <x:c r="S936" s="9" t="str">
        <x:v>C053</x:v>
      </x:c>
      <x:c r="T936" s="10" t="str">
        <x:v>כאן חינוכית</x:v>
      </x:c>
      <x:c r="U936" s="11" t="str">
        <x:v>https://www.youtube.com/watch?v=EtYdM-Hqg8Y</x:v>
      </x:c>
      <x:c r="V936" s="16" t="n">
        <x:v>46308</x:v>
      </x:c>
      <x:c r="W936" s="16" t="n">
        <x:v>44585</x:v>
      </x:c>
      <x:c r="X936" s="10" t="str">
        <x:v>Иврит предполагается по заголовку и источнику</x:v>
      </x:c>
      <x:c r="Y936" s="10" t="str">
        <x:v>Дорожка HE не найдена в метаданных; вшитые титры не проверены</x:v>
      </x:c>
      <x:c r="Z936" s="10" t="str">
        <x:v>Разрешено по метаданным</x:v>
      </x:c>
      <x:c r="AA936" s="10" t="str">
        <x:v>Метаданные видео; воспроизведение и содержание не проверены</x:v>
      </x:c>
      <x:c r="AB936" s="13" t="n">
        <x:f>IF(AND(ISNUMBER(H936),ISNUMBER(W936)),H936/MAX(1,'Обзор'!$B$4-W936),"")</x:f>
        <x:v>2454.075449796866</x:v>
      </x:c>
      <x:c r="AC936" s="17" t="str">
        <x:v>Не решено</x:v>
      </x:c>
      <x:c r="AD936" s="17" t="str">
        <x:v>Не проверено</x:v>
      </x:c>
      <x:c r="AE936" s="17" t="str">
        <x:v>Не проверено</x:v>
      </x:c>
      <x:c r="AF936" s="17" t="str">
        <x:v>Не проверено</x:v>
      </x:c>
      <x:c r="AG936" s="17" t="str">
        <x:v>Не решено</x:v>
      </x:c>
      <x:c r="AH936" s="17" t="str">
        <x:v>Не проверено</x:v>
      </x:c>
      <x:c r="AI936" s="10" t="str">
        <x:f>IF(AC936="Отклонить","Отклонено",IF(AND(AC936="Взять",COUNTIFS(AD936:AH936,"Да")=5),"Готово","Нужна редактура"))</x:f>
        <x:v>Нужна редактура</x:v>
      </x:c>
      <x:c r="AJ936" s="17" t="str"/>
      <x:c r="AK936" s="9" t="str">
        <x:v>https://www.youtube.com/playlist?list=PL51YAgTlfPj63XlDuL-6gm5d53G9a1eg-</x:v>
      </x:c>
      <x:c r="AL936" s="9" t="n">
        <x:v>14</x:v>
      </x:c>
      <x:c r="AM936" s="9" t="n">
        <x:v>14</x:v>
      </x:c>
      <x:c r="AN936" s="9" t="n">
        <x:v>0</x:v>
      </x:c>
    </x:row>
    <x:row r="937" ht="60" customHeight="1">
      <x:c r="A937" s="9" t="str">
        <x:v>xmth0eQfM-c</x:v>
      </x:c>
      <x:c r="B937" s="10" t="str">
        <x:v>כראמל 🐱 | שובה של סיסיליה - פרק 15</x:v>
      </x:c>
      <x:c r="C937" s="10" t="str">
        <x:v>Семейные сериалы</x:v>
      </x:c>
      <x:c r="D937" s="9" t="str">
        <x:v>Сериал</x:v>
      </x:c>
      <x:c r="E937" s="10" t="str">
        <x:v>Семьи; начинающие с опорой; молодёжь</x:v>
      </x:c>
      <x:c r="F937" s="10" t="str">
        <x:v>A2–B1 (гипотеза)</x:v>
      </x:c>
      <x:c r="G937" s="12" t="n">
        <x:v>26</x:v>
      </x:c>
      <x:c r="H937" s="14" t="n">
        <x:v>5812109</x:v>
      </x:c>
      <x:c r="I937" s="15" t="str">
        <x:v>Точный счётчик метаданных видео</x:v>
      </x:c>
      <x:c r="J937" s="14" t="n">
        <x:v>5800000</x:v>
      </x:c>
      <x:c r="K937" s="14" t="n">
        <x:v>4150000</x:v>
      </x:c>
      <x:c r="L937" s="12" t="n">
        <x:f>IF(COUNT(J937:K937)=2,IF(K937=0,"",J937/K937),"")</x:f>
        <x:v>1.3975903614457832</x:v>
      </x:c>
      <x:c r="M937" s="10" t="str">
        <x:v>Эпизод 15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37" s="10" t="str">
        <x:v>Выбрать сцену 1–3 минуты; описать действие и предсказать продолжение.</x:v>
      </x:c>
      <x:c r="O937" s="10" t="str">
        <x:v>Уровень предварительный; детский сериал не обязательно прост</x:v>
      </x:c>
      <x:c r="P937" s="10" t="str">
        <x:v>Полная серия — кандидат</x:v>
      </x:c>
      <x:c r="Q937" s="9" t="str">
        <x:v>Нет</x:v>
      </x:c>
      <x:c r="R937" s="9" t="str">
        <x:v>C053</x:v>
      </x:c>
      <x:c r="S937" s="9" t="str">
        <x:v>C053</x:v>
      </x:c>
      <x:c r="T937" s="10" t="str">
        <x:v>כאן חינוכית</x:v>
      </x:c>
      <x:c r="U937" s="11" t="str">
        <x:v>https://www.youtube.com/watch?v=xmth0eQfM-c</x:v>
      </x:c>
      <x:c r="V937" s="16" t="n">
        <x:v>46308</x:v>
      </x:c>
      <x:c r="W937" s="16" t="n">
        <x:v>44586</x:v>
      </x:c>
      <x:c r="X937" s="10" t="str">
        <x:v>Иврит предполагается по заголовку и источнику</x:v>
      </x:c>
      <x:c r="Y937" s="10" t="str">
        <x:v>Дорожка HE не найдена в метаданных; вшитые титры не проверены</x:v>
      </x:c>
      <x:c r="Z937" s="10" t="str">
        <x:v>Разрешено по метаданным</x:v>
      </x:c>
      <x:c r="AA937" s="10" t="str">
        <x:v>Метаданные видео; воспроизведение и содержание не проверены</x:v>
      </x:c>
      <x:c r="AB937" s="13" t="n">
        <x:f>IF(AND(ISNUMBER(H937),ISNUMBER(W937)),H937/MAX(1,'Обзор'!$B$4-W937),"")</x:f>
        <x:v>3375.2084785133566</x:v>
      </x:c>
      <x:c r="AC937" s="17" t="str">
        <x:v>Не решено</x:v>
      </x:c>
      <x:c r="AD937" s="17" t="str">
        <x:v>Не проверено</x:v>
      </x:c>
      <x:c r="AE937" s="17" t="str">
        <x:v>Не проверено</x:v>
      </x:c>
      <x:c r="AF937" s="17" t="str">
        <x:v>Не проверено</x:v>
      </x:c>
      <x:c r="AG937" s="17" t="str">
        <x:v>Не решено</x:v>
      </x:c>
      <x:c r="AH937" s="17" t="str">
        <x:v>Не проверено</x:v>
      </x:c>
      <x:c r="AI937" s="10" t="str">
        <x:f>IF(AC937="Отклонить","Отклонено",IF(AND(AC937="Взять",COUNTIFS(AD937:AH937,"Да")=5),"Готово","Нужна редактура"))</x:f>
        <x:v>Нужна редактура</x:v>
      </x:c>
      <x:c r="AJ937" s="17" t="str"/>
      <x:c r="AK937" s="9" t="str">
        <x:v>https://www.youtube.com/playlist?list=PL51YAgTlfPj63XlDuL-6gm5d53G9a1eg-</x:v>
      </x:c>
      <x:c r="AL937" s="9" t="n">
        <x:v>15</x:v>
      </x:c>
      <x:c r="AM937" s="9" t="n">
        <x:v>15</x:v>
      </x:c>
      <x:c r="AN937" s="9" t="n">
        <x:v>0</x:v>
      </x:c>
    </x:row>
    <x:row r="938" ht="60" customHeight="1">
      <x:c r="A938" s="9" t="str">
        <x:v>58H-eLFR7y0</x:v>
      </x:c>
      <x:c r="B938" s="10" t="str">
        <x:v>כראמל 🐱 | בלום לב זהב - פרק 16</x:v>
      </x:c>
      <x:c r="C938" s="10" t="str">
        <x:v>Семейные сериалы</x:v>
      </x:c>
      <x:c r="D938" s="9" t="str">
        <x:v>Сериал</x:v>
      </x:c>
      <x:c r="E938" s="10" t="str">
        <x:v>Семьи; начинающие с опорой; молодёжь</x:v>
      </x:c>
      <x:c r="F938" s="10" t="str">
        <x:v>A2–B1 (гипотеза)</x:v>
      </x:c>
      <x:c r="G938" s="12" t="n">
        <x:v>27.2</x:v>
      </x:c>
      <x:c r="H938" s="14" t="n">
        <x:v>4632904</x:v>
      </x:c>
      <x:c r="I938" s="15" t="str">
        <x:v>Точный счётчик метаданных видео</x:v>
      </x:c>
      <x:c r="J938" s="14" t="n">
        <x:v>4600000</x:v>
      </x:c>
      <x:c r="K938" s="14" t="n">
        <x:v>4150000</x:v>
      </x:c>
      <x:c r="L938" s="12" t="n">
        <x:f>IF(COUNT(J938:K938)=2,IF(K938=0,"",J938/K938),"")</x:f>
        <x:v>1.108433734939759</x:v>
      </x:c>
      <x:c r="M938" s="10" t="str">
        <x:v>Эпизод 16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38" s="10" t="str">
        <x:v>Выбрать сцену 1–3 минуты; описать действие и предсказать продолжение.</x:v>
      </x:c>
      <x:c r="O938" s="10" t="str">
        <x:v>Уровень предварительный; детский сериал не обязательно прост</x:v>
      </x:c>
      <x:c r="P938" s="10" t="str">
        <x:v>Полная серия — кандидат</x:v>
      </x:c>
      <x:c r="Q938" s="9" t="str">
        <x:v>Нет</x:v>
      </x:c>
      <x:c r="R938" s="9" t="str">
        <x:v>C053</x:v>
      </x:c>
      <x:c r="S938" s="9" t="str">
        <x:v>C053</x:v>
      </x:c>
      <x:c r="T938" s="10" t="str">
        <x:v>כאן חינוכית</x:v>
      </x:c>
      <x:c r="U938" s="11" t="str">
        <x:v>https://www.youtube.com/watch?v=58H-eLFR7y0</x:v>
      </x:c>
      <x:c r="V938" s="16" t="n">
        <x:v>46308</x:v>
      </x:c>
      <x:c r="W938" s="16" t="n">
        <x:v>44587</x:v>
      </x:c>
      <x:c r="X938" s="10" t="str">
        <x:v>Иврит предполагается по заголовку и источнику</x:v>
      </x:c>
      <x:c r="Y938" s="10" t="str">
        <x:v>Дорожка HE не найдена в метаданных; вшитые титры не проверены</x:v>
      </x:c>
      <x:c r="Z938" s="10" t="str">
        <x:v>Разрешено по метаданным</x:v>
      </x:c>
      <x:c r="AA938" s="10" t="str">
        <x:v>Метаданные видео; воспроизведение и содержание не проверены</x:v>
      </x:c>
      <x:c r="AB938" s="13" t="n">
        <x:f>IF(AND(ISNUMBER(H938),ISNUMBER(W938)),H938/MAX(1,'Обзор'!$B$4-W938),"")</x:f>
        <x:v>2691.9837303893087</x:v>
      </x:c>
      <x:c r="AC938" s="17" t="str">
        <x:v>Не решено</x:v>
      </x:c>
      <x:c r="AD938" s="17" t="str">
        <x:v>Не проверено</x:v>
      </x:c>
      <x:c r="AE938" s="17" t="str">
        <x:v>Не проверено</x:v>
      </x:c>
      <x:c r="AF938" s="17" t="str">
        <x:v>Не проверено</x:v>
      </x:c>
      <x:c r="AG938" s="17" t="str">
        <x:v>Не решено</x:v>
      </x:c>
      <x:c r="AH938" s="17" t="str">
        <x:v>Не проверено</x:v>
      </x:c>
      <x:c r="AI938" s="10" t="str">
        <x:f>IF(AC938="Отклонить","Отклонено",IF(AND(AC938="Взять",COUNTIFS(AD938:AH938,"Да")=5),"Готово","Нужна редактура"))</x:f>
        <x:v>Нужна редактура</x:v>
      </x:c>
      <x:c r="AJ938" s="17" t="str"/>
      <x:c r="AK938" s="9" t="str">
        <x:v>https://www.youtube.com/playlist?list=PL51YAgTlfPj63XlDuL-6gm5d53G9a1eg-</x:v>
      </x:c>
      <x:c r="AL938" s="9" t="n">
        <x:v>16</x:v>
      </x:c>
      <x:c r="AM938" s="9" t="n">
        <x:v>16</x:v>
      </x:c>
      <x:c r="AN938" s="9" t="n">
        <x:v>0</x:v>
      </x:c>
    </x:row>
    <x:row r="939" ht="60" customHeight="1">
      <x:c r="A939" s="9" t="str">
        <x:v>_AxTk2GLc0I</x:v>
      </x:c>
      <x:c r="B939" s="10" t="str">
        <x:v>כראמל 🐱 | זו לא סתם אבן - פרק 17</x:v>
      </x:c>
      <x:c r="C939" s="10" t="str">
        <x:v>Семейные сериалы</x:v>
      </x:c>
      <x:c r="D939" s="9" t="str">
        <x:v>Сериал</x:v>
      </x:c>
      <x:c r="E939" s="10" t="str">
        <x:v>Семьи; начинающие с опорой; молодёжь</x:v>
      </x:c>
      <x:c r="F939" s="10" t="str">
        <x:v>A2–B1 (гипотеза)</x:v>
      </x:c>
      <x:c r="G939" s="12" t="n">
        <x:v>27.1</x:v>
      </x:c>
      <x:c r="H939" s="14" t="n">
        <x:v>4816697</x:v>
      </x:c>
      <x:c r="I939" s="15" t="str">
        <x:v>Точный счётчик метаданных видео</x:v>
      </x:c>
      <x:c r="J939" s="14" t="n">
        <x:v>4800000</x:v>
      </x:c>
      <x:c r="K939" s="14" t="n">
        <x:v>4150000</x:v>
      </x:c>
      <x:c r="L939" s="12" t="n">
        <x:f>IF(COUNT(J939:K939)=2,IF(K939=0,"",J939/K939),"")</x:f>
        <x:v>1.1566265060240963</x:v>
      </x:c>
      <x:c r="M939" s="10" t="str">
        <x:v>Эпизод 17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39" s="10" t="str">
        <x:v>Выбрать сцену 1–3 минуты; описать действие и предсказать продолжение.</x:v>
      </x:c>
      <x:c r="O939" s="10" t="str">
        <x:v>Уровень предварительный; детский сериал не обязательно прост</x:v>
      </x:c>
      <x:c r="P939" s="10" t="str">
        <x:v>Полная серия — кандидат</x:v>
      </x:c>
      <x:c r="Q939" s="9" t="str">
        <x:v>Нет</x:v>
      </x:c>
      <x:c r="R939" s="9" t="str">
        <x:v>C053</x:v>
      </x:c>
      <x:c r="S939" s="9" t="str">
        <x:v>C053</x:v>
      </x:c>
      <x:c r="T939" s="10" t="str">
        <x:v>כאן חינוכית</x:v>
      </x:c>
      <x:c r="U939" s="11" t="str">
        <x:v>https://www.youtube.com/watch?v=_AxTk2GLc0I</x:v>
      </x:c>
      <x:c r="V939" s="16" t="n">
        <x:v>46308</x:v>
      </x:c>
      <x:c r="W939" s="16" t="n">
        <x:v>44591</x:v>
      </x:c>
      <x:c r="X939" s="10" t="str">
        <x:v>Иврит предполагается по заголовку и источнику</x:v>
      </x:c>
      <x:c r="Y939" s="10" t="str">
        <x:v>Дорожка HE не найдена в метаданных; вшитые титры не проверены</x:v>
      </x:c>
      <x:c r="Z939" s="10" t="str">
        <x:v>Разрешено по метаданным</x:v>
      </x:c>
      <x:c r="AA939" s="10" t="str">
        <x:v>Метаданные видео; воспроизведение и содержание не проверены</x:v>
      </x:c>
      <x:c r="AB939" s="13" t="n">
        <x:f>IF(AND(ISNUMBER(H939),ISNUMBER(W939)),H939/MAX(1,'Обзор'!$B$4-W939),"")</x:f>
        <x:v>2805.298194525335</x:v>
      </x:c>
      <x:c r="AC939" s="17" t="str">
        <x:v>Не решено</x:v>
      </x:c>
      <x:c r="AD939" s="17" t="str">
        <x:v>Не проверено</x:v>
      </x:c>
      <x:c r="AE939" s="17" t="str">
        <x:v>Не проверено</x:v>
      </x:c>
      <x:c r="AF939" s="17" t="str">
        <x:v>Не проверено</x:v>
      </x:c>
      <x:c r="AG939" s="17" t="str">
        <x:v>Не решено</x:v>
      </x:c>
      <x:c r="AH939" s="17" t="str">
        <x:v>Не проверено</x:v>
      </x:c>
      <x:c r="AI939" s="10" t="str">
        <x:f>IF(AC939="Отклонить","Отклонено",IF(AND(AC939="Взять",COUNTIFS(AD939:AH939,"Да")=5),"Готово","Нужна редактура"))</x:f>
        <x:v>Нужна редактура</x:v>
      </x:c>
      <x:c r="AJ939" s="17" t="str"/>
      <x:c r="AK939" s="9" t="str">
        <x:v>https://www.youtube.com/playlist?list=PL51YAgTlfPj63XlDuL-6gm5d53G9a1eg-</x:v>
      </x:c>
      <x:c r="AL939" s="9" t="n">
        <x:v>17</x:v>
      </x:c>
      <x:c r="AM939" s="9" t="n">
        <x:v>17</x:v>
      </x:c>
      <x:c r="AN939" s="9" t="n">
        <x:v>0</x:v>
      </x:c>
    </x:row>
    <x:row r="940" ht="60" customHeight="1">
      <x:c r="A940" s="9" t="str">
        <x:v>3Y6i7JAGu3I</x:v>
      </x:c>
      <x:c r="B940" s="10" t="str">
        <x:v>כראמל 🐱 | תמונה למזכרת - פרק 18</x:v>
      </x:c>
      <x:c r="C940" s="10" t="str">
        <x:v>Семейные сериалы</x:v>
      </x:c>
      <x:c r="D940" s="9" t="str">
        <x:v>Сериал</x:v>
      </x:c>
      <x:c r="E940" s="10" t="str">
        <x:v>Семьи; начинающие с опорой; молодёжь</x:v>
      </x:c>
      <x:c r="F940" s="10" t="str">
        <x:v>A2–B1 (гипотеза)</x:v>
      </x:c>
      <x:c r="G940" s="12" t="n">
        <x:v>27</x:v>
      </x:c>
      <x:c r="H940" s="14" t="n">
        <x:v>4231666</x:v>
      </x:c>
      <x:c r="I940" s="15" t="str">
        <x:v>Точный счётчик метаданных видео</x:v>
      </x:c>
      <x:c r="J940" s="14" t="n">
        <x:v>4200000</x:v>
      </x:c>
      <x:c r="K940" s="14" t="n">
        <x:v>4150000</x:v>
      </x:c>
      <x:c r="L940" s="12" t="n">
        <x:f>IF(COUNT(J940:K940)=2,IF(K940=0,"",J940/K940),"")</x:f>
        <x:v>1.0120481927710843</x:v>
      </x:c>
      <x:c r="M940" s="10" t="str">
        <x:v>Эпизод 18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40" s="10" t="str">
        <x:v>Выбрать сцену 1–3 минуты; описать действие и предсказать продолжение.</x:v>
      </x:c>
      <x:c r="O940" s="10" t="str">
        <x:v>Уровень предварительный; детский сериал не обязательно прост</x:v>
      </x:c>
      <x:c r="P940" s="10" t="str">
        <x:v>Полная серия — кандидат</x:v>
      </x:c>
      <x:c r="Q940" s="9" t="str">
        <x:v>Нет</x:v>
      </x:c>
      <x:c r="R940" s="9" t="str">
        <x:v>C053</x:v>
      </x:c>
      <x:c r="S940" s="9" t="str">
        <x:v>C053</x:v>
      </x:c>
      <x:c r="T940" s="10" t="str">
        <x:v>כאן חינוכית</x:v>
      </x:c>
      <x:c r="U940" s="11" t="str">
        <x:v>https://www.youtube.com/watch?v=3Y6i7JAGu3I</x:v>
      </x:c>
      <x:c r="V940" s="16" t="n">
        <x:v>46308</x:v>
      </x:c>
      <x:c r="W940" s="16" t="n">
        <x:v>44592</x:v>
      </x:c>
      <x:c r="X940" s="10" t="str">
        <x:v>Иврит предполагается по заголовку и источнику</x:v>
      </x:c>
      <x:c r="Y940" s="10" t="str">
        <x:v>Дорожка HE не найдена в метаданных; вшитые титры не проверены</x:v>
      </x:c>
      <x:c r="Z940" s="10" t="str">
        <x:v>Разрешено по метаданным</x:v>
      </x:c>
      <x:c r="AA940" s="10" t="str">
        <x:v>Метаданные видео; воспроизведение и содержание не проверены</x:v>
      </x:c>
      <x:c r="AB940" s="13" t="n">
        <x:f>IF(AND(ISNUMBER(H940),ISNUMBER(W940)),H940/MAX(1,'Обзор'!$B$4-W940),"")</x:f>
        <x:v>2466.0058275058277</x:v>
      </x:c>
      <x:c r="AC940" s="17" t="str">
        <x:v>Не решено</x:v>
      </x:c>
      <x:c r="AD940" s="17" t="str">
        <x:v>Не проверено</x:v>
      </x:c>
      <x:c r="AE940" s="17" t="str">
        <x:v>Не проверено</x:v>
      </x:c>
      <x:c r="AF940" s="17" t="str">
        <x:v>Не проверено</x:v>
      </x:c>
      <x:c r="AG940" s="17" t="str">
        <x:v>Не решено</x:v>
      </x:c>
      <x:c r="AH940" s="17" t="str">
        <x:v>Не проверено</x:v>
      </x:c>
      <x:c r="AI940" s="10" t="str">
        <x:f>IF(AC940="Отклонить","Отклонено",IF(AND(AC940="Взять",COUNTIFS(AD940:AH940,"Да")=5),"Готово","Нужна редактура"))</x:f>
        <x:v>Нужна редактура</x:v>
      </x:c>
      <x:c r="AJ940" s="17" t="str"/>
      <x:c r="AK940" s="9" t="str">
        <x:v>https://www.youtube.com/playlist?list=PL51YAgTlfPj63XlDuL-6gm5d53G9a1eg-</x:v>
      </x:c>
      <x:c r="AL940" s="9" t="n">
        <x:v>18</x:v>
      </x:c>
      <x:c r="AM940" s="9" t="n">
        <x:v>18</x:v>
      </x:c>
      <x:c r="AN940" s="9" t="n">
        <x:v>0</x:v>
      </x:c>
    </x:row>
    <x:row r="941" ht="60" customHeight="1">
      <x:c r="A941" s="9" t="str">
        <x:v>zvzry-Z5AsU</x:v>
      </x:c>
      <x:c r="B941" s="10" t="str">
        <x:v>כראמל 🐱 | מגילת ההוראות - פרק 19</x:v>
      </x:c>
      <x:c r="C941" s="10" t="str">
        <x:v>Семейные сериалы</x:v>
      </x:c>
      <x:c r="D941" s="9" t="str">
        <x:v>Сериал</x:v>
      </x:c>
      <x:c r="E941" s="10" t="str">
        <x:v>Семьи; начинающие с опорой; молодёжь</x:v>
      </x:c>
      <x:c r="F941" s="10" t="str">
        <x:v>A2–B1 (гипотеза)</x:v>
      </x:c>
      <x:c r="G941" s="12" t="n">
        <x:v>27.2</x:v>
      </x:c>
      <x:c r="H941" s="14" t="n">
        <x:v>5840741</x:v>
      </x:c>
      <x:c r="I941" s="15" t="str">
        <x:v>Точный счётчик метаданных видео</x:v>
      </x:c>
      <x:c r="J941" s="14" t="n">
        <x:v>5800000</x:v>
      </x:c>
      <x:c r="K941" s="14" t="n">
        <x:v>4150000</x:v>
      </x:c>
      <x:c r="L941" s="12" t="n">
        <x:f>IF(COUNT(J941:K941)=2,IF(K941=0,"",J941/K941),"")</x:f>
        <x:v>1.3975903614457832</x:v>
      </x:c>
      <x:c r="M941" s="10" t="str">
        <x:v>Эпизод 19 в знакомой сюжетной ветке. Знакомые типы героев и видимые действия поддерживают понимание. Семейный сюжет привлекает отдельный сегмент аудитории.</x:v>
      </x:c>
      <x:c r="N941" s="10" t="str">
        <x:v>Выбрать сцену 1–3 минуты; описать действие и предсказать продолжение.</x:v>
      </x:c>
      <x:c r="O941" s="10" t="str">
        <x:v>Уровень предварительный; детский сериал не обязательно прост</x:v>
      </x:c>
      <x:c r="P941" s="10" t="str">
        <x:v>Полная серия — кандидат</x:v>
      </x:c>
      <x:c r="Q941" s="9" t="str">
        <x:v>Нет</x:v>
      </x:c>
      <x:c r="R941" s="9" t="str">
        <x:v>C053</x:v>
      </x:c>
      <x:c r="S941" s="9" t="str">
        <x:v>C053</x:v>
      </x:c>
      <x:c r="T941" s="10" t="str">
        <x:v>כאן חינוכית</x:v>
      </x:c>
      <x:c r="U941" s="11" t="str">
        <x:v>https://www.youtube.com/watch?v=zvzry-Z5AsU</x:v>
      </x:c>
      <x:c r="V941" s="16" t="n">
        <x:v>46308</x:v>
      </x:c>
      <x:c r="W941" s="16" t="n">
        <x:v>44593</x:v>
      </x:c>
      <x:c r="X941" s="10" t="str">
        <x:v>Иврит предполагается по заголовку и источнику</x:v>
      </x:c>
      <x:c r="Y941" s="10" t="str">
        <x:v>Дорожка HE не найдена в метаданных; вшитые титры не проверены</x:v>
      </x:c>
      <x:c r="Z941" s="10" t="str">
        <x:v>Разрешено по метаданным</x:v>
      </x:c>
      <x:c r="AA941" s="10" t="str">
        <x:v>Метаданные видео; воспроизведение и содержание не проверены</x:v>
      </x:c>
      <x:c r="AB941" s="13" t="n">
        <x:f>IF(AND(ISNUMBER(H941),ISNUMBER(W941)),H941/MAX(1,'Обзор'!$B$4-W941),"")</x:f>
        <x:v>3405.6798833819244</x:v>
      </x:c>
      <x:c r="AC941" s="17" t="str">
        <x:v>Не решено</x:v>
      </x:c>
      <x:c r="AD941" s="17" t="str">
        <x:v>Не проверено</x:v>
      </x:c>
      <x:c r="AE941" s="17" t="str">
        <x:v>Не проверено</x:v>
      </x:c>
      <x:c r="AF941" s="17" t="str">
        <x:v>Не проверено</x:v>
      </x:c>
      <x:c r="AG941" s="17" t="str">
        <x:v>Не решено</x:v>
      </x:c>
      <x:c r="AH941" s="17" t="str">
        <x:v>Не проверено</x:v>
      </x:c>
      <x:c r="AI941" s="10" t="str">
        <x:f>IF(AC941="Отклонить","Отклонено",IF(AND(AC941="Взять",COUNTIFS(AD941:AH941,"Да")=5),"Готово","Нужна редактура"))</x:f>
        <x:v>Нужна редактура</x:v>
      </x:c>
      <x:c r="AJ941" s="17" t="str"/>
      <x:c r="AK941" s="9" t="str">
        <x:v>https://www.youtube.com/playlist?list=PL51YAgTlfPj63XlDuL-6gm5d53G9a1eg-</x:v>
      </x:c>
      <x:c r="AL941" s="9" t="n">
        <x:v>19</x:v>
      </x:c>
      <x:c r="AM941" s="9" t="n">
        <x:v>19</x:v>
      </x:c>
      <x:c r="AN941" s="9" t="n">
        <x:v>0</x:v>
      </x:c>
    </x:row>
    <x:row r="942" ht="60" customHeight="1">
      <x:c r="A942" s="9" t="str">
        <x:v>fS9mmH5pow8</x:v>
      </x:c>
      <x:c r="B942" s="10" t="str">
        <x:v>כראמל 🐱 | אבני הזהב - פרק 20 | פרק סיום העונה</x:v>
      </x:c>
      <x:c r="C942" s="10" t="str">
        <x:v>Семейные сериалы</x:v>
      </x:c>
      <x:c r="D942" s="9" t="str">
        <x:v>Сериал</x:v>
      </x:c>
      <x:c r="E942" s="10" t="str">
        <x:v>Семьи; начинающие с опорой; молодёжь</x:v>
      </x:c>
      <x:c r="F942" s="10" t="str">
        <x:v>A2–B1 (гипотеза)</x:v>
      </x:c>
      <x:c r="G942" s="12" t="n">
        <x:v>27.8</x:v>
      </x:c>
      <x:c r="H942" s="14" t="n">
        <x:v>6408486</x:v>
      </x:c>
      <x:c r="I942" s="15" t="str">
        <x:v>Точный счётчик метаданных видео</x:v>
      </x:c>
      <x:c r="J942" s="14" t="n">
        <x:v>6400000</x:v>
      </x:c>
      <x:c r="K942" s="14" t="n">
        <x:v>4150000</x:v>
      </x:c>
      <x:c r="L942" s="12" t="n">
        <x:f>IF(COUNT(J942:K942)=2,IF(K942=0,"",J942/K942),"")</x:f>
        <x:v>1.5421686746987953</x:v>
      </x:c>
      <x:c r="M942" s="10" t="str">
        <x:v>Эпизод 20 в знакомой сюжетной ветке. Просмотры в списке выше медианы выборки этого цикла в 1.54 раза. Знакомые типы героев и видимые действия поддерживают понимание. Семейный сюжет привлекает отдельный сегмент аудитории.</x:v>
      </x:c>
      <x:c r="N942" s="10" t="str">
        <x:v>Выбрать сцену 1–3 минуты; описать действие и предсказать продолжение.</x:v>
      </x:c>
      <x:c r="O942" s="10" t="str">
        <x:v>Уровень предварительный; детский сериал не обязательно прост</x:v>
      </x:c>
      <x:c r="P942" s="10" t="str">
        <x:v>Полная серия — кандидат</x:v>
      </x:c>
      <x:c r="Q942" s="9" t="str">
        <x:v>Нет</x:v>
      </x:c>
      <x:c r="R942" s="9" t="str">
        <x:v>C053</x:v>
      </x:c>
      <x:c r="S942" s="9" t="str">
        <x:v>C053</x:v>
      </x:c>
      <x:c r="T942" s="10" t="str">
        <x:v>כאן חינוכית</x:v>
      </x:c>
      <x:c r="U942" s="11" t="str">
        <x:v>https://www.youtube.com/watch?v=fS9mmH5pow8</x:v>
      </x:c>
      <x:c r="V942" s="16" t="n">
        <x:v>46308</x:v>
      </x:c>
      <x:c r="W942" s="16" t="n">
        <x:v>44594</x:v>
      </x:c>
      <x:c r="X942" s="10" t="str">
        <x:v>Иврит предполагается по заголовку и источнику</x:v>
      </x:c>
      <x:c r="Y942" s="10" t="str">
        <x:v>Автоматическая дорожка HE по метаданным</x:v>
      </x:c>
      <x:c r="Z942" s="10" t="str">
        <x:v>Разрешено по метаданным</x:v>
      </x:c>
      <x:c r="AA942" s="10" t="str">
        <x:v>Метаданные видео; воспроизведение и содержание не проверены</x:v>
      </x:c>
      <x:c r="AB942" s="13" t="n">
        <x:f>IF(AND(ISNUMBER(H942),ISNUMBER(W942)),H942/MAX(1,'Обзор'!$B$4-W942),"")</x:f>
        <x:v>3738.906651108518</x:v>
      </x:c>
      <x:c r="AC942" s="17" t="str">
        <x:v>Не решено</x:v>
      </x:c>
      <x:c r="AD942" s="17" t="str">
        <x:v>Не проверено</x:v>
      </x:c>
      <x:c r="AE942" s="17" t="str">
        <x:v>Не проверено</x:v>
      </x:c>
      <x:c r="AF942" s="17" t="str">
        <x:v>Не проверено</x:v>
      </x:c>
      <x:c r="AG942" s="17" t="str">
        <x:v>Не решено</x:v>
      </x:c>
      <x:c r="AH942" s="17" t="str">
        <x:v>Не проверено</x:v>
      </x:c>
      <x:c r="AI942" s="10" t="str">
        <x:f>IF(AC942="Отклонить","Отклонено",IF(AND(AC942="Взять",COUNTIFS(AD942:AH942,"Да")=5),"Готово","Нужна редактура"))</x:f>
        <x:v>Нужна редактура</x:v>
      </x:c>
      <x:c r="AJ942" s="17" t="str"/>
      <x:c r="AK942" s="9" t="str">
        <x:v>https://www.youtube.com/playlist?list=PL51YAgTlfPj63XlDuL-6gm5d53G9a1eg-</x:v>
      </x:c>
      <x:c r="AL942" s="9" t="n">
        <x:v>20</x:v>
      </x:c>
      <x:c r="AM942" s="9" t="n">
        <x:v>20</x:v>
      </x:c>
      <x:c r="AN942" s="9" t="n">
        <x:v>0</x:v>
      </x:c>
    </x:row>
    <x:row r="943" ht="60" customHeight="1">
      <x:c r="A943" s="9" t="str">
        <x:v>_a3TjRq870M</x:v>
      </x:c>
      <x:c r="B943" s="10" t="str">
        <x:v>כראמל 🐱 | הפיספוסים❗️🤩</x:v>
      </x:c>
      <x:c r="C943" s="10" t="str">
        <x:v>Семейные сериалы</x:v>
      </x:c>
      <x:c r="D943" s="9" t="str">
        <x:v>Сериал</x:v>
      </x:c>
      <x:c r="E943" s="10" t="str">
        <x:v>Семьи; начинающие с опорой; молодёжь</x:v>
      </x:c>
      <x:c r="F943" s="10" t="str">
        <x:v>A2–B1 (гипотеза)</x:v>
      </x:c>
      <x:c r="G943" s="12" t="n">
        <x:v>3</x:v>
      </x:c>
      <x:c r="H943" s="14" t="n">
        <x:v>1100000</x:v>
      </x:c>
      <x:c r="I943" s="15" t="str">
        <x:v>Округлённый счётчик в списке YouTube</x:v>
      </x:c>
      <x:c r="J943" s="14" t="n">
        <x:v>1100000</x:v>
      </x:c>
      <x:c r="K943" s="14" t="n">
        <x:v>4150000</x:v>
      </x:c>
      <x:c r="L943" s="12" t="n">
        <x:f>IF(COUNT(J943:K943)=2,IF(K943=0,"",J943/K943),"")</x:f>
        <x:v>0.26506024096385544</x:v>
      </x:c>
      <x:c r="M943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43" s="10" t="str">
        <x:v>Выбрать сцену 1–3 минуты; описать действие и предсказать продолжение.</x:v>
      </x:c>
      <x:c r="O943" s="10" t="str">
        <x:v>Уровень предварительный; детский сериал не обязательно прост</x:v>
      </x:c>
      <x:c r="P943" s="10" t="str">
        <x:v>Фрагмент сериала</x:v>
      </x:c>
      <x:c r="Q943" s="9" t="str">
        <x:v>Нет</x:v>
      </x:c>
      <x:c r="R943" s="9" t="str">
        <x:v>C053</x:v>
      </x:c>
      <x:c r="S943" s="9" t="str">
        <x:v>C053</x:v>
      </x:c>
      <x:c r="T943" s="10" t="str">
        <x:v>כאן חינוכית</x:v>
      </x:c>
      <x:c r="U943" s="11" t="str">
        <x:v>https://www.youtube.com/watch?v=_a3TjRq870M</x:v>
      </x:c>
      <x:c r="V943" s="16" t="n">
        <x:v>46308</x:v>
      </x:c>
      <x:c r="W943" s="16"/>
      <x:c r="X943" s="10" t="str">
        <x:v>Иврит предполагается по заголовку и источнику</x:v>
      </x:c>
      <x:c r="Y943" s="10" t="str">
        <x:v>Не проверено</x:v>
      </x:c>
      <x:c r="Z943" s="10" t="str">
        <x:v>Не проверено</x:v>
      </x:c>
      <x:c r="AA943" s="10" t="str">
        <x:v>Метаданные списка; видео не просмотрено</x:v>
      </x:c>
      <x:c r="AB943" s="13" t="str">
        <x:f>IF(AND(ISNUMBER(H943),ISNUMBER(W943)),H943/MAX(1,'Обзор'!$B$4-W943),"")</x:f>
      </x:c>
      <x:c r="AC943" s="17" t="str">
        <x:v>Не решено</x:v>
      </x:c>
      <x:c r="AD943" s="17" t="str">
        <x:v>Не проверено</x:v>
      </x:c>
      <x:c r="AE943" s="17" t="str">
        <x:v>Не проверено</x:v>
      </x:c>
      <x:c r="AF943" s="17" t="str">
        <x:v>Не проверено</x:v>
      </x:c>
      <x:c r="AG943" s="17" t="str">
        <x:v>Не решено</x:v>
      </x:c>
      <x:c r="AH943" s="17" t="str">
        <x:v>Не проверено</x:v>
      </x:c>
      <x:c r="AI943" s="10" t="str">
        <x:f>IF(AC943="Отклонить","Отклонено",IF(AND(AC943="Взять",COUNTIFS(AD943:AH943,"Да")=5),"Готово","Нужна редактура"))</x:f>
        <x:v>Нужна редактура</x:v>
      </x:c>
      <x:c r="AJ943" s="17" t="str"/>
      <x:c r="AK943" s="9" t="str">
        <x:v>https://www.youtube.com/playlist?list=PL51YAgTlfPj63XlDuL-6gm5d53G9a1eg-</x:v>
      </x:c>
      <x:c r="AL943" s="9" t="n">
        <x:v>22</x:v>
      </x:c>
      <x:c r="AM943" s="9"/>
      <x:c r="AN943" s="9"/>
    </x:row>
    <x:row r="944" ht="60" customHeight="1">
      <x:c r="A944" s="9" t="str">
        <x:v>bbGQ4VOzblo</x:v>
      </x:c>
      <x:c r="B944" s="10" t="str">
        <x:v>כראמל 🐱 | הכירו את אל-אל</x:v>
      </x:c>
      <x:c r="C944" s="10" t="str">
        <x:v>Семейные сериалы</x:v>
      </x:c>
      <x:c r="D944" s="9" t="str">
        <x:v>Сериал</x:v>
      </x:c>
      <x:c r="E944" s="10" t="str">
        <x:v>Семьи; начинающие с опорой; молодёжь</x:v>
      </x:c>
      <x:c r="F944" s="10" t="str">
        <x:v>A2–B1 (гипотеза)</x:v>
      </x:c>
      <x:c r="G944" s="12" t="n">
        <x:v>1.4</x:v>
      </x:c>
      <x:c r="H944" s="14" t="n">
        <x:v>776000</x:v>
      </x:c>
      <x:c r="I944" s="15" t="str">
        <x:v>Округлённый счётчик в списке YouTube</x:v>
      </x:c>
      <x:c r="J944" s="14" t="n">
        <x:v>776000</x:v>
      </x:c>
      <x:c r="K944" s="14" t="n">
        <x:v>4150000</x:v>
      </x:c>
      <x:c r="L944" s="12" t="n">
        <x:f>IF(COUNT(J944:K944)=2,IF(K944=0,"",J944/K944),"")</x:f>
        <x:v>0.1869879518072289</x:v>
      </x:c>
      <x:c r="M944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44" s="10" t="str">
        <x:v>Выбрать сцену 1–3 минуты; описать действие и предсказать продолжение.</x:v>
      </x:c>
      <x:c r="O944" s="10" t="str">
        <x:v>Уровень предварительный; детский сериал не обязательно прост</x:v>
      </x:c>
      <x:c r="P944" s="10" t="str">
        <x:v>Фрагмент сериала</x:v>
      </x:c>
      <x:c r="Q944" s="9" t="str">
        <x:v>Нет</x:v>
      </x:c>
      <x:c r="R944" s="9" t="str">
        <x:v>C053</x:v>
      </x:c>
      <x:c r="S944" s="9" t="str">
        <x:v>C053</x:v>
      </x:c>
      <x:c r="T944" s="10" t="str">
        <x:v>כאן חינוכית</x:v>
      </x:c>
      <x:c r="U944" s="11" t="str">
        <x:v>https://www.youtube.com/watch?v=bbGQ4VOzblo</x:v>
      </x:c>
      <x:c r="V944" s="16" t="n">
        <x:v>46308</x:v>
      </x:c>
      <x:c r="W944" s="16"/>
      <x:c r="X944" s="10" t="str">
        <x:v>Иврит предполагается по заголовку и источнику</x:v>
      </x:c>
      <x:c r="Y944" s="10" t="str">
        <x:v>Не проверено</x:v>
      </x:c>
      <x:c r="Z944" s="10" t="str">
        <x:v>Не проверено</x:v>
      </x:c>
      <x:c r="AA944" s="10" t="str">
        <x:v>Метаданные списка; видео не просмотрено</x:v>
      </x:c>
      <x:c r="AB944" s="13" t="str">
        <x:f>IF(AND(ISNUMBER(H944),ISNUMBER(W944)),H944/MAX(1,'Обзор'!$B$4-W944),"")</x:f>
      </x:c>
      <x:c r="AC944" s="17" t="str">
        <x:v>Не решено</x:v>
      </x:c>
      <x:c r="AD944" s="17" t="str">
        <x:v>Не проверено</x:v>
      </x:c>
      <x:c r="AE944" s="17" t="str">
        <x:v>Не проверено</x:v>
      </x:c>
      <x:c r="AF944" s="17" t="str">
        <x:v>Не проверено</x:v>
      </x:c>
      <x:c r="AG944" s="17" t="str">
        <x:v>Не решено</x:v>
      </x:c>
      <x:c r="AH944" s="17" t="str">
        <x:v>Не проверено</x:v>
      </x:c>
      <x:c r="AI944" s="10" t="str">
        <x:f>IF(AC944="Отклонить","Отклонено",IF(AND(AC944="Взять",COUNTIFS(AD944:AH944,"Да")=5),"Готово","Нужна редактура"))</x:f>
        <x:v>Нужна редактура</x:v>
      </x:c>
      <x:c r="AJ944" s="17" t="str"/>
      <x:c r="AK944" s="9" t="str">
        <x:v>https://www.youtube.com/playlist?list=PL51YAgTlfPj63XlDuL-6gm5d53G9a1eg-</x:v>
      </x:c>
      <x:c r="AL944" s="9" t="n">
        <x:v>23</x:v>
      </x:c>
      <x:c r="AM944" s="9"/>
      <x:c r="AN944" s="9"/>
    </x:row>
    <x:row r="945" ht="60" customHeight="1">
      <x:c r="A945" s="9" t="str">
        <x:v>sI-nCJdS7jk</x:v>
      </x:c>
      <x:c r="B945" s="10" t="str">
        <x:v>כראמל 🐱 | הכירו את גול</x:v>
      </x:c>
      <x:c r="C945" s="10" t="str">
        <x:v>Семейные сериалы</x:v>
      </x:c>
      <x:c r="D945" s="9" t="str">
        <x:v>Сериал</x:v>
      </x:c>
      <x:c r="E945" s="10" t="str">
        <x:v>Семьи; начинающие с опорой; молодёжь</x:v>
      </x:c>
      <x:c r="F945" s="10" t="str">
        <x:v>A2–B1 (гипотеза)</x:v>
      </x:c>
      <x:c r="G945" s="12" t="n">
        <x:v>1.3</x:v>
      </x:c>
      <x:c r="H945" s="14" t="n">
        <x:v>331000</x:v>
      </x:c>
      <x:c r="I945" s="15" t="str">
        <x:v>Округлённый счётчик в списке YouTube</x:v>
      </x:c>
      <x:c r="J945" s="14" t="n">
        <x:v>331000</x:v>
      </x:c>
      <x:c r="K945" s="14" t="n">
        <x:v>4150000</x:v>
      </x:c>
      <x:c r="L945" s="12" t="n">
        <x:f>IF(COUNT(J945:K945)=2,IF(K945=0,"",J945/K945),"")</x:f>
        <x:v>0.07975903614457831</x:v>
      </x:c>
      <x:c r="M945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45" s="10" t="str">
        <x:v>Выбрать сцену 1–3 минуты; описать действие и предсказать продолжение.</x:v>
      </x:c>
      <x:c r="O945" s="10" t="str">
        <x:v>Уровень предварительный; детский сериал не обязательно прост</x:v>
      </x:c>
      <x:c r="P945" s="10" t="str">
        <x:v>Фрагмент сериала</x:v>
      </x:c>
      <x:c r="Q945" s="9" t="str">
        <x:v>Нет</x:v>
      </x:c>
      <x:c r="R945" s="9" t="str">
        <x:v>C053</x:v>
      </x:c>
      <x:c r="S945" s="9" t="str">
        <x:v>C053</x:v>
      </x:c>
      <x:c r="T945" s="10" t="str">
        <x:v>כאן חינוכית</x:v>
      </x:c>
      <x:c r="U945" s="11" t="str">
        <x:v>https://www.youtube.com/watch?v=sI-nCJdS7jk</x:v>
      </x:c>
      <x:c r="V945" s="16" t="n">
        <x:v>46308</x:v>
      </x:c>
      <x:c r="W945" s="16"/>
      <x:c r="X945" s="10" t="str">
        <x:v>Иврит предполагается по заголовку и источнику</x:v>
      </x:c>
      <x:c r="Y945" s="10" t="str">
        <x:v>Не проверено</x:v>
      </x:c>
      <x:c r="Z945" s="10" t="str">
        <x:v>Не проверено</x:v>
      </x:c>
      <x:c r="AA945" s="10" t="str">
        <x:v>Метаданные списка; видео не просмотрено</x:v>
      </x:c>
      <x:c r="AB945" s="13" t="str">
        <x:f>IF(AND(ISNUMBER(H945),ISNUMBER(W945)),H945/MAX(1,'Обзор'!$B$4-W945),"")</x:f>
      </x:c>
      <x:c r="AC945" s="17" t="str">
        <x:v>Не решено</x:v>
      </x:c>
      <x:c r="AD945" s="17" t="str">
        <x:v>Не проверено</x:v>
      </x:c>
      <x:c r="AE945" s="17" t="str">
        <x:v>Не проверено</x:v>
      </x:c>
      <x:c r="AF945" s="17" t="str">
        <x:v>Не проверено</x:v>
      </x:c>
      <x:c r="AG945" s="17" t="str">
        <x:v>Не решено</x:v>
      </x:c>
      <x:c r="AH945" s="17" t="str">
        <x:v>Не проверено</x:v>
      </x:c>
      <x:c r="AI945" s="10" t="str">
        <x:f>IF(AC945="Отклонить","Отклонено",IF(AND(AC945="Взять",COUNTIFS(AD945:AH945,"Да")=5),"Готово","Нужна редактура"))</x:f>
        <x:v>Нужна редактура</x:v>
      </x:c>
      <x:c r="AJ945" s="17" t="str"/>
      <x:c r="AK945" s="9" t="str">
        <x:v>https://www.youtube.com/playlist?list=PL51YAgTlfPj63XlDuL-6gm5d53G9a1eg-</x:v>
      </x:c>
      <x:c r="AL945" s="9" t="n">
        <x:v>24</x:v>
      </x:c>
      <x:c r="AM945" s="9"/>
      <x:c r="AN945" s="9"/>
    </x:row>
    <x:row r="946" ht="60" customHeight="1">
      <x:c r="A946" s="9" t="str">
        <x:v>ZYEzNU1SL7M</x:v>
      </x:c>
      <x:c r="B946" s="10" t="str">
        <x:v>כראמל 🐱 | הכירו את רובי</x:v>
      </x:c>
      <x:c r="C946" s="10" t="str">
        <x:v>Семейные сериалы</x:v>
      </x:c>
      <x:c r="D946" s="9" t="str">
        <x:v>Сериал</x:v>
      </x:c>
      <x:c r="E946" s="10" t="str">
        <x:v>Семьи; начинающие с опорой; молодёжь</x:v>
      </x:c>
      <x:c r="F946" s="10" t="str">
        <x:v>A2–B1 (гипотеза)</x:v>
      </x:c>
      <x:c r="G946" s="12" t="n">
        <x:v>1.3</x:v>
      </x:c>
      <x:c r="H946" s="14" t="n">
        <x:v>346000</x:v>
      </x:c>
      <x:c r="I946" s="15" t="str">
        <x:v>Округлённый счётчик в списке YouTube</x:v>
      </x:c>
      <x:c r="J946" s="14" t="n">
        <x:v>346000</x:v>
      </x:c>
      <x:c r="K946" s="14" t="n">
        <x:v>4150000</x:v>
      </x:c>
      <x:c r="L946" s="12" t="n">
        <x:f>IF(COUNT(J946:K946)=2,IF(K946=0,"",J946/K946),"")</x:f>
        <x:v>0.08337349397590361</x:v>
      </x:c>
      <x:c r="M946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46" s="10" t="str">
        <x:v>Выбрать сцену 1–3 минуты; описать действие и предсказать продолжение.</x:v>
      </x:c>
      <x:c r="O946" s="10" t="str">
        <x:v>Уровень предварительный; детский сериал не обязательно прост</x:v>
      </x:c>
      <x:c r="P946" s="10" t="str">
        <x:v>Фрагмент сериала</x:v>
      </x:c>
      <x:c r="Q946" s="9" t="str">
        <x:v>Нет</x:v>
      </x:c>
      <x:c r="R946" s="9" t="str">
        <x:v>C053</x:v>
      </x:c>
      <x:c r="S946" s="9" t="str">
        <x:v>C053</x:v>
      </x:c>
      <x:c r="T946" s="10" t="str">
        <x:v>כאן חינוכית</x:v>
      </x:c>
      <x:c r="U946" s="11" t="str">
        <x:v>https://www.youtube.com/watch?v=ZYEzNU1SL7M</x:v>
      </x:c>
      <x:c r="V946" s="16" t="n">
        <x:v>46308</x:v>
      </x:c>
      <x:c r="W946" s="16"/>
      <x:c r="X946" s="10" t="str">
        <x:v>Иврит предполагается по заголовку и источнику</x:v>
      </x:c>
      <x:c r="Y946" s="10" t="str">
        <x:v>Не проверено</x:v>
      </x:c>
      <x:c r="Z946" s="10" t="str">
        <x:v>Не проверено</x:v>
      </x:c>
      <x:c r="AA946" s="10" t="str">
        <x:v>Метаданные списка; видео не просмотрено</x:v>
      </x:c>
      <x:c r="AB946" s="13" t="str">
        <x:f>IF(AND(ISNUMBER(H946),ISNUMBER(W946)),H946/MAX(1,'Обзор'!$B$4-W946),"")</x:f>
      </x:c>
      <x:c r="AC946" s="17" t="str">
        <x:v>Не решено</x:v>
      </x:c>
      <x:c r="AD946" s="17" t="str">
        <x:v>Не проверено</x:v>
      </x:c>
      <x:c r="AE946" s="17" t="str">
        <x:v>Не проверено</x:v>
      </x:c>
      <x:c r="AF946" s="17" t="str">
        <x:v>Не проверено</x:v>
      </x:c>
      <x:c r="AG946" s="17" t="str">
        <x:v>Не решено</x:v>
      </x:c>
      <x:c r="AH946" s="17" t="str">
        <x:v>Не проверено</x:v>
      </x:c>
      <x:c r="AI946" s="10" t="str">
        <x:f>IF(AC946="Отклонить","Отклонено",IF(AND(AC946="Взять",COUNTIFS(AD946:AH946,"Да")=5),"Готово","Нужна редактура"))</x:f>
        <x:v>Нужна редактура</x:v>
      </x:c>
      <x:c r="AJ946" s="17" t="str"/>
      <x:c r="AK946" s="9" t="str">
        <x:v>https://www.youtube.com/playlist?list=PL51YAgTlfPj63XlDuL-6gm5d53G9a1eg-</x:v>
      </x:c>
      <x:c r="AL946" s="9" t="n">
        <x:v>25</x:v>
      </x:c>
      <x:c r="AM946" s="9"/>
      <x:c r="AN946" s="9"/>
    </x:row>
    <x:row r="947" ht="60" customHeight="1">
      <x:c r="A947" s="9" t="str">
        <x:v>oYcAYQiEIUs</x:v>
      </x:c>
      <x:c r="B947" s="10" t="str">
        <x:v>כראמל 🐱 | הכירו את מילה</x:v>
      </x:c>
      <x:c r="C947" s="10" t="str">
        <x:v>Семейные сериалы</x:v>
      </x:c>
      <x:c r="D947" s="9" t="str">
        <x:v>Сериал</x:v>
      </x:c>
      <x:c r="E947" s="10" t="str">
        <x:v>Семьи; начинающие с опорой; молодёжь</x:v>
      </x:c>
      <x:c r="F947" s="10" t="str">
        <x:v>A2–B1 (гипотеза)</x:v>
      </x:c>
      <x:c r="G947" s="12" t="n">
        <x:v>1.3</x:v>
      </x:c>
      <x:c r="H947" s="14" t="n">
        <x:v>226000</x:v>
      </x:c>
      <x:c r="I947" s="15" t="str">
        <x:v>Округлённый счётчик в списке YouTube</x:v>
      </x:c>
      <x:c r="J947" s="14" t="n">
        <x:v>226000</x:v>
      </x:c>
      <x:c r="K947" s="14" t="n">
        <x:v>4150000</x:v>
      </x:c>
      <x:c r="L947" s="12" t="n">
        <x:f>IF(COUNT(J947:K947)=2,IF(K947=0,"",J947/K947),"")</x:f>
        <x:v>0.05445783132530121</x:v>
      </x:c>
      <x:c r="M947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47" s="10" t="str">
        <x:v>Выбрать сцену 1–3 минуты; описать действие и предсказать продолжение.</x:v>
      </x:c>
      <x:c r="O947" s="10" t="str">
        <x:v>Уровень предварительный; детский сериал не обязательно прост</x:v>
      </x:c>
      <x:c r="P947" s="10" t="str">
        <x:v>Фрагмент сериала</x:v>
      </x:c>
      <x:c r="Q947" s="9" t="str">
        <x:v>Нет</x:v>
      </x:c>
      <x:c r="R947" s="9" t="str">
        <x:v>C053</x:v>
      </x:c>
      <x:c r="S947" s="9" t="str">
        <x:v>C053</x:v>
      </x:c>
      <x:c r="T947" s="10" t="str">
        <x:v>כאן חינוכית</x:v>
      </x:c>
      <x:c r="U947" s="11" t="str">
        <x:v>https://www.youtube.com/watch?v=oYcAYQiEIUs</x:v>
      </x:c>
      <x:c r="V947" s="16" t="n">
        <x:v>46308</x:v>
      </x:c>
      <x:c r="W947" s="16"/>
      <x:c r="X947" s="10" t="str">
        <x:v>Иврит предполагается по заголовку и источнику</x:v>
      </x:c>
      <x:c r="Y947" s="10" t="str">
        <x:v>Не проверено</x:v>
      </x:c>
      <x:c r="Z947" s="10" t="str">
        <x:v>Не проверено</x:v>
      </x:c>
      <x:c r="AA947" s="10" t="str">
        <x:v>Метаданные списка; видео не просмотрено</x:v>
      </x:c>
      <x:c r="AB947" s="13" t="str">
        <x:f>IF(AND(ISNUMBER(H947),ISNUMBER(W947)),H947/MAX(1,'Обзор'!$B$4-W947),"")</x:f>
      </x:c>
      <x:c r="AC947" s="17" t="str">
        <x:v>Не решено</x:v>
      </x:c>
      <x:c r="AD947" s="17" t="str">
        <x:v>Не проверено</x:v>
      </x:c>
      <x:c r="AE947" s="17" t="str">
        <x:v>Не проверено</x:v>
      </x:c>
      <x:c r="AF947" s="17" t="str">
        <x:v>Не проверено</x:v>
      </x:c>
      <x:c r="AG947" s="17" t="str">
        <x:v>Не решено</x:v>
      </x:c>
      <x:c r="AH947" s="17" t="str">
        <x:v>Не проверено</x:v>
      </x:c>
      <x:c r="AI947" s="10" t="str">
        <x:f>IF(AC947="Отклонить","Отклонено",IF(AND(AC947="Взять",COUNTIFS(AD947:AH947,"Да")=5),"Готово","Нужна редактура"))</x:f>
        <x:v>Нужна редактура</x:v>
      </x:c>
      <x:c r="AJ947" s="17" t="str"/>
      <x:c r="AK947" s="9" t="str">
        <x:v>https://www.youtube.com/playlist?list=PL51YAgTlfPj63XlDuL-6gm5d53G9a1eg-</x:v>
      </x:c>
      <x:c r="AL947" s="9" t="n">
        <x:v>26</x:v>
      </x:c>
      <x:c r="AM947" s="9"/>
      <x:c r="AN947" s="9"/>
    </x:row>
    <x:row r="948" ht="60" customHeight="1">
      <x:c r="A948" s="9" t="str">
        <x:v>0cJhKhjrN8A</x:v>
      </x:c>
      <x:c r="B948" s="10" t="str">
        <x:v>כראמל 🐱 | הכירו את גברת בלום</x:v>
      </x:c>
      <x:c r="C948" s="10" t="str">
        <x:v>Семейные сериалы</x:v>
      </x:c>
      <x:c r="D948" s="9" t="str">
        <x:v>Сериал</x:v>
      </x:c>
      <x:c r="E948" s="10" t="str">
        <x:v>Семьи; начинающие с опорой; молодёжь</x:v>
      </x:c>
      <x:c r="F948" s="10" t="str">
        <x:v>A2–B1 (гипотеза)</x:v>
      </x:c>
      <x:c r="G948" s="12" t="n">
        <x:v>1.2</x:v>
      </x:c>
      <x:c r="H948" s="14" t="n">
        <x:v>667000</x:v>
      </x:c>
      <x:c r="I948" s="15" t="str">
        <x:v>Округлённый счётчик в списке YouTube</x:v>
      </x:c>
      <x:c r="J948" s="14" t="n">
        <x:v>667000</x:v>
      </x:c>
      <x:c r="K948" s="14" t="n">
        <x:v>4150000</x:v>
      </x:c>
      <x:c r="L948" s="12" t="n">
        <x:f>IF(COUNT(J948:K948)=2,IF(K948=0,"",J948/K948),"")</x:f>
        <x:v>0.16072289156626507</x:v>
      </x:c>
      <x:c r="M948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48" s="10" t="str">
        <x:v>Выбрать сцену 1–3 минуты; описать действие и предсказать продолжение.</x:v>
      </x:c>
      <x:c r="O948" s="10" t="str">
        <x:v>Уровень предварительный; детский сериал не обязательно прост</x:v>
      </x:c>
      <x:c r="P948" s="10" t="str">
        <x:v>Фрагмент сериала</x:v>
      </x:c>
      <x:c r="Q948" s="9" t="str">
        <x:v>Нет</x:v>
      </x:c>
      <x:c r="R948" s="9" t="str">
        <x:v>C053</x:v>
      </x:c>
      <x:c r="S948" s="9" t="str">
        <x:v>C053</x:v>
      </x:c>
      <x:c r="T948" s="10" t="str">
        <x:v>כאן חינוכית</x:v>
      </x:c>
      <x:c r="U948" s="11" t="str">
        <x:v>https://www.youtube.com/watch?v=0cJhKhjrN8A</x:v>
      </x:c>
      <x:c r="V948" s="16" t="n">
        <x:v>46308</x:v>
      </x:c>
      <x:c r="W948" s="16"/>
      <x:c r="X948" s="10" t="str">
        <x:v>Иврит предполагается по заголовку и источнику</x:v>
      </x:c>
      <x:c r="Y948" s="10" t="str">
        <x:v>Не проверено</x:v>
      </x:c>
      <x:c r="Z948" s="10" t="str">
        <x:v>Не проверено</x:v>
      </x:c>
      <x:c r="AA948" s="10" t="str">
        <x:v>Метаданные списка; видео не просмотрено</x:v>
      </x:c>
      <x:c r="AB948" s="13" t="str">
        <x:f>IF(AND(ISNUMBER(H948),ISNUMBER(W948)),H948/MAX(1,'Обзор'!$B$4-W948),"")</x:f>
      </x:c>
      <x:c r="AC948" s="17" t="str">
        <x:v>Не решено</x:v>
      </x:c>
      <x:c r="AD948" s="17" t="str">
        <x:v>Не проверено</x:v>
      </x:c>
      <x:c r="AE948" s="17" t="str">
        <x:v>Не проверено</x:v>
      </x:c>
      <x:c r="AF948" s="17" t="str">
        <x:v>Не проверено</x:v>
      </x:c>
      <x:c r="AG948" s="17" t="str">
        <x:v>Не решено</x:v>
      </x:c>
      <x:c r="AH948" s="17" t="str">
        <x:v>Не проверено</x:v>
      </x:c>
      <x:c r="AI948" s="10" t="str">
        <x:f>IF(AC948="Отклонить","Отклонено",IF(AND(AC948="Взять",COUNTIFS(AD948:AH948,"Да")=5),"Готово","Нужна редактура"))</x:f>
        <x:v>Нужна редактура</x:v>
      </x:c>
      <x:c r="AJ948" s="17" t="str"/>
      <x:c r="AK948" s="9" t="str">
        <x:v>https://www.youtube.com/playlist?list=PL51YAgTlfPj63XlDuL-6gm5d53G9a1eg-</x:v>
      </x:c>
      <x:c r="AL948" s="9" t="n">
        <x:v>27</x:v>
      </x:c>
      <x:c r="AM948" s="9"/>
      <x:c r="AN948" s="9"/>
    </x:row>
    <x:row r="949" ht="60" customHeight="1">
      <x:c r="A949" s="9" t="str">
        <x:v>1FqbA94Bbmg</x:v>
      </x:c>
      <x:c r="B949" s="10" t="str">
        <x:v>כראמל 🐱 | הכירו את הלנה</x:v>
      </x:c>
      <x:c r="C949" s="10" t="str">
        <x:v>Семейные сериалы</x:v>
      </x:c>
      <x:c r="D949" s="9" t="str">
        <x:v>Сериал</x:v>
      </x:c>
      <x:c r="E949" s="10" t="str">
        <x:v>Семьи; начинающие с опорой; молодёжь</x:v>
      </x:c>
      <x:c r="F949" s="10" t="str">
        <x:v>A2–B1 (гипотеза)</x:v>
      </x:c>
      <x:c r="G949" s="12" t="n">
        <x:v>1.1</x:v>
      </x:c>
      <x:c r="H949" s="14" t="n">
        <x:v>303000</x:v>
      </x:c>
      <x:c r="I949" s="15" t="str">
        <x:v>Округлённый счётчик в списке YouTube</x:v>
      </x:c>
      <x:c r="J949" s="14" t="n">
        <x:v>303000</x:v>
      </x:c>
      <x:c r="K949" s="14" t="n">
        <x:v>4150000</x:v>
      </x:c>
      <x:c r="L949" s="12" t="n">
        <x:f>IF(COUNT(J949:K949)=2,IF(K949=0,"",J949/K949),"")</x:f>
        <x:v>0.07301204819277109</x:v>
      </x:c>
      <x:c r="M949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49" s="10" t="str">
        <x:v>Выбрать сцену 1–3 минуты; описать действие и предсказать продолжение.</x:v>
      </x:c>
      <x:c r="O949" s="10" t="str">
        <x:v>Уровень предварительный; детский сериал не обязательно прост</x:v>
      </x:c>
      <x:c r="P949" s="10" t="str">
        <x:v>Фрагмент сериала</x:v>
      </x:c>
      <x:c r="Q949" s="9" t="str">
        <x:v>Нет</x:v>
      </x:c>
      <x:c r="R949" s="9" t="str">
        <x:v>C053</x:v>
      </x:c>
      <x:c r="S949" s="9" t="str">
        <x:v>C053</x:v>
      </x:c>
      <x:c r="T949" s="10" t="str">
        <x:v>כאן חינוכית</x:v>
      </x:c>
      <x:c r="U949" s="11" t="str">
        <x:v>https://www.youtube.com/watch?v=1FqbA94Bbmg</x:v>
      </x:c>
      <x:c r="V949" s="16" t="n">
        <x:v>46308</x:v>
      </x:c>
      <x:c r="W949" s="16"/>
      <x:c r="X949" s="10" t="str">
        <x:v>Иврит предполагается по заголовку и источнику</x:v>
      </x:c>
      <x:c r="Y949" s="10" t="str">
        <x:v>Не проверено</x:v>
      </x:c>
      <x:c r="Z949" s="10" t="str">
        <x:v>Не проверено</x:v>
      </x:c>
      <x:c r="AA949" s="10" t="str">
        <x:v>Метаданные списка; видео не просмотрено</x:v>
      </x:c>
      <x:c r="AB949" s="13" t="str">
        <x:f>IF(AND(ISNUMBER(H949),ISNUMBER(W949)),H949/MAX(1,'Обзор'!$B$4-W949),"")</x:f>
      </x:c>
      <x:c r="AC949" s="17" t="str">
        <x:v>Не решено</x:v>
      </x:c>
      <x:c r="AD949" s="17" t="str">
        <x:v>Не проверено</x:v>
      </x:c>
      <x:c r="AE949" s="17" t="str">
        <x:v>Не проверено</x:v>
      </x:c>
      <x:c r="AF949" s="17" t="str">
        <x:v>Не проверено</x:v>
      </x:c>
      <x:c r="AG949" s="17" t="str">
        <x:v>Не решено</x:v>
      </x:c>
      <x:c r="AH949" s="17" t="str">
        <x:v>Не проверено</x:v>
      </x:c>
      <x:c r="AI949" s="10" t="str">
        <x:f>IF(AC949="Отклонить","Отклонено",IF(AND(AC949="Взять",COUNTIFS(AD949:AH949,"Да")=5),"Готово","Нужна редактура"))</x:f>
        <x:v>Нужна редактура</x:v>
      </x:c>
      <x:c r="AJ949" s="17" t="str"/>
      <x:c r="AK949" s="9" t="str">
        <x:v>https://www.youtube.com/playlist?list=PL51YAgTlfPj63XlDuL-6gm5d53G9a1eg-</x:v>
      </x:c>
      <x:c r="AL949" s="9" t="n">
        <x:v>28</x:v>
      </x:c>
      <x:c r="AM949" s="9"/>
      <x:c r="AN949" s="9"/>
    </x:row>
    <x:row r="950" ht="60" customHeight="1">
      <x:c r="A950" s="9" t="str">
        <x:v>SKKXaUw2xMI</x:v>
      </x:c>
      <x:c r="B950" s="10" t="str">
        <x:v>כראמל 🐱 | מה ספ יכול לגלות לנו על כראמל❓😀</x:v>
      </x:c>
      <x:c r="C950" s="10" t="str">
        <x:v>Семейные сериалы</x:v>
      </x:c>
      <x:c r="D950" s="9" t="str">
        <x:v>Сериал</x:v>
      </x:c>
      <x:c r="E950" s="10" t="str">
        <x:v>Семьи; начинающие с опорой; молодёжь</x:v>
      </x:c>
      <x:c r="F950" s="10" t="str">
        <x:v>A2–B1 (гипотеза)</x:v>
      </x:c>
      <x:c r="G950" s="12" t="n">
        <x:v>2</x:v>
      </x:c>
      <x:c r="H950" s="14" t="n">
        <x:v>324000</x:v>
      </x:c>
      <x:c r="I950" s="15" t="str">
        <x:v>Округлённый счётчик в списке YouTube</x:v>
      </x:c>
      <x:c r="J950" s="14" t="n">
        <x:v>324000</x:v>
      </x:c>
      <x:c r="K950" s="14" t="n">
        <x:v>4150000</x:v>
      </x:c>
      <x:c r="L950" s="12" t="n">
        <x:f>IF(COUNT(J950:K950)=2,IF(K950=0,"",J950/K950),"")</x:f>
        <x:v>0.0780722891566265</x:v>
      </x:c>
      <x:c r="M950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50" s="10" t="str">
        <x:v>Выбрать сцену 1–3 минуты; описать действие и предсказать продолжение.</x:v>
      </x:c>
      <x:c r="O950" s="10" t="str">
        <x:v>Уровень предварительный; детский сериал не обязательно прост</x:v>
      </x:c>
      <x:c r="P950" s="10" t="str">
        <x:v>Фрагмент сериала</x:v>
      </x:c>
      <x:c r="Q950" s="9" t="str">
        <x:v>Нет</x:v>
      </x:c>
      <x:c r="R950" s="9" t="str">
        <x:v>C053</x:v>
      </x:c>
      <x:c r="S950" s="9" t="str">
        <x:v>C053</x:v>
      </x:c>
      <x:c r="T950" s="10" t="str">
        <x:v>כאן חינוכית</x:v>
      </x:c>
      <x:c r="U950" s="11" t="str">
        <x:v>https://www.youtube.com/watch?v=SKKXaUw2xMI</x:v>
      </x:c>
      <x:c r="V950" s="16" t="n">
        <x:v>46308</x:v>
      </x:c>
      <x:c r="W950" s="16"/>
      <x:c r="X950" s="10" t="str">
        <x:v>Иврит предполагается по заголовку и источнику</x:v>
      </x:c>
      <x:c r="Y950" s="10" t="str">
        <x:v>Не проверено</x:v>
      </x:c>
      <x:c r="Z950" s="10" t="str">
        <x:v>Не проверено</x:v>
      </x:c>
      <x:c r="AA950" s="10" t="str">
        <x:v>Метаданные списка; видео не просмотрено</x:v>
      </x:c>
      <x:c r="AB950" s="13" t="str">
        <x:f>IF(AND(ISNUMBER(H950),ISNUMBER(W950)),H950/MAX(1,'Обзор'!$B$4-W950),"")</x:f>
      </x:c>
      <x:c r="AC950" s="17" t="str">
        <x:v>Не решено</x:v>
      </x:c>
      <x:c r="AD950" s="17" t="str">
        <x:v>Не проверено</x:v>
      </x:c>
      <x:c r="AE950" s="17" t="str">
        <x:v>Не проверено</x:v>
      </x:c>
      <x:c r="AF950" s="17" t="str">
        <x:v>Не проверено</x:v>
      </x:c>
      <x:c r="AG950" s="17" t="str">
        <x:v>Не решено</x:v>
      </x:c>
      <x:c r="AH950" s="17" t="str">
        <x:v>Не проверено</x:v>
      </x:c>
      <x:c r="AI950" s="10" t="str">
        <x:f>IF(AC950="Отклонить","Отклонено",IF(AND(AC950="Взять",COUNTIFS(AD950:AH950,"Да")=5),"Готово","Нужна редактура"))</x:f>
        <x:v>Нужна редактура</x:v>
      </x:c>
      <x:c r="AJ950" s="17" t="str"/>
      <x:c r="AK950" s="9" t="str">
        <x:v>https://www.youtube.com/playlist?list=PL51YAgTlfPj63XlDuL-6gm5d53G9a1eg-</x:v>
      </x:c>
      <x:c r="AL950" s="9" t="n">
        <x:v>29</x:v>
      </x:c>
      <x:c r="AM950" s="9"/>
      <x:c r="AN950" s="9"/>
    </x:row>
    <x:row r="951" ht="60" customHeight="1">
      <x:c r="A951" s="9" t="str">
        <x:v>uuhXbWgifio</x:v>
      </x:c>
      <x:c r="B951" s="10" t="str">
        <x:v>כראמל 🐱 | מוכנים להיכנס לעולם המסתורי של כראמל❓ ב2.1 הוא מגיע לכאן חינוכית❗️</x:v>
      </x:c>
      <x:c r="C951" s="10" t="str">
        <x:v>Семейные сериалы</x:v>
      </x:c>
      <x:c r="D951" s="9" t="str">
        <x:v>Сериал</x:v>
      </x:c>
      <x:c r="E951" s="10" t="str">
        <x:v>Семьи; начинающие с опорой; молодёжь</x:v>
      </x:c>
      <x:c r="F951" s="10" t="str">
        <x:v>A2–B1 (гипотеза)</x:v>
      </x:c>
      <x:c r="G951" s="12" t="n">
        <x:v>0.5</x:v>
      </x:c>
      <x:c r="H951" s="14" t="n">
        <x:v>345000</x:v>
      </x:c>
      <x:c r="I951" s="15" t="str">
        <x:v>Округлённый счётчик в списке YouTube</x:v>
      </x:c>
      <x:c r="J951" s="14" t="n">
        <x:v>345000</x:v>
      </x:c>
      <x:c r="K951" s="14" t="n">
        <x:v>4150000</x:v>
      </x:c>
      <x:c r="L951" s="12" t="n">
        <x:f>IF(COUNT(J951:K951)=2,IF(K951=0,"",J951/K951),"")</x:f>
        <x:v>0.08313253012048193</x:v>
      </x:c>
      <x:c r="M951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51" s="10" t="str">
        <x:v>Выбрать сцену 1–3 минуты; описать действие и предсказать продолжение.</x:v>
      </x:c>
      <x:c r="O951" s="10" t="str">
        <x:v>Уровень предварительный; детский сериал не обязательно прост</x:v>
      </x:c>
      <x:c r="P951" s="10" t="str">
        <x:v>Фрагмент сериала</x:v>
      </x:c>
      <x:c r="Q951" s="9" t="str">
        <x:v>Нет</x:v>
      </x:c>
      <x:c r="R951" s="9" t="str">
        <x:v>C053</x:v>
      </x:c>
      <x:c r="S951" s="9" t="str">
        <x:v>C053</x:v>
      </x:c>
      <x:c r="T951" s="10" t="str">
        <x:v>כאן חינוכית</x:v>
      </x:c>
      <x:c r="U951" s="11" t="str">
        <x:v>https://www.youtube.com/watch?v=uuhXbWgifio</x:v>
      </x:c>
      <x:c r="V951" s="16" t="n">
        <x:v>46308</x:v>
      </x:c>
      <x:c r="W951" s="16"/>
      <x:c r="X951" s="10" t="str">
        <x:v>Иврит предполагается по заголовку и источнику</x:v>
      </x:c>
      <x:c r="Y951" s="10" t="str">
        <x:v>Не проверено</x:v>
      </x:c>
      <x:c r="Z951" s="10" t="str">
        <x:v>Не проверено</x:v>
      </x:c>
      <x:c r="AA951" s="10" t="str">
        <x:v>Метаданные списка; видео не просмотрено</x:v>
      </x:c>
      <x:c r="AB951" s="13" t="str">
        <x:f>IF(AND(ISNUMBER(H951),ISNUMBER(W951)),H951/MAX(1,'Обзор'!$B$4-W951),"")</x:f>
      </x:c>
      <x:c r="AC951" s="17" t="str">
        <x:v>Не решено</x:v>
      </x:c>
      <x:c r="AD951" s="17" t="str">
        <x:v>Не проверено</x:v>
      </x:c>
      <x:c r="AE951" s="17" t="str">
        <x:v>Не проверено</x:v>
      </x:c>
      <x:c r="AF951" s="17" t="str">
        <x:v>Не проверено</x:v>
      </x:c>
      <x:c r="AG951" s="17" t="str">
        <x:v>Не решено</x:v>
      </x:c>
      <x:c r="AH951" s="17" t="str">
        <x:v>Не проверено</x:v>
      </x:c>
      <x:c r="AI951" s="10" t="str">
        <x:f>IF(AC951="Отклонить","Отклонено",IF(AND(AC951="Взять",COUNTIFS(AD951:AH951,"Да")=5),"Готово","Нужна редактура"))</x:f>
        <x:v>Нужна редактура</x:v>
      </x:c>
      <x:c r="AJ951" s="17" t="str"/>
      <x:c r="AK951" s="9" t="str">
        <x:v>https://www.youtube.com/playlist?list=PL51YAgTlfPj63XlDuL-6gm5d53G9a1eg-</x:v>
      </x:c>
      <x:c r="AL951" s="9" t="n">
        <x:v>30</x:v>
      </x:c>
      <x:c r="AM951" s="9"/>
      <x:c r="AN951" s="9"/>
    </x:row>
    <x:row r="952" ht="60" customHeight="1">
      <x:c r="A952" s="9" t="str">
        <x:v>ZBpk6mPBi78</x:v>
      </x:c>
      <x:c r="B952" s="10" t="str">
        <x:v>כראמל 🐱 | בואו ניכנס🏰 - מתחילים ב2.1.22!</x:v>
      </x:c>
      <x:c r="C952" s="10" t="str">
        <x:v>Семейные сериалы</x:v>
      </x:c>
      <x:c r="D952" s="9" t="str">
        <x:v>Сериал</x:v>
      </x:c>
      <x:c r="E952" s="10" t="str">
        <x:v>Семьи; начинающие с опорой; молодёжь</x:v>
      </x:c>
      <x:c r="F952" s="10" t="str">
        <x:v>A2–B1 (гипотеза)</x:v>
      </x:c>
      <x:c r="G952" s="12" t="n">
        <x:v>1.1</x:v>
      </x:c>
      <x:c r="H952" s="14" t="n">
        <x:v>76000</x:v>
      </x:c>
      <x:c r="I952" s="15" t="str">
        <x:v>Округлённый счётчик в списке YouTube</x:v>
      </x:c>
      <x:c r="J952" s="14" t="n">
        <x:v>76000</x:v>
      </x:c>
      <x:c r="K952" s="14" t="n">
        <x:v>4150000</x:v>
      </x:c>
      <x:c r="L952" s="12" t="n">
        <x:f>IF(COUNT(J952:K952)=2,IF(K952=0,"",J952/K952),"")</x:f>
        <x:v>0.018313253012048194</x:v>
      </x:c>
      <x:c r="M952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52" s="10" t="str">
        <x:v>Выбрать сцену 1–3 минуты; описать действие и предсказать продолжение.</x:v>
      </x:c>
      <x:c r="O952" s="10" t="str">
        <x:v>Уровень предварительный; детский сериал не обязательно прост</x:v>
      </x:c>
      <x:c r="P952" s="10" t="str">
        <x:v>Фрагмент сериала</x:v>
      </x:c>
      <x:c r="Q952" s="9" t="str">
        <x:v>Нет</x:v>
      </x:c>
      <x:c r="R952" s="9" t="str">
        <x:v>C053</x:v>
      </x:c>
      <x:c r="S952" s="9" t="str">
        <x:v>C053</x:v>
      </x:c>
      <x:c r="T952" s="10" t="str">
        <x:v>כאן חינוכית</x:v>
      </x:c>
      <x:c r="U952" s="11" t="str">
        <x:v>https://www.youtube.com/watch?v=ZBpk6mPBi78</x:v>
      </x:c>
      <x:c r="V952" s="16" t="n">
        <x:v>46308</x:v>
      </x:c>
      <x:c r="W952" s="16"/>
      <x:c r="X952" s="10" t="str">
        <x:v>Иврит предполагается по заголовку и источнику</x:v>
      </x:c>
      <x:c r="Y952" s="10" t="str">
        <x:v>Не проверено</x:v>
      </x:c>
      <x:c r="Z952" s="10" t="str">
        <x:v>Не проверено</x:v>
      </x:c>
      <x:c r="AA952" s="10" t="str">
        <x:v>Метаданные списка; видео не просмотрено</x:v>
      </x:c>
      <x:c r="AB952" s="13" t="str">
        <x:f>IF(AND(ISNUMBER(H952),ISNUMBER(W952)),H952/MAX(1,'Обзор'!$B$4-W952),"")</x:f>
      </x:c>
      <x:c r="AC952" s="17" t="str">
        <x:v>Не решено</x:v>
      </x:c>
      <x:c r="AD952" s="17" t="str">
        <x:v>Не проверено</x:v>
      </x:c>
      <x:c r="AE952" s="17" t="str">
        <x:v>Не проверено</x:v>
      </x:c>
      <x:c r="AF952" s="17" t="str">
        <x:v>Не проверено</x:v>
      </x:c>
      <x:c r="AG952" s="17" t="str">
        <x:v>Не решено</x:v>
      </x:c>
      <x:c r="AH952" s="17" t="str">
        <x:v>Не проверено</x:v>
      </x:c>
      <x:c r="AI952" s="10" t="str">
        <x:f>IF(AC952="Отклонить","Отклонено",IF(AND(AC952="Взять",COUNTIFS(AD952:AH952,"Да")=5),"Готово","Нужна редактура"))</x:f>
        <x:v>Нужна редактура</x:v>
      </x:c>
      <x:c r="AJ952" s="17" t="str"/>
      <x:c r="AK952" s="9" t="str">
        <x:v>https://www.youtube.com/playlist?list=PL51YAgTlfPj63XlDuL-6gm5d53G9a1eg-</x:v>
      </x:c>
      <x:c r="AL952" s="9" t="n">
        <x:v>31</x:v>
      </x:c>
      <x:c r="AM952" s="9"/>
      <x:c r="AN952" s="9"/>
    </x:row>
    <x:row r="953" ht="60" customHeight="1">
      <x:c r="A953" s="9" t="str">
        <x:v>jj3Oz6bLlGY</x:v>
      </x:c>
      <x:c r="B953" s="10" t="str">
        <x:v>כראמל 🐱 | בחירת הטבעות💍 - מתחילים ב2.1.22!</x:v>
      </x:c>
      <x:c r="C953" s="10" t="str">
        <x:v>Семейные сериалы</x:v>
      </x:c>
      <x:c r="D953" s="9" t="str">
        <x:v>Сериал</x:v>
      </x:c>
      <x:c r="E953" s="10" t="str">
        <x:v>Семьи; начинающие с опорой; молодёжь</x:v>
      </x:c>
      <x:c r="F953" s="10" t="str">
        <x:v>A2–B1 (гипотеза)</x:v>
      </x:c>
      <x:c r="G953" s="12" t="n">
        <x:v>1.5</x:v>
      </x:c>
      <x:c r="H953" s="14" t="n">
        <x:v>128000</x:v>
      </x:c>
      <x:c r="I953" s="15" t="str">
        <x:v>Округлённый счётчик в списке YouTube</x:v>
      </x:c>
      <x:c r="J953" s="14" t="n">
        <x:v>128000</x:v>
      </x:c>
      <x:c r="K953" s="14" t="n">
        <x:v>4150000</x:v>
      </x:c>
      <x:c r="L953" s="12" t="n">
        <x:f>IF(COUNT(J953:K953)=2,IF(K953=0,"",J953/K953),"")</x:f>
        <x:v>0.030843373493975902</x:v>
      </x:c>
      <x:c r="M953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53" s="10" t="str">
        <x:v>Выбрать сцену 1–3 минуты; описать действие и предсказать продолжение.</x:v>
      </x:c>
      <x:c r="O953" s="10" t="str">
        <x:v>Уровень предварительный; детский сериал не обязательно прост</x:v>
      </x:c>
      <x:c r="P953" s="10" t="str">
        <x:v>Фрагмент сериала</x:v>
      </x:c>
      <x:c r="Q953" s="9" t="str">
        <x:v>Нет</x:v>
      </x:c>
      <x:c r="R953" s="9" t="str">
        <x:v>C053</x:v>
      </x:c>
      <x:c r="S953" s="9" t="str">
        <x:v>C053</x:v>
      </x:c>
      <x:c r="T953" s="10" t="str">
        <x:v>כאן חינוכית</x:v>
      </x:c>
      <x:c r="U953" s="11" t="str">
        <x:v>https://www.youtube.com/watch?v=jj3Oz6bLlGY</x:v>
      </x:c>
      <x:c r="V953" s="16" t="n">
        <x:v>46308</x:v>
      </x:c>
      <x:c r="W953" s="16"/>
      <x:c r="X953" s="10" t="str">
        <x:v>Иврит предполагается по заголовку и источнику</x:v>
      </x:c>
      <x:c r="Y953" s="10" t="str">
        <x:v>Не проверено</x:v>
      </x:c>
      <x:c r="Z953" s="10" t="str">
        <x:v>Не проверено</x:v>
      </x:c>
      <x:c r="AA953" s="10" t="str">
        <x:v>Метаданные списка; видео не просмотрено</x:v>
      </x:c>
      <x:c r="AB953" s="13" t="str">
        <x:f>IF(AND(ISNUMBER(H953),ISNUMBER(W953)),H953/MAX(1,'Обзор'!$B$4-W953),"")</x:f>
      </x:c>
      <x:c r="AC953" s="17" t="str">
        <x:v>Не решено</x:v>
      </x:c>
      <x:c r="AD953" s="17" t="str">
        <x:v>Не проверено</x:v>
      </x:c>
      <x:c r="AE953" s="17" t="str">
        <x:v>Не проверено</x:v>
      </x:c>
      <x:c r="AF953" s="17" t="str">
        <x:v>Не проверено</x:v>
      </x:c>
      <x:c r="AG953" s="17" t="str">
        <x:v>Не решено</x:v>
      </x:c>
      <x:c r="AH953" s="17" t="str">
        <x:v>Не проверено</x:v>
      </x:c>
      <x:c r="AI953" s="10" t="str">
        <x:f>IF(AC953="Отклонить","Отклонено",IF(AND(AC953="Взять",COUNTIFS(AD953:AH953,"Да")=5),"Готово","Нужна редактура"))</x:f>
        <x:v>Нужна редактура</x:v>
      </x:c>
      <x:c r="AJ953" s="17" t="str"/>
      <x:c r="AK953" s="9" t="str">
        <x:v>https://www.youtube.com/playlist?list=PL51YAgTlfPj63XlDuL-6gm5d53G9a1eg-</x:v>
      </x:c>
      <x:c r="AL953" s="9" t="n">
        <x:v>32</x:v>
      </x:c>
      <x:c r="AM953" s="9"/>
      <x:c r="AN953" s="9"/>
    </x:row>
    <x:row r="954" ht="60" customHeight="1">
      <x:c r="A954" s="9" t="str">
        <x:v>fZT2FwDdjRE</x:v>
      </x:c>
      <x:c r="B954" s="10" t="str">
        <x:v>כראמל 🐱 | איזה טבעת הייתם בוחרים❓💍</x:v>
      </x:c>
      <x:c r="C954" s="10" t="str">
        <x:v>Семейные сериалы</x:v>
      </x:c>
      <x:c r="D954" s="9" t="str">
        <x:v>Сериал</x:v>
      </x:c>
      <x:c r="E954" s="10" t="str">
        <x:v>Семьи; начинающие с опорой; молодёжь</x:v>
      </x:c>
      <x:c r="F954" s="10" t="str">
        <x:v>A2–B1 (гипотеза)</x:v>
      </x:c>
      <x:c r="G954" s="12" t="n">
        <x:v>2.6</x:v>
      </x:c>
      <x:c r="H954" s="14" t="n">
        <x:v>541000</x:v>
      </x:c>
      <x:c r="I954" s="15" t="str">
        <x:v>Округлённый счётчик в списке YouTube</x:v>
      </x:c>
      <x:c r="J954" s="14" t="n">
        <x:v>541000</x:v>
      </x:c>
      <x:c r="K954" s="14" t="n">
        <x:v>4150000</x:v>
      </x:c>
      <x:c r="L954" s="12" t="n">
        <x:f>IF(COUNT(J954:K954)=2,IF(K954=0,"",J954/K954),"")</x:f>
        <x:v>0.13036144578313252</x:v>
      </x:c>
      <x:c r="M954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54" s="10" t="str">
        <x:v>Выбрать сцену 1–3 минуты; описать действие и предсказать продолжение.</x:v>
      </x:c>
      <x:c r="O954" s="10" t="str">
        <x:v>Уровень предварительный; детский сериал не обязательно прост</x:v>
      </x:c>
      <x:c r="P954" s="10" t="str">
        <x:v>Фрагмент сериала</x:v>
      </x:c>
      <x:c r="Q954" s="9" t="str">
        <x:v>Нет</x:v>
      </x:c>
      <x:c r="R954" s="9" t="str">
        <x:v>C053</x:v>
      </x:c>
      <x:c r="S954" s="9" t="str">
        <x:v>C053</x:v>
      </x:c>
      <x:c r="T954" s="10" t="str">
        <x:v>כאן חינוכית</x:v>
      </x:c>
      <x:c r="U954" s="11" t="str">
        <x:v>https://www.youtube.com/watch?v=fZT2FwDdjRE</x:v>
      </x:c>
      <x:c r="V954" s="16" t="n">
        <x:v>46308</x:v>
      </x:c>
      <x:c r="W954" s="16"/>
      <x:c r="X954" s="10" t="str">
        <x:v>Иврит предполагается по заголовку и источнику</x:v>
      </x:c>
      <x:c r="Y954" s="10" t="str">
        <x:v>Не проверено</x:v>
      </x:c>
      <x:c r="Z954" s="10" t="str">
        <x:v>Не проверено</x:v>
      </x:c>
      <x:c r="AA954" s="10" t="str">
        <x:v>Метаданные списка; видео не просмотрено</x:v>
      </x:c>
      <x:c r="AB954" s="13" t="str">
        <x:f>IF(AND(ISNUMBER(H954),ISNUMBER(W954)),H954/MAX(1,'Обзор'!$B$4-W954),"")</x:f>
      </x:c>
      <x:c r="AC954" s="17" t="str">
        <x:v>Не решено</x:v>
      </x:c>
      <x:c r="AD954" s="17" t="str">
        <x:v>Не проверено</x:v>
      </x:c>
      <x:c r="AE954" s="17" t="str">
        <x:v>Не проверено</x:v>
      </x:c>
      <x:c r="AF954" s="17" t="str">
        <x:v>Не проверено</x:v>
      </x:c>
      <x:c r="AG954" s="17" t="str">
        <x:v>Не решено</x:v>
      </x:c>
      <x:c r="AH954" s="17" t="str">
        <x:v>Не проверено</x:v>
      </x:c>
      <x:c r="AI954" s="10" t="str">
        <x:f>IF(AC954="Отклонить","Отклонено",IF(AND(AC954="Взять",COUNTIFS(AD954:AH954,"Да")=5),"Готово","Нужна редактура"))</x:f>
        <x:v>Нужна редактура</x:v>
      </x:c>
      <x:c r="AJ954" s="17" t="str"/>
      <x:c r="AK954" s="9" t="str">
        <x:v>https://www.youtube.com/playlist?list=PL51YAgTlfPj63XlDuL-6gm5d53G9a1eg-</x:v>
      </x:c>
      <x:c r="AL954" s="9" t="n">
        <x:v>33</x:v>
      </x:c>
      <x:c r="AM954" s="9"/>
      <x:c r="AN954" s="9"/>
    </x:row>
    <x:row r="955" ht="60" customHeight="1">
      <x:c r="A955" s="9" t="str">
        <x:v>o7lt3548bd0</x:v>
      </x:c>
      <x:c r="B955" s="10" t="str">
        <x:v>כראמל 🐱 | מה קורה כשמקבלים חתול פלאי כמו כראמל❓✨ עכשיו בכאן חינוכית❗️</x:v>
      </x:c>
      <x:c r="C955" s="10" t="str">
        <x:v>Семейные сериалы</x:v>
      </x:c>
      <x:c r="D955" s="9" t="str">
        <x:v>Сериал</x:v>
      </x:c>
      <x:c r="E955" s="10" t="str">
        <x:v>Семьи; начинающие с опорой; молодёжь</x:v>
      </x:c>
      <x:c r="F955" s="10" t="str">
        <x:v>A2–B1 (гипотеза)</x:v>
      </x:c>
      <x:c r="G955" s="12" t="n">
        <x:v>0.8</x:v>
      </x:c>
      <x:c r="H955" s="14" t="n">
        <x:v>440000</x:v>
      </x:c>
      <x:c r="I955" s="15" t="str">
        <x:v>Округлённый счётчик в списке YouTube</x:v>
      </x:c>
      <x:c r="J955" s="14" t="n">
        <x:v>440000</x:v>
      </x:c>
      <x:c r="K955" s="14" t="n">
        <x:v>4150000</x:v>
      </x:c>
      <x:c r="L955" s="12" t="n">
        <x:f>IF(COUNT(J955:K955)=2,IF(K955=0,"",J955/K955),"")</x:f>
        <x:v>0.10602409638554217</x:v>
      </x:c>
      <x:c r="M955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55" s="10" t="str">
        <x:v>Выбрать сцену 1–3 минуты; описать действие и предсказать продолжение.</x:v>
      </x:c>
      <x:c r="O955" s="10" t="str">
        <x:v>Уровень предварительный; детский сериал не обязательно прост</x:v>
      </x:c>
      <x:c r="P955" s="10" t="str">
        <x:v>Фрагмент сериала</x:v>
      </x:c>
      <x:c r="Q955" s="9" t="str">
        <x:v>Нет</x:v>
      </x:c>
      <x:c r="R955" s="9" t="str">
        <x:v>C053</x:v>
      </x:c>
      <x:c r="S955" s="9" t="str">
        <x:v>C053</x:v>
      </x:c>
      <x:c r="T955" s="10" t="str">
        <x:v>כאן חינוכית</x:v>
      </x:c>
      <x:c r="U955" s="11" t="str">
        <x:v>https://www.youtube.com/watch?v=o7lt3548bd0</x:v>
      </x:c>
      <x:c r="V955" s="16" t="n">
        <x:v>46308</x:v>
      </x:c>
      <x:c r="W955" s="16"/>
      <x:c r="X955" s="10" t="str">
        <x:v>Иврит предполагается по заголовку и источнику</x:v>
      </x:c>
      <x:c r="Y955" s="10" t="str">
        <x:v>Не проверено</x:v>
      </x:c>
      <x:c r="Z955" s="10" t="str">
        <x:v>Не проверено</x:v>
      </x:c>
      <x:c r="AA955" s="10" t="str">
        <x:v>Метаданные списка; видео не просмотрено</x:v>
      </x:c>
      <x:c r="AB955" s="13" t="str">
        <x:f>IF(AND(ISNUMBER(H955),ISNUMBER(W955)),H955/MAX(1,'Обзор'!$B$4-W955),"")</x:f>
      </x:c>
      <x:c r="AC955" s="17" t="str">
        <x:v>Не решено</x:v>
      </x:c>
      <x:c r="AD955" s="17" t="str">
        <x:v>Не проверено</x:v>
      </x:c>
      <x:c r="AE955" s="17" t="str">
        <x:v>Не проверено</x:v>
      </x:c>
      <x:c r="AF955" s="17" t="str">
        <x:v>Не проверено</x:v>
      </x:c>
      <x:c r="AG955" s="17" t="str">
        <x:v>Не решено</x:v>
      </x:c>
      <x:c r="AH955" s="17" t="str">
        <x:v>Не проверено</x:v>
      </x:c>
      <x:c r="AI955" s="10" t="str">
        <x:f>IF(AC955="Отклонить","Отклонено",IF(AND(AC955="Взять",COUNTIFS(AD955:AH955,"Да")=5),"Готово","Нужна редактура"))</x:f>
        <x:v>Нужна редактура</x:v>
      </x:c>
      <x:c r="AJ955" s="17" t="str"/>
      <x:c r="AK955" s="9" t="str">
        <x:v>https://www.youtube.com/playlist?list=PL51YAgTlfPj63XlDuL-6gm5d53G9a1eg-</x:v>
      </x:c>
      <x:c r="AL955" s="9" t="n">
        <x:v>34</x:v>
      </x:c>
      <x:c r="AM955" s="9"/>
      <x:c r="AN955" s="9"/>
    </x:row>
    <x:row r="956" ht="60" customHeight="1">
      <x:c r="A956" s="9" t="str">
        <x:v>fXUiNBklX0g</x:v>
      </x:c>
      <x:c r="B956" s="10" t="str">
        <x:v>כראמל 🐱 | כן גברת בלום❗️😳</x:v>
      </x:c>
      <x:c r="C956" s="10" t="str">
        <x:v>Семейные сериалы</x:v>
      </x:c>
      <x:c r="D956" s="9" t="str">
        <x:v>Сериал</x:v>
      </x:c>
      <x:c r="E956" s="10" t="str">
        <x:v>Семьи; начинающие с опорой; молодёжь</x:v>
      </x:c>
      <x:c r="F956" s="10" t="str">
        <x:v>A2–B1 (гипотеза)</x:v>
      </x:c>
      <x:c r="G956" s="12" t="n">
        <x:v>1.2</x:v>
      </x:c>
      <x:c r="H956" s="14" t="n">
        <x:v>181000</x:v>
      </x:c>
      <x:c r="I956" s="15" t="str">
        <x:v>Округлённый счётчик в списке YouTube</x:v>
      </x:c>
      <x:c r="J956" s="14" t="n">
        <x:v>181000</x:v>
      </x:c>
      <x:c r="K956" s="14" t="n">
        <x:v>4150000</x:v>
      </x:c>
      <x:c r="L956" s="12" t="n">
        <x:f>IF(COUNT(J956:K956)=2,IF(K956=0,"",J956/K956),"")</x:f>
        <x:v>0.0436144578313253</x:v>
      </x:c>
      <x:c r="M956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56" s="10" t="str">
        <x:v>Выбрать сцену 1–3 минуты; описать действие и предсказать продолжение.</x:v>
      </x:c>
      <x:c r="O956" s="10" t="str">
        <x:v>Уровень предварительный; детский сериал не обязательно прост</x:v>
      </x:c>
      <x:c r="P956" s="10" t="str">
        <x:v>Фрагмент сериала</x:v>
      </x:c>
      <x:c r="Q956" s="9" t="str">
        <x:v>Нет</x:v>
      </x:c>
      <x:c r="R956" s="9" t="str">
        <x:v>C053</x:v>
      </x:c>
      <x:c r="S956" s="9" t="str">
        <x:v>C053</x:v>
      </x:c>
      <x:c r="T956" s="10" t="str">
        <x:v>כאן חינוכית</x:v>
      </x:c>
      <x:c r="U956" s="11" t="str">
        <x:v>https://www.youtube.com/watch?v=fXUiNBklX0g</x:v>
      </x:c>
      <x:c r="V956" s="16" t="n">
        <x:v>46308</x:v>
      </x:c>
      <x:c r="W956" s="16"/>
      <x:c r="X956" s="10" t="str">
        <x:v>Иврит предполагается по заголовку и источнику</x:v>
      </x:c>
      <x:c r="Y956" s="10" t="str">
        <x:v>Не проверено</x:v>
      </x:c>
      <x:c r="Z956" s="10" t="str">
        <x:v>Не проверено</x:v>
      </x:c>
      <x:c r="AA956" s="10" t="str">
        <x:v>Метаданные списка; видео не просмотрено</x:v>
      </x:c>
      <x:c r="AB956" s="13" t="str">
        <x:f>IF(AND(ISNUMBER(H956),ISNUMBER(W956)),H956/MAX(1,'Обзор'!$B$4-W956),"")</x:f>
      </x:c>
      <x:c r="AC956" s="17" t="str">
        <x:v>Не решено</x:v>
      </x:c>
      <x:c r="AD956" s="17" t="str">
        <x:v>Не проверено</x:v>
      </x:c>
      <x:c r="AE956" s="17" t="str">
        <x:v>Не проверено</x:v>
      </x:c>
      <x:c r="AF956" s="17" t="str">
        <x:v>Не проверено</x:v>
      </x:c>
      <x:c r="AG956" s="17" t="str">
        <x:v>Не решено</x:v>
      </x:c>
      <x:c r="AH956" s="17" t="str">
        <x:v>Не проверено</x:v>
      </x:c>
      <x:c r="AI956" s="10" t="str">
        <x:f>IF(AC956="Отклонить","Отклонено",IF(AND(AC956="Взять",COUNTIFS(AD956:AH956,"Да")=5),"Готово","Нужна редактура"))</x:f>
        <x:v>Нужна редактура</x:v>
      </x:c>
      <x:c r="AJ956" s="17" t="str"/>
      <x:c r="AK956" s="9" t="str">
        <x:v>https://www.youtube.com/playlist?list=PL51YAgTlfPj63XlDuL-6gm5d53G9a1eg-</x:v>
      </x:c>
      <x:c r="AL956" s="9" t="n">
        <x:v>35</x:v>
      </x:c>
      <x:c r="AM956" s="9"/>
      <x:c r="AN956" s="9"/>
    </x:row>
    <x:row r="957" ht="60" customHeight="1">
      <x:c r="A957" s="9" t="str">
        <x:v>K8gDN58l_P0</x:v>
      </x:c>
      <x:c r="B957" s="10" t="str">
        <x:v>כראמל 🐱 | למה שמישהו ישלח לנו טבעות❓🧐</x:v>
      </x:c>
      <x:c r="C957" s="10" t="str">
        <x:v>Семейные сериалы</x:v>
      </x:c>
      <x:c r="D957" s="9" t="str">
        <x:v>Сериал</x:v>
      </x:c>
      <x:c r="E957" s="10" t="str">
        <x:v>Семьи; начинающие с опорой; молодёжь</x:v>
      </x:c>
      <x:c r="F957" s="10" t="str">
        <x:v>A2–B1 (гипотеза)</x:v>
      </x:c>
      <x:c r="G957" s="12" t="n">
        <x:v>1.4</x:v>
      </x:c>
      <x:c r="H957" s="14" t="n">
        <x:v>57000</x:v>
      </x:c>
      <x:c r="I957" s="15" t="str">
        <x:v>Округлённый счётчик в списке YouTube</x:v>
      </x:c>
      <x:c r="J957" s="14" t="n">
        <x:v>57000</x:v>
      </x:c>
      <x:c r="K957" s="14" t="n">
        <x:v>4150000</x:v>
      </x:c>
      <x:c r="L957" s="12" t="n">
        <x:f>IF(COUNT(J957:K957)=2,IF(K957=0,"",J957/K957),"")</x:f>
        <x:v>0.013734939759036145</x:v>
      </x:c>
      <x:c r="M957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57" s="10" t="str">
        <x:v>Выбрать сцену 1–3 минуты; описать действие и предсказать продолжение.</x:v>
      </x:c>
      <x:c r="O957" s="10" t="str">
        <x:v>Уровень предварительный; детский сериал не обязательно прост</x:v>
      </x:c>
      <x:c r="P957" s="10" t="str">
        <x:v>Фрагмент сериала</x:v>
      </x:c>
      <x:c r="Q957" s="9" t="str">
        <x:v>Нет</x:v>
      </x:c>
      <x:c r="R957" s="9" t="str">
        <x:v>C053</x:v>
      </x:c>
      <x:c r="S957" s="9" t="str">
        <x:v>C053</x:v>
      </x:c>
      <x:c r="T957" s="10" t="str">
        <x:v>כאן חינוכית</x:v>
      </x:c>
      <x:c r="U957" s="11" t="str">
        <x:v>https://www.youtube.com/watch?v=K8gDN58l_P0</x:v>
      </x:c>
      <x:c r="V957" s="16" t="n">
        <x:v>46308</x:v>
      </x:c>
      <x:c r="W957" s="16"/>
      <x:c r="X957" s="10" t="str">
        <x:v>Иврит предполагается по заголовку и источнику</x:v>
      </x:c>
      <x:c r="Y957" s="10" t="str">
        <x:v>Не проверено</x:v>
      </x:c>
      <x:c r="Z957" s="10" t="str">
        <x:v>Не проверено</x:v>
      </x:c>
      <x:c r="AA957" s="10" t="str">
        <x:v>Метаданные списка; видео не просмотрено</x:v>
      </x:c>
      <x:c r="AB957" s="13" t="str">
        <x:f>IF(AND(ISNUMBER(H957),ISNUMBER(W957)),H957/MAX(1,'Обзор'!$B$4-W957),"")</x:f>
      </x:c>
      <x:c r="AC957" s="17" t="str">
        <x:v>Не решено</x:v>
      </x:c>
      <x:c r="AD957" s="17" t="str">
        <x:v>Не проверено</x:v>
      </x:c>
      <x:c r="AE957" s="17" t="str">
        <x:v>Не проверено</x:v>
      </x:c>
      <x:c r="AF957" s="17" t="str">
        <x:v>Не проверено</x:v>
      </x:c>
      <x:c r="AG957" s="17" t="str">
        <x:v>Не решено</x:v>
      </x:c>
      <x:c r="AH957" s="17" t="str">
        <x:v>Не проверено</x:v>
      </x:c>
      <x:c r="AI957" s="10" t="str">
        <x:f>IF(AC957="Отклонить","Отклонено",IF(AND(AC957="Взять",COUNTIFS(AD957:AH957,"Да")=5),"Готово","Нужна редактура"))</x:f>
        <x:v>Нужна редактура</x:v>
      </x:c>
      <x:c r="AJ957" s="17" t="str"/>
      <x:c r="AK957" s="9" t="str">
        <x:v>https://www.youtube.com/playlist?list=PL51YAgTlfPj63XlDuL-6gm5d53G9a1eg-</x:v>
      </x:c>
      <x:c r="AL957" s="9" t="n">
        <x:v>36</x:v>
      </x:c>
      <x:c r="AM957" s="9"/>
      <x:c r="AN957" s="9"/>
    </x:row>
    <x:row r="958" ht="60" customHeight="1">
      <x:c r="A958" s="9" t="str">
        <x:v>saP6YNnCqhA</x:v>
      </x:c>
      <x:c r="B958" s="10" t="str">
        <x:v>כראמל 🐱 | גול והחיפושית המזמרת😁🐞</x:v>
      </x:c>
      <x:c r="C958" s="10" t="str">
        <x:v>Семейные сериалы</x:v>
      </x:c>
      <x:c r="D958" s="9" t="str">
        <x:v>Сериал</x:v>
      </x:c>
      <x:c r="E958" s="10" t="str">
        <x:v>Семьи; начинающие с опорой; молодёжь</x:v>
      </x:c>
      <x:c r="F958" s="10" t="str">
        <x:v>A2–B1 (гипотеза)</x:v>
      </x:c>
      <x:c r="G958" s="12" t="n">
        <x:v>1.5</x:v>
      </x:c>
      <x:c r="H958" s="14" t="n">
        <x:v>111000</x:v>
      </x:c>
      <x:c r="I958" s="15" t="str">
        <x:v>Округлённый счётчик в списке YouTube</x:v>
      </x:c>
      <x:c r="J958" s="14" t="n">
        <x:v>111000</x:v>
      </x:c>
      <x:c r="K958" s="14" t="n">
        <x:v>4150000</x:v>
      </x:c>
      <x:c r="L958" s="12" t="n">
        <x:f>IF(COUNT(J958:K958)=2,IF(K958=0,"",J958/K958),"")</x:f>
        <x:v>0.02674698795180723</x:v>
      </x:c>
      <x:c r="M958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58" s="10" t="str">
        <x:v>Выбрать сцену 1–3 минуты; описать действие и предсказать продолжение.</x:v>
      </x:c>
      <x:c r="O958" s="10" t="str">
        <x:v>Уровень предварительный; детский сериал не обязательно прост</x:v>
      </x:c>
      <x:c r="P958" s="10" t="str">
        <x:v>Фрагмент сериала</x:v>
      </x:c>
      <x:c r="Q958" s="9" t="str">
        <x:v>Нет</x:v>
      </x:c>
      <x:c r="R958" s="9" t="str">
        <x:v>C053</x:v>
      </x:c>
      <x:c r="S958" s="9" t="str">
        <x:v>C053</x:v>
      </x:c>
      <x:c r="T958" s="10" t="str">
        <x:v>כאן חינוכית</x:v>
      </x:c>
      <x:c r="U958" s="11" t="str">
        <x:v>https://www.youtube.com/watch?v=saP6YNnCqhA</x:v>
      </x:c>
      <x:c r="V958" s="16" t="n">
        <x:v>46308</x:v>
      </x:c>
      <x:c r="W958" s="16"/>
      <x:c r="X958" s="10" t="str">
        <x:v>Иврит предполагается по заголовку и источнику</x:v>
      </x:c>
      <x:c r="Y958" s="10" t="str">
        <x:v>Не проверено</x:v>
      </x:c>
      <x:c r="Z958" s="10" t="str">
        <x:v>Не проверено</x:v>
      </x:c>
      <x:c r="AA958" s="10" t="str">
        <x:v>Метаданные списка; видео не просмотрено</x:v>
      </x:c>
      <x:c r="AB958" s="13" t="str">
        <x:f>IF(AND(ISNUMBER(H958),ISNUMBER(W958)),H958/MAX(1,'Обзор'!$B$4-W958),"")</x:f>
      </x:c>
      <x:c r="AC958" s="17" t="str">
        <x:v>Не решено</x:v>
      </x:c>
      <x:c r="AD958" s="17" t="str">
        <x:v>Не проверено</x:v>
      </x:c>
      <x:c r="AE958" s="17" t="str">
        <x:v>Не проверено</x:v>
      </x:c>
      <x:c r="AF958" s="17" t="str">
        <x:v>Не проверено</x:v>
      </x:c>
      <x:c r="AG958" s="17" t="str">
        <x:v>Не решено</x:v>
      </x:c>
      <x:c r="AH958" s="17" t="str">
        <x:v>Не проверено</x:v>
      </x:c>
      <x:c r="AI958" s="10" t="str">
        <x:f>IF(AC958="Отклонить","Отклонено",IF(AND(AC958="Взять",COUNTIFS(AD958:AH958,"Да")=5),"Готово","Нужна редактура"))</x:f>
        <x:v>Нужна редактура</x:v>
      </x:c>
      <x:c r="AJ958" s="17" t="str"/>
      <x:c r="AK958" s="9" t="str">
        <x:v>https://www.youtube.com/playlist?list=PL51YAgTlfPj63XlDuL-6gm5d53G9a1eg-</x:v>
      </x:c>
      <x:c r="AL958" s="9" t="n">
        <x:v>37</x:v>
      </x:c>
      <x:c r="AM958" s="9"/>
      <x:c r="AN958" s="9"/>
    </x:row>
    <x:row r="959" ht="60" customHeight="1">
      <x:c r="A959" s="9" t="str">
        <x:v>5GV9Jb1HZtA</x:v>
      </x:c>
      <x:c r="B959" s="10" t="str">
        <x:v>כראמל 🐱 | מה זה השטויות האלה😜 ❓</x:v>
      </x:c>
      <x:c r="C959" s="10" t="str">
        <x:v>Семейные сериалы</x:v>
      </x:c>
      <x:c r="D959" s="9" t="str">
        <x:v>Сериал</x:v>
      </x:c>
      <x:c r="E959" s="10" t="str">
        <x:v>Семьи; начинающие с опорой; молодёжь</x:v>
      </x:c>
      <x:c r="F959" s="10" t="str">
        <x:v>A2–B1 (гипотеза)</x:v>
      </x:c>
      <x:c r="G959" s="12" t="n">
        <x:v>0.9</x:v>
      </x:c>
      <x:c r="H959" s="14" t="n">
        <x:v>147000</x:v>
      </x:c>
      <x:c r="I959" s="15" t="str">
        <x:v>Округлённый счётчик в списке YouTube</x:v>
      </x:c>
      <x:c r="J959" s="14" t="n">
        <x:v>147000</x:v>
      </x:c>
      <x:c r="K959" s="14" t="n">
        <x:v>4150000</x:v>
      </x:c>
      <x:c r="L959" s="12" t="n">
        <x:f>IF(COUNT(J959:K959)=2,IF(K959=0,"",J959/K959),"")</x:f>
        <x:v>0.03542168674698795</x:v>
      </x:c>
      <x:c r="M959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Знакомые типы героев и видимые действия поддерживают понимание. Семейный сюжет привлекает отдельный сегмент аудитории.</x:v>
      </x:c>
      <x:c r="N959" s="10" t="str">
        <x:v>Выбрать сцену 1–3 минуты; описать действие и предсказать продолжение.</x:v>
      </x:c>
      <x:c r="O959" s="10" t="str">
        <x:v>Уровень предварительный; детский сериал не обязательно прост</x:v>
      </x:c>
      <x:c r="P959" s="10" t="str">
        <x:v>Фрагмент сериала</x:v>
      </x:c>
      <x:c r="Q959" s="9" t="str">
        <x:v>Нет</x:v>
      </x:c>
      <x:c r="R959" s="9" t="str">
        <x:v>C053</x:v>
      </x:c>
      <x:c r="S959" s="9" t="str">
        <x:v>C053</x:v>
      </x:c>
      <x:c r="T959" s="10" t="str">
        <x:v>כאן חינוכית</x:v>
      </x:c>
      <x:c r="U959" s="11" t="str">
        <x:v>https://www.youtube.com/watch?v=5GV9Jb1HZtA</x:v>
      </x:c>
      <x:c r="V959" s="16" t="n">
        <x:v>46308</x:v>
      </x:c>
      <x:c r="W959" s="16"/>
      <x:c r="X959" s="10" t="str">
        <x:v>Иврит предполагается по заголовку и источнику</x:v>
      </x:c>
      <x:c r="Y959" s="10" t="str">
        <x:v>Не проверено</x:v>
      </x:c>
      <x:c r="Z959" s="10" t="str">
        <x:v>Не проверено</x:v>
      </x:c>
      <x:c r="AA959" s="10" t="str">
        <x:v>Метаданные списка; видео не просмотрено</x:v>
      </x:c>
      <x:c r="AB959" s="13" t="str">
        <x:f>IF(AND(ISNUMBER(H959),ISNUMBER(W959)),H959/MAX(1,'Обзор'!$B$4-W959),"")</x:f>
      </x:c>
      <x:c r="AC959" s="17" t="str">
        <x:v>Не решено</x:v>
      </x:c>
      <x:c r="AD959" s="17" t="str">
        <x:v>Не проверено</x:v>
      </x:c>
      <x:c r="AE959" s="17" t="str">
        <x:v>Не проверено</x:v>
      </x:c>
      <x:c r="AF959" s="17" t="str">
        <x:v>Не проверено</x:v>
      </x:c>
      <x:c r="AG959" s="17" t="str">
        <x:v>Не решено</x:v>
      </x:c>
      <x:c r="AH959" s="17" t="str">
        <x:v>Не проверено</x:v>
      </x:c>
      <x:c r="AI959" s="10" t="str">
        <x:f>IF(AC959="Отклонить","Отклонено",IF(AND(AC959="Взять",COUNTIFS(AD959:AH959,"Да")=5),"Готово","Нужна редактура"))</x:f>
        <x:v>Нужна редактура</x:v>
      </x:c>
      <x:c r="AJ959" s="17" t="str"/>
      <x:c r="AK959" s="9" t="str">
        <x:v>https://www.youtube.com/playlist?list=PL51YAgTlfPj63XlDuL-6gm5d53G9a1eg-</x:v>
      </x:c>
      <x:c r="AL959" s="9" t="n">
        <x:v>38</x:v>
      </x:c>
      <x:c r="AM959" s="9"/>
      <x:c r="AN959" s="9"/>
    </x:row>
    <x:row r="960" ht="60" customHeight="1">
      <x:c r="A960" s="9" t="str">
        <x:v>JJjpAb4mbPc</x:v>
      </x:c>
      <x:c r="B960" s="10" t="str">
        <x:v>שקשוקה | פרק 1 - שקשוקה נעלמת</x:v>
      </x:c>
      <x:c r="C960" s="10" t="str">
        <x:v>Семейные сериалы</x:v>
      </x:c>
      <x:c r="D960" s="9" t="str">
        <x:v>Сериал</x:v>
      </x:c>
      <x:c r="E960" s="10" t="str">
        <x:v>Родители; школа; начинающие с опорой</x:v>
      </x:c>
      <x:c r="F960" s="10" t="str">
        <x:v>A2–B1 (гипотеза)</x:v>
      </x:c>
      <x:c r="G960" s="12" t="n">
        <x:v>23.9</x:v>
      </x:c>
      <x:c r="H960" s="14" t="n">
        <x:v>4898434</x:v>
      </x:c>
      <x:c r="I960" s="15" t="str">
        <x:v>Точный счётчик метаданных видео</x:v>
      </x:c>
      <x:c r="J960" s="14" t="n">
        <x:v>4800000</x:v>
      </x:c>
      <x:c r="K960" s="14" t="n">
        <x:v>3550000</x:v>
      </x:c>
      <x:c r="L960" s="12" t="n">
        <x:f>IF(COUNT(J960:K960)=2,IF(K960=0,"",J960/K960),"")</x:f>
        <x:v>1.352112676056338</x:v>
      </x:c>
      <x:c r="M960" s="10" t="str">
        <x:v>Эпизод 1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60" s="10" t="str">
        <x:v>Назвать проблему героя и предложить решение короткими фразами.</x:v>
      </x:c>
      <x:c r="O960" s="10" t="str">
        <x:v>Проверить темы и возрастную уместность</x:v>
      </x:c>
      <x:c r="P960" s="10" t="str">
        <x:v>Полная серия — кандидат</x:v>
      </x:c>
      <x:c r="Q960" s="9" t="str">
        <x:v>Нет</x:v>
      </x:c>
      <x:c r="R960" s="9" t="str">
        <x:v>C054</x:v>
      </x:c>
      <x:c r="S960" s="9" t="str">
        <x:v>C054</x:v>
      </x:c>
      <x:c r="T960" s="10" t="str">
        <x:v>כאן חינוכית</x:v>
      </x:c>
      <x:c r="U960" s="11" t="str">
        <x:v>https://www.youtube.com/watch?v=JJjpAb4mbPc</x:v>
      </x:c>
      <x:c r="V960" s="16" t="n">
        <x:v>46308</x:v>
      </x:c>
      <x:c r="W960" s="16" t="n">
        <x:v>44262</x:v>
      </x:c>
      <x:c r="X960" s="10" t="str">
        <x:v>Иврит предполагается по заголовку и источнику</x:v>
      </x:c>
      <x:c r="Y960" s="10" t="str">
        <x:v>Дорожка HE не найдена в метаданных; вшитые титры не проверены</x:v>
      </x:c>
      <x:c r="Z960" s="10" t="str">
        <x:v>Разрешено по метаданным</x:v>
      </x:c>
      <x:c r="AA960" s="10" t="str">
        <x:v>Метаданные видео; воспроизведение и содержание не проверены</x:v>
      </x:c>
      <x:c r="AB960" s="13" t="n">
        <x:f>IF(AND(ISNUMBER(H960),ISNUMBER(W960)),H960/MAX(1,'Обзор'!$B$4-W960),"")</x:f>
        <x:v>2394.151515151515</x:v>
      </x:c>
      <x:c r="AC960" s="17" t="str">
        <x:v>Не решено</x:v>
      </x:c>
      <x:c r="AD960" s="17" t="str">
        <x:v>Не проверено</x:v>
      </x:c>
      <x:c r="AE960" s="17" t="str">
        <x:v>Не проверено</x:v>
      </x:c>
      <x:c r="AF960" s="17" t="str">
        <x:v>Не проверено</x:v>
      </x:c>
      <x:c r="AG960" s="17" t="str">
        <x:v>Не решено</x:v>
      </x:c>
      <x:c r="AH960" s="17" t="str">
        <x:v>Не проверено</x:v>
      </x:c>
      <x:c r="AI960" s="10" t="str">
        <x:f>IF(AC960="Отклонить","Отклонено",IF(AND(AC960="Взять",COUNTIFS(AD960:AH960,"Да")=5),"Готово","Нужна редактура"))</x:f>
        <x:v>Нужна редактура</x:v>
      </x:c>
      <x:c r="AJ960" s="17" t="str"/>
      <x:c r="AK960" s="9" t="str">
        <x:v>https://www.youtube.com/playlist?list=PL51YAgTlfPj7TEDHrgqF6bz4wmNJ6BmNU</x:v>
      </x:c>
      <x:c r="AL960" s="9" t="n">
        <x:v>1</x:v>
      </x:c>
      <x:c r="AM960" s="9" t="n">
        <x:v>1</x:v>
      </x:c>
      <x:c r="AN960" s="9" t="n">
        <x:v>0</x:v>
      </x:c>
    </x:row>
    <x:row r="961" ht="60" customHeight="1">
      <x:c r="A961" s="9" t="str">
        <x:v>VgygVPM_WC0</x:v>
      </x:c>
      <x:c r="B961" s="10" t="str">
        <x:v>שקשוקה | פרק 2 - הילדה החדשה</x:v>
      </x:c>
      <x:c r="C961" s="10" t="str">
        <x:v>Семейные сериалы</x:v>
      </x:c>
      <x:c r="D961" s="9" t="str">
        <x:v>Сериал</x:v>
      </x:c>
      <x:c r="E961" s="10" t="str">
        <x:v>Родители; школа; начинающие с опорой</x:v>
      </x:c>
      <x:c r="F961" s="10" t="str">
        <x:v>A2–B1 (гипотеза)</x:v>
      </x:c>
      <x:c r="G961" s="12" t="n">
        <x:v>22.2</x:v>
      </x:c>
      <x:c r="H961" s="14" t="n">
        <x:v>4751358</x:v>
      </x:c>
      <x:c r="I961" s="15" t="str">
        <x:v>Точный счётчик метаданных видео</x:v>
      </x:c>
      <x:c r="J961" s="14" t="n">
        <x:v>4700000</x:v>
      </x:c>
      <x:c r="K961" s="14" t="n">
        <x:v>3550000</x:v>
      </x:c>
      <x:c r="L961" s="12" t="n">
        <x:f>IF(COUNT(J961:K961)=2,IF(K961=0,"",J961/K961),"")</x:f>
        <x:v>1.323943661971831</x:v>
      </x:c>
      <x:c r="M961" s="10" t="str">
        <x:v>Эпизод 2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61" s="10" t="str">
        <x:v>Назвать проблему героя и предложить решение короткими фразами.</x:v>
      </x:c>
      <x:c r="O961" s="10" t="str">
        <x:v>Проверить темы и возрастную уместность</x:v>
      </x:c>
      <x:c r="P961" s="10" t="str">
        <x:v>Полная серия — кандидат</x:v>
      </x:c>
      <x:c r="Q961" s="9" t="str">
        <x:v>Нет</x:v>
      </x:c>
      <x:c r="R961" s="9" t="str">
        <x:v>C054</x:v>
      </x:c>
      <x:c r="S961" s="9" t="str">
        <x:v>C054</x:v>
      </x:c>
      <x:c r="T961" s="10" t="str">
        <x:v>כאן חינוכית</x:v>
      </x:c>
      <x:c r="U961" s="11" t="str">
        <x:v>https://www.youtube.com/watch?v=VgygVPM_WC0</x:v>
      </x:c>
      <x:c r="V961" s="16" t="n">
        <x:v>46308</x:v>
      </x:c>
      <x:c r="W961" s="16" t="n">
        <x:v>44263</x:v>
      </x:c>
      <x:c r="X961" s="10" t="str">
        <x:v>Иврит предполагается по заголовку и источнику</x:v>
      </x:c>
      <x:c r="Y961" s="10" t="str">
        <x:v>Дорожка HE не найдена в метаданных; вшитые титры не проверены</x:v>
      </x:c>
      <x:c r="Z961" s="10" t="str">
        <x:v>Разрешено по метаданным</x:v>
      </x:c>
      <x:c r="AA961" s="10" t="str">
        <x:v>Метаданные видео; воспроизведение и содержание не проверены</x:v>
      </x:c>
      <x:c r="AB961" s="13" t="n">
        <x:f>IF(AND(ISNUMBER(H961),ISNUMBER(W961)),H961/MAX(1,'Обзор'!$B$4-W961),"")</x:f>
        <x:v>2323.402444987775</x:v>
      </x:c>
      <x:c r="AC961" s="17" t="str">
        <x:v>Не решено</x:v>
      </x:c>
      <x:c r="AD961" s="17" t="str">
        <x:v>Не проверено</x:v>
      </x:c>
      <x:c r="AE961" s="17" t="str">
        <x:v>Не проверено</x:v>
      </x:c>
      <x:c r="AF961" s="17" t="str">
        <x:v>Не проверено</x:v>
      </x:c>
      <x:c r="AG961" s="17" t="str">
        <x:v>Не решено</x:v>
      </x:c>
      <x:c r="AH961" s="17" t="str">
        <x:v>Не проверено</x:v>
      </x:c>
      <x:c r="AI961" s="10" t="str">
        <x:f>IF(AC961="Отклонить","Отклонено",IF(AND(AC961="Взять",COUNTIFS(AD961:AH961,"Да")=5),"Готово","Нужна редактура"))</x:f>
        <x:v>Нужна редактура</x:v>
      </x:c>
      <x:c r="AJ961" s="17" t="str"/>
      <x:c r="AK961" s="9" t="str">
        <x:v>https://www.youtube.com/playlist?list=PL51YAgTlfPj7TEDHrgqF6bz4wmNJ6BmNU</x:v>
      </x:c>
      <x:c r="AL961" s="9" t="n">
        <x:v>2</x:v>
      </x:c>
      <x:c r="AM961" s="9" t="n">
        <x:v>2</x:v>
      </x:c>
      <x:c r="AN961" s="9" t="n">
        <x:v>0</x:v>
      </x:c>
    </x:row>
    <x:row r="962" ht="60" customHeight="1">
      <x:c r="A962" s="9" t="str">
        <x:v>W_sF-APcuiU</x:v>
      </x:c>
      <x:c r="B962" s="10" t="str">
        <x:v>שקשוקה | פרק 3 - מבחן אומץ</x:v>
      </x:c>
      <x:c r="C962" s="10" t="str">
        <x:v>Семейные сериалы</x:v>
      </x:c>
      <x:c r="D962" s="9" t="str">
        <x:v>Сериал</x:v>
      </x:c>
      <x:c r="E962" s="10" t="str">
        <x:v>Родители; школа; начинающие с опорой</x:v>
      </x:c>
      <x:c r="F962" s="10" t="str">
        <x:v>A2–B1 (гипотеза)</x:v>
      </x:c>
      <x:c r="G962" s="12" t="n">
        <x:v>22.5</x:v>
      </x:c>
      <x:c r="H962" s="14" t="n">
        <x:v>4323228</x:v>
      </x:c>
      <x:c r="I962" s="15" t="str">
        <x:v>Точный счётчик метаданных видео</x:v>
      </x:c>
      <x:c r="J962" s="14" t="n">
        <x:v>4300000</x:v>
      </x:c>
      <x:c r="K962" s="14" t="n">
        <x:v>3550000</x:v>
      </x:c>
      <x:c r="L962" s="12" t="n">
        <x:f>IF(COUNT(J962:K962)=2,IF(K962=0,"",J962/K962),"")</x:f>
        <x:v>1.2112676056338028</x:v>
      </x:c>
      <x:c r="M962" s="10" t="str">
        <x:v>Эпизод 3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62" s="10" t="str">
        <x:v>Назвать проблему героя и предложить решение короткими фразами.</x:v>
      </x:c>
      <x:c r="O962" s="10" t="str">
        <x:v>Проверить темы и возрастную уместность</x:v>
      </x:c>
      <x:c r="P962" s="10" t="str">
        <x:v>Полная серия — кандидат</x:v>
      </x:c>
      <x:c r="Q962" s="9" t="str">
        <x:v>Нет</x:v>
      </x:c>
      <x:c r="R962" s="9" t="str">
        <x:v>C054</x:v>
      </x:c>
      <x:c r="S962" s="9" t="str">
        <x:v>C054</x:v>
      </x:c>
      <x:c r="T962" s="10" t="str">
        <x:v>כאן חינוכית</x:v>
      </x:c>
      <x:c r="U962" s="11" t="str">
        <x:v>https://www.youtube.com/watch?v=W_sF-APcuiU</x:v>
      </x:c>
      <x:c r="V962" s="16" t="n">
        <x:v>46308</x:v>
      </x:c>
      <x:c r="W962" s="16" t="n">
        <x:v>44264</x:v>
      </x:c>
      <x:c r="X962" s="10" t="str">
        <x:v>Иврит предполагается по заголовку и источнику</x:v>
      </x:c>
      <x:c r="Y962" s="10" t="str">
        <x:v>Автоматическая дорожка HE по метаданным</x:v>
      </x:c>
      <x:c r="Z962" s="10" t="str">
        <x:v>Разрешено по метаданным</x:v>
      </x:c>
      <x:c r="AA962" s="10" t="str">
        <x:v>Метаданные видео; воспроизведение и содержание не проверены</x:v>
      </x:c>
      <x:c r="AB962" s="13" t="n">
        <x:f>IF(AND(ISNUMBER(H962),ISNUMBER(W962)),H962/MAX(1,'Обзор'!$B$4-W962),"")</x:f>
        <x:v>2115.082191780822</x:v>
      </x:c>
      <x:c r="AC962" s="17" t="str">
        <x:v>Не решено</x:v>
      </x:c>
      <x:c r="AD962" s="17" t="str">
        <x:v>Не проверено</x:v>
      </x:c>
      <x:c r="AE962" s="17" t="str">
        <x:v>Не проверено</x:v>
      </x:c>
      <x:c r="AF962" s="17" t="str">
        <x:v>Не проверено</x:v>
      </x:c>
      <x:c r="AG962" s="17" t="str">
        <x:v>Не решено</x:v>
      </x:c>
      <x:c r="AH962" s="17" t="str">
        <x:v>Не проверено</x:v>
      </x:c>
      <x:c r="AI962" s="10" t="str">
        <x:f>IF(AC962="Отклонить","Отклонено",IF(AND(AC962="Взять",COUNTIFS(AD962:AH962,"Да")=5),"Готово","Нужна редактура"))</x:f>
        <x:v>Нужна редактура</x:v>
      </x:c>
      <x:c r="AJ962" s="17" t="str"/>
      <x:c r="AK962" s="9" t="str">
        <x:v>https://www.youtube.com/playlist?list=PL51YAgTlfPj7TEDHrgqF6bz4wmNJ6BmNU</x:v>
      </x:c>
      <x:c r="AL962" s="9" t="n">
        <x:v>3</x:v>
      </x:c>
      <x:c r="AM962" s="9" t="n">
        <x:v>3</x:v>
      </x:c>
      <x:c r="AN962" s="9" t="n">
        <x:v>0</x:v>
      </x:c>
    </x:row>
    <x:row r="963" ht="60" customHeight="1">
      <x:c r="A963" s="9" t="str">
        <x:v>pu5N9MjOC5k</x:v>
      </x:c>
      <x:c r="B963" s="10" t="str">
        <x:v>שקשוקה | פרק 4 - לריב ולהשלים</x:v>
      </x:c>
      <x:c r="C963" s="10" t="str">
        <x:v>Семейные сериалы</x:v>
      </x:c>
      <x:c r="D963" s="9" t="str">
        <x:v>Сериал</x:v>
      </x:c>
      <x:c r="E963" s="10" t="str">
        <x:v>Родители; школа; начинающие с опорой</x:v>
      </x:c>
      <x:c r="F963" s="10" t="str">
        <x:v>A2–B1 (гипотеза)</x:v>
      </x:c>
      <x:c r="G963" s="12" t="n">
        <x:v>22.6</x:v>
      </x:c>
      <x:c r="H963" s="14" t="n">
        <x:v>2877137</x:v>
      </x:c>
      <x:c r="I963" s="15" t="str">
        <x:v>Точный счётчик метаданных видео</x:v>
      </x:c>
      <x:c r="J963" s="14" t="n">
        <x:v>2800000</x:v>
      </x:c>
      <x:c r="K963" s="14" t="n">
        <x:v>3550000</x:v>
      </x:c>
      <x:c r="L963" s="12" t="n">
        <x:f>IF(COUNT(J963:K963)=2,IF(K963=0,"",J963/K963),"")</x:f>
        <x:v>0.7887323943661971</x:v>
      </x:c>
      <x:c r="M963" s="10" t="str">
        <x:v>Эпизод 4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63" s="10" t="str">
        <x:v>Назвать проблему героя и предложить решение короткими фразами.</x:v>
      </x:c>
      <x:c r="O963" s="10" t="str">
        <x:v>Проверить темы и возрастную уместность</x:v>
      </x:c>
      <x:c r="P963" s="10" t="str">
        <x:v>Полная серия — кандидат</x:v>
      </x:c>
      <x:c r="Q963" s="9" t="str">
        <x:v>Нет</x:v>
      </x:c>
      <x:c r="R963" s="9" t="str">
        <x:v>C054</x:v>
      </x:c>
      <x:c r="S963" s="9" t="str">
        <x:v>C054</x:v>
      </x:c>
      <x:c r="T963" s="10" t="str">
        <x:v>כאן חינוכית</x:v>
      </x:c>
      <x:c r="U963" s="11" t="str">
        <x:v>https://www.youtube.com/watch?v=pu5N9MjOC5k</x:v>
      </x:c>
      <x:c r="V963" s="16" t="n">
        <x:v>46308</x:v>
      </x:c>
      <x:c r="W963" s="16" t="n">
        <x:v>44265</x:v>
      </x:c>
      <x:c r="X963" s="10" t="str">
        <x:v>Иврит предполагается по заголовку и источнику</x:v>
      </x:c>
      <x:c r="Y963" s="10" t="str">
        <x:v>Дорожка HE не найдена в метаданных; вшитые титры не проверены</x:v>
      </x:c>
      <x:c r="Z963" s="10" t="str">
        <x:v>Разрешено по метаданным</x:v>
      </x:c>
      <x:c r="AA963" s="10" t="str">
        <x:v>Метаданные видео; воспроизведение и содержание не проверены</x:v>
      </x:c>
      <x:c r="AB963" s="13" t="n">
        <x:f>IF(AND(ISNUMBER(H963),ISNUMBER(W963)),H963/MAX(1,'Обзор'!$B$4-W963),"")</x:f>
        <x:v>1408.290259422418</x:v>
      </x:c>
      <x:c r="AC963" s="17" t="str">
        <x:v>Не решено</x:v>
      </x:c>
      <x:c r="AD963" s="17" t="str">
        <x:v>Не проверено</x:v>
      </x:c>
      <x:c r="AE963" s="17" t="str">
        <x:v>Не проверено</x:v>
      </x:c>
      <x:c r="AF963" s="17" t="str">
        <x:v>Не проверено</x:v>
      </x:c>
      <x:c r="AG963" s="17" t="str">
        <x:v>Не решено</x:v>
      </x:c>
      <x:c r="AH963" s="17" t="str">
        <x:v>Не проверено</x:v>
      </x:c>
      <x:c r="AI963" s="10" t="str">
        <x:f>IF(AC963="Отклонить","Отклонено",IF(AND(AC963="Взять",COUNTIFS(AD963:AH963,"Да")=5),"Готово","Нужна редактура"))</x:f>
        <x:v>Нужна редактура</x:v>
      </x:c>
      <x:c r="AJ963" s="17" t="str"/>
      <x:c r="AK963" s="9" t="str">
        <x:v>https://www.youtube.com/playlist?list=PL51YAgTlfPj7TEDHrgqF6bz4wmNJ6BmNU</x:v>
      </x:c>
      <x:c r="AL963" s="9" t="n">
        <x:v>4</x:v>
      </x:c>
      <x:c r="AM963" s="9" t="n">
        <x:v>4</x:v>
      </x:c>
      <x:c r="AN963" s="9" t="n">
        <x:v>0</x:v>
      </x:c>
    </x:row>
    <x:row r="964" ht="60" customHeight="1">
      <x:c r="A964" s="9" t="str">
        <x:v>TsCzCiZjOxg</x:v>
      </x:c>
      <x:c r="B964" s="10" t="str">
        <x:v>שקשוקה | פרק 5 - שקרים קשב וריכוז</x:v>
      </x:c>
      <x:c r="C964" s="10" t="str">
        <x:v>Семейные сериалы</x:v>
      </x:c>
      <x:c r="D964" s="9" t="str">
        <x:v>Сериал</x:v>
      </x:c>
      <x:c r="E964" s="10" t="str">
        <x:v>Родители; школа; начинающие с опорой</x:v>
      </x:c>
      <x:c r="F964" s="10" t="str">
        <x:v>A2–B1 (гипотеза)</x:v>
      </x:c>
      <x:c r="G964" s="12" t="n">
        <x:v>22.5</x:v>
      </x:c>
      <x:c r="H964" s="14" t="n">
        <x:v>3639729</x:v>
      </x:c>
      <x:c r="I964" s="15" t="str">
        <x:v>Точный счётчик метаданных видео</x:v>
      </x:c>
      <x:c r="J964" s="14" t="n">
        <x:v>3600000</x:v>
      </x:c>
      <x:c r="K964" s="14" t="n">
        <x:v>3550000</x:v>
      </x:c>
      <x:c r="L964" s="12" t="n">
        <x:f>IF(COUNT(J964:K964)=2,IF(K964=0,"",J964/K964),"")</x:f>
        <x:v>1.0140845070422535</x:v>
      </x:c>
      <x:c r="M964" s="10" t="str">
        <x:v>Эпизод 5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64" s="10" t="str">
        <x:v>Назвать проблему героя и предложить решение короткими фразами.</x:v>
      </x:c>
      <x:c r="O964" s="10" t="str">
        <x:v>Проверить темы и возрастную уместность</x:v>
      </x:c>
      <x:c r="P964" s="10" t="str">
        <x:v>Полная серия — кандидат</x:v>
      </x:c>
      <x:c r="Q964" s="9" t="str">
        <x:v>Нет</x:v>
      </x:c>
      <x:c r="R964" s="9" t="str">
        <x:v>C054</x:v>
      </x:c>
      <x:c r="S964" s="9" t="str">
        <x:v>C054</x:v>
      </x:c>
      <x:c r="T964" s="10" t="str">
        <x:v>כאן חינוכית</x:v>
      </x:c>
      <x:c r="U964" s="11" t="str">
        <x:v>https://www.youtube.com/watch?v=TsCzCiZjOxg</x:v>
      </x:c>
      <x:c r="V964" s="16" t="n">
        <x:v>46308</x:v>
      </x:c>
      <x:c r="W964" s="16" t="n">
        <x:v>44269</x:v>
      </x:c>
      <x:c r="X964" s="10" t="str">
        <x:v>Иврит предполагается по заголовку и источнику</x:v>
      </x:c>
      <x:c r="Y964" s="10" t="str">
        <x:v>Дорожка HE не найдена в метаданных; вшитые титры не проверены</x:v>
      </x:c>
      <x:c r="Z964" s="10" t="str">
        <x:v>Разрешено по метаданным</x:v>
      </x:c>
      <x:c r="AA964" s="10" t="str">
        <x:v>Метаданные видео; воспроизведение и содержание не проверены</x:v>
      </x:c>
      <x:c r="AB964" s="13" t="n">
        <x:f>IF(AND(ISNUMBER(H964),ISNUMBER(W964)),H964/MAX(1,'Обзор'!$B$4-W964),"")</x:f>
        <x:v>1785.055909759686</x:v>
      </x:c>
      <x:c r="AC964" s="17" t="str">
        <x:v>Не решено</x:v>
      </x:c>
      <x:c r="AD964" s="17" t="str">
        <x:v>Не проверено</x:v>
      </x:c>
      <x:c r="AE964" s="17" t="str">
        <x:v>Не проверено</x:v>
      </x:c>
      <x:c r="AF964" s="17" t="str">
        <x:v>Не проверено</x:v>
      </x:c>
      <x:c r="AG964" s="17" t="str">
        <x:v>Не решено</x:v>
      </x:c>
      <x:c r="AH964" s="17" t="str">
        <x:v>Не проверено</x:v>
      </x:c>
      <x:c r="AI964" s="10" t="str">
        <x:f>IF(AC964="Отклонить","Отклонено",IF(AND(AC964="Взять",COUNTIFS(AD964:AH964,"Да")=5),"Готово","Нужна редактура"))</x:f>
        <x:v>Нужна редактура</x:v>
      </x:c>
      <x:c r="AJ964" s="17" t="str"/>
      <x:c r="AK964" s="9" t="str">
        <x:v>https://www.youtube.com/playlist?list=PL51YAgTlfPj7TEDHrgqF6bz4wmNJ6BmNU</x:v>
      </x:c>
      <x:c r="AL964" s="9" t="n">
        <x:v>5</x:v>
      </x:c>
      <x:c r="AM964" s="9" t="n">
        <x:v>5</x:v>
      </x:c>
      <x:c r="AN964" s="9" t="n">
        <x:v>0</x:v>
      </x:c>
    </x:row>
    <x:row r="965" ht="60" customHeight="1">
      <x:c r="A965" s="9" t="str">
        <x:v>xFW4tWCs3jY</x:v>
      </x:c>
      <x:c r="B965" s="10" t="str">
        <x:v>שקשוקה | פרק 6 - להציל את סבתא</x:v>
      </x:c>
      <x:c r="C965" s="10" t="str">
        <x:v>Семейные сериалы</x:v>
      </x:c>
      <x:c r="D965" s="9" t="str">
        <x:v>Сериал</x:v>
      </x:c>
      <x:c r="E965" s="10" t="str">
        <x:v>Родители; школа; начинающие с опорой</x:v>
      </x:c>
      <x:c r="F965" s="10" t="str">
        <x:v>A2–B1 (гипотеза)</x:v>
      </x:c>
      <x:c r="G965" s="12" t="n">
        <x:v>21</x:v>
      </x:c>
      <x:c r="H965" s="14" t="n">
        <x:v>2318063</x:v>
      </x:c>
      <x:c r="I965" s="15" t="str">
        <x:v>Точный счётчик метаданных видео</x:v>
      </x:c>
      <x:c r="J965" s="14" t="n">
        <x:v>2300000</x:v>
      </x:c>
      <x:c r="K965" s="14" t="n">
        <x:v>3550000</x:v>
      </x:c>
      <x:c r="L965" s="12" t="n">
        <x:f>IF(COUNT(J965:K965)=2,IF(K965=0,"",J965/K965),"")</x:f>
        <x:v>0.647887323943662</x:v>
      </x:c>
      <x:c r="M965" s="10" t="str">
        <x:v>Эпизод 6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65" s="10" t="str">
        <x:v>Назвать проблему героя и предложить решение короткими фразами.</x:v>
      </x:c>
      <x:c r="O965" s="10" t="str">
        <x:v>Проверить темы и возрастную уместность</x:v>
      </x:c>
      <x:c r="P965" s="10" t="str">
        <x:v>Полная серия — кандидат</x:v>
      </x:c>
      <x:c r="Q965" s="9" t="str">
        <x:v>Нет</x:v>
      </x:c>
      <x:c r="R965" s="9" t="str">
        <x:v>C054</x:v>
      </x:c>
      <x:c r="S965" s="9" t="str">
        <x:v>C054</x:v>
      </x:c>
      <x:c r="T965" s="10" t="str">
        <x:v>כאן חינוכית</x:v>
      </x:c>
      <x:c r="U965" s="11" t="str">
        <x:v>https://www.youtube.com/watch?v=xFW4tWCs3jY</x:v>
      </x:c>
      <x:c r="V965" s="16" t="n">
        <x:v>46308</x:v>
      </x:c>
      <x:c r="W965" s="16" t="n">
        <x:v>44270</x:v>
      </x:c>
      <x:c r="X965" s="10" t="str">
        <x:v>Иврит предполагается по заголовку и источнику</x:v>
      </x:c>
      <x:c r="Y965" s="10" t="str">
        <x:v>Дорожка HE не найдена в метаданных; вшитые титры не проверены</x:v>
      </x:c>
      <x:c r="Z965" s="10" t="str">
        <x:v>Разрешено по метаданным</x:v>
      </x:c>
      <x:c r="AA965" s="10" t="str">
        <x:v>Метаданные видео; воспроизведение и содержание не проверены</x:v>
      </x:c>
      <x:c r="AB965" s="13" t="n">
        <x:f>IF(AND(ISNUMBER(H965),ISNUMBER(W965)),H965/MAX(1,'Обзор'!$B$4-W965),"")</x:f>
        <x:v>1137.4205103042198</x:v>
      </x:c>
      <x:c r="AC965" s="17" t="str">
        <x:v>Не решено</x:v>
      </x:c>
      <x:c r="AD965" s="17" t="str">
        <x:v>Не проверено</x:v>
      </x:c>
      <x:c r="AE965" s="17" t="str">
        <x:v>Не проверено</x:v>
      </x:c>
      <x:c r="AF965" s="17" t="str">
        <x:v>Не проверено</x:v>
      </x:c>
      <x:c r="AG965" s="17" t="str">
        <x:v>Не решено</x:v>
      </x:c>
      <x:c r="AH965" s="17" t="str">
        <x:v>Не проверено</x:v>
      </x:c>
      <x:c r="AI965" s="10" t="str">
        <x:f>IF(AC965="Отклонить","Отклонено",IF(AND(AC965="Взять",COUNTIFS(AD965:AH965,"Да")=5),"Готово","Нужна редактура"))</x:f>
        <x:v>Нужна редактура</x:v>
      </x:c>
      <x:c r="AJ965" s="17" t="str"/>
      <x:c r="AK965" s="9" t="str">
        <x:v>https://www.youtube.com/playlist?list=PL51YAgTlfPj7TEDHrgqF6bz4wmNJ6BmNU</x:v>
      </x:c>
      <x:c r="AL965" s="9" t="n">
        <x:v>6</x:v>
      </x:c>
      <x:c r="AM965" s="9" t="n">
        <x:v>6</x:v>
      </x:c>
      <x:c r="AN965" s="9" t="n">
        <x:v>0</x:v>
      </x:c>
    </x:row>
    <x:row r="966" ht="60" customHeight="1">
      <x:c r="A966" s="9" t="str">
        <x:v>8yKb9MQYZ-8</x:v>
      </x:c>
      <x:c r="B966" s="10" t="str">
        <x:v>שקשוקה | פרק 7 - אגדת ביגפוט</x:v>
      </x:c>
      <x:c r="C966" s="10" t="str">
        <x:v>Семейные сериалы</x:v>
      </x:c>
      <x:c r="D966" s="9" t="str">
        <x:v>Сериал</x:v>
      </x:c>
      <x:c r="E966" s="10" t="str">
        <x:v>Родители; школа; начинающие с опорой</x:v>
      </x:c>
      <x:c r="F966" s="10" t="str">
        <x:v>A2–B1 (гипотеза)</x:v>
      </x:c>
      <x:c r="G966" s="12" t="n">
        <x:v>23.2</x:v>
      </x:c>
      <x:c r="H966" s="14" t="n">
        <x:v>4194279</x:v>
      </x:c>
      <x:c r="I966" s="15" t="str">
        <x:v>Точный счётчик метаданных видео</x:v>
      </x:c>
      <x:c r="J966" s="14" t="n">
        <x:v>4100000</x:v>
      </x:c>
      <x:c r="K966" s="14" t="n">
        <x:v>3550000</x:v>
      </x:c>
      <x:c r="L966" s="12" t="n">
        <x:f>IF(COUNT(J966:K966)=2,IF(K966=0,"",J966/K966),"")</x:f>
        <x:v>1.1549295774647887</x:v>
      </x:c>
      <x:c r="M966" s="10" t="str">
        <x:v>Эпизод 7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66" s="10" t="str">
        <x:v>Назвать проблему героя и предложить решение короткими фразами.</x:v>
      </x:c>
      <x:c r="O966" s="10" t="str">
        <x:v>Проверить темы и возрастную уместность</x:v>
      </x:c>
      <x:c r="P966" s="10" t="str">
        <x:v>Полная серия — кандидат</x:v>
      </x:c>
      <x:c r="Q966" s="9" t="str">
        <x:v>Нет</x:v>
      </x:c>
      <x:c r="R966" s="9" t="str">
        <x:v>C054</x:v>
      </x:c>
      <x:c r="S966" s="9" t="str">
        <x:v>C054</x:v>
      </x:c>
      <x:c r="T966" s="10" t="str">
        <x:v>כאן חינוכית</x:v>
      </x:c>
      <x:c r="U966" s="11" t="str">
        <x:v>https://www.youtube.com/watch?v=8yKb9MQYZ-8</x:v>
      </x:c>
      <x:c r="V966" s="16" t="n">
        <x:v>46308</x:v>
      </x:c>
      <x:c r="W966" s="16" t="n">
        <x:v>44271</x:v>
      </x:c>
      <x:c r="X966" s="10" t="str">
        <x:v>Иврит предполагается по заголовку и источнику</x:v>
      </x:c>
      <x:c r="Y966" s="10" t="str">
        <x:v>Дорожка HE не найдена в метаданных; вшитые титры не проверены</x:v>
      </x:c>
      <x:c r="Z966" s="10" t="str">
        <x:v>Разрешено по метаданным</x:v>
      </x:c>
      <x:c r="AA966" s="10" t="str">
        <x:v>Метаданные видео; воспроизведение и содержание не проверены</x:v>
      </x:c>
      <x:c r="AB966" s="13" t="n">
        <x:f>IF(AND(ISNUMBER(H966),ISNUMBER(W966)),H966/MAX(1,'Обзор'!$B$4-W966),"")</x:f>
        <x:v>2059.0471281296022</x:v>
      </x:c>
      <x:c r="AC966" s="17" t="str">
        <x:v>Не решено</x:v>
      </x:c>
      <x:c r="AD966" s="17" t="str">
        <x:v>Не проверено</x:v>
      </x:c>
      <x:c r="AE966" s="17" t="str">
        <x:v>Не проверено</x:v>
      </x:c>
      <x:c r="AF966" s="17" t="str">
        <x:v>Не проверено</x:v>
      </x:c>
      <x:c r="AG966" s="17" t="str">
        <x:v>Не решено</x:v>
      </x:c>
      <x:c r="AH966" s="17" t="str">
        <x:v>Не проверено</x:v>
      </x:c>
      <x:c r="AI966" s="10" t="str">
        <x:f>IF(AC966="Отклонить","Отклонено",IF(AND(AC966="Взять",COUNTIFS(AD966:AH966,"Да")=5),"Готово","Нужна редактура"))</x:f>
        <x:v>Нужна редактура</x:v>
      </x:c>
      <x:c r="AJ966" s="17" t="str"/>
      <x:c r="AK966" s="9" t="str">
        <x:v>https://www.youtube.com/playlist?list=PL51YAgTlfPj7TEDHrgqF6bz4wmNJ6BmNU</x:v>
      </x:c>
      <x:c r="AL966" s="9" t="n">
        <x:v>7</x:v>
      </x:c>
      <x:c r="AM966" s="9" t="n">
        <x:v>7</x:v>
      </x:c>
      <x:c r="AN966" s="9" t="n">
        <x:v>0</x:v>
      </x:c>
    </x:row>
    <x:row r="967" ht="60" customHeight="1">
      <x:c r="A967" s="9" t="str">
        <x:v>hYejYkRsTFE</x:v>
      </x:c>
      <x:c r="B967" s="10" t="str">
        <x:v>שקשוקה | פרק 8 - מגפת הדיאטה</x:v>
      </x:c>
      <x:c r="C967" s="10" t="str">
        <x:v>Семейные сериалы</x:v>
      </x:c>
      <x:c r="D967" s="9" t="str">
        <x:v>Сериал</x:v>
      </x:c>
      <x:c r="E967" s="10" t="str">
        <x:v>Родители; школа; начинающие с опорой</x:v>
      </x:c>
      <x:c r="F967" s="10" t="str">
        <x:v>A2–B1 (гипотеза)</x:v>
      </x:c>
      <x:c r="G967" s="12" t="n">
        <x:v>23.4</x:v>
      </x:c>
      <x:c r="H967" s="14" t="n">
        <x:v>7077238</x:v>
      </x:c>
      <x:c r="I967" s="15" t="str">
        <x:v>Точный счётчик метаданных видео</x:v>
      </x:c>
      <x:c r="J967" s="14" t="n">
        <x:v>7000000</x:v>
      </x:c>
      <x:c r="K967" s="14" t="n">
        <x:v>3550000</x:v>
      </x:c>
      <x:c r="L967" s="12" t="n">
        <x:f>IF(COUNT(J967:K967)=2,IF(K967=0,"",J967/K967),"")</x:f>
        <x:v>1.971830985915493</x:v>
      </x:c>
      <x:c r="M967" s="10" t="str">
        <x:v>Эпизод 8 в знакомой сюжетной ветке. Просмотры в списке выше медианы выборки этого цикла в 1.97 раза. Школьные и семейные ситуации полезны семьям репатриантов. Повторяющаяся лексика поддерживает постепенное освоение.</x:v>
      </x:c>
      <x:c r="N967" s="10" t="str">
        <x:v>Назвать проблему героя и предложить решение короткими фразами.</x:v>
      </x:c>
      <x:c r="O967" s="10" t="str">
        <x:v>Проверить темы и возрастную уместность</x:v>
      </x:c>
      <x:c r="P967" s="10" t="str">
        <x:v>Полная серия — кандидат</x:v>
      </x:c>
      <x:c r="Q967" s="9" t="str">
        <x:v>Нет</x:v>
      </x:c>
      <x:c r="R967" s="9" t="str">
        <x:v>C054</x:v>
      </x:c>
      <x:c r="S967" s="9" t="str">
        <x:v>C054</x:v>
      </x:c>
      <x:c r="T967" s="10" t="str">
        <x:v>כאן חינוכית</x:v>
      </x:c>
      <x:c r="U967" s="11" t="str">
        <x:v>https://www.youtube.com/watch?v=hYejYkRsTFE</x:v>
      </x:c>
      <x:c r="V967" s="16" t="n">
        <x:v>46308</x:v>
      </x:c>
      <x:c r="W967" s="16" t="n">
        <x:v>44272</x:v>
      </x:c>
      <x:c r="X967" s="10" t="str">
        <x:v>Иврит предполагается по заголовку и источнику</x:v>
      </x:c>
      <x:c r="Y967" s="10" t="str">
        <x:v>Дорожка HE не найдена в метаданных; вшитые титры не проверены</x:v>
      </x:c>
      <x:c r="Z967" s="10" t="str">
        <x:v>Разрешено по метаданным</x:v>
      </x:c>
      <x:c r="AA967" s="10" t="str">
        <x:v>Метаданные видео; воспроизведение и содержание не проверены</x:v>
      </x:c>
      <x:c r="AB967" s="13" t="n">
        <x:f>IF(AND(ISNUMBER(H967),ISNUMBER(W967)),H967/MAX(1,'Обзор'!$B$4-W967),"")</x:f>
        <x:v>3476.050098231827</x:v>
      </x:c>
      <x:c r="AC967" s="17" t="str">
        <x:v>Не решено</x:v>
      </x:c>
      <x:c r="AD967" s="17" t="str">
        <x:v>Не проверено</x:v>
      </x:c>
      <x:c r="AE967" s="17" t="str">
        <x:v>Не проверено</x:v>
      </x:c>
      <x:c r="AF967" s="17" t="str">
        <x:v>Не проверено</x:v>
      </x:c>
      <x:c r="AG967" s="17" t="str">
        <x:v>Не решено</x:v>
      </x:c>
      <x:c r="AH967" s="17" t="str">
        <x:v>Не проверено</x:v>
      </x:c>
      <x:c r="AI967" s="10" t="str">
        <x:f>IF(AC967="Отклонить","Отклонено",IF(AND(AC967="Взять",COUNTIFS(AD967:AH967,"Да")=5),"Готово","Нужна редактура"))</x:f>
        <x:v>Нужна редактура</x:v>
      </x:c>
      <x:c r="AJ967" s="17" t="str"/>
      <x:c r="AK967" s="9" t="str">
        <x:v>https://www.youtube.com/playlist?list=PL51YAgTlfPj7TEDHrgqF6bz4wmNJ6BmNU</x:v>
      </x:c>
      <x:c r="AL967" s="9" t="n">
        <x:v>8</x:v>
      </x:c>
      <x:c r="AM967" s="9" t="n">
        <x:v>8</x:v>
      </x:c>
      <x:c r="AN967" s="9" t="n">
        <x:v>0</x:v>
      </x:c>
    </x:row>
    <x:row r="968" ht="60" customHeight="1">
      <x:c r="A968" s="9" t="str">
        <x:v>z_d3ruRQ0Ow</x:v>
      </x:c>
      <x:c r="B968" s="10" t="str">
        <x:v>שקשוקה | פרק 9 - הניתוח</x:v>
      </x:c>
      <x:c r="C968" s="10" t="str">
        <x:v>Семейные сериалы</x:v>
      </x:c>
      <x:c r="D968" s="9" t="str">
        <x:v>Сериал</x:v>
      </x:c>
      <x:c r="E968" s="10" t="str">
        <x:v>Родители; школа; начинающие с опорой</x:v>
      </x:c>
      <x:c r="F968" s="10" t="str">
        <x:v>A2–B1 (гипотеза)</x:v>
      </x:c>
      <x:c r="G968" s="12" t="n">
        <x:v>23</x:v>
      </x:c>
      <x:c r="H968" s="14" t="n">
        <x:v>2128612</x:v>
      </x:c>
      <x:c r="I968" s="15" t="str">
        <x:v>Точный счётчик метаданных видео</x:v>
      </x:c>
      <x:c r="J968" s="14" t="n">
        <x:v>2100000</x:v>
      </x:c>
      <x:c r="K968" s="14" t="n">
        <x:v>3550000</x:v>
      </x:c>
      <x:c r="L968" s="12" t="n">
        <x:f>IF(COUNT(J968:K968)=2,IF(K968=0,"",J968/K968),"")</x:f>
        <x:v>0.5915492957746479</x:v>
      </x:c>
      <x:c r="M968" s="10" t="str">
        <x:v>Эпизод 9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68" s="10" t="str">
        <x:v>Назвать проблему героя и предложить решение короткими фразами.</x:v>
      </x:c>
      <x:c r="O968" s="10" t="str">
        <x:v>Проверить темы и возрастную уместность</x:v>
      </x:c>
      <x:c r="P968" s="10" t="str">
        <x:v>Полная серия — кандидат</x:v>
      </x:c>
      <x:c r="Q968" s="9" t="str">
        <x:v>Нет</x:v>
      </x:c>
      <x:c r="R968" s="9" t="str">
        <x:v>C054</x:v>
      </x:c>
      <x:c r="S968" s="9" t="str">
        <x:v>C054</x:v>
      </x:c>
      <x:c r="T968" s="10" t="str">
        <x:v>כאן חינוכית</x:v>
      </x:c>
      <x:c r="U968" s="11" t="str">
        <x:v>https://www.youtube.com/watch?v=z_d3ruRQ0Ow</x:v>
      </x:c>
      <x:c r="V968" s="16" t="n">
        <x:v>46308</x:v>
      </x:c>
      <x:c r="W968" s="16" t="n">
        <x:v>44276</x:v>
      </x:c>
      <x:c r="X968" s="10" t="str">
        <x:v>Иврит предполагается по заголовку и источнику</x:v>
      </x:c>
      <x:c r="Y968" s="10" t="str">
        <x:v>Дорожка HE не найдена в метаданных; вшитые титры не проверены</x:v>
      </x:c>
      <x:c r="Z968" s="10" t="str">
        <x:v>Разрешено по метаданным</x:v>
      </x:c>
      <x:c r="AA968" s="10" t="str">
        <x:v>Метаданные видео; воспроизведение и содержание не проверены</x:v>
      </x:c>
      <x:c r="AB968" s="13" t="n">
        <x:f>IF(AND(ISNUMBER(H968),ISNUMBER(W968)),H968/MAX(1,'Обзор'!$B$4-W968),"")</x:f>
        <x:v>1047.5452755905512</x:v>
      </x:c>
      <x:c r="AC968" s="17" t="str">
        <x:v>Не решено</x:v>
      </x:c>
      <x:c r="AD968" s="17" t="str">
        <x:v>Не проверено</x:v>
      </x:c>
      <x:c r="AE968" s="17" t="str">
        <x:v>Не проверено</x:v>
      </x:c>
      <x:c r="AF968" s="17" t="str">
        <x:v>Не проверено</x:v>
      </x:c>
      <x:c r="AG968" s="17" t="str">
        <x:v>Не решено</x:v>
      </x:c>
      <x:c r="AH968" s="17" t="str">
        <x:v>Не проверено</x:v>
      </x:c>
      <x:c r="AI968" s="10" t="str">
        <x:f>IF(AC968="Отклонить","Отклонено",IF(AND(AC968="Взять",COUNTIFS(AD968:AH968,"Да")=5),"Готово","Нужна редактура"))</x:f>
        <x:v>Нужна редактура</x:v>
      </x:c>
      <x:c r="AJ968" s="17" t="str"/>
      <x:c r="AK968" s="9" t="str">
        <x:v>https://www.youtube.com/playlist?list=PL51YAgTlfPj7TEDHrgqF6bz4wmNJ6BmNU</x:v>
      </x:c>
      <x:c r="AL968" s="9" t="n">
        <x:v>9</x:v>
      </x:c>
      <x:c r="AM968" s="9" t="n">
        <x:v>9</x:v>
      </x:c>
      <x:c r="AN968" s="9" t="n">
        <x:v>0</x:v>
      </x:c>
    </x:row>
    <x:row r="969" ht="60" customHeight="1">
      <x:c r="A969" s="9" t="str">
        <x:v>5HsD0z5nUzM</x:v>
      </x:c>
      <x:c r="B969" s="10" t="str">
        <x:v>שקשוקה | פרק 10 - קין הבל ויוסי גם</x:v>
      </x:c>
      <x:c r="C969" s="10" t="str">
        <x:v>Семейные сериалы</x:v>
      </x:c>
      <x:c r="D969" s="9" t="str">
        <x:v>Сериал</x:v>
      </x:c>
      <x:c r="E969" s="10" t="str">
        <x:v>Родители; школа; начинающие с опорой</x:v>
      </x:c>
      <x:c r="F969" s="10" t="str">
        <x:v>A2–B1 (гипотеза)</x:v>
      </x:c>
      <x:c r="G969" s="12" t="n">
        <x:v>23.3</x:v>
      </x:c>
      <x:c r="H969" s="14" t="n">
        <x:v>2788120</x:v>
      </x:c>
      <x:c r="I969" s="15" t="str">
        <x:v>Точный счётчик метаданных видео</x:v>
      </x:c>
      <x:c r="J969" s="14" t="n">
        <x:v>2700000</x:v>
      </x:c>
      <x:c r="K969" s="14" t="n">
        <x:v>3550000</x:v>
      </x:c>
      <x:c r="L969" s="12" t="n">
        <x:f>IF(COUNT(J969:K969)=2,IF(K969=0,"",J969/K969),"")</x:f>
        <x:v>0.7605633802816901</x:v>
      </x:c>
      <x:c r="M969" s="10" t="str">
        <x:v>Эпизод 10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69" s="10" t="str">
        <x:v>Назвать проблему героя и предложить решение короткими фразами.</x:v>
      </x:c>
      <x:c r="O969" s="10" t="str">
        <x:v>Проверить темы и возрастную уместность</x:v>
      </x:c>
      <x:c r="P969" s="10" t="str">
        <x:v>Полная серия — кандидат</x:v>
      </x:c>
      <x:c r="Q969" s="9" t="str">
        <x:v>Нет</x:v>
      </x:c>
      <x:c r="R969" s="9" t="str">
        <x:v>C054</x:v>
      </x:c>
      <x:c r="S969" s="9" t="str">
        <x:v>C054</x:v>
      </x:c>
      <x:c r="T969" s="10" t="str">
        <x:v>כאן חינוכית</x:v>
      </x:c>
      <x:c r="U969" s="11" t="str">
        <x:v>https://www.youtube.com/watch?v=5HsD0z5nUzM</x:v>
      </x:c>
      <x:c r="V969" s="16" t="n">
        <x:v>46308</x:v>
      </x:c>
      <x:c r="W969" s="16" t="n">
        <x:v>44277</x:v>
      </x:c>
      <x:c r="X969" s="10" t="str">
        <x:v>Иврит предполагается по заголовку и источнику</x:v>
      </x:c>
      <x:c r="Y969" s="10" t="str">
        <x:v>Дорожка HE не найдена в метаданных; вшитые титры не проверены</x:v>
      </x:c>
      <x:c r="Z969" s="10" t="str">
        <x:v>Разрешено по метаданным</x:v>
      </x:c>
      <x:c r="AA969" s="10" t="str">
        <x:v>Метаданные видео; воспроизведение и содержание не проверены</x:v>
      </x:c>
      <x:c r="AB969" s="13" t="n">
        <x:f>IF(AND(ISNUMBER(H969),ISNUMBER(W969)),H969/MAX(1,'Обзор'!$B$4-W969),"")</x:f>
        <x:v>1372.7818808468735</x:v>
      </x:c>
      <x:c r="AC969" s="17" t="str">
        <x:v>Не решено</x:v>
      </x:c>
      <x:c r="AD969" s="17" t="str">
        <x:v>Не проверено</x:v>
      </x:c>
      <x:c r="AE969" s="17" t="str">
        <x:v>Не проверено</x:v>
      </x:c>
      <x:c r="AF969" s="17" t="str">
        <x:v>Не проверено</x:v>
      </x:c>
      <x:c r="AG969" s="17" t="str">
        <x:v>Не решено</x:v>
      </x:c>
      <x:c r="AH969" s="17" t="str">
        <x:v>Не проверено</x:v>
      </x:c>
      <x:c r="AI969" s="10" t="str">
        <x:f>IF(AC969="Отклонить","Отклонено",IF(AND(AC969="Взять",COUNTIFS(AD969:AH969,"Да")=5),"Готово","Нужна редактура"))</x:f>
        <x:v>Нужна редактура</x:v>
      </x:c>
      <x:c r="AJ969" s="17" t="str"/>
      <x:c r="AK969" s="9" t="str">
        <x:v>https://www.youtube.com/playlist?list=PL51YAgTlfPj7TEDHrgqF6bz4wmNJ6BmNU</x:v>
      </x:c>
      <x:c r="AL969" s="9" t="n">
        <x:v>10</x:v>
      </x:c>
      <x:c r="AM969" s="9" t="n">
        <x:v>10</x:v>
      </x:c>
      <x:c r="AN969" s="9" t="n">
        <x:v>0</x:v>
      </x:c>
    </x:row>
    <x:row r="970" ht="60" customHeight="1">
      <x:c r="A970" s="9" t="str">
        <x:v>7Cb97jlo6BQ</x:v>
      </x:c>
      <x:c r="B970" s="10" t="str">
        <x:v>שקשוקה | פרק 11 - בעד הנגד</x:v>
      </x:c>
      <x:c r="C970" s="10" t="str">
        <x:v>Семейные сериалы</x:v>
      </x:c>
      <x:c r="D970" s="9" t="str">
        <x:v>Сериал</x:v>
      </x:c>
      <x:c r="E970" s="10" t="str">
        <x:v>Родители; школа; начинающие с опорой</x:v>
      </x:c>
      <x:c r="F970" s="10" t="str">
        <x:v>A2–B1 (гипотеза)</x:v>
      </x:c>
      <x:c r="G970" s="12" t="n">
        <x:v>23.7</x:v>
      </x:c>
      <x:c r="H970" s="14" t="n">
        <x:v>5237212</x:v>
      </x:c>
      <x:c r="I970" s="15" t="str">
        <x:v>Точный счётчик метаданных видео</x:v>
      </x:c>
      <x:c r="J970" s="14" t="n">
        <x:v>5200000</x:v>
      </x:c>
      <x:c r="K970" s="14" t="n">
        <x:v>3550000</x:v>
      </x:c>
      <x:c r="L970" s="12" t="n">
        <x:f>IF(COUNT(J970:K970)=2,IF(K970=0,"",J970/K970),"")</x:f>
        <x:v>1.4647887323943662</x:v>
      </x:c>
      <x:c r="M970" s="10" t="str">
        <x:v>Эпизод 11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70" s="10" t="str">
        <x:v>Назвать проблему героя и предложить решение короткими фразами.</x:v>
      </x:c>
      <x:c r="O970" s="10" t="str">
        <x:v>Проверить темы и возрастную уместность</x:v>
      </x:c>
      <x:c r="P970" s="10" t="str">
        <x:v>Полная серия — кандидат</x:v>
      </x:c>
      <x:c r="Q970" s="9" t="str">
        <x:v>Нет</x:v>
      </x:c>
      <x:c r="R970" s="9" t="str">
        <x:v>C054</x:v>
      </x:c>
      <x:c r="S970" s="9" t="str">
        <x:v>C054</x:v>
      </x:c>
      <x:c r="T970" s="10" t="str">
        <x:v>כאן חינוכית</x:v>
      </x:c>
      <x:c r="U970" s="11" t="str">
        <x:v>https://www.youtube.com/watch?v=7Cb97jlo6BQ</x:v>
      </x:c>
      <x:c r="V970" s="16" t="n">
        <x:v>46308</x:v>
      </x:c>
      <x:c r="W970" s="16" t="n">
        <x:v>44278</x:v>
      </x:c>
      <x:c r="X970" s="10" t="str">
        <x:v>Иврит предполагается по заголовку и источнику</x:v>
      </x:c>
      <x:c r="Y970" s="10" t="str">
        <x:v>Дорожка HE не найдена в метаданных; вшитые титры не проверены</x:v>
      </x:c>
      <x:c r="Z970" s="10" t="str">
        <x:v>Разрешено по метаданным</x:v>
      </x:c>
      <x:c r="AA970" s="10" t="str">
        <x:v>Метаданные видео; воспроизведение и содержание не проверены</x:v>
      </x:c>
      <x:c r="AB970" s="13" t="n">
        <x:f>IF(AND(ISNUMBER(H970),ISNUMBER(W970)),H970/MAX(1,'Обзор'!$B$4-W970),"")</x:f>
        <x:v>2579.9073891625617</x:v>
      </x:c>
      <x:c r="AC970" s="17" t="str">
        <x:v>Не решено</x:v>
      </x:c>
      <x:c r="AD970" s="17" t="str">
        <x:v>Не проверено</x:v>
      </x:c>
      <x:c r="AE970" s="17" t="str">
        <x:v>Не проверено</x:v>
      </x:c>
      <x:c r="AF970" s="17" t="str">
        <x:v>Не проверено</x:v>
      </x:c>
      <x:c r="AG970" s="17" t="str">
        <x:v>Не решено</x:v>
      </x:c>
      <x:c r="AH970" s="17" t="str">
        <x:v>Не проверено</x:v>
      </x:c>
      <x:c r="AI970" s="10" t="str">
        <x:f>IF(AC970="Отклонить","Отклонено",IF(AND(AC970="Взять",COUNTIFS(AD970:AH970,"Да")=5),"Готово","Нужна редактура"))</x:f>
        <x:v>Нужна редактура</x:v>
      </x:c>
      <x:c r="AJ970" s="17" t="str"/>
      <x:c r="AK970" s="9" t="str">
        <x:v>https://www.youtube.com/playlist?list=PL51YAgTlfPj7TEDHrgqF6bz4wmNJ6BmNU</x:v>
      </x:c>
      <x:c r="AL970" s="9" t="n">
        <x:v>11</x:v>
      </x:c>
      <x:c r="AM970" s="9" t="n">
        <x:v>11</x:v>
      </x:c>
      <x:c r="AN970" s="9" t="n">
        <x:v>0</x:v>
      </x:c>
    </x:row>
    <x:row r="971" ht="60" customHeight="1">
      <x:c r="A971" s="9" t="str">
        <x:v>5xe2ETwTfLA</x:v>
      </x:c>
      <x:c r="B971" s="10" t="str">
        <x:v>שקשוקה | פרק 12 - יום הפוך</x:v>
      </x:c>
      <x:c r="C971" s="10" t="str">
        <x:v>Семейные сериалы</x:v>
      </x:c>
      <x:c r="D971" s="9" t="str">
        <x:v>Сериал</x:v>
      </x:c>
      <x:c r="E971" s="10" t="str">
        <x:v>Родители; школа; начинающие с опорой</x:v>
      </x:c>
      <x:c r="F971" s="10" t="str">
        <x:v>A2–B1 (гипотеза)</x:v>
      </x:c>
      <x:c r="G971" s="12" t="n">
        <x:v>24.1</x:v>
      </x:c>
      <x:c r="H971" s="14" t="n">
        <x:v>3419673</x:v>
      </x:c>
      <x:c r="I971" s="15" t="str">
        <x:v>Точный счётчик метаданных видео</x:v>
      </x:c>
      <x:c r="J971" s="14" t="n">
        <x:v>3400000</x:v>
      </x:c>
      <x:c r="K971" s="14" t="n">
        <x:v>3550000</x:v>
      </x:c>
      <x:c r="L971" s="12" t="n">
        <x:f>IF(COUNT(J971:K971)=2,IF(K971=0,"",J971/K971),"")</x:f>
        <x:v>0.9577464788732394</x:v>
      </x:c>
      <x:c r="M971" s="10" t="str">
        <x:v>Эпизод 12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71" s="10" t="str">
        <x:v>Назвать проблему героя и предложить решение короткими фразами.</x:v>
      </x:c>
      <x:c r="O971" s="10" t="str">
        <x:v>Проверить темы и возрастную уместность</x:v>
      </x:c>
      <x:c r="P971" s="10" t="str">
        <x:v>Полная серия — кандидат</x:v>
      </x:c>
      <x:c r="Q971" s="9" t="str">
        <x:v>Нет</x:v>
      </x:c>
      <x:c r="R971" s="9" t="str">
        <x:v>C054</x:v>
      </x:c>
      <x:c r="S971" s="9" t="str">
        <x:v>C054</x:v>
      </x:c>
      <x:c r="T971" s="10" t="str">
        <x:v>כאן חינוכית</x:v>
      </x:c>
      <x:c r="U971" s="11" t="str">
        <x:v>https://www.youtube.com/watch?v=5xe2ETwTfLA</x:v>
      </x:c>
      <x:c r="V971" s="16" t="n">
        <x:v>46308</x:v>
      </x:c>
      <x:c r="W971" s="16" t="n">
        <x:v>44279</x:v>
      </x:c>
      <x:c r="X971" s="10" t="str">
        <x:v>Иврит предполагается по заголовку и источнику</x:v>
      </x:c>
      <x:c r="Y971" s="10" t="str">
        <x:v>Дорожка HE не найдена в метаданных; вшитые титры не проверены</x:v>
      </x:c>
      <x:c r="Z971" s="10" t="str">
        <x:v>Разрешено по метаданным</x:v>
      </x:c>
      <x:c r="AA971" s="10" t="str">
        <x:v>Метаданные видео; воспроизведение и содержание не проверены</x:v>
      </x:c>
      <x:c r="AB971" s="13" t="n">
        <x:f>IF(AND(ISNUMBER(H971),ISNUMBER(W971)),H971/MAX(1,'Обзор'!$B$4-W971),"")</x:f>
        <x:v>1685.398225726959</x:v>
      </x:c>
      <x:c r="AC971" s="17" t="str">
        <x:v>Не решено</x:v>
      </x:c>
      <x:c r="AD971" s="17" t="str">
        <x:v>Не проверено</x:v>
      </x:c>
      <x:c r="AE971" s="17" t="str">
        <x:v>Не проверено</x:v>
      </x:c>
      <x:c r="AF971" s="17" t="str">
        <x:v>Не проверено</x:v>
      </x:c>
      <x:c r="AG971" s="17" t="str">
        <x:v>Не решено</x:v>
      </x:c>
      <x:c r="AH971" s="17" t="str">
        <x:v>Не проверено</x:v>
      </x:c>
      <x:c r="AI971" s="10" t="str">
        <x:f>IF(AC971="Отклонить","Отклонено",IF(AND(AC971="Взять",COUNTIFS(AD971:AH971,"Да")=5),"Готово","Нужна редактура"))</x:f>
        <x:v>Нужна редактура</x:v>
      </x:c>
      <x:c r="AJ971" s="17" t="str"/>
      <x:c r="AK971" s="9" t="str">
        <x:v>https://www.youtube.com/playlist?list=PL51YAgTlfPj7TEDHrgqF6bz4wmNJ6BmNU</x:v>
      </x:c>
      <x:c r="AL971" s="9" t="n">
        <x:v>12</x:v>
      </x:c>
      <x:c r="AM971" s="9" t="n">
        <x:v>12</x:v>
      </x:c>
      <x:c r="AN971" s="9" t="n">
        <x:v>0</x:v>
      </x:c>
    </x:row>
    <x:row r="972" ht="60" customHeight="1">
      <x:c r="A972" s="9" t="str">
        <x:v>j1i179XlFQk</x:v>
      </x:c>
      <x:c r="B972" s="10" t="str">
        <x:v>שקשוקה | פרק 13 - מי זה מרפי?</x:v>
      </x:c>
      <x:c r="C972" s="10" t="str">
        <x:v>Семейные сериалы</x:v>
      </x:c>
      <x:c r="D972" s="9" t="str">
        <x:v>Сериал</x:v>
      </x:c>
      <x:c r="E972" s="10" t="str">
        <x:v>Родители; школа; начинающие с опорой</x:v>
      </x:c>
      <x:c r="F972" s="10" t="str">
        <x:v>A2–B1 (гипотеза)</x:v>
      </x:c>
      <x:c r="G972" s="12" t="n">
        <x:v>21.9</x:v>
      </x:c>
      <x:c r="H972" s="14" t="n">
        <x:v>2796188</x:v>
      </x:c>
      <x:c r="I972" s="15" t="str">
        <x:v>Точный счётчик метаданных видео</x:v>
      </x:c>
      <x:c r="J972" s="14" t="n">
        <x:v>2700000</x:v>
      </x:c>
      <x:c r="K972" s="14" t="n">
        <x:v>3550000</x:v>
      </x:c>
      <x:c r="L972" s="12" t="n">
        <x:f>IF(COUNT(J972:K972)=2,IF(K972=0,"",J972/K972),"")</x:f>
        <x:v>0.7605633802816901</x:v>
      </x:c>
      <x:c r="M972" s="10" t="str">
        <x:v>Эпизод 13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72" s="10" t="str">
        <x:v>Назвать проблему героя и предложить решение короткими фразами.</x:v>
      </x:c>
      <x:c r="O972" s="10" t="str">
        <x:v>Проверить темы и возрастную уместность</x:v>
      </x:c>
      <x:c r="P972" s="10" t="str">
        <x:v>Полная серия — кандидат</x:v>
      </x:c>
      <x:c r="Q972" s="9" t="str">
        <x:v>Нет</x:v>
      </x:c>
      <x:c r="R972" s="9" t="str">
        <x:v>C054</x:v>
      </x:c>
      <x:c r="S972" s="9" t="str">
        <x:v>C054</x:v>
      </x:c>
      <x:c r="T972" s="10" t="str">
        <x:v>כאן חינוכית</x:v>
      </x:c>
      <x:c r="U972" s="11" t="str">
        <x:v>https://www.youtube.com/watch?v=j1i179XlFQk</x:v>
      </x:c>
      <x:c r="V972" s="16" t="n">
        <x:v>46308</x:v>
      </x:c>
      <x:c r="W972" s="16" t="n">
        <x:v>44283</x:v>
      </x:c>
      <x:c r="X972" s="10" t="str">
        <x:v>Иврит предполагается по заголовку и источнику</x:v>
      </x:c>
      <x:c r="Y972" s="10" t="str">
        <x:v>Дорожка HE не найдена в метаданных; вшитые титры не проверены</x:v>
      </x:c>
      <x:c r="Z972" s="10" t="str">
        <x:v>Разрешено по метаданным</x:v>
      </x:c>
      <x:c r="AA972" s="10" t="str">
        <x:v>Метаданные видео; воспроизведение и содержание не проверены</x:v>
      </x:c>
      <x:c r="AB972" s="13" t="n">
        <x:f>IF(AND(ISNUMBER(H972),ISNUMBER(W972)),H972/MAX(1,'Обзор'!$B$4-W972),"")</x:f>
        <x:v>1380.8335802469135</x:v>
      </x:c>
      <x:c r="AC972" s="17" t="str">
        <x:v>Не решено</x:v>
      </x:c>
      <x:c r="AD972" s="17" t="str">
        <x:v>Не проверено</x:v>
      </x:c>
      <x:c r="AE972" s="17" t="str">
        <x:v>Не проверено</x:v>
      </x:c>
      <x:c r="AF972" s="17" t="str">
        <x:v>Не проверено</x:v>
      </x:c>
      <x:c r="AG972" s="17" t="str">
        <x:v>Не решено</x:v>
      </x:c>
      <x:c r="AH972" s="17" t="str">
        <x:v>Не проверено</x:v>
      </x:c>
      <x:c r="AI972" s="10" t="str">
        <x:f>IF(AC972="Отклонить","Отклонено",IF(AND(AC972="Взять",COUNTIFS(AD972:AH972,"Да")=5),"Готово","Нужна редактура"))</x:f>
        <x:v>Нужна редактура</x:v>
      </x:c>
      <x:c r="AJ972" s="17" t="str"/>
      <x:c r="AK972" s="9" t="str">
        <x:v>https://www.youtube.com/playlist?list=PL51YAgTlfPj7TEDHrgqF6bz4wmNJ6BmNU</x:v>
      </x:c>
      <x:c r="AL972" s="9" t="n">
        <x:v>13</x:v>
      </x:c>
      <x:c r="AM972" s="9" t="n">
        <x:v>13</x:v>
      </x:c>
      <x:c r="AN972" s="9" t="n">
        <x:v>0</x:v>
      </x:c>
    </x:row>
    <x:row r="973" ht="60" customHeight="1">
      <x:c r="A973" s="9" t="str">
        <x:v>jqNiC9NDBb8</x:v>
      </x:c>
      <x:c r="B973" s="10" t="str">
        <x:v>שקשוקה | פרק 14 - המשחק של אפי</x:v>
      </x:c>
      <x:c r="C973" s="10" t="str">
        <x:v>Семейные сериалы</x:v>
      </x:c>
      <x:c r="D973" s="9" t="str">
        <x:v>Сериал</x:v>
      </x:c>
      <x:c r="E973" s="10" t="str">
        <x:v>Родители; школа; начинающие с опорой</x:v>
      </x:c>
      <x:c r="F973" s="10" t="str">
        <x:v>A2–B1 (гипотеза)</x:v>
      </x:c>
      <x:c r="G973" s="12" t="n">
        <x:v>23.2</x:v>
      </x:c>
      <x:c r="H973" s="14" t="n">
        <x:v>4680395</x:v>
      </x:c>
      <x:c r="I973" s="15" t="str">
        <x:v>Точный счётчик метаданных видео</x:v>
      </x:c>
      <x:c r="J973" s="14" t="n">
        <x:v>4600000</x:v>
      </x:c>
      <x:c r="K973" s="14" t="n">
        <x:v>3550000</x:v>
      </x:c>
      <x:c r="L973" s="12" t="n">
        <x:f>IF(COUNT(J973:K973)=2,IF(K973=0,"",J973/K973),"")</x:f>
        <x:v>1.295774647887324</x:v>
      </x:c>
      <x:c r="M973" s="10" t="str">
        <x:v>Эпизод 14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73" s="10" t="str">
        <x:v>Назвать проблему героя и предложить решение короткими фразами.</x:v>
      </x:c>
      <x:c r="O973" s="10" t="str">
        <x:v>Проверить темы и возрастную уместность</x:v>
      </x:c>
      <x:c r="P973" s="10" t="str">
        <x:v>Полная серия — кандидат</x:v>
      </x:c>
      <x:c r="Q973" s="9" t="str">
        <x:v>Нет</x:v>
      </x:c>
      <x:c r="R973" s="9" t="str">
        <x:v>C054</x:v>
      </x:c>
      <x:c r="S973" s="9" t="str">
        <x:v>C054</x:v>
      </x:c>
      <x:c r="T973" s="10" t="str">
        <x:v>כאן חינוכית</x:v>
      </x:c>
      <x:c r="U973" s="11" t="str">
        <x:v>https://www.youtube.com/watch?v=jqNiC9NDBb8</x:v>
      </x:c>
      <x:c r="V973" s="16" t="n">
        <x:v>46308</x:v>
      </x:c>
      <x:c r="W973" s="16" t="n">
        <x:v>44284</x:v>
      </x:c>
      <x:c r="X973" s="10" t="str">
        <x:v>Иврит предполагается по заголовку и источнику</x:v>
      </x:c>
      <x:c r="Y973" s="10" t="str">
        <x:v>Дорожка HE не найдена в метаданных; вшитые титры не проверены</x:v>
      </x:c>
      <x:c r="Z973" s="10" t="str">
        <x:v>Разрешено по метаданным</x:v>
      </x:c>
      <x:c r="AA973" s="10" t="str">
        <x:v>Метаданные видео; воспроизведение и содержание не проверены</x:v>
      </x:c>
      <x:c r="AB973" s="13" t="n">
        <x:f>IF(AND(ISNUMBER(H973),ISNUMBER(W973)),H973/MAX(1,'Обзор'!$B$4-W973),"")</x:f>
        <x:v>2312.4481225296445</x:v>
      </x:c>
      <x:c r="AC973" s="17" t="str">
        <x:v>Не решено</x:v>
      </x:c>
      <x:c r="AD973" s="17" t="str">
        <x:v>Не проверено</x:v>
      </x:c>
      <x:c r="AE973" s="17" t="str">
        <x:v>Не проверено</x:v>
      </x:c>
      <x:c r="AF973" s="17" t="str">
        <x:v>Не проверено</x:v>
      </x:c>
      <x:c r="AG973" s="17" t="str">
        <x:v>Не решено</x:v>
      </x:c>
      <x:c r="AH973" s="17" t="str">
        <x:v>Не проверено</x:v>
      </x:c>
      <x:c r="AI973" s="10" t="str">
        <x:f>IF(AC973="Отклонить","Отклонено",IF(AND(AC973="Взять",COUNTIFS(AD973:AH973,"Да")=5),"Готово","Нужна редактура"))</x:f>
        <x:v>Нужна редактура</x:v>
      </x:c>
      <x:c r="AJ973" s="17" t="str"/>
      <x:c r="AK973" s="9" t="str">
        <x:v>https://www.youtube.com/playlist?list=PL51YAgTlfPj7TEDHrgqF6bz4wmNJ6BmNU</x:v>
      </x:c>
      <x:c r="AL973" s="9" t="n">
        <x:v>14</x:v>
      </x:c>
      <x:c r="AM973" s="9" t="n">
        <x:v>14</x:v>
      </x:c>
      <x:c r="AN973" s="9" t="n">
        <x:v>0</x:v>
      </x:c>
    </x:row>
    <x:row r="974" ht="60" customHeight="1">
      <x:c r="A974" s="9" t="str">
        <x:v>VNTgqK_1k_Y</x:v>
      </x:c>
      <x:c r="B974" s="10" t="str">
        <x:v>שקשוקה | פרק 15 - טיול שנתי</x:v>
      </x:c>
      <x:c r="C974" s="10" t="str">
        <x:v>Семейные сериалы</x:v>
      </x:c>
      <x:c r="D974" s="9" t="str">
        <x:v>Сериал</x:v>
      </x:c>
      <x:c r="E974" s="10" t="str">
        <x:v>Родители; школа; начинающие с опорой</x:v>
      </x:c>
      <x:c r="F974" s="10" t="str">
        <x:v>A2–B1 (гипотеза)</x:v>
      </x:c>
      <x:c r="G974" s="12" t="n">
        <x:v>22.1</x:v>
      </x:c>
      <x:c r="H974" s="14" t="n">
        <x:v>4660587</x:v>
      </x:c>
      <x:c r="I974" s="15" t="str">
        <x:v>Точный счётчик метаданных видео</x:v>
      </x:c>
      <x:c r="J974" s="14" t="n">
        <x:v>4600000</x:v>
      </x:c>
      <x:c r="K974" s="14" t="n">
        <x:v>3550000</x:v>
      </x:c>
      <x:c r="L974" s="12" t="n">
        <x:f>IF(COUNT(J974:K974)=2,IF(K974=0,"",J974/K974),"")</x:f>
        <x:v>1.295774647887324</x:v>
      </x:c>
      <x:c r="M974" s="10" t="str">
        <x:v>Эпизод 15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74" s="10" t="str">
        <x:v>Назвать проблему героя и предложить решение короткими фразами.</x:v>
      </x:c>
      <x:c r="O974" s="10" t="str">
        <x:v>Проверить темы и возрастную уместность</x:v>
      </x:c>
      <x:c r="P974" s="10" t="str">
        <x:v>Полная серия — кандидат</x:v>
      </x:c>
      <x:c r="Q974" s="9" t="str">
        <x:v>Нет</x:v>
      </x:c>
      <x:c r="R974" s="9" t="str">
        <x:v>C054</x:v>
      </x:c>
      <x:c r="S974" s="9" t="str">
        <x:v>C054</x:v>
      </x:c>
      <x:c r="T974" s="10" t="str">
        <x:v>כאן חינוכית</x:v>
      </x:c>
      <x:c r="U974" s="11" t="str">
        <x:v>https://www.youtube.com/watch?v=VNTgqK_1k_Y</x:v>
      </x:c>
      <x:c r="V974" s="16" t="n">
        <x:v>46308</x:v>
      </x:c>
      <x:c r="W974" s="16" t="n">
        <x:v>44285</x:v>
      </x:c>
      <x:c r="X974" s="10" t="str">
        <x:v>Иврит предполагается по заголовку и источнику</x:v>
      </x:c>
      <x:c r="Y974" s="10" t="str">
        <x:v>Дорожка HE не найдена в метаданных; вшитые титры не проверены</x:v>
      </x:c>
      <x:c r="Z974" s="10" t="str">
        <x:v>Разрешено по метаданным</x:v>
      </x:c>
      <x:c r="AA974" s="10" t="str">
        <x:v>Метаданные видео; воспроизведение и содержание не проверены</x:v>
      </x:c>
      <x:c r="AB974" s="13" t="n">
        <x:f>IF(AND(ISNUMBER(H974),ISNUMBER(W974)),H974/MAX(1,'Обзор'!$B$4-W974),"")</x:f>
        <x:v>2303.7998022738507</x:v>
      </x:c>
      <x:c r="AC974" s="17" t="str">
        <x:v>Не решено</x:v>
      </x:c>
      <x:c r="AD974" s="17" t="str">
        <x:v>Не проверено</x:v>
      </x:c>
      <x:c r="AE974" s="17" t="str">
        <x:v>Не проверено</x:v>
      </x:c>
      <x:c r="AF974" s="17" t="str">
        <x:v>Не проверено</x:v>
      </x:c>
      <x:c r="AG974" s="17" t="str">
        <x:v>Не решено</x:v>
      </x:c>
      <x:c r="AH974" s="17" t="str">
        <x:v>Не проверено</x:v>
      </x:c>
      <x:c r="AI974" s="10" t="str">
        <x:f>IF(AC974="Отклонить","Отклонено",IF(AND(AC974="Взять",COUNTIFS(AD974:AH974,"Да")=5),"Готово","Нужна редактура"))</x:f>
        <x:v>Нужна редактура</x:v>
      </x:c>
      <x:c r="AJ974" s="17" t="str"/>
      <x:c r="AK974" s="9" t="str">
        <x:v>https://www.youtube.com/playlist?list=PL51YAgTlfPj7TEDHrgqF6bz4wmNJ6BmNU</x:v>
      </x:c>
      <x:c r="AL974" s="9" t="n">
        <x:v>15</x:v>
      </x:c>
      <x:c r="AM974" s="9" t="n">
        <x:v>15</x:v>
      </x:c>
      <x:c r="AN974" s="9" t="n">
        <x:v>0</x:v>
      </x:c>
    </x:row>
    <x:row r="975" ht="60" customHeight="1">
      <x:c r="A975" s="9" t="str">
        <x:v>IaaDeIgR3OI</x:v>
      </x:c>
      <x:c r="B975" s="10" t="str">
        <x:v>שקשוקה | פרק 16 - לאמץ את בנג'י</x:v>
      </x:c>
      <x:c r="C975" s="10" t="str">
        <x:v>Семейные сериалы</x:v>
      </x:c>
      <x:c r="D975" s="9" t="str">
        <x:v>Сериал</x:v>
      </x:c>
      <x:c r="E975" s="10" t="str">
        <x:v>Родители; школа; начинающие с опорой</x:v>
      </x:c>
      <x:c r="F975" s="10" t="str">
        <x:v>A2–B1 (гипотеза)</x:v>
      </x:c>
      <x:c r="G975" s="12" t="n">
        <x:v>22.2</x:v>
      </x:c>
      <x:c r="H975" s="14" t="n">
        <x:v>3239365</x:v>
      </x:c>
      <x:c r="I975" s="15" t="str">
        <x:v>Точный счётчик метаданных видео</x:v>
      </x:c>
      <x:c r="J975" s="14" t="n">
        <x:v>3200000</x:v>
      </x:c>
      <x:c r="K975" s="14" t="n">
        <x:v>3550000</x:v>
      </x:c>
      <x:c r="L975" s="12" t="n">
        <x:f>IF(COUNT(J975:K975)=2,IF(K975=0,"",J975/K975),"")</x:f>
        <x:v>0.9014084507042254</x:v>
      </x:c>
      <x:c r="M975" s="10" t="str">
        <x:v>Эпизод 16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75" s="10" t="str">
        <x:v>Назвать проблему героя и предложить решение короткими фразами.</x:v>
      </x:c>
      <x:c r="O975" s="10" t="str">
        <x:v>Проверить темы и возрастную уместность</x:v>
      </x:c>
      <x:c r="P975" s="10" t="str">
        <x:v>Полная серия — кандидат</x:v>
      </x:c>
      <x:c r="Q975" s="9" t="str">
        <x:v>Нет</x:v>
      </x:c>
      <x:c r="R975" s="9" t="str">
        <x:v>C054</x:v>
      </x:c>
      <x:c r="S975" s="9" t="str">
        <x:v>C054</x:v>
      </x:c>
      <x:c r="T975" s="10" t="str">
        <x:v>כאן חינוכית</x:v>
      </x:c>
      <x:c r="U975" s="11" t="str">
        <x:v>https://www.youtube.com/watch?v=IaaDeIgR3OI</x:v>
      </x:c>
      <x:c r="V975" s="16" t="n">
        <x:v>46308</x:v>
      </x:c>
      <x:c r="W975" s="16" t="n">
        <x:v>44286</x:v>
      </x:c>
      <x:c r="X975" s="10" t="str">
        <x:v>Иврит предполагается по заголовку и источнику</x:v>
      </x:c>
      <x:c r="Y975" s="10" t="str">
        <x:v>Дорожка HE не найдена в метаданных; вшитые титры не проверены</x:v>
      </x:c>
      <x:c r="Z975" s="10" t="str">
        <x:v>Разрешено по метаданным</x:v>
      </x:c>
      <x:c r="AA975" s="10" t="str">
        <x:v>Метаданные видео; воспроизведение и содержание не проверены</x:v>
      </x:c>
      <x:c r="AB975" s="13" t="n">
        <x:f>IF(AND(ISNUMBER(H975),ISNUMBER(W975)),H975/MAX(1,'Обзор'!$B$4-W975),"")</x:f>
        <x:v>1602.0598417408507</x:v>
      </x:c>
      <x:c r="AC975" s="17" t="str">
        <x:v>Не решено</x:v>
      </x:c>
      <x:c r="AD975" s="17" t="str">
        <x:v>Не проверено</x:v>
      </x:c>
      <x:c r="AE975" s="17" t="str">
        <x:v>Не проверено</x:v>
      </x:c>
      <x:c r="AF975" s="17" t="str">
        <x:v>Не проверено</x:v>
      </x:c>
      <x:c r="AG975" s="17" t="str">
        <x:v>Не решено</x:v>
      </x:c>
      <x:c r="AH975" s="17" t="str">
        <x:v>Не проверено</x:v>
      </x:c>
      <x:c r="AI975" s="10" t="str">
        <x:f>IF(AC975="Отклонить","Отклонено",IF(AND(AC975="Взять",COUNTIFS(AD975:AH975,"Да")=5),"Готово","Нужна редактура"))</x:f>
        <x:v>Нужна редактура</x:v>
      </x:c>
      <x:c r="AJ975" s="17" t="str"/>
      <x:c r="AK975" s="9" t="str">
        <x:v>https://www.youtube.com/playlist?list=PL51YAgTlfPj7TEDHrgqF6bz4wmNJ6BmNU</x:v>
      </x:c>
      <x:c r="AL975" s="9" t="n">
        <x:v>16</x:v>
      </x:c>
      <x:c r="AM975" s="9" t="n">
        <x:v>16</x:v>
      </x:c>
      <x:c r="AN975" s="9" t="n">
        <x:v>0</x:v>
      </x:c>
    </x:row>
    <x:row r="976" ht="60" customHeight="1">
      <x:c r="A976" s="9" t="str">
        <x:v>9_sd904eSmY</x:v>
      </x:c>
      <x:c r="B976" s="10" t="str">
        <x:v>שקשוקה | פרק 17 - דעות קדומות</x:v>
      </x:c>
      <x:c r="C976" s="10" t="str">
        <x:v>Семейные сериалы</x:v>
      </x:c>
      <x:c r="D976" s="9" t="str">
        <x:v>Сериал</x:v>
      </x:c>
      <x:c r="E976" s="10" t="str">
        <x:v>Родители; школа; начинающие с опорой</x:v>
      </x:c>
      <x:c r="F976" s="10" t="str">
        <x:v>A2–B1 (гипотеза)</x:v>
      </x:c>
      <x:c r="G976" s="12" t="n">
        <x:v>21.7</x:v>
      </x:c>
      <x:c r="H976" s="14" t="n">
        <x:v>3060807</x:v>
      </x:c>
      <x:c r="I976" s="15" t="str">
        <x:v>Точный счётчик метаданных видео</x:v>
      </x:c>
      <x:c r="J976" s="14" t="n">
        <x:v>3000000</x:v>
      </x:c>
      <x:c r="K976" s="14" t="n">
        <x:v>3550000</x:v>
      </x:c>
      <x:c r="L976" s="12" t="n">
        <x:f>IF(COUNT(J976:K976)=2,IF(K976=0,"",J976/K976),"")</x:f>
        <x:v>0.8450704225352113</x:v>
      </x:c>
      <x:c r="M976" s="10" t="str">
        <x:v>Эпизод 17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76" s="10" t="str">
        <x:v>Назвать проблему героя и предложить решение короткими фразами.</x:v>
      </x:c>
      <x:c r="O976" s="10" t="str">
        <x:v>Проверить темы и возрастную уместность</x:v>
      </x:c>
      <x:c r="P976" s="10" t="str">
        <x:v>Полная серия — кандидат</x:v>
      </x:c>
      <x:c r="Q976" s="9" t="str">
        <x:v>Нет</x:v>
      </x:c>
      <x:c r="R976" s="9" t="str">
        <x:v>C054</x:v>
      </x:c>
      <x:c r="S976" s="9" t="str">
        <x:v>C054</x:v>
      </x:c>
      <x:c r="T976" s="10" t="str">
        <x:v>כאן חינוכית</x:v>
      </x:c>
      <x:c r="U976" s="11" t="str">
        <x:v>https://www.youtube.com/watch?v=9_sd904eSmY</x:v>
      </x:c>
      <x:c r="V976" s="16" t="n">
        <x:v>46308</x:v>
      </x:c>
      <x:c r="W976" s="16" t="n">
        <x:v>44290</x:v>
      </x:c>
      <x:c r="X976" s="10" t="str">
        <x:v>Иврит предполагается по заголовку и источнику</x:v>
      </x:c>
      <x:c r="Y976" s="10" t="str">
        <x:v>Дорожка HE не найдена в метаданных; вшитые титры не проверены</x:v>
      </x:c>
      <x:c r="Z976" s="10" t="str">
        <x:v>Разрешено по метаданным</x:v>
      </x:c>
      <x:c r="AA976" s="10" t="str">
        <x:v>Метаданные видео; воспроизведение и содержание не проверены</x:v>
      </x:c>
      <x:c r="AB976" s="13" t="n">
        <x:f>IF(AND(ISNUMBER(H976),ISNUMBER(W976)),H976/MAX(1,'Обзор'!$B$4-W976),"")</x:f>
        <x:v>1516.7527254707632</x:v>
      </x:c>
      <x:c r="AC976" s="17" t="str">
        <x:v>Не решено</x:v>
      </x:c>
      <x:c r="AD976" s="17" t="str">
        <x:v>Не проверено</x:v>
      </x:c>
      <x:c r="AE976" s="17" t="str">
        <x:v>Не проверено</x:v>
      </x:c>
      <x:c r="AF976" s="17" t="str">
        <x:v>Не проверено</x:v>
      </x:c>
      <x:c r="AG976" s="17" t="str">
        <x:v>Не решено</x:v>
      </x:c>
      <x:c r="AH976" s="17" t="str">
        <x:v>Не проверено</x:v>
      </x:c>
      <x:c r="AI976" s="10" t="str">
        <x:f>IF(AC976="Отклонить","Отклонено",IF(AND(AC976="Взять",COUNTIFS(AD976:AH976,"Да")=5),"Готово","Нужна редактура"))</x:f>
        <x:v>Нужна редактура</x:v>
      </x:c>
      <x:c r="AJ976" s="17" t="str"/>
      <x:c r="AK976" s="9" t="str">
        <x:v>https://www.youtube.com/playlist?list=PL51YAgTlfPj7TEDHrgqF6bz4wmNJ6BmNU</x:v>
      </x:c>
      <x:c r="AL976" s="9" t="n">
        <x:v>17</x:v>
      </x:c>
      <x:c r="AM976" s="9" t="n">
        <x:v>17</x:v>
      </x:c>
      <x:c r="AN976" s="9" t="n">
        <x:v>0</x:v>
      </x:c>
    </x:row>
    <x:row r="977" ht="60" customHeight="1">
      <x:c r="A977" s="9" t="str">
        <x:v>BE5VhWOmn_g</x:v>
      </x:c>
      <x:c r="B977" s="10" t="str">
        <x:v>שקשוקה | פרק 18 - הלהקה</x:v>
      </x:c>
      <x:c r="C977" s="10" t="str">
        <x:v>Семейные сериалы</x:v>
      </x:c>
      <x:c r="D977" s="9" t="str">
        <x:v>Сериал</x:v>
      </x:c>
      <x:c r="E977" s="10" t="str">
        <x:v>Родители; школа; начинающие с опорой</x:v>
      </x:c>
      <x:c r="F977" s="10" t="str">
        <x:v>A2–B1 (гипотеза)</x:v>
      </x:c>
      <x:c r="G977" s="12" t="n">
        <x:v>23.2</x:v>
      </x:c>
      <x:c r="H977" s="14" t="n">
        <x:v>2840364</x:v>
      </x:c>
      <x:c r="I977" s="15" t="str">
        <x:v>Точный счётчик метаданных видео</x:v>
      </x:c>
      <x:c r="J977" s="14" t="n">
        <x:v>2800000</x:v>
      </x:c>
      <x:c r="K977" s="14" t="n">
        <x:v>3550000</x:v>
      </x:c>
      <x:c r="L977" s="12" t="n">
        <x:f>IF(COUNT(J977:K977)=2,IF(K977=0,"",J977/K977),"")</x:f>
        <x:v>0.7887323943661971</x:v>
      </x:c>
      <x:c r="M977" s="10" t="str">
        <x:v>Эпизод 18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77" s="10" t="str">
        <x:v>Назвать проблему героя и предложить решение короткими фразами.</x:v>
      </x:c>
      <x:c r="O977" s="10" t="str">
        <x:v>Проверить темы и возрастную уместность</x:v>
      </x:c>
      <x:c r="P977" s="10" t="str">
        <x:v>Полная серия — кандидат</x:v>
      </x:c>
      <x:c r="Q977" s="9" t="str">
        <x:v>Нет</x:v>
      </x:c>
      <x:c r="R977" s="9" t="str">
        <x:v>C054</x:v>
      </x:c>
      <x:c r="S977" s="9" t="str">
        <x:v>C054</x:v>
      </x:c>
      <x:c r="T977" s="10" t="str">
        <x:v>כאן חינוכית</x:v>
      </x:c>
      <x:c r="U977" s="11" t="str">
        <x:v>https://www.youtube.com/watch?v=BE5VhWOmn_g</x:v>
      </x:c>
      <x:c r="V977" s="16" t="n">
        <x:v>46308</x:v>
      </x:c>
      <x:c r="W977" s="16" t="n">
        <x:v>44291</x:v>
      </x:c>
      <x:c r="X977" s="10" t="str">
        <x:v>Иврит предполагается по заголовку и источнику</x:v>
      </x:c>
      <x:c r="Y977" s="10" t="str">
        <x:v>Дорожка HE не найдена в метаданных; вшитые титры не проверены</x:v>
      </x:c>
      <x:c r="Z977" s="10" t="str">
        <x:v>Разрешено по метаданным</x:v>
      </x:c>
      <x:c r="AA977" s="10" t="str">
        <x:v>Метаданные видео; воспроизведение и содержание не проверены</x:v>
      </x:c>
      <x:c r="AB977" s="13" t="n">
        <x:f>IF(AND(ISNUMBER(H977),ISNUMBER(W977)),H977/MAX(1,'Обзор'!$B$4-W977),"")</x:f>
        <x:v>1408.212196331185</x:v>
      </x:c>
      <x:c r="AC977" s="17" t="str">
        <x:v>Не решено</x:v>
      </x:c>
      <x:c r="AD977" s="17" t="str">
        <x:v>Не проверено</x:v>
      </x:c>
      <x:c r="AE977" s="17" t="str">
        <x:v>Не проверено</x:v>
      </x:c>
      <x:c r="AF977" s="17" t="str">
        <x:v>Не проверено</x:v>
      </x:c>
      <x:c r="AG977" s="17" t="str">
        <x:v>Не решено</x:v>
      </x:c>
      <x:c r="AH977" s="17" t="str">
        <x:v>Не проверено</x:v>
      </x:c>
      <x:c r="AI977" s="10" t="str">
        <x:f>IF(AC977="Отклонить","Отклонено",IF(AND(AC977="Взять",COUNTIFS(AD977:AH977,"Да")=5),"Готово","Нужна редактура"))</x:f>
        <x:v>Нужна редактура</x:v>
      </x:c>
      <x:c r="AJ977" s="17" t="str"/>
      <x:c r="AK977" s="9" t="str">
        <x:v>https://www.youtube.com/playlist?list=PL51YAgTlfPj7TEDHrgqF6bz4wmNJ6BmNU</x:v>
      </x:c>
      <x:c r="AL977" s="9" t="n">
        <x:v>18</x:v>
      </x:c>
      <x:c r="AM977" s="9" t="n">
        <x:v>18</x:v>
      </x:c>
      <x:c r="AN977" s="9" t="n">
        <x:v>0</x:v>
      </x:c>
    </x:row>
    <x:row r="978" ht="60" customHeight="1">
      <x:c r="A978" s="9" t="str">
        <x:v>zb1CQFp7dNw</x:v>
      </x:c>
      <x:c r="B978" s="10" t="str">
        <x:v>שקשוקה | פרק 19 - לצאת מהמסך</x:v>
      </x:c>
      <x:c r="C978" s="10" t="str">
        <x:v>Семейные сериалы</x:v>
      </x:c>
      <x:c r="D978" s="9" t="str">
        <x:v>Сериал</x:v>
      </x:c>
      <x:c r="E978" s="10" t="str">
        <x:v>Родители; школа; начинающие с опорой</x:v>
      </x:c>
      <x:c r="F978" s="10" t="str">
        <x:v>A2–B1 (гипотеза)</x:v>
      </x:c>
      <x:c r="G978" s="12" t="n">
        <x:v>23.4</x:v>
      </x:c>
      <x:c r="H978" s="14" t="n">
        <x:v>4011836</x:v>
      </x:c>
      <x:c r="I978" s="15" t="str">
        <x:v>Точный счётчик метаданных видео</x:v>
      </x:c>
      <x:c r="J978" s="14" t="n">
        <x:v>4000000</x:v>
      </x:c>
      <x:c r="K978" s="14" t="n">
        <x:v>3550000</x:v>
      </x:c>
      <x:c r="L978" s="12" t="n">
        <x:f>IF(COUNT(J978:K978)=2,IF(K978=0,"",J978/K978),"")</x:f>
        <x:v>1.1267605633802817</x:v>
      </x:c>
      <x:c r="M978" s="10" t="str">
        <x:v>Эпизод 19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78" s="10" t="str">
        <x:v>Назвать проблему героя и предложить решение короткими фразами.</x:v>
      </x:c>
      <x:c r="O978" s="10" t="str">
        <x:v>Проверить темы и возрастную уместность</x:v>
      </x:c>
      <x:c r="P978" s="10" t="str">
        <x:v>Полная серия — кандидат</x:v>
      </x:c>
      <x:c r="Q978" s="9" t="str">
        <x:v>Нет</x:v>
      </x:c>
      <x:c r="R978" s="9" t="str">
        <x:v>C054</x:v>
      </x:c>
      <x:c r="S978" s="9" t="str">
        <x:v>C054</x:v>
      </x:c>
      <x:c r="T978" s="10" t="str">
        <x:v>כאן חינוכית</x:v>
      </x:c>
      <x:c r="U978" s="11" t="str">
        <x:v>https://www.youtube.com/watch?v=zb1CQFp7dNw</x:v>
      </x:c>
      <x:c r="V978" s="16" t="n">
        <x:v>46308</x:v>
      </x:c>
      <x:c r="W978" s="16" t="n">
        <x:v>44292</x:v>
      </x:c>
      <x:c r="X978" s="10" t="str">
        <x:v>Иврит предполагается по заголовку и источнику</x:v>
      </x:c>
      <x:c r="Y978" s="10" t="str">
        <x:v>Дорожка HE не найдена в метаданных; вшитые титры не проверены</x:v>
      </x:c>
      <x:c r="Z978" s="10" t="str">
        <x:v>Разрешено по метаданным</x:v>
      </x:c>
      <x:c r="AA978" s="10" t="str">
        <x:v>Метаданные видео; воспроизведение и содержание не проверены</x:v>
      </x:c>
      <x:c r="AB978" s="13" t="n">
        <x:f>IF(AND(ISNUMBER(H978),ISNUMBER(W978)),H978/MAX(1,'Обзор'!$B$4-W978),"")</x:f>
        <x:v>1989.998015873016</x:v>
      </x:c>
      <x:c r="AC978" s="17" t="str">
        <x:v>Не решено</x:v>
      </x:c>
      <x:c r="AD978" s="17" t="str">
        <x:v>Не проверено</x:v>
      </x:c>
      <x:c r="AE978" s="17" t="str">
        <x:v>Не проверено</x:v>
      </x:c>
      <x:c r="AF978" s="17" t="str">
        <x:v>Не проверено</x:v>
      </x:c>
      <x:c r="AG978" s="17" t="str">
        <x:v>Не решено</x:v>
      </x:c>
      <x:c r="AH978" s="17" t="str">
        <x:v>Не проверено</x:v>
      </x:c>
      <x:c r="AI978" s="10" t="str">
        <x:f>IF(AC978="Отклонить","Отклонено",IF(AND(AC978="Взять",COUNTIFS(AD978:AH978,"Да")=5),"Готово","Нужна редактура"))</x:f>
        <x:v>Нужна редактура</x:v>
      </x:c>
      <x:c r="AJ978" s="17" t="str"/>
      <x:c r="AK978" s="9" t="str">
        <x:v>https://www.youtube.com/playlist?list=PL51YAgTlfPj7TEDHrgqF6bz4wmNJ6BmNU</x:v>
      </x:c>
      <x:c r="AL978" s="9" t="n">
        <x:v>19</x:v>
      </x:c>
      <x:c r="AM978" s="9" t="n">
        <x:v>19</x:v>
      </x:c>
      <x:c r="AN978" s="9" t="n">
        <x:v>0</x:v>
      </x:c>
    </x:row>
    <x:row r="979" ht="60" customHeight="1">
      <x:c r="A979" s="9" t="str">
        <x:v>cA_YxjrsybE</x:v>
      </x:c>
      <x:c r="B979" s="10" t="str">
        <x:v>שקשוקה | פרק 20 - גיבורת על | פרק סיום העונה 💥</x:v>
      </x:c>
      <x:c r="C979" s="10" t="str">
        <x:v>Семейные сериалы</x:v>
      </x:c>
      <x:c r="D979" s="9" t="str">
        <x:v>Сериал</x:v>
      </x:c>
      <x:c r="E979" s="10" t="str">
        <x:v>Родители; школа; начинающие с опорой</x:v>
      </x:c>
      <x:c r="F979" s="10" t="str">
        <x:v>A2–B1 (гипотеза)</x:v>
      </x:c>
      <x:c r="G979" s="12" t="n">
        <x:v>23</x:v>
      </x:c>
      <x:c r="H979" s="14" t="n">
        <x:v>3595047</x:v>
      </x:c>
      <x:c r="I979" s="15" t="str">
        <x:v>Точный счётчик метаданных видео</x:v>
      </x:c>
      <x:c r="J979" s="14" t="n">
        <x:v>3500000</x:v>
      </x:c>
      <x:c r="K979" s="14" t="n">
        <x:v>3550000</x:v>
      </x:c>
      <x:c r="L979" s="12" t="n">
        <x:f>IF(COUNT(J979:K979)=2,IF(K979=0,"",J979/K979),"")</x:f>
        <x:v>0.9859154929577465</x:v>
      </x:c>
      <x:c r="M979" s="10" t="str">
        <x:v>Эпизод 20 в знакомой сюжетной ветке. Школьные и семейные ситуации полезны семьям репатриантов. Повторяющаяся лексика поддерживает постепенное освоение.</x:v>
      </x:c>
      <x:c r="N979" s="10" t="str">
        <x:v>Назвать проблему героя и предложить решение короткими фразами.</x:v>
      </x:c>
      <x:c r="O979" s="10" t="str">
        <x:v>Проверить темы и возрастную уместность</x:v>
      </x:c>
      <x:c r="P979" s="10" t="str">
        <x:v>Полная серия — кандидат</x:v>
      </x:c>
      <x:c r="Q979" s="9" t="str">
        <x:v>Нет</x:v>
      </x:c>
      <x:c r="R979" s="9" t="str">
        <x:v>C054</x:v>
      </x:c>
      <x:c r="S979" s="9" t="str">
        <x:v>C054</x:v>
      </x:c>
      <x:c r="T979" s="10" t="str">
        <x:v>כאן חינוכית</x:v>
      </x:c>
      <x:c r="U979" s="11" t="str">
        <x:v>https://www.youtube.com/watch?v=cA_YxjrsybE</x:v>
      </x:c>
      <x:c r="V979" s="16" t="n">
        <x:v>46308</x:v>
      </x:c>
      <x:c r="W979" s="16" t="n">
        <x:v>44293</x:v>
      </x:c>
      <x:c r="X979" s="10" t="str">
        <x:v>Иврит предполагается по заголовку и источнику</x:v>
      </x:c>
      <x:c r="Y979" s="10" t="str">
        <x:v>Дорожка HE не найдена в метаданных; вшитые титры не проверены</x:v>
      </x:c>
      <x:c r="Z979" s="10" t="str">
        <x:v>Разрешено по метаданным</x:v>
      </x:c>
      <x:c r="AA979" s="10" t="str">
        <x:v>Метаданные видео; воспроизведение и содержание не проверены</x:v>
      </x:c>
      <x:c r="AB979" s="13" t="n">
        <x:f>IF(AND(ISNUMBER(H979),ISNUMBER(W979)),H979/MAX(1,'Обзор'!$B$4-W979),"")</x:f>
        <x:v>1784.1424317617866</x:v>
      </x:c>
      <x:c r="AC979" s="17" t="str">
        <x:v>Не решено</x:v>
      </x:c>
      <x:c r="AD979" s="17" t="str">
        <x:v>Не проверено</x:v>
      </x:c>
      <x:c r="AE979" s="17" t="str">
        <x:v>Не проверено</x:v>
      </x:c>
      <x:c r="AF979" s="17" t="str">
        <x:v>Не проверено</x:v>
      </x:c>
      <x:c r="AG979" s="17" t="str">
        <x:v>Не решено</x:v>
      </x:c>
      <x:c r="AH979" s="17" t="str">
        <x:v>Не проверено</x:v>
      </x:c>
      <x:c r="AI979" s="10" t="str">
        <x:f>IF(AC979="Отклонить","Отклонено",IF(AND(AC979="Взять",COUNTIFS(AD979:AH979,"Да")=5),"Готово","Нужна редактура"))</x:f>
        <x:v>Нужна редактура</x:v>
      </x:c>
      <x:c r="AJ979" s="17" t="str"/>
      <x:c r="AK979" s="9" t="str">
        <x:v>https://www.youtube.com/playlist?list=PL51YAgTlfPj7TEDHrgqF6bz4wmNJ6BmNU</x:v>
      </x:c>
      <x:c r="AL979" s="9" t="n">
        <x:v>20</x:v>
      </x:c>
      <x:c r="AM979" s="9" t="n">
        <x:v>20</x:v>
      </x:c>
      <x:c r="AN979" s="9" t="n">
        <x:v>0</x:v>
      </x:c>
    </x:row>
    <x:row r="980" ht="60" customHeight="1">
      <x:c r="A980" s="9" t="str">
        <x:v>JGn8DY1voE4</x:v>
      </x:c>
      <x:c r="B980" s="10" t="str">
        <x:v>80 סיבות לעבור לאפיק 80 | סיבה מספר 6</x:v>
      </x:c>
      <x:c r="C980" s="10" t="str">
        <x:v>Семейные сериалы</x:v>
      </x:c>
      <x:c r="D980" s="9" t="str">
        <x:v>Сериал</x:v>
      </x:c>
      <x:c r="E980" s="10" t="str">
        <x:v>Родители; школа; начинающие с опорой</x:v>
      </x:c>
      <x:c r="F980" s="10" t="str">
        <x:v>A2–B1 (гипотеза)</x:v>
      </x:c>
      <x:c r="G980" s="12" t="n">
        <x:v>0.4</x:v>
      </x:c>
      <x:c r="H980" s="14" t="n">
        <x:v>93000</x:v>
      </x:c>
      <x:c r="I980" s="15" t="str">
        <x:v>Округлённый счётчик в списке YouTube</x:v>
      </x:c>
      <x:c r="J980" s="14" t="n">
        <x:v>93000</x:v>
      </x:c>
      <x:c r="K980" s="14" t="n">
        <x:v>3550000</x:v>
      </x:c>
      <x:c r="L980" s="12" t="n">
        <x:f>IF(COUNT(J980:K980)=2,IF(K980=0,"",J980/K980),"")</x:f>
        <x:v>0.02619718309859155</x:v>
      </x:c>
      <x:c r="M980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80" s="10" t="str">
        <x:v>Назвать проблему героя и предложить решение короткими фразами.</x:v>
      </x:c>
      <x:c r="O980" s="10" t="str">
        <x:v>Проверить темы и возрастную уместность</x:v>
      </x:c>
      <x:c r="P980" s="10" t="str">
        <x:v>Фрагмент сериала</x:v>
      </x:c>
      <x:c r="Q980" s="9" t="str">
        <x:v>Нет</x:v>
      </x:c>
      <x:c r="R980" s="9" t="str">
        <x:v>C054</x:v>
      </x:c>
      <x:c r="S980" s="9" t="str">
        <x:v>C054</x:v>
      </x:c>
      <x:c r="T980" s="10" t="str">
        <x:v>כאן חינוכית</x:v>
      </x:c>
      <x:c r="U980" s="11" t="str">
        <x:v>https://www.youtube.com/watch?v=JGn8DY1voE4</x:v>
      </x:c>
      <x:c r="V980" s="16" t="n">
        <x:v>46308</x:v>
      </x:c>
      <x:c r="W980" s="16"/>
      <x:c r="X980" s="10" t="str">
        <x:v>Иврит предполагается по заголовку и источнику</x:v>
      </x:c>
      <x:c r="Y980" s="10" t="str">
        <x:v>Не проверено</x:v>
      </x:c>
      <x:c r="Z980" s="10" t="str">
        <x:v>Не проверено</x:v>
      </x:c>
      <x:c r="AA980" s="10" t="str">
        <x:v>Метаданные списка; видео не просмотрено</x:v>
      </x:c>
      <x:c r="AB980" s="13" t="str">
        <x:f>IF(AND(ISNUMBER(H980),ISNUMBER(W980)),H980/MAX(1,'Обзор'!$B$4-W980),"")</x:f>
      </x:c>
      <x:c r="AC980" s="17" t="str">
        <x:v>Не решено</x:v>
      </x:c>
      <x:c r="AD980" s="17" t="str">
        <x:v>Не проверено</x:v>
      </x:c>
      <x:c r="AE980" s="17" t="str">
        <x:v>Не проверено</x:v>
      </x:c>
      <x:c r="AF980" s="17" t="str">
        <x:v>Не проверено</x:v>
      </x:c>
      <x:c r="AG980" s="17" t="str">
        <x:v>Не решено</x:v>
      </x:c>
      <x:c r="AH980" s="17" t="str">
        <x:v>Не проверено</x:v>
      </x:c>
      <x:c r="AI980" s="10" t="str">
        <x:f>IF(AC980="Отклонить","Отклонено",IF(AND(AC980="Взять",COUNTIFS(AD980:AH980,"Да")=5),"Готово","Нужна редактура"))</x:f>
        <x:v>Нужна редактура</x:v>
      </x:c>
      <x:c r="AJ980" s="17" t="str"/>
      <x:c r="AK980" s="9" t="str">
        <x:v>https://www.youtube.com/playlist?list=PL51YAgTlfPj7TEDHrgqF6bz4wmNJ6BmNU</x:v>
      </x:c>
      <x:c r="AL980" s="9" t="n">
        <x:v>22</x:v>
      </x:c>
      <x:c r="AM980" s="9"/>
      <x:c r="AN980" s="9"/>
    </x:row>
    <x:row r="981" ht="60" customHeight="1">
      <x:c r="A981" s="9" t="str">
        <x:v>sEUlbucX4Ao</x:v>
      </x:c>
      <x:c r="B981" s="10" t="str">
        <x:v>שקשוקה | עכשיו בכאן חינוכית 🔥</x:v>
      </x:c>
      <x:c r="C981" s="10" t="str">
        <x:v>Семейные сериалы</x:v>
      </x:c>
      <x:c r="D981" s="9" t="str">
        <x:v>Сериал</x:v>
      </x:c>
      <x:c r="E981" s="10" t="str">
        <x:v>Родители; школа; начинающие с опорой</x:v>
      </x:c>
      <x:c r="F981" s="10" t="str">
        <x:v>A2–B1 (гипотеза)</x:v>
      </x:c>
      <x:c r="G981" s="12" t="n">
        <x:v>0.7</x:v>
      </x:c>
      <x:c r="H981" s="14" t="n">
        <x:v>230000</x:v>
      </x:c>
      <x:c r="I981" s="15" t="str">
        <x:v>Округлённый счётчик в списке YouTube</x:v>
      </x:c>
      <x:c r="J981" s="14" t="n">
        <x:v>230000</x:v>
      </x:c>
      <x:c r="K981" s="14" t="n">
        <x:v>3550000</x:v>
      </x:c>
      <x:c r="L981" s="12" t="n">
        <x:f>IF(COUNT(J981:K981)=2,IF(K981=0,"",J981/K981),"")</x:f>
        <x:v>0.0647887323943662</x:v>
      </x:c>
      <x:c r="M981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81" s="10" t="str">
        <x:v>Назвать проблему героя и предложить решение короткими фразами.</x:v>
      </x:c>
      <x:c r="O981" s="10" t="str">
        <x:v>Проверить темы и возрастную уместность</x:v>
      </x:c>
      <x:c r="P981" s="10" t="str">
        <x:v>Фрагмент сериала</x:v>
      </x:c>
      <x:c r="Q981" s="9" t="str">
        <x:v>Нет</x:v>
      </x:c>
      <x:c r="R981" s="9" t="str">
        <x:v>C054</x:v>
      </x:c>
      <x:c r="S981" s="9" t="str">
        <x:v>C054</x:v>
      </x:c>
      <x:c r="T981" s="10" t="str">
        <x:v>כאן חינוכית</x:v>
      </x:c>
      <x:c r="U981" s="11" t="str">
        <x:v>https://www.youtube.com/watch?v=sEUlbucX4Ao</x:v>
      </x:c>
      <x:c r="V981" s="16" t="n">
        <x:v>46308</x:v>
      </x:c>
      <x:c r="W981" s="16"/>
      <x:c r="X981" s="10" t="str">
        <x:v>Иврит предполагается по заголовку и источнику</x:v>
      </x:c>
      <x:c r="Y981" s="10" t="str">
        <x:v>Не проверено</x:v>
      </x:c>
      <x:c r="Z981" s="10" t="str">
        <x:v>Не проверено</x:v>
      </x:c>
      <x:c r="AA981" s="10" t="str">
        <x:v>Метаданные списка; видео не просмотрено</x:v>
      </x:c>
      <x:c r="AB981" s="13" t="str">
        <x:f>IF(AND(ISNUMBER(H981),ISNUMBER(W981)),H981/MAX(1,'Обзор'!$B$4-W981),"")</x:f>
      </x:c>
      <x:c r="AC981" s="17" t="str">
        <x:v>Не решено</x:v>
      </x:c>
      <x:c r="AD981" s="17" t="str">
        <x:v>Не проверено</x:v>
      </x:c>
      <x:c r="AE981" s="17" t="str">
        <x:v>Не проверено</x:v>
      </x:c>
      <x:c r="AF981" s="17" t="str">
        <x:v>Не проверено</x:v>
      </x:c>
      <x:c r="AG981" s="17" t="str">
        <x:v>Не решено</x:v>
      </x:c>
      <x:c r="AH981" s="17" t="str">
        <x:v>Не проверено</x:v>
      </x:c>
      <x:c r="AI981" s="10" t="str">
        <x:f>IF(AC981="Отклонить","Отклонено",IF(AND(AC981="Взять",COUNTIFS(AD981:AH981,"Да")=5),"Готово","Нужна редактура"))</x:f>
        <x:v>Нужна редактура</x:v>
      </x:c>
      <x:c r="AJ981" s="17" t="str"/>
      <x:c r="AK981" s="9" t="str">
        <x:v>https://www.youtube.com/playlist?list=PL51YAgTlfPj7TEDHrgqF6bz4wmNJ6BmNU</x:v>
      </x:c>
      <x:c r="AL981" s="9" t="n">
        <x:v>23</x:v>
      </x:c>
      <x:c r="AM981" s="9"/>
      <x:c r="AN981" s="9"/>
    </x:row>
    <x:row r="982" ht="60" customHeight="1">
      <x:c r="A982" s="9" t="str">
        <x:v>hhncYgtvagw</x:v>
      </x:c>
      <x:c r="B982" s="10" t="str">
        <x:v>שקשוקה | מתחילים ב3.3 ביישומון 🔥</x:v>
      </x:c>
      <x:c r="C982" s="10" t="str">
        <x:v>Семейные сериалы</x:v>
      </x:c>
      <x:c r="D982" s="9" t="str">
        <x:v>Сериал</x:v>
      </x:c>
      <x:c r="E982" s="10" t="str">
        <x:v>Родители; школа; начинающие с опорой</x:v>
      </x:c>
      <x:c r="F982" s="10" t="str">
        <x:v>A2–B1 (гипотеза)</x:v>
      </x:c>
      <x:c r="G982" s="12" t="n">
        <x:v>1.9</x:v>
      </x:c>
      <x:c r="H982" s="14" t="n">
        <x:v>228000</x:v>
      </x:c>
      <x:c r="I982" s="15" t="str">
        <x:v>Округлённый счётчик в списке YouTube</x:v>
      </x:c>
      <x:c r="J982" s="14" t="n">
        <x:v>228000</x:v>
      </x:c>
      <x:c r="K982" s="14" t="n">
        <x:v>3550000</x:v>
      </x:c>
      <x:c r="L982" s="12" t="n">
        <x:f>IF(COUNT(J982:K982)=2,IF(K982=0,"",J982/K982),"")</x:f>
        <x:v>0.06422535211267606</x:v>
      </x:c>
      <x:c r="M982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82" s="10" t="str">
        <x:v>Назвать проблему героя и предложить решение короткими фразами.</x:v>
      </x:c>
      <x:c r="O982" s="10" t="str">
        <x:v>Проверить темы и возрастную уместность</x:v>
      </x:c>
      <x:c r="P982" s="10" t="str">
        <x:v>Фрагмент сериала</x:v>
      </x:c>
      <x:c r="Q982" s="9" t="str">
        <x:v>Нет</x:v>
      </x:c>
      <x:c r="R982" s="9" t="str">
        <x:v>C054</x:v>
      </x:c>
      <x:c r="S982" s="9" t="str">
        <x:v>C054</x:v>
      </x:c>
      <x:c r="T982" s="10" t="str">
        <x:v>כאן חינוכית</x:v>
      </x:c>
      <x:c r="U982" s="11" t="str">
        <x:v>https://www.youtube.com/watch?v=hhncYgtvagw</x:v>
      </x:c>
      <x:c r="V982" s="16" t="n">
        <x:v>46308</x:v>
      </x:c>
      <x:c r="W982" s="16"/>
      <x:c r="X982" s="10" t="str">
        <x:v>Иврит предполагается по заголовку и источнику</x:v>
      </x:c>
      <x:c r="Y982" s="10" t="str">
        <x:v>Не проверено</x:v>
      </x:c>
      <x:c r="Z982" s="10" t="str">
        <x:v>Не проверено</x:v>
      </x:c>
      <x:c r="AA982" s="10" t="str">
        <x:v>Метаданные списка; видео не просмотрено</x:v>
      </x:c>
      <x:c r="AB982" s="13" t="str">
        <x:f>IF(AND(ISNUMBER(H982),ISNUMBER(W982)),H982/MAX(1,'Обзор'!$B$4-W982),"")</x:f>
      </x:c>
      <x:c r="AC982" s="17" t="str">
        <x:v>Не решено</x:v>
      </x:c>
      <x:c r="AD982" s="17" t="str">
        <x:v>Не проверено</x:v>
      </x:c>
      <x:c r="AE982" s="17" t="str">
        <x:v>Не проверено</x:v>
      </x:c>
      <x:c r="AF982" s="17" t="str">
        <x:v>Не проверено</x:v>
      </x:c>
      <x:c r="AG982" s="17" t="str">
        <x:v>Не решено</x:v>
      </x:c>
      <x:c r="AH982" s="17" t="str">
        <x:v>Не проверено</x:v>
      </x:c>
      <x:c r="AI982" s="10" t="str">
        <x:f>IF(AC982="Отклонить","Отклонено",IF(AND(AC982="Взять",COUNTIFS(AD982:AH982,"Да")=5),"Готово","Нужна редактура"))</x:f>
        <x:v>Нужна редактура</x:v>
      </x:c>
      <x:c r="AJ982" s="17" t="str"/>
      <x:c r="AK982" s="9" t="str">
        <x:v>https://www.youtube.com/playlist?list=PL51YAgTlfPj7TEDHrgqF6bz4wmNJ6BmNU</x:v>
      </x:c>
      <x:c r="AL982" s="9" t="n">
        <x:v>24</x:v>
      </x:c>
      <x:c r="AM982" s="9"/>
      <x:c r="AN982" s="9"/>
    </x:row>
    <x:row r="983" ht="60" customHeight="1">
      <x:c r="A983" s="9" t="str">
        <x:v>IImzgrCZBNg</x:v>
      </x:c>
      <x:c r="B983" s="10" t="str">
        <x:v>שקשוקה | אתה נראה כמו קוף  🐵 | מתחילים ב3.3 ביישומון</x:v>
      </x:c>
      <x:c r="C983" s="10" t="str">
        <x:v>Семейные сериалы</x:v>
      </x:c>
      <x:c r="D983" s="9" t="str">
        <x:v>Сериал</x:v>
      </x:c>
      <x:c r="E983" s="10" t="str">
        <x:v>Родители; школа; начинающие с опорой</x:v>
      </x:c>
      <x:c r="F983" s="10" t="str">
        <x:v>A2–B1 (гипотеза)</x:v>
      </x:c>
      <x:c r="G983" s="12" t="n">
        <x:v>1.9</x:v>
      </x:c>
      <x:c r="H983" s="14" t="n">
        <x:v>172000</x:v>
      </x:c>
      <x:c r="I983" s="15" t="str">
        <x:v>Округлённый счётчик в списке YouTube</x:v>
      </x:c>
      <x:c r="J983" s="14" t="n">
        <x:v>172000</x:v>
      </x:c>
      <x:c r="K983" s="14" t="n">
        <x:v>3550000</x:v>
      </x:c>
      <x:c r="L983" s="12" t="n">
        <x:f>IF(COUNT(J983:K983)=2,IF(K983=0,"",J983/K983),"")</x:f>
        <x:v>0.048450704225352116</x:v>
      </x:c>
      <x:c r="M983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83" s="10" t="str">
        <x:v>Назвать проблему героя и предложить решение короткими фразами.</x:v>
      </x:c>
      <x:c r="O983" s="10" t="str">
        <x:v>Проверить темы и возрастную уместность</x:v>
      </x:c>
      <x:c r="P983" s="10" t="str">
        <x:v>Фрагмент сериала</x:v>
      </x:c>
      <x:c r="Q983" s="9" t="str">
        <x:v>Нет</x:v>
      </x:c>
      <x:c r="R983" s="9" t="str">
        <x:v>C054</x:v>
      </x:c>
      <x:c r="S983" s="9" t="str">
        <x:v>C054</x:v>
      </x:c>
      <x:c r="T983" s="10" t="str">
        <x:v>כאן חינוכית</x:v>
      </x:c>
      <x:c r="U983" s="11" t="str">
        <x:v>https://www.youtube.com/watch?v=IImzgrCZBNg</x:v>
      </x:c>
      <x:c r="V983" s="16" t="n">
        <x:v>46308</x:v>
      </x:c>
      <x:c r="W983" s="16"/>
      <x:c r="X983" s="10" t="str">
        <x:v>Иврит предполагается по заголовку и источнику</x:v>
      </x:c>
      <x:c r="Y983" s="10" t="str">
        <x:v>Не проверено</x:v>
      </x:c>
      <x:c r="Z983" s="10" t="str">
        <x:v>Не проверено</x:v>
      </x:c>
      <x:c r="AA983" s="10" t="str">
        <x:v>Метаданные списка; видео не просмотрено</x:v>
      </x:c>
      <x:c r="AB983" s="13" t="str">
        <x:f>IF(AND(ISNUMBER(H983),ISNUMBER(W983)),H983/MAX(1,'Обзор'!$B$4-W983),"")</x:f>
      </x:c>
      <x:c r="AC983" s="17" t="str">
        <x:v>Не решено</x:v>
      </x:c>
      <x:c r="AD983" s="17" t="str">
        <x:v>Не проверено</x:v>
      </x:c>
      <x:c r="AE983" s="17" t="str">
        <x:v>Не проверено</x:v>
      </x:c>
      <x:c r="AF983" s="17" t="str">
        <x:v>Не проверено</x:v>
      </x:c>
      <x:c r="AG983" s="17" t="str">
        <x:v>Не решено</x:v>
      </x:c>
      <x:c r="AH983" s="17" t="str">
        <x:v>Не проверено</x:v>
      </x:c>
      <x:c r="AI983" s="10" t="str">
        <x:f>IF(AC983="Отклонить","Отклонено",IF(AND(AC983="Взять",COUNTIFS(AD983:AH983,"Да")=5),"Готово","Нужна редактура"))</x:f>
        <x:v>Нужна редактура</x:v>
      </x:c>
      <x:c r="AJ983" s="17" t="str"/>
      <x:c r="AK983" s="9" t="str">
        <x:v>https://www.youtube.com/playlist?list=PL51YAgTlfPj7TEDHrgqF6bz4wmNJ6BmNU</x:v>
      </x:c>
      <x:c r="AL983" s="9" t="n">
        <x:v>25</x:v>
      </x:c>
      <x:c r="AM983" s="9"/>
      <x:c r="AN983" s="9"/>
    </x:row>
    <x:row r="984" ht="60" customHeight="1">
      <x:c r="A984" s="9" t="str">
        <x:v>5FxwUi3zPEs</x:v>
      </x:c>
      <x:c r="B984" s="10" t="str">
        <x:v>שקשוקה | הכירו את יולי | מתחילים ב3.3 ביישומון 🔥</x:v>
      </x:c>
      <x:c r="C984" s="10" t="str">
        <x:v>Семейные сериалы</x:v>
      </x:c>
      <x:c r="D984" s="9" t="str">
        <x:v>Сериал</x:v>
      </x:c>
      <x:c r="E984" s="10" t="str">
        <x:v>Родители; школа; начинающие с опорой</x:v>
      </x:c>
      <x:c r="F984" s="10" t="str">
        <x:v>A2–B1 (гипотеза)</x:v>
      </x:c>
      <x:c r="G984" s="12" t="n">
        <x:v>1.8</x:v>
      </x:c>
      <x:c r="H984" s="14" t="n">
        <x:v>603000</x:v>
      </x:c>
      <x:c r="I984" s="15" t="str">
        <x:v>Округлённый счётчик в списке YouTube</x:v>
      </x:c>
      <x:c r="J984" s="14" t="n">
        <x:v>603000</x:v>
      </x:c>
      <x:c r="K984" s="14" t="n">
        <x:v>3550000</x:v>
      </x:c>
      <x:c r="L984" s="12" t="n">
        <x:f>IF(COUNT(J984:K984)=2,IF(K984=0,"",J984/K984),"")</x:f>
        <x:v>0.16985915492957745</x:v>
      </x:c>
      <x:c r="M984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84" s="10" t="str">
        <x:v>Назвать проблему героя и предложить решение короткими фразами.</x:v>
      </x:c>
      <x:c r="O984" s="10" t="str">
        <x:v>Проверить темы и возрастную уместность</x:v>
      </x:c>
      <x:c r="P984" s="10" t="str">
        <x:v>Фрагмент сериала</x:v>
      </x:c>
      <x:c r="Q984" s="9" t="str">
        <x:v>Нет</x:v>
      </x:c>
      <x:c r="R984" s="9" t="str">
        <x:v>C054</x:v>
      </x:c>
      <x:c r="S984" s="9" t="str">
        <x:v>C054</x:v>
      </x:c>
      <x:c r="T984" s="10" t="str">
        <x:v>כאן חינוכית</x:v>
      </x:c>
      <x:c r="U984" s="11" t="str">
        <x:v>https://www.youtube.com/watch?v=5FxwUi3zPEs</x:v>
      </x:c>
      <x:c r="V984" s="16" t="n">
        <x:v>46308</x:v>
      </x:c>
      <x:c r="W984" s="16"/>
      <x:c r="X984" s="10" t="str">
        <x:v>Иврит предполагается по заголовку и источнику</x:v>
      </x:c>
      <x:c r="Y984" s="10" t="str">
        <x:v>Не проверено</x:v>
      </x:c>
      <x:c r="Z984" s="10" t="str">
        <x:v>Не проверено</x:v>
      </x:c>
      <x:c r="AA984" s="10" t="str">
        <x:v>Метаданные списка; видео не просмотрено</x:v>
      </x:c>
      <x:c r="AB984" s="13" t="str">
        <x:f>IF(AND(ISNUMBER(H984),ISNUMBER(W984)),H984/MAX(1,'Обзор'!$B$4-W984),"")</x:f>
      </x:c>
      <x:c r="AC984" s="17" t="str">
        <x:v>Не решено</x:v>
      </x:c>
      <x:c r="AD984" s="17" t="str">
        <x:v>Не проверено</x:v>
      </x:c>
      <x:c r="AE984" s="17" t="str">
        <x:v>Не проверено</x:v>
      </x:c>
      <x:c r="AF984" s="17" t="str">
        <x:v>Не проверено</x:v>
      </x:c>
      <x:c r="AG984" s="17" t="str">
        <x:v>Не решено</x:v>
      </x:c>
      <x:c r="AH984" s="17" t="str">
        <x:v>Не проверено</x:v>
      </x:c>
      <x:c r="AI984" s="10" t="str">
        <x:f>IF(AC984="Отклонить","Отклонено",IF(AND(AC984="Взять",COUNTIFS(AD984:AH984,"Да")=5),"Готово","Нужна редактура"))</x:f>
        <x:v>Нужна редактура</x:v>
      </x:c>
      <x:c r="AJ984" s="17" t="str"/>
      <x:c r="AK984" s="9" t="str">
        <x:v>https://www.youtube.com/playlist?list=PL51YAgTlfPj7TEDHrgqF6bz4wmNJ6BmNU</x:v>
      </x:c>
      <x:c r="AL984" s="9" t="n">
        <x:v>26</x:v>
      </x:c>
      <x:c r="AM984" s="9"/>
      <x:c r="AN984" s="9"/>
    </x:row>
    <x:row r="985" ht="60" customHeight="1">
      <x:c r="A985" s="9" t="str">
        <x:v>kmox4Kinp_A</x:v>
      </x:c>
      <x:c r="B985" s="10" t="str">
        <x:v>שקשוקה | הכירו את דותן | מתחילים ב3.3 ביישומון 🔥</x:v>
      </x:c>
      <x:c r="C985" s="10" t="str">
        <x:v>Семейные сериалы</x:v>
      </x:c>
      <x:c r="D985" s="9" t="str">
        <x:v>Сериал</x:v>
      </x:c>
      <x:c r="E985" s="10" t="str">
        <x:v>Родители; школа; начинающие с опорой</x:v>
      </x:c>
      <x:c r="F985" s="10" t="str">
        <x:v>A2–B1 (гипотеза)</x:v>
      </x:c>
      <x:c r="G985" s="12" t="n">
        <x:v>1.5</x:v>
      </x:c>
      <x:c r="H985" s="14" t="n">
        <x:v>478000</x:v>
      </x:c>
      <x:c r="I985" s="15" t="str">
        <x:v>Округлённый счётчик в списке YouTube</x:v>
      </x:c>
      <x:c r="J985" s="14" t="n">
        <x:v>478000</x:v>
      </x:c>
      <x:c r="K985" s="14" t="n">
        <x:v>3550000</x:v>
      </x:c>
      <x:c r="L985" s="12" t="n">
        <x:f>IF(COUNT(J985:K985)=2,IF(K985=0,"",J985/K985),"")</x:f>
        <x:v>0.13464788732394367</x:v>
      </x:c>
      <x:c r="M985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85" s="10" t="str">
        <x:v>Назвать проблему героя и предложить решение короткими фразами.</x:v>
      </x:c>
      <x:c r="O985" s="10" t="str">
        <x:v>Проверить темы и возрастную уместность</x:v>
      </x:c>
      <x:c r="P985" s="10" t="str">
        <x:v>Фрагмент сериала</x:v>
      </x:c>
      <x:c r="Q985" s="9" t="str">
        <x:v>Нет</x:v>
      </x:c>
      <x:c r="R985" s="9" t="str">
        <x:v>C054</x:v>
      </x:c>
      <x:c r="S985" s="9" t="str">
        <x:v>C054</x:v>
      </x:c>
      <x:c r="T985" s="10" t="str">
        <x:v>כאן חינוכית</x:v>
      </x:c>
      <x:c r="U985" s="11" t="str">
        <x:v>https://www.youtube.com/watch?v=kmox4Kinp_A</x:v>
      </x:c>
      <x:c r="V985" s="16" t="n">
        <x:v>46308</x:v>
      </x:c>
      <x:c r="W985" s="16"/>
      <x:c r="X985" s="10" t="str">
        <x:v>Иврит предполагается по заголовку и источнику</x:v>
      </x:c>
      <x:c r="Y985" s="10" t="str">
        <x:v>Не проверено</x:v>
      </x:c>
      <x:c r="Z985" s="10" t="str">
        <x:v>Не проверено</x:v>
      </x:c>
      <x:c r="AA985" s="10" t="str">
        <x:v>Метаданные списка; видео не просмотрено</x:v>
      </x:c>
      <x:c r="AB985" s="13" t="str">
        <x:f>IF(AND(ISNUMBER(H985),ISNUMBER(W985)),H985/MAX(1,'Обзор'!$B$4-W985),"")</x:f>
      </x:c>
      <x:c r="AC985" s="17" t="str">
        <x:v>Не решено</x:v>
      </x:c>
      <x:c r="AD985" s="17" t="str">
        <x:v>Не проверено</x:v>
      </x:c>
      <x:c r="AE985" s="17" t="str">
        <x:v>Не проверено</x:v>
      </x:c>
      <x:c r="AF985" s="17" t="str">
        <x:v>Не проверено</x:v>
      </x:c>
      <x:c r="AG985" s="17" t="str">
        <x:v>Не решено</x:v>
      </x:c>
      <x:c r="AH985" s="17" t="str">
        <x:v>Не проверено</x:v>
      </x:c>
      <x:c r="AI985" s="10" t="str">
        <x:f>IF(AC985="Отклонить","Отклонено",IF(AND(AC985="Взять",COUNTIFS(AD985:AH985,"Да")=5),"Готово","Нужна редактура"))</x:f>
        <x:v>Нужна редактура</x:v>
      </x:c>
      <x:c r="AJ985" s="17" t="str"/>
      <x:c r="AK985" s="9" t="str">
        <x:v>https://www.youtube.com/playlist?list=PL51YAgTlfPj7TEDHrgqF6bz4wmNJ6BmNU</x:v>
      </x:c>
      <x:c r="AL985" s="9" t="n">
        <x:v>27</x:v>
      </x:c>
      <x:c r="AM985" s="9"/>
      <x:c r="AN985" s="9"/>
    </x:row>
    <x:row r="986" ht="60" customHeight="1">
      <x:c r="A986" s="9" t="str">
        <x:v>65DCHWafvqU</x:v>
      </x:c>
      <x:c r="B986" s="10" t="str">
        <x:v>שקשוקה | הכירו את אפי | מתחילים ב3.3 ביישומון 🔥</x:v>
      </x:c>
      <x:c r="C986" s="10" t="str">
        <x:v>Семейные сериалы</x:v>
      </x:c>
      <x:c r="D986" s="9" t="str">
        <x:v>Сериал</x:v>
      </x:c>
      <x:c r="E986" s="10" t="str">
        <x:v>Родители; школа; начинающие с опорой</x:v>
      </x:c>
      <x:c r="F986" s="10" t="str">
        <x:v>A2–B1 (гипотеза)</x:v>
      </x:c>
      <x:c r="G986" s="12" t="n">
        <x:v>2.2</x:v>
      </x:c>
      <x:c r="H986" s="14" t="n">
        <x:v>438000</x:v>
      </x:c>
      <x:c r="I986" s="15" t="str">
        <x:v>Округлённый счётчик в списке YouTube</x:v>
      </x:c>
      <x:c r="J986" s="14" t="n">
        <x:v>438000</x:v>
      </x:c>
      <x:c r="K986" s="14" t="n">
        <x:v>3550000</x:v>
      </x:c>
      <x:c r="L986" s="12" t="n">
        <x:f>IF(COUNT(J986:K986)=2,IF(K986=0,"",J986/K986),"")</x:f>
        <x:v>0.12338028169014084</x:v>
      </x:c>
      <x:c r="M986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86" s="10" t="str">
        <x:v>Назвать проблему героя и предложить решение короткими фразами.</x:v>
      </x:c>
      <x:c r="O986" s="10" t="str">
        <x:v>Проверить темы и возрастную уместность</x:v>
      </x:c>
      <x:c r="P986" s="10" t="str">
        <x:v>Фрагмент сериала</x:v>
      </x:c>
      <x:c r="Q986" s="9" t="str">
        <x:v>Нет</x:v>
      </x:c>
      <x:c r="R986" s="9" t="str">
        <x:v>C054</x:v>
      </x:c>
      <x:c r="S986" s="9" t="str">
        <x:v>C054</x:v>
      </x:c>
      <x:c r="T986" s="10" t="str">
        <x:v>כאן חינוכית</x:v>
      </x:c>
      <x:c r="U986" s="11" t="str">
        <x:v>https://www.youtube.com/watch?v=65DCHWafvqU</x:v>
      </x:c>
      <x:c r="V986" s="16" t="n">
        <x:v>46308</x:v>
      </x:c>
      <x:c r="W986" s="16"/>
      <x:c r="X986" s="10" t="str">
        <x:v>Иврит предполагается по заголовку и источнику</x:v>
      </x:c>
      <x:c r="Y986" s="10" t="str">
        <x:v>Не проверено</x:v>
      </x:c>
      <x:c r="Z986" s="10" t="str">
        <x:v>Не проверено</x:v>
      </x:c>
      <x:c r="AA986" s="10" t="str">
        <x:v>Метаданные списка; видео не просмотрено</x:v>
      </x:c>
      <x:c r="AB986" s="13" t="str">
        <x:f>IF(AND(ISNUMBER(H986),ISNUMBER(W986)),H986/MAX(1,'Обзор'!$B$4-W986),"")</x:f>
      </x:c>
      <x:c r="AC986" s="17" t="str">
        <x:v>Не решено</x:v>
      </x:c>
      <x:c r="AD986" s="17" t="str">
        <x:v>Не проверено</x:v>
      </x:c>
      <x:c r="AE986" s="17" t="str">
        <x:v>Не проверено</x:v>
      </x:c>
      <x:c r="AF986" s="17" t="str">
        <x:v>Не проверено</x:v>
      </x:c>
      <x:c r="AG986" s="17" t="str">
        <x:v>Не решено</x:v>
      </x:c>
      <x:c r="AH986" s="17" t="str">
        <x:v>Не проверено</x:v>
      </x:c>
      <x:c r="AI986" s="10" t="str">
        <x:f>IF(AC986="Отклонить","Отклонено",IF(AND(AC986="Взять",COUNTIFS(AD986:AH986,"Да")=5),"Готово","Нужна редактура"))</x:f>
        <x:v>Нужна редактура</x:v>
      </x:c>
      <x:c r="AJ986" s="17" t="str"/>
      <x:c r="AK986" s="9" t="str">
        <x:v>https://www.youtube.com/playlist?list=PL51YAgTlfPj7TEDHrgqF6bz4wmNJ6BmNU</x:v>
      </x:c>
      <x:c r="AL986" s="9" t="n">
        <x:v>28</x:v>
      </x:c>
      <x:c r="AM986" s="9"/>
      <x:c r="AN986" s="9"/>
    </x:row>
    <x:row r="987" ht="60" customHeight="1">
      <x:c r="A987" s="9" t="str">
        <x:v>IRMf5NBhLCM</x:v>
      </x:c>
      <x:c r="B987" s="10" t="str">
        <x:v>שקשוקה | הכירו את אופק | מתחילים ב3.3 ביישומון 🔥</x:v>
      </x:c>
      <x:c r="C987" s="10" t="str">
        <x:v>Семейные сериалы</x:v>
      </x:c>
      <x:c r="D987" s="9" t="str">
        <x:v>Сериал</x:v>
      </x:c>
      <x:c r="E987" s="10" t="str">
        <x:v>Родители; школа; начинающие с опорой</x:v>
      </x:c>
      <x:c r="F987" s="10" t="str">
        <x:v>A2–B1 (гипотеза)</x:v>
      </x:c>
      <x:c r="G987" s="12" t="n">
        <x:v>2</x:v>
      </x:c>
      <x:c r="H987" s="14" t="n">
        <x:v>284000</x:v>
      </x:c>
      <x:c r="I987" s="15" t="str">
        <x:v>Округлённый счётчик в списке YouTube</x:v>
      </x:c>
      <x:c r="J987" s="14" t="n">
        <x:v>284000</x:v>
      </x:c>
      <x:c r="K987" s="14" t="n">
        <x:v>3550000</x:v>
      </x:c>
      <x:c r="L987" s="12" t="n">
        <x:f>IF(COUNT(J987:K987)=2,IF(K987=0,"",J987/K987),"")</x:f>
        <x:v>0.08</x:v>
      </x:c>
      <x:c r="M987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87" s="10" t="str">
        <x:v>Назвать проблему героя и предложить решение короткими фразами.</x:v>
      </x:c>
      <x:c r="O987" s="10" t="str">
        <x:v>Проверить темы и возрастную уместность</x:v>
      </x:c>
      <x:c r="P987" s="10" t="str">
        <x:v>Фрагмент сериала</x:v>
      </x:c>
      <x:c r="Q987" s="9" t="str">
        <x:v>Нет</x:v>
      </x:c>
      <x:c r="R987" s="9" t="str">
        <x:v>C054</x:v>
      </x:c>
      <x:c r="S987" s="9" t="str">
        <x:v>C054</x:v>
      </x:c>
      <x:c r="T987" s="10" t="str">
        <x:v>כאן חינוכית</x:v>
      </x:c>
      <x:c r="U987" s="11" t="str">
        <x:v>https://www.youtube.com/watch?v=IRMf5NBhLCM</x:v>
      </x:c>
      <x:c r="V987" s="16" t="n">
        <x:v>46308</x:v>
      </x:c>
      <x:c r="W987" s="16"/>
      <x:c r="X987" s="10" t="str">
        <x:v>Иврит предполагается по заголовку и источнику</x:v>
      </x:c>
      <x:c r="Y987" s="10" t="str">
        <x:v>Не проверено</x:v>
      </x:c>
      <x:c r="Z987" s="10" t="str">
        <x:v>Не проверено</x:v>
      </x:c>
      <x:c r="AA987" s="10" t="str">
        <x:v>Метаданные списка; видео не просмотрено</x:v>
      </x:c>
      <x:c r="AB987" s="13" t="str">
        <x:f>IF(AND(ISNUMBER(H987),ISNUMBER(W987)),H987/MAX(1,'Обзор'!$B$4-W987),"")</x:f>
      </x:c>
      <x:c r="AC987" s="17" t="str">
        <x:v>Не решено</x:v>
      </x:c>
      <x:c r="AD987" s="17" t="str">
        <x:v>Не проверено</x:v>
      </x:c>
      <x:c r="AE987" s="17" t="str">
        <x:v>Не проверено</x:v>
      </x:c>
      <x:c r="AF987" s="17" t="str">
        <x:v>Не проверено</x:v>
      </x:c>
      <x:c r="AG987" s="17" t="str">
        <x:v>Не решено</x:v>
      </x:c>
      <x:c r="AH987" s="17" t="str">
        <x:v>Не проверено</x:v>
      </x:c>
      <x:c r="AI987" s="10" t="str">
        <x:f>IF(AC987="Отклонить","Отклонено",IF(AND(AC987="Взять",COUNTIFS(AD987:AH987,"Да")=5),"Готово","Нужна редактура"))</x:f>
        <x:v>Нужна редактура</x:v>
      </x:c>
      <x:c r="AJ987" s="17" t="str"/>
      <x:c r="AK987" s="9" t="str">
        <x:v>https://www.youtube.com/playlist?list=PL51YAgTlfPj7TEDHrgqF6bz4wmNJ6BmNU</x:v>
      </x:c>
      <x:c r="AL987" s="9" t="n">
        <x:v>29</x:v>
      </x:c>
      <x:c r="AM987" s="9"/>
      <x:c r="AN987" s="9"/>
    </x:row>
    <x:row r="988" ht="60" customHeight="1">
      <x:c r="A988" s="9" t="str">
        <x:v>VL7Vl1jiXyc</x:v>
      </x:c>
      <x:c r="B988" s="10" t="str">
        <x:v>שקשוקה | הכירו את קשת | החל מה3.3 ביישומון 🔥</x:v>
      </x:c>
      <x:c r="C988" s="10" t="str">
        <x:v>Семейные сериалы</x:v>
      </x:c>
      <x:c r="D988" s="9" t="str">
        <x:v>Сериал</x:v>
      </x:c>
      <x:c r="E988" s="10" t="str">
        <x:v>Родители; школа; начинающие с опорой</x:v>
      </x:c>
      <x:c r="F988" s="10" t="str">
        <x:v>A2–B1 (гипотеза)</x:v>
      </x:c>
      <x:c r="G988" s="12" t="n">
        <x:v>2.2</x:v>
      </x:c>
      <x:c r="H988" s="14" t="n">
        <x:v>426000</x:v>
      </x:c>
      <x:c r="I988" s="15" t="str">
        <x:v>Округлённый счётчик в списке YouTube</x:v>
      </x:c>
      <x:c r="J988" s="14" t="n">
        <x:v>426000</x:v>
      </x:c>
      <x:c r="K988" s="14" t="n">
        <x:v>3550000</x:v>
      </x:c>
      <x:c r="L988" s="12" t="n">
        <x:f>IF(COUNT(J988:K988)=2,IF(K988=0,"",J988/K988),"")</x:f>
        <x:v>0.12</x:v>
      </x:c>
      <x:c r="M988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88" s="10" t="str">
        <x:v>Назвать проблему героя и предложить решение короткими фразами.</x:v>
      </x:c>
      <x:c r="O988" s="10" t="str">
        <x:v>Проверить темы и возрастную уместность</x:v>
      </x:c>
      <x:c r="P988" s="10" t="str">
        <x:v>Фрагмент сериала</x:v>
      </x:c>
      <x:c r="Q988" s="9" t="str">
        <x:v>Нет</x:v>
      </x:c>
      <x:c r="R988" s="9" t="str">
        <x:v>C054</x:v>
      </x:c>
      <x:c r="S988" s="9" t="str">
        <x:v>C054</x:v>
      </x:c>
      <x:c r="T988" s="10" t="str">
        <x:v>כאן חינוכית</x:v>
      </x:c>
      <x:c r="U988" s="11" t="str">
        <x:v>https://www.youtube.com/watch?v=VL7Vl1jiXyc</x:v>
      </x:c>
      <x:c r="V988" s="16" t="n">
        <x:v>46308</x:v>
      </x:c>
      <x:c r="W988" s="16"/>
      <x:c r="X988" s="10" t="str">
        <x:v>Иврит предполагается по заголовку и источнику</x:v>
      </x:c>
      <x:c r="Y988" s="10" t="str">
        <x:v>Не проверено</x:v>
      </x:c>
      <x:c r="Z988" s="10" t="str">
        <x:v>Не проверено</x:v>
      </x:c>
      <x:c r="AA988" s="10" t="str">
        <x:v>Метаданные списка; видео не просмотрено</x:v>
      </x:c>
      <x:c r="AB988" s="13" t="str">
        <x:f>IF(AND(ISNUMBER(H988),ISNUMBER(W988)),H988/MAX(1,'Обзор'!$B$4-W988),"")</x:f>
      </x:c>
      <x:c r="AC988" s="17" t="str">
        <x:v>Не решено</x:v>
      </x:c>
      <x:c r="AD988" s="17" t="str">
        <x:v>Не проверено</x:v>
      </x:c>
      <x:c r="AE988" s="17" t="str">
        <x:v>Не проверено</x:v>
      </x:c>
      <x:c r="AF988" s="17" t="str">
        <x:v>Не проверено</x:v>
      </x:c>
      <x:c r="AG988" s="17" t="str">
        <x:v>Не решено</x:v>
      </x:c>
      <x:c r="AH988" s="17" t="str">
        <x:v>Не проверено</x:v>
      </x:c>
      <x:c r="AI988" s="10" t="str">
        <x:f>IF(AC988="Отклонить","Отклонено",IF(AND(AC988="Взять",COUNTIFS(AD988:AH988,"Да")=5),"Готово","Нужна редактура"))</x:f>
        <x:v>Нужна редактура</x:v>
      </x:c>
      <x:c r="AJ988" s="17" t="str"/>
      <x:c r="AK988" s="9" t="str">
        <x:v>https://www.youtube.com/playlist?list=PL51YAgTlfPj7TEDHrgqF6bz4wmNJ6BmNU</x:v>
      </x:c>
      <x:c r="AL988" s="9" t="n">
        <x:v>30</x:v>
      </x:c>
      <x:c r="AM988" s="9"/>
      <x:c r="AN988" s="9"/>
    </x:row>
    <x:row r="989" ht="60" customHeight="1">
      <x:c r="A989" s="9" t="str">
        <x:v>7e0SCKTUw1U</x:v>
      </x:c>
      <x:c r="B989" s="10" t="str">
        <x:v>שקשוקה | הכירו את אביב | מתחילים ב3.3 ביישומון 🔥</x:v>
      </x:c>
      <x:c r="C989" s="10" t="str">
        <x:v>Семейные сериалы</x:v>
      </x:c>
      <x:c r="D989" s="9" t="str">
        <x:v>Сериал</x:v>
      </x:c>
      <x:c r="E989" s="10" t="str">
        <x:v>Родители; школа; начинающие с опорой</x:v>
      </x:c>
      <x:c r="F989" s="10" t="str">
        <x:v>A2–B1 (гипотеза)</x:v>
      </x:c>
      <x:c r="G989" s="12" t="n">
        <x:v>1.9</x:v>
      </x:c>
      <x:c r="H989" s="14" t="n">
        <x:v>260000</x:v>
      </x:c>
      <x:c r="I989" s="15" t="str">
        <x:v>Округлённый счётчик в списке YouTube</x:v>
      </x:c>
      <x:c r="J989" s="14" t="n">
        <x:v>260000</x:v>
      </x:c>
      <x:c r="K989" s="14" t="n">
        <x:v>3550000</x:v>
      </x:c>
      <x:c r="L989" s="12" t="n">
        <x:f>IF(COUNT(J989:K989)=2,IF(K989=0,"",J989/K989),"")</x:f>
        <x:v>0.07323943661971831</x:v>
      </x:c>
      <x:c r="M989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89" s="10" t="str">
        <x:v>Назвать проблему героя и предложить решение короткими фразами.</x:v>
      </x:c>
      <x:c r="O989" s="10" t="str">
        <x:v>Проверить темы и возрастную уместность</x:v>
      </x:c>
      <x:c r="P989" s="10" t="str">
        <x:v>Фрагмент сериала</x:v>
      </x:c>
      <x:c r="Q989" s="9" t="str">
        <x:v>Нет</x:v>
      </x:c>
      <x:c r="R989" s="9" t="str">
        <x:v>C054</x:v>
      </x:c>
      <x:c r="S989" s="9" t="str">
        <x:v>C054</x:v>
      </x:c>
      <x:c r="T989" s="10" t="str">
        <x:v>כאן חינוכית</x:v>
      </x:c>
      <x:c r="U989" s="11" t="str">
        <x:v>https://www.youtube.com/watch?v=7e0SCKTUw1U</x:v>
      </x:c>
      <x:c r="V989" s="16" t="n">
        <x:v>46308</x:v>
      </x:c>
      <x:c r="W989" s="16"/>
      <x:c r="X989" s="10" t="str">
        <x:v>Иврит предполагается по заголовку и источнику</x:v>
      </x:c>
      <x:c r="Y989" s="10" t="str">
        <x:v>Не проверено</x:v>
      </x:c>
      <x:c r="Z989" s="10" t="str">
        <x:v>Не проверено</x:v>
      </x:c>
      <x:c r="AA989" s="10" t="str">
        <x:v>Метаданные списка; видео не просмотрено</x:v>
      </x:c>
      <x:c r="AB989" s="13" t="str">
        <x:f>IF(AND(ISNUMBER(H989),ISNUMBER(W989)),H989/MAX(1,'Обзор'!$B$4-W989),"")</x:f>
      </x:c>
      <x:c r="AC989" s="17" t="str">
        <x:v>Не решено</x:v>
      </x:c>
      <x:c r="AD989" s="17" t="str">
        <x:v>Не проверено</x:v>
      </x:c>
      <x:c r="AE989" s="17" t="str">
        <x:v>Не проверено</x:v>
      </x:c>
      <x:c r="AF989" s="17" t="str">
        <x:v>Не проверено</x:v>
      </x:c>
      <x:c r="AG989" s="17" t="str">
        <x:v>Не решено</x:v>
      </x:c>
      <x:c r="AH989" s="17" t="str">
        <x:v>Не проверено</x:v>
      </x:c>
      <x:c r="AI989" s="10" t="str">
        <x:f>IF(AC989="Отклонить","Отклонено",IF(AND(AC989="Взять",COUNTIFS(AD989:AH989,"Да")=5),"Готово","Нужна редактура"))</x:f>
        <x:v>Нужна редактура</x:v>
      </x:c>
      <x:c r="AJ989" s="17" t="str"/>
      <x:c r="AK989" s="9" t="str">
        <x:v>https://www.youtube.com/playlist?list=PL51YAgTlfPj7TEDHrgqF6bz4wmNJ6BmNU</x:v>
      </x:c>
      <x:c r="AL989" s="9" t="n">
        <x:v>31</x:v>
      </x:c>
      <x:c r="AM989" s="9"/>
      <x:c r="AN989" s="9"/>
    </x:row>
    <x:row r="990" ht="60" customHeight="1">
      <x:c r="A990" s="9" t="str">
        <x:v>bQai_fwwpXE</x:v>
      </x:c>
      <x:c r="B990" s="10" t="str">
        <x:v>שקשוקה | הכירו את התאומות ציקינוני 👯‍♀️ | מתחילים ב3.3</x:v>
      </x:c>
      <x:c r="C990" s="10" t="str">
        <x:v>Семейные сериалы</x:v>
      </x:c>
      <x:c r="D990" s="9" t="str">
        <x:v>Сериал</x:v>
      </x:c>
      <x:c r="E990" s="10" t="str">
        <x:v>Родители; школа; начинающие с опорой</x:v>
      </x:c>
      <x:c r="F990" s="10" t="str">
        <x:v>A2–B1 (гипотеза)</x:v>
      </x:c>
      <x:c r="G990" s="12" t="n">
        <x:v>2.2</x:v>
      </x:c>
      <x:c r="H990" s="14" t="n">
        <x:v>1200000</x:v>
      </x:c>
      <x:c r="I990" s="15" t="str">
        <x:v>Округлённый счётчик в списке YouTube</x:v>
      </x:c>
      <x:c r="J990" s="14" t="n">
        <x:v>1200000</x:v>
      </x:c>
      <x:c r="K990" s="14" t="n">
        <x:v>3550000</x:v>
      </x:c>
      <x:c r="L990" s="12" t="n">
        <x:f>IF(COUNT(J990:K990)=2,IF(K990=0,"",J990/K990),"")</x:f>
        <x:v>0.3380281690140845</x:v>
      </x:c>
      <x:c r="M990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90" s="10" t="str">
        <x:v>Назвать проблему героя и предложить решение короткими фразами.</x:v>
      </x:c>
      <x:c r="O990" s="10" t="str">
        <x:v>Проверить темы и возрастную уместность</x:v>
      </x:c>
      <x:c r="P990" s="10" t="str">
        <x:v>Фрагмент сериала</x:v>
      </x:c>
      <x:c r="Q990" s="9" t="str">
        <x:v>Нет</x:v>
      </x:c>
      <x:c r="R990" s="9" t="str">
        <x:v>C054</x:v>
      </x:c>
      <x:c r="S990" s="9" t="str">
        <x:v>C054</x:v>
      </x:c>
      <x:c r="T990" s="10" t="str">
        <x:v>כאן חינוכית</x:v>
      </x:c>
      <x:c r="U990" s="11" t="str">
        <x:v>https://www.youtube.com/watch?v=bQai_fwwpXE</x:v>
      </x:c>
      <x:c r="V990" s="16" t="n">
        <x:v>46308</x:v>
      </x:c>
      <x:c r="W990" s="16"/>
      <x:c r="X990" s="10" t="str">
        <x:v>Иврит предполагается по заголовку и источнику</x:v>
      </x:c>
      <x:c r="Y990" s="10" t="str">
        <x:v>Не проверено</x:v>
      </x:c>
      <x:c r="Z990" s="10" t="str">
        <x:v>Не проверено</x:v>
      </x:c>
      <x:c r="AA990" s="10" t="str">
        <x:v>Метаданные списка; видео не просмотрено</x:v>
      </x:c>
      <x:c r="AB990" s="13" t="str">
        <x:f>IF(AND(ISNUMBER(H990),ISNUMBER(W990)),H990/MAX(1,'Обзор'!$B$4-W990),"")</x:f>
      </x:c>
      <x:c r="AC990" s="17" t="str">
        <x:v>Не решено</x:v>
      </x:c>
      <x:c r="AD990" s="17" t="str">
        <x:v>Не проверено</x:v>
      </x:c>
      <x:c r="AE990" s="17" t="str">
        <x:v>Не проверено</x:v>
      </x:c>
      <x:c r="AF990" s="17" t="str">
        <x:v>Не проверено</x:v>
      </x:c>
      <x:c r="AG990" s="17" t="str">
        <x:v>Не решено</x:v>
      </x:c>
      <x:c r="AH990" s="17" t="str">
        <x:v>Не проверено</x:v>
      </x:c>
      <x:c r="AI990" s="10" t="str">
        <x:f>IF(AC990="Отклонить","Отклонено",IF(AND(AC990="Взять",COUNTIFS(AD990:AH990,"Да")=5),"Готово","Нужна редактура"))</x:f>
        <x:v>Нужна редактура</x:v>
      </x:c>
      <x:c r="AJ990" s="17" t="str"/>
      <x:c r="AK990" s="9" t="str">
        <x:v>https://www.youtube.com/playlist?list=PL51YAgTlfPj7TEDHrgqF6bz4wmNJ6BmNU</x:v>
      </x:c>
      <x:c r="AL990" s="9" t="n">
        <x:v>32</x:v>
      </x:c>
      <x:c r="AM990" s="9"/>
      <x:c r="AN990" s="9"/>
    </x:row>
    <x:row r="991" ht="60" customHeight="1">
      <x:c r="A991" s="9" t="str">
        <x:v>GwmvhMf_PDY</x:v>
      </x:c>
      <x:c r="B991" s="10" t="str">
        <x:v>שקשוקה | הכירו את דור | מתחילים ב3.3 ביישומון 🔥</x:v>
      </x:c>
      <x:c r="C991" s="10" t="str">
        <x:v>Семейные сериалы</x:v>
      </x:c>
      <x:c r="D991" s="9" t="str">
        <x:v>Сериал</x:v>
      </x:c>
      <x:c r="E991" s="10" t="str">
        <x:v>Родители; школа; начинающие с опорой</x:v>
      </x:c>
      <x:c r="F991" s="10" t="str">
        <x:v>A2–B1 (гипотеза)</x:v>
      </x:c>
      <x:c r="G991" s="12" t="n">
        <x:v>2</x:v>
      </x:c>
      <x:c r="H991" s="14" t="n">
        <x:v>928000</x:v>
      </x:c>
      <x:c r="I991" s="15" t="str">
        <x:v>Округлённый счётчик в списке YouTube</x:v>
      </x:c>
      <x:c r="J991" s="14" t="n">
        <x:v>928000</x:v>
      </x:c>
      <x:c r="K991" s="14" t="n">
        <x:v>3550000</x:v>
      </x:c>
      <x:c r="L991" s="12" t="n">
        <x:f>IF(COUNT(J991:K991)=2,IF(K991=0,"",J991/K991),"")</x:f>
        <x:v>0.26140845070422536</x:v>
      </x:c>
      <x:c r="M991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91" s="10" t="str">
        <x:v>Назвать проблему героя и предложить решение короткими фразами.</x:v>
      </x:c>
      <x:c r="O991" s="10" t="str">
        <x:v>Проверить темы и возрастную уместность</x:v>
      </x:c>
      <x:c r="P991" s="10" t="str">
        <x:v>Фрагмент сериала</x:v>
      </x:c>
      <x:c r="Q991" s="9" t="str">
        <x:v>Нет</x:v>
      </x:c>
      <x:c r="R991" s="9" t="str">
        <x:v>C054</x:v>
      </x:c>
      <x:c r="S991" s="9" t="str">
        <x:v>C054</x:v>
      </x:c>
      <x:c r="T991" s="10" t="str">
        <x:v>כאן חינוכית</x:v>
      </x:c>
      <x:c r="U991" s="11" t="str">
        <x:v>https://www.youtube.com/watch?v=GwmvhMf_PDY</x:v>
      </x:c>
      <x:c r="V991" s="16" t="n">
        <x:v>46308</x:v>
      </x:c>
      <x:c r="W991" s="16"/>
      <x:c r="X991" s="10" t="str">
        <x:v>Иврит предполагается по заголовку и источнику</x:v>
      </x:c>
      <x:c r="Y991" s="10" t="str">
        <x:v>Не проверено</x:v>
      </x:c>
      <x:c r="Z991" s="10" t="str">
        <x:v>Не проверено</x:v>
      </x:c>
      <x:c r="AA991" s="10" t="str">
        <x:v>Метаданные списка; видео не просмотрено</x:v>
      </x:c>
      <x:c r="AB991" s="13" t="str">
        <x:f>IF(AND(ISNUMBER(H991),ISNUMBER(W991)),H991/MAX(1,'Обзор'!$B$4-W991),"")</x:f>
      </x:c>
      <x:c r="AC991" s="17" t="str">
        <x:v>Не решено</x:v>
      </x:c>
      <x:c r="AD991" s="17" t="str">
        <x:v>Не проверено</x:v>
      </x:c>
      <x:c r="AE991" s="17" t="str">
        <x:v>Не проверено</x:v>
      </x:c>
      <x:c r="AF991" s="17" t="str">
        <x:v>Не проверено</x:v>
      </x:c>
      <x:c r="AG991" s="17" t="str">
        <x:v>Не решено</x:v>
      </x:c>
      <x:c r="AH991" s="17" t="str">
        <x:v>Не проверено</x:v>
      </x:c>
      <x:c r="AI991" s="10" t="str">
        <x:f>IF(AC991="Отклонить","Отклонено",IF(AND(AC991="Взять",COUNTIFS(AD991:AH991,"Да")=5),"Готово","Нужна редактура"))</x:f>
        <x:v>Нужна редактура</x:v>
      </x:c>
      <x:c r="AJ991" s="17" t="str"/>
      <x:c r="AK991" s="9" t="str">
        <x:v>https://www.youtube.com/playlist?list=PL51YAgTlfPj7TEDHrgqF6bz4wmNJ6BmNU</x:v>
      </x:c>
      <x:c r="AL991" s="9" t="n">
        <x:v>33</x:v>
      </x:c>
      <x:c r="AM991" s="9"/>
      <x:c r="AN991" s="9"/>
    </x:row>
    <x:row r="992" ht="60" customHeight="1">
      <x:c r="A992" s="9" t="str">
        <x:v>w-0f6o8sAeo</x:v>
      </x:c>
      <x:c r="B992" s="10" t="str">
        <x:v>שקשוקה | הכירו את מייקי | מתחילים ב3.3 ביישומון 🔥</x:v>
      </x:c>
      <x:c r="C992" s="10" t="str">
        <x:v>Семейные сериалы</x:v>
      </x:c>
      <x:c r="D992" s="9" t="str">
        <x:v>Сериал</x:v>
      </x:c>
      <x:c r="E992" s="10" t="str">
        <x:v>Родители; школа; начинающие с опорой</x:v>
      </x:c>
      <x:c r="F992" s="10" t="str">
        <x:v>A2–B1 (гипотеза)</x:v>
      </x:c>
      <x:c r="G992" s="12" t="n">
        <x:v>2</x:v>
      </x:c>
      <x:c r="H992" s="14" t="n">
        <x:v>417000</x:v>
      </x:c>
      <x:c r="I992" s="15" t="str">
        <x:v>Округлённый счётчик в списке YouTube</x:v>
      </x:c>
      <x:c r="J992" s="14" t="n">
        <x:v>417000</x:v>
      </x:c>
      <x:c r="K992" s="14" t="n">
        <x:v>3550000</x:v>
      </x:c>
      <x:c r="L992" s="12" t="n">
        <x:f>IF(COUNT(J992:K992)=2,IF(K992=0,"",J992/K992),"")</x:f>
        <x:v>0.11746478873239437</x:v>
      </x:c>
      <x:c r="M992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92" s="10" t="str">
        <x:v>Назвать проблему героя и предложить решение короткими фразами.</x:v>
      </x:c>
      <x:c r="O992" s="10" t="str">
        <x:v>Проверить темы и возрастную уместность</x:v>
      </x:c>
      <x:c r="P992" s="10" t="str">
        <x:v>Фрагмент сериала</x:v>
      </x:c>
      <x:c r="Q992" s="9" t="str">
        <x:v>Нет</x:v>
      </x:c>
      <x:c r="R992" s="9" t="str">
        <x:v>C054</x:v>
      </x:c>
      <x:c r="S992" s="9" t="str">
        <x:v>C054</x:v>
      </x:c>
      <x:c r="T992" s="10" t="str">
        <x:v>כאן חינוכית</x:v>
      </x:c>
      <x:c r="U992" s="11" t="str">
        <x:v>https://www.youtube.com/watch?v=w-0f6o8sAeo</x:v>
      </x:c>
      <x:c r="V992" s="16" t="n">
        <x:v>46308</x:v>
      </x:c>
      <x:c r="W992" s="16"/>
      <x:c r="X992" s="10" t="str">
        <x:v>Иврит предполагается по заголовку и источнику</x:v>
      </x:c>
      <x:c r="Y992" s="10" t="str">
        <x:v>Не проверено</x:v>
      </x:c>
      <x:c r="Z992" s="10" t="str">
        <x:v>Не проверено</x:v>
      </x:c>
      <x:c r="AA992" s="10" t="str">
        <x:v>Метаданные списка; видео не просмотрено</x:v>
      </x:c>
      <x:c r="AB992" s="13" t="str">
        <x:f>IF(AND(ISNUMBER(H992),ISNUMBER(W992)),H992/MAX(1,'Обзор'!$B$4-W992),"")</x:f>
      </x:c>
      <x:c r="AC992" s="17" t="str">
        <x:v>Не решено</x:v>
      </x:c>
      <x:c r="AD992" s="17" t="str">
        <x:v>Не проверено</x:v>
      </x:c>
      <x:c r="AE992" s="17" t="str">
        <x:v>Не проверено</x:v>
      </x:c>
      <x:c r="AF992" s="17" t="str">
        <x:v>Не проверено</x:v>
      </x:c>
      <x:c r="AG992" s="17" t="str">
        <x:v>Не решено</x:v>
      </x:c>
      <x:c r="AH992" s="17" t="str">
        <x:v>Не проверено</x:v>
      </x:c>
      <x:c r="AI992" s="10" t="str">
        <x:f>IF(AC992="Отклонить","Отклонено",IF(AND(AC992="Взять",COUNTIFS(AD992:AH992,"Да")=5),"Готово","Нужна редактура"))</x:f>
        <x:v>Нужна редактура</x:v>
      </x:c>
      <x:c r="AJ992" s="17" t="str"/>
      <x:c r="AK992" s="9" t="str">
        <x:v>https://www.youtube.com/playlist?list=PL51YAgTlfPj7TEDHrgqF6bz4wmNJ6BmNU</x:v>
      </x:c>
      <x:c r="AL992" s="9" t="n">
        <x:v>34</x:v>
      </x:c>
      <x:c r="AM992" s="9"/>
      <x:c r="AN992" s="9"/>
    </x:row>
    <x:row r="993" ht="60" customHeight="1">
      <x:c r="A993" s="9" t="str">
        <x:v>VLTxgk3Ihck</x:v>
      </x:c>
      <x:c r="B993" s="10" t="str">
        <x:v>שקשוקה | הכירו את דוקי | עכשיו בבכורה ביישומון 🔥</x:v>
      </x:c>
      <x:c r="C993" s="10" t="str">
        <x:v>Семейные сериалы</x:v>
      </x:c>
      <x:c r="D993" s="9" t="str">
        <x:v>Сериал</x:v>
      </x:c>
      <x:c r="E993" s="10" t="str">
        <x:v>Родители; школа; начинающие с опорой</x:v>
      </x:c>
      <x:c r="F993" s="10" t="str">
        <x:v>A2–B1 (гипотеза)</x:v>
      </x:c>
      <x:c r="G993" s="12" t="n">
        <x:v>1.7</x:v>
      </x:c>
      <x:c r="H993" s="14" t="n">
        <x:v>418000</x:v>
      </x:c>
      <x:c r="I993" s="15" t="str">
        <x:v>Округлённый счётчик в списке YouTube</x:v>
      </x:c>
      <x:c r="J993" s="14" t="n">
        <x:v>418000</x:v>
      </x:c>
      <x:c r="K993" s="14" t="n">
        <x:v>3550000</x:v>
      </x:c>
      <x:c r="L993" s="12" t="n">
        <x:f>IF(COUNT(J993:K993)=2,IF(K993=0,"",J993/K993),"")</x:f>
        <x:v>0.11774647887323944</x:v>
      </x:c>
      <x:c r="M993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93" s="10" t="str">
        <x:v>Назвать проблему героя и предложить решение короткими фразами.</x:v>
      </x:c>
      <x:c r="O993" s="10" t="str">
        <x:v>Проверить темы и возрастную уместность</x:v>
      </x:c>
      <x:c r="P993" s="10" t="str">
        <x:v>Фрагмент сериала</x:v>
      </x:c>
      <x:c r="Q993" s="9" t="str">
        <x:v>Нет</x:v>
      </x:c>
      <x:c r="R993" s="9" t="str">
        <x:v>C054</x:v>
      </x:c>
      <x:c r="S993" s="9" t="str">
        <x:v>C054</x:v>
      </x:c>
      <x:c r="T993" s="10" t="str">
        <x:v>כאן חינוכית</x:v>
      </x:c>
      <x:c r="U993" s="11" t="str">
        <x:v>https://www.youtube.com/watch?v=VLTxgk3Ihck</x:v>
      </x:c>
      <x:c r="V993" s="16" t="n">
        <x:v>46308</x:v>
      </x:c>
      <x:c r="W993" s="16"/>
      <x:c r="X993" s="10" t="str">
        <x:v>Иврит предполагается по заголовку и источнику</x:v>
      </x:c>
      <x:c r="Y993" s="10" t="str">
        <x:v>Не проверено</x:v>
      </x:c>
      <x:c r="Z993" s="10" t="str">
        <x:v>Не проверено</x:v>
      </x:c>
      <x:c r="AA993" s="10" t="str">
        <x:v>Метаданные списка; видео не просмотрено</x:v>
      </x:c>
      <x:c r="AB993" s="13" t="str">
        <x:f>IF(AND(ISNUMBER(H993),ISNUMBER(W993)),H993/MAX(1,'Обзор'!$B$4-W993),"")</x:f>
      </x:c>
      <x:c r="AC993" s="17" t="str">
        <x:v>Не решено</x:v>
      </x:c>
      <x:c r="AD993" s="17" t="str">
        <x:v>Не проверено</x:v>
      </x:c>
      <x:c r="AE993" s="17" t="str">
        <x:v>Не проверено</x:v>
      </x:c>
      <x:c r="AF993" s="17" t="str">
        <x:v>Не проверено</x:v>
      </x:c>
      <x:c r="AG993" s="17" t="str">
        <x:v>Не решено</x:v>
      </x:c>
      <x:c r="AH993" s="17" t="str">
        <x:v>Не проверено</x:v>
      </x:c>
      <x:c r="AI993" s="10" t="str">
        <x:f>IF(AC993="Отклонить","Отклонено",IF(AND(AC993="Взять",COUNTIFS(AD993:AH993,"Да")=5),"Готово","Нужна редактура"))</x:f>
        <x:v>Нужна редактура</x:v>
      </x:c>
      <x:c r="AJ993" s="17" t="str"/>
      <x:c r="AK993" s="9" t="str">
        <x:v>https://www.youtube.com/playlist?list=PL51YAgTlfPj7TEDHrgqF6bz4wmNJ6BmNU</x:v>
      </x:c>
      <x:c r="AL993" s="9" t="n">
        <x:v>35</x:v>
      </x:c>
      <x:c r="AM993" s="9"/>
      <x:c r="AN993" s="9"/>
    </x:row>
    <x:row r="994" ht="60" customHeight="1">
      <x:c r="A994" s="9" t="str">
        <x:v>W2FjbfsSXYM</x:v>
      </x:c>
      <x:c r="B994" s="10" t="str">
        <x:v>שקשוקה | הכירו את יובל | עכשיו ביישומון 🔥</x:v>
      </x:c>
      <x:c r="C994" s="10" t="str">
        <x:v>Семейные сериалы</x:v>
      </x:c>
      <x:c r="D994" s="9" t="str">
        <x:v>Сериал</x:v>
      </x:c>
      <x:c r="E994" s="10" t="str">
        <x:v>Родители; школа; начинающие с опорой</x:v>
      </x:c>
      <x:c r="F994" s="10" t="str">
        <x:v>A2–B1 (гипотеза)</x:v>
      </x:c>
      <x:c r="G994" s="12" t="n">
        <x:v>1.9</x:v>
      </x:c>
      <x:c r="H994" s="14" t="n">
        <x:v>264000</x:v>
      </x:c>
      <x:c r="I994" s="15" t="str">
        <x:v>Округлённый счётчик в списке YouTube</x:v>
      </x:c>
      <x:c r="J994" s="14" t="n">
        <x:v>264000</x:v>
      </x:c>
      <x:c r="K994" s="14" t="n">
        <x:v>3550000</x:v>
      </x:c>
      <x:c r="L994" s="12" t="n">
        <x:f>IF(COUNT(J994:K994)=2,IF(K994=0,"",J994/K994),"")</x:f>
        <x:v>0.07436619718309859</x:v>
      </x:c>
      <x:c r="M994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94" s="10" t="str">
        <x:v>Назвать проблему героя и предложить решение короткими фразами.</x:v>
      </x:c>
      <x:c r="O994" s="10" t="str">
        <x:v>Проверить темы и возрастную уместность</x:v>
      </x:c>
      <x:c r="P994" s="10" t="str">
        <x:v>Фрагмент сериала</x:v>
      </x:c>
      <x:c r="Q994" s="9" t="str">
        <x:v>Нет</x:v>
      </x:c>
      <x:c r="R994" s="9" t="str">
        <x:v>C054</x:v>
      </x:c>
      <x:c r="S994" s="9" t="str">
        <x:v>C054</x:v>
      </x:c>
      <x:c r="T994" s="10" t="str">
        <x:v>כאן חינוכית</x:v>
      </x:c>
      <x:c r="U994" s="11" t="str">
        <x:v>https://www.youtube.com/watch?v=W2FjbfsSXYM</x:v>
      </x:c>
      <x:c r="V994" s="16" t="n">
        <x:v>46308</x:v>
      </x:c>
      <x:c r="W994" s="16"/>
      <x:c r="X994" s="10" t="str">
        <x:v>Иврит предполагается по заголовку и источнику</x:v>
      </x:c>
      <x:c r="Y994" s="10" t="str">
        <x:v>Не проверено</x:v>
      </x:c>
      <x:c r="Z994" s="10" t="str">
        <x:v>Не проверено</x:v>
      </x:c>
      <x:c r="AA994" s="10" t="str">
        <x:v>Метаданные списка; видео не просмотрено</x:v>
      </x:c>
      <x:c r="AB994" s="13" t="str">
        <x:f>IF(AND(ISNUMBER(H994),ISNUMBER(W994)),H994/MAX(1,'Обзор'!$B$4-W994),"")</x:f>
      </x:c>
      <x:c r="AC994" s="17" t="str">
        <x:v>Не решено</x:v>
      </x:c>
      <x:c r="AD994" s="17" t="str">
        <x:v>Не проверено</x:v>
      </x:c>
      <x:c r="AE994" s="17" t="str">
        <x:v>Не проверено</x:v>
      </x:c>
      <x:c r="AF994" s="17" t="str">
        <x:v>Не проверено</x:v>
      </x:c>
      <x:c r="AG994" s="17" t="str">
        <x:v>Не решено</x:v>
      </x:c>
      <x:c r="AH994" s="17" t="str">
        <x:v>Не проверено</x:v>
      </x:c>
      <x:c r="AI994" s="10" t="str">
        <x:f>IF(AC994="Отклонить","Отклонено",IF(AND(AC994="Взять",COUNTIFS(AD994:AH994,"Да")=5),"Готово","Нужна редактура"))</x:f>
        <x:v>Нужна редактура</x:v>
      </x:c>
      <x:c r="AJ994" s="17" t="str"/>
      <x:c r="AK994" s="9" t="str">
        <x:v>https://www.youtube.com/playlist?list=PL51YAgTlfPj7TEDHrgqF6bz4wmNJ6BmNU</x:v>
      </x:c>
      <x:c r="AL994" s="9" t="n">
        <x:v>36</x:v>
      </x:c>
      <x:c r="AM994" s="9"/>
      <x:c r="AN994" s="9"/>
    </x:row>
    <x:row r="995" ht="60" customHeight="1">
      <x:c r="A995" s="9" t="str">
        <x:v>3Q6cuRSIRYo</x:v>
      </x:c>
      <x:c r="B995" s="10" t="str">
        <x:v>שקשוקה | יולי היזהרי❗ | עכשיו בבכורה ביישומון 🔥</x:v>
      </x:c>
      <x:c r="C995" s="10" t="str">
        <x:v>Семейные сериалы</x:v>
      </x:c>
      <x:c r="D995" s="9" t="str">
        <x:v>Сериал</x:v>
      </x:c>
      <x:c r="E995" s="10" t="str">
        <x:v>Родители; школа; начинающие с опорой</x:v>
      </x:c>
      <x:c r="F995" s="10" t="str">
        <x:v>A2–B1 (гипотеза)</x:v>
      </x:c>
      <x:c r="G995" s="12" t="n">
        <x:v>0.9</x:v>
      </x:c>
      <x:c r="H995" s="14" t="n">
        <x:v>302000</x:v>
      </x:c>
      <x:c r="I995" s="15" t="str">
        <x:v>Округлённый счётчик в списке YouTube</x:v>
      </x:c>
      <x:c r="J995" s="14" t="n">
        <x:v>302000</x:v>
      </x:c>
      <x:c r="K995" s="14" t="n">
        <x:v>3550000</x:v>
      </x:c>
      <x:c r="L995" s="12" t="n">
        <x:f>IF(COUNT(J995:K995)=2,IF(K995=0,"",J995/K995),"")</x:f>
        <x:v>0.08507042253521127</x:v>
      </x:c>
      <x:c r="M995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Школьные и семейные ситуации полезны семьям репатриантов. Повторяющаяся лексика поддерживает постепенное освоение.</x:v>
      </x:c>
      <x:c r="N995" s="10" t="str">
        <x:v>Назвать проблему героя и предложить решение короткими фразами.</x:v>
      </x:c>
      <x:c r="O995" s="10" t="str">
        <x:v>Проверить темы и возрастную уместность</x:v>
      </x:c>
      <x:c r="P995" s="10" t="str">
        <x:v>Фрагмент сериала</x:v>
      </x:c>
      <x:c r="Q995" s="9" t="str">
        <x:v>Нет</x:v>
      </x:c>
      <x:c r="R995" s="9" t="str">
        <x:v>C054</x:v>
      </x:c>
      <x:c r="S995" s="9" t="str">
        <x:v>C054</x:v>
      </x:c>
      <x:c r="T995" s="10" t="str">
        <x:v>כאן חינוכית</x:v>
      </x:c>
      <x:c r="U995" s="11" t="str">
        <x:v>https://www.youtube.com/watch?v=3Q6cuRSIRYo</x:v>
      </x:c>
      <x:c r="V995" s="16" t="n">
        <x:v>46308</x:v>
      </x:c>
      <x:c r="W995" s="16"/>
      <x:c r="X995" s="10" t="str">
        <x:v>Иврит предполагается по заголовку и источнику</x:v>
      </x:c>
      <x:c r="Y995" s="10" t="str">
        <x:v>Не проверено</x:v>
      </x:c>
      <x:c r="Z995" s="10" t="str">
        <x:v>Не проверено</x:v>
      </x:c>
      <x:c r="AA995" s="10" t="str">
        <x:v>Метаданные списка; видео не просмотрено</x:v>
      </x:c>
      <x:c r="AB995" s="13" t="str">
        <x:f>IF(AND(ISNUMBER(H995),ISNUMBER(W995)),H995/MAX(1,'Обзор'!$B$4-W995),"")</x:f>
      </x:c>
      <x:c r="AC995" s="17" t="str">
        <x:v>Не решено</x:v>
      </x:c>
      <x:c r="AD995" s="17" t="str">
        <x:v>Не проверено</x:v>
      </x:c>
      <x:c r="AE995" s="17" t="str">
        <x:v>Не проверено</x:v>
      </x:c>
      <x:c r="AF995" s="17" t="str">
        <x:v>Не проверено</x:v>
      </x:c>
      <x:c r="AG995" s="17" t="str">
        <x:v>Не решено</x:v>
      </x:c>
      <x:c r="AH995" s="17" t="str">
        <x:v>Не проверено</x:v>
      </x:c>
      <x:c r="AI995" s="10" t="str">
        <x:f>IF(AC995="Отклонить","Отклонено",IF(AND(AC995="Взять",COUNTIFS(AD995:AH995,"Да")=5),"Готово","Нужна редактура"))</x:f>
        <x:v>Нужна редактура</x:v>
      </x:c>
      <x:c r="AJ995" s="17" t="str"/>
      <x:c r="AK995" s="9" t="str">
        <x:v>https://www.youtube.com/playlist?list=PL51YAgTlfPj7TEDHrgqF6bz4wmNJ6BmNU</x:v>
      </x:c>
      <x:c r="AL995" s="9" t="n">
        <x:v>37</x:v>
      </x:c>
      <x:c r="AM995" s="9"/>
      <x:c r="AN995" s="9"/>
    </x:row>
    <x:row r="996" ht="60" customHeight="1">
      <x:c r="A996" s="9" t="str">
        <x:v>nVzG-2QYmUo</x:v>
      </x:c>
      <x:c r="B996" s="10" t="str">
        <x:v>ילדי בית העץ עונה 3 | DIY: מסכת ילדי בית העץ</x:v>
      </x:c>
      <x:c r="C996" s="10" t="str">
        <x:v>Семейные сериалы</x:v>
      </x:c>
      <x:c r="D996" s="9" t="str">
        <x:v>Сериал</x:v>
      </x:c>
      <x:c r="E996" s="10" t="str">
        <x:v>Семьи; подростки; разговорный язык</x:v>
      </x:c>
      <x:c r="F996" s="10" t="str">
        <x:v>A2–B1 (гипотеза)</x:v>
      </x:c>
      <x:c r="G996" s="12" t="n">
        <x:v>1.5</x:v>
      </x:c>
      <x:c r="H996" s="14" t="n">
        <x:v>192000</x:v>
      </x:c>
      <x:c r="I996" s="15" t="str">
        <x:v>Округлённый счётчик в списке YouTube</x:v>
      </x:c>
      <x:c r="J996" s="14" t="n">
        <x:v>192000</x:v>
      </x:c>
      <x:c r="K996" s="14" t="n">
        <x:v>1600000</x:v>
      </x:c>
      <x:c r="L996" s="12" t="n">
        <x:f>IF(COUNT(J996:K996)=2,IF(K996=0,"",J996/K996),"")</x:f>
        <x:v>0.12</x:v>
      </x:c>
      <x:c r="M996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996" s="10" t="str">
        <x:v>Диалог о просьбе и совместном решении; 6 полезных фраз.</x:v>
      </x:c>
      <x:c r="O996" s="10" t="str">
        <x:v>Проверить содержание</x:v>
      </x:c>
      <x:c r="P996" s="10" t="str">
        <x:v>Фрагмент сериала</x:v>
      </x:c>
      <x:c r="Q996" s="9" t="str">
        <x:v>Нет</x:v>
      </x:c>
      <x:c r="R996" s="9" t="str">
        <x:v>C055</x:v>
      </x:c>
      <x:c r="S996" s="9" t="str">
        <x:v>C055</x:v>
      </x:c>
      <x:c r="T996" s="10" t="str">
        <x:v>כאן חינוכית</x:v>
      </x:c>
      <x:c r="U996" s="11" t="str">
        <x:v>https://www.youtube.com/watch?v=nVzG-2QYmUo</x:v>
      </x:c>
      <x:c r="V996" s="16" t="n">
        <x:v>46308</x:v>
      </x:c>
      <x:c r="W996" s="16"/>
      <x:c r="X996" s="10" t="str">
        <x:v>Иврит предполагается по заголовку и источнику</x:v>
      </x:c>
      <x:c r="Y996" s="10" t="str">
        <x:v>Не проверено</x:v>
      </x:c>
      <x:c r="Z996" s="10" t="str">
        <x:v>Не проверено</x:v>
      </x:c>
      <x:c r="AA996" s="10" t="str">
        <x:v>Метаданные списка; видео не просмотрено</x:v>
      </x:c>
      <x:c r="AB996" s="13" t="str">
        <x:f>IF(AND(ISNUMBER(H996),ISNUMBER(W996)),H996/MAX(1,'Обзор'!$B$4-W996),"")</x:f>
      </x:c>
      <x:c r="AC996" s="17" t="str">
        <x:v>Не решено</x:v>
      </x:c>
      <x:c r="AD996" s="17" t="str">
        <x:v>Не проверено</x:v>
      </x:c>
      <x:c r="AE996" s="17" t="str">
        <x:v>Не проверено</x:v>
      </x:c>
      <x:c r="AF996" s="17" t="str">
        <x:v>Не проверено</x:v>
      </x:c>
      <x:c r="AG996" s="17" t="str">
        <x:v>Не решено</x:v>
      </x:c>
      <x:c r="AH996" s="17" t="str">
        <x:v>Не проверено</x:v>
      </x:c>
      <x:c r="AI996" s="10" t="str">
        <x:f>IF(AC996="Отклонить","Отклонено",IF(AND(AC996="Взять",COUNTIFS(AD996:AH996,"Да")=5),"Готово","Нужна редактура"))</x:f>
        <x:v>Нужна редактура</x:v>
      </x:c>
      <x:c r="AJ996" s="17" t="str"/>
      <x:c r="AK996" s="9" t="str">
        <x:v>https://www.youtube.com/playlist?list=PL51YAgTlfPj6CM4uDxhNdRewtz9TD_oL1</x:v>
      </x:c>
      <x:c r="AL996" s="9" t="n">
        <x:v>1</x:v>
      </x:c>
      <x:c r="AM996" s="9"/>
      <x:c r="AN996" s="9"/>
    </x:row>
    <x:row r="997" ht="60" customHeight="1">
      <x:c r="A997" s="9" t="str">
        <x:v>iuSP_ErZh8s</x:v>
      </x:c>
      <x:c r="B997" s="10" t="str">
        <x:v>ילדי בית העץ עונה 3 | DIY עם לירי: מסיכת חתול 😷</x:v>
      </x:c>
      <x:c r="C997" s="10" t="str">
        <x:v>Семейные сериалы</x:v>
      </x:c>
      <x:c r="D997" s="9" t="str">
        <x:v>Сериал</x:v>
      </x:c>
      <x:c r="E997" s="10" t="str">
        <x:v>Семьи; подростки; разговорный язык</x:v>
      </x:c>
      <x:c r="F997" s="10" t="str">
        <x:v>A2–B1 (гипотеза)</x:v>
      </x:c>
      <x:c r="G997" s="12" t="n">
        <x:v>4.2</x:v>
      </x:c>
      <x:c r="H997" s="14" t="n">
        <x:v>194000</x:v>
      </x:c>
      <x:c r="I997" s="15" t="str">
        <x:v>Округлённый счётчик в списке YouTube</x:v>
      </x:c>
      <x:c r="J997" s="14" t="n">
        <x:v>194000</x:v>
      </x:c>
      <x:c r="K997" s="14" t="n">
        <x:v>1600000</x:v>
      </x:c>
      <x:c r="L997" s="12" t="n">
        <x:f>IF(COUNT(J997:K997)=2,IF(K997=0,"",J997/K997),"")</x:f>
        <x:v>0.12125</x:v>
      </x:c>
      <x:c r="M997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997" s="10" t="str">
        <x:v>Диалог о просьбе и совместном решении; 6 полезных фраз.</x:v>
      </x:c>
      <x:c r="O997" s="10" t="str">
        <x:v>Проверить содержание</x:v>
      </x:c>
      <x:c r="P997" s="10" t="str">
        <x:v>Фрагмент сериала</x:v>
      </x:c>
      <x:c r="Q997" s="9" t="str">
        <x:v>Нет</x:v>
      </x:c>
      <x:c r="R997" s="9" t="str">
        <x:v>C055</x:v>
      </x:c>
      <x:c r="S997" s="9" t="str">
        <x:v>C055</x:v>
      </x:c>
      <x:c r="T997" s="10" t="str">
        <x:v>כאן חינוכית</x:v>
      </x:c>
      <x:c r="U997" s="11" t="str">
        <x:v>https://www.youtube.com/watch?v=iuSP_ErZh8s</x:v>
      </x:c>
      <x:c r="V997" s="16" t="n">
        <x:v>46308</x:v>
      </x:c>
      <x:c r="W997" s="16"/>
      <x:c r="X997" s="10" t="str">
        <x:v>Иврит предполагается по заголовку и источнику</x:v>
      </x:c>
      <x:c r="Y997" s="10" t="str">
        <x:v>Не проверено</x:v>
      </x:c>
      <x:c r="Z997" s="10" t="str">
        <x:v>Не проверено</x:v>
      </x:c>
      <x:c r="AA997" s="10" t="str">
        <x:v>Метаданные списка; видео не просмотрено</x:v>
      </x:c>
      <x:c r="AB997" s="13" t="str">
        <x:f>IF(AND(ISNUMBER(H997),ISNUMBER(W997)),H997/MAX(1,'Обзор'!$B$4-W997),"")</x:f>
      </x:c>
      <x:c r="AC997" s="17" t="str">
        <x:v>Не решено</x:v>
      </x:c>
      <x:c r="AD997" s="17" t="str">
        <x:v>Не проверено</x:v>
      </x:c>
      <x:c r="AE997" s="17" t="str">
        <x:v>Не проверено</x:v>
      </x:c>
      <x:c r="AF997" s="17" t="str">
        <x:v>Не проверено</x:v>
      </x:c>
      <x:c r="AG997" s="17" t="str">
        <x:v>Не решено</x:v>
      </x:c>
      <x:c r="AH997" s="17" t="str">
        <x:v>Не проверено</x:v>
      </x:c>
      <x:c r="AI997" s="10" t="str">
        <x:f>IF(AC997="Отклонить","Отклонено",IF(AND(AC997="Взять",COUNTIFS(AD997:AH997,"Да")=5),"Готово","Нужна редактура"))</x:f>
        <x:v>Нужна редактура</x:v>
      </x:c>
      <x:c r="AJ997" s="17" t="str"/>
      <x:c r="AK997" s="9" t="str">
        <x:v>https://www.youtube.com/playlist?list=PL51YAgTlfPj6CM4uDxhNdRewtz9TD_oL1</x:v>
      </x:c>
      <x:c r="AL997" s="9" t="n">
        <x:v>3</x:v>
      </x:c>
      <x:c r="AM997" s="9"/>
      <x:c r="AN997" s="9"/>
    </x:row>
    <x:row r="998" ht="60" customHeight="1">
      <x:c r="A998" s="9" t="str">
        <x:v>cqnNWw3rl_I</x:v>
      </x:c>
      <x:c r="B998" s="10" t="str">
        <x:v>ילדי בית העץ עונה 3 | לירי, נופר ואופק בביצוע היסטרי 🎤</x:v>
      </x:c>
      <x:c r="C998" s="10" t="str">
        <x:v>Семейные сериалы</x:v>
      </x:c>
      <x:c r="D998" s="9" t="str">
        <x:v>Сериал</x:v>
      </x:c>
      <x:c r="E998" s="10" t="str">
        <x:v>Семьи; подростки; разговорный язык</x:v>
      </x:c>
      <x:c r="F998" s="10" t="str">
        <x:v>A2–B1 (гипотеза)</x:v>
      </x:c>
      <x:c r="G998" s="12" t="n">
        <x:v>0.6</x:v>
      </x:c>
      <x:c r="H998" s="14" t="n">
        <x:v>108000</x:v>
      </x:c>
      <x:c r="I998" s="15" t="str">
        <x:v>Округлённый счётчик в списке YouTube</x:v>
      </x:c>
      <x:c r="J998" s="14" t="n">
        <x:v>108000</x:v>
      </x:c>
      <x:c r="K998" s="14" t="n">
        <x:v>1600000</x:v>
      </x:c>
      <x:c r="L998" s="12" t="n">
        <x:f>IF(COUNT(J998:K998)=2,IF(K998=0,"",J998/K998),"")</x:f>
        <x:v>0.0675</x:v>
      </x:c>
      <x:c r="M998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998" s="10" t="str">
        <x:v>Диалог о просьбе и совместном решении; 6 полезных фраз.</x:v>
      </x:c>
      <x:c r="O998" s="10" t="str">
        <x:v>Проверить содержание</x:v>
      </x:c>
      <x:c r="P998" s="10" t="str">
        <x:v>Фрагмент сериала</x:v>
      </x:c>
      <x:c r="Q998" s="9" t="str">
        <x:v>Нет</x:v>
      </x:c>
      <x:c r="R998" s="9" t="str">
        <x:v>C055</x:v>
      </x:c>
      <x:c r="S998" s="9" t="str">
        <x:v>C055</x:v>
      </x:c>
      <x:c r="T998" s="10" t="str">
        <x:v>כאן חינוכית</x:v>
      </x:c>
      <x:c r="U998" s="11" t="str">
        <x:v>https://www.youtube.com/watch?v=cqnNWw3rl_I</x:v>
      </x:c>
      <x:c r="V998" s="16" t="n">
        <x:v>46308</x:v>
      </x:c>
      <x:c r="W998" s="16"/>
      <x:c r="X998" s="10" t="str">
        <x:v>Иврит предполагается по заголовку и источнику</x:v>
      </x:c>
      <x:c r="Y998" s="10" t="str">
        <x:v>Не проверено</x:v>
      </x:c>
      <x:c r="Z998" s="10" t="str">
        <x:v>Не проверено</x:v>
      </x:c>
      <x:c r="AA998" s="10" t="str">
        <x:v>Метаданные списка; видео не просмотрено</x:v>
      </x:c>
      <x:c r="AB998" s="13" t="str">
        <x:f>IF(AND(ISNUMBER(H998),ISNUMBER(W998)),H998/MAX(1,'Обзор'!$B$4-W998),"")</x:f>
      </x:c>
      <x:c r="AC998" s="17" t="str">
        <x:v>Не решено</x:v>
      </x:c>
      <x:c r="AD998" s="17" t="str">
        <x:v>Не проверено</x:v>
      </x:c>
      <x:c r="AE998" s="17" t="str">
        <x:v>Не проверено</x:v>
      </x:c>
      <x:c r="AF998" s="17" t="str">
        <x:v>Не проверено</x:v>
      </x:c>
      <x:c r="AG998" s="17" t="str">
        <x:v>Не решено</x:v>
      </x:c>
      <x:c r="AH998" s="17" t="str">
        <x:v>Не проверено</x:v>
      </x:c>
      <x:c r="AI998" s="10" t="str">
        <x:f>IF(AC998="Отклонить","Отклонено",IF(AND(AC998="Взять",COUNTIFS(AD998:AH998,"Да")=5),"Готово","Нужна редактура"))</x:f>
        <x:v>Нужна редактура</x:v>
      </x:c>
      <x:c r="AJ998" s="17" t="str"/>
      <x:c r="AK998" s="9" t="str">
        <x:v>https://www.youtube.com/playlist?list=PL51YAgTlfPj6CM4uDxhNdRewtz9TD_oL1</x:v>
      </x:c>
      <x:c r="AL998" s="9" t="n">
        <x:v>4</x:v>
      </x:c>
      <x:c r="AM998" s="9"/>
      <x:c r="AN998" s="9"/>
    </x:row>
    <x:row r="999" ht="60" customHeight="1">
      <x:c r="A999" s="9" t="str">
        <x:v>uCb2HfK3o0Y</x:v>
      </x:c>
      <x:c r="B999" s="10" t="str">
        <x:v>ילדי בית העץ | צ'ופי בקסם שיעלים לכם את השעמום ✨</x:v>
      </x:c>
      <x:c r="C999" s="10" t="str">
        <x:v>Семейные сериалы</x:v>
      </x:c>
      <x:c r="D999" s="9" t="str">
        <x:v>Сериал</x:v>
      </x:c>
      <x:c r="E999" s="10" t="str">
        <x:v>Семьи; подростки; разговорный язык</x:v>
      </x:c>
      <x:c r="F999" s="10" t="str">
        <x:v>A2–B1 (гипотеза)</x:v>
      </x:c>
      <x:c r="G999" s="12" t="n">
        <x:v>0.6</x:v>
      </x:c>
      <x:c r="H999" s="14" t="n">
        <x:v>202000</x:v>
      </x:c>
      <x:c r="I999" s="15" t="str">
        <x:v>Округлённый счётчик в списке YouTube</x:v>
      </x:c>
      <x:c r="J999" s="14" t="n">
        <x:v>202000</x:v>
      </x:c>
      <x:c r="K999" s="14" t="n">
        <x:v>1600000</x:v>
      </x:c>
      <x:c r="L999" s="12" t="n">
        <x:f>IF(COUNT(J999:K999)=2,IF(K999=0,"",J999/K999),"")</x:f>
        <x:v>0.12625</x:v>
      </x:c>
      <x:c r="M999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999" s="10" t="str">
        <x:v>Диалог о просьбе и совместном решении; 6 полезных фраз.</x:v>
      </x:c>
      <x:c r="O999" s="10" t="str">
        <x:v>Проверить содержание</x:v>
      </x:c>
      <x:c r="P999" s="10" t="str">
        <x:v>Фрагмент сериала</x:v>
      </x:c>
      <x:c r="Q999" s="9" t="str">
        <x:v>Нет</x:v>
      </x:c>
      <x:c r="R999" s="9" t="str">
        <x:v>C055</x:v>
      </x:c>
      <x:c r="S999" s="9" t="str">
        <x:v>C055</x:v>
      </x:c>
      <x:c r="T999" s="10" t="str">
        <x:v>כאן חינוכית</x:v>
      </x:c>
      <x:c r="U999" s="11" t="str">
        <x:v>https://www.youtube.com/watch?v=uCb2HfK3o0Y</x:v>
      </x:c>
      <x:c r="V999" s="16" t="n">
        <x:v>46308</x:v>
      </x:c>
      <x:c r="W999" s="16"/>
      <x:c r="X999" s="10" t="str">
        <x:v>Иврит предполагается по заголовку и источнику</x:v>
      </x:c>
      <x:c r="Y999" s="10" t="str">
        <x:v>Не проверено</x:v>
      </x:c>
      <x:c r="Z999" s="10" t="str">
        <x:v>Не проверено</x:v>
      </x:c>
      <x:c r="AA999" s="10" t="str">
        <x:v>Метаданные списка; видео не просмотрено</x:v>
      </x:c>
      <x:c r="AB999" s="13" t="str">
        <x:f>IF(AND(ISNUMBER(H999),ISNUMBER(W999)),H999/MAX(1,'Обзор'!$B$4-W999),"")</x:f>
      </x:c>
      <x:c r="AC999" s="17" t="str">
        <x:v>Не решено</x:v>
      </x:c>
      <x:c r="AD999" s="17" t="str">
        <x:v>Не проверено</x:v>
      </x:c>
      <x:c r="AE999" s="17" t="str">
        <x:v>Не проверено</x:v>
      </x:c>
      <x:c r="AF999" s="17" t="str">
        <x:v>Не проверено</x:v>
      </x:c>
      <x:c r="AG999" s="17" t="str">
        <x:v>Не решено</x:v>
      </x:c>
      <x:c r="AH999" s="17" t="str">
        <x:v>Не проверено</x:v>
      </x:c>
      <x:c r="AI999" s="10" t="str">
        <x:f>IF(AC999="Отклонить","Отклонено",IF(AND(AC999="Взять",COUNTIFS(AD999:AH999,"Да")=5),"Готово","Нужна редактура"))</x:f>
        <x:v>Нужна редактура</x:v>
      </x:c>
      <x:c r="AJ999" s="17" t="str"/>
      <x:c r="AK999" s="9" t="str">
        <x:v>https://www.youtube.com/playlist?list=PL51YAgTlfPj6CM4uDxhNdRewtz9TD_oL1</x:v>
      </x:c>
      <x:c r="AL999" s="9" t="n">
        <x:v>5</x:v>
      </x:c>
      <x:c r="AM999" s="9"/>
      <x:c r="AN999" s="9"/>
    </x:row>
    <x:row r="1000" ht="60" customHeight="1">
      <x:c r="A1000" s="9" t="str">
        <x:v>MAUgeqnEDRI</x:v>
      </x:c>
      <x:c r="B1000" s="10" t="str">
        <x:v>ילדי בית העץ עונה 3 | תנו לאופק לסדר לכם את העניינים 😎</x:v>
      </x:c>
      <x:c r="C1000" s="10" t="str">
        <x:v>Семейные сериалы</x:v>
      </x:c>
      <x:c r="D1000" s="9" t="str">
        <x:v>Сериал</x:v>
      </x:c>
      <x:c r="E1000" s="10" t="str">
        <x:v>Семьи; подростки; разговорный язык</x:v>
      </x:c>
      <x:c r="F1000" s="10" t="str">
        <x:v>A2–B1 (гипотеза)</x:v>
      </x:c>
      <x:c r="G1000" s="12" t="n">
        <x:v>1.5</x:v>
      </x:c>
      <x:c r="H1000" s="14" t="n">
        <x:v>132000</x:v>
      </x:c>
      <x:c r="I1000" s="15" t="str">
        <x:v>Округлённый счётчик в списке YouTube</x:v>
      </x:c>
      <x:c r="J1000" s="14" t="n">
        <x:v>132000</x:v>
      </x:c>
      <x:c r="K1000" s="14" t="n">
        <x:v>1600000</x:v>
      </x:c>
      <x:c r="L1000" s="12" t="n">
        <x:f>IF(COUNT(J1000:K1000)=2,IF(K1000=0,"",J1000/K1000),"")</x:f>
        <x:v>0.0825</x:v>
      </x:c>
      <x:c r="M1000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1000" s="10" t="str">
        <x:v>Диалог о просьбе и совместном решении; 6 полезных фраз.</x:v>
      </x:c>
      <x:c r="O1000" s="10" t="str">
        <x:v>Проверить содержание</x:v>
      </x:c>
      <x:c r="P1000" s="10" t="str">
        <x:v>Фрагмент сериала</x:v>
      </x:c>
      <x:c r="Q1000" s="9" t="str">
        <x:v>Нет</x:v>
      </x:c>
      <x:c r="R1000" s="9" t="str">
        <x:v>C055</x:v>
      </x:c>
      <x:c r="S1000" s="9" t="str">
        <x:v>C055</x:v>
      </x:c>
      <x:c r="T1000" s="10" t="str">
        <x:v>כאן חינוכית</x:v>
      </x:c>
      <x:c r="U1000" s="11" t="str">
        <x:v>https://www.youtube.com/watch?v=MAUgeqnEDRI</x:v>
      </x:c>
      <x:c r="V1000" s="16" t="n">
        <x:v>46308</x:v>
      </x:c>
      <x:c r="W1000" s="16"/>
      <x:c r="X1000" s="10" t="str">
        <x:v>Иврит предполагается по заголовку и источнику</x:v>
      </x:c>
      <x:c r="Y1000" s="10" t="str">
        <x:v>Не проверено</x:v>
      </x:c>
      <x:c r="Z1000" s="10" t="str">
        <x:v>Не проверено</x:v>
      </x:c>
      <x:c r="AA1000" s="10" t="str">
        <x:v>Метаданные списка; видео не просмотрено</x:v>
      </x:c>
      <x:c r="AB1000" s="13" t="str">
        <x:f>IF(AND(ISNUMBER(H1000),ISNUMBER(W1000)),H1000/MAX(1,'Обзор'!$B$4-W1000),"")</x:f>
      </x:c>
      <x:c r="AC1000" s="17" t="str">
        <x:v>Не решено</x:v>
      </x:c>
      <x:c r="AD1000" s="17" t="str">
        <x:v>Не проверено</x:v>
      </x:c>
      <x:c r="AE1000" s="17" t="str">
        <x:v>Не проверено</x:v>
      </x:c>
      <x:c r="AF1000" s="17" t="str">
        <x:v>Не проверено</x:v>
      </x:c>
      <x:c r="AG1000" s="17" t="str">
        <x:v>Не решено</x:v>
      </x:c>
      <x:c r="AH1000" s="17" t="str">
        <x:v>Не проверено</x:v>
      </x:c>
      <x:c r="AI1000" s="10" t="str">
        <x:f>IF(AC1000="Отклонить","Отклонено",IF(AND(AC1000="Взять",COUNTIFS(AD1000:AH1000,"Да")=5),"Готово","Нужна редактура"))</x:f>
        <x:v>Нужна редактура</x:v>
      </x:c>
      <x:c r="AJ1000" s="17" t="str"/>
      <x:c r="AK1000" s="9" t="str">
        <x:v>https://www.youtube.com/playlist?list=PL51YAgTlfPj6CM4uDxhNdRewtz9TD_oL1</x:v>
      </x:c>
      <x:c r="AL1000" s="9" t="n">
        <x:v>6</x:v>
      </x:c>
      <x:c r="AM1000" s="9"/>
      <x:c r="AN1000" s="9"/>
    </x:row>
    <x:row r="1001" ht="60" customHeight="1">
      <x:c r="A1001" s="9" t="str">
        <x:v>jdRjCdyrae4</x:v>
      </x:c>
      <x:c r="B1001" s="10" t="str">
        <x:v>בשביל ילדי בית העץ כל יום פורים 🤡</x:v>
      </x:c>
      <x:c r="C1001" s="10" t="str">
        <x:v>Семейные сериалы</x:v>
      </x:c>
      <x:c r="D1001" s="9" t="str">
        <x:v>Сериал</x:v>
      </x:c>
      <x:c r="E1001" s="10" t="str">
        <x:v>Семьи; подростки; разговорный язык</x:v>
      </x:c>
      <x:c r="F1001" s="10" t="str">
        <x:v>A2–B1 (гипотеза)</x:v>
      </x:c>
      <x:c r="G1001" s="12" t="n">
        <x:v>1</x:v>
      </x:c>
      <x:c r="H1001" s="14" t="n">
        <x:v>151000</x:v>
      </x:c>
      <x:c r="I1001" s="15" t="str">
        <x:v>Округлённый счётчик в списке YouTube</x:v>
      </x:c>
      <x:c r="J1001" s="14" t="n">
        <x:v>151000</x:v>
      </x:c>
      <x:c r="K1001" s="14" t="n">
        <x:v>1600000</x:v>
      </x:c>
      <x:c r="L1001" s="12" t="n">
        <x:f>IF(COUNT(J1001:K1001)=2,IF(K1001=0,"",J1001/K1001),"")</x:f>
        <x:v>0.094375</x:v>
      </x:c>
      <x:c r="M1001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1001" s="10" t="str">
        <x:v>Диалог о просьбе и совместном решении; 6 полезных фраз.</x:v>
      </x:c>
      <x:c r="O1001" s="10" t="str">
        <x:v>В заголовке есть чувствительная тема: предварительный просмотр и добровольный выбор. Проверить содержание</x:v>
      </x:c>
      <x:c r="P1001" s="10" t="str">
        <x:v>Фрагмент сериала</x:v>
      </x:c>
      <x:c r="Q1001" s="9" t="str">
        <x:v>Нет</x:v>
      </x:c>
      <x:c r="R1001" s="9" t="str">
        <x:v>C055</x:v>
      </x:c>
      <x:c r="S1001" s="9" t="str">
        <x:v>C055</x:v>
      </x:c>
      <x:c r="T1001" s="10" t="str">
        <x:v>כאן חינוכית</x:v>
      </x:c>
      <x:c r="U1001" s="11" t="str">
        <x:v>https://www.youtube.com/watch?v=jdRjCdyrae4</x:v>
      </x:c>
      <x:c r="V1001" s="16" t="n">
        <x:v>46308</x:v>
      </x:c>
      <x:c r="W1001" s="16"/>
      <x:c r="X1001" s="10" t="str">
        <x:v>Иврит предполагается по заголовку и источнику</x:v>
      </x:c>
      <x:c r="Y1001" s="10" t="str">
        <x:v>Не проверено</x:v>
      </x:c>
      <x:c r="Z1001" s="10" t="str">
        <x:v>Не проверено</x:v>
      </x:c>
      <x:c r="AA1001" s="10" t="str">
        <x:v>Метаданные списка; видео не просмотрено</x:v>
      </x:c>
      <x:c r="AB1001" s="13" t="str">
        <x:f>IF(AND(ISNUMBER(H1001),ISNUMBER(W1001)),H1001/MAX(1,'Обзор'!$B$4-W1001),"")</x:f>
      </x:c>
      <x:c r="AC1001" s="17" t="str">
        <x:v>Не решено</x:v>
      </x:c>
      <x:c r="AD1001" s="17" t="str">
        <x:v>Не проверено</x:v>
      </x:c>
      <x:c r="AE1001" s="17" t="str">
        <x:v>Не проверено</x:v>
      </x:c>
      <x:c r="AF1001" s="17" t="str">
        <x:v>Не проверено</x:v>
      </x:c>
      <x:c r="AG1001" s="17" t="str">
        <x:v>Не решено</x:v>
      </x:c>
      <x:c r="AH1001" s="17" t="str">
        <x:v>Не проверено</x:v>
      </x:c>
      <x:c r="AI1001" s="10" t="str">
        <x:f>IF(AC1001="Отклонить","Отклонено",IF(AND(AC1001="Взять",COUNTIFS(AD1001:AH1001,"Да")=5),"Готово","Нужна редактура"))</x:f>
        <x:v>Нужна редактура</x:v>
      </x:c>
      <x:c r="AJ1001" s="17" t="str"/>
      <x:c r="AK1001" s="9" t="str">
        <x:v>https://www.youtube.com/playlist?list=PL51YAgTlfPj6CM4uDxhNdRewtz9TD_oL1</x:v>
      </x:c>
      <x:c r="AL1001" s="9" t="n">
        <x:v>7</x:v>
      </x:c>
      <x:c r="AM1001" s="9"/>
      <x:c r="AN1001" s="9"/>
    </x:row>
    <x:row r="1002" ht="60" customHeight="1">
      <x:c r="A1002" s="9" t="str">
        <x:v>kXD7dzFjW14</x:v>
      </x:c>
      <x:c r="B1002" s="10" t="str">
        <x:v>ילדי בית העץ עונה 3 | איך להתחפש לאפרים? 🤠</x:v>
      </x:c>
      <x:c r="C1002" s="10" t="str">
        <x:v>Семейные сериалы</x:v>
      </x:c>
      <x:c r="D1002" s="9" t="str">
        <x:v>Сериал</x:v>
      </x:c>
      <x:c r="E1002" s="10" t="str">
        <x:v>Семьи; подростки; разговорный язык</x:v>
      </x:c>
      <x:c r="F1002" s="10" t="str">
        <x:v>A2–B1 (гипотеза)</x:v>
      </x:c>
      <x:c r="G1002" s="12" t="n">
        <x:v>0.6</x:v>
      </x:c>
      <x:c r="H1002" s="14" t="n">
        <x:v>535000</x:v>
      </x:c>
      <x:c r="I1002" s="15" t="str">
        <x:v>Округлённый счётчик в списке YouTube</x:v>
      </x:c>
      <x:c r="J1002" s="14" t="n">
        <x:v>535000</x:v>
      </x:c>
      <x:c r="K1002" s="14" t="n">
        <x:v>1600000</x:v>
      </x:c>
      <x:c r="L1002" s="12" t="n">
        <x:f>IF(COUNT(J1002:K1002)=2,IF(K1002=0,"",J1002/K1002),"")</x:f>
        <x:v>0.334375</x:v>
      </x:c>
      <x:c r="M1002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1002" s="10" t="str">
        <x:v>Диалог о просьбе и совместном решении; 6 полезных фраз.</x:v>
      </x:c>
      <x:c r="O1002" s="10" t="str">
        <x:v>Проверить содержание</x:v>
      </x:c>
      <x:c r="P1002" s="10" t="str">
        <x:v>Фрагмент сериала</x:v>
      </x:c>
      <x:c r="Q1002" s="9" t="str">
        <x:v>Нет</x:v>
      </x:c>
      <x:c r="R1002" s="9" t="str">
        <x:v>C055</x:v>
      </x:c>
      <x:c r="S1002" s="9" t="str">
        <x:v>C055</x:v>
      </x:c>
      <x:c r="T1002" s="10" t="str">
        <x:v>כאן חינוכית</x:v>
      </x:c>
      <x:c r="U1002" s="11" t="str">
        <x:v>https://www.youtube.com/watch?v=kXD7dzFjW14</x:v>
      </x:c>
      <x:c r="V1002" s="16" t="n">
        <x:v>46308</x:v>
      </x:c>
      <x:c r="W1002" s="16"/>
      <x:c r="X1002" s="10" t="str">
        <x:v>Иврит предполагается по заголовку и источнику</x:v>
      </x:c>
      <x:c r="Y1002" s="10" t="str">
        <x:v>Не проверено</x:v>
      </x:c>
      <x:c r="Z1002" s="10" t="str">
        <x:v>Не проверено</x:v>
      </x:c>
      <x:c r="AA1002" s="10" t="str">
        <x:v>Метаданные списка; видео не просмотрено</x:v>
      </x:c>
      <x:c r="AB1002" s="13" t="str">
        <x:f>IF(AND(ISNUMBER(H1002),ISNUMBER(W1002)),H1002/MAX(1,'Обзор'!$B$4-W1002),"")</x:f>
      </x:c>
      <x:c r="AC1002" s="17" t="str">
        <x:v>Не решено</x:v>
      </x:c>
      <x:c r="AD1002" s="17" t="str">
        <x:v>Не проверено</x:v>
      </x:c>
      <x:c r="AE1002" s="17" t="str">
        <x:v>Не проверено</x:v>
      </x:c>
      <x:c r="AF1002" s="17" t="str">
        <x:v>Не проверено</x:v>
      </x:c>
      <x:c r="AG1002" s="17" t="str">
        <x:v>Не решено</x:v>
      </x:c>
      <x:c r="AH1002" s="17" t="str">
        <x:v>Не проверено</x:v>
      </x:c>
      <x:c r="AI1002" s="10" t="str">
        <x:f>IF(AC1002="Отклонить","Отклонено",IF(AND(AC1002="Взять",COUNTIFS(AD1002:AH1002,"Да")=5),"Готово","Нужна редактура"))</x:f>
        <x:v>Нужна редактура</x:v>
      </x:c>
      <x:c r="AJ1002" s="17" t="str"/>
      <x:c r="AK1002" s="9" t="str">
        <x:v>https://www.youtube.com/playlist?list=PL51YAgTlfPj6CM4uDxhNdRewtz9TD_oL1</x:v>
      </x:c>
      <x:c r="AL1002" s="9" t="n">
        <x:v>8</x:v>
      </x:c>
      <x:c r="AM1002" s="9"/>
      <x:c r="AN1002" s="9"/>
    </x:row>
    <x:row r="1003" ht="60" customHeight="1">
      <x:c r="A1003" s="9" t="str">
        <x:v>0Z-m5rTYzsE</x:v>
      </x:c>
      <x:c r="B1003" s="10" t="str">
        <x:v>ילדי בית העץ עונה 3 | נגה וגנדי - סיפור אהבה? 😍</x:v>
      </x:c>
      <x:c r="C1003" s="10" t="str">
        <x:v>Семейные сериалы</x:v>
      </x:c>
      <x:c r="D1003" s="9" t="str">
        <x:v>Сериал</x:v>
      </x:c>
      <x:c r="E1003" s="10" t="str">
        <x:v>Семьи; подростки; разговорный язык</x:v>
      </x:c>
      <x:c r="F1003" s="10" t="str">
        <x:v>A2–B1 (гипотеза)</x:v>
      </x:c>
      <x:c r="G1003" s="12" t="n">
        <x:v>2.2</x:v>
      </x:c>
      <x:c r="H1003" s="14" t="n">
        <x:v>194000</x:v>
      </x:c>
      <x:c r="I1003" s="15" t="str">
        <x:v>Округлённый счётчик в списке YouTube</x:v>
      </x:c>
      <x:c r="J1003" s="14" t="n">
        <x:v>194000</x:v>
      </x:c>
      <x:c r="K1003" s="14" t="n">
        <x:v>1600000</x:v>
      </x:c>
      <x:c r="L1003" s="12" t="n">
        <x:f>IF(COUNT(J1003:K1003)=2,IF(K1003=0,"",J1003/K1003),"")</x:f>
        <x:v>0.12125</x:v>
      </x:c>
      <x:c r="M1003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1003" s="10" t="str">
        <x:v>Диалог о просьбе и совместном решении; 6 полезных фраз.</x:v>
      </x:c>
      <x:c r="O1003" s="10" t="str">
        <x:v>Проверить содержание</x:v>
      </x:c>
      <x:c r="P1003" s="10" t="str">
        <x:v>Фрагмент сериала</x:v>
      </x:c>
      <x:c r="Q1003" s="9" t="str">
        <x:v>Нет</x:v>
      </x:c>
      <x:c r="R1003" s="9" t="str">
        <x:v>C055</x:v>
      </x:c>
      <x:c r="S1003" s="9" t="str">
        <x:v>C055</x:v>
      </x:c>
      <x:c r="T1003" s="10" t="str">
        <x:v>כאן חינוכית</x:v>
      </x:c>
      <x:c r="U1003" s="11" t="str">
        <x:v>https://www.youtube.com/watch?v=0Z-m5rTYzsE</x:v>
      </x:c>
      <x:c r="V1003" s="16" t="n">
        <x:v>46308</x:v>
      </x:c>
      <x:c r="W1003" s="16"/>
      <x:c r="X1003" s="10" t="str">
        <x:v>Иврит предполагается по заголовку и источнику</x:v>
      </x:c>
      <x:c r="Y1003" s="10" t="str">
        <x:v>Не проверено</x:v>
      </x:c>
      <x:c r="Z1003" s="10" t="str">
        <x:v>Не проверено</x:v>
      </x:c>
      <x:c r="AA1003" s="10" t="str">
        <x:v>Метаданные списка; видео не просмотрено</x:v>
      </x:c>
      <x:c r="AB1003" s="13" t="str">
        <x:f>IF(AND(ISNUMBER(H1003),ISNUMBER(W1003)),H1003/MAX(1,'Обзор'!$B$4-W1003),"")</x:f>
      </x:c>
      <x:c r="AC1003" s="17" t="str">
        <x:v>Не решено</x:v>
      </x:c>
      <x:c r="AD1003" s="17" t="str">
        <x:v>Не проверено</x:v>
      </x:c>
      <x:c r="AE1003" s="17" t="str">
        <x:v>Не проверено</x:v>
      </x:c>
      <x:c r="AF1003" s="17" t="str">
        <x:v>Не проверено</x:v>
      </x:c>
      <x:c r="AG1003" s="17" t="str">
        <x:v>Не решено</x:v>
      </x:c>
      <x:c r="AH1003" s="17" t="str">
        <x:v>Не проверено</x:v>
      </x:c>
      <x:c r="AI1003" s="10" t="str">
        <x:f>IF(AC1003="Отклонить","Отклонено",IF(AND(AC1003="Взять",COUNTIFS(AD1003:AH1003,"Да")=5),"Готово","Нужна редактура"))</x:f>
        <x:v>Нужна редактура</x:v>
      </x:c>
      <x:c r="AJ1003" s="17" t="str"/>
      <x:c r="AK1003" s="9" t="str">
        <x:v>https://www.youtube.com/playlist?list=PL51YAgTlfPj6CM4uDxhNdRewtz9TD_oL1</x:v>
      </x:c>
      <x:c r="AL1003" s="9" t="n">
        <x:v>9</x:v>
      </x:c>
      <x:c r="AM1003" s="9"/>
      <x:c r="AN1003" s="9"/>
    </x:row>
    <x:row r="1004" ht="60" customHeight="1">
      <x:c r="A1004" s="9" t="str">
        <x:v>8dOYHGxbLmk</x:v>
      </x:c>
      <x:c r="B1004" s="10" t="str">
        <x:v>ילדי בית העץ עונה 3 | צ'ופימן חבר על 🦸‍♂️</x:v>
      </x:c>
      <x:c r="C1004" s="10" t="str">
        <x:v>Семейные сериалы</x:v>
      </x:c>
      <x:c r="D1004" s="9" t="str">
        <x:v>Сериал</x:v>
      </x:c>
      <x:c r="E1004" s="10" t="str">
        <x:v>Семьи; подростки; разговорный язык</x:v>
      </x:c>
      <x:c r="F1004" s="10" t="str">
        <x:v>A2–B1 (гипотеза)</x:v>
      </x:c>
      <x:c r="G1004" s="12" t="n">
        <x:v>1.7</x:v>
      </x:c>
      <x:c r="H1004" s="14" t="n">
        <x:v>57000</x:v>
      </x:c>
      <x:c r="I1004" s="15" t="str">
        <x:v>Округлённый счётчик в списке YouTube</x:v>
      </x:c>
      <x:c r="J1004" s="14" t="n">
        <x:v>57000</x:v>
      </x:c>
      <x:c r="K1004" s="14" t="n">
        <x:v>1600000</x:v>
      </x:c>
      <x:c r="L1004" s="12" t="n">
        <x:f>IF(COUNT(J1004:K1004)=2,IF(K1004=0,"",J1004/K1004),"")</x:f>
        <x:v>0.035625</x:v>
      </x:c>
      <x:c r="M1004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1004" s="10" t="str">
        <x:v>Диалог о просьбе и совместном решении; 6 полезных фраз.</x:v>
      </x:c>
      <x:c r="O1004" s="10" t="str">
        <x:v>Проверить содержание</x:v>
      </x:c>
      <x:c r="P1004" s="10" t="str">
        <x:v>Фрагмент сериала</x:v>
      </x:c>
      <x:c r="Q1004" s="9" t="str">
        <x:v>Нет</x:v>
      </x:c>
      <x:c r="R1004" s="9" t="str">
        <x:v>C055</x:v>
      </x:c>
      <x:c r="S1004" s="9" t="str">
        <x:v>C055</x:v>
      </x:c>
      <x:c r="T1004" s="10" t="str">
        <x:v>כאן חינוכית</x:v>
      </x:c>
      <x:c r="U1004" s="11" t="str">
        <x:v>https://www.youtube.com/watch?v=8dOYHGxbLmk</x:v>
      </x:c>
      <x:c r="V1004" s="16" t="n">
        <x:v>46308</x:v>
      </x:c>
      <x:c r="W1004" s="16"/>
      <x:c r="X1004" s="10" t="str">
        <x:v>Иврит предполагается по заголовку и источнику</x:v>
      </x:c>
      <x:c r="Y1004" s="10" t="str">
        <x:v>Не проверено</x:v>
      </x:c>
      <x:c r="Z1004" s="10" t="str">
        <x:v>Не проверено</x:v>
      </x:c>
      <x:c r="AA1004" s="10" t="str">
        <x:v>Метаданные списка; видео не просмотрено</x:v>
      </x:c>
      <x:c r="AB1004" s="13" t="str">
        <x:f>IF(AND(ISNUMBER(H1004),ISNUMBER(W1004)),H1004/MAX(1,'Обзор'!$B$4-W1004),"")</x:f>
      </x:c>
      <x:c r="AC1004" s="17" t="str">
        <x:v>Не решено</x:v>
      </x:c>
      <x:c r="AD1004" s="17" t="str">
        <x:v>Не проверено</x:v>
      </x:c>
      <x:c r="AE1004" s="17" t="str">
        <x:v>Не проверено</x:v>
      </x:c>
      <x:c r="AF1004" s="17" t="str">
        <x:v>Не проверено</x:v>
      </x:c>
      <x:c r="AG1004" s="17" t="str">
        <x:v>Не решено</x:v>
      </x:c>
      <x:c r="AH1004" s="17" t="str">
        <x:v>Не проверено</x:v>
      </x:c>
      <x:c r="AI1004" s="10" t="str">
        <x:f>IF(AC1004="Отклонить","Отклонено",IF(AND(AC1004="Взять",COUNTIFS(AD1004:AH1004,"Да")=5),"Готово","Нужна редактура"))</x:f>
        <x:v>Нужна редактура</x:v>
      </x:c>
      <x:c r="AJ1004" s="17" t="str"/>
      <x:c r="AK1004" s="9" t="str">
        <x:v>https://www.youtube.com/playlist?list=PL51YAgTlfPj6CM4uDxhNdRewtz9TD_oL1</x:v>
      </x:c>
      <x:c r="AL1004" s="9" t="n">
        <x:v>10</x:v>
      </x:c>
      <x:c r="AM1004" s="9"/>
      <x:c r="AN1004" s="9"/>
    </x:row>
    <x:row r="1005" ht="60" customHeight="1">
      <x:c r="A1005" s="9" t="str">
        <x:v>enghMsntw4Y</x:v>
      </x:c>
      <x:c r="B1005" s="10" t="str">
        <x:v>ילדי בית העץ עונה 3 | למה התאהבנו בלירי? ♥</x:v>
      </x:c>
      <x:c r="C1005" s="10" t="str">
        <x:v>Семейные сериалы</x:v>
      </x:c>
      <x:c r="D1005" s="9" t="str">
        <x:v>Сериал</x:v>
      </x:c>
      <x:c r="E1005" s="10" t="str">
        <x:v>Семьи; подростки; разговорный язык</x:v>
      </x:c>
      <x:c r="F1005" s="10" t="str">
        <x:v>A2–B1 (гипотеза)</x:v>
      </x:c>
      <x:c r="G1005" s="12" t="n">
        <x:v>2.6</x:v>
      </x:c>
      <x:c r="H1005" s="14" t="n">
        <x:v>334000</x:v>
      </x:c>
      <x:c r="I1005" s="15" t="str">
        <x:v>Округлённый счётчик в списке YouTube</x:v>
      </x:c>
      <x:c r="J1005" s="14" t="n">
        <x:v>334000</x:v>
      </x:c>
      <x:c r="K1005" s="14" t="n">
        <x:v>1600000</x:v>
      </x:c>
      <x:c r="L1005" s="12" t="n">
        <x:f>IF(COUNT(J1005:K1005)=2,IF(K1005=0,"",J1005/K1005),"")</x:f>
        <x:v>0.20875</x:v>
      </x:c>
      <x:c r="M1005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1005" s="10" t="str">
        <x:v>Диалог о просьбе и совместном решении; 6 полезных фраз.</x:v>
      </x:c>
      <x:c r="O1005" s="10" t="str">
        <x:v>Проверить содержание</x:v>
      </x:c>
      <x:c r="P1005" s="10" t="str">
        <x:v>Фрагмент сериала</x:v>
      </x:c>
      <x:c r="Q1005" s="9" t="str">
        <x:v>Нет</x:v>
      </x:c>
      <x:c r="R1005" s="9" t="str">
        <x:v>C055</x:v>
      </x:c>
      <x:c r="S1005" s="9" t="str">
        <x:v>C055</x:v>
      </x:c>
      <x:c r="T1005" s="10" t="str">
        <x:v>כאן חינוכית</x:v>
      </x:c>
      <x:c r="U1005" s="11" t="str">
        <x:v>https://www.youtube.com/watch?v=enghMsntw4Y</x:v>
      </x:c>
      <x:c r="V1005" s="16" t="n">
        <x:v>46308</x:v>
      </x:c>
      <x:c r="W1005" s="16"/>
      <x:c r="X1005" s="10" t="str">
        <x:v>Иврит предполагается по заголовку и источнику</x:v>
      </x:c>
      <x:c r="Y1005" s="10" t="str">
        <x:v>Не проверено</x:v>
      </x:c>
      <x:c r="Z1005" s="10" t="str">
        <x:v>Не проверено</x:v>
      </x:c>
      <x:c r="AA1005" s="10" t="str">
        <x:v>Метаданные списка; видео не просмотрено</x:v>
      </x:c>
      <x:c r="AB1005" s="13" t="str">
        <x:f>IF(AND(ISNUMBER(H1005),ISNUMBER(W1005)),H1005/MAX(1,'Обзор'!$B$4-W1005),"")</x:f>
      </x:c>
      <x:c r="AC1005" s="17" t="str">
        <x:v>Не решено</x:v>
      </x:c>
      <x:c r="AD1005" s="17" t="str">
        <x:v>Не проверено</x:v>
      </x:c>
      <x:c r="AE1005" s="17" t="str">
        <x:v>Не проверено</x:v>
      </x:c>
      <x:c r="AF1005" s="17" t="str">
        <x:v>Не проверено</x:v>
      </x:c>
      <x:c r="AG1005" s="17" t="str">
        <x:v>Не решено</x:v>
      </x:c>
      <x:c r="AH1005" s="17" t="str">
        <x:v>Не проверено</x:v>
      </x:c>
      <x:c r="AI1005" s="10" t="str">
        <x:f>IF(AC1005="Отклонить","Отклонено",IF(AND(AC1005="Взять",COUNTIFS(AD1005:AH1005,"Да")=5),"Готово","Нужна редактура"))</x:f>
        <x:v>Нужна редактура</x:v>
      </x:c>
      <x:c r="AJ1005" s="17" t="str"/>
      <x:c r="AK1005" s="9" t="str">
        <x:v>https://www.youtube.com/playlist?list=PL51YAgTlfPj6CM4uDxhNdRewtz9TD_oL1</x:v>
      </x:c>
      <x:c r="AL1005" s="9" t="n">
        <x:v>11</x:v>
      </x:c>
      <x:c r="AM1005" s="9"/>
      <x:c r="AN1005" s="9"/>
    </x:row>
    <x:row r="1006" ht="60" customHeight="1">
      <x:c r="A1006" s="9" t="str">
        <x:v>NAKXEAcquv8</x:v>
      </x:c>
      <x:c r="B1006" s="10" t="str">
        <x:v>ילדי בית העץ עונה 3 | שיר אהבה לעצים 🌳</x:v>
      </x:c>
      <x:c r="C1006" s="10" t="str">
        <x:v>Семейные сериалы</x:v>
      </x:c>
      <x:c r="D1006" s="9" t="str">
        <x:v>Сериал</x:v>
      </x:c>
      <x:c r="E1006" s="10" t="str">
        <x:v>Семьи; подростки; разговорный язык</x:v>
      </x:c>
      <x:c r="F1006" s="10" t="str">
        <x:v>A2–B1 (гипотеза)</x:v>
      </x:c>
      <x:c r="G1006" s="12" t="n">
        <x:v>0.6</x:v>
      </x:c>
      <x:c r="H1006" s="14" t="n">
        <x:v>92000</x:v>
      </x:c>
      <x:c r="I1006" s="15" t="str">
        <x:v>Округлённый счётчик в списке YouTube</x:v>
      </x:c>
      <x:c r="J1006" s="14" t="n">
        <x:v>92000</x:v>
      </x:c>
      <x:c r="K1006" s="14" t="n">
        <x:v>1600000</x:v>
      </x:c>
      <x:c r="L1006" s="12" t="n">
        <x:f>IF(COUNT(J1006:K1006)=2,IF(K1006=0,"",J1006/K1006),"")</x:f>
        <x:v>0.0575</x:v>
      </x:c>
      <x:c r="M1006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1006" s="10" t="str">
        <x:v>Диалог о просьбе и совместном решении; 6 полезных фраз.</x:v>
      </x:c>
      <x:c r="O1006" s="10" t="str">
        <x:v>Проверить содержание</x:v>
      </x:c>
      <x:c r="P1006" s="10" t="str">
        <x:v>Фрагмент сериала</x:v>
      </x:c>
      <x:c r="Q1006" s="9" t="str">
        <x:v>Нет</x:v>
      </x:c>
      <x:c r="R1006" s="9" t="str">
        <x:v>C055</x:v>
      </x:c>
      <x:c r="S1006" s="9" t="str">
        <x:v>C055</x:v>
      </x:c>
      <x:c r="T1006" s="10" t="str">
        <x:v>כאן חינוכית</x:v>
      </x:c>
      <x:c r="U1006" s="11" t="str">
        <x:v>https://www.youtube.com/watch?v=NAKXEAcquv8</x:v>
      </x:c>
      <x:c r="V1006" s="16" t="n">
        <x:v>46308</x:v>
      </x:c>
      <x:c r="W1006" s="16"/>
      <x:c r="X1006" s="10" t="str">
        <x:v>Иврит предполагается по заголовку и источнику</x:v>
      </x:c>
      <x:c r="Y1006" s="10" t="str">
        <x:v>Не проверено</x:v>
      </x:c>
      <x:c r="Z1006" s="10" t="str">
        <x:v>Не проверено</x:v>
      </x:c>
      <x:c r="AA1006" s="10" t="str">
        <x:v>Метаданные списка; видео не просмотрено</x:v>
      </x:c>
      <x:c r="AB1006" s="13" t="str">
        <x:f>IF(AND(ISNUMBER(H1006),ISNUMBER(W1006)),H1006/MAX(1,'Обзор'!$B$4-W1006),"")</x:f>
      </x:c>
      <x:c r="AC1006" s="17" t="str">
        <x:v>Не решено</x:v>
      </x:c>
      <x:c r="AD1006" s="17" t="str">
        <x:v>Не проверено</x:v>
      </x:c>
      <x:c r="AE1006" s="17" t="str">
        <x:v>Не проверено</x:v>
      </x:c>
      <x:c r="AF1006" s="17" t="str">
        <x:v>Не проверено</x:v>
      </x:c>
      <x:c r="AG1006" s="17" t="str">
        <x:v>Не решено</x:v>
      </x:c>
      <x:c r="AH1006" s="17" t="str">
        <x:v>Не проверено</x:v>
      </x:c>
      <x:c r="AI1006" s="10" t="str">
        <x:f>IF(AC1006="Отклонить","Отклонено",IF(AND(AC1006="Взять",COUNTIFS(AD1006:AH1006,"Да")=5),"Готово","Нужна редактура"))</x:f>
        <x:v>Нужна редактура</x:v>
      </x:c>
      <x:c r="AJ1006" s="17" t="str"/>
      <x:c r="AK1006" s="9" t="str">
        <x:v>https://www.youtube.com/playlist?list=PL51YAgTlfPj6CM4uDxhNdRewtz9TD_oL1</x:v>
      </x:c>
      <x:c r="AL1006" s="9" t="n">
        <x:v>12</x:v>
      </x:c>
      <x:c r="AM1006" s="9"/>
      <x:c r="AN1006" s="9"/>
    </x:row>
    <x:row r="1007" ht="60" customHeight="1">
      <x:c r="A1007" s="9" t="str">
        <x:v>8_mKwzPyHTE</x:v>
      </x:c>
      <x:c r="B1007" s="10" t="str">
        <x:v>ילדי בית העץ עונה 3 | פרק 20 - פעם  | שידורי בכורה ביוטיוב 🔥</x:v>
      </x:c>
      <x:c r="C1007" s="10" t="str">
        <x:v>Семейные сериалы</x:v>
      </x:c>
      <x:c r="D1007" s="9" t="str">
        <x:v>Сериал</x:v>
      </x:c>
      <x:c r="E1007" s="10" t="str">
        <x:v>Семьи; подростки; разговорный язык</x:v>
      </x:c>
      <x:c r="F1007" s="10" t="str">
        <x:v>A2–B1 (гипотеза)</x:v>
      </x:c>
      <x:c r="G1007" s="12" t="n">
        <x:v>16.2</x:v>
      </x:c>
      <x:c r="H1007" s="14" t="n">
        <x:v>1641567</x:v>
      </x:c>
      <x:c r="I1007" s="15" t="str">
        <x:v>Точный счётчик метаданных видео</x:v>
      </x:c>
      <x:c r="J1007" s="14" t="n">
        <x:v>1600000</x:v>
      </x:c>
      <x:c r="K1007" s="14" t="n">
        <x:v>1600000</x:v>
      </x:c>
      <x:c r="L1007" s="12" t="n">
        <x:f>IF(COUNT(J1007:K1007)=2,IF(K1007=0,"",J1007/K1007),"")</x:f>
        <x:v>1</x:v>
      </x:c>
      <x:c r="M1007" s="10" t="str">
        <x:v>Эпизод 20 в знакомой сюжетной ветке. Детская группа и общие приключения дают тему дружбы и взаимодействия.</x:v>
      </x:c>
      <x:c r="N1007" s="10" t="str">
        <x:v>Диалог о просьбе и совместном решении; 6 полезных фраз.</x:v>
      </x:c>
      <x:c r="O1007" s="10" t="str">
        <x:v>Проверить содержание</x:v>
      </x:c>
      <x:c r="P1007" s="10" t="str">
        <x:v>Полная серия — кандидат</x:v>
      </x:c>
      <x:c r="Q1007" s="9" t="str">
        <x:v>Нет</x:v>
      </x:c>
      <x:c r="R1007" s="9" t="str">
        <x:v>C055</x:v>
      </x:c>
      <x:c r="S1007" s="9" t="str">
        <x:v>C055</x:v>
      </x:c>
      <x:c r="T1007" s="10" t="str">
        <x:v>כאן חינוכית</x:v>
      </x:c>
      <x:c r="U1007" s="11" t="str">
        <x:v>https://www.youtube.com/watch?v=8_mKwzPyHTE</x:v>
      </x:c>
      <x:c r="V1007" s="16" t="n">
        <x:v>46308</x:v>
      </x:c>
      <x:c r="W1007" s="16" t="n">
        <x:v>43844</x:v>
      </x:c>
      <x:c r="X1007" s="10" t="str">
        <x:v>Иврит предполагается по заголовку и источнику</x:v>
      </x:c>
      <x:c r="Y1007" s="10" t="str">
        <x:v>Автоматическая дорожка HE по метаданным</x:v>
      </x:c>
      <x:c r="Z1007" s="10" t="str">
        <x:v>Разрешено по метаданным</x:v>
      </x:c>
      <x:c r="AA1007" s="10" t="str">
        <x:v>Метаданные видео; воспроизведение и содержание не проверены</x:v>
      </x:c>
      <x:c r="AB1007" s="13" t="n">
        <x:f>IF(AND(ISNUMBER(H1007),ISNUMBER(W1007)),H1007/MAX(1,'Обзор'!$B$4-W1007),"")</x:f>
        <x:v>666.2203733766233</x:v>
      </x:c>
      <x:c r="AC1007" s="17" t="str">
        <x:v>Не решено</x:v>
      </x:c>
      <x:c r="AD1007" s="17" t="str">
        <x:v>Не проверено</x:v>
      </x:c>
      <x:c r="AE1007" s="17" t="str">
        <x:v>Не проверено</x:v>
      </x:c>
      <x:c r="AF1007" s="17" t="str">
        <x:v>Не проверено</x:v>
      </x:c>
      <x:c r="AG1007" s="17" t="str">
        <x:v>Не решено</x:v>
      </x:c>
      <x:c r="AH1007" s="17" t="str">
        <x:v>Не проверено</x:v>
      </x:c>
      <x:c r="AI1007" s="10" t="str">
        <x:f>IF(AC1007="Отклонить","Отклонено",IF(AND(AC1007="Взять",COUNTIFS(AD1007:AH1007,"Да")=5),"Готово","Нужна редактура"))</x:f>
        <x:v>Нужна редактура</x:v>
      </x:c>
      <x:c r="AJ1007" s="17" t="str"/>
      <x:c r="AK1007" s="9" t="str">
        <x:v>https://www.youtube.com/playlist?list=PL51YAgTlfPj6CM4uDxhNdRewtz9TD_oL1</x:v>
      </x:c>
      <x:c r="AL1007" s="9" t="n">
        <x:v>34</x:v>
      </x:c>
      <x:c r="AM1007" s="9" t="n">
        <x:v>20</x:v>
      </x:c>
      <x:c r="AN1007" s="9" t="n">
        <x:v>0</x:v>
      </x:c>
    </x:row>
    <x:row r="1008" ht="60" customHeight="1">
      <x:c r="A1008" s="9" t="str">
        <x:v>D6UBPh3809M</x:v>
      </x:c>
      <x:c r="B1008" s="10" t="str">
        <x:v>ילדי בית העץ עונה 3 | פרק 21 - להיות יצירתית | שידורי בכורה ביוטיוב 🔥</x:v>
      </x:c>
      <x:c r="C1008" s="10" t="str">
        <x:v>Семейные сериалы</x:v>
      </x:c>
      <x:c r="D1008" s="9" t="str">
        <x:v>Сериал</x:v>
      </x:c>
      <x:c r="E1008" s="10" t="str">
        <x:v>Семьи; подростки; разговорный язык</x:v>
      </x:c>
      <x:c r="F1008" s="10" t="str">
        <x:v>A2–B1 (гипотеза)</x:v>
      </x:c>
      <x:c r="G1008" s="12" t="n">
        <x:v>14.5</x:v>
      </x:c>
      <x:c r="H1008" s="14" t="n">
        <x:v>1275988</x:v>
      </x:c>
      <x:c r="I1008" s="15" t="str">
        <x:v>Точный счётчик метаданных видео</x:v>
      </x:c>
      <x:c r="J1008" s="14" t="n">
        <x:v>1200000</x:v>
      </x:c>
      <x:c r="K1008" s="14" t="n">
        <x:v>1600000</x:v>
      </x:c>
      <x:c r="L1008" s="12" t="n">
        <x:f>IF(COUNT(J1008:K1008)=2,IF(K1008=0,"",J1008/K1008),"")</x:f>
        <x:v>0.75</x:v>
      </x:c>
      <x:c r="M1008" s="10" t="str">
        <x:v>Эпизод 21 в знакомой сюжетной ветке. Детская группа и общие приключения дают тему дружбы и взаимодействия.</x:v>
      </x:c>
      <x:c r="N1008" s="10" t="str">
        <x:v>Диалог о просьбе и совместном решении; 6 полезных фраз.</x:v>
      </x:c>
      <x:c r="O1008" s="10" t="str">
        <x:v>Проверить содержание</x:v>
      </x:c>
      <x:c r="P1008" s="10" t="str">
        <x:v>Полная серия — кандидат</x:v>
      </x:c>
      <x:c r="Q1008" s="9" t="str">
        <x:v>Нет</x:v>
      </x:c>
      <x:c r="R1008" s="9" t="str">
        <x:v>C055</x:v>
      </x:c>
      <x:c r="S1008" s="9" t="str">
        <x:v>C055</x:v>
      </x:c>
      <x:c r="T1008" s="10" t="str">
        <x:v>כאן חינוכית</x:v>
      </x:c>
      <x:c r="U1008" s="11" t="str">
        <x:v>https://www.youtube.com/watch?v=D6UBPh3809M</x:v>
      </x:c>
      <x:c r="V1008" s="16" t="n">
        <x:v>46308</x:v>
      </x:c>
      <x:c r="W1008" s="16" t="n">
        <x:v>43845</x:v>
      </x:c>
      <x:c r="X1008" s="10" t="str">
        <x:v>Иврит предполагается по заголовку и источнику</x:v>
      </x:c>
      <x:c r="Y1008" s="10" t="str">
        <x:v>Автоматическая дорожка HE по метаданным</x:v>
      </x:c>
      <x:c r="Z1008" s="10" t="str">
        <x:v>Разрешено по метаданным</x:v>
      </x:c>
      <x:c r="AA1008" s="10" t="str">
        <x:v>Метаданные видео; воспроизведение и содержание не проверены</x:v>
      </x:c>
      <x:c r="AB1008" s="13" t="n">
        <x:f>IF(AND(ISNUMBER(H1008),ISNUMBER(W1008)),H1008/MAX(1,'Обзор'!$B$4-W1008),"")</x:f>
        <x:v>518.0625253755583</x:v>
      </x:c>
      <x:c r="AC1008" s="17" t="str">
        <x:v>Не решено</x:v>
      </x:c>
      <x:c r="AD1008" s="17" t="str">
        <x:v>Не проверено</x:v>
      </x:c>
      <x:c r="AE1008" s="17" t="str">
        <x:v>Не проверено</x:v>
      </x:c>
      <x:c r="AF1008" s="17" t="str">
        <x:v>Не проверено</x:v>
      </x:c>
      <x:c r="AG1008" s="17" t="str">
        <x:v>Не решено</x:v>
      </x:c>
      <x:c r="AH1008" s="17" t="str">
        <x:v>Не проверено</x:v>
      </x:c>
      <x:c r="AI1008" s="10" t="str">
        <x:f>IF(AC1008="Отклонить","Отклонено",IF(AND(AC1008="Взять",COUNTIFS(AD1008:AH1008,"Да")=5),"Готово","Нужна редактура"))</x:f>
        <x:v>Нужна редактура</x:v>
      </x:c>
      <x:c r="AJ1008" s="17" t="str"/>
      <x:c r="AK1008" s="9" t="str">
        <x:v>https://www.youtube.com/playlist?list=PL51YAgTlfPj6CM4uDxhNdRewtz9TD_oL1</x:v>
      </x:c>
      <x:c r="AL1008" s="9" t="n">
        <x:v>32</x:v>
      </x:c>
      <x:c r="AM1008" s="9" t="n">
        <x:v>21</x:v>
      </x:c>
      <x:c r="AN1008" s="9" t="n">
        <x:v>0</x:v>
      </x:c>
    </x:row>
    <x:row r="1009" ht="60" customHeight="1">
      <x:c r="A1009" s="9" t="str">
        <x:v>GuaX-RxRdzk</x:v>
      </x:c>
      <x:c r="B1009" s="10" t="str">
        <x:v>ילדי בית העץ עונה 3 | פרק 22 - חורשת בריחה | שידורי בכורה ביוטיוב 🔥</x:v>
      </x:c>
      <x:c r="C1009" s="10" t="str">
        <x:v>Семейные сериалы</x:v>
      </x:c>
      <x:c r="D1009" s="9" t="str">
        <x:v>Сериал</x:v>
      </x:c>
      <x:c r="E1009" s="10" t="str">
        <x:v>Семьи; подростки; разговорный язык</x:v>
      </x:c>
      <x:c r="F1009" s="10" t="str">
        <x:v>A2–B1 (гипотеза)</x:v>
      </x:c>
      <x:c r="G1009" s="12" t="n">
        <x:v>14.5</x:v>
      </x:c>
      <x:c r="H1009" s="14" t="n">
        <x:v>1881980</x:v>
      </x:c>
      <x:c r="I1009" s="15" t="str">
        <x:v>Точный счётчик метаданных видео</x:v>
      </x:c>
      <x:c r="J1009" s="14" t="n">
        <x:v>1800000</x:v>
      </x:c>
      <x:c r="K1009" s="14" t="n">
        <x:v>1600000</x:v>
      </x:c>
      <x:c r="L1009" s="12" t="n">
        <x:f>IF(COUNT(J1009:K1009)=2,IF(K1009=0,"",J1009/K1009),"")</x:f>
        <x:v>1.125</x:v>
      </x:c>
      <x:c r="M1009" s="10" t="str">
        <x:v>Эпизод 22 в знакомой сюжетной ветке. Детская группа и общие приключения дают тему дружбы и взаимодействия.</x:v>
      </x:c>
      <x:c r="N1009" s="10" t="str">
        <x:v>Диалог о просьбе и совместном решении; 6 полезных фраз.</x:v>
      </x:c>
      <x:c r="O1009" s="10" t="str">
        <x:v>Проверить содержание</x:v>
      </x:c>
      <x:c r="P1009" s="10" t="str">
        <x:v>Полная серия — кандидат</x:v>
      </x:c>
      <x:c r="Q1009" s="9" t="str">
        <x:v>Нет</x:v>
      </x:c>
      <x:c r="R1009" s="9" t="str">
        <x:v>C055</x:v>
      </x:c>
      <x:c r="S1009" s="9" t="str">
        <x:v>C055</x:v>
      </x:c>
      <x:c r="T1009" s="10" t="str">
        <x:v>כאן חינוכית</x:v>
      </x:c>
      <x:c r="U1009" s="11" t="str">
        <x:v>https://www.youtube.com/watch?v=GuaX-RxRdzk</x:v>
      </x:c>
      <x:c r="V1009" s="16" t="n">
        <x:v>46308</x:v>
      </x:c>
      <x:c r="W1009" s="16" t="n">
        <x:v>43849</x:v>
      </x:c>
      <x:c r="X1009" s="10" t="str">
        <x:v>Иврит предполагается по заголовку и источнику</x:v>
      </x:c>
      <x:c r="Y1009" s="10" t="str">
        <x:v>Дорожка HE не найдена в метаданных; вшитые титры не проверены</x:v>
      </x:c>
      <x:c r="Z1009" s="10" t="str">
        <x:v>Разрешено по метаданным</x:v>
      </x:c>
      <x:c r="AA1009" s="10" t="str">
        <x:v>Метаданные видео; воспроизведение и содержание не проверены</x:v>
      </x:c>
      <x:c r="AB1009" s="13" t="n">
        <x:f>IF(AND(ISNUMBER(H1009),ISNUMBER(W1009)),H1009/MAX(1,'Обзор'!$B$4-W1009),"")</x:f>
        <x:v>765.3436356242375</x:v>
      </x:c>
      <x:c r="AC1009" s="17" t="str">
        <x:v>Не решено</x:v>
      </x:c>
      <x:c r="AD1009" s="17" t="str">
        <x:v>Не проверено</x:v>
      </x:c>
      <x:c r="AE1009" s="17" t="str">
        <x:v>Не проверено</x:v>
      </x:c>
      <x:c r="AF1009" s="17" t="str">
        <x:v>Не проверено</x:v>
      </x:c>
      <x:c r="AG1009" s="17" t="str">
        <x:v>Не решено</x:v>
      </x:c>
      <x:c r="AH1009" s="17" t="str">
        <x:v>Не проверено</x:v>
      </x:c>
      <x:c r="AI1009" s="10" t="str">
        <x:f>IF(AC1009="Отклонить","Отклонено",IF(AND(AC1009="Взять",COUNTIFS(AD1009:AH1009,"Да")=5),"Готово","Нужна редактура"))</x:f>
        <x:v>Нужна редактура</x:v>
      </x:c>
      <x:c r="AJ1009" s="17" t="str"/>
      <x:c r="AK1009" s="9" t="str">
        <x:v>https://www.youtube.com/playlist?list=PL51YAgTlfPj6CM4uDxhNdRewtz9TD_oL1</x:v>
      </x:c>
      <x:c r="AL1009" s="9" t="n">
        <x:v>29</x:v>
      </x:c>
      <x:c r="AM1009" s="9" t="n">
        <x:v>22</x:v>
      </x:c>
      <x:c r="AN1009" s="9" t="n">
        <x:v>0</x:v>
      </x:c>
    </x:row>
    <x:row r="1010" ht="60" customHeight="1">
      <x:c r="A1010" s="9" t="str">
        <x:v>Ate-qNw_nv8</x:v>
      </x:c>
      <x:c r="B1010" s="10" t="str">
        <x:v>ילדי בית העץ עונה 3 | פרק 23 - לתקן טעות | שידורי בכורה ביוטיוב 🔥</x:v>
      </x:c>
      <x:c r="C1010" s="10" t="str">
        <x:v>Семейные сериалы</x:v>
      </x:c>
      <x:c r="D1010" s="9" t="str">
        <x:v>Сериал</x:v>
      </x:c>
      <x:c r="E1010" s="10" t="str">
        <x:v>Семьи; подростки; разговорный язык</x:v>
      </x:c>
      <x:c r="F1010" s="10" t="str">
        <x:v>A2–B1 (гипотеза)</x:v>
      </x:c>
      <x:c r="G1010" s="12" t="n">
        <x:v>15.5</x:v>
      </x:c>
      <x:c r="H1010" s="14" t="n">
        <x:v>1234648</x:v>
      </x:c>
      <x:c r="I1010" s="15" t="str">
        <x:v>Точный счётчик метаданных видео</x:v>
      </x:c>
      <x:c r="J1010" s="14" t="n">
        <x:v>1200000</x:v>
      </x:c>
      <x:c r="K1010" s="14" t="n">
        <x:v>1600000</x:v>
      </x:c>
      <x:c r="L1010" s="12" t="n">
        <x:f>IF(COUNT(J1010:K1010)=2,IF(K1010=0,"",J1010/K1010),"")</x:f>
        <x:v>0.75</x:v>
      </x:c>
      <x:c r="M1010" s="10" t="str">
        <x:v>Эпизод 23 в знакомой сюжетной ветке. Детская группа и общие приключения дают тему дружбы и взаимодействия.</x:v>
      </x:c>
      <x:c r="N1010" s="10" t="str">
        <x:v>Диалог о просьбе и совместном решении; 6 полезных фраз.</x:v>
      </x:c>
      <x:c r="O1010" s="10" t="str">
        <x:v>Проверить содержание</x:v>
      </x:c>
      <x:c r="P1010" s="10" t="str">
        <x:v>Полная серия — кандидат</x:v>
      </x:c>
      <x:c r="Q1010" s="9" t="str">
        <x:v>Нет</x:v>
      </x:c>
      <x:c r="R1010" s="9" t="str">
        <x:v>C055</x:v>
      </x:c>
      <x:c r="S1010" s="9" t="str">
        <x:v>C055</x:v>
      </x:c>
      <x:c r="T1010" s="10" t="str">
        <x:v>כאן חינוכית</x:v>
      </x:c>
      <x:c r="U1010" s="11" t="str">
        <x:v>https://www.youtube.com/watch?v=Ate-qNw_nv8</x:v>
      </x:c>
      <x:c r="V1010" s="16" t="n">
        <x:v>46308</x:v>
      </x:c>
      <x:c r="W1010" s="16" t="n">
        <x:v>43850</x:v>
      </x:c>
      <x:c r="X1010" s="10" t="str">
        <x:v>Иврит предполагается по заголовку и источнику</x:v>
      </x:c>
      <x:c r="Y1010" s="10" t="str">
        <x:v>Дорожка HE не найдена в метаданных; вшитые титры не проверены</x:v>
      </x:c>
      <x:c r="Z1010" s="10" t="str">
        <x:v>Разрешено по метаданным</x:v>
      </x:c>
      <x:c r="AA1010" s="10" t="str">
        <x:v>Метаданные видео; воспроизведение и содержание не проверены</x:v>
      </x:c>
      <x:c r="AB1010" s="13" t="n">
        <x:f>IF(AND(ISNUMBER(H1010),ISNUMBER(W1010)),H1010/MAX(1,'Обзор'!$B$4-W1010),"")</x:f>
        <x:v>502.2978030919447</x:v>
      </x:c>
      <x:c r="AC1010" s="17" t="str">
        <x:v>Не решено</x:v>
      </x:c>
      <x:c r="AD1010" s="17" t="str">
        <x:v>Не проверено</x:v>
      </x:c>
      <x:c r="AE1010" s="17" t="str">
        <x:v>Не проверено</x:v>
      </x:c>
      <x:c r="AF1010" s="17" t="str">
        <x:v>Не проверено</x:v>
      </x:c>
      <x:c r="AG1010" s="17" t="str">
        <x:v>Не решено</x:v>
      </x:c>
      <x:c r="AH1010" s="17" t="str">
        <x:v>Не проверено</x:v>
      </x:c>
      <x:c r="AI1010" s="10" t="str">
        <x:f>IF(AC1010="Отклонить","Отклонено",IF(AND(AC1010="Взять",COUNTIFS(AD1010:AH1010,"Да")=5),"Готово","Нужна редактура"))</x:f>
        <x:v>Нужна редактура</x:v>
      </x:c>
      <x:c r="AJ1010" s="17" t="str"/>
      <x:c r="AK1010" s="9" t="str">
        <x:v>https://www.youtube.com/playlist?list=PL51YAgTlfPj6CM4uDxhNdRewtz9TD_oL1</x:v>
      </x:c>
      <x:c r="AL1010" s="9" t="n">
        <x:v>27</x:v>
      </x:c>
      <x:c r="AM1010" s="9" t="n">
        <x:v>23</x:v>
      </x:c>
      <x:c r="AN1010" s="9" t="n">
        <x:v>0</x:v>
      </x:c>
    </x:row>
    <x:row r="1011" ht="60" customHeight="1">
      <x:c r="A1011" s="9" t="str">
        <x:v>oPCwKT5ENw8</x:v>
      </x:c>
      <x:c r="B1011" s="10" t="str">
        <x:v>ילדי בית העץ עונה 3 | פרק 24 - חייזרים בחורשה | שידורי בכורה ביוטיוב 🔥</x:v>
      </x:c>
      <x:c r="C1011" s="10" t="str">
        <x:v>Семейные сериалы</x:v>
      </x:c>
      <x:c r="D1011" s="9" t="str">
        <x:v>Сериал</x:v>
      </x:c>
      <x:c r="E1011" s="10" t="str">
        <x:v>Семьи; подростки; разговорный язык</x:v>
      </x:c>
      <x:c r="F1011" s="10" t="str">
        <x:v>A2–B1 (гипотеза)</x:v>
      </x:c>
      <x:c r="G1011" s="12" t="n">
        <x:v>16.2</x:v>
      </x:c>
      <x:c r="H1011" s="14" t="n">
        <x:v>1781294</x:v>
      </x:c>
      <x:c r="I1011" s="15" t="str">
        <x:v>Точный счётчик метаданных видео</x:v>
      </x:c>
      <x:c r="J1011" s="14" t="n">
        <x:v>1700000</x:v>
      </x:c>
      <x:c r="K1011" s="14" t="n">
        <x:v>1600000</x:v>
      </x:c>
      <x:c r="L1011" s="12" t="n">
        <x:f>IF(COUNT(J1011:K1011)=2,IF(K1011=0,"",J1011/K1011),"")</x:f>
        <x:v>1.0625</x:v>
      </x:c>
      <x:c r="M1011" s="10" t="str">
        <x:v>Эпизод 24 в знакомой сюжетной ветке. Детская группа и общие приключения дают тему дружбы и взаимодействия.</x:v>
      </x:c>
      <x:c r="N1011" s="10" t="str">
        <x:v>Диалог о просьбе и совместном решении; 6 полезных фраз.</x:v>
      </x:c>
      <x:c r="O1011" s="10" t="str">
        <x:v>Проверить содержание</x:v>
      </x:c>
      <x:c r="P1011" s="10" t="str">
        <x:v>Полная серия — кандидат</x:v>
      </x:c>
      <x:c r="Q1011" s="9" t="str">
        <x:v>Нет</x:v>
      </x:c>
      <x:c r="R1011" s="9" t="str">
        <x:v>C055</x:v>
      </x:c>
      <x:c r="S1011" s="9" t="str">
        <x:v>C055</x:v>
      </x:c>
      <x:c r="T1011" s="10" t="str">
        <x:v>כאן חינוכית</x:v>
      </x:c>
      <x:c r="U1011" s="11" t="str">
        <x:v>https://www.youtube.com/watch?v=oPCwKT5ENw8</x:v>
      </x:c>
      <x:c r="V1011" s="16" t="n">
        <x:v>46308</x:v>
      </x:c>
      <x:c r="W1011" s="16" t="n">
        <x:v>43851</x:v>
      </x:c>
      <x:c r="X1011" s="10" t="str">
        <x:v>Иврит предполагается по заголовку и источнику</x:v>
      </x:c>
      <x:c r="Y1011" s="10" t="str">
        <x:v>Дорожка HE не найдена в метаданных; вшитые титры не проверены</x:v>
      </x:c>
      <x:c r="Z1011" s="10" t="str">
        <x:v>Разрешено по метаданным</x:v>
      </x:c>
      <x:c r="AA1011" s="10" t="str">
        <x:v>Метаданные видео; воспроизведение и содержание не проверены</x:v>
      </x:c>
      <x:c r="AB1011" s="13" t="n">
        <x:f>IF(AND(ISNUMBER(H1011),ISNUMBER(W1011)),H1011/MAX(1,'Обзор'!$B$4-W1011),"")</x:f>
        <x:v>724.987382987383</x:v>
      </x:c>
      <x:c r="AC1011" s="17" t="str">
        <x:v>Не решено</x:v>
      </x:c>
      <x:c r="AD1011" s="17" t="str">
        <x:v>Не проверено</x:v>
      </x:c>
      <x:c r="AE1011" s="17" t="str">
        <x:v>Не проверено</x:v>
      </x:c>
      <x:c r="AF1011" s="17" t="str">
        <x:v>Не проверено</x:v>
      </x:c>
      <x:c r="AG1011" s="17" t="str">
        <x:v>Не решено</x:v>
      </x:c>
      <x:c r="AH1011" s="17" t="str">
        <x:v>Не проверено</x:v>
      </x:c>
      <x:c r="AI1011" s="10" t="str">
        <x:f>IF(AC1011="Отклонить","Отклонено",IF(AND(AC1011="Взять",COUNTIFS(AD1011:AH1011,"Да")=5),"Готово","Нужна редактура"))</x:f>
        <x:v>Нужна редактура</x:v>
      </x:c>
      <x:c r="AJ1011" s="17" t="str"/>
      <x:c r="AK1011" s="9" t="str">
        <x:v>https://www.youtube.com/playlist?list=PL51YAgTlfPj6CM4uDxhNdRewtz9TD_oL1</x:v>
      </x:c>
      <x:c r="AL1011" s="9" t="n">
        <x:v>25</x:v>
      </x:c>
      <x:c r="AM1011" s="9" t="n">
        <x:v>24</x:v>
      </x:c>
      <x:c r="AN1011" s="9" t="n">
        <x:v>0</x:v>
      </x:c>
    </x:row>
    <x:row r="1012" ht="60" customHeight="1">
      <x:c r="A1012" s="9" t="str">
        <x:v>vAkLnbWllcw</x:v>
      </x:c>
      <x:c r="B1012" s="10" t="str">
        <x:v>ילדי בית העץ  עונה 3 | פרק 25 - לטלילה אכפת | שידורי בכורה ביוטיוב 🔥</x:v>
      </x:c>
      <x:c r="C1012" s="10" t="str">
        <x:v>Семейные сериалы</x:v>
      </x:c>
      <x:c r="D1012" s="9" t="str">
        <x:v>Сериал</x:v>
      </x:c>
      <x:c r="E1012" s="10" t="str">
        <x:v>Семьи; подростки; разговорный язык</x:v>
      </x:c>
      <x:c r="F1012" s="10" t="str">
        <x:v>A2–B1 (гипотеза)</x:v>
      </x:c>
      <x:c r="G1012" s="12" t="n">
        <x:v>14.5</x:v>
      </x:c>
      <x:c r="H1012" s="14" t="n">
        <x:v>1307951</x:v>
      </x:c>
      <x:c r="I1012" s="15" t="str">
        <x:v>Точный счётчик метаданных видео</x:v>
      </x:c>
      <x:c r="J1012" s="14" t="n">
        <x:v>1300000</x:v>
      </x:c>
      <x:c r="K1012" s="14" t="n">
        <x:v>1600000</x:v>
      </x:c>
      <x:c r="L1012" s="12" t="n">
        <x:f>IF(COUNT(J1012:K1012)=2,IF(K1012=0,"",J1012/K1012),"")</x:f>
        <x:v>0.8125</x:v>
      </x:c>
      <x:c r="M1012" s="10" t="str">
        <x:v>Эпизод 25 в знакомой сюжетной ветке. Детская группа и общие приключения дают тему дружбы и взаимодействия.</x:v>
      </x:c>
      <x:c r="N1012" s="10" t="str">
        <x:v>Диалог о просьбе и совместном решении; 6 полезных фраз.</x:v>
      </x:c>
      <x:c r="O1012" s="10" t="str">
        <x:v>Проверить содержание</x:v>
      </x:c>
      <x:c r="P1012" s="10" t="str">
        <x:v>Полная серия — кандидат</x:v>
      </x:c>
      <x:c r="Q1012" s="9" t="str">
        <x:v>Нет</x:v>
      </x:c>
      <x:c r="R1012" s="9" t="str">
        <x:v>C055</x:v>
      </x:c>
      <x:c r="S1012" s="9" t="str">
        <x:v>C055</x:v>
      </x:c>
      <x:c r="T1012" s="10" t="str">
        <x:v>כאן חינוכית</x:v>
      </x:c>
      <x:c r="U1012" s="11" t="str">
        <x:v>https://www.youtube.com/watch?v=vAkLnbWllcw</x:v>
      </x:c>
      <x:c r="V1012" s="16" t="n">
        <x:v>46308</x:v>
      </x:c>
      <x:c r="W1012" s="16" t="n">
        <x:v>43852</x:v>
      </x:c>
      <x:c r="X1012" s="10" t="str">
        <x:v>Иврит предполагается по заголовку и источнику</x:v>
      </x:c>
      <x:c r="Y1012" s="10" t="str">
        <x:v>Дорожка HE не найдена в метаданных; вшитые титры не проверены</x:v>
      </x:c>
      <x:c r="Z1012" s="10" t="str">
        <x:v>Разрешено по метаданным</x:v>
      </x:c>
      <x:c r="AA1012" s="10" t="str">
        <x:v>Метаданные видео; воспроизведение и содержание не проверены</x:v>
      </x:c>
      <x:c r="AB1012" s="13" t="n">
        <x:f>IF(AND(ISNUMBER(H1012),ISNUMBER(W1012)),H1012/MAX(1,'Обзор'!$B$4-W1012),"")</x:f>
        <x:v>532.5533387622149</x:v>
      </x:c>
      <x:c r="AC1012" s="17" t="str">
        <x:v>Не решено</x:v>
      </x:c>
      <x:c r="AD1012" s="17" t="str">
        <x:v>Не проверено</x:v>
      </x:c>
      <x:c r="AE1012" s="17" t="str">
        <x:v>Не проверено</x:v>
      </x:c>
      <x:c r="AF1012" s="17" t="str">
        <x:v>Не проверено</x:v>
      </x:c>
      <x:c r="AG1012" s="17" t="str">
        <x:v>Не решено</x:v>
      </x:c>
      <x:c r="AH1012" s="17" t="str">
        <x:v>Не проверено</x:v>
      </x:c>
      <x:c r="AI1012" s="10" t="str">
        <x:f>IF(AC1012="Отклонить","Отклонено",IF(AND(AC1012="Взять",COUNTIFS(AD1012:AH1012,"Да")=5),"Готово","Нужна редактура"))</x:f>
        <x:v>Нужна редактура</x:v>
      </x:c>
      <x:c r="AJ1012" s="17" t="str"/>
      <x:c r="AK1012" s="9" t="str">
        <x:v>https://www.youtube.com/playlist?list=PL51YAgTlfPj6CM4uDxhNdRewtz9TD_oL1</x:v>
      </x:c>
      <x:c r="AL1012" s="9" t="n">
        <x:v>23</x:v>
      </x:c>
      <x:c r="AM1012" s="9" t="n">
        <x:v>25</x:v>
      </x:c>
      <x:c r="AN1012" s="9" t="n">
        <x:v>0</x:v>
      </x:c>
    </x:row>
    <x:row r="1013" ht="60" customHeight="1">
      <x:c r="A1013" s="9" t="str">
        <x:v>kRJqTYuYGeg</x:v>
      </x:c>
      <x:c r="B1013" s="10" t="str">
        <x:v>ילדי בית העץ  עונה 3 | פרק 26 - ט"ו בשבט | שידורי בכורה ביוטיוב 🔥</x:v>
      </x:c>
      <x:c r="C1013" s="10" t="str">
        <x:v>Семейные сериалы</x:v>
      </x:c>
      <x:c r="D1013" s="9" t="str">
        <x:v>Сериал</x:v>
      </x:c>
      <x:c r="E1013" s="10" t="str">
        <x:v>Семьи; подростки; разговорный язык</x:v>
      </x:c>
      <x:c r="F1013" s="10" t="str">
        <x:v>A2–B1 (гипотеза)</x:v>
      </x:c>
      <x:c r="G1013" s="12" t="n">
        <x:v>16.8</x:v>
      </x:c>
      <x:c r="H1013" s="14" t="n">
        <x:v>1553885</x:v>
      </x:c>
      <x:c r="I1013" s="15" t="str">
        <x:v>Точный счётчик метаданных видео</x:v>
      </x:c>
      <x:c r="J1013" s="14" t="n">
        <x:v>1500000</x:v>
      </x:c>
      <x:c r="K1013" s="14" t="n">
        <x:v>1600000</x:v>
      </x:c>
      <x:c r="L1013" s="12" t="n">
        <x:f>IF(COUNT(J1013:K1013)=2,IF(K1013=0,"",J1013/K1013),"")</x:f>
        <x:v>0.9375</x:v>
      </x:c>
      <x:c r="M1013" s="10" t="str">
        <x:v>Эпизод 26 в знакомой сюжетной ветке. Детская группа и общие приключения дают тему дружбы и взаимодействия.</x:v>
      </x:c>
      <x:c r="N1013" s="10" t="str">
        <x:v>Диалог о просьбе и совместном решении; 6 полезных фраз.</x:v>
      </x:c>
      <x:c r="O1013" s="10" t="str">
        <x:v>Проверить содержание</x:v>
      </x:c>
      <x:c r="P1013" s="10" t="str">
        <x:v>Полная серия — кандидат</x:v>
      </x:c>
      <x:c r="Q1013" s="9" t="str">
        <x:v>Нет</x:v>
      </x:c>
      <x:c r="R1013" s="9" t="str">
        <x:v>C055</x:v>
      </x:c>
      <x:c r="S1013" s="9" t="str">
        <x:v>C055</x:v>
      </x:c>
      <x:c r="T1013" s="10" t="str">
        <x:v>כאן חינוכית</x:v>
      </x:c>
      <x:c r="U1013" s="11" t="str">
        <x:v>https://www.youtube.com/watch?v=kRJqTYuYGeg</x:v>
      </x:c>
      <x:c r="V1013" s="16" t="n">
        <x:v>46308</x:v>
      </x:c>
      <x:c r="W1013" s="16" t="n">
        <x:v>43856</x:v>
      </x:c>
      <x:c r="X1013" s="10" t="str">
        <x:v>Иврит предполагается по заголовку и источнику</x:v>
      </x:c>
      <x:c r="Y1013" s="10" t="str">
        <x:v>Дорожка HE не найдена в метаданных; вшитые титры не проверены</x:v>
      </x:c>
      <x:c r="Z1013" s="10" t="str">
        <x:v>Разрешено по метаданным</x:v>
      </x:c>
      <x:c r="AA1013" s="10" t="str">
        <x:v>Метаданные видео; воспроизведение и содержание не проверены</x:v>
      </x:c>
      <x:c r="AB1013" s="13" t="n">
        <x:f>IF(AND(ISNUMBER(H1013),ISNUMBER(W1013)),H1013/MAX(1,'Обзор'!$B$4-W1013),"")</x:f>
        <x:v>633.7214518760196</x:v>
      </x:c>
      <x:c r="AC1013" s="17" t="str">
        <x:v>Не решено</x:v>
      </x:c>
      <x:c r="AD1013" s="17" t="str">
        <x:v>Не проверено</x:v>
      </x:c>
      <x:c r="AE1013" s="17" t="str">
        <x:v>Не проверено</x:v>
      </x:c>
      <x:c r="AF1013" s="17" t="str">
        <x:v>Не проверено</x:v>
      </x:c>
      <x:c r="AG1013" s="17" t="str">
        <x:v>Не решено</x:v>
      </x:c>
      <x:c r="AH1013" s="17" t="str">
        <x:v>Не проверено</x:v>
      </x:c>
      <x:c r="AI1013" s="10" t="str">
        <x:f>IF(AC1013="Отклонить","Отклонено",IF(AND(AC1013="Взять",COUNTIFS(AD1013:AH1013,"Да")=5),"Готово","Нужна редактура"))</x:f>
        <x:v>Нужна редактура</x:v>
      </x:c>
      <x:c r="AJ1013" s="17" t="str"/>
      <x:c r="AK1013" s="9" t="str">
        <x:v>https://www.youtube.com/playlist?list=PL51YAgTlfPj6CM4uDxhNdRewtz9TD_oL1</x:v>
      </x:c>
      <x:c r="AL1013" s="9" t="n">
        <x:v>21</x:v>
      </x:c>
      <x:c r="AM1013" s="9" t="n">
        <x:v>26</x:v>
      </x:c>
      <x:c r="AN1013" s="9" t="n">
        <x:v>0</x:v>
      </x:c>
    </x:row>
    <x:row r="1014" ht="60" customHeight="1">
      <x:c r="A1014" s="9" t="str">
        <x:v>OhjkyANA9Dk</x:v>
      </x:c>
      <x:c r="B1014" s="10" t="str">
        <x:v>ילדי בית העץ  עונה 3 | פרק 27 - ממותה ממותה | שידורי בכורה ביוטיוב 🔥</x:v>
      </x:c>
      <x:c r="C1014" s="10" t="str">
        <x:v>Семейные сериалы</x:v>
      </x:c>
      <x:c r="D1014" s="9" t="str">
        <x:v>Сериал</x:v>
      </x:c>
      <x:c r="E1014" s="10" t="str">
        <x:v>Семьи; подростки; разговорный язык</x:v>
      </x:c>
      <x:c r="F1014" s="10" t="str">
        <x:v>A2–B1 (гипотеза)</x:v>
      </x:c>
      <x:c r="G1014" s="12" t="n">
        <x:v>14.1</x:v>
      </x:c>
      <x:c r="H1014" s="14" t="n">
        <x:v>1429087</x:v>
      </x:c>
      <x:c r="I1014" s="15" t="str">
        <x:v>Точный счётчик метаданных видео</x:v>
      </x:c>
      <x:c r="J1014" s="14" t="n">
        <x:v>1400000</x:v>
      </x:c>
      <x:c r="K1014" s="14" t="n">
        <x:v>1600000</x:v>
      </x:c>
      <x:c r="L1014" s="12" t="n">
        <x:f>IF(COUNT(J1014:K1014)=2,IF(K1014=0,"",J1014/K1014),"")</x:f>
        <x:v>0.875</x:v>
      </x:c>
      <x:c r="M1014" s="10" t="str">
        <x:v>Эпизод 27 в знакомой сюжетной ветке. Детская группа и общие приключения дают тему дружбы и взаимодействия.</x:v>
      </x:c>
      <x:c r="N1014" s="10" t="str">
        <x:v>Диалог о просьбе и совместном решении; 6 полезных фраз.</x:v>
      </x:c>
      <x:c r="O1014" s="10" t="str">
        <x:v>Проверить содержание</x:v>
      </x:c>
      <x:c r="P1014" s="10" t="str">
        <x:v>Полная серия — кандидат</x:v>
      </x:c>
      <x:c r="Q1014" s="9" t="str">
        <x:v>Нет</x:v>
      </x:c>
      <x:c r="R1014" s="9" t="str">
        <x:v>C055</x:v>
      </x:c>
      <x:c r="S1014" s="9" t="str">
        <x:v>C055</x:v>
      </x:c>
      <x:c r="T1014" s="10" t="str">
        <x:v>כאן חינוכית</x:v>
      </x:c>
      <x:c r="U1014" s="11" t="str">
        <x:v>https://www.youtube.com/watch?v=OhjkyANA9Dk</x:v>
      </x:c>
      <x:c r="V1014" s="16" t="n">
        <x:v>46308</x:v>
      </x:c>
      <x:c r="W1014" s="16" t="n">
        <x:v>43857</x:v>
      </x:c>
      <x:c r="X1014" s="10" t="str">
        <x:v>Иврит предполагается по заголовку и источнику</x:v>
      </x:c>
      <x:c r="Y1014" s="10" t="str">
        <x:v>Дорожка HE не найдена в метаданных; вшитые титры не проверены</x:v>
      </x:c>
      <x:c r="Z1014" s="10" t="str">
        <x:v>Разрешено по метаданным</x:v>
      </x:c>
      <x:c r="AA1014" s="10" t="str">
        <x:v>Метаданные видео; воспроизведение и содержание не проверены</x:v>
      </x:c>
      <x:c r="AB1014" s="13" t="n">
        <x:f>IF(AND(ISNUMBER(H1014),ISNUMBER(W1014)),H1014/MAX(1,'Обзор'!$B$4-W1014),"")</x:f>
        <x:v>583.062831497348</x:v>
      </x:c>
      <x:c r="AC1014" s="17" t="str">
        <x:v>Не решено</x:v>
      </x:c>
      <x:c r="AD1014" s="17" t="str">
        <x:v>Не проверено</x:v>
      </x:c>
      <x:c r="AE1014" s="17" t="str">
        <x:v>Не проверено</x:v>
      </x:c>
      <x:c r="AF1014" s="17" t="str">
        <x:v>Не проверено</x:v>
      </x:c>
      <x:c r="AG1014" s="17" t="str">
        <x:v>Не решено</x:v>
      </x:c>
      <x:c r="AH1014" s="17" t="str">
        <x:v>Не проверено</x:v>
      </x:c>
      <x:c r="AI1014" s="10" t="str">
        <x:f>IF(AC1014="Отклонить","Отклонено",IF(AND(AC1014="Взять",COUNTIFS(AD1014:AH1014,"Да")=5),"Готово","Нужна редактура"))</x:f>
        <x:v>Нужна редактура</x:v>
      </x:c>
      <x:c r="AJ1014" s="17" t="str"/>
      <x:c r="AK1014" s="9" t="str">
        <x:v>https://www.youtube.com/playlist?list=PL51YAgTlfPj6CM4uDxhNdRewtz9TD_oL1</x:v>
      </x:c>
      <x:c r="AL1014" s="9" t="n">
        <x:v>19</x:v>
      </x:c>
      <x:c r="AM1014" s="9" t="n">
        <x:v>27</x:v>
      </x:c>
      <x:c r="AN1014" s="9" t="n">
        <x:v>0</x:v>
      </x:c>
    </x:row>
    <x:row r="1015" ht="60" customHeight="1">
      <x:c r="A1015" s="9" t="str">
        <x:v>vg6z6h9-doU</x:v>
      </x:c>
      <x:c r="B1015" s="10" t="str">
        <x:v>ילדי בית העץ עונה 3 | פרק 28 - הרובוטים 🤖 | שידורי בכורה ביוטיוב 🔥</x:v>
      </x:c>
      <x:c r="C1015" s="10" t="str">
        <x:v>Семейные сериалы</x:v>
      </x:c>
      <x:c r="D1015" s="9" t="str">
        <x:v>Сериал</x:v>
      </x:c>
      <x:c r="E1015" s="10" t="str">
        <x:v>Семьи; подростки; разговорный язык</x:v>
      </x:c>
      <x:c r="F1015" s="10" t="str">
        <x:v>A2–B1 (гипотеза)</x:v>
      </x:c>
      <x:c r="G1015" s="12" t="n">
        <x:v>15.6</x:v>
      </x:c>
      <x:c r="H1015" s="14" t="n">
        <x:v>1804172</x:v>
      </x:c>
      <x:c r="I1015" s="15" t="str">
        <x:v>Точный счётчик метаданных видео</x:v>
      </x:c>
      <x:c r="J1015" s="14" t="n">
        <x:v>1800000</x:v>
      </x:c>
      <x:c r="K1015" s="14" t="n">
        <x:v>1600000</x:v>
      </x:c>
      <x:c r="L1015" s="12" t="n">
        <x:f>IF(COUNT(J1015:K1015)=2,IF(K1015=0,"",J1015/K1015),"")</x:f>
        <x:v>1.125</x:v>
      </x:c>
      <x:c r="M1015" s="10" t="str">
        <x:v>Эпизод 28 в знакомой сюжетной ветке. Детская группа и общие приключения дают тему дружбы и взаимодействия.</x:v>
      </x:c>
      <x:c r="N1015" s="10" t="str">
        <x:v>Диалог о просьбе и совместном решении; 6 полезных фраз.</x:v>
      </x:c>
      <x:c r="O1015" s="10" t="str">
        <x:v>Проверить содержание</x:v>
      </x:c>
      <x:c r="P1015" s="10" t="str">
        <x:v>Полная серия — кандидат</x:v>
      </x:c>
      <x:c r="Q1015" s="9" t="str">
        <x:v>Нет</x:v>
      </x:c>
      <x:c r="R1015" s="9" t="str">
        <x:v>C055</x:v>
      </x:c>
      <x:c r="S1015" s="9" t="str">
        <x:v>C055</x:v>
      </x:c>
      <x:c r="T1015" s="10" t="str">
        <x:v>כאן חינוכית</x:v>
      </x:c>
      <x:c r="U1015" s="11" t="str">
        <x:v>https://www.youtube.com/watch?v=vg6z6h9-doU</x:v>
      </x:c>
      <x:c r="V1015" s="16" t="n">
        <x:v>46308</x:v>
      </x:c>
      <x:c r="W1015" s="16" t="n">
        <x:v>43858</x:v>
      </x:c>
      <x:c r="X1015" s="10" t="str">
        <x:v>Иврит предполагается по заголовку и источнику</x:v>
      </x:c>
      <x:c r="Y1015" s="10" t="str">
        <x:v>Дорожка HE не найдена в метаданных; вшитые титры не проверены</x:v>
      </x:c>
      <x:c r="Z1015" s="10" t="str">
        <x:v>Разрешено по метаданным</x:v>
      </x:c>
      <x:c r="AA1015" s="10" t="str">
        <x:v>Метаданные видео; воспроизведение и содержание не проверены</x:v>
      </x:c>
      <x:c r="AB1015" s="13" t="n">
        <x:f>IF(AND(ISNUMBER(H1015),ISNUMBER(W1015)),H1015/MAX(1,'Обзор'!$B$4-W1015),"")</x:f>
        <x:v>736.3967346938775</x:v>
      </x:c>
      <x:c r="AC1015" s="17" t="str">
        <x:v>Не решено</x:v>
      </x:c>
      <x:c r="AD1015" s="17" t="str">
        <x:v>Не проверено</x:v>
      </x:c>
      <x:c r="AE1015" s="17" t="str">
        <x:v>Не проверено</x:v>
      </x:c>
      <x:c r="AF1015" s="17" t="str">
        <x:v>Не проверено</x:v>
      </x:c>
      <x:c r="AG1015" s="17" t="str">
        <x:v>Не решено</x:v>
      </x:c>
      <x:c r="AH1015" s="17" t="str">
        <x:v>Не проверено</x:v>
      </x:c>
      <x:c r="AI1015" s="10" t="str">
        <x:f>IF(AC1015="Отклонить","Отклонено",IF(AND(AC1015="Взять",COUNTIFS(AD1015:AH1015,"Да")=5),"Готово","Нужна редактура"))</x:f>
        <x:v>Нужна редактура</x:v>
      </x:c>
      <x:c r="AJ1015" s="17" t="str"/>
      <x:c r="AK1015" s="9" t="str">
        <x:v>https://www.youtube.com/playlist?list=PL51YAgTlfPj6CM4uDxhNdRewtz9TD_oL1</x:v>
      </x:c>
      <x:c r="AL1015" s="9" t="n">
        <x:v>17</x:v>
      </x:c>
      <x:c r="AM1015" s="9" t="n">
        <x:v>28</x:v>
      </x:c>
      <x:c r="AN1015" s="9" t="n">
        <x:v>0</x:v>
      </x:c>
    </x:row>
    <x:row r="1016" ht="60" customHeight="1">
      <x:c r="A1016" s="9" t="str">
        <x:v>DerZdZvV_wk</x:v>
      </x:c>
      <x:c r="B1016" s="10" t="str">
        <x:v>ילדי בית העץ  עונה 3 | פרק 29 - הביצה | שידורי בכורה ביוטיוב 🔥</x:v>
      </x:c>
      <x:c r="C1016" s="10" t="str">
        <x:v>Семейные сериалы</x:v>
      </x:c>
      <x:c r="D1016" s="9" t="str">
        <x:v>Сериал</x:v>
      </x:c>
      <x:c r="E1016" s="10" t="str">
        <x:v>Семьи; подростки; разговорный язык</x:v>
      </x:c>
      <x:c r="F1016" s="10" t="str">
        <x:v>A2–B1 (гипотеза)</x:v>
      </x:c>
      <x:c r="G1016" s="12" t="n">
        <x:v>14.8</x:v>
      </x:c>
      <x:c r="H1016" s="14" t="n">
        <x:v>3087885</x:v>
      </x:c>
      <x:c r="I1016" s="15" t="str">
        <x:v>Точный счётчик метаданных видео</x:v>
      </x:c>
      <x:c r="J1016" s="14" t="n">
        <x:v>3000000</x:v>
      </x:c>
      <x:c r="K1016" s="14" t="n">
        <x:v>1600000</x:v>
      </x:c>
      <x:c r="L1016" s="12" t="n">
        <x:f>IF(COUNT(J1016:K1016)=2,IF(K1016=0,"",J1016/K1016),"")</x:f>
        <x:v>1.875</x:v>
      </x:c>
      <x:c r="M1016" s="10" t="str">
        <x:v>Эпизод 29 в знакомой сюжетной ветке. Просмотры в списке выше медианы выборки этого цикла в 1.88 раза. Детская группа и общие приключения дают тему дружбы и взаимодействия.</x:v>
      </x:c>
      <x:c r="N1016" s="10" t="str">
        <x:v>Диалог о просьбе и совместном решении; 6 полезных фраз.</x:v>
      </x:c>
      <x:c r="O1016" s="10" t="str">
        <x:v>Проверить содержание</x:v>
      </x:c>
      <x:c r="P1016" s="10" t="str">
        <x:v>Полная серия — кандидат</x:v>
      </x:c>
      <x:c r="Q1016" s="9" t="str">
        <x:v>Нет</x:v>
      </x:c>
      <x:c r="R1016" s="9" t="str">
        <x:v>C055</x:v>
      </x:c>
      <x:c r="S1016" s="9" t="str">
        <x:v>C055</x:v>
      </x:c>
      <x:c r="T1016" s="10" t="str">
        <x:v>כאן חינוכית</x:v>
      </x:c>
      <x:c r="U1016" s="11" t="str">
        <x:v>https://www.youtube.com/watch?v=DerZdZvV_wk</x:v>
      </x:c>
      <x:c r="V1016" s="16" t="n">
        <x:v>46308</x:v>
      </x:c>
      <x:c r="W1016" s="16" t="n">
        <x:v>43859</x:v>
      </x:c>
      <x:c r="X1016" s="10" t="str">
        <x:v>Иврит предполагается по заголовку и источнику</x:v>
      </x:c>
      <x:c r="Y1016" s="10" t="str">
        <x:v>Дорожка HE не найдена в метаданных; вшитые титры не проверены</x:v>
      </x:c>
      <x:c r="Z1016" s="10" t="str">
        <x:v>Разрешено по метаданным</x:v>
      </x:c>
      <x:c r="AA1016" s="10" t="str">
        <x:v>Метаданные видео; воспроизведение и содержание не проверены</x:v>
      </x:c>
      <x:c r="AB1016" s="13" t="n">
        <x:f>IF(AND(ISNUMBER(H1016),ISNUMBER(W1016)),H1016/MAX(1,'Обзор'!$B$4-W1016),"")</x:f>
        <x:v>1260.8758677011024</x:v>
      </x:c>
      <x:c r="AC1016" s="17" t="str">
        <x:v>Не решено</x:v>
      </x:c>
      <x:c r="AD1016" s="17" t="str">
        <x:v>Не проверено</x:v>
      </x:c>
      <x:c r="AE1016" s="17" t="str">
        <x:v>Не проверено</x:v>
      </x:c>
      <x:c r="AF1016" s="17" t="str">
        <x:v>Не проверено</x:v>
      </x:c>
      <x:c r="AG1016" s="17" t="str">
        <x:v>Не решено</x:v>
      </x:c>
      <x:c r="AH1016" s="17" t="str">
        <x:v>Не проверено</x:v>
      </x:c>
      <x:c r="AI1016" s="10" t="str">
        <x:f>IF(AC1016="Отклонить","Отклонено",IF(AND(AC1016="Взять",COUNTIFS(AD1016:AH1016,"Да")=5),"Готово","Нужна редактура"))</x:f>
        <x:v>Нужна редактура</x:v>
      </x:c>
      <x:c r="AJ1016" s="17" t="str"/>
      <x:c r="AK1016" s="9" t="str">
        <x:v>https://www.youtube.com/playlist?list=PL51YAgTlfPj6CM4uDxhNdRewtz9TD_oL1</x:v>
      </x:c>
      <x:c r="AL1016" s="9" t="n">
        <x:v>15</x:v>
      </x:c>
      <x:c r="AM1016" s="9" t="n">
        <x:v>29</x:v>
      </x:c>
      <x:c r="AN1016" s="9" t="n">
        <x:v>0</x:v>
      </x:c>
    </x:row>
    <x:row r="1017" ht="60" customHeight="1">
      <x:c r="A1017" s="9" t="str">
        <x:v>8_x0NTntPTw</x:v>
      </x:c>
      <x:c r="B1017" s="10" t="str">
        <x:v>ילדי בית העץ עונה 3 | פרק 30 - בית העץ בסכנה | שידורי בכורה ביוטיוב 🔥</x:v>
      </x:c>
      <x:c r="C1017" s="10" t="str">
        <x:v>Семейные сериалы</x:v>
      </x:c>
      <x:c r="D1017" s="9" t="str">
        <x:v>Сериал</x:v>
      </x:c>
      <x:c r="E1017" s="10" t="str">
        <x:v>Семьи; подростки; разговорный язык</x:v>
      </x:c>
      <x:c r="F1017" s="10" t="str">
        <x:v>A2–B1 (гипотеза)</x:v>
      </x:c>
      <x:c r="G1017" s="12" t="n">
        <x:v>16.4</x:v>
      </x:c>
      <x:c r="H1017" s="14" t="n">
        <x:v>2151303</x:v>
      </x:c>
      <x:c r="I1017" s="15" t="str">
        <x:v>Точный счётчик метаданных видео</x:v>
      </x:c>
      <x:c r="J1017" s="14" t="n">
        <x:v>2100000</x:v>
      </x:c>
      <x:c r="K1017" s="14" t="n">
        <x:v>1600000</x:v>
      </x:c>
      <x:c r="L1017" s="12" t="n">
        <x:f>IF(COUNT(J1017:K1017)=2,IF(K1017=0,"",J1017/K1017),"")</x:f>
        <x:v>1.3125</x:v>
      </x:c>
      <x:c r="M1017" s="10" t="str">
        <x:v>Эпизод 30 в знакомой сюжетной ветке. Детская группа и общие приключения дают тему дружбы и взаимодействия.</x:v>
      </x:c>
      <x:c r="N1017" s="10" t="str">
        <x:v>Диалог о просьбе и совместном решении; 6 полезных фраз.</x:v>
      </x:c>
      <x:c r="O1017" s="10" t="str">
        <x:v>Проверить содержание</x:v>
      </x:c>
      <x:c r="P1017" s="10" t="str">
        <x:v>Полная серия — кандидат</x:v>
      </x:c>
      <x:c r="Q1017" s="9" t="str">
        <x:v>Нет</x:v>
      </x:c>
      <x:c r="R1017" s="9" t="str">
        <x:v>C055</x:v>
      </x:c>
      <x:c r="S1017" s="9" t="str">
        <x:v>C055</x:v>
      </x:c>
      <x:c r="T1017" s="10" t="str">
        <x:v>כאן חינוכית</x:v>
      </x:c>
      <x:c r="U1017" s="11" t="str">
        <x:v>https://www.youtube.com/watch?v=8_x0NTntPTw</x:v>
      </x:c>
      <x:c r="V1017" s="16" t="n">
        <x:v>46308</x:v>
      </x:c>
      <x:c r="W1017" s="16" t="n">
        <x:v>43863</x:v>
      </x:c>
      <x:c r="X1017" s="10" t="str">
        <x:v>Иврит предполагается по заголовку и источнику</x:v>
      </x:c>
      <x:c r="Y1017" s="10" t="str">
        <x:v>Дорожка HE не найдена в метаданных; вшитые титры не проверены</x:v>
      </x:c>
      <x:c r="Z1017" s="10" t="str">
        <x:v>Разрешено по метаданным</x:v>
      </x:c>
      <x:c r="AA1017" s="10" t="str">
        <x:v>Метаданные видео; воспроизведение и содержание не проверены</x:v>
      </x:c>
      <x:c r="AB1017" s="13" t="n">
        <x:f>IF(AND(ISNUMBER(H1017),ISNUMBER(W1017)),H1017/MAX(1,'Обзор'!$B$4-W1017),"")</x:f>
        <x:v>879.878527607362</x:v>
      </x:c>
      <x:c r="AC1017" s="17" t="str">
        <x:v>Не решено</x:v>
      </x:c>
      <x:c r="AD1017" s="17" t="str">
        <x:v>Не проверено</x:v>
      </x:c>
      <x:c r="AE1017" s="17" t="str">
        <x:v>Не проверено</x:v>
      </x:c>
      <x:c r="AF1017" s="17" t="str">
        <x:v>Не проверено</x:v>
      </x:c>
      <x:c r="AG1017" s="17" t="str">
        <x:v>Не решено</x:v>
      </x:c>
      <x:c r="AH1017" s="17" t="str">
        <x:v>Не проверено</x:v>
      </x:c>
      <x:c r="AI1017" s="10" t="str">
        <x:f>IF(AC1017="Отклонить","Отклонено",IF(AND(AC1017="Взять",COUNTIFS(AD1017:AH1017,"Да")=5),"Готово","Нужна редактура"))</x:f>
        <x:v>Нужна редактура</x:v>
      </x:c>
      <x:c r="AJ1017" s="17" t="str"/>
      <x:c r="AK1017" s="9" t="str">
        <x:v>https://www.youtube.com/playlist?list=PL51YAgTlfPj6CM4uDxhNdRewtz9TD_oL1</x:v>
      </x:c>
      <x:c r="AL1017" s="9" t="n">
        <x:v>13</x:v>
      </x:c>
      <x:c r="AM1017" s="9" t="n">
        <x:v>30</x:v>
      </x:c>
      <x:c r="AN1017" s="9" t="n">
        <x:v>0</x:v>
      </x:c>
    </x:row>
    <x:row r="1018" ht="60" customHeight="1">
      <x:c r="A1018" s="9" t="str">
        <x:v>vCnOzfRMF5c</x:v>
      </x:c>
      <x:c r="B1018" s="10" t="str">
        <x:v>עברית שפה קשה? אפרים כאן לשירותכם 🛎</x:v>
      </x:c>
      <x:c r="C1018" s="10" t="str">
        <x:v>Семейные сериалы</x:v>
      </x:c>
      <x:c r="D1018" s="9" t="str">
        <x:v>Сериал</x:v>
      </x:c>
      <x:c r="E1018" s="10" t="str">
        <x:v>Семьи; подростки; разговорный язык</x:v>
      </x:c>
      <x:c r="F1018" s="10" t="str">
        <x:v>A2–B1 (гипотеза)</x:v>
      </x:c>
      <x:c r="G1018" s="12" t="n">
        <x:v>1.1</x:v>
      </x:c>
      <x:c r="H1018" s="14" t="n">
        <x:v>59000</x:v>
      </x:c>
      <x:c r="I1018" s="15" t="str">
        <x:v>Округлённый счётчик в списке YouTube</x:v>
      </x:c>
      <x:c r="J1018" s="14" t="n">
        <x:v>59000</x:v>
      </x:c>
      <x:c r="K1018" s="14" t="n">
        <x:v>1600000</x:v>
      </x:c>
      <x:c r="L1018" s="12" t="n">
        <x:f>IF(COUNT(J1018:K1018)=2,IF(K1018=0,"",J1018/K1018),"")</x:f>
        <x:v>0.036875</x:v>
      </x:c>
      <x:c r="M1018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Детская группа и общие приключения дают тему дружбы и взаимодействия.</x:v>
      </x:c>
      <x:c r="N1018" s="10" t="str">
        <x:v>Диалог о просьбе и совместном решении; 6 полезных фраз.</x:v>
      </x:c>
      <x:c r="O1018" s="10" t="str">
        <x:v>Проверить содержание</x:v>
      </x:c>
      <x:c r="P1018" s="10" t="str">
        <x:v>Фрагмент сериала</x:v>
      </x:c>
      <x:c r="Q1018" s="9" t="str">
        <x:v>Нет</x:v>
      </x:c>
      <x:c r="R1018" s="9" t="str">
        <x:v>C055</x:v>
      </x:c>
      <x:c r="S1018" s="9" t="str">
        <x:v>C055</x:v>
      </x:c>
      <x:c r="T1018" s="10" t="str">
        <x:v>כאן חינוכית</x:v>
      </x:c>
      <x:c r="U1018" s="11" t="str">
        <x:v>https://www.youtube.com/watch?v=vCnOzfRMF5c</x:v>
      </x:c>
      <x:c r="V1018" s="16" t="n">
        <x:v>46308</x:v>
      </x:c>
      <x:c r="W1018" s="16"/>
      <x:c r="X1018" s="10" t="str">
        <x:v>Иврит предполагается по заголовку и источнику</x:v>
      </x:c>
      <x:c r="Y1018" s="10" t="str">
        <x:v>Не проверено</x:v>
      </x:c>
      <x:c r="Z1018" s="10" t="str">
        <x:v>Не проверено</x:v>
      </x:c>
      <x:c r="AA1018" s="10" t="str">
        <x:v>Метаданные списка; видео не просмотрено</x:v>
      </x:c>
      <x:c r="AB1018" s="13" t="str">
        <x:f>IF(AND(ISNUMBER(H1018),ISNUMBER(W1018)),H1018/MAX(1,'Обзор'!$B$4-W1018),"")</x:f>
      </x:c>
      <x:c r="AC1018" s="17" t="str">
        <x:v>Не решено</x:v>
      </x:c>
      <x:c r="AD1018" s="17" t="str">
        <x:v>Не проверено</x:v>
      </x:c>
      <x:c r="AE1018" s="17" t="str">
        <x:v>Не проверено</x:v>
      </x:c>
      <x:c r="AF1018" s="17" t="str">
        <x:v>Не проверено</x:v>
      </x:c>
      <x:c r="AG1018" s="17" t="str">
        <x:v>Не решено</x:v>
      </x:c>
      <x:c r="AH1018" s="17" t="str">
        <x:v>Не проверено</x:v>
      </x:c>
      <x:c r="AI1018" s="10" t="str">
        <x:f>IF(AC1018="Отклонить","Отклонено",IF(AND(AC1018="Взять",COUNTIFS(AD1018:AH1018,"Да")=5),"Готово","Нужна редактура"))</x:f>
        <x:v>Нужна редактура</x:v>
      </x:c>
      <x:c r="AJ1018" s="17" t="str"/>
      <x:c r="AK1018" s="9" t="str">
        <x:v>https://www.youtube.com/playlist?list=PL51YAgTlfPj6CM4uDxhNdRewtz9TD_oL1</x:v>
      </x:c>
      <x:c r="AL1018" s="9" t="n">
        <x:v>30</x:v>
      </x:c>
      <x:c r="AM1018" s="9"/>
      <x:c r="AN1018" s="9"/>
    </x:row>
    <x:row r="1019" ht="60" customHeight="1">
      <x:c r="A1019" s="9" t="str">
        <x:v>D21BVFOBF2c</x:v>
      </x:c>
      <x:c r="B1019" s="10" t="str">
        <x:v>גלילאו עונה 9 | זה נכון שאנחנו עשויים בעיקר מחיידקים?</x:v>
      </x:c>
      <x:c r="C1019" s="10" t="str">
        <x:v>Наука и мир</x:v>
      </x:c>
      <x:c r="D1019" s="9" t="str">
        <x:v>Образование</x:v>
      </x:c>
      <x:c r="E1019" s="10" t="str">
        <x:v>Любознательные; семьи; образовательное медиа</x:v>
      </x:c>
      <x:c r="F1019" s="10" t="str">
        <x:v>B1–B2 (гипотеза)</x:v>
      </x:c>
      <x:c r="G1019" s="12" t="n">
        <x:v>24.2</x:v>
      </x:c>
      <x:c r="H1019" s="14" t="n">
        <x:v>63482</x:v>
      </x:c>
      <x:c r="I1019" s="15" t="str">
        <x:v>Точный счётчик метаданных видео</x:v>
      </x:c>
      <x:c r="J1019" s="14" t="n">
        <x:v>63000</x:v>
      </x:c>
      <x:c r="K1019" s="14" t="n">
        <x:v>28000</x:v>
      </x:c>
      <x:c r="L1019" s="12" t="n">
        <x:f>IF(COUNT(J1019:K1019)=2,IF(K1019=0,"",J1019/K1019),"")</x:f>
        <x:v>2.25</x:v>
      </x:c>
      <x:c r="M1019" s="10" t="str">
        <x:v>Тема: גלילאו עונה 9 | זה נכון שאנחנו עשויים בעיקר מחיידקים?. Просмотры в списке выше медианы выборки этого цикла в 2.25 раза. Ведущий и визуальные демонстрации помогают понимать новые слова. Формат подходит любителям научно-популярного видео.</x:v>
      </x:c>
      <x:c r="N1019" s="10" t="str">
        <x:v>Выбрать одну рубрику; объяснить явление и задать вопрос.</x:v>
      </x:c>
      <x:c r="O1019" s="10" t="str">
        <x:v>Проверять актуальность научных утверждений</x:v>
      </x:c>
      <x:c r="P1019" s="10" t="str">
        <x:v>Самостоятельное видео</x:v>
      </x:c>
      <x:c r="Q1019" s="9" t="str">
        <x:v>Нет</x:v>
      </x:c>
      <x:c r="R1019" s="9" t="str">
        <x:v>C056</x:v>
      </x:c>
      <x:c r="S1019" s="9" t="str">
        <x:v>C056</x:v>
      </x:c>
      <x:c r="T1019" s="10" t="str">
        <x:v>כאן חינוכית</x:v>
      </x:c>
      <x:c r="U1019" s="11" t="str">
        <x:v>https://www.youtube.com/watch?v=D21BVFOBF2c</x:v>
      </x:c>
      <x:c r="V1019" s="16" t="n">
        <x:v>46308</x:v>
      </x:c>
      <x:c r="W1019" s="16" t="n">
        <x:v>43898</x:v>
      </x:c>
      <x:c r="X1019" s="10" t="str">
        <x:v>Иврит предполагается по заголовку и источнику</x:v>
      </x:c>
      <x:c r="Y1019" s="10" t="str">
        <x:v>Дорожка HE не найдена в метаданных; вшитые титры не проверены</x:v>
      </x:c>
      <x:c r="Z1019" s="10" t="str">
        <x:v>Разрешено по метаданным</x:v>
      </x:c>
      <x:c r="AA1019" s="10" t="str">
        <x:v>Метаданные видео; воспроизведение и содержание не проверены</x:v>
      </x:c>
      <x:c r="AB1019" s="13" t="n">
        <x:f>IF(AND(ISNUMBER(H1019),ISNUMBER(W1019)),H1019/MAX(1,'Обзор'!$B$4-W1019),"")</x:f>
        <x:v>26.341078838174273</x:v>
      </x:c>
      <x:c r="AC1019" s="17" t="str">
        <x:v>Не решено</x:v>
      </x:c>
      <x:c r="AD1019" s="17" t="str">
        <x:v>Не проверено</x:v>
      </x:c>
      <x:c r="AE1019" s="17" t="str">
        <x:v>Не проверено</x:v>
      </x:c>
      <x:c r="AF1019" s="17" t="str">
        <x:v>Не проверено</x:v>
      </x:c>
      <x:c r="AG1019" s="17" t="str">
        <x:v>Не решено</x:v>
      </x:c>
      <x:c r="AH1019" s="17" t="str">
        <x:v>Не проверено</x:v>
      </x:c>
      <x:c r="AI1019" s="10" t="str">
        <x:f>IF(AC1019="Отклонить","Отклонено",IF(AND(AC1019="Взять",COUNTIFS(AD1019:AH1019,"Да")=5),"Готово","Нужна редактура"))</x:f>
        <x:v>Нужна редактура</x:v>
      </x:c>
      <x:c r="AJ1019" s="17" t="str"/>
      <x:c r="AK1019" s="9" t="str">
        <x:v>https://www.youtube.com/playlist?list=PL51YAgTlfPj57_dWdUXGLkf2pmCnYzYoF</x:v>
      </x:c>
      <x:c r="AL1019" s="9" t="n">
        <x:v>1</x:v>
      </x:c>
      <x:c r="AM1019" s="9"/>
      <x:c r="AN1019" s="9" t="n">
        <x:v>0</x:v>
      </x:c>
    </x:row>
    <x:row r="1020" ht="60" customHeight="1">
      <x:c r="A1020" s="9" t="str">
        <x:v>4Xy0cUp26G4</x:v>
      </x:c>
      <x:c r="B1020" s="10" t="str">
        <x:v>גלילאו עונה 9 | מורות ממחזרות מבחנים? 💯</x:v>
      </x:c>
      <x:c r="C1020" s="10" t="str">
        <x:v>Наука и мир</x:v>
      </x:c>
      <x:c r="D1020" s="9" t="str">
        <x:v>Образование</x:v>
      </x:c>
      <x:c r="E1020" s="10" t="str">
        <x:v>Любознательные; семьи; образовательное медиа</x:v>
      </x:c>
      <x:c r="F1020" s="10" t="str">
        <x:v>B1–B2 (гипотеза)</x:v>
      </x:c>
      <x:c r="G1020" s="12" t="n">
        <x:v>26.4</x:v>
      </x:c>
      <x:c r="H1020" s="14" t="n">
        <x:v>38676</x:v>
      </x:c>
      <x:c r="I1020" s="15" t="str">
        <x:v>Точный счётчик метаданных видео</x:v>
      </x:c>
      <x:c r="J1020" s="14" t="n">
        <x:v>38000</x:v>
      </x:c>
      <x:c r="K1020" s="14" t="n">
        <x:v>28000</x:v>
      </x:c>
      <x:c r="L1020" s="12" t="n">
        <x:f>IF(COUNT(J1020:K1020)=2,IF(K1020=0,"",J1020/K1020),"")</x:f>
        <x:v>1.3571428571428572</x:v>
      </x:c>
      <x:c r="M1020" s="10" t="str">
        <x:v>Тема: גלילאו עונה 9 | מורות ממחזרות מבחנים? 💯. Ведущий и визуальные демонстрации помогают понимать новые слова. Формат подходит любителям научно-популярного видео.</x:v>
      </x:c>
      <x:c r="N1020" s="10" t="str">
        <x:v>Выбрать одну рубрику; объяснить явление и задать вопрос.</x:v>
      </x:c>
      <x:c r="O1020" s="10" t="str">
        <x:v>Проверять актуальность научных утверждений</x:v>
      </x:c>
      <x:c r="P1020" s="10" t="str">
        <x:v>Самостоятельное видео</x:v>
      </x:c>
      <x:c r="Q1020" s="9" t="str">
        <x:v>Нет</x:v>
      </x:c>
      <x:c r="R1020" s="9" t="str">
        <x:v>C056</x:v>
      </x:c>
      <x:c r="S1020" s="9" t="str">
        <x:v>C056</x:v>
      </x:c>
      <x:c r="T1020" s="10" t="str">
        <x:v>כאן חינוכית</x:v>
      </x:c>
      <x:c r="U1020" s="11" t="str">
        <x:v>https://www.youtube.com/watch?v=4Xy0cUp26G4</x:v>
      </x:c>
      <x:c r="V1020" s="16" t="n">
        <x:v>46308</x:v>
      </x:c>
      <x:c r="W1020" s="16" t="n">
        <x:v>43895</x:v>
      </x:c>
      <x:c r="X1020" s="10" t="str">
        <x:v>Иврит предполагается по заголовку и источнику</x:v>
      </x:c>
      <x:c r="Y1020" s="10" t="str">
        <x:v>Дорожка HE не найдена в метаданных; вшитые титры не проверены</x:v>
      </x:c>
      <x:c r="Z1020" s="10" t="str">
        <x:v>Разрешено по метаданным</x:v>
      </x:c>
      <x:c r="AA1020" s="10" t="str">
        <x:v>Метаданные видео; воспроизведение и содержание не проверены</x:v>
      </x:c>
      <x:c r="AB1020" s="13" t="n">
        <x:f>IF(AND(ISNUMBER(H1020),ISNUMBER(W1020)),H1020/MAX(1,'Обзор'!$B$4-W1020),"")</x:f>
        <x:v>16.028180687940324</x:v>
      </x:c>
      <x:c r="AC1020" s="17" t="str">
        <x:v>Не решено</x:v>
      </x:c>
      <x:c r="AD1020" s="17" t="str">
        <x:v>Не проверено</x:v>
      </x:c>
      <x:c r="AE1020" s="17" t="str">
        <x:v>Не проверено</x:v>
      </x:c>
      <x:c r="AF1020" s="17" t="str">
        <x:v>Не проверено</x:v>
      </x:c>
      <x:c r="AG1020" s="17" t="str">
        <x:v>Не решено</x:v>
      </x:c>
      <x:c r="AH1020" s="17" t="str">
        <x:v>Не проверено</x:v>
      </x:c>
      <x:c r="AI1020" s="10" t="str">
        <x:f>IF(AC1020="Отклонить","Отклонено",IF(AND(AC1020="Взять",COUNTIFS(AD1020:AH1020,"Да")=5),"Готово","Нужна редактура"))</x:f>
        <x:v>Нужна редактура</x:v>
      </x:c>
      <x:c r="AJ1020" s="17" t="str"/>
      <x:c r="AK1020" s="9" t="str">
        <x:v>https://www.youtube.com/playlist?list=PL51YAgTlfPj57_dWdUXGLkf2pmCnYzYoF</x:v>
      </x:c>
      <x:c r="AL1020" s="9" t="n">
        <x:v>2</x:v>
      </x:c>
      <x:c r="AM1020" s="9"/>
      <x:c r="AN1020" s="9" t="n">
        <x:v>0</x:v>
      </x:c>
    </x:row>
    <x:row r="1021" ht="60" customHeight="1">
      <x:c r="A1021" s="9" t="str">
        <x:v>YGhkIsDyclg</x:v>
      </x:c>
      <x:c r="B1021" s="10" t="str">
        <x:v>גלילאו עונה 9 | אפשר לשרוף קמח? 🔥</x:v>
      </x:c>
      <x:c r="C1021" s="10" t="str">
        <x:v>Наука и мир</x:v>
      </x:c>
      <x:c r="D1021" s="9" t="str">
        <x:v>Образование</x:v>
      </x:c>
      <x:c r="E1021" s="10" t="str">
        <x:v>Любознательные; семьи; образовательное медиа</x:v>
      </x:c>
      <x:c r="F1021" s="10" t="str">
        <x:v>B1–B2 (гипотеза)</x:v>
      </x:c>
      <x:c r="G1021" s="12" t="n">
        <x:v>27.2</x:v>
      </x:c>
      <x:c r="H1021" s="14" t="n">
        <x:v>29738</x:v>
      </x:c>
      <x:c r="I1021" s="15" t="str">
        <x:v>Точный счётчик метаданных видео</x:v>
      </x:c>
      <x:c r="J1021" s="14" t="n">
        <x:v>29000</x:v>
      </x:c>
      <x:c r="K1021" s="14" t="n">
        <x:v>28000</x:v>
      </x:c>
      <x:c r="L1021" s="12" t="n">
        <x:f>IF(COUNT(J1021:K1021)=2,IF(K1021=0,"",J1021/K1021),"")</x:f>
        <x:v>1.0357142857142858</x:v>
      </x:c>
      <x:c r="M1021" s="10" t="str">
        <x:v>Тема: גלילאו עונה 9 | אפשר לשרוף קמח? 🔥. Ведущий и визуальные демонстрации помогают понимать новые слова. Формат подходит любителям научно-популярного видео.</x:v>
      </x:c>
      <x:c r="N1021" s="10" t="str">
        <x:v>Выбрать одну рубрику; объяснить явление и задать вопрос.</x:v>
      </x:c>
      <x:c r="O1021" s="10" t="str">
        <x:v>Проверять актуальность научных утверждений</x:v>
      </x:c>
      <x:c r="P1021" s="10" t="str">
        <x:v>Самостоятельное видео</x:v>
      </x:c>
      <x:c r="Q1021" s="9" t="str">
        <x:v>Нет</x:v>
      </x:c>
      <x:c r="R1021" s="9" t="str">
        <x:v>C056</x:v>
      </x:c>
      <x:c r="S1021" s="9" t="str">
        <x:v>C056</x:v>
      </x:c>
      <x:c r="T1021" s="10" t="str">
        <x:v>כאן חינוכית</x:v>
      </x:c>
      <x:c r="U1021" s="11" t="str">
        <x:v>https://www.youtube.com/watch?v=YGhkIsDyclg</x:v>
      </x:c>
      <x:c r="V1021" s="16" t="n">
        <x:v>46308</x:v>
      </x:c>
      <x:c r="W1021" s="16" t="n">
        <x:v>43894</x:v>
      </x:c>
      <x:c r="X1021" s="10" t="str">
        <x:v>Иврит предполагается по заголовку и источнику</x:v>
      </x:c>
      <x:c r="Y1021" s="10" t="str">
        <x:v>Дорожка HE не найдена в метаданных; вшитые титры не проверены</x:v>
      </x:c>
      <x:c r="Z1021" s="10" t="str">
        <x:v>Разрешено по метаданным</x:v>
      </x:c>
      <x:c r="AA1021" s="10" t="str">
        <x:v>Метаданные видео; воспроизведение и содержание не проверены</x:v>
      </x:c>
      <x:c r="AB1021" s="13" t="n">
        <x:f>IF(AND(ISNUMBER(H1021),ISNUMBER(W1021)),H1021/MAX(1,'Обзор'!$B$4-W1021),"")</x:f>
        <x:v>12.31897265948633</x:v>
      </x:c>
      <x:c r="AC1021" s="17" t="str">
        <x:v>Не решено</x:v>
      </x:c>
      <x:c r="AD1021" s="17" t="str">
        <x:v>Не проверено</x:v>
      </x:c>
      <x:c r="AE1021" s="17" t="str">
        <x:v>Не проверено</x:v>
      </x:c>
      <x:c r="AF1021" s="17" t="str">
        <x:v>Не проверено</x:v>
      </x:c>
      <x:c r="AG1021" s="17" t="str">
        <x:v>Не решено</x:v>
      </x:c>
      <x:c r="AH1021" s="17" t="str">
        <x:v>Не проверено</x:v>
      </x:c>
      <x:c r="AI1021" s="10" t="str">
        <x:f>IF(AC1021="Отклонить","Отклонено",IF(AND(AC1021="Взять",COUNTIFS(AD1021:AH1021,"Да")=5),"Готово","Нужна редактура"))</x:f>
        <x:v>Нужна редактура</x:v>
      </x:c>
      <x:c r="AJ1021" s="17" t="str"/>
      <x:c r="AK1021" s="9" t="str">
        <x:v>https://www.youtube.com/playlist?list=PL51YAgTlfPj57_dWdUXGLkf2pmCnYzYoF</x:v>
      </x:c>
      <x:c r="AL1021" s="9" t="n">
        <x:v>3</x:v>
      </x:c>
      <x:c r="AM1021" s="9"/>
      <x:c r="AN1021" s="9" t="n">
        <x:v>0</x:v>
      </x:c>
    </x:row>
    <x:row r="1022" ht="60" customHeight="1">
      <x:c r="A1022" s="9" t="str">
        <x:v>y65k8W8vVqs</x:v>
      </x:c>
      <x:c r="B1022" s="10" t="str">
        <x:v>גלילאו עונה 9 | איך אפשר ליצור מגדל בלונים? 🎈</x:v>
      </x:c>
      <x:c r="C1022" s="10" t="str">
        <x:v>Наука и мир</x:v>
      </x:c>
      <x:c r="D1022" s="9" t="str">
        <x:v>Образование</x:v>
      </x:c>
      <x:c r="E1022" s="10" t="str">
        <x:v>Любознательные; семьи; образовательное медиа</x:v>
      </x:c>
      <x:c r="F1022" s="10" t="str">
        <x:v>B1–B2 (гипотеза)</x:v>
      </x:c>
      <x:c r="G1022" s="12" t="n">
        <x:v>25.8</x:v>
      </x:c>
      <x:c r="H1022" s="14" t="n">
        <x:v>37460</x:v>
      </x:c>
      <x:c r="I1022" s="15" t="str">
        <x:v>Точный счётчик метаданных видео</x:v>
      </x:c>
      <x:c r="J1022" s="14" t="n">
        <x:v>37000</x:v>
      </x:c>
      <x:c r="K1022" s="14" t="n">
        <x:v>28000</x:v>
      </x:c>
      <x:c r="L1022" s="12" t="n">
        <x:f>IF(COUNT(J1022:K1022)=2,IF(K1022=0,"",J1022/K1022),"")</x:f>
        <x:v>1.3214285714285714</x:v>
      </x:c>
      <x:c r="M1022" s="10" t="str">
        <x:v>Тема: גלילאו עונה 9 | איך אפשר ליצור מגדל בלונים? 🎈. Ведущий и визуальные демонстрации помогают понимать новые слова. Формат подходит любителям научно-популярного видео.</x:v>
      </x:c>
      <x:c r="N1022" s="10" t="str">
        <x:v>Выбрать одну рубрику; объяснить явление и задать вопрос.</x:v>
      </x:c>
      <x:c r="O1022" s="10" t="str">
        <x:v>Проверять актуальность научных утверждений</x:v>
      </x:c>
      <x:c r="P1022" s="10" t="str">
        <x:v>Самостоятельное видео</x:v>
      </x:c>
      <x:c r="Q1022" s="9" t="str">
        <x:v>Нет</x:v>
      </x:c>
      <x:c r="R1022" s="9" t="str">
        <x:v>C056</x:v>
      </x:c>
      <x:c r="S1022" s="9" t="str">
        <x:v>C056</x:v>
      </x:c>
      <x:c r="T1022" s="10" t="str">
        <x:v>כאן חינוכית</x:v>
      </x:c>
      <x:c r="U1022" s="11" t="str">
        <x:v>https://www.youtube.com/watch?v=y65k8W8vVqs</x:v>
      </x:c>
      <x:c r="V1022" s="16" t="n">
        <x:v>46308</x:v>
      </x:c>
      <x:c r="W1022" s="16" t="n">
        <x:v>43893</x:v>
      </x:c>
      <x:c r="X1022" s="10" t="str">
        <x:v>Иврит предполагается по заголовку и источнику</x:v>
      </x:c>
      <x:c r="Y1022" s="10" t="str">
        <x:v>Дорожка HE не найдена в метаданных; вшитые титры не проверены</x:v>
      </x:c>
      <x:c r="Z1022" s="10" t="str">
        <x:v>Разрешено по метаданным</x:v>
      </x:c>
      <x:c r="AA1022" s="10" t="str">
        <x:v>Метаданные видео; воспроизведение и содержание не проверены</x:v>
      </x:c>
      <x:c r="AB1022" s="13" t="n">
        <x:f>IF(AND(ISNUMBER(H1022),ISNUMBER(W1022)),H1022/MAX(1,'Обзор'!$B$4-W1022),"")</x:f>
        <x:v>15.511387163561077</x:v>
      </x:c>
      <x:c r="AC1022" s="17" t="str">
        <x:v>Не решено</x:v>
      </x:c>
      <x:c r="AD1022" s="17" t="str">
        <x:v>Не проверено</x:v>
      </x:c>
      <x:c r="AE1022" s="17" t="str">
        <x:v>Не проверено</x:v>
      </x:c>
      <x:c r="AF1022" s="17" t="str">
        <x:v>Не проверено</x:v>
      </x:c>
      <x:c r="AG1022" s="17" t="str">
        <x:v>Не решено</x:v>
      </x:c>
      <x:c r="AH1022" s="17" t="str">
        <x:v>Не проверено</x:v>
      </x:c>
      <x:c r="AI1022" s="10" t="str">
        <x:f>IF(AC1022="Отклонить","Отклонено",IF(AND(AC1022="Взять",COUNTIFS(AD1022:AH1022,"Да")=5),"Готово","Нужна редактура"))</x:f>
        <x:v>Нужна редактура</x:v>
      </x:c>
      <x:c r="AJ1022" s="17" t="str"/>
      <x:c r="AK1022" s="9" t="str">
        <x:v>https://www.youtube.com/playlist?list=PL51YAgTlfPj57_dWdUXGLkf2pmCnYzYoF</x:v>
      </x:c>
      <x:c r="AL1022" s="9" t="n">
        <x:v>4</x:v>
      </x:c>
      <x:c r="AM1022" s="9"/>
      <x:c r="AN1022" s="9" t="n">
        <x:v>0</x:v>
      </x:c>
    </x:row>
    <x:row r="1023" ht="60" customHeight="1">
      <x:c r="A1023" s="9" t="str">
        <x:v>hUvamCCa_Eg</x:v>
      </x:c>
      <x:c r="B1023" s="10" t="str">
        <x:v>גלילאו עונה 9 | למה אנחנו צריכים לישון? 😴</x:v>
      </x:c>
      <x:c r="C1023" s="10" t="str">
        <x:v>Наука и мир</x:v>
      </x:c>
      <x:c r="D1023" s="9" t="str">
        <x:v>Образование</x:v>
      </x:c>
      <x:c r="E1023" s="10" t="str">
        <x:v>Любознательные; семьи; образовательное медиа</x:v>
      </x:c>
      <x:c r="F1023" s="10" t="str">
        <x:v>B1–B2 (гипотеза)</x:v>
      </x:c>
      <x:c r="G1023" s="12" t="n">
        <x:v>26.5</x:v>
      </x:c>
      <x:c r="H1023" s="14" t="n">
        <x:v>27000</x:v>
      </x:c>
      <x:c r="I1023" s="15" t="str">
        <x:v>Округлённый счётчик в списке YouTube</x:v>
      </x:c>
      <x:c r="J1023" s="14" t="n">
        <x:v>27000</x:v>
      </x:c>
      <x:c r="K1023" s="14" t="n">
        <x:v>28000</x:v>
      </x:c>
      <x:c r="L1023" s="12" t="n">
        <x:f>IF(COUNT(J1023:K1023)=2,IF(K1023=0,"",J1023/K1023),"")</x:f>
        <x:v>0.9642857142857143</x:v>
      </x:c>
      <x:c r="M1023" s="10" t="str">
        <x:v>Тема: גלילאו עונה 9 | למה אנחנו צריכים לישון? 😴. Ведущий и визуальные демонстрации помогают понимать новые слова. Формат подходит любителям научно-популярного видео.</x:v>
      </x:c>
      <x:c r="N1023" s="10" t="str">
        <x:v>Выбрать одну рубрику; объяснить явление и задать вопрос.</x:v>
      </x:c>
      <x:c r="O1023" s="10" t="str">
        <x:v>Проверять актуальность научных утверждений</x:v>
      </x:c>
      <x:c r="P1023" s="10" t="str">
        <x:v>Самостоятельное видео</x:v>
      </x:c>
      <x:c r="Q1023" s="9" t="str">
        <x:v>Нет</x:v>
      </x:c>
      <x:c r="R1023" s="9" t="str">
        <x:v>C056</x:v>
      </x:c>
      <x:c r="S1023" s="9" t="str">
        <x:v>C056</x:v>
      </x:c>
      <x:c r="T1023" s="10" t="str">
        <x:v>כאן חינוכית</x:v>
      </x:c>
      <x:c r="U1023" s="11" t="str">
        <x:v>https://www.youtube.com/watch?v=hUvamCCa_Eg</x:v>
      </x:c>
      <x:c r="V1023" s="16" t="n">
        <x:v>46308</x:v>
      </x:c>
      <x:c r="W1023" s="16"/>
      <x:c r="X1023" s="10" t="str">
        <x:v>Иврит предполагается по заголовку и источнику</x:v>
      </x:c>
      <x:c r="Y1023" s="10" t="str">
        <x:v>Не проверено</x:v>
      </x:c>
      <x:c r="Z1023" s="10" t="str">
        <x:v>Не проверено</x:v>
      </x:c>
      <x:c r="AA1023" s="10" t="str">
        <x:v>Метаданные списка; видео не просмотрено</x:v>
      </x:c>
      <x:c r="AB1023" s="13" t="str">
        <x:f>IF(AND(ISNUMBER(H1023),ISNUMBER(W1023)),H1023/MAX(1,'Обзор'!$B$4-W1023),"")</x:f>
      </x:c>
      <x:c r="AC1023" s="17" t="str">
        <x:v>Не решено</x:v>
      </x:c>
      <x:c r="AD1023" s="17" t="str">
        <x:v>Не проверено</x:v>
      </x:c>
      <x:c r="AE1023" s="17" t="str">
        <x:v>Не проверено</x:v>
      </x:c>
      <x:c r="AF1023" s="17" t="str">
        <x:v>Не проверено</x:v>
      </x:c>
      <x:c r="AG1023" s="17" t="str">
        <x:v>Не решено</x:v>
      </x:c>
      <x:c r="AH1023" s="17" t="str">
        <x:v>Не проверено</x:v>
      </x:c>
      <x:c r="AI1023" s="10" t="str">
        <x:f>IF(AC1023="Отклонить","Отклонено",IF(AND(AC1023="Взять",COUNTIFS(AD1023:AH1023,"Да")=5),"Готово","Нужна редактура"))</x:f>
        <x:v>Нужна редактура</x:v>
      </x:c>
      <x:c r="AJ1023" s="17" t="str"/>
      <x:c r="AK1023" s="9" t="str">
        <x:v>https://www.youtube.com/playlist?list=PL51YAgTlfPj57_dWdUXGLkf2pmCnYzYoF</x:v>
      </x:c>
      <x:c r="AL1023" s="9" t="n">
        <x:v>5</x:v>
      </x:c>
      <x:c r="AM1023" s="9"/>
      <x:c r="AN1023" s="9"/>
    </x:row>
    <x:row r="1024" ht="60" customHeight="1">
      <x:c r="A1024" s="9" t="str">
        <x:v>eEksnw3JVOY</x:v>
      </x:c>
      <x:c r="B1024" s="10" t="str">
        <x:v>גלילאו עונה 9 | איך אפשר לייצר ברקים? ⚡</x:v>
      </x:c>
      <x:c r="C1024" s="10" t="str">
        <x:v>Наука и мир</x:v>
      </x:c>
      <x:c r="D1024" s="9" t="str">
        <x:v>Образование</x:v>
      </x:c>
      <x:c r="E1024" s="10" t="str">
        <x:v>Любознательные; семьи; образовательное медиа</x:v>
      </x:c>
      <x:c r="F1024" s="10" t="str">
        <x:v>B1–B2 (гипотеза)</x:v>
      </x:c>
      <x:c r="G1024" s="12" t="n">
        <x:v>26.7</x:v>
      </x:c>
      <x:c r="H1024" s="14" t="n">
        <x:v>32746</x:v>
      </x:c>
      <x:c r="I1024" s="15" t="str">
        <x:v>Точный счётчик метаданных видео</x:v>
      </x:c>
      <x:c r="J1024" s="14" t="n">
        <x:v>32000</x:v>
      </x:c>
      <x:c r="K1024" s="14" t="n">
        <x:v>28000</x:v>
      </x:c>
      <x:c r="L1024" s="12" t="n">
        <x:f>IF(COUNT(J1024:K1024)=2,IF(K1024=0,"",J1024/K1024),"")</x:f>
        <x:v>1.1428571428571428</x:v>
      </x:c>
      <x:c r="M1024" s="10" t="str">
        <x:v>Тема: גלילאו עונה 9 | איך אפשר לייצר ברקים? ⚡. Ведущий и визуальные демонстрации помогают понимать новые слова. Формат подходит любителям научно-популярного видео.</x:v>
      </x:c>
      <x:c r="N1024" s="10" t="str">
        <x:v>Выбрать одну рубрику; объяснить явление и задать вопрос.</x:v>
      </x:c>
      <x:c r="O1024" s="10" t="str">
        <x:v>Проверять актуальность научных утверждений</x:v>
      </x:c>
      <x:c r="P1024" s="10" t="str">
        <x:v>Самостоятельное видео</x:v>
      </x:c>
      <x:c r="Q1024" s="9" t="str">
        <x:v>Нет</x:v>
      </x:c>
      <x:c r="R1024" s="9" t="str">
        <x:v>C056</x:v>
      </x:c>
      <x:c r="S1024" s="9" t="str">
        <x:v>C056</x:v>
      </x:c>
      <x:c r="T1024" s="10" t="str">
        <x:v>כאן חינוכית</x:v>
      </x:c>
      <x:c r="U1024" s="11" t="str">
        <x:v>https://www.youtube.com/watch?v=eEksnw3JVOY</x:v>
      </x:c>
      <x:c r="V1024" s="16" t="n">
        <x:v>46308</x:v>
      </x:c>
      <x:c r="W1024" s="16" t="n">
        <x:v>43888</x:v>
      </x:c>
      <x:c r="X1024" s="10" t="str">
        <x:v>Иврит предполагается по заголовку и источнику</x:v>
      </x:c>
      <x:c r="Y1024" s="10" t="str">
        <x:v>Дорожка HE не найдена в метаданных; вшитые титры не проверены</x:v>
      </x:c>
      <x:c r="Z1024" s="10" t="str">
        <x:v>Разрешено по метаданным</x:v>
      </x:c>
      <x:c r="AA1024" s="10" t="str">
        <x:v>Метаданные видео; воспроизведение и содержание не проверены</x:v>
      </x:c>
      <x:c r="AB1024" s="13" t="n">
        <x:f>IF(AND(ISNUMBER(H1024),ISNUMBER(W1024)),H1024/MAX(1,'Обзор'!$B$4-W1024),"")</x:f>
        <x:v>13.531404958677687</x:v>
      </x:c>
      <x:c r="AC1024" s="17" t="str">
        <x:v>Не решено</x:v>
      </x:c>
      <x:c r="AD1024" s="17" t="str">
        <x:v>Не проверено</x:v>
      </x:c>
      <x:c r="AE1024" s="17" t="str">
        <x:v>Не проверено</x:v>
      </x:c>
      <x:c r="AF1024" s="17" t="str">
        <x:v>Не проверено</x:v>
      </x:c>
      <x:c r="AG1024" s="17" t="str">
        <x:v>Не решено</x:v>
      </x:c>
      <x:c r="AH1024" s="17" t="str">
        <x:v>Не проверено</x:v>
      </x:c>
      <x:c r="AI1024" s="10" t="str">
        <x:f>IF(AC1024="Отклонить","Отклонено",IF(AND(AC1024="Взять",COUNTIFS(AD1024:AH1024,"Да")=5),"Готово","Нужна редактура"))</x:f>
        <x:v>Нужна редактура</x:v>
      </x:c>
      <x:c r="AJ1024" s="17" t="str"/>
      <x:c r="AK1024" s="9" t="str">
        <x:v>https://www.youtube.com/playlist?list=PL51YAgTlfPj57_dWdUXGLkf2pmCnYzYoF</x:v>
      </x:c>
      <x:c r="AL1024" s="9" t="n">
        <x:v>6</x:v>
      </x:c>
      <x:c r="AM1024" s="9"/>
      <x:c r="AN1024" s="9" t="n">
        <x:v>0</x:v>
      </x:c>
    </x:row>
    <x:row r="1025" ht="60" customHeight="1">
      <x:c r="A1025" s="9" t="str">
        <x:v>5j06FYGRvxY</x:v>
      </x:c>
      <x:c r="B1025" s="10" t="str">
        <x:v>גלילאו עונה 9 | כל מה שרציתם לדעת על הנמרים של ישראל! 🐆</x:v>
      </x:c>
      <x:c r="C1025" s="10" t="str">
        <x:v>Наука и мир</x:v>
      </x:c>
      <x:c r="D1025" s="9" t="str">
        <x:v>Образование</x:v>
      </x:c>
      <x:c r="E1025" s="10" t="str">
        <x:v>Любознательные; семьи; образовательное медиа</x:v>
      </x:c>
      <x:c r="F1025" s="10" t="str">
        <x:v>B1–B2 (гипотеза)</x:v>
      </x:c>
      <x:c r="G1025" s="12" t="n">
        <x:v>24.2</x:v>
      </x:c>
      <x:c r="H1025" s="14" t="n">
        <x:v>19000</x:v>
      </x:c>
      <x:c r="I1025" s="15" t="str">
        <x:v>Округлённый счётчик в списке YouTube</x:v>
      </x:c>
      <x:c r="J1025" s="14" t="n">
        <x:v>19000</x:v>
      </x:c>
      <x:c r="K1025" s="14" t="n">
        <x:v>28000</x:v>
      </x:c>
      <x:c r="L1025" s="12" t="n">
        <x:f>IF(COUNT(J1025:K1025)=2,IF(K1025=0,"",J1025/K1025),"")</x:f>
        <x:v>0.6785714285714286</x:v>
      </x:c>
      <x:c r="M1025" s="10" t="str">
        <x:v>Тема: גלילאו עונה 9 | כל מה שרציתם לדעת על הנמרים של ישראל! 🐆. Ведущий и визуальные демонстрации помогают понимать новые слова. Формат подходит любителям научно-популярного видео.</x:v>
      </x:c>
      <x:c r="N1025" s="10" t="str">
        <x:v>Выбрать одну рубрику; объяснить явление и задать вопрос.</x:v>
      </x:c>
      <x:c r="O1025" s="10" t="str">
        <x:v>Проверять актуальность научных утверждений</x:v>
      </x:c>
      <x:c r="P1025" s="10" t="str">
        <x:v>Самостоятельное видео</x:v>
      </x:c>
      <x:c r="Q1025" s="9" t="str">
        <x:v>Нет</x:v>
      </x:c>
      <x:c r="R1025" s="9" t="str">
        <x:v>C056</x:v>
      </x:c>
      <x:c r="S1025" s="9" t="str">
        <x:v>C056</x:v>
      </x:c>
      <x:c r="T1025" s="10" t="str">
        <x:v>כאן חינוכית</x:v>
      </x:c>
      <x:c r="U1025" s="11" t="str">
        <x:v>https://www.youtube.com/watch?v=5j06FYGRvxY</x:v>
      </x:c>
      <x:c r="V1025" s="16" t="n">
        <x:v>46308</x:v>
      </x:c>
      <x:c r="W1025" s="16"/>
      <x:c r="X1025" s="10" t="str">
        <x:v>Иврит предполагается по заголовку и источнику</x:v>
      </x:c>
      <x:c r="Y1025" s="10" t="str">
        <x:v>Не проверено</x:v>
      </x:c>
      <x:c r="Z1025" s="10" t="str">
        <x:v>Не проверено</x:v>
      </x:c>
      <x:c r="AA1025" s="10" t="str">
        <x:v>Метаданные списка; видео не просмотрено</x:v>
      </x:c>
      <x:c r="AB1025" s="13" t="str">
        <x:f>IF(AND(ISNUMBER(H1025),ISNUMBER(W1025)),H1025/MAX(1,'Обзор'!$B$4-W1025),"")</x:f>
      </x:c>
      <x:c r="AC1025" s="17" t="str">
        <x:v>Не решено</x:v>
      </x:c>
      <x:c r="AD1025" s="17" t="str">
        <x:v>Не проверено</x:v>
      </x:c>
      <x:c r="AE1025" s="17" t="str">
        <x:v>Не проверено</x:v>
      </x:c>
      <x:c r="AF1025" s="17" t="str">
        <x:v>Не проверено</x:v>
      </x:c>
      <x:c r="AG1025" s="17" t="str">
        <x:v>Не решено</x:v>
      </x:c>
      <x:c r="AH1025" s="17" t="str">
        <x:v>Не проверено</x:v>
      </x:c>
      <x:c r="AI1025" s="10" t="str">
        <x:f>IF(AC1025="Отклонить","Отклонено",IF(AND(AC1025="Взять",COUNTIFS(AD1025:AH1025,"Да")=5),"Готово","Нужна редактура"))</x:f>
        <x:v>Нужна редактура</x:v>
      </x:c>
      <x:c r="AJ1025" s="17" t="str"/>
      <x:c r="AK1025" s="9" t="str">
        <x:v>https://www.youtube.com/playlist?list=PL51YAgTlfPj57_dWdUXGLkf2pmCnYzYoF</x:v>
      </x:c>
      <x:c r="AL1025" s="9" t="n">
        <x:v>7</x:v>
      </x:c>
      <x:c r="AM1025" s="9"/>
      <x:c r="AN1025" s="9"/>
    </x:row>
    <x:row r="1026" ht="60" customHeight="1">
      <x:c r="A1026" s="9" t="str">
        <x:v>lm8CjMidqRg</x:v>
      </x:c>
      <x:c r="B1026" s="10" t="str">
        <x:v>גלילאו עונה 9 | אפשר ללמוד איך להיות יצירתיים? 🧐</x:v>
      </x:c>
      <x:c r="C1026" s="10" t="str">
        <x:v>Наука и мир</x:v>
      </x:c>
      <x:c r="D1026" s="9" t="str">
        <x:v>Образование</x:v>
      </x:c>
      <x:c r="E1026" s="10" t="str">
        <x:v>Любознательные; семьи; образовательное медиа</x:v>
      </x:c>
      <x:c r="F1026" s="10" t="str">
        <x:v>B1–B2 (гипотеза)</x:v>
      </x:c>
      <x:c r="G1026" s="12" t="n">
        <x:v>25.5</x:v>
      </x:c>
      <x:c r="H1026" s="14" t="n">
        <x:v>17000</x:v>
      </x:c>
      <x:c r="I1026" s="15" t="str">
        <x:v>Округлённый счётчик в списке YouTube</x:v>
      </x:c>
      <x:c r="J1026" s="14" t="n">
        <x:v>17000</x:v>
      </x:c>
      <x:c r="K1026" s="14" t="n">
        <x:v>28000</x:v>
      </x:c>
      <x:c r="L1026" s="12" t="n">
        <x:f>IF(COUNT(J1026:K1026)=2,IF(K1026=0,"",J1026/K1026),"")</x:f>
        <x:v>0.6071428571428571</x:v>
      </x:c>
      <x:c r="M1026" s="10" t="str">
        <x:v>Тема: גלילאו עונה 9 | אפשר ללמוד איך להיות יצירתיים? 🧐. Ведущий и визуальные демонстрации помогают понимать новые слова. Формат подходит любителям научно-популярного видео.</x:v>
      </x:c>
      <x:c r="N1026" s="10" t="str">
        <x:v>Выбрать одну рубрику; объяснить явление и задать вопрос.</x:v>
      </x:c>
      <x:c r="O1026" s="10" t="str">
        <x:v>Проверять актуальность научных утверждений</x:v>
      </x:c>
      <x:c r="P1026" s="10" t="str">
        <x:v>Самостоятельное видео</x:v>
      </x:c>
      <x:c r="Q1026" s="9" t="str">
        <x:v>Нет</x:v>
      </x:c>
      <x:c r="R1026" s="9" t="str">
        <x:v>C056</x:v>
      </x:c>
      <x:c r="S1026" s="9" t="str">
        <x:v>C056</x:v>
      </x:c>
      <x:c r="T1026" s="10" t="str">
        <x:v>כאן חינוכית</x:v>
      </x:c>
      <x:c r="U1026" s="11" t="str">
        <x:v>https://www.youtube.com/watch?v=lm8CjMidqRg</x:v>
      </x:c>
      <x:c r="V1026" s="16" t="n">
        <x:v>46308</x:v>
      </x:c>
      <x:c r="W1026" s="16"/>
      <x:c r="X1026" s="10" t="str">
        <x:v>Иврит предполагается по заголовку и источнику</x:v>
      </x:c>
      <x:c r="Y1026" s="10" t="str">
        <x:v>Не проверено</x:v>
      </x:c>
      <x:c r="Z1026" s="10" t="str">
        <x:v>Не проверено</x:v>
      </x:c>
      <x:c r="AA1026" s="10" t="str">
        <x:v>Метаданные списка; видео не просмотрено</x:v>
      </x:c>
      <x:c r="AB1026" s="13" t="str">
        <x:f>IF(AND(ISNUMBER(H1026),ISNUMBER(W1026)),H1026/MAX(1,'Обзор'!$B$4-W1026),"")</x:f>
      </x:c>
      <x:c r="AC1026" s="17" t="str">
        <x:v>Не решено</x:v>
      </x:c>
      <x:c r="AD1026" s="17" t="str">
        <x:v>Не проверено</x:v>
      </x:c>
      <x:c r="AE1026" s="17" t="str">
        <x:v>Не проверено</x:v>
      </x:c>
      <x:c r="AF1026" s="17" t="str">
        <x:v>Не проверено</x:v>
      </x:c>
      <x:c r="AG1026" s="17" t="str">
        <x:v>Не решено</x:v>
      </x:c>
      <x:c r="AH1026" s="17" t="str">
        <x:v>Не проверено</x:v>
      </x:c>
      <x:c r="AI1026" s="10" t="str">
        <x:f>IF(AC1026="Отклонить","Отклонено",IF(AND(AC1026="Взять",COUNTIFS(AD1026:AH1026,"Да")=5),"Готово","Нужна редактура"))</x:f>
        <x:v>Нужна редактура</x:v>
      </x:c>
      <x:c r="AJ1026" s="17" t="str"/>
      <x:c r="AK1026" s="9" t="str">
        <x:v>https://www.youtube.com/playlist?list=PL51YAgTlfPj57_dWdUXGLkf2pmCnYzYoF</x:v>
      </x:c>
      <x:c r="AL1026" s="9" t="n">
        <x:v>8</x:v>
      </x:c>
      <x:c r="AM1026" s="9"/>
      <x:c r="AN1026" s="9"/>
    </x:row>
    <x:row r="1027" ht="60" customHeight="1">
      <x:c r="A1027" s="9" t="str">
        <x:v>OraTKMTLMv0</x:v>
      </x:c>
      <x:c r="B1027" s="10" t="str">
        <x:v>גלילאו עונה 9 | למה פילים לא חולים בסרטן? 🐘</x:v>
      </x:c>
      <x:c r="C1027" s="10" t="str">
        <x:v>Наука и мир</x:v>
      </x:c>
      <x:c r="D1027" s="9" t="str">
        <x:v>Образование</x:v>
      </x:c>
      <x:c r="E1027" s="10" t="str">
        <x:v>Любознательные; семьи; образовательное медиа</x:v>
      </x:c>
      <x:c r="F1027" s="10" t="str">
        <x:v>B1–B2 (гипотеза)</x:v>
      </x:c>
      <x:c r="G1027" s="12" t="n">
        <x:v>25.5</x:v>
      </x:c>
      <x:c r="H1027" s="14" t="n">
        <x:v>25000</x:v>
      </x:c>
      <x:c r="I1027" s="15" t="str">
        <x:v>Округлённый счётчик в списке YouTube</x:v>
      </x:c>
      <x:c r="J1027" s="14" t="n">
        <x:v>25000</x:v>
      </x:c>
      <x:c r="K1027" s="14" t="n">
        <x:v>28000</x:v>
      </x:c>
      <x:c r="L1027" s="12" t="n">
        <x:f>IF(COUNT(J1027:K1027)=2,IF(K1027=0,"",J1027/K1027),"")</x:f>
        <x:v>0.8928571428571429</x:v>
      </x:c>
      <x:c r="M1027" s="10" t="str">
        <x:v>Тема: גלילאו עונה 9 | למה פילים לא חולים בסרטן? 🐘. Ведущий и визуальные демонстрации помогают понимать новые слова. Формат подходит любителям научно-популярного видео.</x:v>
      </x:c>
      <x:c r="N1027" s="10" t="str">
        <x:v>Выбрать одну рубрику; объяснить явление и задать вопрос.</x:v>
      </x:c>
      <x:c r="O1027" s="10" t="str">
        <x:v>Проверять актуальность научных утверждений</x:v>
      </x:c>
      <x:c r="P1027" s="10" t="str">
        <x:v>Самостоятельное видео</x:v>
      </x:c>
      <x:c r="Q1027" s="9" t="str">
        <x:v>Нет</x:v>
      </x:c>
      <x:c r="R1027" s="9" t="str">
        <x:v>C056</x:v>
      </x:c>
      <x:c r="S1027" s="9" t="str">
        <x:v>C056</x:v>
      </x:c>
      <x:c r="T1027" s="10" t="str">
        <x:v>כאן חינוכית</x:v>
      </x:c>
      <x:c r="U1027" s="11" t="str">
        <x:v>https://www.youtube.com/watch?v=OraTKMTLMv0</x:v>
      </x:c>
      <x:c r="V1027" s="16" t="n">
        <x:v>46308</x:v>
      </x:c>
      <x:c r="W1027" s="16"/>
      <x:c r="X1027" s="10" t="str">
        <x:v>Иврит предполагается по заголовку и источнику</x:v>
      </x:c>
      <x:c r="Y1027" s="10" t="str">
        <x:v>Не проверено</x:v>
      </x:c>
      <x:c r="Z1027" s="10" t="str">
        <x:v>Не проверено</x:v>
      </x:c>
      <x:c r="AA1027" s="10" t="str">
        <x:v>Метаданные списка; видео не просмотрено</x:v>
      </x:c>
      <x:c r="AB1027" s="13" t="str">
        <x:f>IF(AND(ISNUMBER(H1027),ISNUMBER(W1027)),H1027/MAX(1,'Обзор'!$B$4-W1027),"")</x:f>
      </x:c>
      <x:c r="AC1027" s="17" t="str">
        <x:v>Не решено</x:v>
      </x:c>
      <x:c r="AD1027" s="17" t="str">
        <x:v>Не проверено</x:v>
      </x:c>
      <x:c r="AE1027" s="17" t="str">
        <x:v>Не проверено</x:v>
      </x:c>
      <x:c r="AF1027" s="17" t="str">
        <x:v>Не проверено</x:v>
      </x:c>
      <x:c r="AG1027" s="17" t="str">
        <x:v>Не решено</x:v>
      </x:c>
      <x:c r="AH1027" s="17" t="str">
        <x:v>Не проверено</x:v>
      </x:c>
      <x:c r="AI1027" s="10" t="str">
        <x:f>IF(AC1027="Отклонить","Отклонено",IF(AND(AC1027="Взять",COUNTIFS(AD1027:AH1027,"Да")=5),"Готово","Нужна редактура"))</x:f>
        <x:v>Нужна редактура</x:v>
      </x:c>
      <x:c r="AJ1027" s="17" t="str"/>
      <x:c r="AK1027" s="9" t="str">
        <x:v>https://www.youtube.com/playlist?list=PL51YAgTlfPj57_dWdUXGLkf2pmCnYzYoF</x:v>
      </x:c>
      <x:c r="AL1027" s="9" t="n">
        <x:v>9</x:v>
      </x:c>
      <x:c r="AM1027" s="9"/>
      <x:c r="AN1027" s="9"/>
    </x:row>
    <x:row r="1028" ht="60" customHeight="1">
      <x:c r="A1028" s="9" t="str">
        <x:v>3rG0l0yiOJc</x:v>
      </x:c>
      <x:c r="B1028" s="10" t="str">
        <x:v>גלילאו עונה 9 | למה צריך ג'וקים בעולם?</x:v>
      </x:c>
      <x:c r="C1028" s="10" t="str">
        <x:v>Наука и мир</x:v>
      </x:c>
      <x:c r="D1028" s="9" t="str">
        <x:v>Образование</x:v>
      </x:c>
      <x:c r="E1028" s="10" t="str">
        <x:v>Любознательные; семьи; образовательное медиа</x:v>
      </x:c>
      <x:c r="F1028" s="10" t="str">
        <x:v>B1–B2 (гипотеза)</x:v>
      </x:c>
      <x:c r="G1028" s="12" t="n">
        <x:v>27.1</x:v>
      </x:c>
      <x:c r="H1028" s="14" t="n">
        <x:v>31294</x:v>
      </x:c>
      <x:c r="I1028" s="15" t="str">
        <x:v>Точный счётчик метаданных видео</x:v>
      </x:c>
      <x:c r="J1028" s="14" t="n">
        <x:v>31000</x:v>
      </x:c>
      <x:c r="K1028" s="14" t="n">
        <x:v>28000</x:v>
      </x:c>
      <x:c r="L1028" s="12" t="n">
        <x:f>IF(COUNT(J1028:K1028)=2,IF(K1028=0,"",J1028/K1028),"")</x:f>
        <x:v>1.1071428571428572</x:v>
      </x:c>
      <x:c r="M1028" s="10" t="str">
        <x:v>Тема: גלילאו עונה 9 | למה צריך ג'וקים בעולם?. Ведущий и визуальные демонстрации помогают понимать новые слова. Формат подходит любителям научно-популярного видео.</x:v>
      </x:c>
      <x:c r="N1028" s="10" t="str">
        <x:v>Выбрать одну рубрику; объяснить явление и задать вопрос.</x:v>
      </x:c>
      <x:c r="O1028" s="10" t="str">
        <x:v>Проверять актуальность научных утверждений</x:v>
      </x:c>
      <x:c r="P1028" s="10" t="str">
        <x:v>Самостоятельное видео</x:v>
      </x:c>
      <x:c r="Q1028" s="9" t="str">
        <x:v>Нет</x:v>
      </x:c>
      <x:c r="R1028" s="9" t="str">
        <x:v>C056</x:v>
      </x:c>
      <x:c r="S1028" s="9" t="str">
        <x:v>C056</x:v>
      </x:c>
      <x:c r="T1028" s="10" t="str">
        <x:v>כאן חינוכית</x:v>
      </x:c>
      <x:c r="U1028" s="11" t="str">
        <x:v>https://www.youtube.com/watch?v=3rG0l0yiOJc</x:v>
      </x:c>
      <x:c r="V1028" s="16" t="n">
        <x:v>46308</x:v>
      </x:c>
      <x:c r="W1028" s="16" t="n">
        <x:v>43884</x:v>
      </x:c>
      <x:c r="X1028" s="10" t="str">
        <x:v>Иврит предполагается по заголовку и источнику</x:v>
      </x:c>
      <x:c r="Y1028" s="10" t="str">
        <x:v>Дорожка HE не найдена в метаданных; вшитые титры не проверены</x:v>
      </x:c>
      <x:c r="Z1028" s="10" t="str">
        <x:v>Разрешено по метаданным</x:v>
      </x:c>
      <x:c r="AA1028" s="10" t="str">
        <x:v>Метаданные видео; воспроизведение и содержание не проверены</x:v>
      </x:c>
      <x:c r="AB1028" s="13" t="n">
        <x:f>IF(AND(ISNUMBER(H1028),ISNUMBER(W1028)),H1028/MAX(1,'Обзор'!$B$4-W1028),"")</x:f>
        <x:v>12.91006600660066</x:v>
      </x:c>
      <x:c r="AC1028" s="17" t="str">
        <x:v>Не решено</x:v>
      </x:c>
      <x:c r="AD1028" s="17" t="str">
        <x:v>Не проверено</x:v>
      </x:c>
      <x:c r="AE1028" s="17" t="str">
        <x:v>Не проверено</x:v>
      </x:c>
      <x:c r="AF1028" s="17" t="str">
        <x:v>Не проверено</x:v>
      </x:c>
      <x:c r="AG1028" s="17" t="str">
        <x:v>Не решено</x:v>
      </x:c>
      <x:c r="AH1028" s="17" t="str">
        <x:v>Не проверено</x:v>
      </x:c>
      <x:c r="AI1028" s="10" t="str">
        <x:f>IF(AC1028="Отклонить","Отклонено",IF(AND(AC1028="Взять",COUNTIFS(AD1028:AH1028,"Да")=5),"Готово","Нужна редактура"))</x:f>
        <x:v>Нужна редактура</x:v>
      </x:c>
      <x:c r="AJ1028" s="17" t="str"/>
      <x:c r="AK1028" s="9" t="str">
        <x:v>https://www.youtube.com/playlist?list=PL51YAgTlfPj57_dWdUXGLkf2pmCnYzYoF</x:v>
      </x:c>
      <x:c r="AL1028" s="9" t="n">
        <x:v>10</x:v>
      </x:c>
      <x:c r="AM1028" s="9"/>
      <x:c r="AN1028" s="9" t="n">
        <x:v>0</x:v>
      </x:c>
    </x:row>
    <x:row r="1029" ht="60" customHeight="1">
      <x:c r="A1029" s="9" t="str">
        <x:v>1LPt3aLBtVA</x:v>
      </x:c>
      <x:c r="B1029" s="10" t="str">
        <x:v>גלילאו עונה 9 | מה ההבדל בין וירוס לחיידק? 🦠</x:v>
      </x:c>
      <x:c r="C1029" s="10" t="str">
        <x:v>Наука и мир</x:v>
      </x:c>
      <x:c r="D1029" s="9" t="str">
        <x:v>Образование</x:v>
      </x:c>
      <x:c r="E1029" s="10" t="str">
        <x:v>Любознательные; семьи; образовательное медиа</x:v>
      </x:c>
      <x:c r="F1029" s="10" t="str">
        <x:v>B1–B2 (гипотеза)</x:v>
      </x:c>
      <x:c r="G1029" s="12" t="n">
        <x:v>26.8</x:v>
      </x:c>
      <x:c r="H1029" s="14" t="n">
        <x:v>28835</x:v>
      </x:c>
      <x:c r="I1029" s="15" t="str">
        <x:v>Точный счётчик метаданных видео</x:v>
      </x:c>
      <x:c r="J1029" s="14" t="n">
        <x:v>28000</x:v>
      </x:c>
      <x:c r="K1029" s="14" t="n">
        <x:v>28000</x:v>
      </x:c>
      <x:c r="L1029" s="12" t="n">
        <x:f>IF(COUNT(J1029:K1029)=2,IF(K1029=0,"",J1029/K1029),"")</x:f>
        <x:v>1</x:v>
      </x:c>
      <x:c r="M1029" s="10" t="str">
        <x:v>Тема: גלילאו עונה 9 | מה ההבדל בין וירוס לחיידק? 🦠. Ведущий и визуальные демонстрации помогают понимать новые слова. Формат подходит любителям научно-популярного видео.</x:v>
      </x:c>
      <x:c r="N1029" s="10" t="str">
        <x:v>Выбрать одну рубрику; объяснить явление и задать вопрос.</x:v>
      </x:c>
      <x:c r="O1029" s="10" t="str">
        <x:v>Проверять актуальность научных утверждений</x:v>
      </x:c>
      <x:c r="P1029" s="10" t="str">
        <x:v>Самостоятельное видео</x:v>
      </x:c>
      <x:c r="Q1029" s="9" t="str">
        <x:v>Нет</x:v>
      </x:c>
      <x:c r="R1029" s="9" t="str">
        <x:v>C056</x:v>
      </x:c>
      <x:c r="S1029" s="9" t="str">
        <x:v>C056</x:v>
      </x:c>
      <x:c r="T1029" s="10" t="str">
        <x:v>כאן חינוכית</x:v>
      </x:c>
      <x:c r="U1029" s="11" t="str">
        <x:v>https://www.youtube.com/watch?v=1LPt3aLBtVA</x:v>
      </x:c>
      <x:c r="V1029" s="16" t="n">
        <x:v>46308</x:v>
      </x:c>
      <x:c r="W1029" s="16" t="n">
        <x:v>43881</x:v>
      </x:c>
      <x:c r="X1029" s="10" t="str">
        <x:v>Иврит предполагается по заголовку и источнику</x:v>
      </x:c>
      <x:c r="Y1029" s="10" t="str">
        <x:v>Дорожка HE не найдена в метаданных; вшитые титры не проверены</x:v>
      </x:c>
      <x:c r="Z1029" s="10" t="str">
        <x:v>Разрешено по метаданным</x:v>
      </x:c>
      <x:c r="AA1029" s="10" t="str">
        <x:v>Метаданные видео; воспроизведение и содержание не проверены</x:v>
      </x:c>
      <x:c r="AB1029" s="13" t="n">
        <x:f>IF(AND(ISNUMBER(H1029),ISNUMBER(W1029)),H1029/MAX(1,'Обзор'!$B$4-W1029),"")</x:f>
        <x:v>11.88092295014421</x:v>
      </x:c>
      <x:c r="AC1029" s="17" t="str">
        <x:v>Не решено</x:v>
      </x:c>
      <x:c r="AD1029" s="17" t="str">
        <x:v>Не проверено</x:v>
      </x:c>
      <x:c r="AE1029" s="17" t="str">
        <x:v>Не проверено</x:v>
      </x:c>
      <x:c r="AF1029" s="17" t="str">
        <x:v>Не проверено</x:v>
      </x:c>
      <x:c r="AG1029" s="17" t="str">
        <x:v>Не решено</x:v>
      </x:c>
      <x:c r="AH1029" s="17" t="str">
        <x:v>Не проверено</x:v>
      </x:c>
      <x:c r="AI1029" s="10" t="str">
        <x:f>IF(AC1029="Отклонить","Отклонено",IF(AND(AC1029="Взять",COUNTIFS(AD1029:AH1029,"Да")=5),"Готово","Нужна редактура"))</x:f>
        <x:v>Нужна редактура</x:v>
      </x:c>
      <x:c r="AJ1029" s="17" t="str"/>
      <x:c r="AK1029" s="9" t="str">
        <x:v>https://www.youtube.com/playlist?list=PL51YAgTlfPj57_dWdUXGLkf2pmCnYzYoF</x:v>
      </x:c>
      <x:c r="AL1029" s="9" t="n">
        <x:v>11</x:v>
      </x:c>
      <x:c r="AM1029" s="9"/>
      <x:c r="AN1029" s="9" t="n">
        <x:v>0</x:v>
      </x:c>
    </x:row>
    <x:row r="1030" ht="60" customHeight="1">
      <x:c r="A1030" s="9" t="str">
        <x:v>cz3rkg7PzJE</x:v>
      </x:c>
      <x:c r="B1030" s="10" t="str">
        <x:v>גלילאו עונה 9 | כל אחד יכול לנגן? 🎶🎸</x:v>
      </x:c>
      <x:c r="C1030" s="10" t="str">
        <x:v>Наука и мир</x:v>
      </x:c>
      <x:c r="D1030" s="9" t="str">
        <x:v>Образование</x:v>
      </x:c>
      <x:c r="E1030" s="10" t="str">
        <x:v>Любознательные; семьи; образовательное медиа</x:v>
      </x:c>
      <x:c r="F1030" s="10" t="str">
        <x:v>B1–B2 (гипотеза)</x:v>
      </x:c>
      <x:c r="G1030" s="12" t="n">
        <x:v>26</x:v>
      </x:c>
      <x:c r="H1030" s="14" t="n">
        <x:v>15000</x:v>
      </x:c>
      <x:c r="I1030" s="15" t="str">
        <x:v>Округлённый счётчик в списке YouTube</x:v>
      </x:c>
      <x:c r="J1030" s="14" t="n">
        <x:v>15000</x:v>
      </x:c>
      <x:c r="K1030" s="14" t="n">
        <x:v>28000</x:v>
      </x:c>
      <x:c r="L1030" s="12" t="n">
        <x:f>IF(COUNT(J1030:K1030)=2,IF(K1030=0,"",J1030/K1030),"")</x:f>
        <x:v>0.5357142857142857</x:v>
      </x:c>
      <x:c r="M1030" s="10" t="str">
        <x:v>Тема: גלילאו עונה 9 | כל אחד יכול לנגן? 🎶🎸. Ведущий и визуальные демонстрации помогают понимать новые слова. Формат подходит любителям научно-популярного видео.</x:v>
      </x:c>
      <x:c r="N1030" s="10" t="str">
        <x:v>Выбрать одну рубрику; объяснить явление и задать вопрос.</x:v>
      </x:c>
      <x:c r="O1030" s="10" t="str">
        <x:v>Проверять актуальность научных утверждений</x:v>
      </x:c>
      <x:c r="P1030" s="10" t="str">
        <x:v>Самостоятельное видео</x:v>
      </x:c>
      <x:c r="Q1030" s="9" t="str">
        <x:v>Нет</x:v>
      </x:c>
      <x:c r="R1030" s="9" t="str">
        <x:v>C056</x:v>
      </x:c>
      <x:c r="S1030" s="9" t="str">
        <x:v>C056</x:v>
      </x:c>
      <x:c r="T1030" s="10" t="str">
        <x:v>כאן חינוכית</x:v>
      </x:c>
      <x:c r="U1030" s="11" t="str">
        <x:v>https://www.youtube.com/watch?v=cz3rkg7PzJE</x:v>
      </x:c>
      <x:c r="V1030" s="16" t="n">
        <x:v>46308</x:v>
      </x:c>
      <x:c r="W1030" s="16"/>
      <x:c r="X1030" s="10" t="str">
        <x:v>Иврит предполагается по заголовку и источнику</x:v>
      </x:c>
      <x:c r="Y1030" s="10" t="str">
        <x:v>Не проверено</x:v>
      </x:c>
      <x:c r="Z1030" s="10" t="str">
        <x:v>Не проверено</x:v>
      </x:c>
      <x:c r="AA1030" s="10" t="str">
        <x:v>Метаданные списка; видео не просмотрено</x:v>
      </x:c>
      <x:c r="AB1030" s="13" t="str">
        <x:f>IF(AND(ISNUMBER(H1030),ISNUMBER(W1030)),H1030/MAX(1,'Обзор'!$B$4-W1030),"")</x:f>
      </x:c>
      <x:c r="AC1030" s="17" t="str">
        <x:v>Не решено</x:v>
      </x:c>
      <x:c r="AD1030" s="17" t="str">
        <x:v>Не проверено</x:v>
      </x:c>
      <x:c r="AE1030" s="17" t="str">
        <x:v>Не проверено</x:v>
      </x:c>
      <x:c r="AF1030" s="17" t="str">
        <x:v>Не проверено</x:v>
      </x:c>
      <x:c r="AG1030" s="17" t="str">
        <x:v>Не решено</x:v>
      </x:c>
      <x:c r="AH1030" s="17" t="str">
        <x:v>Не проверено</x:v>
      </x:c>
      <x:c r="AI1030" s="10" t="str">
        <x:f>IF(AC1030="Отклонить","Отклонено",IF(AND(AC1030="Взять",COUNTIFS(AD1030:AH1030,"Да")=5),"Готово","Нужна редактура"))</x:f>
        <x:v>Нужна редактура</x:v>
      </x:c>
      <x:c r="AJ1030" s="17" t="str"/>
      <x:c r="AK1030" s="9" t="str">
        <x:v>https://www.youtube.com/playlist?list=PL51YAgTlfPj57_dWdUXGLkf2pmCnYzYoF</x:v>
      </x:c>
      <x:c r="AL1030" s="9" t="n">
        <x:v>12</x:v>
      </x:c>
      <x:c r="AM1030" s="9"/>
      <x:c r="AN1030" s="9"/>
    </x:row>
    <x:row r="1031" ht="60" customHeight="1">
      <x:c r="A1031" s="9" t="str">
        <x:v>HBgt0wi3Qg4</x:v>
      </x:c>
      <x:c r="B1031" s="10" t="str">
        <x:v>גלילאו עונה 9 | ביקור אצל נמו 🐠</x:v>
      </x:c>
      <x:c r="C1031" s="10" t="str">
        <x:v>Наука и мир</x:v>
      </x:c>
      <x:c r="D1031" s="9" t="str">
        <x:v>Образование</x:v>
      </x:c>
      <x:c r="E1031" s="10" t="str">
        <x:v>Любознательные; семьи; образовательное медиа</x:v>
      </x:c>
      <x:c r="F1031" s="10" t="str">
        <x:v>B1–B2 (гипотеза)</x:v>
      </x:c>
      <x:c r="G1031" s="12" t="n">
        <x:v>26.7</x:v>
      </x:c>
      <x:c r="H1031" s="14" t="n">
        <x:v>31444</x:v>
      </x:c>
      <x:c r="I1031" s="15" t="str">
        <x:v>Точный счётчик метаданных видео</x:v>
      </x:c>
      <x:c r="J1031" s="14" t="n">
        <x:v>31000</x:v>
      </x:c>
      <x:c r="K1031" s="14" t="n">
        <x:v>28000</x:v>
      </x:c>
      <x:c r="L1031" s="12" t="n">
        <x:f>IF(COUNT(J1031:K1031)=2,IF(K1031=0,"",J1031/K1031),"")</x:f>
        <x:v>1.1071428571428572</x:v>
      </x:c>
      <x:c r="M1031" s="10" t="str">
        <x:v>Тема: גלילאו עונה 9 | ביקור אצל נמו 🐠. Ведущий и визуальные демонстрации помогают понимать новые слова. Формат подходит любителям научно-популярного видео.</x:v>
      </x:c>
      <x:c r="N1031" s="10" t="str">
        <x:v>Выбрать одну рубрику; объяснить явление и задать вопрос.</x:v>
      </x:c>
      <x:c r="O1031" s="10" t="str">
        <x:v>Проверять актуальность научных утверждений</x:v>
      </x:c>
      <x:c r="P1031" s="10" t="str">
        <x:v>Самостоятельное видео</x:v>
      </x:c>
      <x:c r="Q1031" s="9" t="str">
        <x:v>Нет</x:v>
      </x:c>
      <x:c r="R1031" s="9" t="str">
        <x:v>C056</x:v>
      </x:c>
      <x:c r="S1031" s="9" t="str">
        <x:v>C056</x:v>
      </x:c>
      <x:c r="T1031" s="10" t="str">
        <x:v>כאן חינוכית</x:v>
      </x:c>
      <x:c r="U1031" s="11" t="str">
        <x:v>https://www.youtube.com/watch?v=HBgt0wi3Qg4</x:v>
      </x:c>
      <x:c r="V1031" s="16" t="n">
        <x:v>46308</x:v>
      </x:c>
      <x:c r="W1031" s="16" t="n">
        <x:v>43879</x:v>
      </x:c>
      <x:c r="X1031" s="10" t="str">
        <x:v>Иврит предполагается по заголовку и источнику</x:v>
      </x:c>
      <x:c r="Y1031" s="10" t="str">
        <x:v>Дорожка HE не найдена в метаданных; вшитые титры не проверены</x:v>
      </x:c>
      <x:c r="Z1031" s="10" t="str">
        <x:v>Разрешено по метаданным</x:v>
      </x:c>
      <x:c r="AA1031" s="10" t="str">
        <x:v>Метаданные видео; воспроизведение и содержание не проверены</x:v>
      </x:c>
      <x:c r="AB1031" s="13" t="n">
        <x:f>IF(AND(ISNUMBER(H1031),ISNUMBER(W1031)),H1031/MAX(1,'Обзор'!$B$4-W1031),"")</x:f>
        <x:v>12.945244956772335</x:v>
      </x:c>
      <x:c r="AC1031" s="17" t="str">
        <x:v>Не решено</x:v>
      </x:c>
      <x:c r="AD1031" s="17" t="str">
        <x:v>Не проверено</x:v>
      </x:c>
      <x:c r="AE1031" s="17" t="str">
        <x:v>Не проверено</x:v>
      </x:c>
      <x:c r="AF1031" s="17" t="str">
        <x:v>Не проверено</x:v>
      </x:c>
      <x:c r="AG1031" s="17" t="str">
        <x:v>Не решено</x:v>
      </x:c>
      <x:c r="AH1031" s="17" t="str">
        <x:v>Не проверено</x:v>
      </x:c>
      <x:c r="AI1031" s="10" t="str">
        <x:f>IF(AC1031="Отклонить","Отклонено",IF(AND(AC1031="Взять",COUNTIFS(AD1031:AH1031,"Да")=5),"Готово","Нужна редактура"))</x:f>
        <x:v>Нужна редактура</x:v>
      </x:c>
      <x:c r="AJ1031" s="17" t="str"/>
      <x:c r="AK1031" s="9" t="str">
        <x:v>https://www.youtube.com/playlist?list=PL51YAgTlfPj57_dWdUXGLkf2pmCnYzYoF</x:v>
      </x:c>
      <x:c r="AL1031" s="9" t="n">
        <x:v>13</x:v>
      </x:c>
      <x:c r="AM1031" s="9"/>
      <x:c r="AN1031" s="9" t="n">
        <x:v>0</x:v>
      </x:c>
    </x:row>
    <x:row r="1032" ht="60" customHeight="1">
      <x:c r="A1032" s="9" t="str">
        <x:v>u0Nvqda64PY</x:v>
      </x:c>
      <x:c r="B1032" s="10" t="str">
        <x:v>גלילאו עונה 9 | למה אנחנו אלרגיים? 🤧</x:v>
      </x:c>
      <x:c r="C1032" s="10" t="str">
        <x:v>Наука и мир</x:v>
      </x:c>
      <x:c r="D1032" s="9" t="str">
        <x:v>Образование</x:v>
      </x:c>
      <x:c r="E1032" s="10" t="str">
        <x:v>Любознательные; семьи; образовательное медиа</x:v>
      </x:c>
      <x:c r="F1032" s="10" t="str">
        <x:v>B1–B2 (гипотеза)</x:v>
      </x:c>
      <x:c r="G1032" s="12" t="n">
        <x:v>25.9</x:v>
      </x:c>
      <x:c r="H1032" s="14" t="n">
        <x:v>19000</x:v>
      </x:c>
      <x:c r="I1032" s="15" t="str">
        <x:v>Округлённый счётчик в списке YouTube</x:v>
      </x:c>
      <x:c r="J1032" s="14" t="n">
        <x:v>19000</x:v>
      </x:c>
      <x:c r="K1032" s="14" t="n">
        <x:v>28000</x:v>
      </x:c>
      <x:c r="L1032" s="12" t="n">
        <x:f>IF(COUNT(J1032:K1032)=2,IF(K1032=0,"",J1032/K1032),"")</x:f>
        <x:v>0.6785714285714286</x:v>
      </x:c>
      <x:c r="M1032" s="10" t="str">
        <x:v>Тема: גלילאו עונה 9 | למה אנחנו אלרגיים? 🤧. Ведущий и визуальные демонстрации помогают понимать новые слова. Формат подходит любителям научно-популярного видео.</x:v>
      </x:c>
      <x:c r="N1032" s="10" t="str">
        <x:v>Выбрать одну рубрику; объяснить явление и задать вопрос.</x:v>
      </x:c>
      <x:c r="O1032" s="10" t="str">
        <x:v>Проверять актуальность научных утверждений</x:v>
      </x:c>
      <x:c r="P1032" s="10" t="str">
        <x:v>Самостоятельное видео</x:v>
      </x:c>
      <x:c r="Q1032" s="9" t="str">
        <x:v>Нет</x:v>
      </x:c>
      <x:c r="R1032" s="9" t="str">
        <x:v>C056</x:v>
      </x:c>
      <x:c r="S1032" s="9" t="str">
        <x:v>C056</x:v>
      </x:c>
      <x:c r="T1032" s="10" t="str">
        <x:v>כאן חינוכית</x:v>
      </x:c>
      <x:c r="U1032" s="11" t="str">
        <x:v>https://www.youtube.com/watch?v=u0Nvqda64PY</x:v>
      </x:c>
      <x:c r="V1032" s="16" t="n">
        <x:v>46308</x:v>
      </x:c>
      <x:c r="W1032" s="16"/>
      <x:c r="X1032" s="10" t="str">
        <x:v>Иврит предполагается по заголовку и источнику</x:v>
      </x:c>
      <x:c r="Y1032" s="10" t="str">
        <x:v>Не проверено</x:v>
      </x:c>
      <x:c r="Z1032" s="10" t="str">
        <x:v>Не проверено</x:v>
      </x:c>
      <x:c r="AA1032" s="10" t="str">
        <x:v>Метаданные списка; видео не просмотрено</x:v>
      </x:c>
      <x:c r="AB1032" s="13" t="str">
        <x:f>IF(AND(ISNUMBER(H1032),ISNUMBER(W1032)),H1032/MAX(1,'Обзор'!$B$4-W1032),"")</x:f>
      </x:c>
      <x:c r="AC1032" s="17" t="str">
        <x:v>Не решено</x:v>
      </x:c>
      <x:c r="AD1032" s="17" t="str">
        <x:v>Не проверено</x:v>
      </x:c>
      <x:c r="AE1032" s="17" t="str">
        <x:v>Не проверено</x:v>
      </x:c>
      <x:c r="AF1032" s="17" t="str">
        <x:v>Не проверено</x:v>
      </x:c>
      <x:c r="AG1032" s="17" t="str">
        <x:v>Не решено</x:v>
      </x:c>
      <x:c r="AH1032" s="17" t="str">
        <x:v>Не проверено</x:v>
      </x:c>
      <x:c r="AI1032" s="10" t="str">
        <x:f>IF(AC1032="Отклонить","Отклонено",IF(AND(AC1032="Взять",COUNTIFS(AD1032:AH1032,"Да")=5),"Готово","Нужна редактура"))</x:f>
        <x:v>Нужна редактура</x:v>
      </x:c>
      <x:c r="AJ1032" s="17" t="str"/>
      <x:c r="AK1032" s="9" t="str">
        <x:v>https://www.youtube.com/playlist?list=PL51YAgTlfPj57_dWdUXGLkf2pmCnYzYoF</x:v>
      </x:c>
      <x:c r="AL1032" s="9" t="n">
        <x:v>14</x:v>
      </x:c>
      <x:c r="AM1032" s="9"/>
      <x:c r="AN1032" s="9"/>
    </x:row>
    <x:row r="1033" ht="60" customHeight="1">
      <x:c r="A1033" s="9" t="str">
        <x:v>KRxH2GyEub4</x:v>
      </x:c>
      <x:c r="B1033" s="10" t="str">
        <x:v>גלילאו עונה 9 | מה הקשר בין יוטיוב לגלידה? 🍦</x:v>
      </x:c>
      <x:c r="C1033" s="10" t="str">
        <x:v>Наука и мир</x:v>
      </x:c>
      <x:c r="D1033" s="9" t="str">
        <x:v>Образование</x:v>
      </x:c>
      <x:c r="E1033" s="10" t="str">
        <x:v>Любознательные; семьи; образовательное медиа</x:v>
      </x:c>
      <x:c r="F1033" s="10" t="str">
        <x:v>B1–B2 (гипотеза)</x:v>
      </x:c>
      <x:c r="G1033" s="12" t="n">
        <x:v>25.2</x:v>
      </x:c>
      <x:c r="H1033" s="14" t="n">
        <x:v>30773</x:v>
      </x:c>
      <x:c r="I1033" s="15" t="str">
        <x:v>Точный счётчик метаданных видео</x:v>
      </x:c>
      <x:c r="J1033" s="14" t="n">
        <x:v>30000</x:v>
      </x:c>
      <x:c r="K1033" s="14" t="n">
        <x:v>28000</x:v>
      </x:c>
      <x:c r="L1033" s="12" t="n">
        <x:f>IF(COUNT(J1033:K1033)=2,IF(K1033=0,"",J1033/K1033),"")</x:f>
        <x:v>1.0714285714285714</x:v>
      </x:c>
      <x:c r="M1033" s="10" t="str">
        <x:v>Тема: גלילאו עונה 9 | מה הקשר בין יוטיוב לגלידה? 🍦. Ведущий и визуальные демонстрации помогают понимать новые слова. Формат подходит любителям научно-популярного видео.</x:v>
      </x:c>
      <x:c r="N1033" s="10" t="str">
        <x:v>Выбрать одну рубрику; объяснить явление и задать вопрос.</x:v>
      </x:c>
      <x:c r="O1033" s="10" t="str">
        <x:v>Проверять актуальность научных утверждений</x:v>
      </x:c>
      <x:c r="P1033" s="10" t="str">
        <x:v>Самостоятельное видео</x:v>
      </x:c>
      <x:c r="Q1033" s="9" t="str">
        <x:v>Нет</x:v>
      </x:c>
      <x:c r="R1033" s="9" t="str">
        <x:v>C056</x:v>
      </x:c>
      <x:c r="S1033" s="9" t="str">
        <x:v>C056</x:v>
      </x:c>
      <x:c r="T1033" s="10" t="str">
        <x:v>כאן חינוכית</x:v>
      </x:c>
      <x:c r="U1033" s="11" t="str">
        <x:v>https://www.youtube.com/watch?v=KRxH2GyEub4</x:v>
      </x:c>
      <x:c r="V1033" s="16" t="n">
        <x:v>46308</x:v>
      </x:c>
      <x:c r="W1033" s="16" t="n">
        <x:v>43877</x:v>
      </x:c>
      <x:c r="X1033" s="10" t="str">
        <x:v>Иврит предполагается по заголовку и источнику</x:v>
      </x:c>
      <x:c r="Y1033" s="10" t="str">
        <x:v>Дорожка HE не найдена в метаданных; вшитые титры не проверены</x:v>
      </x:c>
      <x:c r="Z1033" s="10" t="str">
        <x:v>Разрешено по метаданным</x:v>
      </x:c>
      <x:c r="AA1033" s="10" t="str">
        <x:v>Метаданные видео; воспроизведение и содержание не проверены</x:v>
      </x:c>
      <x:c r="AB1033" s="13" t="n">
        <x:f>IF(AND(ISNUMBER(H1033),ISNUMBER(W1033)),H1033/MAX(1,'Обзор'!$B$4-W1033),"")</x:f>
        <x:v>12.658576717400246</x:v>
      </x:c>
      <x:c r="AC1033" s="17" t="str">
        <x:v>Не решено</x:v>
      </x:c>
      <x:c r="AD1033" s="17" t="str">
        <x:v>Не проверено</x:v>
      </x:c>
      <x:c r="AE1033" s="17" t="str">
        <x:v>Не проверено</x:v>
      </x:c>
      <x:c r="AF1033" s="17" t="str">
        <x:v>Не проверено</x:v>
      </x:c>
      <x:c r="AG1033" s="17" t="str">
        <x:v>Не решено</x:v>
      </x:c>
      <x:c r="AH1033" s="17" t="str">
        <x:v>Не проверено</x:v>
      </x:c>
      <x:c r="AI1033" s="10" t="str">
        <x:f>IF(AC1033="Отклонить","Отклонено",IF(AND(AC1033="Взять",COUNTIFS(AD1033:AH1033,"Да")=5),"Готово","Нужна редактура"))</x:f>
        <x:v>Нужна редактура</x:v>
      </x:c>
      <x:c r="AJ1033" s="17" t="str"/>
      <x:c r="AK1033" s="9" t="str">
        <x:v>https://www.youtube.com/playlist?list=PL51YAgTlfPj57_dWdUXGLkf2pmCnYzYoF</x:v>
      </x:c>
      <x:c r="AL1033" s="9" t="n">
        <x:v>15</x:v>
      </x:c>
      <x:c r="AM1033" s="9"/>
      <x:c r="AN1033" s="9" t="n">
        <x:v>0</x:v>
      </x:c>
    </x:row>
    <x:row r="1034" ht="60" customHeight="1">
      <x:c r="A1034" s="9" t="str">
        <x:v>wdXxz8JhCxs</x:v>
      </x:c>
      <x:c r="B1034" s="10" t="str">
        <x:v>גלילאו עונה 9 | מה קורה אחרי שבולעים מסטיק?</x:v>
      </x:c>
      <x:c r="C1034" s="10" t="str">
        <x:v>Наука и мир</x:v>
      </x:c>
      <x:c r="D1034" s="9" t="str">
        <x:v>Образование</x:v>
      </x:c>
      <x:c r="E1034" s="10" t="str">
        <x:v>Любознательные; семьи; образовательное медиа</x:v>
      </x:c>
      <x:c r="F1034" s="10" t="str">
        <x:v>B1–B2 (гипотеза)</x:v>
      </x:c>
      <x:c r="G1034" s="12" t="n">
        <x:v>25.3</x:v>
      </x:c>
      <x:c r="H1034" s="14" t="n">
        <x:v>57154</x:v>
      </x:c>
      <x:c r="I1034" s="15" t="str">
        <x:v>Точный счётчик метаданных видео</x:v>
      </x:c>
      <x:c r="J1034" s="14" t="n">
        <x:v>57000</x:v>
      </x:c>
      <x:c r="K1034" s="14" t="n">
        <x:v>28000</x:v>
      </x:c>
      <x:c r="L1034" s="12" t="n">
        <x:f>IF(COUNT(J1034:K1034)=2,IF(K1034=0,"",J1034/K1034),"")</x:f>
        <x:v>2.0357142857142856</x:v>
      </x:c>
      <x:c r="M1034" s="10" t="str">
        <x:v>Тема: גלילאו עונה 9 | מה קורה אחרי שבולעים מסטיק?. Просмотры в списке выше медианы выборки этого цикла в 2.04 раза. Ведущий и визуальные демонстрации помогают понимать новые слова. Формат подходит любителям научно-популярного видео.</x:v>
      </x:c>
      <x:c r="N1034" s="10" t="str">
        <x:v>Выбрать одну рубрику; объяснить явление и задать вопрос.</x:v>
      </x:c>
      <x:c r="O1034" s="10" t="str">
        <x:v>Проверять актуальность научных утверждений</x:v>
      </x:c>
      <x:c r="P1034" s="10" t="str">
        <x:v>Самостоятельное видео</x:v>
      </x:c>
      <x:c r="Q1034" s="9" t="str">
        <x:v>Нет</x:v>
      </x:c>
      <x:c r="R1034" s="9" t="str">
        <x:v>C056</x:v>
      </x:c>
      <x:c r="S1034" s="9" t="str">
        <x:v>C056</x:v>
      </x:c>
      <x:c r="T1034" s="10" t="str">
        <x:v>כאן חינוכית</x:v>
      </x:c>
      <x:c r="U1034" s="11" t="str">
        <x:v>https://www.youtube.com/watch?v=wdXxz8JhCxs</x:v>
      </x:c>
      <x:c r="V1034" s="16" t="n">
        <x:v>46308</x:v>
      </x:c>
      <x:c r="W1034" s="16" t="n">
        <x:v>43874</x:v>
      </x:c>
      <x:c r="X1034" s="10" t="str">
        <x:v>Иврит предполагается по заголовку и источнику</x:v>
      </x:c>
      <x:c r="Y1034" s="10" t="str">
        <x:v>Дорожка HE не найдена в метаданных; вшитые титры не проверены</x:v>
      </x:c>
      <x:c r="Z1034" s="10" t="str">
        <x:v>Разрешено по метаданным</x:v>
      </x:c>
      <x:c r="AA1034" s="10" t="str">
        <x:v>Метаданные видео; воспроизведение и содержание не проверены</x:v>
      </x:c>
      <x:c r="AB1034" s="13" t="n">
        <x:f>IF(AND(ISNUMBER(H1034),ISNUMBER(W1034)),H1034/MAX(1,'Обзор'!$B$4-W1034),"")</x:f>
        <x:v>23.48151191454396</x:v>
      </x:c>
      <x:c r="AC1034" s="17" t="str">
        <x:v>Не решено</x:v>
      </x:c>
      <x:c r="AD1034" s="17" t="str">
        <x:v>Не проверено</x:v>
      </x:c>
      <x:c r="AE1034" s="17" t="str">
        <x:v>Не проверено</x:v>
      </x:c>
      <x:c r="AF1034" s="17" t="str">
        <x:v>Не проверено</x:v>
      </x:c>
      <x:c r="AG1034" s="17" t="str">
        <x:v>Не решено</x:v>
      </x:c>
      <x:c r="AH1034" s="17" t="str">
        <x:v>Не проверено</x:v>
      </x:c>
      <x:c r="AI1034" s="10" t="str">
        <x:f>IF(AC1034="Отклонить","Отклонено",IF(AND(AC1034="Взять",COUNTIFS(AD1034:AH1034,"Да")=5),"Готово","Нужна редактура"))</x:f>
        <x:v>Нужна редактура</x:v>
      </x:c>
      <x:c r="AJ1034" s="17" t="str"/>
      <x:c r="AK1034" s="9" t="str">
        <x:v>https://www.youtube.com/playlist?list=PL51YAgTlfPj57_dWdUXGLkf2pmCnYzYoF</x:v>
      </x:c>
      <x:c r="AL1034" s="9" t="n">
        <x:v>16</x:v>
      </x:c>
      <x:c r="AM1034" s="9"/>
      <x:c r="AN1034" s="9" t="n">
        <x:v>0</x:v>
      </x:c>
    </x:row>
    <x:row r="1035" ht="60" customHeight="1">
      <x:c r="A1035" s="9" t="str">
        <x:v>Kn4_H-LcQLA</x:v>
      </x:c>
      <x:c r="B1035" s="10" t="str">
        <x:v>גלילאו עונה 9 | מאין דגי הזהב מקבלים את צבעם? 🐠</x:v>
      </x:c>
      <x:c r="C1035" s="10" t="str">
        <x:v>Наука и мир</x:v>
      </x:c>
      <x:c r="D1035" s="9" t="str">
        <x:v>Образование</x:v>
      </x:c>
      <x:c r="E1035" s="10" t="str">
        <x:v>Любознательные; семьи; образовательное медиа</x:v>
      </x:c>
      <x:c r="F1035" s="10" t="str">
        <x:v>B1–B2 (гипотеза)</x:v>
      </x:c>
      <x:c r="G1035" s="12" t="n">
        <x:v>27.6</x:v>
      </x:c>
      <x:c r="H1035" s="14" t="n">
        <x:v>19000</x:v>
      </x:c>
      <x:c r="I1035" s="15" t="str">
        <x:v>Округлённый счётчик в списке YouTube</x:v>
      </x:c>
      <x:c r="J1035" s="14" t="n">
        <x:v>19000</x:v>
      </x:c>
      <x:c r="K1035" s="14" t="n">
        <x:v>28000</x:v>
      </x:c>
      <x:c r="L1035" s="12" t="n">
        <x:f>IF(COUNT(J1035:K1035)=2,IF(K1035=0,"",J1035/K1035),"")</x:f>
        <x:v>0.6785714285714286</x:v>
      </x:c>
      <x:c r="M1035" s="10" t="str">
        <x:v>Тема: גלילאו עונה 9 | מאין דגי הזהב מקבלים את צבעם? 🐠. Ведущий и визуальные демонстрации помогают понимать новые слова. Формат подходит любителям научно-популярного видео.</x:v>
      </x:c>
      <x:c r="N1035" s="10" t="str">
        <x:v>Выбрать одну рубрику; объяснить явление и задать вопрос.</x:v>
      </x:c>
      <x:c r="O1035" s="10" t="str">
        <x:v>Проверять актуальность научных утверждений</x:v>
      </x:c>
      <x:c r="P1035" s="10" t="str">
        <x:v>Самостоятельное видео</x:v>
      </x:c>
      <x:c r="Q1035" s="9" t="str">
        <x:v>Нет</x:v>
      </x:c>
      <x:c r="R1035" s="9" t="str">
        <x:v>C056</x:v>
      </x:c>
      <x:c r="S1035" s="9" t="str">
        <x:v>C056</x:v>
      </x:c>
      <x:c r="T1035" s="10" t="str">
        <x:v>כאן חינוכית</x:v>
      </x:c>
      <x:c r="U1035" s="11" t="str">
        <x:v>https://www.youtube.com/watch?v=Kn4_H-LcQLA</x:v>
      </x:c>
      <x:c r="V1035" s="16" t="n">
        <x:v>46308</x:v>
      </x:c>
      <x:c r="W1035" s="16"/>
      <x:c r="X1035" s="10" t="str">
        <x:v>Иврит предполагается по заголовку и источнику</x:v>
      </x:c>
      <x:c r="Y1035" s="10" t="str">
        <x:v>Не проверено</x:v>
      </x:c>
      <x:c r="Z1035" s="10" t="str">
        <x:v>Не проверено</x:v>
      </x:c>
      <x:c r="AA1035" s="10" t="str">
        <x:v>Метаданные списка; видео не просмотрено</x:v>
      </x:c>
      <x:c r="AB1035" s="13" t="str">
        <x:f>IF(AND(ISNUMBER(H1035),ISNUMBER(W1035)),H1035/MAX(1,'Обзор'!$B$4-W1035),"")</x:f>
      </x:c>
      <x:c r="AC1035" s="17" t="str">
        <x:v>Не решено</x:v>
      </x:c>
      <x:c r="AD1035" s="17" t="str">
        <x:v>Не проверено</x:v>
      </x:c>
      <x:c r="AE1035" s="17" t="str">
        <x:v>Не проверено</x:v>
      </x:c>
      <x:c r="AF1035" s="17" t="str">
        <x:v>Не проверено</x:v>
      </x:c>
      <x:c r="AG1035" s="17" t="str">
        <x:v>Не решено</x:v>
      </x:c>
      <x:c r="AH1035" s="17" t="str">
        <x:v>Не проверено</x:v>
      </x:c>
      <x:c r="AI1035" s="10" t="str">
        <x:f>IF(AC1035="Отклонить","Отклонено",IF(AND(AC1035="Взять",COUNTIFS(AD1035:AH1035,"Да")=5),"Готово","Нужна редактура"))</x:f>
        <x:v>Нужна редактура</x:v>
      </x:c>
      <x:c r="AJ1035" s="17" t="str"/>
      <x:c r="AK1035" s="9" t="str">
        <x:v>https://www.youtube.com/playlist?list=PL51YAgTlfPj57_dWdUXGLkf2pmCnYzYoF</x:v>
      </x:c>
      <x:c r="AL1035" s="9" t="n">
        <x:v>17</x:v>
      </x:c>
      <x:c r="AM1035" s="9"/>
      <x:c r="AN1035" s="9"/>
    </x:row>
    <x:row r="1036" ht="60" customHeight="1">
      <x:c r="A1036" s="9" t="str">
        <x:v>d5WLhGJ5QZc</x:v>
      </x:c>
      <x:c r="B1036" s="10" t="str">
        <x:v>גלילאו עונה 9 | הייתם לוקחים תרופה שמכילה צואה? 💩</x:v>
      </x:c>
      <x:c r="C1036" s="10" t="str">
        <x:v>Наука и мир</x:v>
      </x:c>
      <x:c r="D1036" s="9" t="str">
        <x:v>Образование</x:v>
      </x:c>
      <x:c r="E1036" s="10" t="str">
        <x:v>Любознательные; семьи; образовательное медиа</x:v>
      </x:c>
      <x:c r="F1036" s="10" t="str">
        <x:v>B1–B2 (гипотеза)</x:v>
      </x:c>
      <x:c r="G1036" s="12" t="n">
        <x:v>25.5</x:v>
      </x:c>
      <x:c r="H1036" s="14" t="n">
        <x:v>18000</x:v>
      </x:c>
      <x:c r="I1036" s="15" t="str">
        <x:v>Округлённый счётчик в списке YouTube</x:v>
      </x:c>
      <x:c r="J1036" s="14" t="n">
        <x:v>18000</x:v>
      </x:c>
      <x:c r="K1036" s="14" t="n">
        <x:v>28000</x:v>
      </x:c>
      <x:c r="L1036" s="12" t="n">
        <x:f>IF(COUNT(J1036:K1036)=2,IF(K1036=0,"",J1036/K1036),"")</x:f>
        <x:v>0.6428571428571429</x:v>
      </x:c>
      <x:c r="M1036" s="10" t="str">
        <x:v>Тема: גלילאו עונה 9 | הייתם לוקחים תרופה שמכילה צואה? 💩. Ведущий и визуальные демонстрации помогают понимать новые слова. Формат подходит любителям научно-популярного видео.</x:v>
      </x:c>
      <x:c r="N1036" s="10" t="str">
        <x:v>Выбрать одну рубрику; объяснить явление и задать вопрос.</x:v>
      </x:c>
      <x:c r="O1036" s="10" t="str">
        <x:v>Проверять актуальность научных утверждений</x:v>
      </x:c>
      <x:c r="P1036" s="10" t="str">
        <x:v>Самостоятельное видео</x:v>
      </x:c>
      <x:c r="Q1036" s="9" t="str">
        <x:v>Нет</x:v>
      </x:c>
      <x:c r="R1036" s="9" t="str">
        <x:v>C056</x:v>
      </x:c>
      <x:c r="S1036" s="9" t="str">
        <x:v>C056</x:v>
      </x:c>
      <x:c r="T1036" s="10" t="str">
        <x:v>כאן חינוכית</x:v>
      </x:c>
      <x:c r="U1036" s="11" t="str">
        <x:v>https://www.youtube.com/watch?v=d5WLhGJ5QZc</x:v>
      </x:c>
      <x:c r="V1036" s="16" t="n">
        <x:v>46308</x:v>
      </x:c>
      <x:c r="W1036" s="16"/>
      <x:c r="X1036" s="10" t="str">
        <x:v>Иврит предполагается по заголовку и источнику</x:v>
      </x:c>
      <x:c r="Y1036" s="10" t="str">
        <x:v>Не проверено</x:v>
      </x:c>
      <x:c r="Z1036" s="10" t="str">
        <x:v>Не проверено</x:v>
      </x:c>
      <x:c r="AA1036" s="10" t="str">
        <x:v>Метаданные списка; видео не просмотрено</x:v>
      </x:c>
      <x:c r="AB1036" s="13" t="str">
        <x:f>IF(AND(ISNUMBER(H1036),ISNUMBER(W1036)),H1036/MAX(1,'Обзор'!$B$4-W1036),"")</x:f>
      </x:c>
      <x:c r="AC1036" s="17" t="str">
        <x:v>Не решено</x:v>
      </x:c>
      <x:c r="AD1036" s="17" t="str">
        <x:v>Не проверено</x:v>
      </x:c>
      <x:c r="AE1036" s="17" t="str">
        <x:v>Не проверено</x:v>
      </x:c>
      <x:c r="AF1036" s="17" t="str">
        <x:v>Не проверено</x:v>
      </x:c>
      <x:c r="AG1036" s="17" t="str">
        <x:v>Не решено</x:v>
      </x:c>
      <x:c r="AH1036" s="17" t="str">
        <x:v>Не проверено</x:v>
      </x:c>
      <x:c r="AI1036" s="10" t="str">
        <x:f>IF(AC1036="Отклонить","Отклонено",IF(AND(AC1036="Взять",COUNTIFS(AD1036:AH1036,"Да")=5),"Готово","Нужна редактура"))</x:f>
        <x:v>Нужна редактура</x:v>
      </x:c>
      <x:c r="AJ1036" s="17" t="str"/>
      <x:c r="AK1036" s="9" t="str">
        <x:v>https://www.youtube.com/playlist?list=PL51YAgTlfPj57_dWdUXGLkf2pmCnYzYoF</x:v>
      </x:c>
      <x:c r="AL1036" s="9" t="n">
        <x:v>18</x:v>
      </x:c>
      <x:c r="AM1036" s="9"/>
      <x:c r="AN1036" s="9"/>
    </x:row>
    <x:row r="1037" ht="60" customHeight="1">
      <x:c r="A1037" s="9" t="str">
        <x:v>-b0AzuqVlas</x:v>
      </x:c>
      <x:c r="B1037" s="10" t="str">
        <x:v>גלילאו עונה 9 | ארוחה מגזע עץ זה טעים? 🌳</x:v>
      </x:c>
      <x:c r="C1037" s="10" t="str">
        <x:v>Наука и мир</x:v>
      </x:c>
      <x:c r="D1037" s="9" t="str">
        <x:v>Образование</x:v>
      </x:c>
      <x:c r="E1037" s="10" t="str">
        <x:v>Любознательные; семьи; образовательное медиа</x:v>
      </x:c>
      <x:c r="F1037" s="10" t="str">
        <x:v>B1–B2 (гипотеза)</x:v>
      </x:c>
      <x:c r="G1037" s="12" t="n">
        <x:v>25.4</x:v>
      </x:c>
      <x:c r="H1037" s="14" t="n">
        <x:v>31930</x:v>
      </x:c>
      <x:c r="I1037" s="15" t="str">
        <x:v>Точный счётчик метаданных видео</x:v>
      </x:c>
      <x:c r="J1037" s="14" t="n">
        <x:v>31000</x:v>
      </x:c>
      <x:c r="K1037" s="14" t="n">
        <x:v>28000</x:v>
      </x:c>
      <x:c r="L1037" s="12" t="n">
        <x:f>IF(COUNT(J1037:K1037)=2,IF(K1037=0,"",J1037/K1037),"")</x:f>
        <x:v>1.1071428571428572</x:v>
      </x:c>
      <x:c r="M1037" s="10" t="str">
        <x:v>Тема: גלילאו עונה 9 | ארוחה מגזע עץ זה טעים? 🌳. Ведущий и визуальные демонстрации помогают понимать новые слова. Формат подходит любителям научно-популярного видео.</x:v>
      </x:c>
      <x:c r="N1037" s="10" t="str">
        <x:v>Выбрать одну рубрику; объяснить явление и задать вопрос.</x:v>
      </x:c>
      <x:c r="O1037" s="10" t="str">
        <x:v>Проверять актуальность научных утверждений</x:v>
      </x:c>
      <x:c r="P1037" s="10" t="str">
        <x:v>Самостоятельное видео</x:v>
      </x:c>
      <x:c r="Q1037" s="9" t="str">
        <x:v>Нет</x:v>
      </x:c>
      <x:c r="R1037" s="9" t="str">
        <x:v>C056</x:v>
      </x:c>
      <x:c r="S1037" s="9" t="str">
        <x:v>C056</x:v>
      </x:c>
      <x:c r="T1037" s="10" t="str">
        <x:v>כאן חינוכית</x:v>
      </x:c>
      <x:c r="U1037" s="11" t="str">
        <x:v>https://www.youtube.com/watch?v=-b0AzuqVlas</x:v>
      </x:c>
      <x:c r="V1037" s="16" t="n">
        <x:v>46308</x:v>
      </x:c>
      <x:c r="W1037" s="16" t="n">
        <x:v>43871</x:v>
      </x:c>
      <x:c r="X1037" s="10" t="str">
        <x:v>Иврит предполагается по заголовку и источнику</x:v>
      </x:c>
      <x:c r="Y1037" s="10" t="str">
        <x:v>Дорожка HE не найдена в метаданных; вшитые титры не проверены</x:v>
      </x:c>
      <x:c r="Z1037" s="10" t="str">
        <x:v>Разрешено по метаданным</x:v>
      </x:c>
      <x:c r="AA1037" s="10" t="str">
        <x:v>Метаданные видео; воспроизведение и содержание не проверены</x:v>
      </x:c>
      <x:c r="AB1037" s="13" t="n">
        <x:f>IF(AND(ISNUMBER(H1037),ISNUMBER(W1037)),H1037/MAX(1,'Обзор'!$B$4-W1037),"")</x:f>
        <x:v>13.102174805088223</x:v>
      </x:c>
      <x:c r="AC1037" s="17" t="str">
        <x:v>Не решено</x:v>
      </x:c>
      <x:c r="AD1037" s="17" t="str">
        <x:v>Не проверено</x:v>
      </x:c>
      <x:c r="AE1037" s="17" t="str">
        <x:v>Не проверено</x:v>
      </x:c>
      <x:c r="AF1037" s="17" t="str">
        <x:v>Не проверено</x:v>
      </x:c>
      <x:c r="AG1037" s="17" t="str">
        <x:v>Не решено</x:v>
      </x:c>
      <x:c r="AH1037" s="17" t="str">
        <x:v>Не проверено</x:v>
      </x:c>
      <x:c r="AI1037" s="10" t="str">
        <x:f>IF(AC1037="Отклонить","Отклонено",IF(AND(AC1037="Взять",COUNTIFS(AD1037:AH1037,"Да")=5),"Готово","Нужна редактура"))</x:f>
        <x:v>Нужна редактура</x:v>
      </x:c>
      <x:c r="AJ1037" s="17" t="str"/>
      <x:c r="AK1037" s="9" t="str">
        <x:v>https://www.youtube.com/playlist?list=PL51YAgTlfPj57_dWdUXGLkf2pmCnYzYoF</x:v>
      </x:c>
      <x:c r="AL1037" s="9" t="n">
        <x:v>19</x:v>
      </x:c>
      <x:c r="AM1037" s="9"/>
      <x:c r="AN1037" s="9" t="n">
        <x:v>0</x:v>
      </x:c>
    </x:row>
    <x:row r="1038" ht="60" customHeight="1">
      <x:c r="A1038" s="9" t="str">
        <x:v>7kPh58_tibM</x:v>
      </x:c>
      <x:c r="B1038" s="10" t="str">
        <x:v>גלילאו עונה 9 | איך חיים במינוס 50 מעלות? ❄</x:v>
      </x:c>
      <x:c r="C1038" s="10" t="str">
        <x:v>Наука и мир</x:v>
      </x:c>
      <x:c r="D1038" s="9" t="str">
        <x:v>Образование</x:v>
      </x:c>
      <x:c r="E1038" s="10" t="str">
        <x:v>Любознательные; семьи; образовательное медиа</x:v>
      </x:c>
      <x:c r="F1038" s="10" t="str">
        <x:v>B1–B2 (гипотеза)</x:v>
      </x:c>
      <x:c r="G1038" s="12" t="n">
        <x:v>25.7</x:v>
      </x:c>
      <x:c r="H1038" s="14" t="n">
        <x:v>33490</x:v>
      </x:c>
      <x:c r="I1038" s="15" t="str">
        <x:v>Точный счётчик метаданных видео</x:v>
      </x:c>
      <x:c r="J1038" s="14" t="n">
        <x:v>33000</x:v>
      </x:c>
      <x:c r="K1038" s="14" t="n">
        <x:v>28000</x:v>
      </x:c>
      <x:c r="L1038" s="12" t="n">
        <x:f>IF(COUNT(J1038:K1038)=2,IF(K1038=0,"",J1038/K1038),"")</x:f>
        <x:v>1.1785714285714286</x:v>
      </x:c>
      <x:c r="M1038" s="10" t="str">
        <x:v>Тема: גלילאו עונה 9 | איך חיים במינוס 50 מעלות? ❄. Ведущий и визуальные демонстрации помогают понимать новые слова. Формат подходит любителям научно-популярного видео.</x:v>
      </x:c>
      <x:c r="N1038" s="10" t="str">
        <x:v>Выбрать одну рубрику; объяснить явление и задать вопрос.</x:v>
      </x:c>
      <x:c r="O1038" s="10" t="str">
        <x:v>Проверять актуальность научных утверждений</x:v>
      </x:c>
      <x:c r="P1038" s="10" t="str">
        <x:v>Самостоятельное видео</x:v>
      </x:c>
      <x:c r="Q1038" s="9" t="str">
        <x:v>Нет</x:v>
      </x:c>
      <x:c r="R1038" s="9" t="str">
        <x:v>C056</x:v>
      </x:c>
      <x:c r="S1038" s="9" t="str">
        <x:v>C056</x:v>
      </x:c>
      <x:c r="T1038" s="10" t="str">
        <x:v>כאן חינוכית</x:v>
      </x:c>
      <x:c r="U1038" s="11" t="str">
        <x:v>https://www.youtube.com/watch?v=7kPh58_tibM</x:v>
      </x:c>
      <x:c r="V1038" s="16" t="n">
        <x:v>46308</x:v>
      </x:c>
      <x:c r="W1038" s="16" t="n">
        <x:v>43870</x:v>
      </x:c>
      <x:c r="X1038" s="10" t="str">
        <x:v>Иврит предполагается по заголовку и источнику</x:v>
      </x:c>
      <x:c r="Y1038" s="10" t="str">
        <x:v>Дорожка HE не найдена в метаданных; вшитые титры не проверены</x:v>
      </x:c>
      <x:c r="Z1038" s="10" t="str">
        <x:v>Разрешено по метаданным</x:v>
      </x:c>
      <x:c r="AA1038" s="10" t="str">
        <x:v>Метаданные видео; воспроизведение и содержание не проверены</x:v>
      </x:c>
      <x:c r="AB1038" s="13" t="n">
        <x:f>IF(AND(ISNUMBER(H1038),ISNUMBER(W1038)),H1038/MAX(1,'Обзор'!$B$4-W1038),"")</x:f>
        <x:v>13.736669401148482</x:v>
      </x:c>
      <x:c r="AC1038" s="17" t="str">
        <x:v>Не решено</x:v>
      </x:c>
      <x:c r="AD1038" s="17" t="str">
        <x:v>Не проверено</x:v>
      </x:c>
      <x:c r="AE1038" s="17" t="str">
        <x:v>Не проверено</x:v>
      </x:c>
      <x:c r="AF1038" s="17" t="str">
        <x:v>Не проверено</x:v>
      </x:c>
      <x:c r="AG1038" s="17" t="str">
        <x:v>Не решено</x:v>
      </x:c>
      <x:c r="AH1038" s="17" t="str">
        <x:v>Не проверено</x:v>
      </x:c>
      <x:c r="AI1038" s="10" t="str">
        <x:f>IF(AC1038="Отклонить","Отклонено",IF(AND(AC1038="Взять",COUNTIFS(AD1038:AH1038,"Да")=5),"Готово","Нужна редактура"))</x:f>
        <x:v>Нужна редактура</x:v>
      </x:c>
      <x:c r="AJ1038" s="17" t="str"/>
      <x:c r="AK1038" s="9" t="str">
        <x:v>https://www.youtube.com/playlist?list=PL51YAgTlfPj57_dWdUXGLkf2pmCnYzYoF</x:v>
      </x:c>
      <x:c r="AL1038" s="9" t="n">
        <x:v>20</x:v>
      </x:c>
      <x:c r="AM1038" s="9"/>
      <x:c r="AN1038" s="9" t="n">
        <x:v>0</x:v>
      </x:c>
    </x:row>
    <x:row r="1039" ht="60" customHeight="1">
      <x:c r="A1039" s="9" t="str">
        <x:v>2ZGezL-IjFQ</x:v>
      </x:c>
      <x:c r="B1039" s="10" t="str">
        <x:v>גלילאו עונה 9 | הנחש הוא אויב?🐍</x:v>
      </x:c>
      <x:c r="C1039" s="10" t="str">
        <x:v>Наука и мир</x:v>
      </x:c>
      <x:c r="D1039" s="9" t="str">
        <x:v>Образование</x:v>
      </x:c>
      <x:c r="E1039" s="10" t="str">
        <x:v>Любознательные; семьи; образовательное медиа</x:v>
      </x:c>
      <x:c r="F1039" s="10" t="str">
        <x:v>B1–B2 (гипотеза)</x:v>
      </x:c>
      <x:c r="G1039" s="12" t="n">
        <x:v>27.7</x:v>
      </x:c>
      <x:c r="H1039" s="14" t="n">
        <x:v>28000</x:v>
      </x:c>
      <x:c r="I1039" s="15" t="str">
        <x:v>Округлённый счётчик в списке YouTube</x:v>
      </x:c>
      <x:c r="J1039" s="14" t="n">
        <x:v>28000</x:v>
      </x:c>
      <x:c r="K1039" s="14" t="n">
        <x:v>28000</x:v>
      </x:c>
      <x:c r="L1039" s="12" t="n">
        <x:f>IF(COUNT(J1039:K1039)=2,IF(K1039=0,"",J1039/K1039),"")</x:f>
        <x:v>1</x:v>
      </x:c>
      <x:c r="M1039" s="10" t="str">
        <x:v>Тема: גלילאו עונה 9 | הנחש הוא אויב?🐍. Ведущий и визуальные демонстрации помогают понимать новые слова. Формат подходит любителям научно-популярного видео.</x:v>
      </x:c>
      <x:c r="N1039" s="10" t="str">
        <x:v>Выбрать одну рубрику; объяснить явление и задать вопрос.</x:v>
      </x:c>
      <x:c r="O1039" s="10" t="str">
        <x:v>Проверять актуальность научных утверждений</x:v>
      </x:c>
      <x:c r="P1039" s="10" t="str">
        <x:v>Самостоятельное видео</x:v>
      </x:c>
      <x:c r="Q1039" s="9" t="str">
        <x:v>Нет</x:v>
      </x:c>
      <x:c r="R1039" s="9" t="str">
        <x:v>C056</x:v>
      </x:c>
      <x:c r="S1039" s="9" t="str">
        <x:v>C056</x:v>
      </x:c>
      <x:c r="T1039" s="10" t="str">
        <x:v>כאן חינוכית</x:v>
      </x:c>
      <x:c r="U1039" s="11" t="str">
        <x:v>https://www.youtube.com/watch?v=2ZGezL-IjFQ</x:v>
      </x:c>
      <x:c r="V1039" s="16" t="n">
        <x:v>46308</x:v>
      </x:c>
      <x:c r="W1039" s="16"/>
      <x:c r="X1039" s="10" t="str">
        <x:v>Иврит предполагается по заголовку и источнику</x:v>
      </x:c>
      <x:c r="Y1039" s="10" t="str">
        <x:v>Не проверено</x:v>
      </x:c>
      <x:c r="Z1039" s="10" t="str">
        <x:v>Не проверено</x:v>
      </x:c>
      <x:c r="AA1039" s="10" t="str">
        <x:v>Метаданные списка; видео не просмотрено</x:v>
      </x:c>
      <x:c r="AB1039" s="13" t="str">
        <x:f>IF(AND(ISNUMBER(H1039),ISNUMBER(W1039)),H1039/MAX(1,'Обзор'!$B$4-W1039),"")</x:f>
      </x:c>
      <x:c r="AC1039" s="17" t="str">
        <x:v>Не решено</x:v>
      </x:c>
      <x:c r="AD1039" s="17" t="str">
        <x:v>Не проверено</x:v>
      </x:c>
      <x:c r="AE1039" s="17" t="str">
        <x:v>Не проверено</x:v>
      </x:c>
      <x:c r="AF1039" s="17" t="str">
        <x:v>Не проверено</x:v>
      </x:c>
      <x:c r="AG1039" s="17" t="str">
        <x:v>Не решено</x:v>
      </x:c>
      <x:c r="AH1039" s="17" t="str">
        <x:v>Не проверено</x:v>
      </x:c>
      <x:c r="AI1039" s="10" t="str">
        <x:f>IF(AC1039="Отклонить","Отклонено",IF(AND(AC1039="Взять",COUNTIFS(AD1039:AH1039,"Да")=5),"Готово","Нужна редактура"))</x:f>
        <x:v>Нужна редактура</x:v>
      </x:c>
      <x:c r="AJ1039" s="17" t="str"/>
      <x:c r="AK1039" s="9" t="str">
        <x:v>https://www.youtube.com/playlist?list=PL51YAgTlfPj57_dWdUXGLkf2pmCnYzYoF</x:v>
      </x:c>
      <x:c r="AL1039" s="9" t="n">
        <x:v>21</x:v>
      </x:c>
      <x:c r="AM1039" s="9"/>
      <x:c r="AN1039" s="9"/>
    </x:row>
    <x:row r="1040" ht="60" customHeight="1">
      <x:c r="A1040" s="9" t="str">
        <x:v>YA-EXVv_3xs</x:v>
      </x:c>
      <x:c r="B1040" s="10" t="str">
        <x:v>גלילאו עונה 9 | איך נראים החיים מתחת לאדמה?</x:v>
      </x:c>
      <x:c r="C1040" s="10" t="str">
        <x:v>Наука и мир</x:v>
      </x:c>
      <x:c r="D1040" s="9" t="str">
        <x:v>Образование</x:v>
      </x:c>
      <x:c r="E1040" s="10" t="str">
        <x:v>Любознательные; семьи; образовательное медиа</x:v>
      </x:c>
      <x:c r="F1040" s="10" t="str">
        <x:v>B1–B2 (гипотеза)</x:v>
      </x:c>
      <x:c r="G1040" s="12" t="n">
        <x:v>24.8</x:v>
      </x:c>
      <x:c r="H1040" s="14" t="n">
        <x:v>14000</x:v>
      </x:c>
      <x:c r="I1040" s="15" t="str">
        <x:v>Округлённый счётчик в списке YouTube</x:v>
      </x:c>
      <x:c r="J1040" s="14" t="n">
        <x:v>14000</x:v>
      </x:c>
      <x:c r="K1040" s="14" t="n">
        <x:v>28000</x:v>
      </x:c>
      <x:c r="L1040" s="12" t="n">
        <x:f>IF(COUNT(J1040:K1040)=2,IF(K1040=0,"",J1040/K1040),"")</x:f>
        <x:v>0.5</x:v>
      </x:c>
      <x:c r="M1040" s="10" t="str">
        <x:v>Тема: גלילאו עונה 9 | איך נראים החיים מתחת לאדמה?. Ведущий и визуальные демонстрации помогают понимать новые слова. Формат подходит любителям научно-популярного видео.</x:v>
      </x:c>
      <x:c r="N1040" s="10" t="str">
        <x:v>Выбрать одну рубрику; объяснить явление и задать вопрос.</x:v>
      </x:c>
      <x:c r="O1040" s="10" t="str">
        <x:v>Проверять актуальность научных утверждений</x:v>
      </x:c>
      <x:c r="P1040" s="10" t="str">
        <x:v>Самостоятельное видео</x:v>
      </x:c>
      <x:c r="Q1040" s="9" t="str">
        <x:v>Нет</x:v>
      </x:c>
      <x:c r="R1040" s="9" t="str">
        <x:v>C056</x:v>
      </x:c>
      <x:c r="S1040" s="9" t="str">
        <x:v>C056</x:v>
      </x:c>
      <x:c r="T1040" s="10" t="str">
        <x:v>כאן חינוכית</x:v>
      </x:c>
      <x:c r="U1040" s="11" t="str">
        <x:v>https://www.youtube.com/watch?v=YA-EXVv_3xs</x:v>
      </x:c>
      <x:c r="V1040" s="16" t="n">
        <x:v>46308</x:v>
      </x:c>
      <x:c r="W1040" s="16"/>
      <x:c r="X1040" s="10" t="str">
        <x:v>Иврит предполагается по заголовку и источнику</x:v>
      </x:c>
      <x:c r="Y1040" s="10" t="str">
        <x:v>Не проверено</x:v>
      </x:c>
      <x:c r="Z1040" s="10" t="str">
        <x:v>Не проверено</x:v>
      </x:c>
      <x:c r="AA1040" s="10" t="str">
        <x:v>Метаданные списка; видео не просмотрено</x:v>
      </x:c>
      <x:c r="AB1040" s="13" t="str">
        <x:f>IF(AND(ISNUMBER(H1040),ISNUMBER(W1040)),H1040/MAX(1,'Обзор'!$B$4-W1040),"")</x:f>
      </x:c>
      <x:c r="AC1040" s="17" t="str">
        <x:v>Не решено</x:v>
      </x:c>
      <x:c r="AD1040" s="17" t="str">
        <x:v>Не проверено</x:v>
      </x:c>
      <x:c r="AE1040" s="17" t="str">
        <x:v>Не проверено</x:v>
      </x:c>
      <x:c r="AF1040" s="17" t="str">
        <x:v>Не проверено</x:v>
      </x:c>
      <x:c r="AG1040" s="17" t="str">
        <x:v>Не решено</x:v>
      </x:c>
      <x:c r="AH1040" s="17" t="str">
        <x:v>Не проверено</x:v>
      </x:c>
      <x:c r="AI1040" s="10" t="str">
        <x:f>IF(AC1040="Отклонить","Отклонено",IF(AND(AC1040="Взять",COUNTIFS(AD1040:AH1040,"Да")=5),"Готово","Нужна редактура"))</x:f>
        <x:v>Нужна редактура</x:v>
      </x:c>
      <x:c r="AJ1040" s="17" t="str"/>
      <x:c r="AK1040" s="9" t="str">
        <x:v>https://www.youtube.com/playlist?list=PL51YAgTlfPj57_dWdUXGLkf2pmCnYzYoF</x:v>
      </x:c>
      <x:c r="AL1040" s="9" t="n">
        <x:v>22</x:v>
      </x:c>
      <x:c r="AM1040" s="9"/>
      <x:c r="AN1040" s="9"/>
    </x:row>
    <x:row r="1041" ht="60" customHeight="1">
      <x:c r="A1041" s="9" t="str">
        <x:v>aRAO5sUkwJo</x:v>
      </x:c>
      <x:c r="B1041" s="10" t="str">
        <x:v>גלילאו עונה 9 | מה גודלה של הפיצה הגדולה בעולם? 🍕</x:v>
      </x:c>
      <x:c r="C1041" s="10" t="str">
        <x:v>Наука и мир</x:v>
      </x:c>
      <x:c r="D1041" s="9" t="str">
        <x:v>Образование</x:v>
      </x:c>
      <x:c r="E1041" s="10" t="str">
        <x:v>Любознательные; семьи; образовательное медиа</x:v>
      </x:c>
      <x:c r="F1041" s="10" t="str">
        <x:v>B1–B2 (гипотеза)</x:v>
      </x:c>
      <x:c r="G1041" s="12" t="n">
        <x:v>24.8</x:v>
      </x:c>
      <x:c r="H1041" s="14" t="n">
        <x:v>109729</x:v>
      </x:c>
      <x:c r="I1041" s="15" t="str">
        <x:v>Точный счётчик метаданных видео</x:v>
      </x:c>
      <x:c r="J1041" s="14" t="n">
        <x:v>109000</x:v>
      </x:c>
      <x:c r="K1041" s="14" t="n">
        <x:v>28000</x:v>
      </x:c>
      <x:c r="L1041" s="12" t="n">
        <x:f>IF(COUNT(J1041:K1041)=2,IF(K1041=0,"",J1041/K1041),"")</x:f>
        <x:v>3.892857142857143</x:v>
      </x:c>
      <x:c r="M1041" s="10" t="str">
        <x:v>Тема: גלילאו עונה 9 | מה גודלה של הפיצה הגדולה בעולם? 🍕. Просмотры в списке выше медианы выборки этого цикла в 3.89 раза. Ведущий и визуальные демонстрации помогают понимать новые слова. Формат подходит любителям научно-популярного видео.</x:v>
      </x:c>
      <x:c r="N1041" s="10" t="str">
        <x:v>Выбрать одну рубрику; объяснить явление и задать вопрос.</x:v>
      </x:c>
      <x:c r="O1041" s="10" t="str">
        <x:v>Проверять актуальность научных утверждений</x:v>
      </x:c>
      <x:c r="P1041" s="10" t="str">
        <x:v>Самостоятельное видео</x:v>
      </x:c>
      <x:c r="Q1041" s="9" t="str">
        <x:v>Нет</x:v>
      </x:c>
      <x:c r="R1041" s="9" t="str">
        <x:v>C056</x:v>
      </x:c>
      <x:c r="S1041" s="9" t="str">
        <x:v>C056</x:v>
      </x:c>
      <x:c r="T1041" s="10" t="str">
        <x:v>כאן חינוכית</x:v>
      </x:c>
      <x:c r="U1041" s="11" t="str">
        <x:v>https://www.youtube.com/watch?v=aRAO5sUkwJo</x:v>
      </x:c>
      <x:c r="V1041" s="16" t="n">
        <x:v>46308</x:v>
      </x:c>
      <x:c r="W1041" s="16" t="n">
        <x:v>43865</x:v>
      </x:c>
      <x:c r="X1041" s="10" t="str">
        <x:v>Иврит предполагается по заголовку и источнику</x:v>
      </x:c>
      <x:c r="Y1041" s="10" t="str">
        <x:v>Дорожка HE не найдена в метаданных; вшитые титры не проверены</x:v>
      </x:c>
      <x:c r="Z1041" s="10" t="str">
        <x:v>Разрешено по метаданным</x:v>
      </x:c>
      <x:c r="AA1041" s="10" t="str">
        <x:v>Метаданные видео; воспроизведение и содержание не проверены</x:v>
      </x:c>
      <x:c r="AB1041" s="13" t="n">
        <x:f>IF(AND(ISNUMBER(H1041),ISNUMBER(W1041)),H1041/MAX(1,'Обзор'!$B$4-W1041),"")</x:f>
        <x:v>44.91567744576341</x:v>
      </x:c>
      <x:c r="AC1041" s="17" t="str">
        <x:v>Не решено</x:v>
      </x:c>
      <x:c r="AD1041" s="17" t="str">
        <x:v>Не проверено</x:v>
      </x:c>
      <x:c r="AE1041" s="17" t="str">
        <x:v>Не проверено</x:v>
      </x:c>
      <x:c r="AF1041" s="17" t="str">
        <x:v>Не проверено</x:v>
      </x:c>
      <x:c r="AG1041" s="17" t="str">
        <x:v>Не решено</x:v>
      </x:c>
      <x:c r="AH1041" s="17" t="str">
        <x:v>Не проверено</x:v>
      </x:c>
      <x:c r="AI1041" s="10" t="str">
        <x:f>IF(AC1041="Отклонить","Отклонено",IF(AND(AC1041="Взять",COUNTIFS(AD1041:AH1041,"Да")=5),"Готово","Нужна редактура"))</x:f>
        <x:v>Нужна редактура</x:v>
      </x:c>
      <x:c r="AJ1041" s="17" t="str"/>
      <x:c r="AK1041" s="9" t="str">
        <x:v>https://www.youtube.com/playlist?list=PL51YAgTlfPj57_dWdUXGLkf2pmCnYzYoF</x:v>
      </x:c>
      <x:c r="AL1041" s="9" t="n">
        <x:v>23</x:v>
      </x:c>
      <x:c r="AM1041" s="9"/>
      <x:c r="AN1041" s="9" t="n">
        <x:v>0</x:v>
      </x:c>
    </x:row>
    <x:row r="1042" ht="60" customHeight="1">
      <x:c r="A1042" s="9" t="str">
        <x:v>H1aEPvO3sN0</x:v>
      </x:c>
      <x:c r="B1042" s="10" t="str">
        <x:v>גלילאו עונה 9 | מוזיקה יכולה להאריך את חיינו? 🎧</x:v>
      </x:c>
      <x:c r="C1042" s="10" t="str">
        <x:v>Наука и мир</x:v>
      </x:c>
      <x:c r="D1042" s="9" t="str">
        <x:v>Образование</x:v>
      </x:c>
      <x:c r="E1042" s="10" t="str">
        <x:v>Любознательные; семьи; образовательное медиа</x:v>
      </x:c>
      <x:c r="F1042" s="10" t="str">
        <x:v>B1–B2 (гипотеза)</x:v>
      </x:c>
      <x:c r="G1042" s="12" t="n">
        <x:v>26.5</x:v>
      </x:c>
      <x:c r="H1042" s="14" t="n">
        <x:v>16000</x:v>
      </x:c>
      <x:c r="I1042" s="15" t="str">
        <x:v>Округлённый счётчик в списке YouTube</x:v>
      </x:c>
      <x:c r="J1042" s="14" t="n">
        <x:v>16000</x:v>
      </x:c>
      <x:c r="K1042" s="14" t="n">
        <x:v>28000</x:v>
      </x:c>
      <x:c r="L1042" s="12" t="n">
        <x:f>IF(COUNT(J1042:K1042)=2,IF(K1042=0,"",J1042/K1042),"")</x:f>
        <x:v>0.5714285714285714</x:v>
      </x:c>
      <x:c r="M1042" s="10" t="str">
        <x:v>Тема: גלילאו עונה 9 | מוזיקה יכולה להאריך את חיינו? 🎧. Ведущий и визуальные демонстрации помогают понимать новые слова. Формат подходит любителям научно-популярного видео.</x:v>
      </x:c>
      <x:c r="N1042" s="10" t="str">
        <x:v>Выбрать одну рубрику; объяснить явление и задать вопрос.</x:v>
      </x:c>
      <x:c r="O1042" s="10" t="str">
        <x:v>Проверять актуальность научных утверждений</x:v>
      </x:c>
      <x:c r="P1042" s="10" t="str">
        <x:v>Самостоятельное видео</x:v>
      </x:c>
      <x:c r="Q1042" s="9" t="str">
        <x:v>Нет</x:v>
      </x:c>
      <x:c r="R1042" s="9" t="str">
        <x:v>C056</x:v>
      </x:c>
      <x:c r="S1042" s="9" t="str">
        <x:v>C056</x:v>
      </x:c>
      <x:c r="T1042" s="10" t="str">
        <x:v>כאן חינוכית</x:v>
      </x:c>
      <x:c r="U1042" s="11" t="str">
        <x:v>https://www.youtube.com/watch?v=H1aEPvO3sN0</x:v>
      </x:c>
      <x:c r="V1042" s="16" t="n">
        <x:v>46308</x:v>
      </x:c>
      <x:c r="W1042" s="16"/>
      <x:c r="X1042" s="10" t="str">
        <x:v>Иврит предполагается по заголовку и источнику</x:v>
      </x:c>
      <x:c r="Y1042" s="10" t="str">
        <x:v>Не проверено</x:v>
      </x:c>
      <x:c r="Z1042" s="10" t="str">
        <x:v>Не проверено</x:v>
      </x:c>
      <x:c r="AA1042" s="10" t="str">
        <x:v>Метаданные списка; видео не просмотрено</x:v>
      </x:c>
      <x:c r="AB1042" s="13" t="str">
        <x:f>IF(AND(ISNUMBER(H1042),ISNUMBER(W1042)),H1042/MAX(1,'Обзор'!$B$4-W1042),"")</x:f>
      </x:c>
      <x:c r="AC1042" s="17" t="str">
        <x:v>Не решено</x:v>
      </x:c>
      <x:c r="AD1042" s="17" t="str">
        <x:v>Не проверено</x:v>
      </x:c>
      <x:c r="AE1042" s="17" t="str">
        <x:v>Не проверено</x:v>
      </x:c>
      <x:c r="AF1042" s="17" t="str">
        <x:v>Не проверено</x:v>
      </x:c>
      <x:c r="AG1042" s="17" t="str">
        <x:v>Не решено</x:v>
      </x:c>
      <x:c r="AH1042" s="17" t="str">
        <x:v>Не проверено</x:v>
      </x:c>
      <x:c r="AI1042" s="10" t="str">
        <x:f>IF(AC1042="Отклонить","Отклонено",IF(AND(AC1042="Взять",COUNTIFS(AD1042:AH1042,"Да")=5),"Готово","Нужна редактура"))</x:f>
        <x:v>Нужна редактура</x:v>
      </x:c>
      <x:c r="AJ1042" s="17" t="str"/>
      <x:c r="AK1042" s="9" t="str">
        <x:v>https://www.youtube.com/playlist?list=PL51YAgTlfPj57_dWdUXGLkf2pmCnYzYoF</x:v>
      </x:c>
      <x:c r="AL1042" s="9" t="n">
        <x:v>24</x:v>
      </x:c>
      <x:c r="AM1042" s="9"/>
      <x:c r="AN1042" s="9"/>
    </x:row>
    <x:row r="1043" ht="60" customHeight="1">
      <x:c r="A1043" s="9" t="str">
        <x:v>bsfmgto4O4s</x:v>
      </x:c>
      <x:c r="B1043" s="10" t="str">
        <x:v>גלילאו עונה 9 | אפשר לדבר עם חיות? 🐓🦜</x:v>
      </x:c>
      <x:c r="C1043" s="10" t="str">
        <x:v>Наука и мир</x:v>
      </x:c>
      <x:c r="D1043" s="9" t="str">
        <x:v>Образование</x:v>
      </x:c>
      <x:c r="E1043" s="10" t="str">
        <x:v>Любознательные; семьи; образовательное медиа</x:v>
      </x:c>
      <x:c r="F1043" s="10" t="str">
        <x:v>B1–B2 (гипотеза)</x:v>
      </x:c>
      <x:c r="G1043" s="12" t="n">
        <x:v>26.4</x:v>
      </x:c>
      <x:c r="H1043" s="14" t="n">
        <x:v>43502</x:v>
      </x:c>
      <x:c r="I1043" s="15" t="str">
        <x:v>Точный счётчик метаданных видео</x:v>
      </x:c>
      <x:c r="J1043" s="14" t="n">
        <x:v>43000</x:v>
      </x:c>
      <x:c r="K1043" s="14" t="n">
        <x:v>28000</x:v>
      </x:c>
      <x:c r="L1043" s="12" t="n">
        <x:f>IF(COUNT(J1043:K1043)=2,IF(K1043=0,"",J1043/K1043),"")</x:f>
        <x:v>1.5357142857142858</x:v>
      </x:c>
      <x:c r="M1043" s="10" t="str">
        <x:v>Тема: גלילאו עונה 9 | אפשר לדבר עם חיות? 🐓🦜. Просмотры в списке выше медианы выборки этого цикла в 1.54 раза. Ведущий и визуальные демонстрации помогают понимать новые слова. Формат подходит любителям научно-популярного видео.</x:v>
      </x:c>
      <x:c r="N1043" s="10" t="str">
        <x:v>Выбрать одну рубрику; объяснить явление и задать вопрос.</x:v>
      </x:c>
      <x:c r="O1043" s="10" t="str">
        <x:v>Проверять актуальность научных утверждений</x:v>
      </x:c>
      <x:c r="P1043" s="10" t="str">
        <x:v>Самостоятельное видео</x:v>
      </x:c>
      <x:c r="Q1043" s="9" t="str">
        <x:v>Нет</x:v>
      </x:c>
      <x:c r="R1043" s="9" t="str">
        <x:v>C056</x:v>
      </x:c>
      <x:c r="S1043" s="9" t="str">
        <x:v>C056</x:v>
      </x:c>
      <x:c r="T1043" s="10" t="str">
        <x:v>כאן חינוכית</x:v>
      </x:c>
      <x:c r="U1043" s="11" t="str">
        <x:v>https://www.youtube.com/watch?v=bsfmgto4O4s</x:v>
      </x:c>
      <x:c r="V1043" s="16" t="n">
        <x:v>46308</x:v>
      </x:c>
      <x:c r="W1043" s="16" t="n">
        <x:v>43863</x:v>
      </x:c>
      <x:c r="X1043" s="10" t="str">
        <x:v>Иврит предполагается по заголовку и источнику</x:v>
      </x:c>
      <x:c r="Y1043" s="10" t="str">
        <x:v>Дорожка HE не найдена в метаданных; вшитые титры не проверены</x:v>
      </x:c>
      <x:c r="Z1043" s="10" t="str">
        <x:v>Разрешено по метаданным</x:v>
      </x:c>
      <x:c r="AA1043" s="10" t="str">
        <x:v>Метаданные видео; воспроизведение и содержание не проверены</x:v>
      </x:c>
      <x:c r="AB1043" s="13" t="n">
        <x:f>IF(AND(ISNUMBER(H1043),ISNUMBER(W1043)),H1043/MAX(1,'Обзор'!$B$4-W1043),"")</x:f>
        <x:v>17.792229038854806</x:v>
      </x:c>
      <x:c r="AC1043" s="17" t="str">
        <x:v>Не решено</x:v>
      </x:c>
      <x:c r="AD1043" s="17" t="str">
        <x:v>Не проверено</x:v>
      </x:c>
      <x:c r="AE1043" s="17" t="str">
        <x:v>Не проверено</x:v>
      </x:c>
      <x:c r="AF1043" s="17" t="str">
        <x:v>Не проверено</x:v>
      </x:c>
      <x:c r="AG1043" s="17" t="str">
        <x:v>Не решено</x:v>
      </x:c>
      <x:c r="AH1043" s="17" t="str">
        <x:v>Не проверено</x:v>
      </x:c>
      <x:c r="AI1043" s="10" t="str">
        <x:f>IF(AC1043="Отклонить","Отклонено",IF(AND(AC1043="Взять",COUNTIFS(AD1043:AH1043,"Да")=5),"Готово","Нужна редактура"))</x:f>
        <x:v>Нужна редактура</x:v>
      </x:c>
      <x:c r="AJ1043" s="17" t="str"/>
      <x:c r="AK1043" s="9" t="str">
        <x:v>https://www.youtube.com/playlist?list=PL51YAgTlfPj57_dWdUXGLkf2pmCnYzYoF</x:v>
      </x:c>
      <x:c r="AL1043" s="9" t="n">
        <x:v>25</x:v>
      </x:c>
      <x:c r="AM1043" s="9"/>
      <x:c r="AN1043" s="9" t="n">
        <x:v>0</x:v>
      </x:c>
    </x:row>
    <x:row r="1044" ht="60" customHeight="1">
      <x:c r="A1044" s="9" t="str">
        <x:v>t1iR3E_L7tI</x:v>
      </x:c>
      <x:c r="B1044" s="10" t="str">
        <x:v>גלילאו עונה 9 | רפונזל האפרו-אמריקאית: השיער הארוך ביותר בעולם 👩🏾</x:v>
      </x:c>
      <x:c r="C1044" s="10" t="str">
        <x:v>Наука и мир</x:v>
      </x:c>
      <x:c r="D1044" s="9" t="str">
        <x:v>Образование</x:v>
      </x:c>
      <x:c r="E1044" s="10" t="str">
        <x:v>Любознательные; семьи; образовательное медиа</x:v>
      </x:c>
      <x:c r="F1044" s="10" t="str">
        <x:v>B1–B2 (гипотеза)</x:v>
      </x:c>
      <x:c r="G1044" s="12" t="n">
        <x:v>27.2</x:v>
      </x:c>
      <x:c r="H1044" s="14" t="n">
        <x:v>73542</x:v>
      </x:c>
      <x:c r="I1044" s="15" t="str">
        <x:v>Точный счётчик метаданных видео</x:v>
      </x:c>
      <x:c r="J1044" s="14" t="n">
        <x:v>73000</x:v>
      </x:c>
      <x:c r="K1044" s="14" t="n">
        <x:v>28000</x:v>
      </x:c>
      <x:c r="L1044" s="12" t="n">
        <x:f>IF(COUNT(J1044:K1044)=2,IF(K1044=0,"",J1044/K1044),"")</x:f>
        <x:v>2.607142857142857</x:v>
      </x:c>
      <x:c r="M1044" s="10" t="str">
        <x:v>Тема: גלילאו עונה 9 | רפונזל האפרו-אמריקאית: השיער הארוך ביותר בעולם 👩🏾. Просмотры в списке выше медианы выборки этого цикла в 2.61 раза. Ведущий и визуальные демонстрации помогают понимать новые слова. Формат подходит любителям научно-популярного видео.</x:v>
      </x:c>
      <x:c r="N1044" s="10" t="str">
        <x:v>Выбрать одну рубрику; объяснить явление и задать вопрос.</x:v>
      </x:c>
      <x:c r="O1044" s="10" t="str">
        <x:v>Проверять актуальность научных утверждений</x:v>
      </x:c>
      <x:c r="P1044" s="10" t="str">
        <x:v>Самостоятельное видео</x:v>
      </x:c>
      <x:c r="Q1044" s="9" t="str">
        <x:v>Нет</x:v>
      </x:c>
      <x:c r="R1044" s="9" t="str">
        <x:v>C056</x:v>
      </x:c>
      <x:c r="S1044" s="9" t="str">
        <x:v>C056</x:v>
      </x:c>
      <x:c r="T1044" s="10" t="str">
        <x:v>כאן חינוכית</x:v>
      </x:c>
      <x:c r="U1044" s="11" t="str">
        <x:v>https://www.youtube.com/watch?v=t1iR3E_L7tI</x:v>
      </x:c>
      <x:c r="V1044" s="16" t="n">
        <x:v>46308</x:v>
      </x:c>
      <x:c r="W1044" s="16" t="n">
        <x:v>43860</x:v>
      </x:c>
      <x:c r="X1044" s="10" t="str">
        <x:v>Иврит предполагается по заголовку и источнику</x:v>
      </x:c>
      <x:c r="Y1044" s="10" t="str">
        <x:v>Дорожка HE не найдена в метаданных; вшитые титры не проверены</x:v>
      </x:c>
      <x:c r="Z1044" s="10" t="str">
        <x:v>Разрешено по метаданным</x:v>
      </x:c>
      <x:c r="AA1044" s="10" t="str">
        <x:v>Метаданные видео; воспроизведение и содержание не проверены</x:v>
      </x:c>
      <x:c r="AB1044" s="13" t="n">
        <x:f>IF(AND(ISNUMBER(H1044),ISNUMBER(W1044)),H1044/MAX(1,'Обзор'!$B$4-W1044),"")</x:f>
        <x:v>30.041666666666668</x:v>
      </x:c>
      <x:c r="AC1044" s="17" t="str">
        <x:v>Не решено</x:v>
      </x:c>
      <x:c r="AD1044" s="17" t="str">
        <x:v>Не проверено</x:v>
      </x:c>
      <x:c r="AE1044" s="17" t="str">
        <x:v>Не проверено</x:v>
      </x:c>
      <x:c r="AF1044" s="17" t="str">
        <x:v>Не проверено</x:v>
      </x:c>
      <x:c r="AG1044" s="17" t="str">
        <x:v>Не решено</x:v>
      </x:c>
      <x:c r="AH1044" s="17" t="str">
        <x:v>Не проверено</x:v>
      </x:c>
      <x:c r="AI1044" s="10" t="str">
        <x:f>IF(AC1044="Отклонить","Отклонено",IF(AND(AC1044="Взять",COUNTIFS(AD1044:AH1044,"Да")=5),"Готово","Нужна редактура"))</x:f>
        <x:v>Нужна редактура</x:v>
      </x:c>
      <x:c r="AJ1044" s="17" t="str"/>
      <x:c r="AK1044" s="9" t="str">
        <x:v>https://www.youtube.com/playlist?list=PL51YAgTlfPj57_dWdUXGLkf2pmCnYzYoF</x:v>
      </x:c>
      <x:c r="AL1044" s="9" t="n">
        <x:v>26</x:v>
      </x:c>
      <x:c r="AM1044" s="9"/>
      <x:c r="AN1044" s="9" t="n">
        <x:v>0</x:v>
      </x:c>
    </x:row>
    <x:row r="1045" ht="60" customHeight="1">
      <x:c r="A1045" s="9" t="str">
        <x:v>w7IOtPD_zUQ</x:v>
      </x:c>
      <x:c r="B1045" s="10" t="str">
        <x:v>גלילאו עונה 9 | איך מכינים ארוחה מאוויר?💨</x:v>
      </x:c>
      <x:c r="C1045" s="10" t="str">
        <x:v>Наука и мир</x:v>
      </x:c>
      <x:c r="D1045" s="9" t="str">
        <x:v>Образование</x:v>
      </x:c>
      <x:c r="E1045" s="10" t="str">
        <x:v>Любознательные; семьи; образовательное медиа</x:v>
      </x:c>
      <x:c r="F1045" s="10" t="str">
        <x:v>B1–B2 (гипотеза)</x:v>
      </x:c>
      <x:c r="G1045" s="12" t="n">
        <x:v>27.4</x:v>
      </x:c>
      <x:c r="H1045" s="14" t="n">
        <x:v>34277</x:v>
      </x:c>
      <x:c r="I1045" s="15" t="str">
        <x:v>Точный счётчик метаданных видео</x:v>
      </x:c>
      <x:c r="J1045" s="14" t="n">
        <x:v>34000</x:v>
      </x:c>
      <x:c r="K1045" s="14" t="n">
        <x:v>28000</x:v>
      </x:c>
      <x:c r="L1045" s="12" t="n">
        <x:f>IF(COUNT(J1045:K1045)=2,IF(K1045=0,"",J1045/K1045),"")</x:f>
        <x:v>1.2142857142857142</x:v>
      </x:c>
      <x:c r="M1045" s="10" t="str">
        <x:v>Тема: גלילאו עונה 9 | איך מכינים ארוחה מאוויר?💨. Ведущий и визуальные демонстрации помогают понимать новые слова. Формат подходит любителям научно-популярного видео.</x:v>
      </x:c>
      <x:c r="N1045" s="10" t="str">
        <x:v>Выбрать одну рубрику; объяснить явление и задать вопрос.</x:v>
      </x:c>
      <x:c r="O1045" s="10" t="str">
        <x:v>Проверять актуальность научных утверждений</x:v>
      </x:c>
      <x:c r="P1045" s="10" t="str">
        <x:v>Самостоятельное видео</x:v>
      </x:c>
      <x:c r="Q1045" s="9" t="str">
        <x:v>Нет</x:v>
      </x:c>
      <x:c r="R1045" s="9" t="str">
        <x:v>C056</x:v>
      </x:c>
      <x:c r="S1045" s="9" t="str">
        <x:v>C056</x:v>
      </x:c>
      <x:c r="T1045" s="10" t="str">
        <x:v>כאן חינוכית</x:v>
      </x:c>
      <x:c r="U1045" s="11" t="str">
        <x:v>https://www.youtube.com/watch?v=w7IOtPD_zUQ</x:v>
      </x:c>
      <x:c r="V1045" s="16" t="n">
        <x:v>46308</x:v>
      </x:c>
      <x:c r="W1045" s="16" t="n">
        <x:v>43859</x:v>
      </x:c>
      <x:c r="X1045" s="10" t="str">
        <x:v>Иврит предполагается по заголовку и источнику</x:v>
      </x:c>
      <x:c r="Y1045" s="10" t="str">
        <x:v>Дорожка HE не найдена в метаданных; вшитые титры не проверены</x:v>
      </x:c>
      <x:c r="Z1045" s="10" t="str">
        <x:v>Разрешено по метаданным</x:v>
      </x:c>
      <x:c r="AA1045" s="10" t="str">
        <x:v>Метаданные видео; воспроизведение и содержание не проверены</x:v>
      </x:c>
      <x:c r="AB1045" s="13" t="n">
        <x:f>IF(AND(ISNUMBER(H1045),ISNUMBER(W1045)),H1045/MAX(1,'Обзор'!$B$4-W1045),"")</x:f>
        <x:v>13.996325030624744</x:v>
      </x:c>
      <x:c r="AC1045" s="17" t="str">
        <x:v>Не решено</x:v>
      </x:c>
      <x:c r="AD1045" s="17" t="str">
        <x:v>Не проверено</x:v>
      </x:c>
      <x:c r="AE1045" s="17" t="str">
        <x:v>Не проверено</x:v>
      </x:c>
      <x:c r="AF1045" s="17" t="str">
        <x:v>Не проверено</x:v>
      </x:c>
      <x:c r="AG1045" s="17" t="str">
        <x:v>Не решено</x:v>
      </x:c>
      <x:c r="AH1045" s="17" t="str">
        <x:v>Не проверено</x:v>
      </x:c>
      <x:c r="AI1045" s="10" t="str">
        <x:f>IF(AC1045="Отклонить","Отклонено",IF(AND(AC1045="Взять",COUNTIFS(AD1045:AH1045,"Да")=5),"Готово","Нужна редактура"))</x:f>
        <x:v>Нужна редактура</x:v>
      </x:c>
      <x:c r="AJ1045" s="17" t="str"/>
      <x:c r="AK1045" s="9" t="str">
        <x:v>https://www.youtube.com/playlist?list=PL51YAgTlfPj57_dWdUXGLkf2pmCnYzYoF</x:v>
      </x:c>
      <x:c r="AL1045" s="9" t="n">
        <x:v>27</x:v>
      </x:c>
      <x:c r="AM1045" s="9"/>
      <x:c r="AN1045" s="9" t="n">
        <x:v>0</x:v>
      </x:c>
    </x:row>
    <x:row r="1046" ht="60" customHeight="1">
      <x:c r="A1046" s="9" t="str">
        <x:v>lKmcBIudxrs</x:v>
      </x:c>
      <x:c r="B1046" s="10" t="str">
        <x:v>גלילאו עונה 9 | איך לצלם תמונה קבוצתית מבלי שאף אחד ימצמץ? 📸</x:v>
      </x:c>
      <x:c r="C1046" s="10" t="str">
        <x:v>Наука и мир</x:v>
      </x:c>
      <x:c r="D1046" s="9" t="str">
        <x:v>Образование</x:v>
      </x:c>
      <x:c r="E1046" s="10" t="str">
        <x:v>Любознательные; семьи; образовательное медиа</x:v>
      </x:c>
      <x:c r="F1046" s="10" t="str">
        <x:v>B1–B2 (гипотеза)</x:v>
      </x:c>
      <x:c r="G1046" s="12" t="n">
        <x:v>25.5</x:v>
      </x:c>
      <x:c r="H1046" s="14" t="n">
        <x:v>24000</x:v>
      </x:c>
      <x:c r="I1046" s="15" t="str">
        <x:v>Округлённый счётчик в списке YouTube</x:v>
      </x:c>
      <x:c r="J1046" s="14" t="n">
        <x:v>24000</x:v>
      </x:c>
      <x:c r="K1046" s="14" t="n">
        <x:v>28000</x:v>
      </x:c>
      <x:c r="L1046" s="12" t="n">
        <x:f>IF(COUNT(J1046:K1046)=2,IF(K1046=0,"",J1046/K1046),"")</x:f>
        <x:v>0.8571428571428571</x:v>
      </x:c>
      <x:c r="M1046" s="10" t="str">
        <x:v>Тема: גלילאו עונה 9 | איך לצלם תמונה קבוצתית מבלי שאף אחד ימצמץ? 📸. Ведущий и визуальные демонстрации помогают понимать новые слова. Формат подходит любителям научно-популярного видео.</x:v>
      </x:c>
      <x:c r="N1046" s="10" t="str">
        <x:v>Выбрать одну рубрику; объяснить явление и задать вопрос.</x:v>
      </x:c>
      <x:c r="O1046" s="10" t="str">
        <x:v>Проверять актуальность научных утверждений</x:v>
      </x:c>
      <x:c r="P1046" s="10" t="str">
        <x:v>Самостоятельное видео</x:v>
      </x:c>
      <x:c r="Q1046" s="9" t="str">
        <x:v>Нет</x:v>
      </x:c>
      <x:c r="R1046" s="9" t="str">
        <x:v>C056</x:v>
      </x:c>
      <x:c r="S1046" s="9" t="str">
        <x:v>C056</x:v>
      </x:c>
      <x:c r="T1046" s="10" t="str">
        <x:v>כאן חינוכית</x:v>
      </x:c>
      <x:c r="U1046" s="11" t="str">
        <x:v>https://www.youtube.com/watch?v=lKmcBIudxrs</x:v>
      </x:c>
      <x:c r="V1046" s="16" t="n">
        <x:v>46308</x:v>
      </x:c>
      <x:c r="W1046" s="16"/>
      <x:c r="X1046" s="10" t="str">
        <x:v>Иврит предполагается по заголовку и источнику</x:v>
      </x:c>
      <x:c r="Y1046" s="10" t="str">
        <x:v>Не проверено</x:v>
      </x:c>
      <x:c r="Z1046" s="10" t="str">
        <x:v>Не проверено</x:v>
      </x:c>
      <x:c r="AA1046" s="10" t="str">
        <x:v>Метаданные списка; видео не просмотрено</x:v>
      </x:c>
      <x:c r="AB1046" s="13" t="str">
        <x:f>IF(AND(ISNUMBER(H1046),ISNUMBER(W1046)),H1046/MAX(1,'Обзор'!$B$4-W1046),"")</x:f>
      </x:c>
      <x:c r="AC1046" s="17" t="str">
        <x:v>Не решено</x:v>
      </x:c>
      <x:c r="AD1046" s="17" t="str">
        <x:v>Не проверено</x:v>
      </x:c>
      <x:c r="AE1046" s="17" t="str">
        <x:v>Не проверено</x:v>
      </x:c>
      <x:c r="AF1046" s="17" t="str">
        <x:v>Не проверено</x:v>
      </x:c>
      <x:c r="AG1046" s="17" t="str">
        <x:v>Не решено</x:v>
      </x:c>
      <x:c r="AH1046" s="17" t="str">
        <x:v>Не проверено</x:v>
      </x:c>
      <x:c r="AI1046" s="10" t="str">
        <x:f>IF(AC1046="Отклонить","Отклонено",IF(AND(AC1046="Взять",COUNTIFS(AD1046:AH1046,"Да")=5),"Готово","Нужна редактура"))</x:f>
        <x:v>Нужна редактура</x:v>
      </x:c>
      <x:c r="AJ1046" s="17" t="str"/>
      <x:c r="AK1046" s="9" t="str">
        <x:v>https://www.youtube.com/playlist?list=PL51YAgTlfPj57_dWdUXGLkf2pmCnYzYoF</x:v>
      </x:c>
      <x:c r="AL1046" s="9" t="n">
        <x:v>28</x:v>
      </x:c>
      <x:c r="AM1046" s="9"/>
      <x:c r="AN1046" s="9"/>
    </x:row>
    <x:row r="1047" ht="60" customHeight="1">
      <x:c r="A1047" s="9" t="str">
        <x:v>92cQfMB0TCM</x:v>
      </x:c>
      <x:c r="B1047" s="10" t="str">
        <x:v>גלילאו עונה 9 | המבורגר מודפס זה טעים? 🍔</x:v>
      </x:c>
      <x:c r="C1047" s="10" t="str">
        <x:v>Наука и мир</x:v>
      </x:c>
      <x:c r="D1047" s="9" t="str">
        <x:v>Образование</x:v>
      </x:c>
      <x:c r="E1047" s="10" t="str">
        <x:v>Любознательные; семьи; образовательное медиа</x:v>
      </x:c>
      <x:c r="F1047" s="10" t="str">
        <x:v>B1–B2 (гипотеза)</x:v>
      </x:c>
      <x:c r="G1047" s="12" t="n">
        <x:v>26.2</x:v>
      </x:c>
      <x:c r="H1047" s="14" t="n">
        <x:v>61970</x:v>
      </x:c>
      <x:c r="I1047" s="15" t="str">
        <x:v>Точный счётчик метаданных видео</x:v>
      </x:c>
      <x:c r="J1047" s="14" t="n">
        <x:v>61000</x:v>
      </x:c>
      <x:c r="K1047" s="14" t="n">
        <x:v>28000</x:v>
      </x:c>
      <x:c r="L1047" s="12" t="n">
        <x:f>IF(COUNT(J1047:K1047)=2,IF(K1047=0,"",J1047/K1047),"")</x:f>
        <x:v>2.1785714285714284</x:v>
      </x:c>
      <x:c r="M1047" s="10" t="str">
        <x:v>Тема: גלילאו עונה 9 | המבורגר מודפס זה טעים? 🍔. Просмотры в списке выше медианы выборки этого цикла в 2.18 раза. Ведущий и визуальные демонстрации помогают понимать новые слова. Формат подходит любителям научно-популярного видео.</x:v>
      </x:c>
      <x:c r="N1047" s="10" t="str">
        <x:v>Выбрать одну рубрику; объяснить явление и задать вопрос.</x:v>
      </x:c>
      <x:c r="O1047" s="10" t="str">
        <x:v>Проверять актуальность научных утверждений</x:v>
      </x:c>
      <x:c r="P1047" s="10" t="str">
        <x:v>Самостоятельное видео</x:v>
      </x:c>
      <x:c r="Q1047" s="9" t="str">
        <x:v>Нет</x:v>
      </x:c>
      <x:c r="R1047" s="9" t="str">
        <x:v>C056</x:v>
      </x:c>
      <x:c r="S1047" s="9" t="str">
        <x:v>C056</x:v>
      </x:c>
      <x:c r="T1047" s="10" t="str">
        <x:v>כאן חינוכית</x:v>
      </x:c>
      <x:c r="U1047" s="11" t="str">
        <x:v>https://www.youtube.com/watch?v=92cQfMB0TCM</x:v>
      </x:c>
      <x:c r="V1047" s="16" t="n">
        <x:v>46308</x:v>
      </x:c>
      <x:c r="W1047" s="16" t="n">
        <x:v>43857</x:v>
      </x:c>
      <x:c r="X1047" s="10" t="str">
        <x:v>Иврит предполагается по заголовку и источнику</x:v>
      </x:c>
      <x:c r="Y1047" s="10" t="str">
        <x:v>Дорожка HE не найдена в метаданных; вшитые титры не проверены</x:v>
      </x:c>
      <x:c r="Z1047" s="10" t="str">
        <x:v>Разрешено по метаданным</x:v>
      </x:c>
      <x:c r="AA1047" s="10" t="str">
        <x:v>Метаданные видео; воспроизведение и содержание не проверены</x:v>
      </x:c>
      <x:c r="AB1047" s="13" t="n">
        <x:f>IF(AND(ISNUMBER(H1047),ISNUMBER(W1047)),H1047/MAX(1,'Обзор'!$B$4-W1047),"")</x:f>
        <x:v>25.28355773153815</x:v>
      </x:c>
      <x:c r="AC1047" s="17" t="str">
        <x:v>Не решено</x:v>
      </x:c>
      <x:c r="AD1047" s="17" t="str">
        <x:v>Не проверено</x:v>
      </x:c>
      <x:c r="AE1047" s="17" t="str">
        <x:v>Не проверено</x:v>
      </x:c>
      <x:c r="AF1047" s="17" t="str">
        <x:v>Не проверено</x:v>
      </x:c>
      <x:c r="AG1047" s="17" t="str">
        <x:v>Не решено</x:v>
      </x:c>
      <x:c r="AH1047" s="17" t="str">
        <x:v>Не проверено</x:v>
      </x:c>
      <x:c r="AI1047" s="10" t="str">
        <x:f>IF(AC1047="Отклонить","Отклонено",IF(AND(AC1047="Взять",COUNTIFS(AD1047:AH1047,"Да")=5),"Готово","Нужна редактура"))</x:f>
        <x:v>Нужна редактура</x:v>
      </x:c>
      <x:c r="AJ1047" s="17" t="str"/>
      <x:c r="AK1047" s="9" t="str">
        <x:v>https://www.youtube.com/playlist?list=PL51YAgTlfPj57_dWdUXGLkf2pmCnYzYoF</x:v>
      </x:c>
      <x:c r="AL1047" s="9" t="n">
        <x:v>29</x:v>
      </x:c>
      <x:c r="AM1047" s="9"/>
      <x:c r="AN1047" s="9" t="n">
        <x:v>0</x:v>
      </x:c>
    </x:row>
    <x:row r="1048" ht="60" customHeight="1">
      <x:c r="A1048" s="9" t="str">
        <x:v>g_f4MJ5DTs0</x:v>
      </x:c>
      <x:c r="B1048" s="10" t="str">
        <x:v>גלילאו עונה 9 | דיסק און קי מלא שוקל יותר? 📲</x:v>
      </x:c>
      <x:c r="C1048" s="10" t="str">
        <x:v>Наука и мир</x:v>
      </x:c>
      <x:c r="D1048" s="9" t="str">
        <x:v>Образование</x:v>
      </x:c>
      <x:c r="E1048" s="10" t="str">
        <x:v>Любознательные; семьи; образовательное медиа</x:v>
      </x:c>
      <x:c r="F1048" s="10" t="str">
        <x:v>B1–B2 (гипотеза)</x:v>
      </x:c>
      <x:c r="G1048" s="12" t="n">
        <x:v>26.4</x:v>
      </x:c>
      <x:c r="H1048" s="14" t="n">
        <x:v>22000</x:v>
      </x:c>
      <x:c r="I1048" s="15" t="str">
        <x:v>Округлённый счётчик в списке YouTube</x:v>
      </x:c>
      <x:c r="J1048" s="14" t="n">
        <x:v>22000</x:v>
      </x:c>
      <x:c r="K1048" s="14" t="n">
        <x:v>28000</x:v>
      </x:c>
      <x:c r="L1048" s="12" t="n">
        <x:f>IF(COUNT(J1048:K1048)=2,IF(K1048=0,"",J1048/K1048),"")</x:f>
        <x:v>0.7857142857142857</x:v>
      </x:c>
      <x:c r="M1048" s="10" t="str">
        <x:v>Тема: גלילאו עונה 9 | דיסק און קי מלא שוקל יותר? 📲. Ведущий и визуальные демонстрации помогают понимать новые слова. Формат подходит любителям научно-популярного видео.</x:v>
      </x:c>
      <x:c r="N1048" s="10" t="str">
        <x:v>Выбрать одну рубрику; объяснить явление и задать вопрос.</x:v>
      </x:c>
      <x:c r="O1048" s="10" t="str">
        <x:v>Проверять актуальность научных утверждений</x:v>
      </x:c>
      <x:c r="P1048" s="10" t="str">
        <x:v>Самостоятельное видео</x:v>
      </x:c>
      <x:c r="Q1048" s="9" t="str">
        <x:v>Нет</x:v>
      </x:c>
      <x:c r="R1048" s="9" t="str">
        <x:v>C056</x:v>
      </x:c>
      <x:c r="S1048" s="9" t="str">
        <x:v>C056</x:v>
      </x:c>
      <x:c r="T1048" s="10" t="str">
        <x:v>כאן חינוכית</x:v>
      </x:c>
      <x:c r="U1048" s="11" t="str">
        <x:v>https://www.youtube.com/watch?v=g_f4MJ5DTs0</x:v>
      </x:c>
      <x:c r="V1048" s="16" t="n">
        <x:v>46308</x:v>
      </x:c>
      <x:c r="W1048" s="16"/>
      <x:c r="X1048" s="10" t="str">
        <x:v>Иврит предполагается по заголовку и источнику</x:v>
      </x:c>
      <x:c r="Y1048" s="10" t="str">
        <x:v>Не проверено</x:v>
      </x:c>
      <x:c r="Z1048" s="10" t="str">
        <x:v>Не проверено</x:v>
      </x:c>
      <x:c r="AA1048" s="10" t="str">
        <x:v>Метаданные списка; видео не просмотрено</x:v>
      </x:c>
      <x:c r="AB1048" s="13" t="str">
        <x:f>IF(AND(ISNUMBER(H1048),ISNUMBER(W1048)),H1048/MAX(1,'Обзор'!$B$4-W1048),"")</x:f>
      </x:c>
      <x:c r="AC1048" s="17" t="str">
        <x:v>Не решено</x:v>
      </x:c>
      <x:c r="AD1048" s="17" t="str">
        <x:v>Не проверено</x:v>
      </x:c>
      <x:c r="AE1048" s="17" t="str">
        <x:v>Не проверено</x:v>
      </x:c>
      <x:c r="AF1048" s="17" t="str">
        <x:v>Не проверено</x:v>
      </x:c>
      <x:c r="AG1048" s="17" t="str">
        <x:v>Не решено</x:v>
      </x:c>
      <x:c r="AH1048" s="17" t="str">
        <x:v>Не проверено</x:v>
      </x:c>
      <x:c r="AI1048" s="10" t="str">
        <x:f>IF(AC1048="Отклонить","Отклонено",IF(AND(AC1048="Взять",COUNTIFS(AD1048:AH1048,"Да")=5),"Готово","Нужна редактура"))</x:f>
        <x:v>Нужна редактура</x:v>
      </x:c>
      <x:c r="AJ1048" s="17" t="str"/>
      <x:c r="AK1048" s="9" t="str">
        <x:v>https://www.youtube.com/playlist?list=PL51YAgTlfPj57_dWdUXGLkf2pmCnYzYoF</x:v>
      </x:c>
      <x:c r="AL1048" s="9" t="n">
        <x:v>30</x:v>
      </x:c>
      <x:c r="AM1048" s="9"/>
      <x:c r="AN1048" s="9"/>
    </x:row>
    <x:row r="1049" ht="60" customHeight="1">
      <x:c r="A1049" s="9" t="str">
        <x:v>HXmRwHiYeNQ</x:v>
      </x:c>
      <x:c r="B1049" s="10" t="str">
        <x:v>גלילאו עונה 9 | מתי רובוטים ישתלטו על העולם? 🤖</x:v>
      </x:c>
      <x:c r="C1049" s="10" t="str">
        <x:v>Наука и мир</x:v>
      </x:c>
      <x:c r="D1049" s="9" t="str">
        <x:v>Образование</x:v>
      </x:c>
      <x:c r="E1049" s="10" t="str">
        <x:v>Любознательные; семьи; образовательное медиа</x:v>
      </x:c>
      <x:c r="F1049" s="10" t="str">
        <x:v>B1–B2 (гипотеза)</x:v>
      </x:c>
      <x:c r="G1049" s="12" t="n">
        <x:v>26.5</x:v>
      </x:c>
      <x:c r="H1049" s="14" t="n">
        <x:v>17000</x:v>
      </x:c>
      <x:c r="I1049" s="15" t="str">
        <x:v>Округлённый счётчик в списке YouTube</x:v>
      </x:c>
      <x:c r="J1049" s="14" t="n">
        <x:v>17000</x:v>
      </x:c>
      <x:c r="K1049" s="14" t="n">
        <x:v>28000</x:v>
      </x:c>
      <x:c r="L1049" s="12" t="n">
        <x:f>IF(COUNT(J1049:K1049)=2,IF(K1049=0,"",J1049/K1049),"")</x:f>
        <x:v>0.6071428571428571</x:v>
      </x:c>
      <x:c r="M1049" s="10" t="str">
        <x:v>Тема: גלילאו עונה 9 | מתי רובוטים ישתלטו על העולם? 🤖. Ведущий и визуальные демонстрации помогают понимать новые слова. Формат подходит любителям научно-популярного видео.</x:v>
      </x:c>
      <x:c r="N1049" s="10" t="str">
        <x:v>Выбрать одну рубрику; объяснить явление и задать вопрос.</x:v>
      </x:c>
      <x:c r="O1049" s="10" t="str">
        <x:v>Проверять актуальность научных утверждений</x:v>
      </x:c>
      <x:c r="P1049" s="10" t="str">
        <x:v>Самостоятельное видео</x:v>
      </x:c>
      <x:c r="Q1049" s="9" t="str">
        <x:v>Нет</x:v>
      </x:c>
      <x:c r="R1049" s="9" t="str">
        <x:v>C056</x:v>
      </x:c>
      <x:c r="S1049" s="9" t="str">
        <x:v>C056</x:v>
      </x:c>
      <x:c r="T1049" s="10" t="str">
        <x:v>כאן חינוכית</x:v>
      </x:c>
      <x:c r="U1049" s="11" t="str">
        <x:v>https://www.youtube.com/watch?v=HXmRwHiYeNQ</x:v>
      </x:c>
      <x:c r="V1049" s="16" t="n">
        <x:v>46308</x:v>
      </x:c>
      <x:c r="W1049" s="16"/>
      <x:c r="X1049" s="10" t="str">
        <x:v>Иврит предполагается по заголовку и источнику</x:v>
      </x:c>
      <x:c r="Y1049" s="10" t="str">
        <x:v>Не проверено</x:v>
      </x:c>
      <x:c r="Z1049" s="10" t="str">
        <x:v>Не проверено</x:v>
      </x:c>
      <x:c r="AA1049" s="10" t="str">
        <x:v>Метаданные списка; видео не просмотрено</x:v>
      </x:c>
      <x:c r="AB1049" s="13" t="str">
        <x:f>IF(AND(ISNUMBER(H1049),ISNUMBER(W1049)),H1049/MAX(1,'Обзор'!$B$4-W1049),"")</x:f>
      </x:c>
      <x:c r="AC1049" s="17" t="str">
        <x:v>Не решено</x:v>
      </x:c>
      <x:c r="AD1049" s="17" t="str">
        <x:v>Не проверено</x:v>
      </x:c>
      <x:c r="AE1049" s="17" t="str">
        <x:v>Не проверено</x:v>
      </x:c>
      <x:c r="AF1049" s="17" t="str">
        <x:v>Не проверено</x:v>
      </x:c>
      <x:c r="AG1049" s="17" t="str">
        <x:v>Не решено</x:v>
      </x:c>
      <x:c r="AH1049" s="17" t="str">
        <x:v>Не проверено</x:v>
      </x:c>
      <x:c r="AI1049" s="10" t="str">
        <x:f>IF(AC1049="Отклонить","Отклонено",IF(AND(AC1049="Взять",COUNTIFS(AD1049:AH1049,"Да")=5),"Готово","Нужна редактура"))</x:f>
        <x:v>Нужна редактура</x:v>
      </x:c>
      <x:c r="AJ1049" s="17" t="str"/>
      <x:c r="AK1049" s="9" t="str">
        <x:v>https://www.youtube.com/playlist?list=PL51YAgTlfPj57_dWdUXGLkf2pmCnYzYoF</x:v>
      </x:c>
      <x:c r="AL1049" s="9" t="n">
        <x:v>31</x:v>
      </x:c>
      <x:c r="AM1049" s="9"/>
      <x:c r="AN1049" s="9"/>
    </x:row>
    <x:row r="1050" ht="60" customHeight="1">
      <x:c r="A1050" s="9" t="str">
        <x:v>_qw0fpg0g2M</x:v>
      </x:c>
      <x:c r="B1050" s="10" t="str">
        <x:v>גלילאו עונה 9 | איך שינתה המצלמה את חיינו? 📷</x:v>
      </x:c>
      <x:c r="C1050" s="10" t="str">
        <x:v>Наука и мир</x:v>
      </x:c>
      <x:c r="D1050" s="9" t="str">
        <x:v>Образование</x:v>
      </x:c>
      <x:c r="E1050" s="10" t="str">
        <x:v>Любознательные; семьи; образовательное медиа</x:v>
      </x:c>
      <x:c r="F1050" s="10" t="str">
        <x:v>B1–B2 (гипотеза)</x:v>
      </x:c>
      <x:c r="G1050" s="12" t="n">
        <x:v>26</x:v>
      </x:c>
      <x:c r="H1050" s="14" t="n">
        <x:v>9600</x:v>
      </x:c>
      <x:c r="I1050" s="15" t="str">
        <x:v>Округлённый счётчик в списке YouTube</x:v>
      </x:c>
      <x:c r="J1050" s="14" t="n">
        <x:v>9600</x:v>
      </x:c>
      <x:c r="K1050" s="14" t="n">
        <x:v>28000</x:v>
      </x:c>
      <x:c r="L1050" s="12" t="n">
        <x:f>IF(COUNT(J1050:K1050)=2,IF(K1050=0,"",J1050/K1050),"")</x:f>
        <x:v>0.34285714285714286</x:v>
      </x:c>
      <x:c r="M1050" s="10" t="str">
        <x:v>Тема: גלילאו עונה 9 | איך שינתה המצלמה את חיינו? 📷. Просмотры ниже медианы цикла; выбирать за нишевую ценность, а не за массовый охват. Ведущий и визуальные демонстрации помогают понимать новые слова. Формат подходит любителям научно-популярного видео.</x:v>
      </x:c>
      <x:c r="N1050" s="10" t="str">
        <x:v>Выбрать одну рубрику; объяснить явление и задать вопрос.</x:v>
      </x:c>
      <x:c r="O1050" s="10" t="str">
        <x:v>Проверять актуальность научных утверждений</x:v>
      </x:c>
      <x:c r="P1050" s="10" t="str">
        <x:v>Самостоятельное видео</x:v>
      </x:c>
      <x:c r="Q1050" s="9" t="str">
        <x:v>Нет</x:v>
      </x:c>
      <x:c r="R1050" s="9" t="str">
        <x:v>C056</x:v>
      </x:c>
      <x:c r="S1050" s="9" t="str">
        <x:v>C056</x:v>
      </x:c>
      <x:c r="T1050" s="10" t="str">
        <x:v>כאן חינוכית</x:v>
      </x:c>
      <x:c r="U1050" s="11" t="str">
        <x:v>https://www.youtube.com/watch?v=_qw0fpg0g2M</x:v>
      </x:c>
      <x:c r="V1050" s="16" t="n">
        <x:v>46308</x:v>
      </x:c>
      <x:c r="W1050" s="16"/>
      <x:c r="X1050" s="10" t="str">
        <x:v>Иврит предполагается по заголовку и источнику</x:v>
      </x:c>
      <x:c r="Y1050" s="10" t="str">
        <x:v>Не проверено</x:v>
      </x:c>
      <x:c r="Z1050" s="10" t="str">
        <x:v>Не проверено</x:v>
      </x:c>
      <x:c r="AA1050" s="10" t="str">
        <x:v>Метаданные списка; видео не просмотрено</x:v>
      </x:c>
      <x:c r="AB1050" s="13" t="str">
        <x:f>IF(AND(ISNUMBER(H1050),ISNUMBER(W1050)),H1050/MAX(1,'Обзор'!$B$4-W1050),"")</x:f>
      </x:c>
      <x:c r="AC1050" s="17" t="str">
        <x:v>Не решено</x:v>
      </x:c>
      <x:c r="AD1050" s="17" t="str">
        <x:v>Не проверено</x:v>
      </x:c>
      <x:c r="AE1050" s="17" t="str">
        <x:v>Не проверено</x:v>
      </x:c>
      <x:c r="AF1050" s="17" t="str">
        <x:v>Не проверено</x:v>
      </x:c>
      <x:c r="AG1050" s="17" t="str">
        <x:v>Не решено</x:v>
      </x:c>
      <x:c r="AH1050" s="17" t="str">
        <x:v>Не проверено</x:v>
      </x:c>
      <x:c r="AI1050" s="10" t="str">
        <x:f>IF(AC1050="Отклонить","Отклонено",IF(AND(AC1050="Взять",COUNTIFS(AD1050:AH1050,"Да")=5),"Готово","Нужна редактура"))</x:f>
        <x:v>Нужна редактура</x:v>
      </x:c>
      <x:c r="AJ1050" s="17" t="str"/>
      <x:c r="AK1050" s="9" t="str">
        <x:v>https://www.youtube.com/playlist?list=PL51YAgTlfPj57_dWdUXGLkf2pmCnYzYoF</x:v>
      </x:c>
      <x:c r="AL1050" s="9" t="n">
        <x:v>32</x:v>
      </x:c>
      <x:c r="AM1050" s="9"/>
      <x:c r="AN1050" s="9"/>
    </x:row>
    <x:row r="1051" ht="60" customHeight="1">
      <x:c r="A1051" s="9" t="str">
        <x:v>55KHBh4TJY4</x:v>
      </x:c>
      <x:c r="B1051" s="10" t="str">
        <x:v>גלילאו עונה 9 | איזה כוחות על יש ללימון? 🍋</x:v>
      </x:c>
      <x:c r="C1051" s="10" t="str">
        <x:v>Наука и мир</x:v>
      </x:c>
      <x:c r="D1051" s="9" t="str">
        <x:v>Образование</x:v>
      </x:c>
      <x:c r="E1051" s="10" t="str">
        <x:v>Любознательные; семьи; образовательное медиа</x:v>
      </x:c>
      <x:c r="F1051" s="10" t="str">
        <x:v>B1–B2 (гипотеза)</x:v>
      </x:c>
      <x:c r="G1051" s="12" t="n">
        <x:v>27.2</x:v>
      </x:c>
      <x:c r="H1051" s="14" t="n">
        <x:v>20000</x:v>
      </x:c>
      <x:c r="I1051" s="15" t="str">
        <x:v>Округлённый счётчик в списке YouTube</x:v>
      </x:c>
      <x:c r="J1051" s="14" t="n">
        <x:v>20000</x:v>
      </x:c>
      <x:c r="K1051" s="14" t="n">
        <x:v>28000</x:v>
      </x:c>
      <x:c r="L1051" s="12" t="n">
        <x:f>IF(COUNT(J1051:K1051)=2,IF(K1051=0,"",J1051/K1051),"")</x:f>
        <x:v>0.7142857142857143</x:v>
      </x:c>
      <x:c r="M1051" s="10" t="str">
        <x:v>Тема: גלילאו עונה 9 | איזה כוחות על יש ללימון? 🍋. Ведущий и визуальные демонстрации помогают понимать новые слова. Формат подходит любителям научно-популярного видео.</x:v>
      </x:c>
      <x:c r="N1051" s="10" t="str">
        <x:v>Выбрать одну рубрику; объяснить явление и задать вопрос.</x:v>
      </x:c>
      <x:c r="O1051" s="10" t="str">
        <x:v>Проверять актуальность научных утверждений</x:v>
      </x:c>
      <x:c r="P1051" s="10" t="str">
        <x:v>Самостоятельное видео</x:v>
      </x:c>
      <x:c r="Q1051" s="9" t="str">
        <x:v>Нет</x:v>
      </x:c>
      <x:c r="R1051" s="9" t="str">
        <x:v>C056</x:v>
      </x:c>
      <x:c r="S1051" s="9" t="str">
        <x:v>C056</x:v>
      </x:c>
      <x:c r="T1051" s="10" t="str">
        <x:v>כאן חינוכית</x:v>
      </x:c>
      <x:c r="U1051" s="11" t="str">
        <x:v>https://www.youtube.com/watch?v=55KHBh4TJY4</x:v>
      </x:c>
      <x:c r="V1051" s="16" t="n">
        <x:v>46308</x:v>
      </x:c>
      <x:c r="W1051" s="16"/>
      <x:c r="X1051" s="10" t="str">
        <x:v>Иврит предполагается по заголовку и источнику</x:v>
      </x:c>
      <x:c r="Y1051" s="10" t="str">
        <x:v>Не проверено</x:v>
      </x:c>
      <x:c r="Z1051" s="10" t="str">
        <x:v>Не проверено</x:v>
      </x:c>
      <x:c r="AA1051" s="10" t="str">
        <x:v>Метаданные списка; видео не просмотрено</x:v>
      </x:c>
      <x:c r="AB1051" s="13" t="str">
        <x:f>IF(AND(ISNUMBER(H1051),ISNUMBER(W1051)),H1051/MAX(1,'Обзор'!$B$4-W1051),"")</x:f>
      </x:c>
      <x:c r="AC1051" s="17" t="str">
        <x:v>Не решено</x:v>
      </x:c>
      <x:c r="AD1051" s="17" t="str">
        <x:v>Не проверено</x:v>
      </x:c>
      <x:c r="AE1051" s="17" t="str">
        <x:v>Не проверено</x:v>
      </x:c>
      <x:c r="AF1051" s="17" t="str">
        <x:v>Не проверено</x:v>
      </x:c>
      <x:c r="AG1051" s="17" t="str">
        <x:v>Не решено</x:v>
      </x:c>
      <x:c r="AH1051" s="17" t="str">
        <x:v>Не проверено</x:v>
      </x:c>
      <x:c r="AI1051" s="10" t="str">
        <x:f>IF(AC1051="Отклонить","Отклонено",IF(AND(AC1051="Взять",COUNTIFS(AD1051:AH1051,"Да")=5),"Готово","Нужна редактура"))</x:f>
        <x:v>Нужна редактура</x:v>
      </x:c>
      <x:c r="AJ1051" s="17" t="str"/>
      <x:c r="AK1051" s="9" t="str">
        <x:v>https://www.youtube.com/playlist?list=PL51YAgTlfPj57_dWdUXGLkf2pmCnYzYoF</x:v>
      </x:c>
      <x:c r="AL1051" s="9" t="n">
        <x:v>33</x:v>
      </x:c>
      <x:c r="AM1051" s="9"/>
      <x:c r="AN1051" s="9"/>
    </x:row>
    <x:row r="1052" ht="60" customHeight="1">
      <x:c r="A1052" s="9" t="str">
        <x:v>ieG5iDJlC1A</x:v>
      </x:c>
      <x:c r="B1052" s="10" t="str">
        <x:v>גלילאו עונה 9 | יש הזדמנות שנייה לרושם ראשוני?</x:v>
      </x:c>
      <x:c r="C1052" s="10" t="str">
        <x:v>Наука и мир</x:v>
      </x:c>
      <x:c r="D1052" s="9" t="str">
        <x:v>Образование</x:v>
      </x:c>
      <x:c r="E1052" s="10" t="str">
        <x:v>Любознательные; семьи; образовательное медиа</x:v>
      </x:c>
      <x:c r="F1052" s="10" t="str">
        <x:v>B1–B2 (гипотеза)</x:v>
      </x:c>
      <x:c r="G1052" s="12" t="n">
        <x:v>25.6</x:v>
      </x:c>
      <x:c r="H1052" s="14" t="n">
        <x:v>10000</x:v>
      </x:c>
      <x:c r="I1052" s="15" t="str">
        <x:v>Округлённый счётчик в списке YouTube</x:v>
      </x:c>
      <x:c r="J1052" s="14" t="n">
        <x:v>10000</x:v>
      </x:c>
      <x:c r="K1052" s="14" t="n">
        <x:v>28000</x:v>
      </x:c>
      <x:c r="L1052" s="12" t="n">
        <x:f>IF(COUNT(J1052:K1052)=2,IF(K1052=0,"",J1052/K1052),"")</x:f>
        <x:v>0.35714285714285715</x:v>
      </x:c>
      <x:c r="M1052" s="10" t="str">
        <x:v>Тема: גלילאו עונה 9 | יש הזדמנות שנייה לרושם ראשוני?. Просмотры ниже медианы цикла; выбирать за нишевую ценность, а не за массовый охват. Ведущий и визуальные демонстрации помогают понимать новые слова. Формат подходит любителям научно-популярного видео.</x:v>
      </x:c>
      <x:c r="N1052" s="10" t="str">
        <x:v>Выбрать одну рубрику; объяснить явление и задать вопрос.</x:v>
      </x:c>
      <x:c r="O1052" s="10" t="str">
        <x:v>Проверять актуальность научных утверждений</x:v>
      </x:c>
      <x:c r="P1052" s="10" t="str">
        <x:v>Самостоятельное видео</x:v>
      </x:c>
      <x:c r="Q1052" s="9" t="str">
        <x:v>Нет</x:v>
      </x:c>
      <x:c r="R1052" s="9" t="str">
        <x:v>C056</x:v>
      </x:c>
      <x:c r="S1052" s="9" t="str">
        <x:v>C056</x:v>
      </x:c>
      <x:c r="T1052" s="10" t="str">
        <x:v>כאן חינוכית</x:v>
      </x:c>
      <x:c r="U1052" s="11" t="str">
        <x:v>https://www.youtube.com/watch?v=ieG5iDJlC1A</x:v>
      </x:c>
      <x:c r="V1052" s="16" t="n">
        <x:v>46308</x:v>
      </x:c>
      <x:c r="W1052" s="16"/>
      <x:c r="X1052" s="10" t="str">
        <x:v>Иврит предполагается по заголовку и источнику</x:v>
      </x:c>
      <x:c r="Y1052" s="10" t="str">
        <x:v>Не проверено</x:v>
      </x:c>
      <x:c r="Z1052" s="10" t="str">
        <x:v>Не проверено</x:v>
      </x:c>
      <x:c r="AA1052" s="10" t="str">
        <x:v>Метаданные списка; видео не просмотрено</x:v>
      </x:c>
      <x:c r="AB1052" s="13" t="str">
        <x:f>IF(AND(ISNUMBER(H1052),ISNUMBER(W1052)),H1052/MAX(1,'Обзор'!$B$4-W1052),"")</x:f>
      </x:c>
      <x:c r="AC1052" s="17" t="str">
        <x:v>Не решено</x:v>
      </x:c>
      <x:c r="AD1052" s="17" t="str">
        <x:v>Не проверено</x:v>
      </x:c>
      <x:c r="AE1052" s="17" t="str">
        <x:v>Не проверено</x:v>
      </x:c>
      <x:c r="AF1052" s="17" t="str">
        <x:v>Не проверено</x:v>
      </x:c>
      <x:c r="AG1052" s="17" t="str">
        <x:v>Не решено</x:v>
      </x:c>
      <x:c r="AH1052" s="17" t="str">
        <x:v>Не проверено</x:v>
      </x:c>
      <x:c r="AI1052" s="10" t="str">
        <x:f>IF(AC1052="Отклонить","Отклонено",IF(AND(AC1052="Взять",COUNTIFS(AD1052:AH1052,"Да")=5),"Готово","Нужна редактура"))</x:f>
        <x:v>Нужна редактура</x:v>
      </x:c>
      <x:c r="AJ1052" s="17" t="str"/>
      <x:c r="AK1052" s="9" t="str">
        <x:v>https://www.youtube.com/playlist?list=PL51YAgTlfPj57_dWdUXGLkf2pmCnYzYoF</x:v>
      </x:c>
      <x:c r="AL1052" s="9" t="n">
        <x:v>34</x:v>
      </x:c>
      <x:c r="AM1052" s="9"/>
      <x:c r="AN1052" s="9"/>
    </x:row>
    <x:row r="1053" ht="60" customHeight="1">
      <x:c r="A1053" s="9" t="str">
        <x:v>QXVtjsFF7y8</x:v>
      </x:c>
      <x:c r="B1053" s="10" t="str">
        <x:v>גלילאו עונה 9 | מלון הגיימרים 🎮</x:v>
      </x:c>
      <x:c r="C1053" s="10" t="str">
        <x:v>Наука и мир</x:v>
      </x:c>
      <x:c r="D1053" s="9" t="str">
        <x:v>Образование</x:v>
      </x:c>
      <x:c r="E1053" s="10" t="str">
        <x:v>Любознательные; семьи; образовательное медиа</x:v>
      </x:c>
      <x:c r="F1053" s="10" t="str">
        <x:v>B1–B2 (гипотеза)</x:v>
      </x:c>
      <x:c r="G1053" s="12" t="n">
        <x:v>26.1</x:v>
      </x:c>
      <x:c r="H1053" s="14" t="n">
        <x:v>57602</x:v>
      </x:c>
      <x:c r="I1053" s="15" t="str">
        <x:v>Точный счётчик метаданных видео</x:v>
      </x:c>
      <x:c r="J1053" s="14" t="n">
        <x:v>57000</x:v>
      </x:c>
      <x:c r="K1053" s="14" t="n">
        <x:v>28000</x:v>
      </x:c>
      <x:c r="L1053" s="12" t="n">
        <x:f>IF(COUNT(J1053:K1053)=2,IF(K1053=0,"",J1053/K1053),"")</x:f>
        <x:v>2.0357142857142856</x:v>
      </x:c>
      <x:c r="M1053" s="10" t="str">
        <x:v>Тема: גלילאו עונה 9 | מלון הגיימרים 🎮. Просмотры в списке выше медианы выборки этого цикла в 2.04 раза. Ведущий и визуальные демонстрации помогают понимать новые слова. Формат подходит любителям научно-популярного видео.</x:v>
      </x:c>
      <x:c r="N1053" s="10" t="str">
        <x:v>Выбрать одну рубрику; объяснить явление и задать вопрос.</x:v>
      </x:c>
      <x:c r="O1053" s="10" t="str">
        <x:v>Проверять актуальность научных утверждений</x:v>
      </x:c>
      <x:c r="P1053" s="10" t="str">
        <x:v>Самостоятельное видео</x:v>
      </x:c>
      <x:c r="Q1053" s="9" t="str">
        <x:v>Нет</x:v>
      </x:c>
      <x:c r="R1053" s="9" t="str">
        <x:v>C056</x:v>
      </x:c>
      <x:c r="S1053" s="9" t="str">
        <x:v>C056</x:v>
      </x:c>
      <x:c r="T1053" s="10" t="str">
        <x:v>כאן חינוכית</x:v>
      </x:c>
      <x:c r="U1053" s="11" t="str">
        <x:v>https://www.youtube.com/watch?v=QXVtjsFF7y8</x:v>
      </x:c>
      <x:c r="V1053" s="16" t="n">
        <x:v>46308</x:v>
      </x:c>
      <x:c r="W1053" s="16" t="n">
        <x:v>43849</x:v>
      </x:c>
      <x:c r="X1053" s="10" t="str">
        <x:v>Иврит предполагается по заголовку и источнику</x:v>
      </x:c>
      <x:c r="Y1053" s="10" t="str">
        <x:v>Дорожка HE не найдена в метаданных; вшитые титры не проверены</x:v>
      </x:c>
      <x:c r="Z1053" s="10" t="str">
        <x:v>Разрешено по метаданным</x:v>
      </x:c>
      <x:c r="AA1053" s="10" t="str">
        <x:v>Метаданные видео; воспроизведение и содержание не проверены</x:v>
      </x:c>
      <x:c r="AB1053" s="13" t="n">
        <x:f>IF(AND(ISNUMBER(H1053),ISNUMBER(W1053)),H1053/MAX(1,'Обзор'!$B$4-W1053),"")</x:f>
        <x:v>23.424969499796664</x:v>
      </x:c>
      <x:c r="AC1053" s="17" t="str">
        <x:v>Не решено</x:v>
      </x:c>
      <x:c r="AD1053" s="17" t="str">
        <x:v>Не проверено</x:v>
      </x:c>
      <x:c r="AE1053" s="17" t="str">
        <x:v>Не проверено</x:v>
      </x:c>
      <x:c r="AF1053" s="17" t="str">
        <x:v>Не проверено</x:v>
      </x:c>
      <x:c r="AG1053" s="17" t="str">
        <x:v>Не решено</x:v>
      </x:c>
      <x:c r="AH1053" s="17" t="str">
        <x:v>Не проверено</x:v>
      </x:c>
      <x:c r="AI1053" s="10" t="str">
        <x:f>IF(AC1053="Отклонить","Отклонено",IF(AND(AC1053="Взять",COUNTIFS(AD1053:AH1053,"Да")=5),"Готово","Нужна редактура"))</x:f>
        <x:v>Нужна редактура</x:v>
      </x:c>
      <x:c r="AJ1053" s="17" t="str"/>
      <x:c r="AK1053" s="9" t="str">
        <x:v>https://www.youtube.com/playlist?list=PL51YAgTlfPj57_dWdUXGLkf2pmCnYzYoF</x:v>
      </x:c>
      <x:c r="AL1053" s="9" t="n">
        <x:v>35</x:v>
      </x:c>
      <x:c r="AM1053" s="9"/>
      <x:c r="AN1053" s="9" t="n">
        <x:v>0</x:v>
      </x:c>
    </x:row>
    <x:row r="1054" ht="60" customHeight="1">
      <x:c r="A1054" s="9" t="str">
        <x:v>yk5J_9gps8o</x:v>
      </x:c>
      <x:c r="B1054" s="10" t="str">
        <x:v>סליחה על השאלה ילדים 3 | ילדים שנולדו מתרומת זרע</x:v>
      </x:c>
      <x:c r="C1054" s="10" t="str">
        <x:v>Детский взгляд на общество</x:v>
      </x:c>
      <x:c r="D1054" s="9" t="str">
        <x:v>Общество</x:v>
      </x:c>
      <x:c r="E1054" s="10" t="str">
        <x:v>Семьи; родители; общество</x:v>
      </x:c>
      <x:c r="F1054" s="10" t="str">
        <x:v>B1–B2 (гипотеза)</x:v>
      </x:c>
      <x:c r="G1054" s="12" t="n">
        <x:v>14.9</x:v>
      </x:c>
      <x:c r="H1054" s="14" t="n">
        <x:v>244143</x:v>
      </x:c>
      <x:c r="I1054" s="15" t="str">
        <x:v>Точный счётчик метаданных видео</x:v>
      </x:c>
      <x:c r="J1054" s="14" t="n">
        <x:v>244000</x:v>
      </x:c>
      <x:c r="K1054" s="14" t="n">
        <x:v>220500</x:v>
      </x:c>
      <x:c r="L1054" s="12" t="n">
        <x:f>IF(COUNT(J1054:K1054)=2,IF(K1054=0,"",J1054/K1054),"")</x:f>
        <x:v>1.1065759637188208</x:v>
      </x:c>
      <x:c r="M1054" s="10" t="str">
        <x:v>Тема: סליחה על השאלה ילדים 3 | ילדים שנולדו מתרומת זרע. Ответы детей дают отдельную перспективу на социальные темы и школьную жизнь.</x:v>
      </x:c>
      <x:c r="N1054" s="10" t="str">
        <x:v>Сравнить формулировки двух ответов и взрослого вопроса.</x:v>
      </x:c>
      <x:c r="O1054" s="10" t="str">
        <x:v>Согласие, чувствительные темы; проверить возрастной контекст</x:v>
      </x:c>
      <x:c r="P1054" s="10" t="str">
        <x:v>Самостоятельное видео</x:v>
      </x:c>
      <x:c r="Q1054" s="9" t="str">
        <x:v>Нет</x:v>
      </x:c>
      <x:c r="R1054" s="9" t="str">
        <x:v>C057</x:v>
      </x:c>
      <x:c r="S1054" s="9" t="str">
        <x:v>C057</x:v>
      </x:c>
      <x:c r="T1054" s="10" t="str">
        <x:v>כאן חינוכית</x:v>
      </x:c>
      <x:c r="U1054" s="11" t="str">
        <x:v>https://www.youtube.com/watch?v=yk5J_9gps8o</x:v>
      </x:c>
      <x:c r="V1054" s="16" t="n">
        <x:v>46308</x:v>
      </x:c>
      <x:c r="W1054" s="16" t="n">
        <x:v>44595</x:v>
      </x:c>
      <x:c r="X1054" s="10" t="str">
        <x:v>Иврит предполагается по заголовку и источнику</x:v>
      </x:c>
      <x:c r="Y1054" s="10" t="str">
        <x:v>Дорожка HE не найдена в метаданных; вшитые титры не проверены</x:v>
      </x:c>
      <x:c r="Z1054" s="10" t="str">
        <x:v>Разрешено по метаданным</x:v>
      </x:c>
      <x:c r="AA1054" s="10" t="str">
        <x:v>Метаданные видео; воспроизведение и содержание не проверены</x:v>
      </x:c>
      <x:c r="AB1054" s="13" t="n">
        <x:f>IF(AND(ISNUMBER(H1054),ISNUMBER(W1054)),H1054/MAX(1,'Обзор'!$B$4-W1054),"")</x:f>
        <x:v>142.52364273204904</x:v>
      </x:c>
      <x:c r="AC1054" s="17" t="str">
        <x:v>Не решено</x:v>
      </x:c>
      <x:c r="AD1054" s="17" t="str">
        <x:v>Не проверено</x:v>
      </x:c>
      <x:c r="AE1054" s="17" t="str">
        <x:v>Не проверено</x:v>
      </x:c>
      <x:c r="AF1054" s="17" t="str">
        <x:v>Не проверено</x:v>
      </x:c>
      <x:c r="AG1054" s="17" t="str">
        <x:v>Не решено</x:v>
      </x:c>
      <x:c r="AH1054" s="17" t="str">
        <x:v>Не проверено</x:v>
      </x:c>
      <x:c r="AI1054" s="10" t="str">
        <x:f>IF(AC1054="Отклонить","Отклонено",IF(AND(AC1054="Взять",COUNTIFS(AD1054:AH1054,"Да")=5),"Готово","Нужна редактура"))</x:f>
        <x:v>Нужна редактура</x:v>
      </x:c>
      <x:c r="AJ1054" s="17" t="str"/>
      <x:c r="AK1054" s="9" t="str">
        <x:v>https://www.youtube.com/playlist?list=PL51YAgTlfPj7ouousp9Mt9FArDoacsPTW</x:v>
      </x:c>
      <x:c r="AL1054" s="9" t="n">
        <x:v>1</x:v>
      </x:c>
      <x:c r="AM1054" s="9"/>
      <x:c r="AN1054" s="9" t="n">
        <x:v>0</x:v>
      </x:c>
    </x:row>
    <x:row r="1055" ht="60" customHeight="1">
      <x:c r="A1055" s="9" t="str">
        <x:v>SekGZ1M1T3k</x:v>
      </x:c>
      <x:c r="B1055" s="10" t="str">
        <x:v>סליחה על השאלה ילדים 3 | שונות במראה</x:v>
      </x:c>
      <x:c r="C1055" s="10" t="str">
        <x:v>Детский взгляд на общество</x:v>
      </x:c>
      <x:c r="D1055" s="9" t="str">
        <x:v>Общество</x:v>
      </x:c>
      <x:c r="E1055" s="10" t="str">
        <x:v>Семьи; родители; общество</x:v>
      </x:c>
      <x:c r="F1055" s="10" t="str">
        <x:v>B1–B2 (гипотеза)</x:v>
      </x:c>
      <x:c r="G1055" s="12" t="n">
        <x:v>16</x:v>
      </x:c>
      <x:c r="H1055" s="14" t="n">
        <x:v>328408</x:v>
      </x:c>
      <x:c r="I1055" s="15" t="str">
        <x:v>Точный счётчик метаданных видео</x:v>
      </x:c>
      <x:c r="J1055" s="14" t="n">
        <x:v>328000</x:v>
      </x:c>
      <x:c r="K1055" s="14" t="n">
        <x:v>220500</x:v>
      </x:c>
      <x:c r="L1055" s="12" t="n">
        <x:f>IF(COUNT(J1055:K1055)=2,IF(K1055=0,"",J1055/K1055),"")</x:f>
        <x:v>1.4875283446712018</x:v>
      </x:c>
      <x:c r="M1055" s="10" t="str">
        <x:v>Тема: סליחה על השאלה ילדים 3 | שונות במראה. Ответы детей дают отдельную перспективу на социальные темы и школьную жизнь.</x:v>
      </x:c>
      <x:c r="N1055" s="10" t="str">
        <x:v>Сравнить формулировки двух ответов и взрослого вопроса.</x:v>
      </x:c>
      <x:c r="O1055" s="10" t="str">
        <x:v>Согласие, чувствительные темы; проверить возрастной контекст</x:v>
      </x:c>
      <x:c r="P1055" s="10" t="str">
        <x:v>Самостоятельное видео</x:v>
      </x:c>
      <x:c r="Q1055" s="9" t="str">
        <x:v>Нет</x:v>
      </x:c>
      <x:c r="R1055" s="9" t="str">
        <x:v>C057</x:v>
      </x:c>
      <x:c r="S1055" s="9" t="str">
        <x:v>C057</x:v>
      </x:c>
      <x:c r="T1055" s="10" t="str">
        <x:v>כאן חינוכית</x:v>
      </x:c>
      <x:c r="U1055" s="11" t="str">
        <x:v>https://www.youtube.com/watch?v=SekGZ1M1T3k</x:v>
      </x:c>
      <x:c r="V1055" s="16" t="n">
        <x:v>46308</x:v>
      </x:c>
      <x:c r="W1055" s="16" t="n">
        <x:v>44602</x:v>
      </x:c>
      <x:c r="X1055" s="10" t="str">
        <x:v>Иврит предполагается по заголовку и источнику</x:v>
      </x:c>
      <x:c r="Y1055" s="10" t="str">
        <x:v>Дорожка HE не найдена в метаданных; вшитые титры не проверены</x:v>
      </x:c>
      <x:c r="Z1055" s="10" t="str">
        <x:v>Разрешено по метаданным</x:v>
      </x:c>
      <x:c r="AA1055" s="10" t="str">
        <x:v>Метаданные видео; воспроизведение и содержание не проверены</x:v>
      </x:c>
      <x:c r="AB1055" s="13" t="n">
        <x:f>IF(AND(ISNUMBER(H1055),ISNUMBER(W1055)),H1055/MAX(1,'Обзор'!$B$4-W1055),"")</x:f>
        <x:v>192.50175849941382</x:v>
      </x:c>
      <x:c r="AC1055" s="17" t="str">
        <x:v>Не решено</x:v>
      </x:c>
      <x:c r="AD1055" s="17" t="str">
        <x:v>Не проверено</x:v>
      </x:c>
      <x:c r="AE1055" s="17" t="str">
        <x:v>Не проверено</x:v>
      </x:c>
      <x:c r="AF1055" s="17" t="str">
        <x:v>Не проверено</x:v>
      </x:c>
      <x:c r="AG1055" s="17" t="str">
        <x:v>Не решено</x:v>
      </x:c>
      <x:c r="AH1055" s="17" t="str">
        <x:v>Не проверено</x:v>
      </x:c>
      <x:c r="AI1055" s="10" t="str">
        <x:f>IF(AC1055="Отклонить","Отклонено",IF(AND(AC1055="Взять",COUNTIFS(AD1055:AH1055,"Да")=5),"Готово","Нужна редактура"))</x:f>
        <x:v>Нужна редактура</x:v>
      </x:c>
      <x:c r="AJ1055" s="17" t="str"/>
      <x:c r="AK1055" s="9" t="str">
        <x:v>https://www.youtube.com/playlist?list=PL51YAgTlfPj7ouousp9Mt9FArDoacsPTW</x:v>
      </x:c>
      <x:c r="AL1055" s="9" t="n">
        <x:v>2</x:v>
      </x:c>
      <x:c r="AM1055" s="9"/>
      <x:c r="AN1055" s="9" t="n">
        <x:v>0</x:v>
      </x:c>
    </x:row>
    <x:row r="1056" ht="60" customHeight="1">
      <x:c r="A1056" s="9" t="str">
        <x:v>1D6PO4XJkcY</x:v>
      </x:c>
      <x:c r="B1056" s="10" t="str">
        <x:v>סליחה על השאלה ילדים 3 | מחלימים מסרטן</x:v>
      </x:c>
      <x:c r="C1056" s="10" t="str">
        <x:v>Детский взгляд на общество</x:v>
      </x:c>
      <x:c r="D1056" s="9" t="str">
        <x:v>Общество</x:v>
      </x:c>
      <x:c r="E1056" s="10" t="str">
        <x:v>Семьи; родители; общество</x:v>
      </x:c>
      <x:c r="F1056" s="10" t="str">
        <x:v>B1–B2 (гипотеза)</x:v>
      </x:c>
      <x:c r="G1056" s="12" t="n">
        <x:v>24.8</x:v>
      </x:c>
      <x:c r="H1056" s="14" t="n">
        <x:v>180711</x:v>
      </x:c>
      <x:c r="I1056" s="15" t="str">
        <x:v>Точный счётчик метаданных видео</x:v>
      </x:c>
      <x:c r="J1056" s="14" t="n">
        <x:v>180000</x:v>
      </x:c>
      <x:c r="K1056" s="14" t="n">
        <x:v>220500</x:v>
      </x:c>
      <x:c r="L1056" s="12" t="n">
        <x:f>IF(COUNT(J1056:K1056)=2,IF(K1056=0,"",J1056/K1056),"")</x:f>
        <x:v>0.8163265306122449</x:v>
      </x:c>
      <x:c r="M1056" s="10" t="str">
        <x:v>Тема: סליחה על השאלה ילדים 3 | מחלימים מסרטן. Ответы детей дают отдельную перспективу на социальные темы и школьную жизнь.</x:v>
      </x:c>
      <x:c r="N1056" s="10" t="str">
        <x:v>Сравнить формулировки двух ответов и взрослого вопроса.</x:v>
      </x:c>
      <x:c r="O1056" s="10" t="str">
        <x:v>Согласие, чувствительные темы; проверить возрастной контекст</x:v>
      </x:c>
      <x:c r="P1056" s="10" t="str">
        <x:v>Самостоятельное видео</x:v>
      </x:c>
      <x:c r="Q1056" s="9" t="str">
        <x:v>Нет</x:v>
      </x:c>
      <x:c r="R1056" s="9" t="str">
        <x:v>C057</x:v>
      </x:c>
      <x:c r="S1056" s="9" t="str">
        <x:v>C057</x:v>
      </x:c>
      <x:c r="T1056" s="10" t="str">
        <x:v>כאן חינוכית</x:v>
      </x:c>
      <x:c r="U1056" s="11" t="str">
        <x:v>https://www.youtube.com/watch?v=1D6PO4XJkcY</x:v>
      </x:c>
      <x:c r="V1056" s="16" t="n">
        <x:v>46308</x:v>
      </x:c>
      <x:c r="W1056" s="16" t="n">
        <x:v>44609</x:v>
      </x:c>
      <x:c r="X1056" s="10" t="str">
        <x:v>Иврит предполагается по заголовку и источнику</x:v>
      </x:c>
      <x:c r="Y1056" s="10" t="str">
        <x:v>Автоматическая дорожка HE по метаданным</x:v>
      </x:c>
      <x:c r="Z1056" s="10" t="str">
        <x:v>Разрешено по метаданным</x:v>
      </x:c>
      <x:c r="AA1056" s="10" t="str">
        <x:v>Метаданные видео; воспроизведение и содержание не проверены</x:v>
      </x:c>
      <x:c r="AB1056" s="13" t="n">
        <x:f>IF(AND(ISNUMBER(H1056),ISNUMBER(W1056)),H1056/MAX(1,'Обзор'!$B$4-W1056),"")</x:f>
        <x:v>106.36315479693937</x:v>
      </x:c>
      <x:c r="AC1056" s="17" t="str">
        <x:v>Не решено</x:v>
      </x:c>
      <x:c r="AD1056" s="17" t="str">
        <x:v>Не проверено</x:v>
      </x:c>
      <x:c r="AE1056" s="17" t="str">
        <x:v>Не проверено</x:v>
      </x:c>
      <x:c r="AF1056" s="17" t="str">
        <x:v>Не проверено</x:v>
      </x:c>
      <x:c r="AG1056" s="17" t="str">
        <x:v>Не решено</x:v>
      </x:c>
      <x:c r="AH1056" s="17" t="str">
        <x:v>Не проверено</x:v>
      </x:c>
      <x:c r="AI1056" s="10" t="str">
        <x:f>IF(AC1056="Отклонить","Отклонено",IF(AND(AC1056="Взять",COUNTIFS(AD1056:AH1056,"Да")=5),"Готово","Нужна редактура"))</x:f>
        <x:v>Нужна редактура</x:v>
      </x:c>
      <x:c r="AJ1056" s="17" t="str"/>
      <x:c r="AK1056" s="9" t="str">
        <x:v>https://www.youtube.com/playlist?list=PL51YAgTlfPj7ouousp9Mt9FArDoacsPTW</x:v>
      </x:c>
      <x:c r="AL1056" s="9" t="n">
        <x:v>3</x:v>
      </x:c>
      <x:c r="AM1056" s="9"/>
      <x:c r="AN1056" s="9" t="n">
        <x:v>0</x:v>
      </x:c>
    </x:row>
    <x:row r="1057" ht="60" customHeight="1">
      <x:c r="A1057" s="9" t="str">
        <x:v>aNVOerRaYHw</x:v>
      </x:c>
      <x:c r="B1057" s="10" t="str">
        <x:v>סליחה על השאלה ילדים 3 | נערים עובדים</x:v>
      </x:c>
      <x:c r="C1057" s="10" t="str">
        <x:v>Детский взгляд на общество</x:v>
      </x:c>
      <x:c r="D1057" s="9" t="str">
        <x:v>Общество</x:v>
      </x:c>
      <x:c r="E1057" s="10" t="str">
        <x:v>Семьи; родители; общество</x:v>
      </x:c>
      <x:c r="F1057" s="10" t="str">
        <x:v>B1–B2 (гипотеза)</x:v>
      </x:c>
      <x:c r="G1057" s="12" t="n">
        <x:v>16</x:v>
      </x:c>
      <x:c r="H1057" s="14" t="n">
        <x:v>198943</x:v>
      </x:c>
      <x:c r="I1057" s="15" t="str">
        <x:v>Точный счётчик метаданных видео</x:v>
      </x:c>
      <x:c r="J1057" s="14" t="n">
        <x:v>198000</x:v>
      </x:c>
      <x:c r="K1057" s="14" t="n">
        <x:v>220500</x:v>
      </x:c>
      <x:c r="L1057" s="12" t="n">
        <x:f>IF(COUNT(J1057:K1057)=2,IF(K1057=0,"",J1057/K1057),"")</x:f>
        <x:v>0.8979591836734694</x:v>
      </x:c>
      <x:c r="M1057" s="10" t="str">
        <x:v>Тема: סליחה על השאלה ילדים 3 | נערים עובדים. Ответы детей дают отдельную перспективу на социальные темы и школьную жизнь.</x:v>
      </x:c>
      <x:c r="N1057" s="10" t="str">
        <x:v>Сравнить формулировки двух ответов и взрослого вопроса.</x:v>
      </x:c>
      <x:c r="O1057" s="10" t="str">
        <x:v>Согласие, чувствительные темы; проверить возрастной контекст</x:v>
      </x:c>
      <x:c r="P1057" s="10" t="str">
        <x:v>Самостоятельное видео</x:v>
      </x:c>
      <x:c r="Q1057" s="9" t="str">
        <x:v>Нет</x:v>
      </x:c>
      <x:c r="R1057" s="9" t="str">
        <x:v>C057</x:v>
      </x:c>
      <x:c r="S1057" s="9" t="str">
        <x:v>C057</x:v>
      </x:c>
      <x:c r="T1057" s="10" t="str">
        <x:v>כאן חינוכית</x:v>
      </x:c>
      <x:c r="U1057" s="11" t="str">
        <x:v>https://www.youtube.com/watch?v=aNVOerRaYHw</x:v>
      </x:c>
      <x:c r="V1057" s="16" t="n">
        <x:v>46308</x:v>
      </x:c>
      <x:c r="W1057" s="16" t="n">
        <x:v>44616</x:v>
      </x:c>
      <x:c r="X1057" s="10" t="str">
        <x:v>Иврит предполагается по заголовку и источнику</x:v>
      </x:c>
      <x:c r="Y1057" s="10" t="str">
        <x:v>Дорожка HE не найдена в метаданных; вшитые титры не проверены</x:v>
      </x:c>
      <x:c r="Z1057" s="10" t="str">
        <x:v>Разрешено по метаданным</x:v>
      </x:c>
      <x:c r="AA1057" s="10" t="str">
        <x:v>Метаданные видео; воспроизведение и содержание не проверены</x:v>
      </x:c>
      <x:c r="AB1057" s="13" t="n">
        <x:f>IF(AND(ISNUMBER(H1057),ISNUMBER(W1057)),H1057/MAX(1,'Обзор'!$B$4-W1057),"")</x:f>
        <x:v>117.57860520094563</x:v>
      </x:c>
      <x:c r="AC1057" s="17" t="str">
        <x:v>Не решено</x:v>
      </x:c>
      <x:c r="AD1057" s="17" t="str">
        <x:v>Не проверено</x:v>
      </x:c>
      <x:c r="AE1057" s="17" t="str">
        <x:v>Не проверено</x:v>
      </x:c>
      <x:c r="AF1057" s="17" t="str">
        <x:v>Не проверено</x:v>
      </x:c>
      <x:c r="AG1057" s="17" t="str">
        <x:v>Не решено</x:v>
      </x:c>
      <x:c r="AH1057" s="17" t="str">
        <x:v>Не проверено</x:v>
      </x:c>
      <x:c r="AI1057" s="10" t="str">
        <x:f>IF(AC1057="Отклонить","Отклонено",IF(AND(AC1057="Взять",COUNTIFS(AD1057:AH1057,"Да")=5),"Готово","Нужна редактура"))</x:f>
        <x:v>Нужна редактура</x:v>
      </x:c>
      <x:c r="AJ1057" s="17" t="str"/>
      <x:c r="AK1057" s="9" t="str">
        <x:v>https://www.youtube.com/playlist?list=PL51YAgTlfPj7ouousp9Mt9FArDoacsPTW</x:v>
      </x:c>
      <x:c r="AL1057" s="9" t="n">
        <x:v>4</x:v>
      </x:c>
      <x:c r="AM1057" s="9"/>
      <x:c r="AN1057" s="9" t="n">
        <x:v>0</x:v>
      </x:c>
    </x:row>
    <x:row r="1058" ht="60" customHeight="1">
      <x:c r="A1058" s="9" t="str">
        <x:v>Vq9SE1M5Lf8</x:v>
      </x:c>
      <x:c r="B1058" s="10" t="str">
        <x:v>סליחה על השאלה ילדים 3 | ילדים להורים עם מגבלה</x:v>
      </x:c>
      <x:c r="C1058" s="10" t="str">
        <x:v>Детский взгляд на общество</x:v>
      </x:c>
      <x:c r="D1058" s="9" t="str">
        <x:v>Общество</x:v>
      </x:c>
      <x:c r="E1058" s="10" t="str">
        <x:v>Семьи; родители; общество</x:v>
      </x:c>
      <x:c r="F1058" s="10" t="str">
        <x:v>B1–B2 (гипотеза)</x:v>
      </x:c>
      <x:c r="G1058" s="12" t="n">
        <x:v>16.2</x:v>
      </x:c>
      <x:c r="H1058" s="14" t="n">
        <x:v>125092</x:v>
      </x:c>
      <x:c r="I1058" s="15" t="str">
        <x:v>Точный счётчик метаданных видео</x:v>
      </x:c>
      <x:c r="J1058" s="14" t="n">
        <x:v>125000</x:v>
      </x:c>
      <x:c r="K1058" s="14" t="n">
        <x:v>220500</x:v>
      </x:c>
      <x:c r="L1058" s="12" t="n">
        <x:f>IF(COUNT(J1058:K1058)=2,IF(K1058=0,"",J1058/K1058),"")</x:f>
        <x:v>0.5668934240362812</x:v>
      </x:c>
      <x:c r="M1058" s="10" t="str">
        <x:v>Тема: סליחה על השאלה ילדים 3 | ילדים להורים עם מגבלה. Ответы детей дают отдельную перспективу на социальные темы и школьную жизнь.</x:v>
      </x:c>
      <x:c r="N1058" s="10" t="str">
        <x:v>Сравнить формулировки двух ответов и взрослого вопроса.</x:v>
      </x:c>
      <x:c r="O1058" s="10" t="str">
        <x:v>Согласие, чувствительные темы; проверить возрастной контекст</x:v>
      </x:c>
      <x:c r="P1058" s="10" t="str">
        <x:v>Самостоятельное видео</x:v>
      </x:c>
      <x:c r="Q1058" s="9" t="str">
        <x:v>Нет</x:v>
      </x:c>
      <x:c r="R1058" s="9" t="str">
        <x:v>C057</x:v>
      </x:c>
      <x:c r="S1058" s="9" t="str">
        <x:v>C057</x:v>
      </x:c>
      <x:c r="T1058" s="10" t="str">
        <x:v>כאן חינוכית</x:v>
      </x:c>
      <x:c r="U1058" s="11" t="str">
        <x:v>https://www.youtube.com/watch?v=Vq9SE1M5Lf8</x:v>
      </x:c>
      <x:c r="V1058" s="16" t="n">
        <x:v>46308</x:v>
      </x:c>
      <x:c r="W1058" s="16" t="n">
        <x:v>44623</x:v>
      </x:c>
      <x:c r="X1058" s="10" t="str">
        <x:v>Иврит предполагается по заголовку и источнику</x:v>
      </x:c>
      <x:c r="Y1058" s="10" t="str">
        <x:v>Дорожка HE не найдена в метаданных; вшитые титры не проверены</x:v>
      </x:c>
      <x:c r="Z1058" s="10" t="str">
        <x:v>Разрешено по метаданным</x:v>
      </x:c>
      <x:c r="AA1058" s="10" t="str">
        <x:v>Метаданные видео; воспроизведение и содержание не проверены</x:v>
      </x:c>
      <x:c r="AB1058" s="13" t="n">
        <x:f>IF(AND(ISNUMBER(H1058),ISNUMBER(W1058)),H1058/MAX(1,'Обзор'!$B$4-W1058),"")</x:f>
        <x:v>74.23857566765578</x:v>
      </x:c>
      <x:c r="AC1058" s="17" t="str">
        <x:v>Не решено</x:v>
      </x:c>
      <x:c r="AD1058" s="17" t="str">
        <x:v>Не проверено</x:v>
      </x:c>
      <x:c r="AE1058" s="17" t="str">
        <x:v>Не проверено</x:v>
      </x:c>
      <x:c r="AF1058" s="17" t="str">
        <x:v>Не проверено</x:v>
      </x:c>
      <x:c r="AG1058" s="17" t="str">
        <x:v>Не решено</x:v>
      </x:c>
      <x:c r="AH1058" s="17" t="str">
        <x:v>Не проверено</x:v>
      </x:c>
      <x:c r="AI1058" s="10" t="str">
        <x:f>IF(AC1058="Отклонить","Отклонено",IF(AND(AC1058="Взять",COUNTIFS(AD1058:AH1058,"Да")=5),"Готово","Нужна редактура"))</x:f>
        <x:v>Нужна редактура</x:v>
      </x:c>
      <x:c r="AJ1058" s="17" t="str"/>
      <x:c r="AK1058" s="9" t="str">
        <x:v>https://www.youtube.com/playlist?list=PL51YAgTlfPj7ouousp9Mt9FArDoacsPTW</x:v>
      </x:c>
      <x:c r="AL1058" s="9" t="n">
        <x:v>5</x:v>
      </x:c>
      <x:c r="AM1058" s="9"/>
      <x:c r="AN1058" s="9" t="n">
        <x:v>0</x:v>
      </x:c>
    </x:row>
    <x:row r="1059" ht="60" customHeight="1">
      <x:c r="A1059" s="9" t="str">
        <x:v>qLOv9-CpmZ4</x:v>
      </x:c>
      <x:c r="B1059" s="10" t="str">
        <x:v>סליחה על השאלה ילדים 3 | ילדים נמוכים</x:v>
      </x:c>
      <x:c r="C1059" s="10" t="str">
        <x:v>Детский взгляд на общество</x:v>
      </x:c>
      <x:c r="D1059" s="9" t="str">
        <x:v>Общество</x:v>
      </x:c>
      <x:c r="E1059" s="10" t="str">
        <x:v>Семьи; родители; общество</x:v>
      </x:c>
      <x:c r="F1059" s="10" t="str">
        <x:v>B1–B2 (гипотеза)</x:v>
      </x:c>
      <x:c r="G1059" s="12" t="n">
        <x:v>16</x:v>
      </x:c>
      <x:c r="H1059" s="14" t="n">
        <x:v>243669</x:v>
      </x:c>
      <x:c r="I1059" s="15" t="str">
        <x:v>Точный счётчик метаданных видео</x:v>
      </x:c>
      <x:c r="J1059" s="14" t="n">
        <x:v>243000</x:v>
      </x:c>
      <x:c r="K1059" s="14" t="n">
        <x:v>220500</x:v>
      </x:c>
      <x:c r="L1059" s="12" t="n">
        <x:f>IF(COUNT(J1059:K1059)=2,IF(K1059=0,"",J1059/K1059),"")</x:f>
        <x:v>1.1020408163265305</x:v>
      </x:c>
      <x:c r="M1059" s="10" t="str">
        <x:v>Тема: סליחה על השאלה ילדים 3 | ילדים נמוכים. Ответы детей дают отдельную перспективу на социальные темы и школьную жизнь.</x:v>
      </x:c>
      <x:c r="N1059" s="10" t="str">
        <x:v>Сравнить формулировки двух ответов и взрослого вопроса.</x:v>
      </x:c>
      <x:c r="O1059" s="10" t="str">
        <x:v>Согласие, чувствительные темы; проверить возрастной контекст</x:v>
      </x:c>
      <x:c r="P1059" s="10" t="str">
        <x:v>Самостоятельное видео</x:v>
      </x:c>
      <x:c r="Q1059" s="9" t="str">
        <x:v>Нет</x:v>
      </x:c>
      <x:c r="R1059" s="9" t="str">
        <x:v>C057</x:v>
      </x:c>
      <x:c r="S1059" s="9" t="str">
        <x:v>C057</x:v>
      </x:c>
      <x:c r="T1059" s="10" t="str">
        <x:v>כאן חינוכית</x:v>
      </x:c>
      <x:c r="U1059" s="11" t="str">
        <x:v>https://www.youtube.com/watch?v=qLOv9-CpmZ4</x:v>
      </x:c>
      <x:c r="V1059" s="16" t="n">
        <x:v>46308</x:v>
      </x:c>
      <x:c r="W1059" s="16" t="n">
        <x:v>44630</x:v>
      </x:c>
      <x:c r="X1059" s="10" t="str">
        <x:v>Иврит предполагается по заголовку и источнику</x:v>
      </x:c>
      <x:c r="Y1059" s="10" t="str">
        <x:v>Дорожка HE не найдена в метаданных; вшитые титры не проверены</x:v>
      </x:c>
      <x:c r="Z1059" s="10" t="str">
        <x:v>Разрешено по метаданным</x:v>
      </x:c>
      <x:c r="AA1059" s="10" t="str">
        <x:v>Метаданные видео; воспроизведение и содержание не проверены</x:v>
      </x:c>
      <x:c r="AB1059" s="13" t="n">
        <x:f>IF(AND(ISNUMBER(H1059),ISNUMBER(W1059)),H1059/MAX(1,'Обзор'!$B$4-W1059),"")</x:f>
        <x:v>145.2139451728248</x:v>
      </x:c>
      <x:c r="AC1059" s="17" t="str">
        <x:v>Не решено</x:v>
      </x:c>
      <x:c r="AD1059" s="17" t="str">
        <x:v>Не проверено</x:v>
      </x:c>
      <x:c r="AE1059" s="17" t="str">
        <x:v>Не проверено</x:v>
      </x:c>
      <x:c r="AF1059" s="17" t="str">
        <x:v>Не проверено</x:v>
      </x:c>
      <x:c r="AG1059" s="17" t="str">
        <x:v>Не решено</x:v>
      </x:c>
      <x:c r="AH1059" s="17" t="str">
        <x:v>Не проверено</x:v>
      </x:c>
      <x:c r="AI1059" s="10" t="str">
        <x:f>IF(AC1059="Отклонить","Отклонено",IF(AND(AC1059="Взять",COUNTIFS(AD1059:AH1059,"Да")=5),"Готово","Нужна редактура"))</x:f>
        <x:v>Нужна редактура</x:v>
      </x:c>
      <x:c r="AJ1059" s="17" t="str"/>
      <x:c r="AK1059" s="9" t="str">
        <x:v>https://www.youtube.com/playlist?list=PL51YAgTlfPj7ouousp9Mt9FArDoacsPTW</x:v>
      </x:c>
      <x:c r="AL1059" s="9" t="n">
        <x:v>6</x:v>
      </x:c>
      <x:c r="AM1059" s="9"/>
      <x:c r="AN1059" s="9" t="n">
        <x:v>0</x:v>
      </x:c>
    </x:row>
    <x:row r="1060" ht="60" customHeight="1">
      <x:c r="A1060" s="9" t="str">
        <x:v>scbX6eT1eGA</x:v>
      </x:c>
      <x:c r="B1060" s="10" t="str">
        <x:v>סליחה על השאלה ילדים 3 | ילדים של מפורסמים</x:v>
      </x:c>
      <x:c r="C1060" s="10" t="str">
        <x:v>Детский взгляд на общество</x:v>
      </x:c>
      <x:c r="D1060" s="9" t="str">
        <x:v>Общество</x:v>
      </x:c>
      <x:c r="E1060" s="10" t="str">
        <x:v>Семьи; родители; общество</x:v>
      </x:c>
      <x:c r="F1060" s="10" t="str">
        <x:v>B1–B2 (гипотеза)</x:v>
      </x:c>
      <x:c r="G1060" s="12" t="n">
        <x:v>17</x:v>
      </x:c>
      <x:c r="H1060" s="14" t="n">
        <x:v>753311</x:v>
      </x:c>
      <x:c r="I1060" s="15" t="str">
        <x:v>Точный счётчик метаданных видео</x:v>
      </x:c>
      <x:c r="J1060" s="14" t="n">
        <x:v>753000</x:v>
      </x:c>
      <x:c r="K1060" s="14" t="n">
        <x:v>220500</x:v>
      </x:c>
      <x:c r="L1060" s="12" t="n">
        <x:f>IF(COUNT(J1060:K1060)=2,IF(K1060=0,"",J1060/K1060),"")</x:f>
        <x:v>3.4149659863945576</x:v>
      </x:c>
      <x:c r="M1060" s="10" t="str">
        <x:v>Тема: סליחה על השאלה ילדים 3 | ילדים של מפורסמים. Просмотры в списке выше медианы выборки этого цикла в 3.41 раза. Ответы детей дают отдельную перспективу на социальные темы и школьную жизнь.</x:v>
      </x:c>
      <x:c r="N1060" s="10" t="str">
        <x:v>Сравнить формулировки двух ответов и взрослого вопроса.</x:v>
      </x:c>
      <x:c r="O1060" s="10" t="str">
        <x:v>Согласие, чувствительные темы; проверить возрастной контекст</x:v>
      </x:c>
      <x:c r="P1060" s="10" t="str">
        <x:v>Самостоятельное видео</x:v>
      </x:c>
      <x:c r="Q1060" s="9" t="str">
        <x:v>Нет</x:v>
      </x:c>
      <x:c r="R1060" s="9" t="str">
        <x:v>C057</x:v>
      </x:c>
      <x:c r="S1060" s="9" t="str">
        <x:v>C057</x:v>
      </x:c>
      <x:c r="T1060" s="10" t="str">
        <x:v>כאן חינוכית</x:v>
      </x:c>
      <x:c r="U1060" s="11" t="str">
        <x:v>https://www.youtube.com/watch?v=scbX6eT1eGA</x:v>
      </x:c>
      <x:c r="V1060" s="16" t="n">
        <x:v>46308</x:v>
      </x:c>
      <x:c r="W1060" s="16" t="n">
        <x:v>44637</x:v>
      </x:c>
      <x:c r="X1060" s="10" t="str">
        <x:v>Иврит предполагается по заголовку и источнику</x:v>
      </x:c>
      <x:c r="Y1060" s="10" t="str">
        <x:v>Автоматическая дорожка HE по метаданным</x:v>
      </x:c>
      <x:c r="Z1060" s="10" t="str">
        <x:v>Разрешено по метаданным</x:v>
      </x:c>
      <x:c r="AA1060" s="10" t="str">
        <x:v>Метаданные видео; воспроизведение и содержание не проверены</x:v>
      </x:c>
      <x:c r="AB1060" s="13" t="n">
        <x:f>IF(AND(ISNUMBER(H1060),ISNUMBER(W1060)),H1060/MAX(1,'Обзор'!$B$4-W1060),"")</x:f>
        <x:v>450.8144823459007</x:v>
      </x:c>
      <x:c r="AC1060" s="17" t="str">
        <x:v>Не решено</x:v>
      </x:c>
      <x:c r="AD1060" s="17" t="str">
        <x:v>Не проверено</x:v>
      </x:c>
      <x:c r="AE1060" s="17" t="str">
        <x:v>Не проверено</x:v>
      </x:c>
      <x:c r="AF1060" s="17" t="str">
        <x:v>Не проверено</x:v>
      </x:c>
      <x:c r="AG1060" s="17" t="str">
        <x:v>Не решено</x:v>
      </x:c>
      <x:c r="AH1060" s="17" t="str">
        <x:v>Не проверено</x:v>
      </x:c>
      <x:c r="AI1060" s="10" t="str">
        <x:f>IF(AC1060="Отклонить","Отклонено",IF(AND(AC1060="Взять",COUNTIFS(AD1060:AH1060,"Да")=5),"Готово","Нужна редактура"))</x:f>
        <x:v>Нужна редактура</x:v>
      </x:c>
      <x:c r="AJ1060" s="17" t="str"/>
      <x:c r="AK1060" s="9" t="str">
        <x:v>https://www.youtube.com/playlist?list=PL51YAgTlfPj7ouousp9Mt9FArDoacsPTW</x:v>
      </x:c>
      <x:c r="AL1060" s="9" t="n">
        <x:v>7</x:v>
      </x:c>
      <x:c r="AM1060" s="9"/>
      <x:c r="AN1060" s="9" t="n">
        <x:v>0</x:v>
      </x:c>
    </x:row>
    <x:row r="1061" ht="60" customHeight="1">
      <x:c r="A1061" s="9" t="str">
        <x:v>rkSytWukOY8</x:v>
      </x:c>
      <x:c r="B1061" s="10" t="str">
        <x:v>סליחה על השאלה ילדים 3 | אפשר לשאול אתכם שאלה❓❗️ ב3.2 זה חוזר</x:v>
      </x:c>
      <x:c r="C1061" s="10" t="str">
        <x:v>Детский взгляд на общество</x:v>
      </x:c>
      <x:c r="D1061" s="9" t="str">
        <x:v>Общество</x:v>
      </x:c>
      <x:c r="E1061" s="10" t="str">
        <x:v>Семьи; родители; общество</x:v>
      </x:c>
      <x:c r="F1061" s="10" t="str">
        <x:v>B1–B2 (гипотеза)</x:v>
      </x:c>
      <x:c r="G1061" s="12" t="n">
        <x:v>0.9</x:v>
      </x:c>
      <x:c r="H1061" s="14" t="n">
        <x:v>64000</x:v>
      </x:c>
      <x:c r="I1061" s="15" t="str">
        <x:v>Округлённый счётчик в списке YouTube</x:v>
      </x:c>
      <x:c r="J1061" s="14" t="n">
        <x:v>64000</x:v>
      </x:c>
      <x:c r="K1061" s="14" t="n">
        <x:v>220500</x:v>
      </x:c>
      <x:c r="L1061" s="12" t="n">
        <x:f>IF(COUNT(J1061:K1061)=2,IF(K1061=0,"",J1061/K1061),"")</x:f>
        <x:v>0.29024943310657597</x:v>
      </x:c>
      <x:c r="M1061" s="10" t="str">
        <x:v>Завершённый короткий просмотр около 1 мин. Просмотры ниже медианы цикла; выбирать за нишевую ценность, а не за массовый охват. Ответы детей дают отдельную перспективу на социальные темы и школьную жизнь.</x:v>
      </x:c>
      <x:c r="N1061" s="10" t="str">
        <x:v>Сравнить формулировки двух ответов и взрослого вопроса.</x:v>
      </x:c>
      <x:c r="O1061" s="10" t="str">
        <x:v>Согласие, чувствительные темы; проверить возрастной контекст</x:v>
      </x:c>
      <x:c r="P1061" s="10" t="str">
        <x:v>Самостоятельное видео</x:v>
      </x:c>
      <x:c r="Q1061" s="9" t="str">
        <x:v>Нет</x:v>
      </x:c>
      <x:c r="R1061" s="9" t="str">
        <x:v>C057</x:v>
      </x:c>
      <x:c r="S1061" s="9" t="str">
        <x:v>C057</x:v>
      </x:c>
      <x:c r="T1061" s="10" t="str">
        <x:v>כאן חינוכית</x:v>
      </x:c>
      <x:c r="U1061" s="11" t="str">
        <x:v>https://www.youtube.com/watch?v=rkSytWukOY8</x:v>
      </x:c>
      <x:c r="V1061" s="16" t="n">
        <x:v>46308</x:v>
      </x:c>
      <x:c r="W1061" s="16"/>
      <x:c r="X1061" s="10" t="str">
        <x:v>Иврит предполагается по заголовку и источнику</x:v>
      </x:c>
      <x:c r="Y1061" s="10" t="str">
        <x:v>Не проверено</x:v>
      </x:c>
      <x:c r="Z1061" s="10" t="str">
        <x:v>Не проверено</x:v>
      </x:c>
      <x:c r="AA1061" s="10" t="str">
        <x:v>Метаданные списка; видео не просмотрено</x:v>
      </x:c>
      <x:c r="AB1061" s="13" t="str">
        <x:f>IF(AND(ISNUMBER(H1061),ISNUMBER(W1061)),H1061/MAX(1,'Обзор'!$B$4-W1061),"")</x:f>
      </x:c>
      <x:c r="AC1061" s="17" t="str">
        <x:v>Не решено</x:v>
      </x:c>
      <x:c r="AD1061" s="17" t="str">
        <x:v>Не проверено</x:v>
      </x:c>
      <x:c r="AE1061" s="17" t="str">
        <x:v>Не проверено</x:v>
      </x:c>
      <x:c r="AF1061" s="17" t="str">
        <x:v>Не проверено</x:v>
      </x:c>
      <x:c r="AG1061" s="17" t="str">
        <x:v>Не решено</x:v>
      </x:c>
      <x:c r="AH1061" s="17" t="str">
        <x:v>Не проверено</x:v>
      </x:c>
      <x:c r="AI1061" s="10" t="str">
        <x:f>IF(AC1061="Отклонить","Отклонено",IF(AND(AC1061="Взять",COUNTIFS(AD1061:AH1061,"Да")=5),"Готово","Нужна редактура"))</x:f>
        <x:v>Нужна редактура</x:v>
      </x:c>
      <x:c r="AJ1061" s="17" t="str"/>
      <x:c r="AK1061" s="9" t="str">
        <x:v>https://www.youtube.com/playlist?list=PL51YAgTlfPj7ouousp9Mt9FArDoacsPTW</x:v>
      </x:c>
      <x:c r="AL1061" s="9" t="n">
        <x:v>8</x:v>
      </x:c>
      <x:c r="AM1061" s="9"/>
      <x:c r="AN1061" s="9"/>
    </x:row>
    <x:row r="1062" ht="60" customHeight="1">
      <x:c r="A1062" s="9" t="str">
        <x:v>o63wVo4vaaA</x:v>
      </x:c>
      <x:c r="B1062" s="10" t="str">
        <x:v>פרפר נחמד 🦋 | פרק 1 - איך דמיון מתגלגל</x:v>
      </x:c>
      <x:c r="C1062" s="10" t="str">
        <x:v>Первый иврит с семьёй</x:v>
      </x:c>
      <x:c r="D1062" s="9" t="str">
        <x:v>Образование</x:v>
      </x:c>
      <x:c r="E1062" s="10" t="str">
        <x:v>Начинающие; родители дошкольников</x:v>
      </x:c>
      <x:c r="F1062" s="10" t="str">
        <x:v>A1–A2 (гипотеза)</x:v>
      </x:c>
      <x:c r="G1062" s="12" t="n">
        <x:v>20.2</x:v>
      </x:c>
      <x:c r="H1062" s="14" t="n">
        <x:v>446213</x:v>
      </x:c>
      <x:c r="I1062" s="15" t="str">
        <x:v>Точный счётчик метаданных видео</x:v>
      </x:c>
      <x:c r="J1062" s="14" t="n">
        <x:v>446000</x:v>
      </x:c>
      <x:c r="K1062" s="14" t="n">
        <x:v>195000</x:v>
      </x:c>
      <x:c r="L1062" s="12" t="n">
        <x:f>IF(COUNT(J1062:K1062)=2,IF(K1062=0,"",J1062/K1062),"")</x:f>
        <x:v>2.287179487179487</x:v>
      </x:c>
      <x:c r="M1062" s="10" t="str">
        <x:v>Тема: פרפר נחמד 🦋 | פרק 1 - איך דמיון מתגלגל. Просмотры в списке выше медианы выборки этого цикла в 2.29 раза. Повторы, песенки и визуальные действия подходят для семейного входа в язык. Взрослым предлагать как отдельную опцию.</x:v>
      </x:c>
      <x:c r="N1062" s="10" t="str">
        <x:v>Короткая сценка: назвать предметы и повторить 3 простые конструкции.</x:v>
      </x:c>
      <x:c r="O1062" s="10" t="str">
        <x:v>Дошкольный формат; не навязывать взрослым</x:v>
      </x:c>
      <x:c r="P1062" s="10" t="str">
        <x:v>Самостоятельное видео</x:v>
      </x:c>
      <x:c r="Q1062" s="9" t="str">
        <x:v>Нет</x:v>
      </x:c>
      <x:c r="R1062" s="9" t="str">
        <x:v>C058</x:v>
      </x:c>
      <x:c r="S1062" s="9" t="str">
        <x:v>C058</x:v>
      </x:c>
      <x:c r="T1062" s="10" t="str">
        <x:v>כאן חינוכית</x:v>
      </x:c>
      <x:c r="U1062" s="11" t="str">
        <x:v>https://www.youtube.com/watch?v=o63wVo4vaaA</x:v>
      </x:c>
      <x:c r="V1062" s="16" t="n">
        <x:v>46308</x:v>
      </x:c>
      <x:c r="W1062" s="16" t="n">
        <x:v>44444</x:v>
      </x:c>
      <x:c r="X1062" s="10" t="str">
        <x:v>Иврит предполагается по заголовку и источнику</x:v>
      </x:c>
      <x:c r="Y1062" s="10" t="str">
        <x:v>Дорожка HE не найдена в метаданных; вшитые титры не проверены</x:v>
      </x:c>
      <x:c r="Z1062" s="10" t="str">
        <x:v>Разрешено по метаданным</x:v>
      </x:c>
      <x:c r="AA1062" s="10" t="str">
        <x:v>Метаданные видео; воспроизведение и содержание не проверены</x:v>
      </x:c>
      <x:c r="AB1062" s="13" t="n">
        <x:f>IF(AND(ISNUMBER(H1062),ISNUMBER(W1062)),H1062/MAX(1,'Обзор'!$B$4-W1062),"")</x:f>
        <x:v>239.38465665236052</x:v>
      </x:c>
      <x:c r="AC1062" s="17" t="str">
        <x:v>Не решено</x:v>
      </x:c>
      <x:c r="AD1062" s="17" t="str">
        <x:v>Не проверено</x:v>
      </x:c>
      <x:c r="AE1062" s="17" t="str">
        <x:v>Не проверено</x:v>
      </x:c>
      <x:c r="AF1062" s="17" t="str">
        <x:v>Не проверено</x:v>
      </x:c>
      <x:c r="AG1062" s="17" t="str">
        <x:v>Не решено</x:v>
      </x:c>
      <x:c r="AH1062" s="17" t="str">
        <x:v>Не проверено</x:v>
      </x:c>
      <x:c r="AI1062" s="10" t="str">
        <x:f>IF(AC1062="Отклонить","Отклонено",IF(AND(AC1062="Взять",COUNTIFS(AD1062:AH1062,"Да")=5),"Готово","Нужна редактура"))</x:f>
        <x:v>Нужна редактура</x:v>
      </x:c>
      <x:c r="AJ1062" s="17" t="str"/>
      <x:c r="AK1062" s="9" t="str">
        <x:v>https://www.youtube.com/playlist?list=PL51YAgTlfPj4qBlNfQYcVAT2tHJZQUQpx</x:v>
      </x:c>
      <x:c r="AL1062" s="9" t="n">
        <x:v>1</x:v>
      </x:c>
      <x:c r="AM1062" s="9" t="n">
        <x:v>1</x:v>
      </x:c>
      <x:c r="AN1062" s="9" t="n">
        <x:v>0</x:v>
      </x:c>
    </x:row>
    <x:row r="1063" ht="60" customHeight="1">
      <x:c r="A1063" s="9" t="str">
        <x:v>wMMTH_DWElc</x:v>
      </x:c>
      <x:c r="B1063" s="10" t="str">
        <x:v>פרפר נחמד 🦋 | פרק 2 - על טעם ועל ריח</x:v>
      </x:c>
      <x:c r="C1063" s="10" t="str">
        <x:v>Первый иврит с семьёй</x:v>
      </x:c>
      <x:c r="D1063" s="9" t="str">
        <x:v>Образование</x:v>
      </x:c>
      <x:c r="E1063" s="10" t="str">
        <x:v>Начинающие; родители дошкольников</x:v>
      </x:c>
      <x:c r="F1063" s="10" t="str">
        <x:v>A1–A2 (гипотеза)</x:v>
      </x:c>
      <x:c r="G1063" s="12" t="n">
        <x:v>23.2</x:v>
      </x:c>
      <x:c r="H1063" s="14" t="n">
        <x:v>480490</x:v>
      </x:c>
      <x:c r="I1063" s="15" t="str">
        <x:v>Точный счётчик метаданных видео</x:v>
      </x:c>
      <x:c r="J1063" s="14" t="n">
        <x:v>480000</x:v>
      </x:c>
      <x:c r="K1063" s="14" t="n">
        <x:v>195000</x:v>
      </x:c>
      <x:c r="L1063" s="12" t="n">
        <x:f>IF(COUNT(J1063:K1063)=2,IF(K1063=0,"",J1063/K1063),"")</x:f>
        <x:v>2.4615384615384617</x:v>
      </x:c>
      <x:c r="M1063" s="10" t="str">
        <x:v>Тема: פרפר נחמד 🦋 | פרק 2 - על טעם ועל ריח. Просмотры в списке выше медианы выборки этого цикла в 2.46 раза. Повторы, песенки и визуальные действия подходят для семейного входа в язык. Взрослым предлагать как отдельную опцию.</x:v>
      </x:c>
      <x:c r="N1063" s="10" t="str">
        <x:v>Короткая сценка: назвать предметы и повторить 3 простые конструкции.</x:v>
      </x:c>
      <x:c r="O1063" s="10" t="str">
        <x:v>Дошкольный формат; не навязывать взрослым</x:v>
      </x:c>
      <x:c r="P1063" s="10" t="str">
        <x:v>Самостоятельное видео</x:v>
      </x:c>
      <x:c r="Q1063" s="9" t="str">
        <x:v>Нет</x:v>
      </x:c>
      <x:c r="R1063" s="9" t="str">
        <x:v>C058</x:v>
      </x:c>
      <x:c r="S1063" s="9" t="str">
        <x:v>C058</x:v>
      </x:c>
      <x:c r="T1063" s="10" t="str">
        <x:v>כאן חינוכית</x:v>
      </x:c>
      <x:c r="U1063" s="11" t="str">
        <x:v>https://www.youtube.com/watch?v=wMMTH_DWElc</x:v>
      </x:c>
      <x:c r="V1063" s="16" t="n">
        <x:v>46308</x:v>
      </x:c>
      <x:c r="W1063" s="16" t="n">
        <x:v>44445</x:v>
      </x:c>
      <x:c r="X1063" s="10" t="str">
        <x:v>Иврит предполагается по заголовку и источнику</x:v>
      </x:c>
      <x:c r="Y1063" s="10" t="str">
        <x:v>Дорожка HE не найдена в метаданных; вшитые титры не проверены</x:v>
      </x:c>
      <x:c r="Z1063" s="10" t="str">
        <x:v>Разрешено по метаданным</x:v>
      </x:c>
      <x:c r="AA1063" s="10" t="str">
        <x:v>Метаданные видео; воспроизведение и содержание не проверены</x:v>
      </x:c>
      <x:c r="AB1063" s="13" t="n">
        <x:f>IF(AND(ISNUMBER(H1063),ISNUMBER(W1063)),H1063/MAX(1,'Обзор'!$B$4-W1063),"")</x:f>
        <x:v>257.91196994095543</x:v>
      </x:c>
      <x:c r="AC1063" s="17" t="str">
        <x:v>Не решено</x:v>
      </x:c>
      <x:c r="AD1063" s="17" t="str">
        <x:v>Не проверено</x:v>
      </x:c>
      <x:c r="AE1063" s="17" t="str">
        <x:v>Не проверено</x:v>
      </x:c>
      <x:c r="AF1063" s="17" t="str">
        <x:v>Не проверено</x:v>
      </x:c>
      <x:c r="AG1063" s="17" t="str">
        <x:v>Не решено</x:v>
      </x:c>
      <x:c r="AH1063" s="17" t="str">
        <x:v>Не проверено</x:v>
      </x:c>
      <x:c r="AI1063" s="10" t="str">
        <x:f>IF(AC1063="Отклонить","Отклонено",IF(AND(AC1063="Взять",COUNTIFS(AD1063:AH1063,"Да")=5),"Готово","Нужна редактура"))</x:f>
        <x:v>Нужна редактура</x:v>
      </x:c>
      <x:c r="AJ1063" s="17" t="str"/>
      <x:c r="AK1063" s="9" t="str">
        <x:v>https://www.youtube.com/playlist?list=PL51YAgTlfPj4qBlNfQYcVAT2tHJZQUQpx</x:v>
      </x:c>
      <x:c r="AL1063" s="9" t="n">
        <x:v>2</x:v>
      </x:c>
      <x:c r="AM1063" s="9" t="n">
        <x:v>2</x:v>
      </x:c>
      <x:c r="AN1063" s="9" t="n">
        <x:v>0</x:v>
      </x:c>
    </x:row>
    <x:row r="1064" ht="60" customHeight="1">
      <x:c r="A1064" s="9" t="str">
        <x:v>P53sSOvqdNc</x:v>
      </x:c>
      <x:c r="B1064" s="10" t="str">
        <x:v>פרפר נחמד 🦋 | פרק 3 - מי בא לים</x:v>
      </x:c>
      <x:c r="C1064" s="10" t="str">
        <x:v>Первый иврит с семьёй</x:v>
      </x:c>
      <x:c r="D1064" s="9" t="str">
        <x:v>Образование</x:v>
      </x:c>
      <x:c r="E1064" s="10" t="str">
        <x:v>Начинающие; родители дошкольников</x:v>
      </x:c>
      <x:c r="F1064" s="10" t="str">
        <x:v>A1–A2 (гипотеза)</x:v>
      </x:c>
      <x:c r="G1064" s="12" t="n">
        <x:v>23.3</x:v>
      </x:c>
      <x:c r="H1064" s="14" t="n">
        <x:v>437440</x:v>
      </x:c>
      <x:c r="I1064" s="15" t="str">
        <x:v>Точный счётчик метаданных видео</x:v>
      </x:c>
      <x:c r="J1064" s="14" t="n">
        <x:v>437000</x:v>
      </x:c>
      <x:c r="K1064" s="14" t="n">
        <x:v>195000</x:v>
      </x:c>
      <x:c r="L1064" s="12" t="n">
        <x:f>IF(COUNT(J1064:K1064)=2,IF(K1064=0,"",J1064/K1064),"")</x:f>
        <x:v>2.241025641025641</x:v>
      </x:c>
      <x:c r="M1064" s="10" t="str">
        <x:v>Тема: פרפר נחמד 🦋 | פרק 3 - מי בא לים. Просмотры в списке выше медианы выборки этого цикла в 2.24 раза. Повторы, песенки и визуальные действия подходят для семейного входа в язык. Взрослым предлагать как отдельную опцию.</x:v>
      </x:c>
      <x:c r="N1064" s="10" t="str">
        <x:v>Короткая сценка: назвать предметы и повторить 3 простые конструкции.</x:v>
      </x:c>
      <x:c r="O1064" s="10" t="str">
        <x:v>Дошкольный формат; не навязывать взрослым</x:v>
      </x:c>
      <x:c r="P1064" s="10" t="str">
        <x:v>Самостоятельное видео</x:v>
      </x:c>
      <x:c r="Q1064" s="9" t="str">
        <x:v>Нет</x:v>
      </x:c>
      <x:c r="R1064" s="9" t="str">
        <x:v>C058</x:v>
      </x:c>
      <x:c r="S1064" s="9" t="str">
        <x:v>C058</x:v>
      </x:c>
      <x:c r="T1064" s="10" t="str">
        <x:v>כאן חינוכית</x:v>
      </x:c>
      <x:c r="U1064" s="11" t="str">
        <x:v>https://www.youtube.com/watch?v=P53sSOvqdNc</x:v>
      </x:c>
      <x:c r="V1064" s="16" t="n">
        <x:v>46308</x:v>
      </x:c>
      <x:c r="W1064" s="16" t="n">
        <x:v>44446</x:v>
      </x:c>
      <x:c r="X1064" s="10" t="str">
        <x:v>Иврит предполагается по заголовку и источнику</x:v>
      </x:c>
      <x:c r="Y1064" s="10" t="str">
        <x:v>Дорожка HE не найдена в метаданных; вшитые титры не проверены</x:v>
      </x:c>
      <x:c r="Z1064" s="10" t="str">
        <x:v>Разрешено по метаданным</x:v>
      </x:c>
      <x:c r="AA1064" s="10" t="str">
        <x:v>Метаданные видео; воспроизведение и содержание не проверены</x:v>
      </x:c>
      <x:c r="AB1064" s="13" t="n">
        <x:f>IF(AND(ISNUMBER(H1064),ISNUMBER(W1064)),H1064/MAX(1,'Обзор'!$B$4-W1064),"")</x:f>
        <x:v>234.93018259935553</x:v>
      </x:c>
      <x:c r="AC1064" s="17" t="str">
        <x:v>Не решено</x:v>
      </x:c>
      <x:c r="AD1064" s="17" t="str">
        <x:v>Не проверено</x:v>
      </x:c>
      <x:c r="AE1064" s="17" t="str">
        <x:v>Не проверено</x:v>
      </x:c>
      <x:c r="AF1064" s="17" t="str">
        <x:v>Не проверено</x:v>
      </x:c>
      <x:c r="AG1064" s="17" t="str">
        <x:v>Не решено</x:v>
      </x:c>
      <x:c r="AH1064" s="17" t="str">
        <x:v>Не проверено</x:v>
      </x:c>
      <x:c r="AI1064" s="10" t="str">
        <x:f>IF(AC1064="Отклонить","Отклонено",IF(AND(AC1064="Взять",COUNTIFS(AD1064:AH1064,"Да")=5),"Готово","Нужна редактура"))</x:f>
        <x:v>Нужна редактура</x:v>
      </x:c>
      <x:c r="AJ1064" s="17" t="str"/>
      <x:c r="AK1064" s="9" t="str">
        <x:v>https://www.youtube.com/playlist?list=PL51YAgTlfPj4qBlNfQYcVAT2tHJZQUQpx</x:v>
      </x:c>
      <x:c r="AL1064" s="9" t="n">
        <x:v>3</x:v>
      </x:c>
      <x:c r="AM1064" s="9" t="n">
        <x:v>3</x:v>
      </x:c>
      <x:c r="AN1064" s="9" t="n">
        <x:v>0</x:v>
      </x:c>
    </x:row>
    <x:row r="1065" ht="60" customHeight="1">
      <x:c r="A1065" s="9" t="str">
        <x:v>6rLL5kDAHts</x:v>
      </x:c>
      <x:c r="B1065" s="10" t="str">
        <x:v>פרפר נחמד 🦋 | פרק 4 - איזה פחד</x:v>
      </x:c>
      <x:c r="C1065" s="10" t="str">
        <x:v>Первый иврит с семьёй</x:v>
      </x:c>
      <x:c r="D1065" s="9" t="str">
        <x:v>Образование</x:v>
      </x:c>
      <x:c r="E1065" s="10" t="str">
        <x:v>Начинающие; родители дошкольников</x:v>
      </x:c>
      <x:c r="F1065" s="10" t="str">
        <x:v>A1–A2 (гипотеза)</x:v>
      </x:c>
      <x:c r="G1065" s="12" t="n">
        <x:v>21.4</x:v>
      </x:c>
      <x:c r="H1065" s="14" t="n">
        <x:v>224286</x:v>
      </x:c>
      <x:c r="I1065" s="15" t="str">
        <x:v>Точный счётчик метаданных видео</x:v>
      </x:c>
      <x:c r="J1065" s="14" t="n">
        <x:v>224000</x:v>
      </x:c>
      <x:c r="K1065" s="14" t="n">
        <x:v>195000</x:v>
      </x:c>
      <x:c r="L1065" s="12" t="n">
        <x:f>IF(COUNT(J1065:K1065)=2,IF(K1065=0,"",J1065/K1065),"")</x:f>
        <x:v>1.1487179487179486</x:v>
      </x:c>
      <x:c r="M1065" s="10" t="str">
        <x:v>Тема: פרפר נחמד 🦋 | פרק 4 - איזה פחד. Повторы, песенки и визуальные действия подходят для семейного входа в язык. Взрослым предлагать как отдельную опцию.</x:v>
      </x:c>
      <x:c r="N1065" s="10" t="str">
        <x:v>Короткая сценка: назвать предметы и повторить 3 простые конструкции.</x:v>
      </x:c>
      <x:c r="O1065" s="10" t="str">
        <x:v>Дошкольный формат; не навязывать взрослым</x:v>
      </x:c>
      <x:c r="P1065" s="10" t="str">
        <x:v>Самостоятельное видео</x:v>
      </x:c>
      <x:c r="Q1065" s="9" t="str">
        <x:v>Нет</x:v>
      </x:c>
      <x:c r="R1065" s="9" t="str">
        <x:v>C058</x:v>
      </x:c>
      <x:c r="S1065" s="9" t="str">
        <x:v>C058</x:v>
      </x:c>
      <x:c r="T1065" s="10" t="str">
        <x:v>כאן חינוכית</x:v>
      </x:c>
      <x:c r="U1065" s="11" t="str">
        <x:v>https://www.youtube.com/watch?v=6rLL5kDAHts</x:v>
      </x:c>
      <x:c r="V1065" s="16" t="n">
        <x:v>46308</x:v>
      </x:c>
      <x:c r="W1065" s="16" t="n">
        <x:v>44451</x:v>
      </x:c>
      <x:c r="X1065" s="10" t="str">
        <x:v>Иврит предполагается по заголовку и источнику</x:v>
      </x:c>
      <x:c r="Y1065" s="10" t="str">
        <x:v>Дорожка HE не найдена в метаданных; вшитые титры не проверены</x:v>
      </x:c>
      <x:c r="Z1065" s="10" t="str">
        <x:v>Разрешено по метаданным</x:v>
      </x:c>
      <x:c r="AA1065" s="10" t="str">
        <x:v>Метаданные видео; воспроизведение и содержание не проверены</x:v>
      </x:c>
      <x:c r="AB1065" s="13" t="n">
        <x:f>IF(AND(ISNUMBER(H1065),ISNUMBER(W1065)),H1065/MAX(1,'Обзор'!$B$4-W1065),"")</x:f>
        <x:v>120.77867528271406</x:v>
      </x:c>
      <x:c r="AC1065" s="17" t="str">
        <x:v>Не решено</x:v>
      </x:c>
      <x:c r="AD1065" s="17" t="str">
        <x:v>Не проверено</x:v>
      </x:c>
      <x:c r="AE1065" s="17" t="str">
        <x:v>Не проверено</x:v>
      </x:c>
      <x:c r="AF1065" s="17" t="str">
        <x:v>Не проверено</x:v>
      </x:c>
      <x:c r="AG1065" s="17" t="str">
        <x:v>Не решено</x:v>
      </x:c>
      <x:c r="AH1065" s="17" t="str">
        <x:v>Не проверено</x:v>
      </x:c>
      <x:c r="AI1065" s="10" t="str">
        <x:f>IF(AC1065="Отклонить","Отклонено",IF(AND(AC1065="Взять",COUNTIFS(AD1065:AH1065,"Да")=5),"Готово","Нужна редактура"))</x:f>
        <x:v>Нужна редактура</x:v>
      </x:c>
      <x:c r="AJ1065" s="17" t="str"/>
      <x:c r="AK1065" s="9" t="str">
        <x:v>https://www.youtube.com/playlist?list=PL51YAgTlfPj4qBlNfQYcVAT2tHJZQUQpx</x:v>
      </x:c>
      <x:c r="AL1065" s="9" t="n">
        <x:v>4</x:v>
      </x:c>
      <x:c r="AM1065" s="9" t="n">
        <x:v>4</x:v>
      </x:c>
      <x:c r="AN1065" s="9" t="n">
        <x:v>0</x:v>
      </x:c>
    </x:row>
    <x:row r="1066" ht="60" customHeight="1">
      <x:c r="A1066" s="9" t="str">
        <x:v>YldLQOQ-Hkg</x:v>
      </x:c>
      <x:c r="B1066" s="10" t="str">
        <x:v>פרפר נחמד 🦋 | פרק 5 - מה מצחיק?</x:v>
      </x:c>
      <x:c r="C1066" s="10" t="str">
        <x:v>Первый иврит с семьёй</x:v>
      </x:c>
      <x:c r="D1066" s="9" t="str">
        <x:v>Образование</x:v>
      </x:c>
      <x:c r="E1066" s="10" t="str">
        <x:v>Начинающие; родители дошкольников</x:v>
      </x:c>
      <x:c r="F1066" s="10" t="str">
        <x:v>A1–A2 (гипотеза)</x:v>
      </x:c>
      <x:c r="G1066" s="12" t="n">
        <x:v>22.7</x:v>
      </x:c>
      <x:c r="H1066" s="14" t="n">
        <x:v>241510</x:v>
      </x:c>
      <x:c r="I1066" s="15" t="str">
        <x:v>Точный счётчик метаданных видео</x:v>
      </x:c>
      <x:c r="J1066" s="14" t="n">
        <x:v>241000</x:v>
      </x:c>
      <x:c r="K1066" s="14" t="n">
        <x:v>195000</x:v>
      </x:c>
      <x:c r="L1066" s="12" t="n">
        <x:f>IF(COUNT(J1066:K1066)=2,IF(K1066=0,"",J1066/K1066),"")</x:f>
        <x:v>1.235897435897436</x:v>
      </x:c>
      <x:c r="M1066" s="10" t="str">
        <x:v>Тема: פרפר נחמד 🦋 | פרק 5 - מה מצחיק?. Повторы, песенки и визуальные действия подходят для семейного входа в язык. Взрослым предлагать как отдельную опцию.</x:v>
      </x:c>
      <x:c r="N1066" s="10" t="str">
        <x:v>Короткая сценка: назвать предметы и повторить 3 простые конструкции.</x:v>
      </x:c>
      <x:c r="O1066" s="10" t="str">
        <x:v>Дошкольный формат; не навязывать взрослым</x:v>
      </x:c>
      <x:c r="P1066" s="10" t="str">
        <x:v>Самостоятельное видео</x:v>
      </x:c>
      <x:c r="Q1066" s="9" t="str">
        <x:v>Нет</x:v>
      </x:c>
      <x:c r="R1066" s="9" t="str">
        <x:v>C058</x:v>
      </x:c>
      <x:c r="S1066" s="9" t="str">
        <x:v>C058</x:v>
      </x:c>
      <x:c r="T1066" s="10" t="str">
        <x:v>כאן חינוכית</x:v>
      </x:c>
      <x:c r="U1066" s="11" t="str">
        <x:v>https://www.youtube.com/watch?v=YldLQOQ-Hkg</x:v>
      </x:c>
      <x:c r="V1066" s="16" t="n">
        <x:v>46308</x:v>
      </x:c>
      <x:c r="W1066" s="16" t="n">
        <x:v>44452</x:v>
      </x:c>
      <x:c r="X1066" s="10" t="str">
        <x:v>Иврит предполагается по заголовку и источнику</x:v>
      </x:c>
      <x:c r="Y1066" s="10" t="str">
        <x:v>Дорожка HE не найдена в метаданных; вшитые титры не проверены</x:v>
      </x:c>
      <x:c r="Z1066" s="10" t="str">
        <x:v>Разрешено по метаданным</x:v>
      </x:c>
      <x:c r="AA1066" s="10" t="str">
        <x:v>Метаданные видео; воспроизведение и содержание не проверены</x:v>
      </x:c>
      <x:c r="AB1066" s="13" t="n">
        <x:f>IF(AND(ISNUMBER(H1066),ISNUMBER(W1066)),H1066/MAX(1,'Обзор'!$B$4-W1066),"")</x:f>
        <x:v>130.1239224137931</x:v>
      </x:c>
      <x:c r="AC1066" s="17" t="str">
        <x:v>Не решено</x:v>
      </x:c>
      <x:c r="AD1066" s="17" t="str">
        <x:v>Не проверено</x:v>
      </x:c>
      <x:c r="AE1066" s="17" t="str">
        <x:v>Не проверено</x:v>
      </x:c>
      <x:c r="AF1066" s="17" t="str">
        <x:v>Не проверено</x:v>
      </x:c>
      <x:c r="AG1066" s="17" t="str">
        <x:v>Не решено</x:v>
      </x:c>
      <x:c r="AH1066" s="17" t="str">
        <x:v>Не проверено</x:v>
      </x:c>
      <x:c r="AI1066" s="10" t="str">
        <x:f>IF(AC1066="Отклонить","Отклонено",IF(AND(AC1066="Взять",COUNTIFS(AD1066:AH1066,"Да")=5),"Готово","Нужна редактура"))</x:f>
        <x:v>Нужна редактура</x:v>
      </x:c>
      <x:c r="AJ1066" s="17" t="str"/>
      <x:c r="AK1066" s="9" t="str">
        <x:v>https://www.youtube.com/playlist?list=PL51YAgTlfPj4qBlNfQYcVAT2tHJZQUQpx</x:v>
      </x:c>
      <x:c r="AL1066" s="9" t="n">
        <x:v>5</x:v>
      </x:c>
      <x:c r="AM1066" s="9" t="n">
        <x:v>5</x:v>
      </x:c>
      <x:c r="AN1066" s="9" t="n">
        <x:v>0</x:v>
      </x:c>
    </x:row>
    <x:row r="1067" ht="60" customHeight="1">
      <x:c r="A1067" s="9" t="str">
        <x:v>wSw3lVQ6VH8</x:v>
      </x:c>
      <x:c r="B1067" s="10" t="str">
        <x:v>פרפר נחמד 🦋 | פרק 6 - עננים צהובים</x:v>
      </x:c>
      <x:c r="C1067" s="10" t="str">
        <x:v>Первый иврит с семьёй</x:v>
      </x:c>
      <x:c r="D1067" s="9" t="str">
        <x:v>Образование</x:v>
      </x:c>
      <x:c r="E1067" s="10" t="str">
        <x:v>Начинающие; родители дошкольников</x:v>
      </x:c>
      <x:c r="F1067" s="10" t="str">
        <x:v>A1–A2 (гипотеза)</x:v>
      </x:c>
      <x:c r="G1067" s="12" t="n">
        <x:v>21.7</x:v>
      </x:c>
      <x:c r="H1067" s="14" t="n">
        <x:v>367128</x:v>
      </x:c>
      <x:c r="I1067" s="15" t="str">
        <x:v>Точный счётчик метаданных видео</x:v>
      </x:c>
      <x:c r="J1067" s="14" t="n">
        <x:v>367000</x:v>
      </x:c>
      <x:c r="K1067" s="14" t="n">
        <x:v>195000</x:v>
      </x:c>
      <x:c r="L1067" s="12" t="n">
        <x:f>IF(COUNT(J1067:K1067)=2,IF(K1067=0,"",J1067/K1067),"")</x:f>
        <x:v>1.882051282051282</x:v>
      </x:c>
      <x:c r="M1067" s="10" t="str">
        <x:v>Тема: פרפר נחמד 🦋 | פרק 6 - עננים צהובים. Просмотры в списке выше медианы выборки этого цикла в 1.88 раза. Повторы, песенки и визуальные действия подходят для семейного входа в язык. Взрослым предлагать как отдельную опцию.</x:v>
      </x:c>
      <x:c r="N1067" s="10" t="str">
        <x:v>Короткая сценка: назвать предметы и повторить 3 простые конструкции.</x:v>
      </x:c>
      <x:c r="O1067" s="10" t="str">
        <x:v>Дошкольный формат; не навязывать взрослым</x:v>
      </x:c>
      <x:c r="P1067" s="10" t="str">
        <x:v>Самостоятельное видео</x:v>
      </x:c>
      <x:c r="Q1067" s="9" t="str">
        <x:v>Нет</x:v>
      </x:c>
      <x:c r="R1067" s="9" t="str">
        <x:v>C058</x:v>
      </x:c>
      <x:c r="S1067" s="9" t="str">
        <x:v>C058</x:v>
      </x:c>
      <x:c r="T1067" s="10" t="str">
        <x:v>כאן חינוכית</x:v>
      </x:c>
      <x:c r="U1067" s="11" t="str">
        <x:v>https://www.youtube.com/watch?v=wSw3lVQ6VH8</x:v>
      </x:c>
      <x:c r="V1067" s="16" t="n">
        <x:v>46308</x:v>
      </x:c>
      <x:c r="W1067" s="16" t="n">
        <x:v>44453</x:v>
      </x:c>
      <x:c r="X1067" s="10" t="str">
        <x:v>Иврит предполагается по заголовку и источнику</x:v>
      </x:c>
      <x:c r="Y1067" s="10" t="str">
        <x:v>Дорожка HE не найдена в метаданных; вшитые титры не проверены</x:v>
      </x:c>
      <x:c r="Z1067" s="10" t="str">
        <x:v>Разрешено по метаданным</x:v>
      </x:c>
      <x:c r="AA1067" s="10" t="str">
        <x:v>Метаданные видео; воспроизведение и содержание не проверены</x:v>
      </x:c>
      <x:c r="AB1067" s="13" t="n">
        <x:f>IF(AND(ISNUMBER(H1067),ISNUMBER(W1067)),H1067/MAX(1,'Обзор'!$B$4-W1067),"")</x:f>
        <x:v>197.91266846361185</x:v>
      </x:c>
      <x:c r="AC1067" s="17" t="str">
        <x:v>Не решено</x:v>
      </x:c>
      <x:c r="AD1067" s="17" t="str">
        <x:v>Не проверено</x:v>
      </x:c>
      <x:c r="AE1067" s="17" t="str">
        <x:v>Не проверено</x:v>
      </x:c>
      <x:c r="AF1067" s="17" t="str">
        <x:v>Не проверено</x:v>
      </x:c>
      <x:c r="AG1067" s="17" t="str">
        <x:v>Не решено</x:v>
      </x:c>
      <x:c r="AH1067" s="17" t="str">
        <x:v>Не проверено</x:v>
      </x:c>
      <x:c r="AI1067" s="10" t="str">
        <x:f>IF(AC1067="Отклонить","Отклонено",IF(AND(AC1067="Взять",COUNTIFS(AD1067:AH1067,"Да")=5),"Готово","Нужна редактура"))</x:f>
        <x:v>Нужна редактура</x:v>
      </x:c>
      <x:c r="AJ1067" s="17" t="str"/>
      <x:c r="AK1067" s="9" t="str">
        <x:v>https://www.youtube.com/playlist?list=PL51YAgTlfPj4qBlNfQYcVAT2tHJZQUQpx</x:v>
      </x:c>
      <x:c r="AL1067" s="9" t="n">
        <x:v>6</x:v>
      </x:c>
      <x:c r="AM1067" s="9" t="n">
        <x:v>6</x:v>
      </x:c>
      <x:c r="AN1067" s="9" t="n">
        <x:v>0</x:v>
      </x:c>
    </x:row>
    <x:row r="1068" ht="60" customHeight="1">
      <x:c r="A1068" s="9" t="str">
        <x:v>1Gfk2_yMjv0</x:v>
      </x:c>
      <x:c r="B1068" s="10" t="str">
        <x:v>פרפר נחמד 🦋 | פרק 7 - בץ החוקר</x:v>
      </x:c>
      <x:c r="C1068" s="10" t="str">
        <x:v>Первый иврит с семьёй</x:v>
      </x:c>
      <x:c r="D1068" s="9" t="str">
        <x:v>Образование</x:v>
      </x:c>
      <x:c r="E1068" s="10" t="str">
        <x:v>Начинающие; родители дошкольников</x:v>
      </x:c>
      <x:c r="F1068" s="10" t="str">
        <x:v>A1–A2 (гипотеза)</x:v>
      </x:c>
      <x:c r="G1068" s="12" t="n">
        <x:v>21.7</x:v>
      </x:c>
      <x:c r="H1068" s="14" t="n">
        <x:v>203389</x:v>
      </x:c>
      <x:c r="I1068" s="15" t="str">
        <x:v>Точный счётчик метаданных видео</x:v>
      </x:c>
      <x:c r="J1068" s="14" t="n">
        <x:v>203000</x:v>
      </x:c>
      <x:c r="K1068" s="14" t="n">
        <x:v>195000</x:v>
      </x:c>
      <x:c r="L1068" s="12" t="n">
        <x:f>IF(COUNT(J1068:K1068)=2,IF(K1068=0,"",J1068/K1068),"")</x:f>
        <x:v>1.041025641025641</x:v>
      </x:c>
      <x:c r="M1068" s="10" t="str">
        <x:v>Тема: פרפר נחמד 🦋 | פרק 7 - בץ החוקר. Повторы, песенки и визуальные действия подходят для семейного входа в язык. Взрослым предлагать как отдельную опцию.</x:v>
      </x:c>
      <x:c r="N1068" s="10" t="str">
        <x:v>Короткая сценка: назвать предметы и повторить 3 простые конструкции.</x:v>
      </x:c>
      <x:c r="O1068" s="10" t="str">
        <x:v>Дошкольный формат; не навязывать взрослым</x:v>
      </x:c>
      <x:c r="P1068" s="10" t="str">
        <x:v>Самостоятельное видео</x:v>
      </x:c>
      <x:c r="Q1068" s="9" t="str">
        <x:v>Нет</x:v>
      </x:c>
      <x:c r="R1068" s="9" t="str">
        <x:v>C058</x:v>
      </x:c>
      <x:c r="S1068" s="9" t="str">
        <x:v>C058</x:v>
      </x:c>
      <x:c r="T1068" s="10" t="str">
        <x:v>כאן חינוכית</x:v>
      </x:c>
      <x:c r="U1068" s="11" t="str">
        <x:v>https://www.youtube.com/watch?v=1Gfk2_yMjv0</x:v>
      </x:c>
      <x:c r="V1068" s="16" t="n">
        <x:v>46308</x:v>
      </x:c>
      <x:c r="W1068" s="16" t="n">
        <x:v>44458</x:v>
      </x:c>
      <x:c r="X1068" s="10" t="str">
        <x:v>Иврит предполагается по заголовку и источнику</x:v>
      </x:c>
      <x:c r="Y1068" s="10" t="str">
        <x:v>Дорожка HE не найдена в метаданных; вшитые титры не проверены</x:v>
      </x:c>
      <x:c r="Z1068" s="10" t="str">
        <x:v>Разрешено по метаданным</x:v>
      </x:c>
      <x:c r="AA1068" s="10" t="str">
        <x:v>Метаданные видео; воспроизведение и содержание не проверены</x:v>
      </x:c>
      <x:c r="AB1068" s="13" t="n">
        <x:f>IF(AND(ISNUMBER(H1068),ISNUMBER(W1068)),H1068/MAX(1,'Обзор'!$B$4-W1068),"")</x:f>
        <x:v>109.94</x:v>
      </x:c>
      <x:c r="AC1068" s="17" t="str">
        <x:v>Не решено</x:v>
      </x:c>
      <x:c r="AD1068" s="17" t="str">
        <x:v>Не проверено</x:v>
      </x:c>
      <x:c r="AE1068" s="17" t="str">
        <x:v>Не проверено</x:v>
      </x:c>
      <x:c r="AF1068" s="17" t="str">
        <x:v>Не проверено</x:v>
      </x:c>
      <x:c r="AG1068" s="17" t="str">
        <x:v>Не решено</x:v>
      </x:c>
      <x:c r="AH1068" s="17" t="str">
        <x:v>Не проверено</x:v>
      </x:c>
      <x:c r="AI1068" s="10" t="str">
        <x:f>IF(AC1068="Отклонить","Отклонено",IF(AND(AC1068="Взять",COUNTIFS(AD1068:AH1068,"Да")=5),"Готово","Нужна редактура"))</x:f>
        <x:v>Нужна редактура</x:v>
      </x:c>
      <x:c r="AJ1068" s="17" t="str"/>
      <x:c r="AK1068" s="9" t="str">
        <x:v>https://www.youtube.com/playlist?list=PL51YAgTlfPj4qBlNfQYcVAT2tHJZQUQpx</x:v>
      </x:c>
      <x:c r="AL1068" s="9" t="n">
        <x:v>7</x:v>
      </x:c>
      <x:c r="AM1068" s="9" t="n">
        <x:v>7</x:v>
      </x:c>
      <x:c r="AN1068" s="9" t="n">
        <x:v>0</x:v>
      </x:c>
    </x:row>
    <x:row r="1069" ht="60" customHeight="1">
      <x:c r="A1069" s="9" t="str">
        <x:v>GEx9pCZumhc</x:v>
      </x:c>
      <x:c r="B1069" s="10" t="str">
        <x:v>פרפר נחמד 🦋 | פרק 8  - החבורה הסודית</x:v>
      </x:c>
      <x:c r="C1069" s="10" t="str">
        <x:v>Первый иврит с семьёй</x:v>
      </x:c>
      <x:c r="D1069" s="9" t="str">
        <x:v>Образование</x:v>
      </x:c>
      <x:c r="E1069" s="10" t="str">
        <x:v>Начинающие; родители дошкольников</x:v>
      </x:c>
      <x:c r="F1069" s="10" t="str">
        <x:v>A1–A2 (гипотеза)</x:v>
      </x:c>
      <x:c r="G1069" s="12" t="n">
        <x:v>23.3</x:v>
      </x:c>
      <x:c r="H1069" s="14" t="n">
        <x:v>208272</x:v>
      </x:c>
      <x:c r="I1069" s="15" t="str">
        <x:v>Точный счётчик метаданных видео</x:v>
      </x:c>
      <x:c r="J1069" s="14" t="n">
        <x:v>208000</x:v>
      </x:c>
      <x:c r="K1069" s="14" t="n">
        <x:v>195000</x:v>
      </x:c>
      <x:c r="L1069" s="12" t="n">
        <x:f>IF(COUNT(J1069:K1069)=2,IF(K1069=0,"",J1069/K1069),"")</x:f>
        <x:v>1.0666666666666667</x:v>
      </x:c>
      <x:c r="M1069" s="10" t="str">
        <x:v>Тема: פרפר נחמד 🦋 | פרק 8  - החבורה הסודית. Повторы, песенки и визуальные действия подходят для семейного входа в язык. Взрослым предлагать как отдельную опцию.</x:v>
      </x:c>
      <x:c r="N1069" s="10" t="str">
        <x:v>Короткая сценка: назвать предметы и повторить 3 простые конструкции.</x:v>
      </x:c>
      <x:c r="O1069" s="10" t="str">
        <x:v>Дошкольный формат; не навязывать взрослым</x:v>
      </x:c>
      <x:c r="P1069" s="10" t="str">
        <x:v>Самостоятельное видео</x:v>
      </x:c>
      <x:c r="Q1069" s="9" t="str">
        <x:v>Нет</x:v>
      </x:c>
      <x:c r="R1069" s="9" t="str">
        <x:v>C058</x:v>
      </x:c>
      <x:c r="S1069" s="9" t="str">
        <x:v>C058</x:v>
      </x:c>
      <x:c r="T1069" s="10" t="str">
        <x:v>כאן חינוכית</x:v>
      </x:c>
      <x:c r="U1069" s="11" t="str">
        <x:v>https://www.youtube.com/watch?v=GEx9pCZumhc</x:v>
      </x:c>
      <x:c r="V1069" s="16" t="n">
        <x:v>46308</x:v>
      </x:c>
      <x:c r="W1069" s="16" t="n">
        <x:v>44459</x:v>
      </x:c>
      <x:c r="X1069" s="10" t="str">
        <x:v>Иврит предполагается по заголовку и источнику</x:v>
      </x:c>
      <x:c r="Y1069" s="10" t="str">
        <x:v>Дорожка HE не найдена в метаданных; вшитые титры не проверены</x:v>
      </x:c>
      <x:c r="Z1069" s="10" t="str">
        <x:v>Разрешено по метаданным</x:v>
      </x:c>
      <x:c r="AA1069" s="10" t="str">
        <x:v>Метаданные видео; воспроизведение и содержание не проверены</x:v>
      </x:c>
      <x:c r="AB1069" s="13" t="n">
        <x:f>IF(AND(ISNUMBER(H1069),ISNUMBER(W1069)),H1069/MAX(1,'Обзор'!$B$4-W1069),"")</x:f>
        <x:v>112.64034613304489</x:v>
      </x:c>
      <x:c r="AC1069" s="17" t="str">
        <x:v>Не решено</x:v>
      </x:c>
      <x:c r="AD1069" s="17" t="str">
        <x:v>Не проверено</x:v>
      </x:c>
      <x:c r="AE1069" s="17" t="str">
        <x:v>Не проверено</x:v>
      </x:c>
      <x:c r="AF1069" s="17" t="str">
        <x:v>Не проверено</x:v>
      </x:c>
      <x:c r="AG1069" s="17" t="str">
        <x:v>Не решено</x:v>
      </x:c>
      <x:c r="AH1069" s="17" t="str">
        <x:v>Не проверено</x:v>
      </x:c>
      <x:c r="AI1069" s="10" t="str">
        <x:f>IF(AC1069="Отклонить","Отклонено",IF(AND(AC1069="Взять",COUNTIFS(AD1069:AH1069,"Да")=5),"Готово","Нужна редактура"))</x:f>
        <x:v>Нужна редактура</x:v>
      </x:c>
      <x:c r="AJ1069" s="17" t="str"/>
      <x:c r="AK1069" s="9" t="str">
        <x:v>https://www.youtube.com/playlist?list=PL51YAgTlfPj4qBlNfQYcVAT2tHJZQUQpx</x:v>
      </x:c>
      <x:c r="AL1069" s="9" t="n">
        <x:v>8</x:v>
      </x:c>
      <x:c r="AM1069" s="9" t="n">
        <x:v>8</x:v>
      </x:c>
      <x:c r="AN1069" s="9" t="n">
        <x:v>0</x:v>
      </x:c>
    </x:row>
    <x:row r="1070" ht="60" customHeight="1">
      <x:c r="A1070" s="9" t="str">
        <x:v>5zaf-K2jvDA</x:v>
      </x:c>
      <x:c r="B1070" s="10" t="str">
        <x:v>פרפר נחמד 🦋 | פרק 9 - השכנה החדשה</x:v>
      </x:c>
      <x:c r="C1070" s="10" t="str">
        <x:v>Первый иврит с семьёй</x:v>
      </x:c>
      <x:c r="D1070" s="9" t="str">
        <x:v>Образование</x:v>
      </x:c>
      <x:c r="E1070" s="10" t="str">
        <x:v>Начинающие; родители дошкольников</x:v>
      </x:c>
      <x:c r="F1070" s="10" t="str">
        <x:v>A1–A2 (гипотеза)</x:v>
      </x:c>
      <x:c r="G1070" s="12" t="n">
        <x:v>21.7</x:v>
      </x:c>
      <x:c r="H1070" s="14" t="n">
        <x:v>209610</x:v>
      </x:c>
      <x:c r="I1070" s="15" t="str">
        <x:v>Точный счётчик метаданных видео</x:v>
      </x:c>
      <x:c r="J1070" s="14" t="n">
        <x:v>209000</x:v>
      </x:c>
      <x:c r="K1070" s="14" t="n">
        <x:v>195000</x:v>
      </x:c>
      <x:c r="L1070" s="12" t="n">
        <x:f>IF(COUNT(J1070:K1070)=2,IF(K1070=0,"",J1070/K1070),"")</x:f>
        <x:v>1.0717948717948718</x:v>
      </x:c>
      <x:c r="M1070" s="10" t="str">
        <x:v>Тема: פרפר נחמד 🦋 | פרק 9 - השכנה החדשה. Повторы, песенки и визуальные действия подходят для семейного входа в язык. Взрослым предлагать как отдельную опцию.</x:v>
      </x:c>
      <x:c r="N1070" s="10" t="str">
        <x:v>Короткая сценка: назвать предметы и повторить 3 простые конструкции.</x:v>
      </x:c>
      <x:c r="O1070" s="10" t="str">
        <x:v>Дошкольный формат; не навязывать взрослым</x:v>
      </x:c>
      <x:c r="P1070" s="10" t="str">
        <x:v>Самостоятельное видео</x:v>
      </x:c>
      <x:c r="Q1070" s="9" t="str">
        <x:v>Нет</x:v>
      </x:c>
      <x:c r="R1070" s="9" t="str">
        <x:v>C058</x:v>
      </x:c>
      <x:c r="S1070" s="9" t="str">
        <x:v>C058</x:v>
      </x:c>
      <x:c r="T1070" s="10" t="str">
        <x:v>כאן חינוכית</x:v>
      </x:c>
      <x:c r="U1070" s="11" t="str">
        <x:v>https://www.youtube.com/watch?v=5zaf-K2jvDA</x:v>
      </x:c>
      <x:c r="V1070" s="16" t="n">
        <x:v>46308</x:v>
      </x:c>
      <x:c r="W1070" s="16" t="n">
        <x:v>44460</x:v>
      </x:c>
      <x:c r="X1070" s="10" t="str">
        <x:v>Иврит предполагается по заголовку и источнику</x:v>
      </x:c>
      <x:c r="Y1070" s="10" t="str">
        <x:v>Дорожка HE не найдена в метаданных; вшитые титры не проверены</x:v>
      </x:c>
      <x:c r="Z1070" s="10" t="str">
        <x:v>Разрешено по метаданным</x:v>
      </x:c>
      <x:c r="AA1070" s="10" t="str">
        <x:v>Метаданные видео; воспроизведение и содержание не проверены</x:v>
      </x:c>
      <x:c r="AB1070" s="13" t="n">
        <x:f>IF(AND(ISNUMBER(H1070),ISNUMBER(W1070)),H1070/MAX(1,'Обзор'!$B$4-W1070),"")</x:f>
        <x:v>113.42532467532467</x:v>
      </x:c>
      <x:c r="AC1070" s="17" t="str">
        <x:v>Не решено</x:v>
      </x:c>
      <x:c r="AD1070" s="17" t="str">
        <x:v>Не проверено</x:v>
      </x:c>
      <x:c r="AE1070" s="17" t="str">
        <x:v>Не проверено</x:v>
      </x:c>
      <x:c r="AF1070" s="17" t="str">
        <x:v>Не проверено</x:v>
      </x:c>
      <x:c r="AG1070" s="17" t="str">
        <x:v>Не решено</x:v>
      </x:c>
      <x:c r="AH1070" s="17" t="str">
        <x:v>Не проверено</x:v>
      </x:c>
      <x:c r="AI1070" s="10" t="str">
        <x:f>IF(AC1070="Отклонить","Отклонено",IF(AND(AC1070="Взять",COUNTIFS(AD1070:AH1070,"Да")=5),"Готово","Нужна редактура"))</x:f>
        <x:v>Нужна редактура</x:v>
      </x:c>
      <x:c r="AJ1070" s="17" t="str"/>
      <x:c r="AK1070" s="9" t="str">
        <x:v>https://www.youtube.com/playlist?list=PL51YAgTlfPj4qBlNfQYcVAT2tHJZQUQpx</x:v>
      </x:c>
      <x:c r="AL1070" s="9" t="n">
        <x:v>9</x:v>
      </x:c>
      <x:c r="AM1070" s="9" t="n">
        <x:v>9</x:v>
      </x:c>
      <x:c r="AN1070" s="9" t="n">
        <x:v>0</x:v>
      </x:c>
    </x:row>
    <x:row r="1071" ht="60" customHeight="1">
      <x:c r="A1071" s="9" t="str">
        <x:v>V7TA8GopMYo</x:v>
      </x:c>
      <x:c r="B1071" s="10" t="str">
        <x:v>פרפר נחמד 🦋 | פרק 10 - המעודדים</x:v>
      </x:c>
      <x:c r="C1071" s="10" t="str">
        <x:v>Первый иврит с семьёй</x:v>
      </x:c>
      <x:c r="D1071" s="9" t="str">
        <x:v>Образование</x:v>
      </x:c>
      <x:c r="E1071" s="10" t="str">
        <x:v>Начинающие; родители дошкольников</x:v>
      </x:c>
      <x:c r="F1071" s="10" t="str">
        <x:v>A1–A2 (гипотеза)</x:v>
      </x:c>
      <x:c r="G1071" s="12" t="n">
        <x:v>19.5</x:v>
      </x:c>
      <x:c r="H1071" s="14" t="n">
        <x:v>161000</x:v>
      </x:c>
      <x:c r="I1071" s="15" t="str">
        <x:v>Округлённый счётчик в списке YouTube</x:v>
      </x:c>
      <x:c r="J1071" s="14" t="n">
        <x:v>161000</x:v>
      </x:c>
      <x:c r="K1071" s="14" t="n">
        <x:v>195000</x:v>
      </x:c>
      <x:c r="L1071" s="12" t="n">
        <x:f>IF(COUNT(J1071:K1071)=2,IF(K1071=0,"",J1071/K1071),"")</x:f>
        <x:v>0.8256410256410256</x:v>
      </x:c>
      <x:c r="M1071" s="10" t="str">
        <x:v>Тема: פרפר נחמד 🦋 | פרק 10 - המעודדים. Повторы, песенки и визуальные действия подходят для семейного входа в язык. Взрослым предлагать как отдельную опцию.</x:v>
      </x:c>
      <x:c r="N1071" s="10" t="str">
        <x:v>Короткая сценка: назвать предметы и повторить 3 простые конструкции.</x:v>
      </x:c>
      <x:c r="O1071" s="10" t="str">
        <x:v>Дошкольный формат; не навязывать взрослым</x:v>
      </x:c>
      <x:c r="P1071" s="10" t="str">
        <x:v>Самостоятельное видео</x:v>
      </x:c>
      <x:c r="Q1071" s="9" t="str">
        <x:v>Нет</x:v>
      </x:c>
      <x:c r="R1071" s="9" t="str">
        <x:v>C058</x:v>
      </x:c>
      <x:c r="S1071" s="9" t="str">
        <x:v>C058</x:v>
      </x:c>
      <x:c r="T1071" s="10" t="str">
        <x:v>כאן חינוכית</x:v>
      </x:c>
      <x:c r="U1071" s="11" t="str">
        <x:v>https://www.youtube.com/watch?v=V7TA8GopMYo</x:v>
      </x:c>
      <x:c r="V1071" s="16" t="n">
        <x:v>46308</x:v>
      </x:c>
      <x:c r="W1071" s="16"/>
      <x:c r="X1071" s="10" t="str">
        <x:v>Иврит предполагается по заголовку и источнику</x:v>
      </x:c>
      <x:c r="Y1071" s="10" t="str">
        <x:v>Не проверено</x:v>
      </x:c>
      <x:c r="Z1071" s="10" t="str">
        <x:v>Не проверено</x:v>
      </x:c>
      <x:c r="AA1071" s="10" t="str">
        <x:v>Метаданные списка; видео не просмотрено</x:v>
      </x:c>
      <x:c r="AB1071" s="13" t="str">
        <x:f>IF(AND(ISNUMBER(H1071),ISNUMBER(W1071)),H1071/MAX(1,'Обзор'!$B$4-W1071),"")</x:f>
      </x:c>
      <x:c r="AC1071" s="17" t="str">
        <x:v>Не решено</x:v>
      </x:c>
      <x:c r="AD1071" s="17" t="str">
        <x:v>Не проверено</x:v>
      </x:c>
      <x:c r="AE1071" s="17" t="str">
        <x:v>Не проверено</x:v>
      </x:c>
      <x:c r="AF1071" s="17" t="str">
        <x:v>Не проверено</x:v>
      </x:c>
      <x:c r="AG1071" s="17" t="str">
        <x:v>Не решено</x:v>
      </x:c>
      <x:c r="AH1071" s="17" t="str">
        <x:v>Не проверено</x:v>
      </x:c>
      <x:c r="AI1071" s="10" t="str">
        <x:f>IF(AC1071="Отклонить","Отклонено",IF(AND(AC1071="Взять",COUNTIFS(AD1071:AH1071,"Да")=5),"Готово","Нужна редактура"))</x:f>
        <x:v>Нужна редактура</x:v>
      </x:c>
      <x:c r="AJ1071" s="17" t="str"/>
      <x:c r="AK1071" s="9" t="str">
        <x:v>https://www.youtube.com/playlist?list=PL51YAgTlfPj4qBlNfQYcVAT2tHJZQUQpx</x:v>
      </x:c>
      <x:c r="AL1071" s="9" t="n">
        <x:v>10</x:v>
      </x:c>
      <x:c r="AM1071" s="9" t="n">
        <x:v>10</x:v>
      </x:c>
      <x:c r="AN1071" s="9"/>
    </x:row>
    <x:row r="1072" ht="60" customHeight="1">
      <x:c r="A1072" s="9" t="str">
        <x:v>_fU2t4G8JL0</x:v>
      </x:c>
      <x:c r="B1072" s="10" t="str">
        <x:v>פרפר נחמד 🦋 | פרק 11 - מה לובשים למסיבה</x:v>
      </x:c>
      <x:c r="C1072" s="10" t="str">
        <x:v>Первый иврит с семьёй</x:v>
      </x:c>
      <x:c r="D1072" s="9" t="str">
        <x:v>Образование</x:v>
      </x:c>
      <x:c r="E1072" s="10" t="str">
        <x:v>Начинающие; родители дошкольников</x:v>
      </x:c>
      <x:c r="F1072" s="10" t="str">
        <x:v>A1–A2 (гипотеза)</x:v>
      </x:c>
      <x:c r="G1072" s="12" t="n">
        <x:v>23.2</x:v>
      </x:c>
      <x:c r="H1072" s="14" t="n">
        <x:v>190000</x:v>
      </x:c>
      <x:c r="I1072" s="15" t="str">
        <x:v>Округлённый счётчик в списке YouTube</x:v>
      </x:c>
      <x:c r="J1072" s="14" t="n">
        <x:v>190000</x:v>
      </x:c>
      <x:c r="K1072" s="14" t="n">
        <x:v>195000</x:v>
      </x:c>
      <x:c r="L1072" s="12" t="n">
        <x:f>IF(COUNT(J1072:K1072)=2,IF(K1072=0,"",J1072/K1072),"")</x:f>
        <x:v>0.9743589743589743</x:v>
      </x:c>
      <x:c r="M1072" s="10" t="str">
        <x:v>Тема: פרפר נחמד 🦋 | פרק 11 - מה לובשים למסיבה. Повторы, песенки и визуальные действия подходят для семейного входа в язык. Взрослым предлагать как отдельную опцию.</x:v>
      </x:c>
      <x:c r="N1072" s="10" t="str">
        <x:v>Короткая сценка: назвать предметы и повторить 3 простые конструкции.</x:v>
      </x:c>
      <x:c r="O1072" s="10" t="str">
        <x:v>Дошкольный формат; не навязывать взрослым</x:v>
      </x:c>
      <x:c r="P1072" s="10" t="str">
        <x:v>Самостоятельное видео</x:v>
      </x:c>
      <x:c r="Q1072" s="9" t="str">
        <x:v>Нет</x:v>
      </x:c>
      <x:c r="R1072" s="9" t="str">
        <x:v>C058</x:v>
      </x:c>
      <x:c r="S1072" s="9" t="str">
        <x:v>C058</x:v>
      </x:c>
      <x:c r="T1072" s="10" t="str">
        <x:v>כאן חינוכית</x:v>
      </x:c>
      <x:c r="U1072" s="11" t="str">
        <x:v>https://www.youtube.com/watch?v=_fU2t4G8JL0</x:v>
      </x:c>
      <x:c r="V1072" s="16" t="n">
        <x:v>46308</x:v>
      </x:c>
      <x:c r="W1072" s="16"/>
      <x:c r="X1072" s="10" t="str">
        <x:v>Иврит предполагается по заголовку и источнику</x:v>
      </x:c>
      <x:c r="Y1072" s="10" t="str">
        <x:v>Не проверено</x:v>
      </x:c>
      <x:c r="Z1072" s="10" t="str">
        <x:v>Не проверено</x:v>
      </x:c>
      <x:c r="AA1072" s="10" t="str">
        <x:v>Метаданные списка; видео не просмотрено</x:v>
      </x:c>
      <x:c r="AB1072" s="13" t="str">
        <x:f>IF(AND(ISNUMBER(H1072),ISNUMBER(W1072)),H1072/MAX(1,'Обзор'!$B$4-W1072),"")</x:f>
      </x:c>
      <x:c r="AC1072" s="17" t="str">
        <x:v>Не решено</x:v>
      </x:c>
      <x:c r="AD1072" s="17" t="str">
        <x:v>Не проверено</x:v>
      </x:c>
      <x:c r="AE1072" s="17" t="str">
        <x:v>Не проверено</x:v>
      </x:c>
      <x:c r="AF1072" s="17" t="str">
        <x:v>Не проверено</x:v>
      </x:c>
      <x:c r="AG1072" s="17" t="str">
        <x:v>Не решено</x:v>
      </x:c>
      <x:c r="AH1072" s="17" t="str">
        <x:v>Не проверено</x:v>
      </x:c>
      <x:c r="AI1072" s="10" t="str">
        <x:f>IF(AC1072="Отклонить","Отклонено",IF(AND(AC1072="Взять",COUNTIFS(AD1072:AH1072,"Да")=5),"Готово","Нужна редактура"))</x:f>
        <x:v>Нужна редактура</x:v>
      </x:c>
      <x:c r="AJ1072" s="17" t="str"/>
      <x:c r="AK1072" s="9" t="str">
        <x:v>https://www.youtube.com/playlist?list=PL51YAgTlfPj4qBlNfQYcVAT2tHJZQUQpx</x:v>
      </x:c>
      <x:c r="AL1072" s="9" t="n">
        <x:v>11</x:v>
      </x:c>
      <x:c r="AM1072" s="9" t="n">
        <x:v>11</x:v>
      </x:c>
      <x:c r="AN1072" s="9"/>
    </x:row>
    <x:row r="1073" ht="60" customHeight="1">
      <x:c r="A1073" s="9" t="str">
        <x:v>n0mds3jvIIM</x:v>
      </x:c>
      <x:c r="B1073" s="10" t="str">
        <x:v>פרפר נחמד 🦋 | פרק 12 - מעט, הרבה, המון</x:v>
      </x:c>
      <x:c r="C1073" s="10" t="str">
        <x:v>Первый иврит с семьёй</x:v>
      </x:c>
      <x:c r="D1073" s="9" t="str">
        <x:v>Образование</x:v>
      </x:c>
      <x:c r="E1073" s="10" t="str">
        <x:v>Начинающие; родители дошкольников</x:v>
      </x:c>
      <x:c r="F1073" s="10" t="str">
        <x:v>A1–A2 (гипотеза)</x:v>
      </x:c>
      <x:c r="G1073" s="12" t="n">
        <x:v>22.1</x:v>
      </x:c>
      <x:c r="H1073" s="14" t="n">
        <x:v>205332</x:v>
      </x:c>
      <x:c r="I1073" s="15" t="str">
        <x:v>Точный счётчик метаданных видео</x:v>
      </x:c>
      <x:c r="J1073" s="14" t="n">
        <x:v>205000</x:v>
      </x:c>
      <x:c r="K1073" s="14" t="n">
        <x:v>195000</x:v>
      </x:c>
      <x:c r="L1073" s="12" t="n">
        <x:f>IF(COUNT(J1073:K1073)=2,IF(K1073=0,"",J1073/K1073),"")</x:f>
        <x:v>1.0512820512820513</x:v>
      </x:c>
      <x:c r="M1073" s="10" t="str">
        <x:v>Тема: פרפר נחמד 🦋 | פרק 12 - מעט, הרבה, המון. Повторы, песенки и визуальные действия подходят для семейного входа в язык. Взрослым предлагать как отдельную опцию.</x:v>
      </x:c>
      <x:c r="N1073" s="10" t="str">
        <x:v>Короткая сценка: назвать предметы и повторить 3 простые конструкции.</x:v>
      </x:c>
      <x:c r="O1073" s="10" t="str">
        <x:v>Дошкольный формат; не навязывать взрослым</x:v>
      </x:c>
      <x:c r="P1073" s="10" t="str">
        <x:v>Самостоятельное видео</x:v>
      </x:c>
      <x:c r="Q1073" s="9" t="str">
        <x:v>Нет</x:v>
      </x:c>
      <x:c r="R1073" s="9" t="str">
        <x:v>C058</x:v>
      </x:c>
      <x:c r="S1073" s="9" t="str">
        <x:v>C058</x:v>
      </x:c>
      <x:c r="T1073" s="10" t="str">
        <x:v>כאן חינוכית</x:v>
      </x:c>
      <x:c r="U1073" s="11" t="str">
        <x:v>https://www.youtube.com/watch?v=n0mds3jvIIM</x:v>
      </x:c>
      <x:c r="V1073" s="16" t="n">
        <x:v>46308</x:v>
      </x:c>
      <x:c r="W1073" s="16" t="n">
        <x:v>44467</x:v>
      </x:c>
      <x:c r="X1073" s="10" t="str">
        <x:v>Иврит предполагается по заголовку и источнику</x:v>
      </x:c>
      <x:c r="Y1073" s="10" t="str">
        <x:v>Дорожка HE не найдена в метаданных; вшитые титры не проверены</x:v>
      </x:c>
      <x:c r="Z1073" s="10" t="str">
        <x:v>Разрешено по метаданным</x:v>
      </x:c>
      <x:c r="AA1073" s="10" t="str">
        <x:v>Метаданные видео; воспроизведение и содержание не проверены</x:v>
      </x:c>
      <x:c r="AB1073" s="13" t="n">
        <x:f>IF(AND(ISNUMBER(H1073),ISNUMBER(W1073)),H1073/MAX(1,'Обзор'!$B$4-W1073),"")</x:f>
        <x:v>111.53286257468767</x:v>
      </x:c>
      <x:c r="AC1073" s="17" t="str">
        <x:v>Не решено</x:v>
      </x:c>
      <x:c r="AD1073" s="17" t="str">
        <x:v>Не проверено</x:v>
      </x:c>
      <x:c r="AE1073" s="17" t="str">
        <x:v>Не проверено</x:v>
      </x:c>
      <x:c r="AF1073" s="17" t="str">
        <x:v>Не проверено</x:v>
      </x:c>
      <x:c r="AG1073" s="17" t="str">
        <x:v>Не решено</x:v>
      </x:c>
      <x:c r="AH1073" s="17" t="str">
        <x:v>Не проверено</x:v>
      </x:c>
      <x:c r="AI1073" s="10" t="str">
        <x:f>IF(AC1073="Отклонить","Отклонено",IF(AND(AC1073="Взять",COUNTIFS(AD1073:AH1073,"Да")=5),"Готово","Нужна редактура"))</x:f>
        <x:v>Нужна редактура</x:v>
      </x:c>
      <x:c r="AJ1073" s="17" t="str"/>
      <x:c r="AK1073" s="9" t="str">
        <x:v>https://www.youtube.com/playlist?list=PL51YAgTlfPj4qBlNfQYcVAT2tHJZQUQpx</x:v>
      </x:c>
      <x:c r="AL1073" s="9" t="n">
        <x:v>12</x:v>
      </x:c>
      <x:c r="AM1073" s="9" t="n">
        <x:v>12</x:v>
      </x:c>
      <x:c r="AN1073" s="9" t="n">
        <x:v>0</x:v>
      </x:c>
    </x:row>
    <x:row r="1074" ht="60" customHeight="1">
      <x:c r="A1074" s="9" t="str">
        <x:v>B4g80td4c8o</x:v>
      </x:c>
      <x:c r="B1074" s="10" t="str">
        <x:v>פרפר נחמד 🦋 | פרק 13 - חנוכה</x:v>
      </x:c>
      <x:c r="C1074" s="10" t="str">
        <x:v>Первый иврит с семьёй</x:v>
      </x:c>
      <x:c r="D1074" s="9" t="str">
        <x:v>Образование</x:v>
      </x:c>
      <x:c r="E1074" s="10" t="str">
        <x:v>Начинающие; родители дошкольников</x:v>
      </x:c>
      <x:c r="F1074" s="10" t="str">
        <x:v>A1–A2 (гипотеза)</x:v>
      </x:c>
      <x:c r="G1074" s="12" t="n">
        <x:v>20.4</x:v>
      </x:c>
      <x:c r="H1074" s="14" t="n">
        <x:v>395373</x:v>
      </x:c>
      <x:c r="I1074" s="15" t="str">
        <x:v>Точный счётчик метаданных видео</x:v>
      </x:c>
      <x:c r="J1074" s="14" t="n">
        <x:v>395000</x:v>
      </x:c>
      <x:c r="K1074" s="14" t="n">
        <x:v>195000</x:v>
      </x:c>
      <x:c r="L1074" s="12" t="n">
        <x:f>IF(COUNT(J1074:K1074)=2,IF(K1074=0,"",J1074/K1074),"")</x:f>
        <x:v>2.0256410256410255</x:v>
      </x:c>
      <x:c r="M1074" s="10" t="str">
        <x:v>Тема: פרפר נחמד 🦋 | פרק 13 - חנוכה. Просмотры в списке выше медианы выборки этого цикла в 2.03 раза. Повторы, песенки и визуальные действия подходят для семейного входа в язык. Взрослым предлагать как отдельную опцию.</x:v>
      </x:c>
      <x:c r="N1074" s="10" t="str">
        <x:v>Короткая сценка: назвать предметы и повторить 3 простые конструкции.</x:v>
      </x:c>
      <x:c r="O1074" s="10" t="str">
        <x:v>Дошкольный формат; не навязывать взрослым</x:v>
      </x:c>
      <x:c r="P1074" s="10" t="str">
        <x:v>Самостоятельное видео</x:v>
      </x:c>
      <x:c r="Q1074" s="9" t="str">
        <x:v>Нет</x:v>
      </x:c>
      <x:c r="R1074" s="9" t="str">
        <x:v>C058</x:v>
      </x:c>
      <x:c r="S1074" s="9" t="str">
        <x:v>C058</x:v>
      </x:c>
      <x:c r="T1074" s="10" t="str">
        <x:v>כאן חינוכית</x:v>
      </x:c>
      <x:c r="U1074" s="11" t="str">
        <x:v>https://www.youtube.com/watch?v=B4g80td4c8o</x:v>
      </x:c>
      <x:c r="V1074" s="16" t="n">
        <x:v>46308</x:v>
      </x:c>
      <x:c r="W1074" s="16" t="n">
        <x:v>44528</x:v>
      </x:c>
      <x:c r="X1074" s="10" t="str">
        <x:v>Иврит предполагается по заголовку и источнику</x:v>
      </x:c>
      <x:c r="Y1074" s="10" t="str">
        <x:v>Дорожка HE не найдена в метаданных; вшитые титры не проверены</x:v>
      </x:c>
      <x:c r="Z1074" s="10" t="str">
        <x:v>Разрешено по метаданным</x:v>
      </x:c>
      <x:c r="AA1074" s="10" t="str">
        <x:v>Метаданные видео; воспроизведение и содержание не проверены</x:v>
      </x:c>
      <x:c r="AB1074" s="13" t="n">
        <x:f>IF(AND(ISNUMBER(H1074),ISNUMBER(W1074)),H1074/MAX(1,'Обзор'!$B$4-W1074),"")</x:f>
        <x:v>222.11966292134832</x:v>
      </x:c>
      <x:c r="AC1074" s="17" t="str">
        <x:v>Не решено</x:v>
      </x:c>
      <x:c r="AD1074" s="17" t="str">
        <x:v>Не проверено</x:v>
      </x:c>
      <x:c r="AE1074" s="17" t="str">
        <x:v>Не проверено</x:v>
      </x:c>
      <x:c r="AF1074" s="17" t="str">
        <x:v>Не проверено</x:v>
      </x:c>
      <x:c r="AG1074" s="17" t="str">
        <x:v>Не решено</x:v>
      </x:c>
      <x:c r="AH1074" s="17" t="str">
        <x:v>Не проверено</x:v>
      </x:c>
      <x:c r="AI1074" s="10" t="str">
        <x:f>IF(AC1074="Отклонить","Отклонено",IF(AND(AC1074="Взять",COUNTIFS(AD1074:AH1074,"Да")=5),"Готово","Нужна редактура"))</x:f>
        <x:v>Нужна редактура</x:v>
      </x:c>
      <x:c r="AJ1074" s="17" t="str"/>
      <x:c r="AK1074" s="9" t="str">
        <x:v>https://www.youtube.com/playlist?list=PL51YAgTlfPj4qBlNfQYcVAT2tHJZQUQpx</x:v>
      </x:c>
      <x:c r="AL1074" s="9" t="n">
        <x:v>13</x:v>
      </x:c>
      <x:c r="AM1074" s="9" t="n">
        <x:v>13</x:v>
      </x:c>
      <x:c r="AN1074" s="9" t="n">
        <x:v>0</x:v>
      </x:c>
    </x:row>
    <x:row r="1075" ht="60" customHeight="1">
      <x:c r="A1075" s="9" t="str">
        <x:v>6q0QI9g7bJ4</x:v>
      </x:c>
      <x:c r="B1075" s="10" t="str">
        <x:v>פרפר נחמד 🦋 | פרק 14 - אוסף הכדורים של שבי</x:v>
      </x:c>
      <x:c r="C1075" s="10" t="str">
        <x:v>Первый иврит с семьёй</x:v>
      </x:c>
      <x:c r="D1075" s="9" t="str">
        <x:v>Образование</x:v>
      </x:c>
      <x:c r="E1075" s="10" t="str">
        <x:v>Начинающие; родители дошкольников</x:v>
      </x:c>
      <x:c r="F1075" s="10" t="str">
        <x:v>A1–A2 (гипотеза)</x:v>
      </x:c>
      <x:c r="G1075" s="12" t="n">
        <x:v>24</x:v>
      </x:c>
      <x:c r="H1075" s="14" t="n">
        <x:v>195000</x:v>
      </x:c>
      <x:c r="I1075" s="15" t="str">
        <x:v>Округлённый счётчик в списке YouTube</x:v>
      </x:c>
      <x:c r="J1075" s="14" t="n">
        <x:v>195000</x:v>
      </x:c>
      <x:c r="K1075" s="14" t="n">
        <x:v>195000</x:v>
      </x:c>
      <x:c r="L1075" s="12" t="n">
        <x:f>IF(COUNT(J1075:K1075)=2,IF(K1075=0,"",J1075/K1075),"")</x:f>
        <x:v>1</x:v>
      </x:c>
      <x:c r="M1075" s="10" t="str">
        <x:v>Тема: פרפר נחמד 🦋 | פרק 14 - אוסף הכדורים של שבי. Повторы, песенки и визуальные действия подходят для семейного входа в язык. Взрослым предлагать как отдельную опцию.</x:v>
      </x:c>
      <x:c r="N1075" s="10" t="str">
        <x:v>Короткая сценка: назвать предметы и повторить 3 простые конструкции.</x:v>
      </x:c>
      <x:c r="O1075" s="10" t="str">
        <x:v>Дошкольный формат; не навязывать взрослым</x:v>
      </x:c>
      <x:c r="P1075" s="10" t="str">
        <x:v>Самостоятельное видео</x:v>
      </x:c>
      <x:c r="Q1075" s="9" t="str">
        <x:v>Нет</x:v>
      </x:c>
      <x:c r="R1075" s="9" t="str">
        <x:v>C058</x:v>
      </x:c>
      <x:c r="S1075" s="9" t="str">
        <x:v>C058</x:v>
      </x:c>
      <x:c r="T1075" s="10" t="str">
        <x:v>כאן חינוכית</x:v>
      </x:c>
      <x:c r="U1075" s="11" t="str">
        <x:v>https://www.youtube.com/watch?v=6q0QI9g7bJ4</x:v>
      </x:c>
      <x:c r="V1075" s="16" t="n">
        <x:v>46308</x:v>
      </x:c>
      <x:c r="W1075" s="16"/>
      <x:c r="X1075" s="10" t="str">
        <x:v>Иврит предполагается по заголовку и источнику</x:v>
      </x:c>
      <x:c r="Y1075" s="10" t="str">
        <x:v>Не проверено</x:v>
      </x:c>
      <x:c r="Z1075" s="10" t="str">
        <x:v>Не проверено</x:v>
      </x:c>
      <x:c r="AA1075" s="10" t="str">
        <x:v>Метаданные списка; видео не просмотрено</x:v>
      </x:c>
      <x:c r="AB1075" s="13" t="str">
        <x:f>IF(AND(ISNUMBER(H1075),ISNUMBER(W1075)),H1075/MAX(1,'Обзор'!$B$4-W1075),"")</x:f>
      </x:c>
      <x:c r="AC1075" s="17" t="str">
        <x:v>Не решено</x:v>
      </x:c>
      <x:c r="AD1075" s="17" t="str">
        <x:v>Не проверено</x:v>
      </x:c>
      <x:c r="AE1075" s="17" t="str">
        <x:v>Не проверено</x:v>
      </x:c>
      <x:c r="AF1075" s="17" t="str">
        <x:v>Не проверено</x:v>
      </x:c>
      <x:c r="AG1075" s="17" t="str">
        <x:v>Не решено</x:v>
      </x:c>
      <x:c r="AH1075" s="17" t="str">
        <x:v>Не проверено</x:v>
      </x:c>
      <x:c r="AI1075" s="10" t="str">
        <x:f>IF(AC1075="Отклонить","Отклонено",IF(AND(AC1075="Взять",COUNTIFS(AD1075:AH1075,"Да")=5),"Готово","Нужна редактура"))</x:f>
        <x:v>Нужна редактура</x:v>
      </x:c>
      <x:c r="AJ1075" s="17" t="str"/>
      <x:c r="AK1075" s="9" t="str">
        <x:v>https://www.youtube.com/playlist?list=PL51YAgTlfPj4qBlNfQYcVAT2tHJZQUQpx</x:v>
      </x:c>
      <x:c r="AL1075" s="9" t="n">
        <x:v>14</x:v>
      </x:c>
      <x:c r="AM1075" s="9" t="n">
        <x:v>14</x:v>
      </x:c>
      <x:c r="AN1075" s="9"/>
    </x:row>
    <x:row r="1076" ht="60" customHeight="1">
      <x:c r="A1076" s="9" t="str">
        <x:v>LZsW-n2vNuQ</x:v>
      </x:c>
      <x:c r="B1076" s="10" t="str">
        <x:v>פרפר נחמד 🦋 | פרק 15 - הברוגז של שבי</x:v>
      </x:c>
      <x:c r="C1076" s="10" t="str">
        <x:v>Первый иврит с семьёй</x:v>
      </x:c>
      <x:c r="D1076" s="9" t="str">
        <x:v>Образование</x:v>
      </x:c>
      <x:c r="E1076" s="10" t="str">
        <x:v>Начинающие; родители дошкольников</x:v>
      </x:c>
      <x:c r="F1076" s="10" t="str">
        <x:v>A1–A2 (гипотеза)</x:v>
      </x:c>
      <x:c r="G1076" s="12" t="n">
        <x:v>21</x:v>
      </x:c>
      <x:c r="H1076" s="14" t="n">
        <x:v>140000</x:v>
      </x:c>
      <x:c r="I1076" s="15" t="str">
        <x:v>Округлённый счётчик в списке YouTube</x:v>
      </x:c>
      <x:c r="J1076" s="14" t="n">
        <x:v>140000</x:v>
      </x:c>
      <x:c r="K1076" s="14" t="n">
        <x:v>195000</x:v>
      </x:c>
      <x:c r="L1076" s="12" t="n">
        <x:f>IF(COUNT(J1076:K1076)=2,IF(K1076=0,"",J1076/K1076),"")</x:f>
        <x:v>0.717948717948718</x:v>
      </x:c>
      <x:c r="M1076" s="10" t="str">
        <x:v>Тема: פרפר נחמד 🦋 | פרק 15 - הברוגז של שבי. Повторы, песенки и визуальные действия подходят для семейного входа в язык. Взрослым предлагать как отдельную опцию.</x:v>
      </x:c>
      <x:c r="N1076" s="10" t="str">
        <x:v>Короткая сценка: назвать предметы и повторить 3 простые конструкции.</x:v>
      </x:c>
      <x:c r="O1076" s="10" t="str">
        <x:v>Дошкольный формат; не навязывать взрослым</x:v>
      </x:c>
      <x:c r="P1076" s="10" t="str">
        <x:v>Самостоятельное видео</x:v>
      </x:c>
      <x:c r="Q1076" s="9" t="str">
        <x:v>Нет</x:v>
      </x:c>
      <x:c r="R1076" s="9" t="str">
        <x:v>C058</x:v>
      </x:c>
      <x:c r="S1076" s="9" t="str">
        <x:v>C058</x:v>
      </x:c>
      <x:c r="T1076" s="10" t="str">
        <x:v>כאן חינוכית</x:v>
      </x:c>
      <x:c r="U1076" s="11" t="str">
        <x:v>https://www.youtube.com/watch?v=LZsW-n2vNuQ</x:v>
      </x:c>
      <x:c r="V1076" s="16" t="n">
        <x:v>46308</x:v>
      </x:c>
      <x:c r="W1076" s="16"/>
      <x:c r="X1076" s="10" t="str">
        <x:v>Иврит предполагается по заголовку и источнику</x:v>
      </x:c>
      <x:c r="Y1076" s="10" t="str">
        <x:v>Не проверено</x:v>
      </x:c>
      <x:c r="Z1076" s="10" t="str">
        <x:v>Не проверено</x:v>
      </x:c>
      <x:c r="AA1076" s="10" t="str">
        <x:v>Метаданные списка; видео не просмотрено</x:v>
      </x:c>
      <x:c r="AB1076" s="13" t="str">
        <x:f>IF(AND(ISNUMBER(H1076),ISNUMBER(W1076)),H1076/MAX(1,'Обзор'!$B$4-W1076),"")</x:f>
      </x:c>
      <x:c r="AC1076" s="17" t="str">
        <x:v>Не решено</x:v>
      </x:c>
      <x:c r="AD1076" s="17" t="str">
        <x:v>Не проверено</x:v>
      </x:c>
      <x:c r="AE1076" s="17" t="str">
        <x:v>Не проверено</x:v>
      </x:c>
      <x:c r="AF1076" s="17" t="str">
        <x:v>Не проверено</x:v>
      </x:c>
      <x:c r="AG1076" s="17" t="str">
        <x:v>Не решено</x:v>
      </x:c>
      <x:c r="AH1076" s="17" t="str">
        <x:v>Не проверено</x:v>
      </x:c>
      <x:c r="AI1076" s="10" t="str">
        <x:f>IF(AC1076="Отклонить","Отклонено",IF(AND(AC1076="Взять",COUNTIFS(AD1076:AH1076,"Да")=5),"Готово","Нужна редактура"))</x:f>
        <x:v>Нужна редактура</x:v>
      </x:c>
      <x:c r="AJ1076" s="17" t="str"/>
      <x:c r="AK1076" s="9" t="str">
        <x:v>https://www.youtube.com/playlist?list=PL51YAgTlfPj4qBlNfQYcVAT2tHJZQUQpx</x:v>
      </x:c>
      <x:c r="AL1076" s="9" t="n">
        <x:v>15</x:v>
      </x:c>
      <x:c r="AM1076" s="9" t="n">
        <x:v>15</x:v>
      </x:c>
      <x:c r="AN1076" s="9"/>
    </x:row>
    <x:row r="1077" ht="60" customHeight="1">
      <x:c r="A1077" s="9" t="str">
        <x:v>4Ryj77wasTc</x:v>
      </x:c>
      <x:c r="B1077" s="10" t="str">
        <x:v>פרפר נחמד 🦋 | פרק 16 - גשם של טבעות</x:v>
      </x:c>
      <x:c r="C1077" s="10" t="str">
        <x:v>Первый иврит с семьёй</x:v>
      </x:c>
      <x:c r="D1077" s="9" t="str">
        <x:v>Образование</x:v>
      </x:c>
      <x:c r="E1077" s="10" t="str">
        <x:v>Начинающие; родители дошкольников</x:v>
      </x:c>
      <x:c r="F1077" s="10" t="str">
        <x:v>A1–A2 (гипотеза)</x:v>
      </x:c>
      <x:c r="G1077" s="12" t="n">
        <x:v>20.1</x:v>
      </x:c>
      <x:c r="H1077" s="14" t="n">
        <x:v>120000</x:v>
      </x:c>
      <x:c r="I1077" s="15" t="str">
        <x:v>Округлённый счётчик в списке YouTube</x:v>
      </x:c>
      <x:c r="J1077" s="14" t="n">
        <x:v>120000</x:v>
      </x:c>
      <x:c r="K1077" s="14" t="n">
        <x:v>195000</x:v>
      </x:c>
      <x:c r="L1077" s="12" t="n">
        <x:f>IF(COUNT(J1077:K1077)=2,IF(K1077=0,"",J1077/K1077),"")</x:f>
        <x:v>0.6153846153846154</x:v>
      </x:c>
      <x:c r="M1077" s="10" t="str">
        <x:v>Тема: פרפר נחמד 🦋 | פרק 16 - גשם של טבעות. Повторы, песенки и визуальные действия подходят для семейного входа в язык. Взрослым предлагать как отдельную опцию.</x:v>
      </x:c>
      <x:c r="N1077" s="10" t="str">
        <x:v>Короткая сценка: назвать предметы и повторить 3 простые конструкции.</x:v>
      </x:c>
      <x:c r="O1077" s="10" t="str">
        <x:v>Дошкольный формат; не навязывать взрослым</x:v>
      </x:c>
      <x:c r="P1077" s="10" t="str">
        <x:v>Самостоятельное видео</x:v>
      </x:c>
      <x:c r="Q1077" s="9" t="str">
        <x:v>Нет</x:v>
      </x:c>
      <x:c r="R1077" s="9" t="str">
        <x:v>C058</x:v>
      </x:c>
      <x:c r="S1077" s="9" t="str">
        <x:v>C058</x:v>
      </x:c>
      <x:c r="T1077" s="10" t="str">
        <x:v>כאן חינוכית</x:v>
      </x:c>
      <x:c r="U1077" s="11" t="str">
        <x:v>https://www.youtube.com/watch?v=4Ryj77wasTc</x:v>
      </x:c>
      <x:c r="V1077" s="16" t="n">
        <x:v>46308</x:v>
      </x:c>
      <x:c r="W1077" s="16"/>
      <x:c r="X1077" s="10" t="str">
        <x:v>Иврит предполагается по заголовку и источнику</x:v>
      </x:c>
      <x:c r="Y1077" s="10" t="str">
        <x:v>Не проверено</x:v>
      </x:c>
      <x:c r="Z1077" s="10" t="str">
        <x:v>Не проверено</x:v>
      </x:c>
      <x:c r="AA1077" s="10" t="str">
        <x:v>Метаданные списка; видео не просмотрено</x:v>
      </x:c>
      <x:c r="AB1077" s="13" t="str">
        <x:f>IF(AND(ISNUMBER(H1077),ISNUMBER(W1077)),H1077/MAX(1,'Обзор'!$B$4-W1077),"")</x:f>
      </x:c>
      <x:c r="AC1077" s="17" t="str">
        <x:v>Не решено</x:v>
      </x:c>
      <x:c r="AD1077" s="17" t="str">
        <x:v>Не проверено</x:v>
      </x:c>
      <x:c r="AE1077" s="17" t="str">
        <x:v>Не проверено</x:v>
      </x:c>
      <x:c r="AF1077" s="17" t="str">
        <x:v>Не проверено</x:v>
      </x:c>
      <x:c r="AG1077" s="17" t="str">
        <x:v>Не решено</x:v>
      </x:c>
      <x:c r="AH1077" s="17" t="str">
        <x:v>Не проверено</x:v>
      </x:c>
      <x:c r="AI1077" s="10" t="str">
        <x:f>IF(AC1077="Отклонить","Отклонено",IF(AND(AC1077="Взять",COUNTIFS(AD1077:AH1077,"Да")=5),"Готово","Нужна редактура"))</x:f>
        <x:v>Нужна редактура</x:v>
      </x:c>
      <x:c r="AJ1077" s="17" t="str"/>
      <x:c r="AK1077" s="9" t="str">
        <x:v>https://www.youtube.com/playlist?list=PL51YAgTlfPj4qBlNfQYcVAT2tHJZQUQpx</x:v>
      </x:c>
      <x:c r="AL1077" s="9" t="n">
        <x:v>16</x:v>
      </x:c>
      <x:c r="AM1077" s="9" t="n">
        <x:v>16</x:v>
      </x:c>
      <x:c r="AN1077" s="9"/>
    </x:row>
    <x:row r="1078" ht="60" customHeight="1">
      <x:c r="A1078" s="9" t="str">
        <x:v>I6dYS7eueJk</x:v>
      </x:c>
      <x:c r="B1078" s="10" t="str">
        <x:v>פרפר נחמד 🦋 | פרק 17 - בץ מדבר בצית</x:v>
      </x:c>
      <x:c r="C1078" s="10" t="str">
        <x:v>Первый иврит с семьёй</x:v>
      </x:c>
      <x:c r="D1078" s="9" t="str">
        <x:v>Образование</x:v>
      </x:c>
      <x:c r="E1078" s="10" t="str">
        <x:v>Начинающие; родители дошкольников</x:v>
      </x:c>
      <x:c r="F1078" s="10" t="str">
        <x:v>A1–A2 (гипотеза)</x:v>
      </x:c>
      <x:c r="G1078" s="12" t="n">
        <x:v>18.6</x:v>
      </x:c>
      <x:c r="H1078" s="14" t="n">
        <x:v>100000</x:v>
      </x:c>
      <x:c r="I1078" s="15" t="str">
        <x:v>Округлённый счётчик в списке YouTube</x:v>
      </x:c>
      <x:c r="J1078" s="14" t="n">
        <x:v>100000</x:v>
      </x:c>
      <x:c r="K1078" s="14" t="n">
        <x:v>195000</x:v>
      </x:c>
      <x:c r="L1078" s="12" t="n">
        <x:f>IF(COUNT(J1078:K1078)=2,IF(K1078=0,"",J1078/K1078),"")</x:f>
        <x:v>0.5128205128205128</x:v>
      </x:c>
      <x:c r="M1078" s="10" t="str">
        <x:v>Тема: פרפר נחמד 🦋 | פרק 17 - בץ מדבר בצית. Повторы, песенки и визуальные действия подходят для семейного входа в язык. Взрослым предлагать как отдельную опцию.</x:v>
      </x:c>
      <x:c r="N1078" s="10" t="str">
        <x:v>Короткая сценка: назвать предметы и повторить 3 простые конструкции.</x:v>
      </x:c>
      <x:c r="O1078" s="10" t="str">
        <x:v>Дошкольный формат; не навязывать взрослым</x:v>
      </x:c>
      <x:c r="P1078" s="10" t="str">
        <x:v>Самостоятельное видео</x:v>
      </x:c>
      <x:c r="Q1078" s="9" t="str">
        <x:v>Нет</x:v>
      </x:c>
      <x:c r="R1078" s="9" t="str">
        <x:v>C058</x:v>
      </x:c>
      <x:c r="S1078" s="9" t="str">
        <x:v>C058</x:v>
      </x:c>
      <x:c r="T1078" s="10" t="str">
        <x:v>כאן חינוכית</x:v>
      </x:c>
      <x:c r="U1078" s="11" t="str">
        <x:v>https://www.youtube.com/watch?v=I6dYS7eueJk</x:v>
      </x:c>
      <x:c r="V1078" s="16" t="n">
        <x:v>46308</x:v>
      </x:c>
      <x:c r="W1078" s="16"/>
      <x:c r="X1078" s="10" t="str">
        <x:v>Иврит предполагается по заголовку и источнику</x:v>
      </x:c>
      <x:c r="Y1078" s="10" t="str">
        <x:v>Не проверено</x:v>
      </x:c>
      <x:c r="Z1078" s="10" t="str">
        <x:v>Не проверено</x:v>
      </x:c>
      <x:c r="AA1078" s="10" t="str">
        <x:v>Метаданные списка; видео не просмотрено</x:v>
      </x:c>
      <x:c r="AB1078" s="13" t="str">
        <x:f>IF(AND(ISNUMBER(H1078),ISNUMBER(W1078)),H1078/MAX(1,'Обзор'!$B$4-W1078),"")</x:f>
      </x:c>
      <x:c r="AC1078" s="17" t="str">
        <x:v>Не решено</x:v>
      </x:c>
      <x:c r="AD1078" s="17" t="str">
        <x:v>Не проверено</x:v>
      </x:c>
      <x:c r="AE1078" s="17" t="str">
        <x:v>Не проверено</x:v>
      </x:c>
      <x:c r="AF1078" s="17" t="str">
        <x:v>Не проверено</x:v>
      </x:c>
      <x:c r="AG1078" s="17" t="str">
        <x:v>Не решено</x:v>
      </x:c>
      <x:c r="AH1078" s="17" t="str">
        <x:v>Не проверено</x:v>
      </x:c>
      <x:c r="AI1078" s="10" t="str">
        <x:f>IF(AC1078="Отклонить","Отклонено",IF(AND(AC1078="Взять",COUNTIFS(AD1078:AH1078,"Да")=5),"Готово","Нужна редактура"))</x:f>
        <x:v>Нужна редактура</x:v>
      </x:c>
      <x:c r="AJ1078" s="17" t="str"/>
      <x:c r="AK1078" s="9" t="str">
        <x:v>https://www.youtube.com/playlist?list=PL51YAgTlfPj4qBlNfQYcVAT2tHJZQUQpx</x:v>
      </x:c>
      <x:c r="AL1078" s="9" t="n">
        <x:v>17</x:v>
      </x:c>
      <x:c r="AM1078" s="9" t="n">
        <x:v>17</x:v>
      </x:c>
      <x:c r="AN1078" s="9"/>
    </x:row>
    <x:row r="1079" ht="60" customHeight="1">
      <x:c r="A1079" s="9" t="str">
        <x:v>uCFm-csq_ls</x:v>
      </x:c>
      <x:c r="B1079" s="10" t="str">
        <x:v>פרפר נחמד 🦋 | פרק 18 - לבריאות שבי מדביק</x:v>
      </x:c>
      <x:c r="C1079" s="10" t="str">
        <x:v>Первый иврит с семьёй</x:v>
      </x:c>
      <x:c r="D1079" s="9" t="str">
        <x:v>Образование</x:v>
      </x:c>
      <x:c r="E1079" s="10" t="str">
        <x:v>Начинающие; родители дошкольников</x:v>
      </x:c>
      <x:c r="F1079" s="10" t="str">
        <x:v>A1–A2 (гипотеза)</x:v>
      </x:c>
      <x:c r="G1079" s="12" t="n">
        <x:v>21.2</x:v>
      </x:c>
      <x:c r="H1079" s="14" t="n">
        <x:v>142000</x:v>
      </x:c>
      <x:c r="I1079" s="15" t="str">
        <x:v>Округлённый счётчик в списке YouTube</x:v>
      </x:c>
      <x:c r="J1079" s="14" t="n">
        <x:v>142000</x:v>
      </x:c>
      <x:c r="K1079" s="14" t="n">
        <x:v>195000</x:v>
      </x:c>
      <x:c r="L1079" s="12" t="n">
        <x:f>IF(COUNT(J1079:K1079)=2,IF(K1079=0,"",J1079/K1079),"")</x:f>
        <x:v>0.7282051282051282</x:v>
      </x:c>
      <x:c r="M1079" s="10" t="str">
        <x:v>Тема: פרפר נחמד 🦋 | פרק 18 - לבריאות שבי מדביק. Повторы, песенки и визуальные действия подходят для семейного входа в язык. Взрослым предлагать как отдельную опцию.</x:v>
      </x:c>
      <x:c r="N1079" s="10" t="str">
        <x:v>Короткая сценка: назвать предметы и повторить 3 простые конструкции.</x:v>
      </x:c>
      <x:c r="O1079" s="10" t="str">
        <x:v>Дошкольный формат; не навязывать взрослым</x:v>
      </x:c>
      <x:c r="P1079" s="10" t="str">
        <x:v>Самостоятельное видео</x:v>
      </x:c>
      <x:c r="Q1079" s="9" t="str">
        <x:v>Нет</x:v>
      </x:c>
      <x:c r="R1079" s="9" t="str">
        <x:v>C058</x:v>
      </x:c>
      <x:c r="S1079" s="9" t="str">
        <x:v>C058</x:v>
      </x:c>
      <x:c r="T1079" s="10" t="str">
        <x:v>כאן חינוכית</x:v>
      </x:c>
      <x:c r="U1079" s="11" t="str">
        <x:v>https://www.youtube.com/watch?v=uCFm-csq_ls</x:v>
      </x:c>
      <x:c r="V1079" s="16" t="n">
        <x:v>46308</x:v>
      </x:c>
      <x:c r="W1079" s="16"/>
      <x:c r="X1079" s="10" t="str">
        <x:v>Иврит предполагается по заголовку и источнику</x:v>
      </x:c>
      <x:c r="Y1079" s="10" t="str">
        <x:v>Не проверено</x:v>
      </x:c>
      <x:c r="Z1079" s="10" t="str">
        <x:v>Не проверено</x:v>
      </x:c>
      <x:c r="AA1079" s="10" t="str">
        <x:v>Метаданные списка; видео не просмотрено</x:v>
      </x:c>
      <x:c r="AB1079" s="13" t="str">
        <x:f>IF(AND(ISNUMBER(H1079),ISNUMBER(W1079)),H1079/MAX(1,'Обзор'!$B$4-W1079),"")</x:f>
      </x:c>
      <x:c r="AC1079" s="17" t="str">
        <x:v>Не решено</x:v>
      </x:c>
      <x:c r="AD1079" s="17" t="str">
        <x:v>Не проверено</x:v>
      </x:c>
      <x:c r="AE1079" s="17" t="str">
        <x:v>Не проверено</x:v>
      </x:c>
      <x:c r="AF1079" s="17" t="str">
        <x:v>Не проверено</x:v>
      </x:c>
      <x:c r="AG1079" s="17" t="str">
        <x:v>Не решено</x:v>
      </x:c>
      <x:c r="AH1079" s="17" t="str">
        <x:v>Не проверено</x:v>
      </x:c>
      <x:c r="AI1079" s="10" t="str">
        <x:f>IF(AC1079="Отклонить","Отклонено",IF(AND(AC1079="Взять",COUNTIFS(AD1079:AH1079,"Да")=5),"Готово","Нужна редактура"))</x:f>
        <x:v>Нужна редактура</x:v>
      </x:c>
      <x:c r="AJ1079" s="17" t="str"/>
      <x:c r="AK1079" s="9" t="str">
        <x:v>https://www.youtube.com/playlist?list=PL51YAgTlfPj4qBlNfQYcVAT2tHJZQUQpx</x:v>
      </x:c>
      <x:c r="AL1079" s="9" t="n">
        <x:v>18</x:v>
      </x:c>
      <x:c r="AM1079" s="9" t="n">
        <x:v>18</x:v>
      </x:c>
      <x:c r="AN1079" s="9"/>
    </x:row>
    <x:row r="1080" ht="60" customHeight="1">
      <x:c r="A1080" s="9" t="str">
        <x:v>kEZeBuAEaAg</x:v>
      </x:c>
      <x:c r="B1080" s="10" t="str">
        <x:v>פרפר נחמד 🦋 | פרק 19 - ממציאים המצאות</x:v>
      </x:c>
      <x:c r="C1080" s="10" t="str">
        <x:v>Первый иврит с семьёй</x:v>
      </x:c>
      <x:c r="D1080" s="9" t="str">
        <x:v>Образование</x:v>
      </x:c>
      <x:c r="E1080" s="10" t="str">
        <x:v>Начинающие; родители дошкольников</x:v>
      </x:c>
      <x:c r="F1080" s="10" t="str">
        <x:v>A1–A2 (гипотеза)</x:v>
      </x:c>
      <x:c r="G1080" s="12" t="n">
        <x:v>20.1</x:v>
      </x:c>
      <x:c r="H1080" s="14" t="n">
        <x:v>125000</x:v>
      </x:c>
      <x:c r="I1080" s="15" t="str">
        <x:v>Округлённый счётчик в списке YouTube</x:v>
      </x:c>
      <x:c r="J1080" s="14" t="n">
        <x:v>125000</x:v>
      </x:c>
      <x:c r="K1080" s="14" t="n">
        <x:v>195000</x:v>
      </x:c>
      <x:c r="L1080" s="12" t="n">
        <x:f>IF(COUNT(J1080:K1080)=2,IF(K1080=0,"",J1080/K1080),"")</x:f>
        <x:v>0.6410256410256411</x:v>
      </x:c>
      <x:c r="M1080" s="10" t="str">
        <x:v>Тема: פרפר נחמד 🦋 | פרק 19 - ממציאים המצאות. Повторы, песенки и визуальные действия подходят для семейного входа в язык. Взрослым предлагать как отдельную опцию.</x:v>
      </x:c>
      <x:c r="N1080" s="10" t="str">
        <x:v>Короткая сценка: назвать предметы и повторить 3 простые конструкции.</x:v>
      </x:c>
      <x:c r="O1080" s="10" t="str">
        <x:v>Дошкольный формат; не навязывать взрослым</x:v>
      </x:c>
      <x:c r="P1080" s="10" t="str">
        <x:v>Самостоятельное видео</x:v>
      </x:c>
      <x:c r="Q1080" s="9" t="str">
        <x:v>Нет</x:v>
      </x:c>
      <x:c r="R1080" s="9" t="str">
        <x:v>C058</x:v>
      </x:c>
      <x:c r="S1080" s="9" t="str">
        <x:v>C058</x:v>
      </x:c>
      <x:c r="T1080" s="10" t="str">
        <x:v>כאן חינוכית</x:v>
      </x:c>
      <x:c r="U1080" s="11" t="str">
        <x:v>https://www.youtube.com/watch?v=kEZeBuAEaAg</x:v>
      </x:c>
      <x:c r="V1080" s="16" t="n">
        <x:v>46308</x:v>
      </x:c>
      <x:c r="W1080" s="16"/>
      <x:c r="X1080" s="10" t="str">
        <x:v>Иврит предполагается по заголовку и источнику</x:v>
      </x:c>
      <x:c r="Y1080" s="10" t="str">
        <x:v>Не проверено</x:v>
      </x:c>
      <x:c r="Z1080" s="10" t="str">
        <x:v>Не проверено</x:v>
      </x:c>
      <x:c r="AA1080" s="10" t="str">
        <x:v>Метаданные списка; видео не просмотрено</x:v>
      </x:c>
      <x:c r="AB1080" s="13" t="str">
        <x:f>IF(AND(ISNUMBER(H1080),ISNUMBER(W1080)),H1080/MAX(1,'Обзор'!$B$4-W1080),"")</x:f>
      </x:c>
      <x:c r="AC1080" s="17" t="str">
        <x:v>Не решено</x:v>
      </x:c>
      <x:c r="AD1080" s="17" t="str">
        <x:v>Не проверено</x:v>
      </x:c>
      <x:c r="AE1080" s="17" t="str">
        <x:v>Не проверено</x:v>
      </x:c>
      <x:c r="AF1080" s="17" t="str">
        <x:v>Не проверено</x:v>
      </x:c>
      <x:c r="AG1080" s="17" t="str">
        <x:v>Не решено</x:v>
      </x:c>
      <x:c r="AH1080" s="17" t="str">
        <x:v>Не проверено</x:v>
      </x:c>
      <x:c r="AI1080" s="10" t="str">
        <x:f>IF(AC1080="Отклонить","Отклонено",IF(AND(AC1080="Взять",COUNTIFS(AD1080:AH1080,"Да")=5),"Готово","Нужна редактура"))</x:f>
        <x:v>Нужна редактура</x:v>
      </x:c>
      <x:c r="AJ1080" s="17" t="str"/>
      <x:c r="AK1080" s="9" t="str">
        <x:v>https://www.youtube.com/playlist?list=PL51YAgTlfPj4qBlNfQYcVAT2tHJZQUQpx</x:v>
      </x:c>
      <x:c r="AL1080" s="9" t="n">
        <x:v>19</x:v>
      </x:c>
      <x:c r="AM1080" s="9" t="n">
        <x:v>19</x:v>
      </x:c>
      <x:c r="AN1080" s="9"/>
    </x:row>
    <x:row r="1081" ht="60" customHeight="1">
      <x:c r="A1081" s="9" t="str">
        <x:v>BqbBiEL5rpI</x:v>
      </x:c>
      <x:c r="B1081" s="10" t="str">
        <x:v>פרפר נחמד 🦋 | פרק 20 - חברים לעפיפון</x:v>
      </x:c>
      <x:c r="C1081" s="10" t="str">
        <x:v>Первый иврит с семьёй</x:v>
      </x:c>
      <x:c r="D1081" s="9" t="str">
        <x:v>Образование</x:v>
      </x:c>
      <x:c r="E1081" s="10" t="str">
        <x:v>Начинающие; родители дошкольников</x:v>
      </x:c>
      <x:c r="F1081" s="10" t="str">
        <x:v>A1–A2 (гипотеза)</x:v>
      </x:c>
      <x:c r="G1081" s="12" t="n">
        <x:v>23.6</x:v>
      </x:c>
      <x:c r="H1081" s="14" t="n">
        <x:v>110000</x:v>
      </x:c>
      <x:c r="I1081" s="15" t="str">
        <x:v>Округлённый счётчик в списке YouTube</x:v>
      </x:c>
      <x:c r="J1081" s="14" t="n">
        <x:v>110000</x:v>
      </x:c>
      <x:c r="K1081" s="14" t="n">
        <x:v>195000</x:v>
      </x:c>
      <x:c r="L1081" s="12" t="n">
        <x:f>IF(COUNT(J1081:K1081)=2,IF(K1081=0,"",J1081/K1081),"")</x:f>
        <x:v>0.5641025641025641</x:v>
      </x:c>
      <x:c r="M1081" s="10" t="str">
        <x:v>Тема: פרפר נחמד 🦋 | פרק 20 - חברים לעפיפון. Повторы, песенки и визуальные действия подходят для семейного входа в язык. Взрослым предлагать как отдельную опцию.</x:v>
      </x:c>
      <x:c r="N1081" s="10" t="str">
        <x:v>Короткая сценка: назвать предметы и повторить 3 простые конструкции.</x:v>
      </x:c>
      <x:c r="O1081" s="10" t="str">
        <x:v>Дошкольный формат; не навязывать взрослым</x:v>
      </x:c>
      <x:c r="P1081" s="10" t="str">
        <x:v>Самостоятельное видео</x:v>
      </x:c>
      <x:c r="Q1081" s="9" t="str">
        <x:v>Нет</x:v>
      </x:c>
      <x:c r="R1081" s="9" t="str">
        <x:v>C058</x:v>
      </x:c>
      <x:c r="S1081" s="9" t="str">
        <x:v>C058</x:v>
      </x:c>
      <x:c r="T1081" s="10" t="str">
        <x:v>כאן חינוכית</x:v>
      </x:c>
      <x:c r="U1081" s="11" t="str">
        <x:v>https://www.youtube.com/watch?v=BqbBiEL5rpI</x:v>
      </x:c>
      <x:c r="V1081" s="16" t="n">
        <x:v>46308</x:v>
      </x:c>
      <x:c r="W1081" s="16"/>
      <x:c r="X1081" s="10" t="str">
        <x:v>Иврит предполагается по заголовку и источнику</x:v>
      </x:c>
      <x:c r="Y1081" s="10" t="str">
        <x:v>Не проверено</x:v>
      </x:c>
      <x:c r="Z1081" s="10" t="str">
        <x:v>Не проверено</x:v>
      </x:c>
      <x:c r="AA1081" s="10" t="str">
        <x:v>Метаданные списка; видео не просмотрено</x:v>
      </x:c>
      <x:c r="AB1081" s="13" t="str">
        <x:f>IF(AND(ISNUMBER(H1081),ISNUMBER(W1081)),H1081/MAX(1,'Обзор'!$B$4-W1081),"")</x:f>
      </x:c>
      <x:c r="AC1081" s="17" t="str">
        <x:v>Не решено</x:v>
      </x:c>
      <x:c r="AD1081" s="17" t="str">
        <x:v>Не проверено</x:v>
      </x:c>
      <x:c r="AE1081" s="17" t="str">
        <x:v>Не проверено</x:v>
      </x:c>
      <x:c r="AF1081" s="17" t="str">
        <x:v>Не проверено</x:v>
      </x:c>
      <x:c r="AG1081" s="17" t="str">
        <x:v>Не решено</x:v>
      </x:c>
      <x:c r="AH1081" s="17" t="str">
        <x:v>Не проверено</x:v>
      </x:c>
      <x:c r="AI1081" s="10" t="str">
        <x:f>IF(AC1081="Отклонить","Отклонено",IF(AND(AC1081="Взять",COUNTIFS(AD1081:AH1081,"Да")=5),"Готово","Нужна редактура"))</x:f>
        <x:v>Нужна редактура</x:v>
      </x:c>
      <x:c r="AJ1081" s="17" t="str"/>
      <x:c r="AK1081" s="9" t="str">
        <x:v>https://www.youtube.com/playlist?list=PL51YAgTlfPj4qBlNfQYcVAT2tHJZQUQpx</x:v>
      </x:c>
      <x:c r="AL1081" s="9" t="n">
        <x:v>20</x:v>
      </x:c>
      <x:c r="AM1081" s="9" t="n">
        <x:v>20</x:v>
      </x:c>
      <x:c r="AN1081" s="9"/>
    </x:row>
    <x:row r="1082" ht="60" customHeight="1">
      <x:c r="A1082" s="9" t="str">
        <x:v>WMAH6kX43QM</x:v>
      </x:c>
      <x:c r="B1082" s="10" t="str">
        <x:v>פרפר נחמד 🦋 | פרק 21 - האוטובץ</x:v>
      </x:c>
      <x:c r="C1082" s="10" t="str">
        <x:v>Первый иврит с семьёй</x:v>
      </x:c>
      <x:c r="D1082" s="9" t="str">
        <x:v>Образование</x:v>
      </x:c>
      <x:c r="E1082" s="10" t="str">
        <x:v>Начинающие; родители дошкольников</x:v>
      </x:c>
      <x:c r="F1082" s="10" t="str">
        <x:v>A1–A2 (гипотеза)</x:v>
      </x:c>
      <x:c r="G1082" s="12" t="n">
        <x:v>21.3</x:v>
      </x:c>
      <x:c r="H1082" s="14" t="n">
        <x:v>161000</x:v>
      </x:c>
      <x:c r="I1082" s="15" t="str">
        <x:v>Округлённый счётчик в списке YouTube</x:v>
      </x:c>
      <x:c r="J1082" s="14" t="n">
        <x:v>161000</x:v>
      </x:c>
      <x:c r="K1082" s="14" t="n">
        <x:v>195000</x:v>
      </x:c>
      <x:c r="L1082" s="12" t="n">
        <x:f>IF(COUNT(J1082:K1082)=2,IF(K1082=0,"",J1082/K1082),"")</x:f>
        <x:v>0.8256410256410256</x:v>
      </x:c>
      <x:c r="M1082" s="10" t="str">
        <x:v>Тема: פרפר נחמד 🦋 | פרק 21 - האוטובץ. Повторы, песенки и визуальные действия подходят для семейного входа в язык. Взрослым предлагать как отдельную опцию.</x:v>
      </x:c>
      <x:c r="N1082" s="10" t="str">
        <x:v>Короткая сценка: назвать предметы и повторить 3 простые конструкции.</x:v>
      </x:c>
      <x:c r="O1082" s="10" t="str">
        <x:v>Дошкольный формат; не навязывать взрослым</x:v>
      </x:c>
      <x:c r="P1082" s="10" t="str">
        <x:v>Самостоятельное видео</x:v>
      </x:c>
      <x:c r="Q1082" s="9" t="str">
        <x:v>Нет</x:v>
      </x:c>
      <x:c r="R1082" s="9" t="str">
        <x:v>C058</x:v>
      </x:c>
      <x:c r="S1082" s="9" t="str">
        <x:v>C058</x:v>
      </x:c>
      <x:c r="T1082" s="10" t="str">
        <x:v>כאן חינוכית</x:v>
      </x:c>
      <x:c r="U1082" s="11" t="str">
        <x:v>https://www.youtube.com/watch?v=WMAH6kX43QM</x:v>
      </x:c>
      <x:c r="V1082" s="16" t="n">
        <x:v>46308</x:v>
      </x:c>
      <x:c r="W1082" s="16"/>
      <x:c r="X1082" s="10" t="str">
        <x:v>Иврит предполагается по заголовку и источнику</x:v>
      </x:c>
      <x:c r="Y1082" s="10" t="str">
        <x:v>Не проверено</x:v>
      </x:c>
      <x:c r="Z1082" s="10" t="str">
        <x:v>Не проверено</x:v>
      </x:c>
      <x:c r="AA1082" s="10" t="str">
        <x:v>Метаданные списка; видео не просмотрено</x:v>
      </x:c>
      <x:c r="AB1082" s="13" t="str">
        <x:f>IF(AND(ISNUMBER(H1082),ISNUMBER(W1082)),H1082/MAX(1,'Обзор'!$B$4-W1082),"")</x:f>
      </x:c>
      <x:c r="AC1082" s="17" t="str">
        <x:v>Не решено</x:v>
      </x:c>
      <x:c r="AD1082" s="17" t="str">
        <x:v>Не проверено</x:v>
      </x:c>
      <x:c r="AE1082" s="17" t="str">
        <x:v>Не проверено</x:v>
      </x:c>
      <x:c r="AF1082" s="17" t="str">
        <x:v>Не проверено</x:v>
      </x:c>
      <x:c r="AG1082" s="17" t="str">
        <x:v>Не решено</x:v>
      </x:c>
      <x:c r="AH1082" s="17" t="str">
        <x:v>Не проверено</x:v>
      </x:c>
      <x:c r="AI1082" s="10" t="str">
        <x:f>IF(AC1082="Отклонить","Отклонено",IF(AND(AC1082="Взять",COUNTIFS(AD1082:AH1082,"Да")=5),"Готово","Нужна редактура"))</x:f>
        <x:v>Нужна редактура</x:v>
      </x:c>
      <x:c r="AJ1082" s="17" t="str"/>
      <x:c r="AK1082" s="9" t="str">
        <x:v>https://www.youtube.com/playlist?list=PL51YAgTlfPj4qBlNfQYcVAT2tHJZQUQpx</x:v>
      </x:c>
      <x:c r="AL1082" s="9" t="n">
        <x:v>21</x:v>
      </x:c>
      <x:c r="AM1082" s="9" t="n">
        <x:v>21</x:v>
      </x:c>
      <x:c r="AN1082" s="9"/>
    </x:row>
    <x:row r="1083" ht="60" customHeight="1">
      <x:c r="A1083" s="9" t="str">
        <x:v>F9Aa80JZMK8</x:v>
      </x:c>
      <x:c r="B1083" s="10" t="str">
        <x:v>פרפר נחמד 🦋 | פרק 22 - איפה העוגה?</x:v>
      </x:c>
      <x:c r="C1083" s="10" t="str">
        <x:v>Первый иврит с семьёй</x:v>
      </x:c>
      <x:c r="D1083" s="9" t="str">
        <x:v>Образование</x:v>
      </x:c>
      <x:c r="E1083" s="10" t="str">
        <x:v>Начинающие; родители дошкольников</x:v>
      </x:c>
      <x:c r="F1083" s="10" t="str">
        <x:v>A1–A2 (гипотеза)</x:v>
      </x:c>
      <x:c r="G1083" s="12" t="n">
        <x:v>24</x:v>
      </x:c>
      <x:c r="H1083" s="14" t="n">
        <x:v>121000</x:v>
      </x:c>
      <x:c r="I1083" s="15" t="str">
        <x:v>Округлённый счётчик в списке YouTube</x:v>
      </x:c>
      <x:c r="J1083" s="14" t="n">
        <x:v>121000</x:v>
      </x:c>
      <x:c r="K1083" s="14" t="n">
        <x:v>195000</x:v>
      </x:c>
      <x:c r="L1083" s="12" t="n">
        <x:f>IF(COUNT(J1083:K1083)=2,IF(K1083=0,"",J1083/K1083),"")</x:f>
        <x:v>0.6205128205128205</x:v>
      </x:c>
      <x:c r="M1083" s="10" t="str">
        <x:v>Тема: פרפר נחמד 🦋 | פרק 22 - איפה העוגה?. Повторы, песенки и визуальные действия подходят для семейного входа в язык. Взрослым предлагать как отдельную опцию.</x:v>
      </x:c>
      <x:c r="N1083" s="10" t="str">
        <x:v>Короткая сценка: назвать предметы и повторить 3 простые конструкции.</x:v>
      </x:c>
      <x:c r="O1083" s="10" t="str">
        <x:v>Дошкольный формат; не навязывать взрослым</x:v>
      </x:c>
      <x:c r="P1083" s="10" t="str">
        <x:v>Самостоятельное видео</x:v>
      </x:c>
      <x:c r="Q1083" s="9" t="str">
        <x:v>Нет</x:v>
      </x:c>
      <x:c r="R1083" s="9" t="str">
        <x:v>C058</x:v>
      </x:c>
      <x:c r="S1083" s="9" t="str">
        <x:v>C058</x:v>
      </x:c>
      <x:c r="T1083" s="10" t="str">
        <x:v>כאן חינוכית</x:v>
      </x:c>
      <x:c r="U1083" s="11" t="str">
        <x:v>https://www.youtube.com/watch?v=F9Aa80JZMK8</x:v>
      </x:c>
      <x:c r="V1083" s="16" t="n">
        <x:v>46308</x:v>
      </x:c>
      <x:c r="W1083" s="16"/>
      <x:c r="X1083" s="10" t="str">
        <x:v>Иврит предполагается по заголовку и источнику</x:v>
      </x:c>
      <x:c r="Y1083" s="10" t="str">
        <x:v>Не проверено</x:v>
      </x:c>
      <x:c r="Z1083" s="10" t="str">
        <x:v>Не проверено</x:v>
      </x:c>
      <x:c r="AA1083" s="10" t="str">
        <x:v>Метаданные списка; видео не просмотрено</x:v>
      </x:c>
      <x:c r="AB1083" s="13" t="str">
        <x:f>IF(AND(ISNUMBER(H1083),ISNUMBER(W1083)),H1083/MAX(1,'Обзор'!$B$4-W1083),"")</x:f>
      </x:c>
      <x:c r="AC1083" s="17" t="str">
        <x:v>Не решено</x:v>
      </x:c>
      <x:c r="AD1083" s="17" t="str">
        <x:v>Не проверено</x:v>
      </x:c>
      <x:c r="AE1083" s="17" t="str">
        <x:v>Не проверено</x:v>
      </x:c>
      <x:c r="AF1083" s="17" t="str">
        <x:v>Не проверено</x:v>
      </x:c>
      <x:c r="AG1083" s="17" t="str">
        <x:v>Не решено</x:v>
      </x:c>
      <x:c r="AH1083" s="17" t="str">
        <x:v>Не проверено</x:v>
      </x:c>
      <x:c r="AI1083" s="10" t="str">
        <x:f>IF(AC1083="Отклонить","Отклонено",IF(AND(AC1083="Взять",COUNTIFS(AD1083:AH1083,"Да")=5),"Готово","Нужна редактура"))</x:f>
        <x:v>Нужна редактура</x:v>
      </x:c>
      <x:c r="AJ1083" s="17" t="str"/>
      <x:c r="AK1083" s="9" t="str">
        <x:v>https://www.youtube.com/playlist?list=PL51YAgTlfPj4qBlNfQYcVAT2tHJZQUQpx</x:v>
      </x:c>
      <x:c r="AL1083" s="9" t="n">
        <x:v>22</x:v>
      </x:c>
      <x:c r="AM1083" s="9" t="n">
        <x:v>22</x:v>
      </x:c>
      <x:c r="AN1083" s="9"/>
    </x:row>
    <x:row r="1084" ht="60" customHeight="1">
      <x:c r="A1084" s="9" t="str">
        <x:v>vBCHVcXY250</x:v>
      </x:c>
      <x:c r="B1084" s="10" t="str">
        <x:v>פרפר נחמד 🦋 | פרק 23 - יום הולדת למוזה</x:v>
      </x:c>
      <x:c r="C1084" s="10" t="str">
        <x:v>Первый иврит с семьёй</x:v>
      </x:c>
      <x:c r="D1084" s="9" t="str">
        <x:v>Образование</x:v>
      </x:c>
      <x:c r="E1084" s="10" t="str">
        <x:v>Начинающие; родители дошкольников</x:v>
      </x:c>
      <x:c r="F1084" s="10" t="str">
        <x:v>A1–A2 (гипотеза)</x:v>
      </x:c>
      <x:c r="G1084" s="12" t="n">
        <x:v>20.4</x:v>
      </x:c>
      <x:c r="H1084" s="14" t="n">
        <x:v>126000</x:v>
      </x:c>
      <x:c r="I1084" s="15" t="str">
        <x:v>Округлённый счётчик в списке YouTube</x:v>
      </x:c>
      <x:c r="J1084" s="14" t="n">
        <x:v>126000</x:v>
      </x:c>
      <x:c r="K1084" s="14" t="n">
        <x:v>195000</x:v>
      </x:c>
      <x:c r="L1084" s="12" t="n">
        <x:f>IF(COUNT(J1084:K1084)=2,IF(K1084=0,"",J1084/K1084),"")</x:f>
        <x:v>0.6461538461538462</x:v>
      </x:c>
      <x:c r="M1084" s="10" t="str">
        <x:v>Тема: פרפר נחמד 🦋 | פרק 23 - יום הולדת למוזה. Повторы, песенки и визуальные действия подходят для семейного входа в язык. Взрослым предлагать как отдельную опцию.</x:v>
      </x:c>
      <x:c r="N1084" s="10" t="str">
        <x:v>Короткая сценка: назвать предметы и повторить 3 простые конструкции.</x:v>
      </x:c>
      <x:c r="O1084" s="10" t="str">
        <x:v>Дошкольный формат; не навязывать взрослым</x:v>
      </x:c>
      <x:c r="P1084" s="10" t="str">
        <x:v>Самостоятельное видео</x:v>
      </x:c>
      <x:c r="Q1084" s="9" t="str">
        <x:v>Нет</x:v>
      </x:c>
      <x:c r="R1084" s="9" t="str">
        <x:v>C058</x:v>
      </x:c>
      <x:c r="S1084" s="9" t="str">
        <x:v>C058</x:v>
      </x:c>
      <x:c r="T1084" s="10" t="str">
        <x:v>כאן חינוכית</x:v>
      </x:c>
      <x:c r="U1084" s="11" t="str">
        <x:v>https://www.youtube.com/watch?v=vBCHVcXY250</x:v>
      </x:c>
      <x:c r="V1084" s="16" t="n">
        <x:v>46308</x:v>
      </x:c>
      <x:c r="W1084" s="16"/>
      <x:c r="X1084" s="10" t="str">
        <x:v>Иврит предполагается по заголовку и источнику</x:v>
      </x:c>
      <x:c r="Y1084" s="10" t="str">
        <x:v>Не проверено</x:v>
      </x:c>
      <x:c r="Z1084" s="10" t="str">
        <x:v>Не проверено</x:v>
      </x:c>
      <x:c r="AA1084" s="10" t="str">
        <x:v>Метаданные списка; видео не просмотрено</x:v>
      </x:c>
      <x:c r="AB1084" s="13" t="str">
        <x:f>IF(AND(ISNUMBER(H1084),ISNUMBER(W1084)),H1084/MAX(1,'Обзор'!$B$4-W1084),"")</x:f>
      </x:c>
      <x:c r="AC1084" s="17" t="str">
        <x:v>Не решено</x:v>
      </x:c>
      <x:c r="AD1084" s="17" t="str">
        <x:v>Не проверено</x:v>
      </x:c>
      <x:c r="AE1084" s="17" t="str">
        <x:v>Не проверено</x:v>
      </x:c>
      <x:c r="AF1084" s="17" t="str">
        <x:v>Не проверено</x:v>
      </x:c>
      <x:c r="AG1084" s="17" t="str">
        <x:v>Не решено</x:v>
      </x:c>
      <x:c r="AH1084" s="17" t="str">
        <x:v>Не проверено</x:v>
      </x:c>
      <x:c r="AI1084" s="10" t="str">
        <x:f>IF(AC1084="Отклонить","Отклонено",IF(AND(AC1084="Взять",COUNTIFS(AD1084:AH1084,"Да")=5),"Готово","Нужна редактура"))</x:f>
        <x:v>Нужна редактура</x:v>
      </x:c>
      <x:c r="AJ1084" s="17" t="str"/>
      <x:c r="AK1084" s="9" t="str">
        <x:v>https://www.youtube.com/playlist?list=PL51YAgTlfPj4qBlNfQYcVAT2tHJZQUQpx</x:v>
      </x:c>
      <x:c r="AL1084" s="9" t="n">
        <x:v>23</x:v>
      </x:c>
      <x:c r="AM1084" s="9" t="n">
        <x:v>23</x:v>
      </x:c>
      <x:c r="AN1084" s="9"/>
    </x:row>
    <x:row r="1085" ht="60" customHeight="1">
      <x:c r="A1085" s="9" t="str">
        <x:v>kX82q6CDjB0</x:v>
      </x:c>
      <x:c r="B1085" s="10" t="str">
        <x:v>פרפר נחמד 🦋 | פרק 24 - התחלות חדשות</x:v>
      </x:c>
      <x:c r="C1085" s="10" t="str">
        <x:v>Первый иврит с семьёй</x:v>
      </x:c>
      <x:c r="D1085" s="9" t="str">
        <x:v>Образование</x:v>
      </x:c>
      <x:c r="E1085" s="10" t="str">
        <x:v>Начинающие; родители дошкольников</x:v>
      </x:c>
      <x:c r="F1085" s="10" t="str">
        <x:v>A1–A2 (гипотеза)</x:v>
      </x:c>
      <x:c r="G1085" s="12" t="n">
        <x:v>21.4</x:v>
      </x:c>
      <x:c r="H1085" s="14" t="n">
        <x:v>105000</x:v>
      </x:c>
      <x:c r="I1085" s="15" t="str">
        <x:v>Округлённый счётчик в списке YouTube</x:v>
      </x:c>
      <x:c r="J1085" s="14" t="n">
        <x:v>105000</x:v>
      </x:c>
      <x:c r="K1085" s="14" t="n">
        <x:v>195000</x:v>
      </x:c>
      <x:c r="L1085" s="12" t="n">
        <x:f>IF(COUNT(J1085:K1085)=2,IF(K1085=0,"",J1085/K1085),"")</x:f>
        <x:v>0.5384615384615384</x:v>
      </x:c>
      <x:c r="M1085" s="10" t="str">
        <x:v>Тема: פרפר נחמד 🦋 | פרק 24 - התחלות חדשות. Повторы, песенки и визуальные действия подходят для семейного входа в язык. Взрослым предлагать как отдельную опцию.</x:v>
      </x:c>
      <x:c r="N1085" s="10" t="str">
        <x:v>Короткая сценка: назвать предметы и повторить 3 простые конструкции.</x:v>
      </x:c>
      <x:c r="O1085" s="10" t="str">
        <x:v>Дошкольный формат; не навязывать взрослым</x:v>
      </x:c>
      <x:c r="P1085" s="10" t="str">
        <x:v>Самостоятельное видео</x:v>
      </x:c>
      <x:c r="Q1085" s="9" t="str">
        <x:v>Нет</x:v>
      </x:c>
      <x:c r="R1085" s="9" t="str">
        <x:v>C058</x:v>
      </x:c>
      <x:c r="S1085" s="9" t="str">
        <x:v>C058</x:v>
      </x:c>
      <x:c r="T1085" s="10" t="str">
        <x:v>כאן חינוכית</x:v>
      </x:c>
      <x:c r="U1085" s="11" t="str">
        <x:v>https://www.youtube.com/watch?v=kX82q6CDjB0</x:v>
      </x:c>
      <x:c r="V1085" s="16" t="n">
        <x:v>46308</x:v>
      </x:c>
      <x:c r="W1085" s="16"/>
      <x:c r="X1085" s="10" t="str">
        <x:v>Иврит предполагается по заголовку и источнику</x:v>
      </x:c>
      <x:c r="Y1085" s="10" t="str">
        <x:v>Не проверено</x:v>
      </x:c>
      <x:c r="Z1085" s="10" t="str">
        <x:v>Не проверено</x:v>
      </x:c>
      <x:c r="AA1085" s="10" t="str">
        <x:v>Метаданные списка; видео не просмотрено</x:v>
      </x:c>
      <x:c r="AB1085" s="13" t="str">
        <x:f>IF(AND(ISNUMBER(H1085),ISNUMBER(W1085)),H1085/MAX(1,'Обзор'!$B$4-W1085),"")</x:f>
      </x:c>
      <x:c r="AC1085" s="17" t="str">
        <x:v>Не решено</x:v>
      </x:c>
      <x:c r="AD1085" s="17" t="str">
        <x:v>Не проверено</x:v>
      </x:c>
      <x:c r="AE1085" s="17" t="str">
        <x:v>Не проверено</x:v>
      </x:c>
      <x:c r="AF1085" s="17" t="str">
        <x:v>Не проверено</x:v>
      </x:c>
      <x:c r="AG1085" s="17" t="str">
        <x:v>Не решено</x:v>
      </x:c>
      <x:c r="AH1085" s="17" t="str">
        <x:v>Не проверено</x:v>
      </x:c>
      <x:c r="AI1085" s="10" t="str">
        <x:f>IF(AC1085="Отклонить","Отклонено",IF(AND(AC1085="Взять",COUNTIFS(AD1085:AH1085,"Да")=5),"Готово","Нужна редактура"))</x:f>
        <x:v>Нужна редактура</x:v>
      </x:c>
      <x:c r="AJ1085" s="17" t="str"/>
      <x:c r="AK1085" s="9" t="str">
        <x:v>https://www.youtube.com/playlist?list=PL51YAgTlfPj4qBlNfQYcVAT2tHJZQUQpx</x:v>
      </x:c>
      <x:c r="AL1085" s="9" t="n">
        <x:v>24</x:v>
      </x:c>
      <x:c r="AM1085" s="9" t="n">
        <x:v>24</x:v>
      </x:c>
      <x:c r="AN1085" s="9"/>
    </x:row>
    <x:row r="1086" ht="60" customHeight="1">
      <x:c r="A1086" s="9" t="str">
        <x:v>1c2r14tIUkc</x:v>
      </x:c>
      <x:c r="B1086" s="10" t="str">
        <x:v>פרפר נחמד 🦋 | פרק 25 - פסח בא</x:v>
      </x:c>
      <x:c r="C1086" s="10" t="str">
        <x:v>Первый иврит с семьёй</x:v>
      </x:c>
      <x:c r="D1086" s="9" t="str">
        <x:v>Образование</x:v>
      </x:c>
      <x:c r="E1086" s="10" t="str">
        <x:v>Начинающие; родители дошкольников</x:v>
      </x:c>
      <x:c r="F1086" s="10" t="str">
        <x:v>A1–A2 (гипотеза)</x:v>
      </x:c>
      <x:c r="G1086" s="12" t="n">
        <x:v>24.1</x:v>
      </x:c>
      <x:c r="H1086" s="14" t="n">
        <x:v>323033</x:v>
      </x:c>
      <x:c r="I1086" s="15" t="str">
        <x:v>Точный счётчик метаданных видео</x:v>
      </x:c>
      <x:c r="J1086" s="14" t="n">
        <x:v>323000</x:v>
      </x:c>
      <x:c r="K1086" s="14" t="n">
        <x:v>195000</x:v>
      </x:c>
      <x:c r="L1086" s="12" t="n">
        <x:f>IF(COUNT(J1086:K1086)=2,IF(K1086=0,"",J1086/K1086),"")</x:f>
        <x:v>1.6564102564102565</x:v>
      </x:c>
      <x:c r="M1086" s="10" t="str">
        <x:v>Тема: פרפר נחמד 🦋 | פרק 25 - פסח בא. Просмотры в списке выше медианы выборки этого цикла в 1.66 раза. Повторы, песенки и визуальные действия подходят для семейного входа в язык. Взрослым предлагать как отдельную опцию.</x:v>
      </x:c>
      <x:c r="N1086" s="10" t="str">
        <x:v>Короткая сценка: назвать предметы и повторить 3 простые конструкции.</x:v>
      </x:c>
      <x:c r="O1086" s="10" t="str">
        <x:v>Дошкольный формат; не навязывать взрослым</x:v>
      </x:c>
      <x:c r="P1086" s="10" t="str">
        <x:v>Самостоятельное видео</x:v>
      </x:c>
      <x:c r="Q1086" s="9" t="str">
        <x:v>Нет</x:v>
      </x:c>
      <x:c r="R1086" s="9" t="str">
        <x:v>C058</x:v>
      </x:c>
      <x:c r="S1086" s="9" t="str">
        <x:v>C058</x:v>
      </x:c>
      <x:c r="T1086" s="10" t="str">
        <x:v>כאן חינוכית</x:v>
      </x:c>
      <x:c r="U1086" s="11" t="str">
        <x:v>https://www.youtube.com/watch?v=1c2r14tIUkc</x:v>
      </x:c>
      <x:c r="V1086" s="16" t="n">
        <x:v>46308</x:v>
      </x:c>
      <x:c r="W1086" s="16" t="n">
        <x:v>44661</x:v>
      </x:c>
      <x:c r="X1086" s="10" t="str">
        <x:v>Иврит предполагается по заголовку и источнику</x:v>
      </x:c>
      <x:c r="Y1086" s="10" t="str">
        <x:v>Дорожка HE не найдена в метаданных; вшитые титры не проверены</x:v>
      </x:c>
      <x:c r="Z1086" s="10" t="str">
        <x:v>Разрешено по метаданным</x:v>
      </x:c>
      <x:c r="AA1086" s="10" t="str">
        <x:v>Метаданные видео; воспроизведение и содержание не проверены</x:v>
      </x:c>
      <x:c r="AB1086" s="13" t="n">
        <x:f>IF(AND(ISNUMBER(H1086),ISNUMBER(W1086)),H1086/MAX(1,'Обзор'!$B$4-W1086),"")</x:f>
        <x:v>196.13418336369156</x:v>
      </x:c>
      <x:c r="AC1086" s="17" t="str">
        <x:v>Не решено</x:v>
      </x:c>
      <x:c r="AD1086" s="17" t="str">
        <x:v>Не проверено</x:v>
      </x:c>
      <x:c r="AE1086" s="17" t="str">
        <x:v>Не проверено</x:v>
      </x:c>
      <x:c r="AF1086" s="17" t="str">
        <x:v>Не проверено</x:v>
      </x:c>
      <x:c r="AG1086" s="17" t="str">
        <x:v>Не решено</x:v>
      </x:c>
      <x:c r="AH1086" s="17" t="str">
        <x:v>Не проверено</x:v>
      </x:c>
      <x:c r="AI1086" s="10" t="str">
        <x:f>IF(AC1086="Отклонить","Отклонено",IF(AND(AC1086="Взять",COUNTIFS(AD1086:AH1086,"Да")=5),"Готово","Нужна редактура"))</x:f>
        <x:v>Нужна редактура</x:v>
      </x:c>
      <x:c r="AJ1086" s="17" t="str"/>
      <x:c r="AK1086" s="9" t="str">
        <x:v>https://www.youtube.com/playlist?list=PL51YAgTlfPj4qBlNfQYcVAT2tHJZQUQpx</x:v>
      </x:c>
      <x:c r="AL1086" s="9" t="n">
        <x:v>25</x:v>
      </x:c>
      <x:c r="AM1086" s="9" t="n">
        <x:v>25</x:v>
      </x:c>
      <x:c r="AN1086" s="9" t="n">
        <x:v>0</x:v>
      </x:c>
    </x:row>
    <x:row r="1087" ht="60" customHeight="1">
      <x:c r="A1087" s="9" t="str">
        <x:v>JmsO6d9SoAQ</x:v>
      </x:c>
      <x:c r="B1087" s="10" t="str">
        <x:v>דובים ודבש</x:v>
      </x:c>
      <x:c r="C1087" s="10" t="str">
        <x:v>Научные вопросы</x:v>
      </x:c>
      <x:c r="D1087" s="9" t="str">
        <x:v>Образование</x:v>
      </x:c>
      <x:c r="E1087" s="10" t="str">
        <x:v>Наука; семья; любознательные</x:v>
      </x:c>
      <x:c r="F1087" s="10" t="str">
        <x:v>B1–B2 (гипотеза)</x:v>
      </x:c>
      <x:c r="G1087" s="12" t="n">
        <x:v>2.2</x:v>
      </x:c>
      <x:c r="H1087" s="14" t="n">
        <x:v>4245</x:v>
      </x:c>
      <x:c r="I1087" s="15" t="str">
        <x:v>Точный счётчик метаданных видео</x:v>
      </x:c>
      <x:c r="J1087" s="14" t="n">
        <x:v>4200</x:v>
      </x:c>
      <x:c r="K1087" s="14" t="n">
        <x:v>3500</x:v>
      </x:c>
      <x:c r="L1087" s="12" t="n">
        <x:f>IF(COUNT(J1087:K1087)=2,IF(K1087=0,"",J1087/K1087),"")</x:f>
        <x:v>1.2</x:v>
      </x:c>
      <x:c r="M1087" s="10" t="str">
        <x:v>Завершённый короткий просмотр около 2 мин. Научный ответ на конкретный вопрос даёт завершённый материал на короткую сессию.</x:v>
      </x:c>
      <x:c r="N1087" s="10" t="str">
        <x:v>Сформулировать вопрос и ответ с причинной связкой.</x:v>
      </x:c>
      <x:c r="O1087" s="10" t="str">
        <x:v>Проверить основной язык речи; каталог содержит и переводные материалы</x:v>
      </x:c>
      <x:c r="P1087" s="10" t="str">
        <x:v>Самостоятельное видео</x:v>
      </x:c>
      <x:c r="Q1087" s="9" t="str">
        <x:v>Нет</x:v>
      </x:c>
      <x:c r="R1087" s="9" t="str">
        <x:v>C059</x:v>
      </x:c>
      <x:c r="S1087" s="9" t="str">
        <x:v>C059</x:v>
      </x:c>
      <x:c r="T1087" s="10" t="str">
        <x:v>מכון דוידסון - סרטוני מדע</x:v>
      </x:c>
      <x:c r="U1087" s="11" t="str">
        <x:v>https://www.youtube.com/watch?v=JmsO6d9SoAQ</x:v>
      </x:c>
      <x:c r="V1087" s="16" t="n">
        <x:v>46308</x:v>
      </x:c>
      <x:c r="W1087" s="16" t="n">
        <x:v>45179</x:v>
      </x:c>
      <x:c r="X1087" s="10" t="str">
        <x:v>Иврит предполагается по заголовку и источнику</x:v>
      </x:c>
      <x:c r="Y1087" s="10" t="str">
        <x:v>Ручная дорожка HE по метаданным</x:v>
      </x:c>
      <x:c r="Z1087" s="10" t="str">
        <x:v>Разрешено по метаданным</x:v>
      </x:c>
      <x:c r="AA1087" s="10" t="str">
        <x:v>Метаданные видео; воспроизведение и содержание не проверены</x:v>
      </x:c>
      <x:c r="AB1087" s="13" t="n">
        <x:f>IF(AND(ISNUMBER(H1087),ISNUMBER(W1087)),H1087/MAX(1,'Обзор'!$B$4-W1087),"")</x:f>
        <x:v>3.7599645704162974</x:v>
      </x:c>
      <x:c r="AC1087" s="17" t="str">
        <x:v>Не решено</x:v>
      </x:c>
      <x:c r="AD1087" s="17" t="str">
        <x:v>Не проверено</x:v>
      </x:c>
      <x:c r="AE1087" s="17" t="str">
        <x:v>Не проверено</x:v>
      </x:c>
      <x:c r="AF1087" s="17" t="str">
        <x:v>Не проверено</x:v>
      </x:c>
      <x:c r="AG1087" s="17" t="str">
        <x:v>Не решено</x:v>
      </x:c>
      <x:c r="AH1087" s="17" t="str">
        <x:v>Не проверено</x:v>
      </x:c>
      <x:c r="AI1087" s="10" t="str">
        <x:f>IF(AC1087="Отклонить","Отклонено",IF(AND(AC1087="Взять",COUNTIFS(AD1087:AH1087,"Да")=5),"Готово","Нужна редактура"))</x:f>
        <x:v>Нужна редактура</x:v>
      </x:c>
      <x:c r="AJ1087" s="17" t="str"/>
      <x:c r="AK1087" s="9" t="str">
        <x:v>https://www.youtube.com/playlist?list=PL0ZkulyfP8bfa4aR3GM4RoL8jpg0sjxlI</x:v>
      </x:c>
      <x:c r="AL1087" s="9" t="n">
        <x:v>1</x:v>
      </x:c>
      <x:c r="AM1087" s="9"/>
      <x:c r="AN1087" s="9" t="n">
        <x:v>0</x:v>
      </x:c>
    </x:row>
    <x:row r="1088" ht="60" customHeight="1">
      <x:c r="A1088" s="9" t="str">
        <x:v>NBfFCuE0e1I</x:v>
      </x:c>
      <x:c r="B1088" s="10" t="str">
        <x:v>למה חולים יותר בלילה?</x:v>
      </x:c>
      <x:c r="C1088" s="10" t="str">
        <x:v>Научные вопросы</x:v>
      </x:c>
      <x:c r="D1088" s="9" t="str">
        <x:v>Образование</x:v>
      </x:c>
      <x:c r="E1088" s="10" t="str">
        <x:v>Наука; семья; любознательные</x:v>
      </x:c>
      <x:c r="F1088" s="10" t="str">
        <x:v>B1–B2 (гипотеза)</x:v>
      </x:c>
      <x:c r="G1088" s="12" t="n">
        <x:v>2.5</x:v>
      </x:c>
      <x:c r="H1088" s="14" t="n">
        <x:v>2700</x:v>
      </x:c>
      <x:c r="I1088" s="15" t="str">
        <x:v>Округлённый счётчик в списке YouTube</x:v>
      </x:c>
      <x:c r="J1088" s="14" t="n">
        <x:v>2700</x:v>
      </x:c>
      <x:c r="K1088" s="14" t="n">
        <x:v>3500</x:v>
      </x:c>
      <x:c r="L1088" s="12" t="n">
        <x:f>IF(COUNT(J1088:K1088)=2,IF(K1088=0,"",J1088/K1088),"")</x:f>
        <x:v>0.7714285714285715</x:v>
      </x:c>
      <x:c r="M1088" s="10" t="str">
        <x:v>Завершённый короткий просмотр около 2 мин. Научный ответ на конкретный вопрос даёт завершённый материал на короткую сессию.</x:v>
      </x:c>
      <x:c r="N1088" s="10" t="str">
        <x:v>Сформулировать вопрос и ответ с причинной связкой.</x:v>
      </x:c>
      <x:c r="O1088" s="10" t="str">
        <x:v>Проверить основной язык речи; каталог содержит и переводные материалы</x:v>
      </x:c>
      <x:c r="P1088" s="10" t="str">
        <x:v>Самостоятельное видео</x:v>
      </x:c>
      <x:c r="Q1088" s="9" t="str">
        <x:v>Нет</x:v>
      </x:c>
      <x:c r="R1088" s="9" t="str">
        <x:v>C059</x:v>
      </x:c>
      <x:c r="S1088" s="9" t="str">
        <x:v>C059</x:v>
      </x:c>
      <x:c r="T1088" s="10" t="str">
        <x:v>מכון דוידסון - סרטוני מדע</x:v>
      </x:c>
      <x:c r="U1088" s="11" t="str">
        <x:v>https://www.youtube.com/watch?v=NBfFCuE0e1I</x:v>
      </x:c>
      <x:c r="V1088" s="16" t="n">
        <x:v>46308</x:v>
      </x:c>
      <x:c r="W1088" s="16"/>
      <x:c r="X1088" s="10" t="str">
        <x:v>Иврит предполагается по заголовку и источнику</x:v>
      </x:c>
      <x:c r="Y1088" s="10" t="str">
        <x:v>Не проверено</x:v>
      </x:c>
      <x:c r="Z1088" s="10" t="str">
        <x:v>Не проверено</x:v>
      </x:c>
      <x:c r="AA1088" s="10" t="str">
        <x:v>Метаданные списка; видео не просмотрено</x:v>
      </x:c>
      <x:c r="AB1088" s="13" t="str">
        <x:f>IF(AND(ISNUMBER(H1088),ISNUMBER(W1088)),H1088/MAX(1,'Обзор'!$B$4-W1088),"")</x:f>
      </x:c>
      <x:c r="AC1088" s="17" t="str">
        <x:v>Не решено</x:v>
      </x:c>
      <x:c r="AD1088" s="17" t="str">
        <x:v>Не проверено</x:v>
      </x:c>
      <x:c r="AE1088" s="17" t="str">
        <x:v>Не проверено</x:v>
      </x:c>
      <x:c r="AF1088" s="17" t="str">
        <x:v>Не проверено</x:v>
      </x:c>
      <x:c r="AG1088" s="17" t="str">
        <x:v>Не решено</x:v>
      </x:c>
      <x:c r="AH1088" s="17" t="str">
        <x:v>Не проверено</x:v>
      </x:c>
      <x:c r="AI1088" s="10" t="str">
        <x:f>IF(AC1088="Отклонить","Отклонено",IF(AND(AC1088="Взять",COUNTIFS(AD1088:AH1088,"Да")=5),"Готово","Нужна редактура"))</x:f>
        <x:v>Нужна редактура</x:v>
      </x:c>
      <x:c r="AJ1088" s="17" t="str"/>
      <x:c r="AK1088" s="9" t="str">
        <x:v>https://www.youtube.com/playlist?list=PL0ZkulyfP8bfa4aR3GM4RoL8jpg0sjxlI</x:v>
      </x:c>
      <x:c r="AL1088" s="9" t="n">
        <x:v>2</x:v>
      </x:c>
      <x:c r="AM1088" s="9"/>
      <x:c r="AN1088" s="9"/>
    </x:row>
    <x:row r="1089" ht="60" customHeight="1">
      <x:c r="A1089" s="9" t="str">
        <x:v>YHkAlk_yJbQ</x:v>
      </x:c>
      <x:c r="B1089" s="10" t="str">
        <x:v>חיות חולקות מזון</x:v>
      </x:c>
      <x:c r="C1089" s="10" t="str">
        <x:v>Научные вопросы</x:v>
      </x:c>
      <x:c r="D1089" s="9" t="str">
        <x:v>Образование</x:v>
      </x:c>
      <x:c r="E1089" s="10" t="str">
        <x:v>Наука; семья; любознательные</x:v>
      </x:c>
      <x:c r="F1089" s="10" t="str">
        <x:v>B1–B2 (гипотеза)</x:v>
      </x:c>
      <x:c r="G1089" s="12" t="n">
        <x:v>2.3</x:v>
      </x:c>
      <x:c r="H1089" s="14" t="n">
        <x:v>1200</x:v>
      </x:c>
      <x:c r="I1089" s="15" t="str">
        <x:v>Округлённый счётчик в списке YouTube</x:v>
      </x:c>
      <x:c r="J1089" s="14" t="n">
        <x:v>1200</x:v>
      </x:c>
      <x:c r="K1089" s="14" t="n">
        <x:v>3500</x:v>
      </x:c>
      <x:c r="L1089" s="12" t="n">
        <x:f>IF(COUNT(J1089:K1089)=2,IF(K1089=0,"",J1089/K1089),"")</x:f>
        <x:v>0.34285714285714286</x:v>
      </x:c>
      <x:c r="M1089" s="10" t="str">
        <x:v>Завершённый короткий просмотр около 2 мин. Просмотры ниже медианы цикла; выбирать за нишевую ценность, а не за массовый охват. Научный ответ на конкретный вопрос даёт завершённый материал на короткую сессию.</x:v>
      </x:c>
      <x:c r="N1089" s="10" t="str">
        <x:v>Сформулировать вопрос и ответ с причинной связкой.</x:v>
      </x:c>
      <x:c r="O1089" s="10" t="str">
        <x:v>Проверить основной язык речи; каталог содержит и переводные материалы</x:v>
      </x:c>
      <x:c r="P1089" s="10" t="str">
        <x:v>Самостоятельное видео</x:v>
      </x:c>
      <x:c r="Q1089" s="9" t="str">
        <x:v>Нет</x:v>
      </x:c>
      <x:c r="R1089" s="9" t="str">
        <x:v>C059</x:v>
      </x:c>
      <x:c r="S1089" s="9" t="str">
        <x:v>C059</x:v>
      </x:c>
      <x:c r="T1089" s="10" t="str">
        <x:v>מכון דוידסון - סרטוני מדע</x:v>
      </x:c>
      <x:c r="U1089" s="11" t="str">
        <x:v>https://www.youtube.com/watch?v=YHkAlk_yJbQ</x:v>
      </x:c>
      <x:c r="V1089" s="16" t="n">
        <x:v>46308</x:v>
      </x:c>
      <x:c r="W1089" s="16"/>
      <x:c r="X1089" s="10" t="str">
        <x:v>Иврит предполагается по заголовку и источнику</x:v>
      </x:c>
      <x:c r="Y1089" s="10" t="str">
        <x:v>Не проверено</x:v>
      </x:c>
      <x:c r="Z1089" s="10" t="str">
        <x:v>Не проверено</x:v>
      </x:c>
      <x:c r="AA1089" s="10" t="str">
        <x:v>Метаданные списка; видео не просмотрено</x:v>
      </x:c>
      <x:c r="AB1089" s="13" t="str">
        <x:f>IF(AND(ISNUMBER(H1089),ISNUMBER(W1089)),H1089/MAX(1,'Обзор'!$B$4-W1089),"")</x:f>
      </x:c>
      <x:c r="AC1089" s="17" t="str">
        <x:v>Не решено</x:v>
      </x:c>
      <x:c r="AD1089" s="17" t="str">
        <x:v>Не проверено</x:v>
      </x:c>
      <x:c r="AE1089" s="17" t="str">
        <x:v>Не проверено</x:v>
      </x:c>
      <x:c r="AF1089" s="17" t="str">
        <x:v>Не проверено</x:v>
      </x:c>
      <x:c r="AG1089" s="17" t="str">
        <x:v>Не решено</x:v>
      </x:c>
      <x:c r="AH1089" s="17" t="str">
        <x:v>Не проверено</x:v>
      </x:c>
      <x:c r="AI1089" s="10" t="str">
        <x:f>IF(AC1089="Отклонить","Отклонено",IF(AND(AC1089="Взять",COUNTIFS(AD1089:AH1089,"Да")=5),"Готово","Нужна редактура"))</x:f>
        <x:v>Нужна редактура</x:v>
      </x:c>
      <x:c r="AJ1089" s="17" t="str"/>
      <x:c r="AK1089" s="9" t="str">
        <x:v>https://www.youtube.com/playlist?list=PL0ZkulyfP8bfa4aR3GM4RoL8jpg0sjxlI</x:v>
      </x:c>
      <x:c r="AL1089" s="9" t="n">
        <x:v>3</x:v>
      </x:c>
      <x:c r="AM1089" s="9"/>
      <x:c r="AN1089" s="9"/>
    </x:row>
    <x:row r="1090" ht="60" customHeight="1">
      <x:c r="A1090" s="9" t="str">
        <x:v>ekqdEnbjX0Q</x:v>
      </x:c>
      <x:c r="B1090" s="10" t="str">
        <x:v>חומרים דוחי יתושים</x:v>
      </x:c>
      <x:c r="C1090" s="10" t="str">
        <x:v>Научные вопросы</x:v>
      </x:c>
      <x:c r="D1090" s="9" t="str">
        <x:v>Образование</x:v>
      </x:c>
      <x:c r="E1090" s="10" t="str">
        <x:v>Наука; семья; любознательные</x:v>
      </x:c>
      <x:c r="F1090" s="10" t="str">
        <x:v>B1–B2 (гипотеза)</x:v>
      </x:c>
      <x:c r="G1090" s="12" t="n">
        <x:v>2</x:v>
      </x:c>
      <x:c r="H1090" s="14" t="n">
        <x:v>9927</x:v>
      </x:c>
      <x:c r="I1090" s="15" t="str">
        <x:v>Точный счётчик метаданных видео</x:v>
      </x:c>
      <x:c r="J1090" s="14" t="n">
        <x:v>9900</x:v>
      </x:c>
      <x:c r="K1090" s="14" t="n">
        <x:v>3500</x:v>
      </x:c>
      <x:c r="L1090" s="12" t="n">
        <x:f>IF(COUNT(J1090:K1090)=2,IF(K1090=0,"",J1090/K1090),"")</x:f>
        <x:v>2.8285714285714287</x:v>
      </x:c>
      <x:c r="M1090" s="10" t="str">
        <x:v>Завершённый короткий просмотр около 2 мин. Просмотры в списке выше медианы выборки этого цикла в 2.83 раза. Научный ответ на конкретный вопрос даёт завершённый материал на короткую сессию.</x:v>
      </x:c>
      <x:c r="N1090" s="10" t="str">
        <x:v>Сформулировать вопрос и ответ с причинной связкой.</x:v>
      </x:c>
      <x:c r="O1090" s="10" t="str">
        <x:v>Проверить основной язык речи; каталог содержит и переводные материалы</x:v>
      </x:c>
      <x:c r="P1090" s="10" t="str">
        <x:v>Самостоятельное видео</x:v>
      </x:c>
      <x:c r="Q1090" s="9" t="str">
        <x:v>Нет</x:v>
      </x:c>
      <x:c r="R1090" s="9" t="str">
        <x:v>C059</x:v>
      </x:c>
      <x:c r="S1090" s="9" t="str">
        <x:v>C059</x:v>
      </x:c>
      <x:c r="T1090" s="10" t="str">
        <x:v>מכון דוידסון - סרטוני מדע</x:v>
      </x:c>
      <x:c r="U1090" s="11" t="str">
        <x:v>https://www.youtube.com/watch?v=ekqdEnbjX0Q</x:v>
      </x:c>
      <x:c r="V1090" s="16" t="n">
        <x:v>46308</x:v>
      </x:c>
      <x:c r="W1090" s="16" t="n">
        <x:v>45195</x:v>
      </x:c>
      <x:c r="X1090" s="10" t="str">
        <x:v>Иврит предполагается по заголовку и источнику</x:v>
      </x:c>
      <x:c r="Y1090" s="10" t="str">
        <x:v>Ручная дорожка HE по метаданным</x:v>
      </x:c>
      <x:c r="Z1090" s="10" t="str">
        <x:v>Разрешено по метаданным</x:v>
      </x:c>
      <x:c r="AA1090" s="10" t="str">
        <x:v>Метаданные видео; воспроизведение и содержание не проверены</x:v>
      </x:c>
      <x:c r="AB1090" s="13" t="n">
        <x:f>IF(AND(ISNUMBER(H1090),ISNUMBER(W1090)),H1090/MAX(1,'Обзор'!$B$4-W1090),"")</x:f>
        <x:v>8.919137466307278</x:v>
      </x:c>
      <x:c r="AC1090" s="17" t="str">
        <x:v>Не решено</x:v>
      </x:c>
      <x:c r="AD1090" s="17" t="str">
        <x:v>Не проверено</x:v>
      </x:c>
      <x:c r="AE1090" s="17" t="str">
        <x:v>Не проверено</x:v>
      </x:c>
      <x:c r="AF1090" s="17" t="str">
        <x:v>Не проверено</x:v>
      </x:c>
      <x:c r="AG1090" s="17" t="str">
        <x:v>Не решено</x:v>
      </x:c>
      <x:c r="AH1090" s="17" t="str">
        <x:v>Не проверено</x:v>
      </x:c>
      <x:c r="AI1090" s="10" t="str">
        <x:f>IF(AC1090="Отклонить","Отклонено",IF(AND(AC1090="Взять",COUNTIFS(AD1090:AH1090,"Да")=5),"Готово","Нужна редактура"))</x:f>
        <x:v>Нужна редактура</x:v>
      </x:c>
      <x:c r="AJ1090" s="17" t="str"/>
      <x:c r="AK1090" s="9" t="str">
        <x:v>https://www.youtube.com/playlist?list=PL0ZkulyfP8bfa4aR3GM4RoL8jpg0sjxlI</x:v>
      </x:c>
      <x:c r="AL1090" s="9" t="n">
        <x:v>4</x:v>
      </x:c>
      <x:c r="AM1090" s="9"/>
      <x:c r="AN1090" s="9" t="n">
        <x:v>0</x:v>
      </x:c>
    </x:row>
    <x:row r="1091" ht="60" customHeight="1">
      <x:c r="A1091" s="9" t="str">
        <x:v>ftCpxTL5jak</x:v>
      </x:c>
      <x:c r="B1091" s="10" t="str">
        <x:v>חיות צמות בטבע</x:v>
      </x:c>
      <x:c r="C1091" s="10" t="str">
        <x:v>Научные вопросы</x:v>
      </x:c>
      <x:c r="D1091" s="9" t="str">
        <x:v>Образование</x:v>
      </x:c>
      <x:c r="E1091" s="10" t="str">
        <x:v>Наука; семья; любознательные</x:v>
      </x:c>
      <x:c r="F1091" s="10" t="str">
        <x:v>B1–B2 (гипотеза)</x:v>
      </x:c>
      <x:c r="G1091" s="12" t="n">
        <x:v>2.6</x:v>
      </x:c>
      <x:c r="H1091" s="14" t="n">
        <x:v>2100</x:v>
      </x:c>
      <x:c r="I1091" s="15" t="str">
        <x:v>Округлённый счётчик в списке YouTube</x:v>
      </x:c>
      <x:c r="J1091" s="14" t="n">
        <x:v>2100</x:v>
      </x:c>
      <x:c r="K1091" s="14" t="n">
        <x:v>3500</x:v>
      </x:c>
      <x:c r="L1091" s="12" t="n">
        <x:f>IF(COUNT(J1091:K1091)=2,IF(K1091=0,"",J1091/K1091),"")</x:f>
        <x:v>0.6</x:v>
      </x:c>
      <x:c r="M1091" s="10" t="str">
        <x:v>Завершённый короткий просмотр около 3 мин. Научный ответ на конкретный вопрос даёт завершённый материал на короткую сессию.</x:v>
      </x:c>
      <x:c r="N1091" s="10" t="str">
        <x:v>Сформулировать вопрос и ответ с причинной связкой.</x:v>
      </x:c>
      <x:c r="O1091" s="10" t="str">
        <x:v>Проверить основной язык речи; каталог содержит и переводные материалы</x:v>
      </x:c>
      <x:c r="P1091" s="10" t="str">
        <x:v>Самостоятельное видео</x:v>
      </x:c>
      <x:c r="Q1091" s="9" t="str">
        <x:v>Нет</x:v>
      </x:c>
      <x:c r="R1091" s="9" t="str">
        <x:v>C059</x:v>
      </x:c>
      <x:c r="S1091" s="9" t="str">
        <x:v>C059</x:v>
      </x:c>
      <x:c r="T1091" s="10" t="str">
        <x:v>מכון דוידסון - סרטוני מדע</x:v>
      </x:c>
      <x:c r="U1091" s="11" t="str">
        <x:v>https://www.youtube.com/watch?v=ftCpxTL5jak</x:v>
      </x:c>
      <x:c r="V1091" s="16" t="n">
        <x:v>46308</x:v>
      </x:c>
      <x:c r="W1091" s="16"/>
      <x:c r="X1091" s="10" t="str">
        <x:v>Иврит предполагается по заголовку и источнику</x:v>
      </x:c>
      <x:c r="Y1091" s="10" t="str">
        <x:v>Не проверено</x:v>
      </x:c>
      <x:c r="Z1091" s="10" t="str">
        <x:v>Не проверено</x:v>
      </x:c>
      <x:c r="AA1091" s="10" t="str">
        <x:v>Метаданные списка; видео не просмотрено</x:v>
      </x:c>
      <x:c r="AB1091" s="13" t="str">
        <x:f>IF(AND(ISNUMBER(H1091),ISNUMBER(W1091)),H1091/MAX(1,'Обзор'!$B$4-W1091),"")</x:f>
      </x:c>
      <x:c r="AC1091" s="17" t="str">
        <x:v>Не решено</x:v>
      </x:c>
      <x:c r="AD1091" s="17" t="str">
        <x:v>Не проверено</x:v>
      </x:c>
      <x:c r="AE1091" s="17" t="str">
        <x:v>Не проверено</x:v>
      </x:c>
      <x:c r="AF1091" s="17" t="str">
        <x:v>Не проверено</x:v>
      </x:c>
      <x:c r="AG1091" s="17" t="str">
        <x:v>Не решено</x:v>
      </x:c>
      <x:c r="AH1091" s="17" t="str">
        <x:v>Не проверено</x:v>
      </x:c>
      <x:c r="AI1091" s="10" t="str">
        <x:f>IF(AC1091="Отклонить","Отклонено",IF(AND(AC1091="Взять",COUNTIFS(AD1091:AH1091,"Да")=5),"Готово","Нужна редактура"))</x:f>
        <x:v>Нужна редактура</x:v>
      </x:c>
      <x:c r="AJ1091" s="17" t="str"/>
      <x:c r="AK1091" s="9" t="str">
        <x:v>https://www.youtube.com/playlist?list=PL0ZkulyfP8bfa4aR3GM4RoL8jpg0sjxlI</x:v>
      </x:c>
      <x:c r="AL1091" s="9" t="n">
        <x:v>5</x:v>
      </x:c>
      <x:c r="AM1091" s="9"/>
      <x:c r="AN1091" s="9"/>
    </x:row>
    <x:row r="1092" ht="60" customHeight="1">
      <x:c r="A1092" s="9" t="str">
        <x:v>kTv88_eAQbs</x:v>
      </x:c>
      <x:c r="B1092" s="10" t="str">
        <x:v>שומעים עם העיניים ורואים עם האוזניים</x:v>
      </x:c>
      <x:c r="C1092" s="10" t="str">
        <x:v>Научные вопросы</x:v>
      </x:c>
      <x:c r="D1092" s="9" t="str">
        <x:v>Образование</x:v>
      </x:c>
      <x:c r="E1092" s="10" t="str">
        <x:v>Наука; семья; любознательные</x:v>
      </x:c>
      <x:c r="F1092" s="10" t="str">
        <x:v>B1–B2 (гипотеза)</x:v>
      </x:c>
      <x:c r="G1092" s="12" t="n">
        <x:v>2.4</x:v>
      </x:c>
      <x:c r="H1092" s="14" t="n">
        <x:v>3200</x:v>
      </x:c>
      <x:c r="I1092" s="15" t="str">
        <x:v>Округлённый счётчик в списке YouTube</x:v>
      </x:c>
      <x:c r="J1092" s="14" t="n">
        <x:v>3200</x:v>
      </x:c>
      <x:c r="K1092" s="14" t="n">
        <x:v>3500</x:v>
      </x:c>
      <x:c r="L1092" s="12" t="n">
        <x:f>IF(COUNT(J1092:K1092)=2,IF(K1092=0,"",J1092/K1092),"")</x:f>
        <x:v>0.9142857142857143</x:v>
      </x:c>
      <x:c r="M1092" s="10" t="str">
        <x:v>Завершённый короткий просмотр около 2 мин. Научный ответ на конкретный вопрос даёт завершённый материал на короткую сессию.</x:v>
      </x:c>
      <x:c r="N1092" s="10" t="str">
        <x:v>Сформулировать вопрос и ответ с причинной связкой.</x:v>
      </x:c>
      <x:c r="O1092" s="10" t="str">
        <x:v>Проверить основной язык речи; каталог содержит и переводные материалы</x:v>
      </x:c>
      <x:c r="P1092" s="10" t="str">
        <x:v>Самостоятельное видео</x:v>
      </x:c>
      <x:c r="Q1092" s="9" t="str">
        <x:v>Нет</x:v>
      </x:c>
      <x:c r="R1092" s="9" t="str">
        <x:v>C059</x:v>
      </x:c>
      <x:c r="S1092" s="9" t="str">
        <x:v>C059</x:v>
      </x:c>
      <x:c r="T1092" s="10" t="str">
        <x:v>מכון דוידסון - סרטוני מדע</x:v>
      </x:c>
      <x:c r="U1092" s="11" t="str">
        <x:v>https://www.youtube.com/watch?v=kTv88_eAQbs</x:v>
      </x:c>
      <x:c r="V1092" s="16" t="n">
        <x:v>46308</x:v>
      </x:c>
      <x:c r="W1092" s="16"/>
      <x:c r="X1092" s="10" t="str">
        <x:v>Иврит предполагается по заголовку и источнику</x:v>
      </x:c>
      <x:c r="Y1092" s="10" t="str">
        <x:v>Не проверено</x:v>
      </x:c>
      <x:c r="Z1092" s="10" t="str">
        <x:v>Не проверено</x:v>
      </x:c>
      <x:c r="AA1092" s="10" t="str">
        <x:v>Метаданные списка; видео не просмотрено</x:v>
      </x:c>
      <x:c r="AB1092" s="13" t="str">
        <x:f>IF(AND(ISNUMBER(H1092),ISNUMBER(W1092)),H1092/MAX(1,'Обзор'!$B$4-W1092),"")</x:f>
      </x:c>
      <x:c r="AC1092" s="17" t="str">
        <x:v>Не решено</x:v>
      </x:c>
      <x:c r="AD1092" s="17" t="str">
        <x:v>Не проверено</x:v>
      </x:c>
      <x:c r="AE1092" s="17" t="str">
        <x:v>Не проверено</x:v>
      </x:c>
      <x:c r="AF1092" s="17" t="str">
        <x:v>Не проверено</x:v>
      </x:c>
      <x:c r="AG1092" s="17" t="str">
        <x:v>Не решено</x:v>
      </x:c>
      <x:c r="AH1092" s="17" t="str">
        <x:v>Не проверено</x:v>
      </x:c>
      <x:c r="AI1092" s="10" t="str">
        <x:f>IF(AC1092="Отклонить","Отклонено",IF(AND(AC1092="Взять",COUNTIFS(AD1092:AH1092,"Да")=5),"Готово","Нужна редактура"))</x:f>
        <x:v>Нужна редактура</x:v>
      </x:c>
      <x:c r="AJ1092" s="17" t="str"/>
      <x:c r="AK1092" s="9" t="str">
        <x:v>https://www.youtube.com/playlist?list=PL0ZkulyfP8bfa4aR3GM4RoL8jpg0sjxlI</x:v>
      </x:c>
      <x:c r="AL1092" s="9" t="n">
        <x:v>6</x:v>
      </x:c>
      <x:c r="AM1092" s="9"/>
      <x:c r="AN1092" s="9"/>
    </x:row>
    <x:row r="1093" ht="60" customHeight="1">
      <x:c r="A1093" s="9" t="str">
        <x:v>tdAfNOS1puc</x:v>
      </x:c>
      <x:c r="B1093" s="10" t="str">
        <x:v>כלבים מריחים מחלות</x:v>
      </x:c>
      <x:c r="C1093" s="10" t="str">
        <x:v>Научные вопросы</x:v>
      </x:c>
      <x:c r="D1093" s="9" t="str">
        <x:v>Образование</x:v>
      </x:c>
      <x:c r="E1093" s="10" t="str">
        <x:v>Наука; семья; любознательные</x:v>
      </x:c>
      <x:c r="F1093" s="10" t="str">
        <x:v>B1–B2 (гипотеза)</x:v>
      </x:c>
      <x:c r="G1093" s="12" t="n">
        <x:v>2</x:v>
      </x:c>
      <x:c r="H1093" s="14" t="n">
        <x:v>5642</x:v>
      </x:c>
      <x:c r="I1093" s="15" t="str">
        <x:v>Точный счётчик метаданных видео</x:v>
      </x:c>
      <x:c r="J1093" s="14" t="n">
        <x:v>5600</x:v>
      </x:c>
      <x:c r="K1093" s="14" t="n">
        <x:v>3500</x:v>
      </x:c>
      <x:c r="L1093" s="12" t="n">
        <x:f>IF(COUNT(J1093:K1093)=2,IF(K1093=0,"",J1093/K1093),"")</x:f>
        <x:v>1.6</x:v>
      </x:c>
      <x:c r="M1093" s="10" t="str">
        <x:v>Завершённый короткий просмотр около 2 мин. Просмотры в списке выше медианы выборки этого цикла в 1.6 раза. Научный ответ на конкретный вопрос даёт завершённый материал на короткую сессию.</x:v>
      </x:c>
      <x:c r="N1093" s="10" t="str">
        <x:v>Сформулировать вопрос и ответ с причинной связкой.</x:v>
      </x:c>
      <x:c r="O1093" s="10" t="str">
        <x:v>Проверить основной язык речи; каталог содержит и переводные материалы</x:v>
      </x:c>
      <x:c r="P1093" s="10" t="str">
        <x:v>Самостоятельное видео</x:v>
      </x:c>
      <x:c r="Q1093" s="9" t="str">
        <x:v>Нет</x:v>
      </x:c>
      <x:c r="R1093" s="9" t="str">
        <x:v>C059</x:v>
      </x:c>
      <x:c r="S1093" s="9" t="str">
        <x:v>C059</x:v>
      </x:c>
      <x:c r="T1093" s="10" t="str">
        <x:v>מכון דוידסון - סרטוני מדע</x:v>
      </x:c>
      <x:c r="U1093" s="11" t="str">
        <x:v>https://www.youtube.com/watch?v=tdAfNOS1puc</x:v>
      </x:c>
      <x:c r="V1093" s="16" t="n">
        <x:v>46308</x:v>
      </x:c>
      <x:c r="W1093" s="16" t="n">
        <x:v>45160</x:v>
      </x:c>
      <x:c r="X1093" s="10" t="str">
        <x:v>Иврит предполагается по заголовку и источнику</x:v>
      </x:c>
      <x:c r="Y1093" s="10" t="str">
        <x:v>Ручная дорожка HE по метаданным</x:v>
      </x:c>
      <x:c r="Z1093" s="10" t="str">
        <x:v>Разрешено по метаданным</x:v>
      </x:c>
      <x:c r="AA1093" s="10" t="str">
        <x:v>Метаданные видео; воспроизведение и содержание не проверены</x:v>
      </x:c>
      <x:c r="AB1093" s="13" t="n">
        <x:f>IF(AND(ISNUMBER(H1093),ISNUMBER(W1093)),H1093/MAX(1,'Обзор'!$B$4-W1093),"")</x:f>
        <x:v>4.914634146341464</x:v>
      </x:c>
      <x:c r="AC1093" s="17" t="str">
        <x:v>Не решено</x:v>
      </x:c>
      <x:c r="AD1093" s="17" t="str">
        <x:v>Не проверено</x:v>
      </x:c>
      <x:c r="AE1093" s="17" t="str">
        <x:v>Не проверено</x:v>
      </x:c>
      <x:c r="AF1093" s="17" t="str">
        <x:v>Не проверено</x:v>
      </x:c>
      <x:c r="AG1093" s="17" t="str">
        <x:v>Не решено</x:v>
      </x:c>
      <x:c r="AH1093" s="17" t="str">
        <x:v>Не проверено</x:v>
      </x:c>
      <x:c r="AI1093" s="10" t="str">
        <x:f>IF(AC1093="Отклонить","Отклонено",IF(AND(AC1093="Взять",COUNTIFS(AD1093:AH1093,"Да")=5),"Готово","Нужна редактура"))</x:f>
        <x:v>Нужна редактура</x:v>
      </x:c>
      <x:c r="AJ1093" s="17" t="str"/>
      <x:c r="AK1093" s="9" t="str">
        <x:v>https://www.youtube.com/playlist?list=PL0ZkulyfP8bfa4aR3GM4RoL8jpg0sjxlI</x:v>
      </x:c>
      <x:c r="AL1093" s="9" t="n">
        <x:v>7</x:v>
      </x:c>
      <x:c r="AM1093" s="9"/>
      <x:c r="AN1093" s="9" t="n">
        <x:v>0</x:v>
      </x:c>
    </x:row>
    <x:row r="1094" ht="60" customHeight="1">
      <x:c r="A1094" s="9" t="str">
        <x:v>vWaxOabDr10</x:v>
      </x:c>
      <x:c r="B1094" s="10" t="str">
        <x:v>הנוסחה לחיוך מושלם</x:v>
      </x:c>
      <x:c r="C1094" s="10" t="str">
        <x:v>Научные вопросы</x:v>
      </x:c>
      <x:c r="D1094" s="9" t="str">
        <x:v>Образование</x:v>
      </x:c>
      <x:c r="E1094" s="10" t="str">
        <x:v>Наука; семья; любознательные</x:v>
      </x:c>
      <x:c r="F1094" s="10" t="str">
        <x:v>B1–B2 (гипотеза)</x:v>
      </x:c>
      <x:c r="G1094" s="12" t="n">
        <x:v>1.8</x:v>
      </x:c>
      <x:c r="H1094" s="14" t="n">
        <x:v>3000</x:v>
      </x:c>
      <x:c r="I1094" s="15" t="str">
        <x:v>Округлённый счётчик в списке YouTube</x:v>
      </x:c>
      <x:c r="J1094" s="14" t="n">
        <x:v>3000</x:v>
      </x:c>
      <x:c r="K1094" s="14" t="n">
        <x:v>3500</x:v>
      </x:c>
      <x:c r="L1094" s="12" t="n">
        <x:f>IF(COUNT(J1094:K1094)=2,IF(K1094=0,"",J1094/K1094),"")</x:f>
        <x:v>0.8571428571428571</x:v>
      </x:c>
      <x:c r="M1094" s="10" t="str">
        <x:v>Завершённый короткий просмотр около 2 мин. Научный ответ на конкретный вопрос даёт завершённый материал на короткую сессию.</x:v>
      </x:c>
      <x:c r="N1094" s="10" t="str">
        <x:v>Сформулировать вопрос и ответ с причинной связкой.</x:v>
      </x:c>
      <x:c r="O1094" s="10" t="str">
        <x:v>Проверить основной язык речи; каталог содержит и переводные материалы</x:v>
      </x:c>
      <x:c r="P1094" s="10" t="str">
        <x:v>Самостоятельное видео</x:v>
      </x:c>
      <x:c r="Q1094" s="9" t="str">
        <x:v>Нет</x:v>
      </x:c>
      <x:c r="R1094" s="9" t="str">
        <x:v>C059</x:v>
      </x:c>
      <x:c r="S1094" s="9" t="str">
        <x:v>C059</x:v>
      </x:c>
      <x:c r="T1094" s="10" t="str">
        <x:v>מכון דוידסון - סרטוני מדע</x:v>
      </x:c>
      <x:c r="U1094" s="11" t="str">
        <x:v>https://www.youtube.com/watch?v=vWaxOabDr10</x:v>
      </x:c>
      <x:c r="V1094" s="16" t="n">
        <x:v>46308</x:v>
      </x:c>
      <x:c r="W1094" s="16"/>
      <x:c r="X1094" s="10" t="str">
        <x:v>Иврит предполагается по заголовку и источнику</x:v>
      </x:c>
      <x:c r="Y1094" s="10" t="str">
        <x:v>Не проверено</x:v>
      </x:c>
      <x:c r="Z1094" s="10" t="str">
        <x:v>Не проверено</x:v>
      </x:c>
      <x:c r="AA1094" s="10" t="str">
        <x:v>Метаданные списка; видео не просмотрено</x:v>
      </x:c>
      <x:c r="AB1094" s="13" t="str">
        <x:f>IF(AND(ISNUMBER(H1094),ISNUMBER(W1094)),H1094/MAX(1,'Обзор'!$B$4-W1094),"")</x:f>
      </x:c>
      <x:c r="AC1094" s="17" t="str">
        <x:v>Не решено</x:v>
      </x:c>
      <x:c r="AD1094" s="17" t="str">
        <x:v>Не проверено</x:v>
      </x:c>
      <x:c r="AE1094" s="17" t="str">
        <x:v>Не проверено</x:v>
      </x:c>
      <x:c r="AF1094" s="17" t="str">
        <x:v>Не проверено</x:v>
      </x:c>
      <x:c r="AG1094" s="17" t="str">
        <x:v>Не решено</x:v>
      </x:c>
      <x:c r="AH1094" s="17" t="str">
        <x:v>Не проверено</x:v>
      </x:c>
      <x:c r="AI1094" s="10" t="str">
        <x:f>IF(AC1094="Отклонить","Отклонено",IF(AND(AC1094="Взять",COUNTIFS(AD1094:AH1094,"Да")=5),"Готово","Нужна редактура"))</x:f>
        <x:v>Нужна редактура</x:v>
      </x:c>
      <x:c r="AJ1094" s="17" t="str"/>
      <x:c r="AK1094" s="9" t="str">
        <x:v>https://www.youtube.com/playlist?list=PL0ZkulyfP8bfa4aR3GM4RoL8jpg0sjxlI</x:v>
      </x:c>
      <x:c r="AL1094" s="9" t="n">
        <x:v>8</x:v>
      </x:c>
      <x:c r="AM1094" s="9"/>
      <x:c r="AN1094" s="9"/>
    </x:row>
    <x:row r="1095" ht="60" customHeight="1">
      <x:c r="A1095" s="9" t="str">
        <x:v>4QnJUcxkzB0</x:v>
      </x:c>
      <x:c r="B1095" s="10" t="str">
        <x:v>חיות חולקות מזון</x:v>
      </x:c>
      <x:c r="C1095" s="10" t="str">
        <x:v>Научные вопросы</x:v>
      </x:c>
      <x:c r="D1095" s="9" t="str">
        <x:v>Образование</x:v>
      </x:c>
      <x:c r="E1095" s="10" t="str">
        <x:v>Наука; семья; любознательные</x:v>
      </x:c>
      <x:c r="F1095" s="10" t="str">
        <x:v>B1–B2 (гипотеза)</x:v>
      </x:c>
      <x:c r="G1095" s="12" t="n">
        <x:v>1</x:v>
      </x:c>
      <x:c r="H1095" s="14" t="n">
        <x:v>2100</x:v>
      </x:c>
      <x:c r="I1095" s="15" t="str">
        <x:v>Округлённый счётчик в списке YouTube</x:v>
      </x:c>
      <x:c r="J1095" s="14" t="n">
        <x:v>2100</x:v>
      </x:c>
      <x:c r="K1095" s="14" t="n">
        <x:v>3500</x:v>
      </x:c>
      <x:c r="L1095" s="12" t="n">
        <x:f>IF(COUNT(J1095:K1095)=2,IF(K1095=0,"",J1095/K1095),"")</x:f>
        <x:v>0.6</x:v>
      </x:c>
      <x:c r="M1095" s="10" t="str">
        <x:v>Завершённый короткий просмотр около 1 мин. Научный ответ на конкретный вопрос даёт завершённый материал на короткую сессию.</x:v>
      </x:c>
      <x:c r="N1095" s="10" t="str">
        <x:v>Сформулировать вопрос и ответ с причинной связкой.</x:v>
      </x:c>
      <x:c r="O1095" s="10" t="str">
        <x:v>Проверить основной язык речи; каталог содержит и переводные материалы</x:v>
      </x:c>
      <x:c r="P1095" s="10" t="str">
        <x:v>Самостоятельное видео</x:v>
      </x:c>
      <x:c r="Q1095" s="9" t="str">
        <x:v>Нет</x:v>
      </x:c>
      <x:c r="R1095" s="9" t="str">
        <x:v>C059</x:v>
      </x:c>
      <x:c r="S1095" s="9" t="str">
        <x:v>C059</x:v>
      </x:c>
      <x:c r="T1095" s="10" t="str">
        <x:v>מכון דוידסון - סרטוני מדע</x:v>
      </x:c>
      <x:c r="U1095" s="11" t="str">
        <x:v>https://www.youtube.com/watch?v=4QnJUcxkzB0</x:v>
      </x:c>
      <x:c r="V1095" s="16" t="n">
        <x:v>46308</x:v>
      </x:c>
      <x:c r="W1095" s="16"/>
      <x:c r="X1095" s="10" t="str">
        <x:v>Иврит предполагается по заголовку и источнику</x:v>
      </x:c>
      <x:c r="Y1095" s="10" t="str">
        <x:v>Не проверено</x:v>
      </x:c>
      <x:c r="Z1095" s="10" t="str">
        <x:v>Не проверено</x:v>
      </x:c>
      <x:c r="AA1095" s="10" t="str">
        <x:v>Метаданные списка; видео не просмотрено</x:v>
      </x:c>
      <x:c r="AB1095" s="13" t="str">
        <x:f>IF(AND(ISNUMBER(H1095),ISNUMBER(W1095)),H1095/MAX(1,'Обзор'!$B$4-W1095),"")</x:f>
      </x:c>
      <x:c r="AC1095" s="17" t="str">
        <x:v>Не решено</x:v>
      </x:c>
      <x:c r="AD1095" s="17" t="str">
        <x:v>Не проверено</x:v>
      </x:c>
      <x:c r="AE1095" s="17" t="str">
        <x:v>Не проверено</x:v>
      </x:c>
      <x:c r="AF1095" s="17" t="str">
        <x:v>Не проверено</x:v>
      </x:c>
      <x:c r="AG1095" s="17" t="str">
        <x:v>Не решено</x:v>
      </x:c>
      <x:c r="AH1095" s="17" t="str">
        <x:v>Не проверено</x:v>
      </x:c>
      <x:c r="AI1095" s="10" t="str">
        <x:f>IF(AC1095="Отклонить","Отклонено",IF(AND(AC1095="Взять",COUNTIFS(AD1095:AH1095,"Да")=5),"Готово","Нужна редактура"))</x:f>
        <x:v>Нужна редактура</x:v>
      </x:c>
      <x:c r="AJ1095" s="17" t="str"/>
      <x:c r="AK1095" s="9" t="str">
        <x:v>https://www.youtube.com/playlist?list=PL0ZkulyfP8bfa4aR3GM4RoL8jpg0sjxlI</x:v>
      </x:c>
      <x:c r="AL1095" s="9" t="n">
        <x:v>9</x:v>
      </x:c>
      <x:c r="AM1095" s="9"/>
      <x:c r="AN1095" s="9"/>
    </x:row>
    <x:row r="1096" ht="60" customHeight="1">
      <x:c r="A1096" s="9" t="str">
        <x:v>hF5CX3VUeBU</x:v>
      </x:c>
      <x:c r="B1096" s="10" t="str">
        <x:v>חולים בלילה</x:v>
      </x:c>
      <x:c r="C1096" s="10" t="str">
        <x:v>Научные вопросы</x:v>
      </x:c>
      <x:c r="D1096" s="9" t="str">
        <x:v>Образование</x:v>
      </x:c>
      <x:c r="E1096" s="10" t="str">
        <x:v>Наука; семья; любознательные</x:v>
      </x:c>
      <x:c r="F1096" s="10" t="str">
        <x:v>B1–B2 (гипотеза)</x:v>
      </x:c>
      <x:c r="G1096" s="12" t="n">
        <x:v>0.7</x:v>
      </x:c>
      <x:c r="H1096" s="14" t="n">
        <x:v>2000</x:v>
      </x:c>
      <x:c r="I1096" s="15" t="str">
        <x:v>Округлённый счётчик в списке YouTube</x:v>
      </x:c>
      <x:c r="J1096" s="14" t="n">
        <x:v>2000</x:v>
      </x:c>
      <x:c r="K1096" s="14" t="n">
        <x:v>3500</x:v>
      </x:c>
      <x:c r="L1096" s="12" t="n">
        <x:f>IF(COUNT(J1096:K1096)=2,IF(K1096=0,"",J1096/K1096),"")</x:f>
        <x:v>0.5714285714285714</x:v>
      </x:c>
      <x:c r="M1096" s="10" t="str">
        <x:v>Завершённый короткий просмотр около 1 мин. Научный ответ на конкретный вопрос даёт завершённый материал на короткую сессию.</x:v>
      </x:c>
      <x:c r="N1096" s="10" t="str">
        <x:v>Сформулировать вопрос и ответ с причинной связкой.</x:v>
      </x:c>
      <x:c r="O1096" s="10" t="str">
        <x:v>Проверить основной язык речи; каталог содержит и переводные материалы</x:v>
      </x:c>
      <x:c r="P1096" s="10" t="str">
        <x:v>Самостоятельное видео</x:v>
      </x:c>
      <x:c r="Q1096" s="9" t="str">
        <x:v>Нет</x:v>
      </x:c>
      <x:c r="R1096" s="9" t="str">
        <x:v>C059</x:v>
      </x:c>
      <x:c r="S1096" s="9" t="str">
        <x:v>C059</x:v>
      </x:c>
      <x:c r="T1096" s="10" t="str">
        <x:v>מכון דוידסון - סרטוני מדע</x:v>
      </x:c>
      <x:c r="U1096" s="11" t="str">
        <x:v>https://www.youtube.com/watch?v=hF5CX3VUeBU</x:v>
      </x:c>
      <x:c r="V1096" s="16" t="n">
        <x:v>46308</x:v>
      </x:c>
      <x:c r="W1096" s="16"/>
      <x:c r="X1096" s="10" t="str">
        <x:v>Иврит предполагается по заголовку и источнику</x:v>
      </x:c>
      <x:c r="Y1096" s="10" t="str">
        <x:v>Не проверено</x:v>
      </x:c>
      <x:c r="Z1096" s="10" t="str">
        <x:v>Не проверено</x:v>
      </x:c>
      <x:c r="AA1096" s="10" t="str">
        <x:v>Метаданные списка; видео не просмотрено</x:v>
      </x:c>
      <x:c r="AB1096" s="13" t="str">
        <x:f>IF(AND(ISNUMBER(H1096),ISNUMBER(W1096)),H1096/MAX(1,'Обзор'!$B$4-W1096),"")</x:f>
      </x:c>
      <x:c r="AC1096" s="17" t="str">
        <x:v>Не решено</x:v>
      </x:c>
      <x:c r="AD1096" s="17" t="str">
        <x:v>Не проверено</x:v>
      </x:c>
      <x:c r="AE1096" s="17" t="str">
        <x:v>Не проверено</x:v>
      </x:c>
      <x:c r="AF1096" s="17" t="str">
        <x:v>Не проверено</x:v>
      </x:c>
      <x:c r="AG1096" s="17" t="str">
        <x:v>Не решено</x:v>
      </x:c>
      <x:c r="AH1096" s="17" t="str">
        <x:v>Не проверено</x:v>
      </x:c>
      <x:c r="AI1096" s="10" t="str">
        <x:f>IF(AC1096="Отклонить","Отклонено",IF(AND(AC1096="Взять",COUNTIFS(AD1096:AH1096,"Да")=5),"Готово","Нужна редактура"))</x:f>
        <x:v>Нужна редактура</x:v>
      </x:c>
      <x:c r="AJ1096" s="17" t="str"/>
      <x:c r="AK1096" s="9" t="str">
        <x:v>https://www.youtube.com/playlist?list=PL0ZkulyfP8bfa4aR3GM4RoL8jpg0sjxlI</x:v>
      </x:c>
      <x:c r="AL1096" s="9" t="n">
        <x:v>10</x:v>
      </x:c>
      <x:c r="AM1096" s="9"/>
      <x:c r="AN1096" s="9"/>
    </x:row>
    <x:row r="1097" ht="60" customHeight="1">
      <x:c r="A1097" s="9" t="str">
        <x:v>j15TaSkO_vg</x:v>
      </x:c>
      <x:c r="B1097" s="10" t="str">
        <x:v>שומעים עם העיניים ורואים עם האוזניים</x:v>
      </x:c>
      <x:c r="C1097" s="10" t="str">
        <x:v>Научные вопросы</x:v>
      </x:c>
      <x:c r="D1097" s="9" t="str">
        <x:v>Образование</x:v>
      </x:c>
      <x:c r="E1097" s="10" t="str">
        <x:v>Наука; семья; любознательные</x:v>
      </x:c>
      <x:c r="F1097" s="10" t="str">
        <x:v>B1–B2 (гипотеза)</x:v>
      </x:c>
      <x:c r="G1097" s="12" t="n">
        <x:v>0.9</x:v>
      </x:c>
      <x:c r="H1097" s="14" t="n">
        <x:v>3500</x:v>
      </x:c>
      <x:c r="I1097" s="15" t="str">
        <x:v>Округлённый счётчик в списке YouTube</x:v>
      </x:c>
      <x:c r="J1097" s="14" t="n">
        <x:v>3500</x:v>
      </x:c>
      <x:c r="K1097" s="14" t="n">
        <x:v>3500</x:v>
      </x:c>
      <x:c r="L1097" s="12" t="n">
        <x:f>IF(COUNT(J1097:K1097)=2,IF(K1097=0,"",J1097/K1097),"")</x:f>
        <x:v>1</x:v>
      </x:c>
      <x:c r="M1097" s="10" t="str">
        <x:v>Завершённый короткий просмотр около 1 мин. Научный ответ на конкретный вопрос даёт завершённый материал на короткую сессию.</x:v>
      </x:c>
      <x:c r="N1097" s="10" t="str">
        <x:v>Сформулировать вопрос и ответ с причинной связкой.</x:v>
      </x:c>
      <x:c r="O1097" s="10" t="str">
        <x:v>Проверить основной язык речи; каталог содержит и переводные материалы</x:v>
      </x:c>
      <x:c r="P1097" s="10" t="str">
        <x:v>Самостоятельное видео</x:v>
      </x:c>
      <x:c r="Q1097" s="9" t="str">
        <x:v>Нет</x:v>
      </x:c>
      <x:c r="R1097" s="9" t="str">
        <x:v>C059</x:v>
      </x:c>
      <x:c r="S1097" s="9" t="str">
        <x:v>C059</x:v>
      </x:c>
      <x:c r="T1097" s="10" t="str">
        <x:v>מכון דוידסון - סרטוני מדע</x:v>
      </x:c>
      <x:c r="U1097" s="11" t="str">
        <x:v>https://www.youtube.com/watch?v=j15TaSkO_vg</x:v>
      </x:c>
      <x:c r="V1097" s="16" t="n">
        <x:v>46308</x:v>
      </x:c>
      <x:c r="W1097" s="16"/>
      <x:c r="X1097" s="10" t="str">
        <x:v>Иврит предполагается по заголовку и источнику</x:v>
      </x:c>
      <x:c r="Y1097" s="10" t="str">
        <x:v>Не проверено</x:v>
      </x:c>
      <x:c r="Z1097" s="10" t="str">
        <x:v>Не проверено</x:v>
      </x:c>
      <x:c r="AA1097" s="10" t="str">
        <x:v>Метаданные списка; видео не просмотрено</x:v>
      </x:c>
      <x:c r="AB1097" s="13" t="str">
        <x:f>IF(AND(ISNUMBER(H1097),ISNUMBER(W1097)),H1097/MAX(1,'Обзор'!$B$4-W1097),"")</x:f>
      </x:c>
      <x:c r="AC1097" s="17" t="str">
        <x:v>Не решено</x:v>
      </x:c>
      <x:c r="AD1097" s="17" t="str">
        <x:v>Не проверено</x:v>
      </x:c>
      <x:c r="AE1097" s="17" t="str">
        <x:v>Не проверено</x:v>
      </x:c>
      <x:c r="AF1097" s="17" t="str">
        <x:v>Не проверено</x:v>
      </x:c>
      <x:c r="AG1097" s="17" t="str">
        <x:v>Не решено</x:v>
      </x:c>
      <x:c r="AH1097" s="17" t="str">
        <x:v>Не проверено</x:v>
      </x:c>
      <x:c r="AI1097" s="10" t="str">
        <x:f>IF(AC1097="Отклонить","Отклонено",IF(AND(AC1097="Взять",COUNTIFS(AD1097:AH1097,"Да")=5),"Готово","Нужна редактура"))</x:f>
        <x:v>Нужна редактура</x:v>
      </x:c>
      <x:c r="AJ1097" s="17" t="str"/>
      <x:c r="AK1097" s="9" t="str">
        <x:v>https://www.youtube.com/playlist?list=PL0ZkulyfP8bfa4aR3GM4RoL8jpg0sjxlI</x:v>
      </x:c>
      <x:c r="AL1097" s="9" t="n">
        <x:v>11</x:v>
      </x:c>
      <x:c r="AM1097" s="9"/>
      <x:c r="AN1097" s="9"/>
    </x:row>
    <x:row r="1098" ht="60" customHeight="1">
      <x:c r="A1098" s="9" t="str">
        <x:v>X4553rIQHvg</x:v>
      </x:c>
      <x:c r="B1098" s="10" t="str">
        <x:v>חומרים דוחי יתושים</x:v>
      </x:c>
      <x:c r="C1098" s="10" t="str">
        <x:v>Научные вопросы</x:v>
      </x:c>
      <x:c r="D1098" s="9" t="str">
        <x:v>Образование</x:v>
      </x:c>
      <x:c r="E1098" s="10" t="str">
        <x:v>Наука; семья; любознательные</x:v>
      </x:c>
      <x:c r="F1098" s="10" t="str">
        <x:v>B1–B2 (гипотеза)</x:v>
      </x:c>
      <x:c r="G1098" s="12" t="n">
        <x:v>1</x:v>
      </x:c>
      <x:c r="H1098" s="14" t="n">
        <x:v>5511</x:v>
      </x:c>
      <x:c r="I1098" s="15" t="str">
        <x:v>Точный счётчик метаданных видео</x:v>
      </x:c>
      <x:c r="J1098" s="14" t="n">
        <x:v>5500</x:v>
      </x:c>
      <x:c r="K1098" s="14" t="n">
        <x:v>3500</x:v>
      </x:c>
      <x:c r="L1098" s="12" t="n">
        <x:f>IF(COUNT(J1098:K1098)=2,IF(K1098=0,"",J1098/K1098),"")</x:f>
        <x:v>1.5714285714285714</x:v>
      </x:c>
      <x:c r="M1098" s="10" t="str">
        <x:v>Завершённый короткий просмотр около 1 мин. Просмотры в списке выше медианы выборки этого цикла в 1.57 раза. Научный ответ на конкретный вопрос даёт завершённый материал на короткую сессию.</x:v>
      </x:c>
      <x:c r="N1098" s="10" t="str">
        <x:v>Сформулировать вопрос и ответ с причинной связкой.</x:v>
      </x:c>
      <x:c r="O1098" s="10" t="str">
        <x:v>Проверить основной язык речи; каталог содержит и переводные материалы</x:v>
      </x:c>
      <x:c r="P1098" s="10" t="str">
        <x:v>Самостоятельное видео</x:v>
      </x:c>
      <x:c r="Q1098" s="9" t="str">
        <x:v>Нет</x:v>
      </x:c>
      <x:c r="R1098" s="9" t="str">
        <x:v>C059</x:v>
      </x:c>
      <x:c r="S1098" s="9" t="str">
        <x:v>C059</x:v>
      </x:c>
      <x:c r="T1098" s="10" t="str">
        <x:v>מכון דוידסון - סרטוני מדע</x:v>
      </x:c>
      <x:c r="U1098" s="11" t="str">
        <x:v>https://www.youtube.com/watch?v=X4553rIQHvg</x:v>
      </x:c>
      <x:c r="V1098" s="16" t="n">
        <x:v>46308</x:v>
      </x:c>
      <x:c r="W1098" s="16" t="n">
        <x:v>45309</x:v>
      </x:c>
      <x:c r="X1098" s="10" t="str">
        <x:v>Иврит предполагается по заголовку и источнику</x:v>
      </x:c>
      <x:c r="Y1098" s="10" t="str">
        <x:v>Автоматическая дорожка HE по метаданным</x:v>
      </x:c>
      <x:c r="Z1098" s="10" t="str">
        <x:v>Разрешено по метаданным</x:v>
      </x:c>
      <x:c r="AA1098" s="10" t="str">
        <x:v>Метаданные видео; воспроизведение и содержание не проверены</x:v>
      </x:c>
      <x:c r="AB1098" s="13" t="n">
        <x:f>IF(AND(ISNUMBER(H1098),ISNUMBER(W1098)),H1098/MAX(1,'Обзор'!$B$4-W1098),"")</x:f>
        <x:v>5.516516516516517</x:v>
      </x:c>
      <x:c r="AC1098" s="17" t="str">
        <x:v>Не решено</x:v>
      </x:c>
      <x:c r="AD1098" s="17" t="str">
        <x:v>Не проверено</x:v>
      </x:c>
      <x:c r="AE1098" s="17" t="str">
        <x:v>Не проверено</x:v>
      </x:c>
      <x:c r="AF1098" s="17" t="str">
        <x:v>Не проверено</x:v>
      </x:c>
      <x:c r="AG1098" s="17" t="str">
        <x:v>Не решено</x:v>
      </x:c>
      <x:c r="AH1098" s="17" t="str">
        <x:v>Не проверено</x:v>
      </x:c>
      <x:c r="AI1098" s="10" t="str">
        <x:f>IF(AC1098="Отклонить","Отклонено",IF(AND(AC1098="Взять",COUNTIFS(AD1098:AH1098,"Да")=5),"Готово","Нужна редактура"))</x:f>
        <x:v>Нужна редактура</x:v>
      </x:c>
      <x:c r="AJ1098" s="17" t="str"/>
      <x:c r="AK1098" s="9" t="str">
        <x:v>https://www.youtube.com/playlist?list=PL0ZkulyfP8bfa4aR3GM4RoL8jpg0sjxlI</x:v>
      </x:c>
      <x:c r="AL1098" s="9" t="n">
        <x:v>12</x:v>
      </x:c>
      <x:c r="AM1098" s="9"/>
      <x:c r="AN1098" s="9" t="n">
        <x:v>0</x:v>
      </x:c>
    </x:row>
    <x:row r="1099" ht="60" customHeight="1">
      <x:c r="A1099" s="9" t="str">
        <x:v>detnffjZEE0</x:v>
      </x:c>
      <x:c r="B1099" s="10" t="str">
        <x:v>חיות צמות בטבע</x:v>
      </x:c>
      <x:c r="C1099" s="10" t="str">
        <x:v>Научные вопросы</x:v>
      </x:c>
      <x:c r="D1099" s="9" t="str">
        <x:v>Образование</x:v>
      </x:c>
      <x:c r="E1099" s="10" t="str">
        <x:v>Наука; семья; любознательные</x:v>
      </x:c>
      <x:c r="F1099" s="10" t="str">
        <x:v>B1–B2 (гипотеза)</x:v>
      </x:c>
      <x:c r="G1099" s="12" t="n">
        <x:v>1</x:v>
      </x:c>
      <x:c r="H1099" s="14" t="n">
        <x:v>6200</x:v>
      </x:c>
      <x:c r="I1099" s="15" t="str">
        <x:v>Округлённый счётчик в списке YouTube</x:v>
      </x:c>
      <x:c r="J1099" s="14" t="n">
        <x:v>6200</x:v>
      </x:c>
      <x:c r="K1099" s="14" t="n">
        <x:v>3500</x:v>
      </x:c>
      <x:c r="L1099" s="12" t="n">
        <x:f>IF(COUNT(J1099:K1099)=2,IF(K1099=0,"",J1099/K1099),"")</x:f>
        <x:v>1.7714285714285714</x:v>
      </x:c>
      <x:c r="M1099" s="10" t="str">
        <x:v>Завершённый короткий просмотр около 1 мин. Просмотры в списке выше медианы выборки этого цикла в 1.77 раза. Научный ответ на конкретный вопрос даёт завершённый материал на короткую сессию.</x:v>
      </x:c>
      <x:c r="N1099" s="10" t="str">
        <x:v>Сформулировать вопрос и ответ с причинной связкой.</x:v>
      </x:c>
      <x:c r="O1099" s="10" t="str">
        <x:v>Проверить основной язык речи; каталог содержит и переводные материалы</x:v>
      </x:c>
      <x:c r="P1099" s="10" t="str">
        <x:v>Самостоятельное видео</x:v>
      </x:c>
      <x:c r="Q1099" s="9" t="str">
        <x:v>Нет</x:v>
      </x:c>
      <x:c r="R1099" s="9" t="str">
        <x:v>C059</x:v>
      </x:c>
      <x:c r="S1099" s="9" t="str">
        <x:v>C059</x:v>
      </x:c>
      <x:c r="T1099" s="10" t="str">
        <x:v>מכון דוידסון - סרטוני מדע</x:v>
      </x:c>
      <x:c r="U1099" s="11" t="str">
        <x:v>https://www.youtube.com/watch?v=detnffjZEE0</x:v>
      </x:c>
      <x:c r="V1099" s="16" t="n">
        <x:v>46308</x:v>
      </x:c>
      <x:c r="W1099" s="16"/>
      <x:c r="X1099" s="10" t="str">
        <x:v>Иврит предполагается по заголовку и источнику</x:v>
      </x:c>
      <x:c r="Y1099" s="10" t="str">
        <x:v>Не проверено</x:v>
      </x:c>
      <x:c r="Z1099" s="10" t="str">
        <x:v>Не проверено</x:v>
      </x:c>
      <x:c r="AA1099" s="10" t="str">
        <x:v>Метаданные списка; видео не просмотрено</x:v>
      </x:c>
      <x:c r="AB1099" s="13" t="str">
        <x:f>IF(AND(ISNUMBER(H1099),ISNUMBER(W1099)),H1099/MAX(1,'Обзор'!$B$4-W1099),"")</x:f>
      </x:c>
      <x:c r="AC1099" s="17" t="str">
        <x:v>Не решено</x:v>
      </x:c>
      <x:c r="AD1099" s="17" t="str">
        <x:v>Не проверено</x:v>
      </x:c>
      <x:c r="AE1099" s="17" t="str">
        <x:v>Не проверено</x:v>
      </x:c>
      <x:c r="AF1099" s="17" t="str">
        <x:v>Не проверено</x:v>
      </x:c>
      <x:c r="AG1099" s="17" t="str">
        <x:v>Не решено</x:v>
      </x:c>
      <x:c r="AH1099" s="17" t="str">
        <x:v>Не проверено</x:v>
      </x:c>
      <x:c r="AI1099" s="10" t="str">
        <x:f>IF(AC1099="Отклонить","Отклонено",IF(AND(AC1099="Взять",COUNTIFS(AD1099:AH1099,"Да")=5),"Готово","Нужна редактура"))</x:f>
        <x:v>Нужна редактура</x:v>
      </x:c>
      <x:c r="AJ1099" s="17" t="str"/>
      <x:c r="AK1099" s="9" t="str">
        <x:v>https://www.youtube.com/playlist?list=PL0ZkulyfP8bfa4aR3GM4RoL8jpg0sjxlI</x:v>
      </x:c>
      <x:c r="AL1099" s="9" t="n">
        <x:v>13</x:v>
      </x:c>
      <x:c r="AM1099" s="9"/>
      <x:c r="AN1099" s="9"/>
    </x:row>
    <x:row r="1100" ht="60" customHeight="1">
      <x:c r="A1100" s="9" t="str">
        <x:v>HDRbBHSTIXc</x:v>
      </x:c>
      <x:c r="B1100" s="10" t="str">
        <x:v>דובים ודבש</x:v>
      </x:c>
      <x:c r="C1100" s="10" t="str">
        <x:v>Научные вопросы</x:v>
      </x:c>
      <x:c r="D1100" s="9" t="str">
        <x:v>Образование</x:v>
      </x:c>
      <x:c r="E1100" s="10" t="str">
        <x:v>Наука; семья; любознательные</x:v>
      </x:c>
      <x:c r="F1100" s="10" t="str">
        <x:v>B1–B2 (гипотеза)</x:v>
      </x:c>
      <x:c r="G1100" s="12" t="n">
        <x:v>0.8</x:v>
      </x:c>
      <x:c r="H1100" s="14" t="n">
        <x:v>5900</x:v>
      </x:c>
      <x:c r="I1100" s="15" t="str">
        <x:v>Округлённый счётчик в списке YouTube</x:v>
      </x:c>
      <x:c r="J1100" s="14" t="n">
        <x:v>5900</x:v>
      </x:c>
      <x:c r="K1100" s="14" t="n">
        <x:v>3500</x:v>
      </x:c>
      <x:c r="L1100" s="12" t="n">
        <x:f>IF(COUNT(J1100:K1100)=2,IF(K1100=0,"",J1100/K1100),"")</x:f>
        <x:v>1.6857142857142857</x:v>
      </x:c>
      <x:c r="M1100" s="10" t="str">
        <x:v>Завершённый короткий просмотр около 1 мин. Просмотры в списке выше медианы выборки этого цикла в 1.69 раза. Научный ответ на конкретный вопрос даёт завершённый материал на короткую сессию.</x:v>
      </x:c>
      <x:c r="N1100" s="10" t="str">
        <x:v>Сформулировать вопрос и ответ с причинной связкой.</x:v>
      </x:c>
      <x:c r="O1100" s="10" t="str">
        <x:v>Проверить основной язык речи; каталог содержит и переводные материалы</x:v>
      </x:c>
      <x:c r="P1100" s="10" t="str">
        <x:v>Самостоятельное видео</x:v>
      </x:c>
      <x:c r="Q1100" s="9" t="str">
        <x:v>Нет</x:v>
      </x:c>
      <x:c r="R1100" s="9" t="str">
        <x:v>C059</x:v>
      </x:c>
      <x:c r="S1100" s="9" t="str">
        <x:v>C059</x:v>
      </x:c>
      <x:c r="T1100" s="10" t="str">
        <x:v>מכון דוידסון - סרטוני מדע</x:v>
      </x:c>
      <x:c r="U1100" s="11" t="str">
        <x:v>https://www.youtube.com/watch?v=HDRbBHSTIXc</x:v>
      </x:c>
      <x:c r="V1100" s="16" t="n">
        <x:v>46308</x:v>
      </x:c>
      <x:c r="W1100" s="16"/>
      <x:c r="X1100" s="10" t="str">
        <x:v>Иврит предполагается по заголовку и источнику</x:v>
      </x:c>
      <x:c r="Y1100" s="10" t="str">
        <x:v>Не проверено</x:v>
      </x:c>
      <x:c r="Z1100" s="10" t="str">
        <x:v>Не проверено</x:v>
      </x:c>
      <x:c r="AA1100" s="10" t="str">
        <x:v>Метаданные списка; видео не просмотрено</x:v>
      </x:c>
      <x:c r="AB1100" s="13" t="str">
        <x:f>IF(AND(ISNUMBER(H1100),ISNUMBER(W1100)),H1100/MAX(1,'Обзор'!$B$4-W1100),"")</x:f>
      </x:c>
      <x:c r="AC1100" s="17" t="str">
        <x:v>Не решено</x:v>
      </x:c>
      <x:c r="AD1100" s="17" t="str">
        <x:v>Не проверено</x:v>
      </x:c>
      <x:c r="AE1100" s="17" t="str">
        <x:v>Не проверено</x:v>
      </x:c>
      <x:c r="AF1100" s="17" t="str">
        <x:v>Не проверено</x:v>
      </x:c>
      <x:c r="AG1100" s="17" t="str">
        <x:v>Не решено</x:v>
      </x:c>
      <x:c r="AH1100" s="17" t="str">
        <x:v>Не проверено</x:v>
      </x:c>
      <x:c r="AI1100" s="10" t="str">
        <x:f>IF(AC1100="Отклонить","Отклонено",IF(AND(AC1100="Взять",COUNTIFS(AD1100:AH1100,"Да")=5),"Готово","Нужна редактура"))</x:f>
        <x:v>Нужна редактура</x:v>
      </x:c>
      <x:c r="AJ1100" s="17" t="str"/>
      <x:c r="AK1100" s="9" t="str">
        <x:v>https://www.youtube.com/playlist?list=PL0ZkulyfP8bfa4aR3GM4RoL8jpg0sjxlI</x:v>
      </x:c>
      <x:c r="AL1100" s="9" t="n">
        <x:v>14</x:v>
      </x:c>
      <x:c r="AM1100" s="9"/>
      <x:c r="AN1100" s="9"/>
    </x:row>
    <x:row r="1101" ht="60" customHeight="1">
      <x:c r="A1101" s="9" t="str">
        <x:v>z0YYvggPJh0</x:v>
      </x:c>
      <x:c r="B1101" s="10" t="str">
        <x:v>כלבים מריחים מחלות</x:v>
      </x:c>
      <x:c r="C1101" s="10" t="str">
        <x:v>Научные вопросы</x:v>
      </x:c>
      <x:c r="D1101" s="9" t="str">
        <x:v>Образование</x:v>
      </x:c>
      <x:c r="E1101" s="10" t="str">
        <x:v>Наука; семья; любознательные</x:v>
      </x:c>
      <x:c r="F1101" s="10" t="str">
        <x:v>B1–B2 (гипотеза)</x:v>
      </x:c>
      <x:c r="G1101" s="12" t="n">
        <x:v>1</x:v>
      </x:c>
      <x:c r="H1101" s="14" t="n">
        <x:v>3817</x:v>
      </x:c>
      <x:c r="I1101" s="15" t="str">
        <x:v>Точный счётчик метаданных видео</x:v>
      </x:c>
      <x:c r="J1101" s="14" t="n">
        <x:v>3800</x:v>
      </x:c>
      <x:c r="K1101" s="14" t="n">
        <x:v>3500</x:v>
      </x:c>
      <x:c r="L1101" s="12" t="n">
        <x:f>IF(COUNT(J1101:K1101)=2,IF(K1101=0,"",J1101/K1101),"")</x:f>
        <x:v>1.0857142857142856</x:v>
      </x:c>
      <x:c r="M1101" s="10" t="str">
        <x:v>Завершённый короткий просмотр около 1 мин. Научный ответ на конкретный вопрос даёт завершённый материал на короткую сессию.</x:v>
      </x:c>
      <x:c r="N1101" s="10" t="str">
        <x:v>Сформулировать вопрос и ответ с причинной связкой.</x:v>
      </x:c>
      <x:c r="O1101" s="10" t="str">
        <x:v>Проверить основной язык речи; каталог содержит и переводные материалы</x:v>
      </x:c>
      <x:c r="P1101" s="10" t="str">
        <x:v>Самостоятельное видео</x:v>
      </x:c>
      <x:c r="Q1101" s="9" t="str">
        <x:v>Нет</x:v>
      </x:c>
      <x:c r="R1101" s="9" t="str">
        <x:v>C059</x:v>
      </x:c>
      <x:c r="S1101" s="9" t="str">
        <x:v>C059</x:v>
      </x:c>
      <x:c r="T1101" s="10" t="str">
        <x:v>מכון דוידסון - סרטוני מדע</x:v>
      </x:c>
      <x:c r="U1101" s="11" t="str">
        <x:v>https://www.youtube.com/watch?v=z0YYvggPJh0</x:v>
      </x:c>
      <x:c r="V1101" s="16" t="n">
        <x:v>46308</x:v>
      </x:c>
      <x:c r="W1101" s="16" t="n">
        <x:v>45274</x:v>
      </x:c>
      <x:c r="X1101" s="10" t="str">
        <x:v>Иврит предполагается по заголовку и источнику</x:v>
      </x:c>
      <x:c r="Y1101" s="10" t="str">
        <x:v>Автоматическая дорожка HE по метаданным</x:v>
      </x:c>
      <x:c r="Z1101" s="10" t="str">
        <x:v>Разрешено по метаданным</x:v>
      </x:c>
      <x:c r="AA1101" s="10" t="str">
        <x:v>Метаданные видео; воспроизведение и содержание не проверены</x:v>
      </x:c>
      <x:c r="AB1101" s="13" t="n">
        <x:f>IF(AND(ISNUMBER(H1101),ISNUMBER(W1101)),H1101/MAX(1,'Обзор'!$B$4-W1101),"")</x:f>
        <x:v>3.6914893617021276</x:v>
      </x:c>
      <x:c r="AC1101" s="17" t="str">
        <x:v>Не решено</x:v>
      </x:c>
      <x:c r="AD1101" s="17" t="str">
        <x:v>Не проверено</x:v>
      </x:c>
      <x:c r="AE1101" s="17" t="str">
        <x:v>Не проверено</x:v>
      </x:c>
      <x:c r="AF1101" s="17" t="str">
        <x:v>Не проверено</x:v>
      </x:c>
      <x:c r="AG1101" s="17" t="str">
        <x:v>Не решено</x:v>
      </x:c>
      <x:c r="AH1101" s="17" t="str">
        <x:v>Не проверено</x:v>
      </x:c>
      <x:c r="AI1101" s="10" t="str">
        <x:f>IF(AC1101="Отклонить","Отклонено",IF(AND(AC1101="Взять",COUNTIFS(AD1101:AH1101,"Да")=5),"Готово","Нужна редактура"))</x:f>
        <x:v>Нужна редактура</x:v>
      </x:c>
      <x:c r="AJ1101" s="17" t="str"/>
      <x:c r="AK1101" s="9" t="str">
        <x:v>https://www.youtube.com/playlist?list=PL0ZkulyfP8bfa4aR3GM4RoL8jpg0sjxlI</x:v>
      </x:c>
      <x:c r="AL1101" s="9" t="n">
        <x:v>15</x:v>
      </x:c>
      <x:c r="AM1101" s="9"/>
      <x:c r="AN1101" s="9" t="n">
        <x:v>0</x:v>
      </x:c>
    </x:row>
    <x:row r="1102" ht="60" customHeight="1">
      <x:c r="A1102" s="9" t="str">
        <x:v>dZLrFrZw4ow</x:v>
      </x:c>
      <x:c r="B1102" s="10" t="str">
        <x:v>כמה גרעינים יש ברימון?</x:v>
      </x:c>
      <x:c r="C1102" s="10" t="str">
        <x:v>Научные открытия</x:v>
      </x:c>
      <x:c r="D1102" s="9" t="str">
        <x:v>Образование</x:v>
      </x:c>
      <x:c r="E1102" s="10" t="str">
        <x:v>Наука; семья; любознательные</x:v>
      </x:c>
      <x:c r="F1102" s="10" t="str">
        <x:v>B1–B2 (гипотеза)</x:v>
      </x:c>
      <x:c r="G1102" s="12" t="n">
        <x:v>2.9</x:v>
      </x:c>
      <x:c r="H1102" s="14" t="n">
        <x:v>32366</x:v>
      </x:c>
      <x:c r="I1102" s="15" t="str">
        <x:v>Точный счётчик метаданных видео</x:v>
      </x:c>
      <x:c r="J1102" s="14" t="n">
        <x:v>32000</x:v>
      </x:c>
      <x:c r="K1102" s="14" t="n">
        <x:v>17000</x:v>
      </x:c>
      <x:c r="L1102" s="12" t="n">
        <x:f>IF(COUNT(J1102:K1102)=2,IF(K1102=0,"",J1102/K1102),"")</x:f>
        <x:v>1.8823529411764706</x:v>
      </x:c>
      <x:c r="M1102" s="10" t="str">
        <x:v>Завершённый короткий просмотр около 3 мин. Просмотры в списке выше медианы выборки этого цикла в 1.88 раза. Неожиданный научный факт поддерживает любопытство и интерес к короткому просмотру.</x:v>
      </x:c>
      <x:c r="N1102" s="10" t="str">
        <x:v>Отделить наблюдение от объяснения и пересказать своими словами.</x:v>
      </x:c>
      <x:c r="O1102" s="10" t="str">
        <x:v>Проверить основной язык речи; каталог содержит и переводные материалы</x:v>
      </x:c>
      <x:c r="P1102" s="10" t="str">
        <x:v>Самостоятельное видео</x:v>
      </x:c>
      <x:c r="Q1102" s="9" t="str">
        <x:v>Нет</x:v>
      </x:c>
      <x:c r="R1102" s="9" t="str">
        <x:v>C060</x:v>
      </x:c>
      <x:c r="S1102" s="9" t="str">
        <x:v>C060</x:v>
      </x:c>
      <x:c r="T1102" s="10" t="str">
        <x:v>מכון דוידסון - סרטוני מדע</x:v>
      </x:c>
      <x:c r="U1102" s="11" t="str">
        <x:v>https://www.youtube.com/watch?v=dZLrFrZw4ow</x:v>
      </x:c>
      <x:c r="V1102" s="16" t="n">
        <x:v>46308</x:v>
      </x:c>
      <x:c r="W1102" s="16" t="n">
        <x:v>42998</x:v>
      </x:c>
      <x:c r="X1102" s="10" t="str">
        <x:v>Иврит предполагается по заголовку и источнику</x:v>
      </x:c>
      <x:c r="Y1102" s="10" t="str">
        <x:v>Ручная дорожка HE по метаданным</x:v>
      </x:c>
      <x:c r="Z1102" s="10" t="str">
        <x:v>Разрешено по метаданным</x:v>
      </x:c>
      <x:c r="AA1102" s="10" t="str">
        <x:v>Метаданные видео; воспроизведение и содержание не проверены</x:v>
      </x:c>
      <x:c r="AB1102" s="13" t="n">
        <x:f>IF(AND(ISNUMBER(H1102),ISNUMBER(W1102)),H1102/MAX(1,'Обзор'!$B$4-W1102),"")</x:f>
        <x:v>9.778247734138972</x:v>
      </x:c>
      <x:c r="AC1102" s="17" t="str">
        <x:v>Не решено</x:v>
      </x:c>
      <x:c r="AD1102" s="17" t="str">
        <x:v>Не проверено</x:v>
      </x:c>
      <x:c r="AE1102" s="17" t="str">
        <x:v>Не проверено</x:v>
      </x:c>
      <x:c r="AF1102" s="17" t="str">
        <x:v>Не проверено</x:v>
      </x:c>
      <x:c r="AG1102" s="17" t="str">
        <x:v>Не решено</x:v>
      </x:c>
      <x:c r="AH1102" s="17" t="str">
        <x:v>Не проверено</x:v>
      </x:c>
      <x:c r="AI1102" s="10" t="str">
        <x:f>IF(AC1102="Отклонить","Отклонено",IF(AND(AC1102="Взять",COUNTIFS(AD1102:AH1102,"Да")=5),"Готово","Нужна редактура"))</x:f>
        <x:v>Нужна редактура</x:v>
      </x:c>
      <x:c r="AJ1102" s="17" t="str"/>
      <x:c r="AK1102" s="9" t="str">
        <x:v>https://www.youtube.com/playlist?list=PL0ZkulyfP8bfMU_1JJax5dvr2qxkYt1WH</x:v>
      </x:c>
      <x:c r="AL1102" s="9" t="n">
        <x:v>1</x:v>
      </x:c>
      <x:c r="AM1102" s="9"/>
      <x:c r="AN1102" s="9" t="n">
        <x:v>0</x:v>
      </x:c>
    </x:row>
    <x:row r="1103" ht="60" customHeight="1">
      <x:c r="A1103" s="9" t="str">
        <x:v>XY3aTd_8hhU</x:v>
      </x:c>
      <x:c r="B1103" s="10" t="str">
        <x:v>מכון דוידסון בקטע של: שיהוקים</x:v>
      </x:c>
      <x:c r="C1103" s="10" t="str">
        <x:v>Научные открытия</x:v>
      </x:c>
      <x:c r="D1103" s="9" t="str">
        <x:v>Образование</x:v>
      </x:c>
      <x:c r="E1103" s="10" t="str">
        <x:v>Наука; семья; любознательные</x:v>
      </x:c>
      <x:c r="F1103" s="10" t="str">
        <x:v>B1–B2 (гипотеза)</x:v>
      </x:c>
      <x:c r="G1103" s="12" t="n">
        <x:v>3.3</x:v>
      </x:c>
      <x:c r="H1103" s="14" t="n">
        <x:v>7400</x:v>
      </x:c>
      <x:c r="I1103" s="15" t="str">
        <x:v>Округлённый счётчик в списке YouTube</x:v>
      </x:c>
      <x:c r="J1103" s="14" t="n">
        <x:v>7400</x:v>
      </x:c>
      <x:c r="K1103" s="14" t="n">
        <x:v>17000</x:v>
      </x:c>
      <x:c r="L1103" s="12" t="n">
        <x:f>IF(COUNT(J1103:K1103)=2,IF(K1103=0,"",J1103/K1103),"")</x:f>
        <x:v>0.43529411764705883</x:v>
      </x:c>
      <x:c r="M1103" s="10" t="str">
        <x:v>Завершённый короткий просмотр около 3 мин. Просмотры ниже медианы цикла; выбирать за нишевую ценность, а не за массовый охват. Неожиданный научный факт поддерживает любопытство и интерес к короткому просмотру.</x:v>
      </x:c>
      <x:c r="N1103" s="10" t="str">
        <x:v>Отделить наблюдение от объяснения и пересказать своими словами.</x:v>
      </x:c>
      <x:c r="O1103" s="10" t="str">
        <x:v>Проверить основной язык речи; каталог содержит и переводные материалы</x:v>
      </x:c>
      <x:c r="P1103" s="10" t="str">
        <x:v>Самостоятельное видео</x:v>
      </x:c>
      <x:c r="Q1103" s="9" t="str">
        <x:v>Нет</x:v>
      </x:c>
      <x:c r="R1103" s="9" t="str">
        <x:v>C060</x:v>
      </x:c>
      <x:c r="S1103" s="9" t="str">
        <x:v>C060</x:v>
      </x:c>
      <x:c r="T1103" s="10" t="str">
        <x:v>מכון דוידסון - סרטוני מדע</x:v>
      </x:c>
      <x:c r="U1103" s="11" t="str">
        <x:v>https://www.youtube.com/watch?v=XY3aTd_8hhU</x:v>
      </x:c>
      <x:c r="V1103" s="16" t="n">
        <x:v>46308</x:v>
      </x:c>
      <x:c r="W1103" s="16"/>
      <x:c r="X1103" s="10" t="str">
        <x:v>Иврит предполагается по заголовку и источнику</x:v>
      </x:c>
      <x:c r="Y1103" s="10" t="str">
        <x:v>Не проверено</x:v>
      </x:c>
      <x:c r="Z1103" s="10" t="str">
        <x:v>Не проверено</x:v>
      </x:c>
      <x:c r="AA1103" s="10" t="str">
        <x:v>Метаданные списка; видео не просмотрено</x:v>
      </x:c>
      <x:c r="AB1103" s="13" t="str">
        <x:f>IF(AND(ISNUMBER(H1103),ISNUMBER(W1103)),H1103/MAX(1,'Обзор'!$B$4-W1103),"")</x:f>
      </x:c>
      <x:c r="AC1103" s="17" t="str">
        <x:v>Не решено</x:v>
      </x:c>
      <x:c r="AD1103" s="17" t="str">
        <x:v>Не проверено</x:v>
      </x:c>
      <x:c r="AE1103" s="17" t="str">
        <x:v>Не проверено</x:v>
      </x:c>
      <x:c r="AF1103" s="17" t="str">
        <x:v>Не проверено</x:v>
      </x:c>
      <x:c r="AG1103" s="17" t="str">
        <x:v>Не решено</x:v>
      </x:c>
      <x:c r="AH1103" s="17" t="str">
        <x:v>Не проверено</x:v>
      </x:c>
      <x:c r="AI1103" s="10" t="str">
        <x:f>IF(AC1103="Отклонить","Отклонено",IF(AND(AC1103="Взять",COUNTIFS(AD1103:AH1103,"Да")=5),"Готово","Нужна редактура"))</x:f>
        <x:v>Нужна редактура</x:v>
      </x:c>
      <x:c r="AJ1103" s="17" t="str"/>
      <x:c r="AK1103" s="9" t="str">
        <x:v>https://www.youtube.com/playlist?list=PL0ZkulyfP8bfMU_1JJax5dvr2qxkYt1WH</x:v>
      </x:c>
      <x:c r="AL1103" s="9" t="n">
        <x:v>3</x:v>
      </x:c>
      <x:c r="AM1103" s="9"/>
      <x:c r="AN1103" s="9"/>
    </x:row>
    <x:row r="1104" ht="60" customHeight="1">
      <x:c r="A1104" s="9" t="str">
        <x:v>LUzvpLs0GwM</x:v>
      </x:c>
      <x:c r="B1104" s="10" t="str">
        <x:v>מכון דוידסון בקטע של: טעם וריח</x:v>
      </x:c>
      <x:c r="C1104" s="10" t="str">
        <x:v>Научные открытия</x:v>
      </x:c>
      <x:c r="D1104" s="9" t="str">
        <x:v>Образование</x:v>
      </x:c>
      <x:c r="E1104" s="10" t="str">
        <x:v>Наука; семья; любознательные</x:v>
      </x:c>
      <x:c r="F1104" s="10" t="str">
        <x:v>B1–B2 (гипотеза)</x:v>
      </x:c>
      <x:c r="G1104" s="12" t="n">
        <x:v>2.8</x:v>
      </x:c>
      <x:c r="H1104" s="14" t="n">
        <x:v>11000</x:v>
      </x:c>
      <x:c r="I1104" s="15" t="str">
        <x:v>Округлённый счётчик в списке YouTube</x:v>
      </x:c>
      <x:c r="J1104" s="14" t="n">
        <x:v>11000</x:v>
      </x:c>
      <x:c r="K1104" s="14" t="n">
        <x:v>17000</x:v>
      </x:c>
      <x:c r="L1104" s="12" t="n">
        <x:f>IF(COUNT(J1104:K1104)=2,IF(K1104=0,"",J1104/K1104),"")</x:f>
        <x:v>0.6470588235294118</x:v>
      </x:c>
      <x:c r="M1104" s="10" t="str">
        <x:v>Завершённый короткий просмотр около 3 мин. Неожиданный научный факт поддерживает любопытство и интерес к короткому просмотру.</x:v>
      </x:c>
      <x:c r="N1104" s="10" t="str">
        <x:v>Отделить наблюдение от объяснения и пересказать своими словами.</x:v>
      </x:c>
      <x:c r="O1104" s="10" t="str">
        <x:v>Проверить основной язык речи; каталог содержит и переводные материалы</x:v>
      </x:c>
      <x:c r="P1104" s="10" t="str">
        <x:v>Самостоятельное видео</x:v>
      </x:c>
      <x:c r="Q1104" s="9" t="str">
        <x:v>Нет</x:v>
      </x:c>
      <x:c r="R1104" s="9" t="str">
        <x:v>C060</x:v>
      </x:c>
      <x:c r="S1104" s="9" t="str">
        <x:v>C060</x:v>
      </x:c>
      <x:c r="T1104" s="10" t="str">
        <x:v>מכון דוידסון - סרטוני מדע</x:v>
      </x:c>
      <x:c r="U1104" s="11" t="str">
        <x:v>https://www.youtube.com/watch?v=LUzvpLs0GwM</x:v>
      </x:c>
      <x:c r="V1104" s="16" t="n">
        <x:v>46308</x:v>
      </x:c>
      <x:c r="W1104" s="16"/>
      <x:c r="X1104" s="10" t="str">
        <x:v>Иврит предполагается по заголовку и источнику</x:v>
      </x:c>
      <x:c r="Y1104" s="10" t="str">
        <x:v>Не проверено</x:v>
      </x:c>
      <x:c r="Z1104" s="10" t="str">
        <x:v>Не проверено</x:v>
      </x:c>
      <x:c r="AA1104" s="10" t="str">
        <x:v>Метаданные списка; видео не просмотрено</x:v>
      </x:c>
      <x:c r="AB1104" s="13" t="str">
        <x:f>IF(AND(ISNUMBER(H1104),ISNUMBER(W1104)),H1104/MAX(1,'Обзор'!$B$4-W1104),"")</x:f>
      </x:c>
      <x:c r="AC1104" s="17" t="str">
        <x:v>Не решено</x:v>
      </x:c>
      <x:c r="AD1104" s="17" t="str">
        <x:v>Не проверено</x:v>
      </x:c>
      <x:c r="AE1104" s="17" t="str">
        <x:v>Не проверено</x:v>
      </x:c>
      <x:c r="AF1104" s="17" t="str">
        <x:v>Не проверено</x:v>
      </x:c>
      <x:c r="AG1104" s="17" t="str">
        <x:v>Не решено</x:v>
      </x:c>
      <x:c r="AH1104" s="17" t="str">
        <x:v>Не проверено</x:v>
      </x:c>
      <x:c r="AI1104" s="10" t="str">
        <x:f>IF(AC1104="Отклонить","Отклонено",IF(AND(AC1104="Взять",COUNTIFS(AD1104:AH1104,"Да")=5),"Готово","Нужна редактура"))</x:f>
        <x:v>Нужна редактура</x:v>
      </x:c>
      <x:c r="AJ1104" s="17" t="str"/>
      <x:c r="AK1104" s="9" t="str">
        <x:v>https://www.youtube.com/playlist?list=PL0ZkulyfP8bfMU_1JJax5dvr2qxkYt1WH</x:v>
      </x:c>
      <x:c r="AL1104" s="9" t="n">
        <x:v>4</x:v>
      </x:c>
      <x:c r="AM1104" s="9"/>
      <x:c r="AN1104" s="9"/>
    </x:row>
    <x:row r="1105" ht="60" customHeight="1">
      <x:c r="A1105" s="9" t="str">
        <x:v>BuiPVFaiwO0</x:v>
      </x:c>
      <x:c r="B1105" s="10" t="str">
        <x:v>מכון דוידסון בקטע של: פיהוקים</x:v>
      </x:c>
      <x:c r="C1105" s="10" t="str">
        <x:v>Научные открытия</x:v>
      </x:c>
      <x:c r="D1105" s="9" t="str">
        <x:v>Образование</x:v>
      </x:c>
      <x:c r="E1105" s="10" t="str">
        <x:v>Наука; семья; любознательные</x:v>
      </x:c>
      <x:c r="F1105" s="10" t="str">
        <x:v>B1–B2 (гипотеза)</x:v>
      </x:c>
      <x:c r="G1105" s="12" t="n">
        <x:v>1.8</x:v>
      </x:c>
      <x:c r="H1105" s="14" t="n">
        <x:v>4200</x:v>
      </x:c>
      <x:c r="I1105" s="15" t="str">
        <x:v>Округлённый счётчик в списке YouTube</x:v>
      </x:c>
      <x:c r="J1105" s="14" t="n">
        <x:v>4200</x:v>
      </x:c>
      <x:c r="K1105" s="14" t="n">
        <x:v>17000</x:v>
      </x:c>
      <x:c r="L1105" s="12" t="n">
        <x:f>IF(COUNT(J1105:K1105)=2,IF(K1105=0,"",J1105/K1105),"")</x:f>
        <x:v>0.24705882352941178</x:v>
      </x:c>
      <x:c r="M1105" s="10" t="str">
        <x:v>Завершённый короткий просмотр около 2 мин. Просмотры ниже медианы цикла; выбирать за нишевую ценность, а не за массовый охват. Неожиданный научный факт поддерживает любопытство и интерес к короткому просмотру.</x:v>
      </x:c>
      <x:c r="N1105" s="10" t="str">
        <x:v>Отделить наблюдение от объяснения и пересказать своими словами.</x:v>
      </x:c>
      <x:c r="O1105" s="10" t="str">
        <x:v>Проверить основной язык речи; каталог содержит и переводные материалы</x:v>
      </x:c>
      <x:c r="P1105" s="10" t="str">
        <x:v>Самостоятельное видео</x:v>
      </x:c>
      <x:c r="Q1105" s="9" t="str">
        <x:v>Нет</x:v>
      </x:c>
      <x:c r="R1105" s="9" t="str">
        <x:v>C060</x:v>
      </x:c>
      <x:c r="S1105" s="9" t="str">
        <x:v>C060</x:v>
      </x:c>
      <x:c r="T1105" s="10" t="str">
        <x:v>מכון דוידסון - סרטוני מדע</x:v>
      </x:c>
      <x:c r="U1105" s="11" t="str">
        <x:v>https://www.youtube.com/watch?v=BuiPVFaiwO0</x:v>
      </x:c>
      <x:c r="V1105" s="16" t="n">
        <x:v>46308</x:v>
      </x:c>
      <x:c r="W1105" s="16"/>
      <x:c r="X1105" s="10" t="str">
        <x:v>Иврит предполагается по заголовку и источнику</x:v>
      </x:c>
      <x:c r="Y1105" s="10" t="str">
        <x:v>Не проверено</x:v>
      </x:c>
      <x:c r="Z1105" s="10" t="str">
        <x:v>Не проверено</x:v>
      </x:c>
      <x:c r="AA1105" s="10" t="str">
        <x:v>Метаданные списка; видео не просмотрено</x:v>
      </x:c>
      <x:c r="AB1105" s="13" t="str">
        <x:f>IF(AND(ISNUMBER(H1105),ISNUMBER(W1105)),H1105/MAX(1,'Обзор'!$B$4-W1105),"")</x:f>
      </x:c>
      <x:c r="AC1105" s="17" t="str">
        <x:v>Не решено</x:v>
      </x:c>
      <x:c r="AD1105" s="17" t="str">
        <x:v>Не проверено</x:v>
      </x:c>
      <x:c r="AE1105" s="17" t="str">
        <x:v>Не проверено</x:v>
      </x:c>
      <x:c r="AF1105" s="17" t="str">
        <x:v>Не проверено</x:v>
      </x:c>
      <x:c r="AG1105" s="17" t="str">
        <x:v>Не решено</x:v>
      </x:c>
      <x:c r="AH1105" s="17" t="str">
        <x:v>Не проверено</x:v>
      </x:c>
      <x:c r="AI1105" s="10" t="str">
        <x:f>IF(AC1105="Отклонить","Отклонено",IF(AND(AC1105="Взять",COUNTIFS(AD1105:AH1105,"Да")=5),"Готово","Нужна редактура"))</x:f>
        <x:v>Нужна редактура</x:v>
      </x:c>
      <x:c r="AJ1105" s="17" t="str"/>
      <x:c r="AK1105" s="9" t="str">
        <x:v>https://www.youtube.com/playlist?list=PL0ZkulyfP8bfMU_1JJax5dvr2qxkYt1WH</x:v>
      </x:c>
      <x:c r="AL1105" s="9" t="n">
        <x:v>5</x:v>
      </x:c>
      <x:c r="AM1105" s="9"/>
      <x:c r="AN1105" s="9"/>
    </x:row>
    <x:row r="1106" ht="60" customHeight="1">
      <x:c r="A1106" s="9" t="str">
        <x:v>403ry_x0DdI</x:v>
      </x:c>
      <x:c r="B1106" s="10" t="str">
        <x:v>מכון דוידסון בקטע של: בריין פריז</x:v>
      </x:c>
      <x:c r="C1106" s="10" t="str">
        <x:v>Научные открытия</x:v>
      </x:c>
      <x:c r="D1106" s="9" t="str">
        <x:v>Образование</x:v>
      </x:c>
      <x:c r="E1106" s="10" t="str">
        <x:v>Наука; семья; любознательные</x:v>
      </x:c>
      <x:c r="F1106" s="10" t="str">
        <x:v>B1–B2 (гипотеза)</x:v>
      </x:c>
      <x:c r="G1106" s="12" t="n">
        <x:v>2.9</x:v>
      </x:c>
      <x:c r="H1106" s="14" t="n">
        <x:v>3000</x:v>
      </x:c>
      <x:c r="I1106" s="15" t="str">
        <x:v>Округлённый счётчик в списке YouTube</x:v>
      </x:c>
      <x:c r="J1106" s="14" t="n">
        <x:v>3000</x:v>
      </x:c>
      <x:c r="K1106" s="14" t="n">
        <x:v>17000</x:v>
      </x:c>
      <x:c r="L1106" s="12" t="n">
        <x:f>IF(COUNT(J1106:K1106)=2,IF(K1106=0,"",J1106/K1106),"")</x:f>
        <x:v>0.17647058823529413</x:v>
      </x:c>
      <x:c r="M1106" s="10" t="str">
        <x:v>Завершённый короткий просмотр около 3 мин. Просмотры ниже медианы цикла; выбирать за нишевую ценность, а не за массовый охват. Неожиданный научный факт поддерживает любопытство и интерес к короткому просмотру.</x:v>
      </x:c>
      <x:c r="N1106" s="10" t="str">
        <x:v>Отделить наблюдение от объяснения и пересказать своими словами.</x:v>
      </x:c>
      <x:c r="O1106" s="10" t="str">
        <x:v>Проверить основной язык речи; каталог содержит и переводные материалы</x:v>
      </x:c>
      <x:c r="P1106" s="10" t="str">
        <x:v>Самостоятельное видео</x:v>
      </x:c>
      <x:c r="Q1106" s="9" t="str">
        <x:v>Нет</x:v>
      </x:c>
      <x:c r="R1106" s="9" t="str">
        <x:v>C060</x:v>
      </x:c>
      <x:c r="S1106" s="9" t="str">
        <x:v>C060</x:v>
      </x:c>
      <x:c r="T1106" s="10" t="str">
        <x:v>מכון דוידסון - סרטוני מדע</x:v>
      </x:c>
      <x:c r="U1106" s="11" t="str">
        <x:v>https://www.youtube.com/watch?v=403ry_x0DdI</x:v>
      </x:c>
      <x:c r="V1106" s="16" t="n">
        <x:v>46308</x:v>
      </x:c>
      <x:c r="W1106" s="16"/>
      <x:c r="X1106" s="10" t="str">
        <x:v>Иврит предполагается по заголовку и источнику</x:v>
      </x:c>
      <x:c r="Y1106" s="10" t="str">
        <x:v>Не проверено</x:v>
      </x:c>
      <x:c r="Z1106" s="10" t="str">
        <x:v>Не проверено</x:v>
      </x:c>
      <x:c r="AA1106" s="10" t="str">
        <x:v>Метаданные списка; видео не просмотрено</x:v>
      </x:c>
      <x:c r="AB1106" s="13" t="str">
        <x:f>IF(AND(ISNUMBER(H1106),ISNUMBER(W1106)),H1106/MAX(1,'Обзор'!$B$4-W1106),"")</x:f>
      </x:c>
      <x:c r="AC1106" s="17" t="str">
        <x:v>Не решено</x:v>
      </x:c>
      <x:c r="AD1106" s="17" t="str">
        <x:v>Не проверено</x:v>
      </x:c>
      <x:c r="AE1106" s="17" t="str">
        <x:v>Не проверено</x:v>
      </x:c>
      <x:c r="AF1106" s="17" t="str">
        <x:v>Не проверено</x:v>
      </x:c>
      <x:c r="AG1106" s="17" t="str">
        <x:v>Не решено</x:v>
      </x:c>
      <x:c r="AH1106" s="17" t="str">
        <x:v>Не проверено</x:v>
      </x:c>
      <x:c r="AI1106" s="10" t="str">
        <x:f>IF(AC1106="Отклонить","Отклонено",IF(AND(AC1106="Взять",COUNTIFS(AD1106:AH1106,"Да")=5),"Готово","Нужна редактура"))</x:f>
        <x:v>Нужна редактура</x:v>
      </x:c>
      <x:c r="AJ1106" s="17" t="str"/>
      <x:c r="AK1106" s="9" t="str">
        <x:v>https://www.youtube.com/playlist?list=PL0ZkulyfP8bfMU_1JJax5dvr2qxkYt1WH</x:v>
      </x:c>
      <x:c r="AL1106" s="9" t="n">
        <x:v>6</x:v>
      </x:c>
      <x:c r="AM1106" s="9"/>
      <x:c r="AN1106" s="9"/>
    </x:row>
    <x:row r="1107" ht="60" customHeight="1">
      <x:c r="A1107" s="9" t="str">
        <x:v>tIZd-wULzYQ</x:v>
      </x:c>
      <x:c r="B1107" s="10" t="str">
        <x:v>היסוד שעושה צדק</x:v>
      </x:c>
      <x:c r="C1107" s="10" t="str">
        <x:v>Научные открытия</x:v>
      </x:c>
      <x:c r="D1107" s="9" t="str">
        <x:v>Образование</x:v>
      </x:c>
      <x:c r="E1107" s="10" t="str">
        <x:v>Наука; семья; любознательные</x:v>
      </x:c>
      <x:c r="F1107" s="10" t="str">
        <x:v>B1–B2 (гипотеза)</x:v>
      </x:c>
      <x:c r="G1107" s="12" t="n">
        <x:v>4.5</x:v>
      </x:c>
      <x:c r="H1107" s="14" t="n">
        <x:v>17897</x:v>
      </x:c>
      <x:c r="I1107" s="15" t="str">
        <x:v>Точный счётчик метаданных видео</x:v>
      </x:c>
      <x:c r="J1107" s="14" t="n">
        <x:v>17000</x:v>
      </x:c>
      <x:c r="K1107" s="14" t="n">
        <x:v>17000</x:v>
      </x:c>
      <x:c r="L1107" s="12" t="n">
        <x:f>IF(COUNT(J1107:K1107)=2,IF(K1107=0,"",J1107/K1107),"")</x:f>
        <x:v>1</x:v>
      </x:c>
      <x:c r="M1107" s="10" t="str">
        <x:v>Завершённый короткий просмотр около 4 мин. Неожиданный научный факт поддерживает любопытство и интерес к короткому просмотру.</x:v>
      </x:c>
      <x:c r="N1107" s="10" t="str">
        <x:v>Отделить наблюдение от объяснения и пересказать своими словами.</x:v>
      </x:c>
      <x:c r="O1107" s="10" t="str">
        <x:v>Проверить основной язык речи; каталог содержит и переводные материалы</x:v>
      </x:c>
      <x:c r="P1107" s="10" t="str">
        <x:v>Самостоятельное видео</x:v>
      </x:c>
      <x:c r="Q1107" s="9" t="str">
        <x:v>Нет</x:v>
      </x:c>
      <x:c r="R1107" s="9" t="str">
        <x:v>C060</x:v>
      </x:c>
      <x:c r="S1107" s="9" t="str">
        <x:v>C060, C063</x:v>
      </x:c>
      <x:c r="T1107" s="10" t="str">
        <x:v>מכון דוידסון - סרטוני מדע</x:v>
      </x:c>
      <x:c r="U1107" s="11" t="str">
        <x:v>https://www.youtube.com/watch?v=tIZd-wULzYQ</x:v>
      </x:c>
      <x:c r="V1107" s="16" t="n">
        <x:v>46308</x:v>
      </x:c>
      <x:c r="W1107" s="16" t="n">
        <x:v>43585</x:v>
      </x:c>
      <x:c r="X1107" s="10" t="str">
        <x:v>Иврит предполагается по заголовку и источнику</x:v>
      </x:c>
      <x:c r="Y1107" s="10" t="str">
        <x:v>Ручная дорожка HE по метаданным</x:v>
      </x:c>
      <x:c r="Z1107" s="10" t="str">
        <x:v>Разрешено по метаданным</x:v>
      </x:c>
      <x:c r="AA1107" s="10" t="str">
        <x:v>Метаданные видео; воспроизведение и содержание не проверены</x:v>
      </x:c>
      <x:c r="AB1107" s="13" t="n">
        <x:f>IF(AND(ISNUMBER(H1107),ISNUMBER(W1107)),H1107/MAX(1,'Обзор'!$B$4-W1107),"")</x:f>
        <x:v>6.57253029746603</x:v>
      </x:c>
      <x:c r="AC1107" s="17" t="str">
        <x:v>Не решено</x:v>
      </x:c>
      <x:c r="AD1107" s="17" t="str">
        <x:v>Не проверено</x:v>
      </x:c>
      <x:c r="AE1107" s="17" t="str">
        <x:v>Не проверено</x:v>
      </x:c>
      <x:c r="AF1107" s="17" t="str">
        <x:v>Не проверено</x:v>
      </x:c>
      <x:c r="AG1107" s="17" t="str">
        <x:v>Не решено</x:v>
      </x:c>
      <x:c r="AH1107" s="17" t="str">
        <x:v>Не проверено</x:v>
      </x:c>
      <x:c r="AI1107" s="10" t="str">
        <x:f>IF(AC1107="Отклонить","Отклонено",IF(AND(AC1107="Взять",COUNTIFS(AD1107:AH1107,"Да")=5),"Готово","Нужна редактура"))</x:f>
        <x:v>Нужна редактура</x:v>
      </x:c>
      <x:c r="AJ1107" s="17" t="str"/>
      <x:c r="AK1107" s="9" t="str">
        <x:v>https://www.youtube.com/playlist?list=PL0ZkulyfP8bfMU_1JJax5dvr2qxkYt1WH</x:v>
      </x:c>
      <x:c r="AL1107" s="9" t="n">
        <x:v>7</x:v>
      </x:c>
      <x:c r="AM1107" s="9"/>
      <x:c r="AN1107" s="9" t="n">
        <x:v>0</x:v>
      </x:c>
    </x:row>
    <x:row r="1108" ht="60" customHeight="1">
      <x:c r="A1108" s="9" t="str">
        <x:v>6S_Shu4ykck</x:v>
      </x:c>
      <x:c r="B1108" s="10" t="str">
        <x:v>דרווין ומסע הביגל</x:v>
      </x:c>
      <x:c r="C1108" s="10" t="str">
        <x:v>Научные открытия</x:v>
      </x:c>
      <x:c r="D1108" s="9" t="str">
        <x:v>Образование</x:v>
      </x:c>
      <x:c r="E1108" s="10" t="str">
        <x:v>Наука; семья; любознательные</x:v>
      </x:c>
      <x:c r="F1108" s="10" t="str">
        <x:v>B1–B2 (гипотеза)</x:v>
      </x:c>
      <x:c r="G1108" s="12" t="n">
        <x:v>4.6</x:v>
      </x:c>
      <x:c r="H1108" s="14" t="n">
        <x:v>21398</x:v>
      </x:c>
      <x:c r="I1108" s="15" t="str">
        <x:v>Точный счётчик метаданных видео</x:v>
      </x:c>
      <x:c r="J1108" s="14" t="n">
        <x:v>21000</x:v>
      </x:c>
      <x:c r="K1108" s="14" t="n">
        <x:v>17000</x:v>
      </x:c>
      <x:c r="L1108" s="12" t="n">
        <x:f>IF(COUNT(J1108:K1108)=2,IF(K1108=0,"",J1108/K1108),"")</x:f>
        <x:v>1.2352941176470589</x:v>
      </x:c>
      <x:c r="M1108" s="10" t="str">
        <x:v>Завершённый короткий просмотр около 5 мин. Неожиданный научный факт поддерживает любопытство и интерес к короткому просмотру.</x:v>
      </x:c>
      <x:c r="N1108" s="10" t="str">
        <x:v>Отделить наблюдение от объяснения и пересказать своими словами.</x:v>
      </x:c>
      <x:c r="O1108" s="10" t="str">
        <x:v>Проверить основной язык речи; каталог содержит и переводные материалы</x:v>
      </x:c>
      <x:c r="P1108" s="10" t="str">
        <x:v>Самостоятельное видео</x:v>
      </x:c>
      <x:c r="Q1108" s="9" t="str">
        <x:v>Нет</x:v>
      </x:c>
      <x:c r="R1108" s="9" t="str">
        <x:v>C060</x:v>
      </x:c>
      <x:c r="S1108" s="9" t="str">
        <x:v>C060, C063</x:v>
      </x:c>
      <x:c r="T1108" s="10" t="str">
        <x:v>מכון דוידסון - סרטוני מדע</x:v>
      </x:c>
      <x:c r="U1108" s="11" t="str">
        <x:v>https://www.youtube.com/watch?v=6S_Shu4ykck</x:v>
      </x:c>
      <x:c r="V1108" s="16" t="n">
        <x:v>46308</x:v>
      </x:c>
      <x:c r="W1108" s="16" t="n">
        <x:v>43508</x:v>
      </x:c>
      <x:c r="X1108" s="10" t="str">
        <x:v>Иврит предполагается по заголовку и источнику</x:v>
      </x:c>
      <x:c r="Y1108" s="10" t="str">
        <x:v>Ручная дорожка HE по метаданным</x:v>
      </x:c>
      <x:c r="Z1108" s="10" t="str">
        <x:v>Разрешено по метаданным</x:v>
      </x:c>
      <x:c r="AA1108" s="10" t="str">
        <x:v>Метаданные видео; воспроизведение и содержание не проверены</x:v>
      </x:c>
      <x:c r="AB1108" s="13" t="n">
        <x:f>IF(AND(ISNUMBER(H1108),ISNUMBER(W1108)),H1108/MAX(1,'Обзор'!$B$4-W1108),"")</x:f>
        <x:v>7.642142857142857</x:v>
      </x:c>
      <x:c r="AC1108" s="17" t="str">
        <x:v>Не решено</x:v>
      </x:c>
      <x:c r="AD1108" s="17" t="str">
        <x:v>Не проверено</x:v>
      </x:c>
      <x:c r="AE1108" s="17" t="str">
        <x:v>Не проверено</x:v>
      </x:c>
      <x:c r="AF1108" s="17" t="str">
        <x:v>Не проверено</x:v>
      </x:c>
      <x:c r="AG1108" s="17" t="str">
        <x:v>Не решено</x:v>
      </x:c>
      <x:c r="AH1108" s="17" t="str">
        <x:v>Не проверено</x:v>
      </x:c>
      <x:c r="AI1108" s="10" t="str">
        <x:f>IF(AC1108="Отклонить","Отклонено",IF(AND(AC1108="Взять",COUNTIFS(AD1108:AH1108,"Да")=5),"Готово","Нужна редактура"))</x:f>
        <x:v>Нужна редактура</x:v>
      </x:c>
      <x:c r="AJ1108" s="17" t="str"/>
      <x:c r="AK1108" s="9" t="str">
        <x:v>https://www.youtube.com/playlist?list=PL0ZkulyfP8bfMU_1JJax5dvr2qxkYt1WH</x:v>
      </x:c>
      <x:c r="AL1108" s="9" t="n">
        <x:v>8</x:v>
      </x:c>
      <x:c r="AM1108" s="9"/>
      <x:c r="AN1108" s="9" t="n">
        <x:v>0</x:v>
      </x:c>
    </x:row>
    <x:row r="1109" ht="60" customHeight="1">
      <x:c r="A1109" s="9" t="str">
        <x:v>BB2cwpgL0vg</x:v>
      </x:c>
      <x:c r="B1109" s="10" t="str">
        <x:v>ממה נוצרים העצים?</x:v>
      </x:c>
      <x:c r="C1109" s="10" t="str">
        <x:v>Научные открытия</x:v>
      </x:c>
      <x:c r="D1109" s="9" t="str">
        <x:v>Образование</x:v>
      </x:c>
      <x:c r="E1109" s="10" t="str">
        <x:v>Наука; семья; любознательные</x:v>
      </x:c>
      <x:c r="F1109" s="10" t="str">
        <x:v>B1–B2 (гипотеза)</x:v>
      </x:c>
      <x:c r="G1109" s="12" t="n">
        <x:v>3</x:v>
      </x:c>
      <x:c r="H1109" s="14" t="n">
        <x:v>69656</x:v>
      </x:c>
      <x:c r="I1109" s="15" t="str">
        <x:v>Точный счётчик метаданных видео</x:v>
      </x:c>
      <x:c r="J1109" s="14" t="n">
        <x:v>69000</x:v>
      </x:c>
      <x:c r="K1109" s="14" t="n">
        <x:v>17000</x:v>
      </x:c>
      <x:c r="L1109" s="12" t="n">
        <x:f>IF(COUNT(J1109:K1109)=2,IF(K1109=0,"",J1109/K1109),"")</x:f>
        <x:v>4.0588235294117645</x:v>
      </x:c>
      <x:c r="M1109" s="10" t="str">
        <x:v>Завершённый короткий просмотр около 3 мин. Просмотры в списке выше медианы выборки этого цикла в 4.06 раза. Неожиданный научный факт поддерживает любопытство и интерес к короткому просмотру.</x:v>
      </x:c>
      <x:c r="N1109" s="10" t="str">
        <x:v>Отделить наблюдение от объяснения и пересказать своими словами.</x:v>
      </x:c>
      <x:c r="O1109" s="10" t="str">
        <x:v>Проверить основной язык речи; каталог содержит и переводные материалы</x:v>
      </x:c>
      <x:c r="P1109" s="10" t="str">
        <x:v>Самостоятельное видео</x:v>
      </x:c>
      <x:c r="Q1109" s="9" t="str">
        <x:v>Нет</x:v>
      </x:c>
      <x:c r="R1109" s="9" t="str">
        <x:v>C060</x:v>
      </x:c>
      <x:c r="S1109" s="9" t="str">
        <x:v>C060, C063, C064</x:v>
      </x:c>
      <x:c r="T1109" s="10" t="str">
        <x:v>מכון דוידסון - סרטוני מדע</x:v>
      </x:c>
      <x:c r="U1109" s="11" t="str">
        <x:v>https://www.youtube.com/watch?v=BB2cwpgL0vg</x:v>
      </x:c>
      <x:c r="V1109" s="16" t="n">
        <x:v>46308</x:v>
      </x:c>
      <x:c r="W1109" s="16" t="n">
        <x:v>43130</x:v>
      </x:c>
      <x:c r="X1109" s="10" t="str">
        <x:v>Иврит предполагается по заголовку и источнику</x:v>
      </x:c>
      <x:c r="Y1109" s="10" t="str">
        <x:v>Ручная дорожка HE по метаданным</x:v>
      </x:c>
      <x:c r="Z1109" s="10" t="str">
        <x:v>Разрешено по метаданным</x:v>
      </x:c>
      <x:c r="AA1109" s="10" t="str">
        <x:v>Метаданные видео; воспроизведение и содержание не проверены</x:v>
      </x:c>
      <x:c r="AB1109" s="13" t="n">
        <x:f>IF(AND(ISNUMBER(H1109),ISNUMBER(W1109)),H1109/MAX(1,'Обзор'!$B$4-W1109),"")</x:f>
        <x:v>21.918187539332912</x:v>
      </x:c>
      <x:c r="AC1109" s="17" t="str">
        <x:v>Не решено</x:v>
      </x:c>
      <x:c r="AD1109" s="17" t="str">
        <x:v>Не проверено</x:v>
      </x:c>
      <x:c r="AE1109" s="17" t="str">
        <x:v>Не проверено</x:v>
      </x:c>
      <x:c r="AF1109" s="17" t="str">
        <x:v>Не проверено</x:v>
      </x:c>
      <x:c r="AG1109" s="17" t="str">
        <x:v>Не решено</x:v>
      </x:c>
      <x:c r="AH1109" s="17" t="str">
        <x:v>Не проверено</x:v>
      </x:c>
      <x:c r="AI1109" s="10" t="str">
        <x:f>IF(AC1109="Отклонить","Отклонено",IF(AND(AC1109="Взять",COUNTIFS(AD1109:AH1109,"Да")=5),"Готово","Нужна редактура"))</x:f>
        <x:v>Нужна редактура</x:v>
      </x:c>
      <x:c r="AJ1109" s="17" t="str"/>
      <x:c r="AK1109" s="9" t="str">
        <x:v>https://www.youtube.com/playlist?list=PL0ZkulyfP8bfMU_1JJax5dvr2qxkYt1WH</x:v>
      </x:c>
      <x:c r="AL1109" s="9" t="n">
        <x:v>9</x:v>
      </x:c>
      <x:c r="AM1109" s="9"/>
      <x:c r="AN1109" s="9" t="n">
        <x:v>0</x:v>
      </x:c>
    </x:row>
    <x:row r="1110" ht="60" customHeight="1">
      <x:c r="A1110" s="9" t="str">
        <x:v>RPUIg1vATdQ</x:v>
      </x:c>
      <x:c r="B1110" s="10" t="str">
        <x:v>לשבור את הקרח - איך הגוף שלנו מגיב לקור?</x:v>
      </x:c>
      <x:c r="C1110" s="10" t="str">
        <x:v>Научные открытия</x:v>
      </x:c>
      <x:c r="D1110" s="9" t="str">
        <x:v>Образование</x:v>
      </x:c>
      <x:c r="E1110" s="10" t="str">
        <x:v>Наука; семья; любознательные</x:v>
      </x:c>
      <x:c r="F1110" s="10" t="str">
        <x:v>B1–B2 (гипотеза)</x:v>
      </x:c>
      <x:c r="G1110" s="12" t="n">
        <x:v>5.6</x:v>
      </x:c>
      <x:c r="H1110" s="14" t="n">
        <x:v>19395</x:v>
      </x:c>
      <x:c r="I1110" s="15" t="str">
        <x:v>Точный счётчик метаданных видео</x:v>
      </x:c>
      <x:c r="J1110" s="14" t="n">
        <x:v>19000</x:v>
      </x:c>
      <x:c r="K1110" s="14" t="n">
        <x:v>17000</x:v>
      </x:c>
      <x:c r="L1110" s="12" t="n">
        <x:f>IF(COUNT(J1110:K1110)=2,IF(K1110=0,"",J1110/K1110),"")</x:f>
        <x:v>1.1176470588235294</x:v>
      </x:c>
      <x:c r="M1110" s="10" t="str">
        <x:v>Завершённый короткий просмотр около 6 мин. Неожиданный научный факт поддерживает любопытство и интерес к короткому просмотру.</x:v>
      </x:c>
      <x:c r="N1110" s="10" t="str">
        <x:v>Отделить наблюдение от объяснения и пересказать своими словами.</x:v>
      </x:c>
      <x:c r="O1110" s="10" t="str">
        <x:v>Проверить основной язык речи; каталог содержит и переводные материалы</x:v>
      </x:c>
      <x:c r="P1110" s="10" t="str">
        <x:v>Самостоятельное видео</x:v>
      </x:c>
      <x:c r="Q1110" s="9" t="str">
        <x:v>Нет</x:v>
      </x:c>
      <x:c r="R1110" s="9" t="str">
        <x:v>C060</x:v>
      </x:c>
      <x:c r="S1110" s="9" t="str">
        <x:v>C060</x:v>
      </x:c>
      <x:c r="T1110" s="10" t="str">
        <x:v>מכון דוידסון - סרטוני מדע</x:v>
      </x:c>
      <x:c r="U1110" s="11" t="str">
        <x:v>https://www.youtube.com/watch?v=RPUIg1vATdQ</x:v>
      </x:c>
      <x:c r="V1110" s="16" t="n">
        <x:v>46308</x:v>
      </x:c>
      <x:c r="W1110" s="16" t="n">
        <x:v>43873</x:v>
      </x:c>
      <x:c r="X1110" s="10" t="str">
        <x:v>Иврит предполагается по заголовку и источнику</x:v>
      </x:c>
      <x:c r="Y1110" s="10" t="str">
        <x:v>Ручная дорожка HE по метаданным</x:v>
      </x:c>
      <x:c r="Z1110" s="10" t="str">
        <x:v>Разрешено по метаданным</x:v>
      </x:c>
      <x:c r="AA1110" s="10" t="str">
        <x:v>Метаданные видео; воспроизведение и содержание не проверены</x:v>
      </x:c>
      <x:c r="AB1110" s="13" t="n">
        <x:f>IF(AND(ISNUMBER(H1110),ISNUMBER(W1110)),H1110/MAX(1,'Обзор'!$B$4-W1110),"")</x:f>
        <x:v>7.965092402464066</x:v>
      </x:c>
      <x:c r="AC1110" s="17" t="str">
        <x:v>Не решено</x:v>
      </x:c>
      <x:c r="AD1110" s="17" t="str">
        <x:v>Не проверено</x:v>
      </x:c>
      <x:c r="AE1110" s="17" t="str">
        <x:v>Не проверено</x:v>
      </x:c>
      <x:c r="AF1110" s="17" t="str">
        <x:v>Не проверено</x:v>
      </x:c>
      <x:c r="AG1110" s="17" t="str">
        <x:v>Не решено</x:v>
      </x:c>
      <x:c r="AH1110" s="17" t="str">
        <x:v>Не проверено</x:v>
      </x:c>
      <x:c r="AI1110" s="10" t="str">
        <x:f>IF(AC1110="Отклонить","Отклонено",IF(AND(AC1110="Взять",COUNTIFS(AD1110:AH1110,"Да")=5),"Готово","Нужна редактура"))</x:f>
        <x:v>Нужна редактура</x:v>
      </x:c>
      <x:c r="AJ1110" s="17" t="str"/>
      <x:c r="AK1110" s="9" t="str">
        <x:v>https://www.youtube.com/playlist?list=PL0ZkulyfP8bfMU_1JJax5dvr2qxkYt1WH</x:v>
      </x:c>
      <x:c r="AL1110" s="9" t="n">
        <x:v>10</x:v>
      </x:c>
      <x:c r="AM1110" s="9"/>
      <x:c r="AN1110" s="9" t="n">
        <x:v>0</x:v>
      </x:c>
    </x:row>
    <x:row r="1111" ht="60" customHeight="1">
      <x:c r="A1111" s="9" t="str">
        <x:v>BcOjlVefAJk</x:v>
      </x:c>
      <x:c r="B1111" s="10" t="str">
        <x:v>הר געש של שעווה</x:v>
      </x:c>
      <x:c r="C1111" s="10" t="str">
        <x:v>Научные открытия</x:v>
      </x:c>
      <x:c r="D1111" s="9" t="str">
        <x:v>Образование</x:v>
      </x:c>
      <x:c r="E1111" s="10" t="str">
        <x:v>Наука; семья; любознательные</x:v>
      </x:c>
      <x:c r="F1111" s="10" t="str">
        <x:v>B1–B2 (гипотеза)</x:v>
      </x:c>
      <x:c r="G1111" s="12" t="n">
        <x:v>2.6</x:v>
      </x:c>
      <x:c r="H1111" s="14" t="n">
        <x:v>24802</x:v>
      </x:c>
      <x:c r="I1111" s="15" t="str">
        <x:v>Точный счётчик метаданных видео</x:v>
      </x:c>
      <x:c r="J1111" s="14" t="n">
        <x:v>24000</x:v>
      </x:c>
      <x:c r="K1111" s="14" t="n">
        <x:v>17000</x:v>
      </x:c>
      <x:c r="L1111" s="12" t="n">
        <x:f>IF(COUNT(J1111:K1111)=2,IF(K1111=0,"",J1111/K1111),"")</x:f>
        <x:v>1.411764705882353</x:v>
      </x:c>
      <x:c r="M1111" s="10" t="str">
        <x:v>Завершённый короткий просмотр около 3 мин. Неожиданный научный факт поддерживает любопытство и интерес к короткому просмотру.</x:v>
      </x:c>
      <x:c r="N1111" s="10" t="str">
        <x:v>Отделить наблюдение от объяснения и пересказать своими словами.</x:v>
      </x:c>
      <x:c r="O1111" s="10" t="str">
        <x:v>Проверить основной язык речи; каталог содержит и переводные материалы</x:v>
      </x:c>
      <x:c r="P1111" s="10" t="str">
        <x:v>Самостоятельное видео</x:v>
      </x:c>
      <x:c r="Q1111" s="9" t="str">
        <x:v>Нет</x:v>
      </x:c>
      <x:c r="R1111" s="9" t="str">
        <x:v>C060</x:v>
      </x:c>
      <x:c r="S1111" s="9" t="str">
        <x:v>C060, C090</x:v>
      </x:c>
      <x:c r="T1111" s="10" t="str">
        <x:v>מכון דוידסון - סרטוני מדע</x:v>
      </x:c>
      <x:c r="U1111" s="11" t="str">
        <x:v>https://www.youtube.com/watch?v=BcOjlVefAJk</x:v>
      </x:c>
      <x:c r="V1111" s="16" t="n">
        <x:v>46308</x:v>
      </x:c>
      <x:c r="W1111" s="16" t="n">
        <x:v>43642</x:v>
      </x:c>
      <x:c r="X1111" s="10" t="str">
        <x:v>Иврит предполагается по заголовку и источнику</x:v>
      </x:c>
      <x:c r="Y1111" s="10" t="str">
        <x:v>Ручная дорожка HE по метаданным</x:v>
      </x:c>
      <x:c r="Z1111" s="10" t="str">
        <x:v>Разрешено по метаданным</x:v>
      </x:c>
      <x:c r="AA1111" s="10" t="str">
        <x:v>Метаданные видео; воспроизведение и содержание не проверены</x:v>
      </x:c>
      <x:c r="AB1111" s="13" t="n">
        <x:f>IF(AND(ISNUMBER(H1111),ISNUMBER(W1111)),H1111/MAX(1,'Обзор'!$B$4-W1111),"")</x:f>
        <x:v>9.303075768942236</x:v>
      </x:c>
      <x:c r="AC1111" s="17" t="str">
        <x:v>Не решено</x:v>
      </x:c>
      <x:c r="AD1111" s="17" t="str">
        <x:v>Не проверено</x:v>
      </x:c>
      <x:c r="AE1111" s="17" t="str">
        <x:v>Не проверено</x:v>
      </x:c>
      <x:c r="AF1111" s="17" t="str">
        <x:v>Не проверено</x:v>
      </x:c>
      <x:c r="AG1111" s="17" t="str">
        <x:v>Не решено</x:v>
      </x:c>
      <x:c r="AH1111" s="17" t="str">
        <x:v>Не проверено</x:v>
      </x:c>
      <x:c r="AI1111" s="10" t="str">
        <x:f>IF(AC1111="Отклонить","Отклонено",IF(AND(AC1111="Взять",COUNTIFS(AD1111:AH1111,"Да")=5),"Готово","Нужна редактура"))</x:f>
        <x:v>Нужна редактура</x:v>
      </x:c>
      <x:c r="AJ1111" s="17" t="str"/>
      <x:c r="AK1111" s="9" t="str">
        <x:v>https://www.youtube.com/playlist?list=PL0ZkulyfP8bfMU_1JJax5dvr2qxkYt1WH</x:v>
      </x:c>
      <x:c r="AL1111" s="9" t="n">
        <x:v>11</x:v>
      </x:c>
      <x:c r="AM1111" s="9"/>
      <x:c r="AN1111" s="9" t="n">
        <x:v>0</x:v>
      </x:c>
    </x:row>
    <x:row r="1112" ht="60" customHeight="1">
      <x:c r="A1112" s="9" t="str">
        <x:v>BBKlEbR6XXk</x:v>
      </x:c>
      <x:c r="B1112" s="10" t="str">
        <x:v>שדון הברקים של טסלה (סליל טסלה)</x:v>
      </x:c>
      <x:c r="C1112" s="10" t="str">
        <x:v>Научные открытия</x:v>
      </x:c>
      <x:c r="D1112" s="9" t="str">
        <x:v>Образование</x:v>
      </x:c>
      <x:c r="E1112" s="10" t="str">
        <x:v>Наука; семья; любознательные</x:v>
      </x:c>
      <x:c r="F1112" s="10" t="str">
        <x:v>B1–B2 (гипотеза)</x:v>
      </x:c>
      <x:c r="G1112" s="12" t="n">
        <x:v>5</x:v>
      </x:c>
      <x:c r="H1112" s="14" t="n">
        <x:v>11000</x:v>
      </x:c>
      <x:c r="I1112" s="15" t="str">
        <x:v>Округлённый счётчик в списке YouTube</x:v>
      </x:c>
      <x:c r="J1112" s="14" t="n">
        <x:v>11000</x:v>
      </x:c>
      <x:c r="K1112" s="14" t="n">
        <x:v>17000</x:v>
      </x:c>
      <x:c r="L1112" s="12" t="n">
        <x:f>IF(COUNT(J1112:K1112)=2,IF(K1112=0,"",J1112/K1112),"")</x:f>
        <x:v>0.6470588235294118</x:v>
      </x:c>
      <x:c r="M1112" s="10" t="str">
        <x:v>Завершённый короткий просмотр около 5 мин. Неожиданный научный факт поддерживает любопытство и интерес к короткому просмотру.</x:v>
      </x:c>
      <x:c r="N1112" s="10" t="str">
        <x:v>Отделить наблюдение от объяснения и пересказать своими словами.</x:v>
      </x:c>
      <x:c r="O1112" s="10" t="str">
        <x:v>Проверить основной язык речи; каталог содержит и переводные материалы</x:v>
      </x:c>
      <x:c r="P1112" s="10" t="str">
        <x:v>Самостоятельное видео</x:v>
      </x:c>
      <x:c r="Q1112" s="9" t="str">
        <x:v>Нет</x:v>
      </x:c>
      <x:c r="R1112" s="9" t="str">
        <x:v>C060</x:v>
      </x:c>
      <x:c r="S1112" s="9" t="str">
        <x:v>C060</x:v>
      </x:c>
      <x:c r="T1112" s="10" t="str">
        <x:v>מכון דוידסון - סרטוני מדע</x:v>
      </x:c>
      <x:c r="U1112" s="11" t="str">
        <x:v>https://www.youtube.com/watch?v=BBKlEbR6XXk</x:v>
      </x:c>
      <x:c r="V1112" s="16" t="n">
        <x:v>46308</x:v>
      </x:c>
      <x:c r="W1112" s="16"/>
      <x:c r="X1112" s="10" t="str">
        <x:v>Иврит предполагается по заголовку и источнику</x:v>
      </x:c>
      <x:c r="Y1112" s="10" t="str">
        <x:v>Не проверено</x:v>
      </x:c>
      <x:c r="Z1112" s="10" t="str">
        <x:v>Не проверено</x:v>
      </x:c>
      <x:c r="AA1112" s="10" t="str">
        <x:v>Метаданные списка; видео не просмотрено</x:v>
      </x:c>
      <x:c r="AB1112" s="13" t="str">
        <x:f>IF(AND(ISNUMBER(H1112),ISNUMBER(W1112)),H1112/MAX(1,'Обзор'!$B$4-W1112),"")</x:f>
      </x:c>
      <x:c r="AC1112" s="17" t="str">
        <x:v>Не решено</x:v>
      </x:c>
      <x:c r="AD1112" s="17" t="str">
        <x:v>Не проверено</x:v>
      </x:c>
      <x:c r="AE1112" s="17" t="str">
        <x:v>Не проверено</x:v>
      </x:c>
      <x:c r="AF1112" s="17" t="str">
        <x:v>Не проверено</x:v>
      </x:c>
      <x:c r="AG1112" s="17" t="str">
        <x:v>Не решено</x:v>
      </x:c>
      <x:c r="AH1112" s="17" t="str">
        <x:v>Не проверено</x:v>
      </x:c>
      <x:c r="AI1112" s="10" t="str">
        <x:f>IF(AC1112="Отклонить","Отклонено",IF(AND(AC1112="Взять",COUNTIFS(AD1112:AH1112,"Да")=5),"Готово","Нужна редактура"))</x:f>
        <x:v>Нужна редактура</x:v>
      </x:c>
      <x:c r="AJ1112" s="17" t="str"/>
      <x:c r="AK1112" s="9" t="str">
        <x:v>https://www.youtube.com/playlist?list=PL0ZkulyfP8bfMU_1JJax5dvr2qxkYt1WH</x:v>
      </x:c>
      <x:c r="AL1112" s="9" t="n">
        <x:v>12</x:v>
      </x:c>
      <x:c r="AM1112" s="9"/>
      <x:c r="AN1112" s="9"/>
    </x:row>
    <x:row r="1113" ht="60" customHeight="1">
      <x:c r="A1113" s="9" t="str">
        <x:v>aPAvVnf2WxM</x:v>
      </x:c>
      <x:c r="B1113" s="10" t="str">
        <x:v>לחות יובש ועומס חום</x:v>
      </x:c>
      <x:c r="C1113" s="10" t="str">
        <x:v>Научные открытия</x:v>
      </x:c>
      <x:c r="D1113" s="9" t="str">
        <x:v>Образование</x:v>
      </x:c>
      <x:c r="E1113" s="10" t="str">
        <x:v>Наука; семья; любознательные</x:v>
      </x:c>
      <x:c r="F1113" s="10" t="str">
        <x:v>B1–B2 (гипотеза)</x:v>
      </x:c>
      <x:c r="G1113" s="12" t="n">
        <x:v>3.1</x:v>
      </x:c>
      <x:c r="H1113" s="14" t="n">
        <x:v>18571</x:v>
      </x:c>
      <x:c r="I1113" s="15" t="str">
        <x:v>Точный счётчик метаданных видео</x:v>
      </x:c>
      <x:c r="J1113" s="14" t="n">
        <x:v>18000</x:v>
      </x:c>
      <x:c r="K1113" s="14" t="n">
        <x:v>17000</x:v>
      </x:c>
      <x:c r="L1113" s="12" t="n">
        <x:f>IF(COUNT(J1113:K1113)=2,IF(K1113=0,"",J1113/K1113),"")</x:f>
        <x:v>1.0588235294117647</x:v>
      </x:c>
      <x:c r="M1113" s="10" t="str">
        <x:v>Завершённый короткий просмотр около 3 мин. Неожиданный научный факт поддерживает любопытство и интерес к короткому просмотру.</x:v>
      </x:c>
      <x:c r="N1113" s="10" t="str">
        <x:v>Отделить наблюдение от объяснения и пересказать своими словами.</x:v>
      </x:c>
      <x:c r="O1113" s="10" t="str">
        <x:v>Проверить основной язык речи; каталог содержит и переводные материалы</x:v>
      </x:c>
      <x:c r="P1113" s="10" t="str">
        <x:v>Самостоятельное видео</x:v>
      </x:c>
      <x:c r="Q1113" s="9" t="str">
        <x:v>Нет</x:v>
      </x:c>
      <x:c r="R1113" s="9" t="str">
        <x:v>C060</x:v>
      </x:c>
      <x:c r="S1113" s="9" t="str">
        <x:v>C060</x:v>
      </x:c>
      <x:c r="T1113" s="10" t="str">
        <x:v>מכון דוידסון - סרטוני מדע</x:v>
      </x:c>
      <x:c r="U1113" s="11" t="str">
        <x:v>https://www.youtube.com/watch?v=aPAvVnf2WxM</x:v>
      </x:c>
      <x:c r="V1113" s="16" t="n">
        <x:v>46308</x:v>
      </x:c>
      <x:c r="W1113" s="16" t="n">
        <x:v>43552</x:v>
      </x:c>
      <x:c r="X1113" s="10" t="str">
        <x:v>Иврит предполагается по заголовку и источнику</x:v>
      </x:c>
      <x:c r="Y1113" s="10" t="str">
        <x:v>Ручная дорожка HE по метаданным</x:v>
      </x:c>
      <x:c r="Z1113" s="10" t="str">
        <x:v>Разрешено по метаданным</x:v>
      </x:c>
      <x:c r="AA1113" s="10" t="str">
        <x:v>Метаданные видео; воспроизведение и содержание не проверены</x:v>
      </x:c>
      <x:c r="AB1113" s="13" t="n">
        <x:f>IF(AND(ISNUMBER(H1113),ISNUMBER(W1113)),H1113/MAX(1,'Обзор'!$B$4-W1113),"")</x:f>
        <x:v>6.738388969521045</x:v>
      </x:c>
      <x:c r="AC1113" s="17" t="str">
        <x:v>Не решено</x:v>
      </x:c>
      <x:c r="AD1113" s="17" t="str">
        <x:v>Не проверено</x:v>
      </x:c>
      <x:c r="AE1113" s="17" t="str">
        <x:v>Не проверено</x:v>
      </x:c>
      <x:c r="AF1113" s="17" t="str">
        <x:v>Не проверено</x:v>
      </x:c>
      <x:c r="AG1113" s="17" t="str">
        <x:v>Не решено</x:v>
      </x:c>
      <x:c r="AH1113" s="17" t="str">
        <x:v>Не проверено</x:v>
      </x:c>
      <x:c r="AI1113" s="10" t="str">
        <x:f>IF(AC1113="Отклонить","Отклонено",IF(AND(AC1113="Взять",COUNTIFS(AD1113:AH1113,"Да")=5),"Готово","Нужна редактура"))</x:f>
        <x:v>Нужна редактура</x:v>
      </x:c>
      <x:c r="AJ1113" s="17" t="str"/>
      <x:c r="AK1113" s="9" t="str">
        <x:v>https://www.youtube.com/playlist?list=PL0ZkulyfP8bfMU_1JJax5dvr2qxkYt1WH</x:v>
      </x:c>
      <x:c r="AL1113" s="9" t="n">
        <x:v>13</x:v>
      </x:c>
      <x:c r="AM1113" s="9"/>
      <x:c r="AN1113" s="9" t="n">
        <x:v>0</x:v>
      </x:c>
    </x:row>
    <x:row r="1114" ht="60" customHeight="1">
      <x:c r="A1114" s="9" t="str">
        <x:v>RQLl8w6lZhI</x:v>
      </x:c>
      <x:c r="B1114" s="10" t="str">
        <x:v>איך זיעה מקררת</x:v>
      </x:c>
      <x:c r="C1114" s="10" t="str">
        <x:v>Научные открытия</x:v>
      </x:c>
      <x:c r="D1114" s="9" t="str">
        <x:v>Образование</x:v>
      </x:c>
      <x:c r="E1114" s="10" t="str">
        <x:v>Наука; семья; любознательные</x:v>
      </x:c>
      <x:c r="F1114" s="10" t="str">
        <x:v>B1–B2 (гипотеза)</x:v>
      </x:c>
      <x:c r="G1114" s="12" t="n">
        <x:v>4</x:v>
      </x:c>
      <x:c r="H1114" s="14" t="n">
        <x:v>22574</x:v>
      </x:c>
      <x:c r="I1114" s="15" t="str">
        <x:v>Точный счётчик метаданных видео</x:v>
      </x:c>
      <x:c r="J1114" s="14" t="n">
        <x:v>22000</x:v>
      </x:c>
      <x:c r="K1114" s="14" t="n">
        <x:v>17000</x:v>
      </x:c>
      <x:c r="L1114" s="12" t="n">
        <x:f>IF(COUNT(J1114:K1114)=2,IF(K1114=0,"",J1114/K1114),"")</x:f>
        <x:v>1.2941176470588236</x:v>
      </x:c>
      <x:c r="M1114" s="10" t="str">
        <x:v>Завершённый короткий просмотр около 4 мин. Неожиданный научный факт поддерживает любопытство и интерес к короткому просмотру.</x:v>
      </x:c>
      <x:c r="N1114" s="10" t="str">
        <x:v>Отделить наблюдение от объяснения и пересказать своими словами.</x:v>
      </x:c>
      <x:c r="O1114" s="10" t="str">
        <x:v>Проверить основной язык речи; каталог содержит и переводные материалы</x:v>
      </x:c>
      <x:c r="P1114" s="10" t="str">
        <x:v>Самостоятельное видео</x:v>
      </x:c>
      <x:c r="Q1114" s="9" t="str">
        <x:v>Нет</x:v>
      </x:c>
      <x:c r="R1114" s="9" t="str">
        <x:v>C060</x:v>
      </x:c>
      <x:c r="S1114" s="9" t="str">
        <x:v>C060</x:v>
      </x:c>
      <x:c r="T1114" s="10" t="str">
        <x:v>מכון דוידסון - סרטוני מדע</x:v>
      </x:c>
      <x:c r="U1114" s="11" t="str">
        <x:v>https://www.youtube.com/watch?v=RQLl8w6lZhI</x:v>
      </x:c>
      <x:c r="V1114" s="16" t="n">
        <x:v>46308</x:v>
      </x:c>
      <x:c r="W1114" s="16" t="n">
        <x:v>43536</x:v>
      </x:c>
      <x:c r="X1114" s="10" t="str">
        <x:v>Иврит предполагается по заголовку и источнику</x:v>
      </x:c>
      <x:c r="Y1114" s="10" t="str">
        <x:v>Ручная дорожка HE по метаданным</x:v>
      </x:c>
      <x:c r="Z1114" s="10" t="str">
        <x:v>Разрешено по метаданным</x:v>
      </x:c>
      <x:c r="AA1114" s="10" t="str">
        <x:v>Метаданные видео; воспроизведение и содержание не проверены</x:v>
      </x:c>
      <x:c r="AB1114" s="13" t="n">
        <x:f>IF(AND(ISNUMBER(H1114),ISNUMBER(W1114)),H1114/MAX(1,'Обзор'!$B$4-W1114),"")</x:f>
        <x:v>8.143578643578644</x:v>
      </x:c>
      <x:c r="AC1114" s="17" t="str">
        <x:v>Не решено</x:v>
      </x:c>
      <x:c r="AD1114" s="17" t="str">
        <x:v>Не проверено</x:v>
      </x:c>
      <x:c r="AE1114" s="17" t="str">
        <x:v>Не проверено</x:v>
      </x:c>
      <x:c r="AF1114" s="17" t="str">
        <x:v>Не проверено</x:v>
      </x:c>
      <x:c r="AG1114" s="17" t="str">
        <x:v>Не решено</x:v>
      </x:c>
      <x:c r="AH1114" s="17" t="str">
        <x:v>Не проверено</x:v>
      </x:c>
      <x:c r="AI1114" s="10" t="str">
        <x:f>IF(AC1114="Отклонить","Отклонено",IF(AND(AC1114="Взять",COUNTIFS(AD1114:AH1114,"Да")=5),"Готово","Нужна редактура"))</x:f>
        <x:v>Нужна редактура</x:v>
      </x:c>
      <x:c r="AJ1114" s="17" t="str"/>
      <x:c r="AK1114" s="9" t="str">
        <x:v>https://www.youtube.com/playlist?list=PL0ZkulyfP8bfMU_1JJax5dvr2qxkYt1WH</x:v>
      </x:c>
      <x:c r="AL1114" s="9" t="n">
        <x:v>14</x:v>
      </x:c>
      <x:c r="AM1114" s="9"/>
      <x:c r="AN1114" s="9" t="n">
        <x:v>0</x:v>
      </x:c>
    </x:row>
    <x:row r="1115" ht="60" customHeight="1">
      <x:c r="A1115" s="9" t="str">
        <x:v>f2tsl_CA6cc</x:v>
      </x:c>
      <x:c r="B1115" s="10" t="str">
        <x:v>אבק שריפה שחור (וחידה בסוף)</x:v>
      </x:c>
      <x:c r="C1115" s="10" t="str">
        <x:v>Научные открытия</x:v>
      </x:c>
      <x:c r="D1115" s="9" t="str">
        <x:v>Образование</x:v>
      </x:c>
      <x:c r="E1115" s="10" t="str">
        <x:v>Наука; семья; любознательные</x:v>
      </x:c>
      <x:c r="F1115" s="10" t="str">
        <x:v>B1–B2 (гипотеза)</x:v>
      </x:c>
      <x:c r="G1115" s="12" t="n">
        <x:v>3.7</x:v>
      </x:c>
      <x:c r="H1115" s="14" t="n">
        <x:v>26149</x:v>
      </x:c>
      <x:c r="I1115" s="15" t="str">
        <x:v>Точный счётчик метаданных видео</x:v>
      </x:c>
      <x:c r="J1115" s="14" t="n">
        <x:v>26000</x:v>
      </x:c>
      <x:c r="K1115" s="14" t="n">
        <x:v>17000</x:v>
      </x:c>
      <x:c r="L1115" s="12" t="n">
        <x:f>IF(COUNT(J1115:K1115)=2,IF(K1115=0,"",J1115/K1115),"")</x:f>
        <x:v>1.5294117647058822</x:v>
      </x:c>
      <x:c r="M1115" s="10" t="str">
        <x:v>Завершённый короткий просмотр около 4 мин. Просмотры в списке выше медианы выборки этого цикла в 1.53 раза. Неожиданный научный факт поддерживает любопытство и интерес к короткому просмотру.</x:v>
      </x:c>
      <x:c r="N1115" s="10" t="str">
        <x:v>Отделить наблюдение от объяснения и пересказать своими словами.</x:v>
      </x:c>
      <x:c r="O1115" s="10" t="str">
        <x:v>Проверить основной язык речи; каталог содержит и переводные материалы</x:v>
      </x:c>
      <x:c r="P1115" s="10" t="str">
        <x:v>Самостоятельное видео</x:v>
      </x:c>
      <x:c r="Q1115" s="9" t="str">
        <x:v>Нет</x:v>
      </x:c>
      <x:c r="R1115" s="9" t="str">
        <x:v>C060</x:v>
      </x:c>
      <x:c r="S1115" s="9" t="str">
        <x:v>C060, C090</x:v>
      </x:c>
      <x:c r="T1115" s="10" t="str">
        <x:v>מכון דוידסון - סרטוני מדע</x:v>
      </x:c>
      <x:c r="U1115" s="11" t="str">
        <x:v>https://www.youtube.com/watch?v=f2tsl_CA6cc</x:v>
      </x:c>
      <x:c r="V1115" s="16" t="n">
        <x:v>46308</x:v>
      </x:c>
      <x:c r="W1115" s="16" t="n">
        <x:v>43458</x:v>
      </x:c>
      <x:c r="X1115" s="10" t="str">
        <x:v>Иврит предполагается по заголовку и источнику</x:v>
      </x:c>
      <x:c r="Y1115" s="10" t="str">
        <x:v>Ручная дорожка HE по метаданным</x:v>
      </x:c>
      <x:c r="Z1115" s="10" t="str">
        <x:v>Разрешено по метаданным</x:v>
      </x:c>
      <x:c r="AA1115" s="10" t="str">
        <x:v>Метаданные видео; воспроизведение и содержание не проверены</x:v>
      </x:c>
      <x:c r="AB1115" s="13" t="n">
        <x:f>IF(AND(ISNUMBER(H1115),ISNUMBER(W1115)),H1115/MAX(1,'Обзор'!$B$4-W1115),"")</x:f>
        <x:v>9.175087719298245</x:v>
      </x:c>
      <x:c r="AC1115" s="17" t="str">
        <x:v>Не решено</x:v>
      </x:c>
      <x:c r="AD1115" s="17" t="str">
        <x:v>Не проверено</x:v>
      </x:c>
      <x:c r="AE1115" s="17" t="str">
        <x:v>Не проверено</x:v>
      </x:c>
      <x:c r="AF1115" s="17" t="str">
        <x:v>Не проверено</x:v>
      </x:c>
      <x:c r="AG1115" s="17" t="str">
        <x:v>Не решено</x:v>
      </x:c>
      <x:c r="AH1115" s="17" t="str">
        <x:v>Не проверено</x:v>
      </x:c>
      <x:c r="AI1115" s="10" t="str">
        <x:f>IF(AC1115="Отклонить","Отклонено",IF(AND(AC1115="Взять",COUNTIFS(AD1115:AH1115,"Да")=5),"Готово","Нужна редактура"))</x:f>
        <x:v>Нужна редактура</x:v>
      </x:c>
      <x:c r="AJ1115" s="17" t="str"/>
      <x:c r="AK1115" s="9" t="str">
        <x:v>https://www.youtube.com/playlist?list=PL0ZkulyfP8bfMU_1JJax5dvr2qxkYt1WH</x:v>
      </x:c>
      <x:c r="AL1115" s="9" t="n">
        <x:v>15</x:v>
      </x:c>
      <x:c r="AM1115" s="9"/>
      <x:c r="AN1115" s="9" t="n">
        <x:v>0</x:v>
      </x:c>
    </x:row>
    <x:row r="1116" ht="60" customHeight="1">
      <x:c r="A1116" s="9" t="str">
        <x:v>sLD0M4lOT7M</x:v>
      </x:c>
      <x:c r="B1116" s="10" t="str">
        <x:v>אבק שריפה שחור - בחור (פתרון החידה)</x:v>
      </x:c>
      <x:c r="C1116" s="10" t="str">
        <x:v>Научные открытия</x:v>
      </x:c>
      <x:c r="D1116" s="9" t="str">
        <x:v>Образование</x:v>
      </x:c>
      <x:c r="E1116" s="10" t="str">
        <x:v>Наука; семья; любознательные</x:v>
      </x:c>
      <x:c r="F1116" s="10" t="str">
        <x:v>B1–B2 (гипотеза)</x:v>
      </x:c>
      <x:c r="G1116" s="12" t="n">
        <x:v>1.6</x:v>
      </x:c>
      <x:c r="H1116" s="14" t="n">
        <x:v>8400</x:v>
      </x:c>
      <x:c r="I1116" s="15" t="str">
        <x:v>Округлённый счётчик в списке YouTube</x:v>
      </x:c>
      <x:c r="J1116" s="14" t="n">
        <x:v>8400</x:v>
      </x:c>
      <x:c r="K1116" s="14" t="n">
        <x:v>17000</x:v>
      </x:c>
      <x:c r="L1116" s="12" t="n">
        <x:f>IF(COUNT(J1116:K1116)=2,IF(K1116=0,"",J1116/K1116),"")</x:f>
        <x:v>0.49411764705882355</x:v>
      </x:c>
      <x:c r="M1116" s="10" t="str">
        <x:v>Завершённый короткий просмотр около 2 мин. Просмотры ниже медианы цикла; выбирать за нишевую ценность, а не за массовый охват. Неожиданный научный факт поддерживает любопытство и интерес к короткому просмотру.</x:v>
      </x:c>
      <x:c r="N1116" s="10" t="str">
        <x:v>Отделить наблюдение от объяснения и пересказать своими словами.</x:v>
      </x:c>
      <x:c r="O1116" s="10" t="str">
        <x:v>Проверить основной язык речи; каталог содержит и переводные материалы</x:v>
      </x:c>
      <x:c r="P1116" s="10" t="str">
        <x:v>Самостоятельное видео</x:v>
      </x:c>
      <x:c r="Q1116" s="9" t="str">
        <x:v>Нет</x:v>
      </x:c>
      <x:c r="R1116" s="9" t="str">
        <x:v>C060</x:v>
      </x:c>
      <x:c r="S1116" s="9" t="str">
        <x:v>C060</x:v>
      </x:c>
      <x:c r="T1116" s="10" t="str">
        <x:v>מכון דוידסון - סרטוני מדע</x:v>
      </x:c>
      <x:c r="U1116" s="11" t="str">
        <x:v>https://www.youtube.com/watch?v=sLD0M4lOT7M</x:v>
      </x:c>
      <x:c r="V1116" s="16" t="n">
        <x:v>46308</x:v>
      </x:c>
      <x:c r="W1116" s="16"/>
      <x:c r="X1116" s="10" t="str">
        <x:v>Иврит предполагается по заголовку и источнику</x:v>
      </x:c>
      <x:c r="Y1116" s="10" t="str">
        <x:v>Не проверено</x:v>
      </x:c>
      <x:c r="Z1116" s="10" t="str">
        <x:v>Не проверено</x:v>
      </x:c>
      <x:c r="AA1116" s="10" t="str">
        <x:v>Метаданные списка; видео не просмотрено</x:v>
      </x:c>
      <x:c r="AB1116" s="13" t="str">
        <x:f>IF(AND(ISNUMBER(H1116),ISNUMBER(W1116)),H1116/MAX(1,'Обзор'!$B$4-W1116),"")</x:f>
      </x:c>
      <x:c r="AC1116" s="17" t="str">
        <x:v>Не решено</x:v>
      </x:c>
      <x:c r="AD1116" s="17" t="str">
        <x:v>Не проверено</x:v>
      </x:c>
      <x:c r="AE1116" s="17" t="str">
        <x:v>Не проверено</x:v>
      </x:c>
      <x:c r="AF1116" s="17" t="str">
        <x:v>Не проверено</x:v>
      </x:c>
      <x:c r="AG1116" s="17" t="str">
        <x:v>Не решено</x:v>
      </x:c>
      <x:c r="AH1116" s="17" t="str">
        <x:v>Не проверено</x:v>
      </x:c>
      <x:c r="AI1116" s="10" t="str">
        <x:f>IF(AC1116="Отклонить","Отклонено",IF(AND(AC1116="Взять",COUNTIFS(AD1116:AH1116,"Да")=5),"Готово","Нужна редактура"))</x:f>
        <x:v>Нужна редактура</x:v>
      </x:c>
      <x:c r="AJ1116" s="17" t="str"/>
      <x:c r="AK1116" s="9" t="str">
        <x:v>https://www.youtube.com/playlist?list=PL0ZkulyfP8bfMU_1JJax5dvr2qxkYt1WH</x:v>
      </x:c>
      <x:c r="AL1116" s="9" t="n">
        <x:v>16</x:v>
      </x:c>
      <x:c r="AM1116" s="9"/>
      <x:c r="AN1116" s="9"/>
    </x:row>
    <x:row r="1117" ht="60" customHeight="1">
      <x:c r="A1117" s="9" t="str">
        <x:v>T_492qW6R40</x:v>
      </x:c>
      <x:c r="B1117" s="10" t="str">
        <x:v>חולה על כדורגל</x:v>
      </x:c>
      <x:c r="C1117" s="10" t="str">
        <x:v>Научные открытия</x:v>
      </x:c>
      <x:c r="D1117" s="9" t="str">
        <x:v>Образование</x:v>
      </x:c>
      <x:c r="E1117" s="10" t="str">
        <x:v>Наука; семья; любознательные</x:v>
      </x:c>
      <x:c r="F1117" s="10" t="str">
        <x:v>B1–B2 (гипотеза)</x:v>
      </x:c>
      <x:c r="G1117" s="12" t="n">
        <x:v>5.4</x:v>
      </x:c>
      <x:c r="H1117" s="14" t="n">
        <x:v>16000</x:v>
      </x:c>
      <x:c r="I1117" s="15" t="str">
        <x:v>Округлённый счётчик в списке YouTube</x:v>
      </x:c>
      <x:c r="J1117" s="14" t="n">
        <x:v>16000</x:v>
      </x:c>
      <x:c r="K1117" s="14" t="n">
        <x:v>17000</x:v>
      </x:c>
      <x:c r="L1117" s="12" t="n">
        <x:f>IF(COUNT(J1117:K1117)=2,IF(K1117=0,"",J1117/K1117),"")</x:f>
        <x:v>0.9411764705882353</x:v>
      </x:c>
      <x:c r="M1117" s="10" t="str">
        <x:v>Завершённый короткий просмотр около 5 мин. Неожиданный научный факт поддерживает любопытство и интерес к короткому просмотру.</x:v>
      </x:c>
      <x:c r="N1117" s="10" t="str">
        <x:v>Отделить наблюдение от объяснения и пересказать своими словами.</x:v>
      </x:c>
      <x:c r="O1117" s="10" t="str">
        <x:v>Проверить основной язык речи; каталог содержит и переводные материалы</x:v>
      </x:c>
      <x:c r="P1117" s="10" t="str">
        <x:v>Самостоятельное видео</x:v>
      </x:c>
      <x:c r="Q1117" s="9" t="str">
        <x:v>Нет</x:v>
      </x:c>
      <x:c r="R1117" s="9" t="str">
        <x:v>C060</x:v>
      </x:c>
      <x:c r="S1117" s="9" t="str">
        <x:v>C060</x:v>
      </x:c>
      <x:c r="T1117" s="10" t="str">
        <x:v>מכון דוידסון - סרטוני מדע</x:v>
      </x:c>
      <x:c r="U1117" s="11" t="str">
        <x:v>https://www.youtube.com/watch?v=T_492qW6R40</x:v>
      </x:c>
      <x:c r="V1117" s="16" t="n">
        <x:v>46308</x:v>
      </x:c>
      <x:c r="W1117" s="16"/>
      <x:c r="X1117" s="10" t="str">
        <x:v>Иврит предполагается по заголовку и источнику</x:v>
      </x:c>
      <x:c r="Y1117" s="10" t="str">
        <x:v>Не проверено</x:v>
      </x:c>
      <x:c r="Z1117" s="10" t="str">
        <x:v>Не проверено</x:v>
      </x:c>
      <x:c r="AA1117" s="10" t="str">
        <x:v>Метаданные списка; видео не просмотрено</x:v>
      </x:c>
      <x:c r="AB1117" s="13" t="str">
        <x:f>IF(AND(ISNUMBER(H1117),ISNUMBER(W1117)),H1117/MAX(1,'Обзор'!$B$4-W1117),"")</x:f>
      </x:c>
      <x:c r="AC1117" s="17" t="str">
        <x:v>Не решено</x:v>
      </x:c>
      <x:c r="AD1117" s="17" t="str">
        <x:v>Не проверено</x:v>
      </x:c>
      <x:c r="AE1117" s="17" t="str">
        <x:v>Не проверено</x:v>
      </x:c>
      <x:c r="AF1117" s="17" t="str">
        <x:v>Не проверено</x:v>
      </x:c>
      <x:c r="AG1117" s="17" t="str">
        <x:v>Не решено</x:v>
      </x:c>
      <x:c r="AH1117" s="17" t="str">
        <x:v>Не проверено</x:v>
      </x:c>
      <x:c r="AI1117" s="10" t="str">
        <x:f>IF(AC1117="Отклонить","Отклонено",IF(AND(AC1117="Взять",COUNTIFS(AD1117:AH1117,"Да")=5),"Готово","Нужна редактура"))</x:f>
        <x:v>Нужна редактура</x:v>
      </x:c>
      <x:c r="AJ1117" s="17" t="str"/>
      <x:c r="AK1117" s="9" t="str">
        <x:v>https://www.youtube.com/playlist?list=PL0ZkulyfP8bfMU_1JJax5dvr2qxkYt1WH</x:v>
      </x:c>
      <x:c r="AL1117" s="9" t="n">
        <x:v>22</x:v>
      </x:c>
      <x:c r="AM1117" s="9"/>
      <x:c r="AN1117" s="9"/>
    </x:row>
    <x:row r="1118" ht="60" customHeight="1">
      <x:c r="A1118" s="9" t="str">
        <x:v>LTMU_HNhE-I</x:v>
      </x:c>
      <x:c r="B1118" s="10" t="str">
        <x:v>האם זה נכון שאכילת פרג גורמת לתוצאה חיובית בבדיקת סמים?</x:v>
      </x:c>
      <x:c r="C1118" s="10" t="str">
        <x:v>Научные открытия</x:v>
      </x:c>
      <x:c r="D1118" s="9" t="str">
        <x:v>Образование</x:v>
      </x:c>
      <x:c r="E1118" s="10" t="str">
        <x:v>Наука; семья; любознательные</x:v>
      </x:c>
      <x:c r="F1118" s="10" t="str">
        <x:v>B1–B2 (гипотеза)</x:v>
      </x:c>
      <x:c r="G1118" s="12" t="n">
        <x:v>3</x:v>
      </x:c>
      <x:c r="H1118" s="14" t="n">
        <x:v>9800</x:v>
      </x:c>
      <x:c r="I1118" s="15" t="str">
        <x:v>Округлённый счётчик в списке YouTube</x:v>
      </x:c>
      <x:c r="J1118" s="14" t="n">
        <x:v>9800</x:v>
      </x:c>
      <x:c r="K1118" s="14" t="n">
        <x:v>17000</x:v>
      </x:c>
      <x:c r="L1118" s="12" t="n">
        <x:f>IF(COUNT(J1118:K1118)=2,IF(K1118=0,"",J1118/K1118),"")</x:f>
        <x:v>0.5764705882352941</x:v>
      </x:c>
      <x:c r="M1118" s="10" t="str">
        <x:v>Завершённый короткий просмотр около 3 мин. Неожиданный научный факт поддерживает любопытство и интерес к короткому просмотру.</x:v>
      </x:c>
      <x:c r="N1118" s="10" t="str">
        <x:v>Отделить наблюдение от объяснения и пересказать своими словами.</x:v>
      </x:c>
      <x:c r="O1118" s="10" t="str">
        <x:v>Проверить основной язык речи; каталог содержит и переводные материалы</x:v>
      </x:c>
      <x:c r="P1118" s="10" t="str">
        <x:v>Самостоятельное видео</x:v>
      </x:c>
      <x:c r="Q1118" s="9" t="str">
        <x:v>Нет</x:v>
      </x:c>
      <x:c r="R1118" s="9" t="str">
        <x:v>C060</x:v>
      </x:c>
      <x:c r="S1118" s="9" t="str">
        <x:v>C060</x:v>
      </x:c>
      <x:c r="T1118" s="10" t="str">
        <x:v>מכון דוידסון - סרטוני מדע</x:v>
      </x:c>
      <x:c r="U1118" s="11" t="str">
        <x:v>https://www.youtube.com/watch?v=LTMU_HNhE-I</x:v>
      </x:c>
      <x:c r="V1118" s="16" t="n">
        <x:v>46308</x:v>
      </x:c>
      <x:c r="W1118" s="16"/>
      <x:c r="X1118" s="10" t="str">
        <x:v>Иврит предполагается по заголовку и источнику</x:v>
      </x:c>
      <x:c r="Y1118" s="10" t="str">
        <x:v>Не проверено</x:v>
      </x:c>
      <x:c r="Z1118" s="10" t="str">
        <x:v>Не проверено</x:v>
      </x:c>
      <x:c r="AA1118" s="10" t="str">
        <x:v>Метаданные списка; видео не просмотрено</x:v>
      </x:c>
      <x:c r="AB1118" s="13" t="str">
        <x:f>IF(AND(ISNUMBER(H1118),ISNUMBER(W1118)),H1118/MAX(1,'Обзор'!$B$4-W1118),"")</x:f>
      </x:c>
      <x:c r="AC1118" s="17" t="str">
        <x:v>Не решено</x:v>
      </x:c>
      <x:c r="AD1118" s="17" t="str">
        <x:v>Не проверено</x:v>
      </x:c>
      <x:c r="AE1118" s="17" t="str">
        <x:v>Не проверено</x:v>
      </x:c>
      <x:c r="AF1118" s="17" t="str">
        <x:v>Не проверено</x:v>
      </x:c>
      <x:c r="AG1118" s="17" t="str">
        <x:v>Не решено</x:v>
      </x:c>
      <x:c r="AH1118" s="17" t="str">
        <x:v>Не проверено</x:v>
      </x:c>
      <x:c r="AI1118" s="10" t="str">
        <x:f>IF(AC1118="Отклонить","Отклонено",IF(AND(AC1118="Взять",COUNTIFS(AD1118:AH1118,"Да")=5),"Готово","Нужна редактура"))</x:f>
        <x:v>Нужна редактура</x:v>
      </x:c>
      <x:c r="AJ1118" s="17" t="str"/>
      <x:c r="AK1118" s="9" t="str">
        <x:v>https://www.youtube.com/playlist?list=PL0ZkulyfP8bfMU_1JJax5dvr2qxkYt1WH</x:v>
      </x:c>
      <x:c r="AL1118" s="9" t="n">
        <x:v>23</x:v>
      </x:c>
      <x:c r="AM1118" s="9"/>
      <x:c r="AN1118" s="9"/>
    </x:row>
    <x:row r="1119" ht="60" customHeight="1">
      <x:c r="A1119" s="9" t="str">
        <x:v>bo2tPbgJc4I</x:v>
      </x:c>
      <x:c r="B1119" s="10" t="str">
        <x:v>חשוב לדעת: איך לכבות סיר שמן בוער</x:v>
      </x:c>
      <x:c r="C1119" s="10" t="str">
        <x:v>Научные открытия</x:v>
      </x:c>
      <x:c r="D1119" s="9" t="str">
        <x:v>Образование</x:v>
      </x:c>
      <x:c r="E1119" s="10" t="str">
        <x:v>Наука; семья; любознательные</x:v>
      </x:c>
      <x:c r="F1119" s="10" t="str">
        <x:v>B1–B2 (гипотеза)</x:v>
      </x:c>
      <x:c r="G1119" s="12" t="n">
        <x:v>2.9</x:v>
      </x:c>
      <x:c r="H1119" s="14" t="n">
        <x:v>57146</x:v>
      </x:c>
      <x:c r="I1119" s="15" t="str">
        <x:v>Точный счётчик метаданных видео</x:v>
      </x:c>
      <x:c r="J1119" s="14" t="n">
        <x:v>57000</x:v>
      </x:c>
      <x:c r="K1119" s="14" t="n">
        <x:v>17000</x:v>
      </x:c>
      <x:c r="L1119" s="12" t="n">
        <x:f>IF(COUNT(J1119:K1119)=2,IF(K1119=0,"",J1119/K1119),"")</x:f>
        <x:v>3.3529411764705883</x:v>
      </x:c>
      <x:c r="M1119" s="10" t="str">
        <x:v>Завершённый короткий просмотр около 3 мин. Просмотры в списке выше медианы выборки этого цикла в 3.35 раза. Неожиданный научный факт поддерживает любопытство и интерес к короткому просмотру.</x:v>
      </x:c>
      <x:c r="N1119" s="10" t="str">
        <x:v>Отделить наблюдение от объяснения и пересказать своими словами.</x:v>
      </x:c>
      <x:c r="O1119" s="10" t="str">
        <x:v>Проверить основной язык речи; каталог содержит и переводные материалы</x:v>
      </x:c>
      <x:c r="P1119" s="10" t="str">
        <x:v>Самостоятельное видео</x:v>
      </x:c>
      <x:c r="Q1119" s="9" t="str">
        <x:v>Нет</x:v>
      </x:c>
      <x:c r="R1119" s="9" t="str">
        <x:v>C060</x:v>
      </x:c>
      <x:c r="S1119" s="9" t="str">
        <x:v>C060, C090</x:v>
      </x:c>
      <x:c r="T1119" s="10" t="str">
        <x:v>מכון דוידסון - סרטוני מדע</x:v>
      </x:c>
      <x:c r="U1119" s="11" t="str">
        <x:v>https://www.youtube.com/watch?v=bo2tPbgJc4I</x:v>
      </x:c>
      <x:c r="V1119" s="16" t="n">
        <x:v>46308</x:v>
      </x:c>
      <x:c r="W1119" s="16" t="n">
        <x:v>43082</x:v>
      </x:c>
      <x:c r="X1119" s="10" t="str">
        <x:v>Иврит предполагается по заголовку и источнику</x:v>
      </x:c>
      <x:c r="Y1119" s="10" t="str">
        <x:v>Ручная дорожка HE по метаданным</x:v>
      </x:c>
      <x:c r="Z1119" s="10" t="str">
        <x:v>Разрешено по метаданным</x:v>
      </x:c>
      <x:c r="AA1119" s="10" t="str">
        <x:v>Метаданные видео; воспроизведение и содержание не проверены</x:v>
      </x:c>
      <x:c r="AB1119" s="13" t="n">
        <x:f>IF(AND(ISNUMBER(H1119),ISNUMBER(W1119)),H1119/MAX(1,'Обзор'!$B$4-W1119),"")</x:f>
        <x:v>17.71419714817111</x:v>
      </x:c>
      <x:c r="AC1119" s="17" t="str">
        <x:v>Не решено</x:v>
      </x:c>
      <x:c r="AD1119" s="17" t="str">
        <x:v>Не проверено</x:v>
      </x:c>
      <x:c r="AE1119" s="17" t="str">
        <x:v>Не проверено</x:v>
      </x:c>
      <x:c r="AF1119" s="17" t="str">
        <x:v>Не проверено</x:v>
      </x:c>
      <x:c r="AG1119" s="17" t="str">
        <x:v>Не решено</x:v>
      </x:c>
      <x:c r="AH1119" s="17" t="str">
        <x:v>Не проверено</x:v>
      </x:c>
      <x:c r="AI1119" s="10" t="str">
        <x:f>IF(AC1119="Отклонить","Отклонено",IF(AND(AC1119="Взять",COUNTIFS(AD1119:AH1119,"Да")=5),"Готово","Нужна редактура"))</x:f>
        <x:v>Нужна редактура</x:v>
      </x:c>
      <x:c r="AJ1119" s="17" t="str"/>
      <x:c r="AK1119" s="9" t="str">
        <x:v>https://www.youtube.com/playlist?list=PL0ZkulyfP8bfMU_1JJax5dvr2qxkYt1WH</x:v>
      </x:c>
      <x:c r="AL1119" s="9" t="n">
        <x:v>24</x:v>
      </x:c>
      <x:c r="AM1119" s="9"/>
      <x:c r="AN1119" s="9" t="n">
        <x:v>0</x:v>
      </x:c>
    </x:row>
    <x:row r="1120" ht="60" customHeight="1">
      <x:c r="A1120" s="9" t="str">
        <x:v>5Wm7I3wkFtU</x:v>
      </x:c>
      <x:c r="B1120" s="10" t="str">
        <x:v>חידת הגנרטורים - הפתרון</x:v>
      </x:c>
      <x:c r="C1120" s="10" t="str">
        <x:v>Научные открытия</x:v>
      </x:c>
      <x:c r="D1120" s="9" t="str">
        <x:v>Образование</x:v>
      </x:c>
      <x:c r="E1120" s="10" t="str">
        <x:v>Наука; семья; любознательные</x:v>
      </x:c>
      <x:c r="F1120" s="10" t="str">
        <x:v>B1–B2 (гипотеза)</x:v>
      </x:c>
      <x:c r="G1120" s="12" t="n">
        <x:v>2.5</x:v>
      </x:c>
      <x:c r="H1120" s="14" t="n">
        <x:v>12000</x:v>
      </x:c>
      <x:c r="I1120" s="15" t="str">
        <x:v>Округлённый счётчик в списке YouTube</x:v>
      </x:c>
      <x:c r="J1120" s="14" t="n">
        <x:v>12000</x:v>
      </x:c>
      <x:c r="K1120" s="14" t="n">
        <x:v>17000</x:v>
      </x:c>
      <x:c r="L1120" s="12" t="n">
        <x:f>IF(COUNT(J1120:K1120)=2,IF(K1120=0,"",J1120/K1120),"")</x:f>
        <x:v>0.7058823529411765</x:v>
      </x:c>
      <x:c r="M1120" s="10" t="str">
        <x:v>Завершённый короткий просмотр около 2 мин. Неожиданный научный факт поддерживает любопытство и интерес к короткому просмотру.</x:v>
      </x:c>
      <x:c r="N1120" s="10" t="str">
        <x:v>Отделить наблюдение от объяснения и пересказать своими словами.</x:v>
      </x:c>
      <x:c r="O1120" s="10" t="str">
        <x:v>Проверить основной язык речи; каталог содержит и переводные материалы</x:v>
      </x:c>
      <x:c r="P1120" s="10" t="str">
        <x:v>Самостоятельное видео</x:v>
      </x:c>
      <x:c r="Q1120" s="9" t="str">
        <x:v>Нет</x:v>
      </x:c>
      <x:c r="R1120" s="9" t="str">
        <x:v>C060</x:v>
      </x:c>
      <x:c r="S1120" s="9" t="str">
        <x:v>C060</x:v>
      </x:c>
      <x:c r="T1120" s="10" t="str">
        <x:v>מכון דוידסון - סרטוני מדע</x:v>
      </x:c>
      <x:c r="U1120" s="11" t="str">
        <x:v>https://www.youtube.com/watch?v=5Wm7I3wkFtU</x:v>
      </x:c>
      <x:c r="V1120" s="16" t="n">
        <x:v>46308</x:v>
      </x:c>
      <x:c r="W1120" s="16"/>
      <x:c r="X1120" s="10" t="str">
        <x:v>Иврит предполагается по заголовку и источнику</x:v>
      </x:c>
      <x:c r="Y1120" s="10" t="str">
        <x:v>Не проверено</x:v>
      </x:c>
      <x:c r="Z1120" s="10" t="str">
        <x:v>Не проверено</x:v>
      </x:c>
      <x:c r="AA1120" s="10" t="str">
        <x:v>Метаданные списка; видео не просмотрено</x:v>
      </x:c>
      <x:c r="AB1120" s="13" t="str">
        <x:f>IF(AND(ISNUMBER(H1120),ISNUMBER(W1120)),H1120/MAX(1,'Обзор'!$B$4-W1120),"")</x:f>
      </x:c>
      <x:c r="AC1120" s="17" t="str">
        <x:v>Не решено</x:v>
      </x:c>
      <x:c r="AD1120" s="17" t="str">
        <x:v>Не проверено</x:v>
      </x:c>
      <x:c r="AE1120" s="17" t="str">
        <x:v>Не проверено</x:v>
      </x:c>
      <x:c r="AF1120" s="17" t="str">
        <x:v>Не проверено</x:v>
      </x:c>
      <x:c r="AG1120" s="17" t="str">
        <x:v>Не решено</x:v>
      </x:c>
      <x:c r="AH1120" s="17" t="str">
        <x:v>Не проверено</x:v>
      </x:c>
      <x:c r="AI1120" s="10" t="str">
        <x:f>IF(AC1120="Отклонить","Отклонено",IF(AND(AC1120="Взять",COUNTIFS(AD1120:AH1120,"Да")=5),"Готово","Нужна редактура"))</x:f>
        <x:v>Нужна редактура</x:v>
      </x:c>
      <x:c r="AJ1120" s="17" t="str"/>
      <x:c r="AK1120" s="9" t="str">
        <x:v>https://www.youtube.com/playlist?list=PL0ZkulyfP8bfMU_1JJax5dvr2qxkYt1WH</x:v>
      </x:c>
      <x:c r="AL1120" s="9" t="n">
        <x:v>26</x:v>
      </x:c>
      <x:c r="AM1120" s="9"/>
      <x:c r="AN1120" s="9"/>
    </x:row>
    <x:row r="1121" ht="60" customHeight="1">
      <x:c r="A1121" s="9" t="str">
        <x:v>dgD-qLY0XIw</x:v>
      </x:c>
      <x:c r="B1121" s="10" t="str">
        <x:v>חידת הגנרטורים - וחוק שימור האנרגיה</x:v>
      </x:c>
      <x:c r="C1121" s="10" t="str">
        <x:v>Научные открытия</x:v>
      </x:c>
      <x:c r="D1121" s="9" t="str">
        <x:v>Образование</x:v>
      </x:c>
      <x:c r="E1121" s="10" t="str">
        <x:v>Наука; семья; любознательные</x:v>
      </x:c>
      <x:c r="F1121" s="10" t="str">
        <x:v>B1–B2 (гипотеза)</x:v>
      </x:c>
      <x:c r="G1121" s="12" t="n">
        <x:v>1.6</x:v>
      </x:c>
      <x:c r="H1121" s="14" t="n">
        <x:v>13000</x:v>
      </x:c>
      <x:c r="I1121" s="15" t="str">
        <x:v>Округлённый счётчик в списке YouTube</x:v>
      </x:c>
      <x:c r="J1121" s="14" t="n">
        <x:v>13000</x:v>
      </x:c>
      <x:c r="K1121" s="14" t="n">
        <x:v>17000</x:v>
      </x:c>
      <x:c r="L1121" s="12" t="n">
        <x:f>IF(COUNT(J1121:K1121)=2,IF(K1121=0,"",J1121/K1121),"")</x:f>
        <x:v>0.7647058823529411</x:v>
      </x:c>
      <x:c r="M1121" s="10" t="str">
        <x:v>Завершённый короткий просмотр около 2 мин. Неожиданный научный факт поддерживает любопытство и интерес к короткому просмотру.</x:v>
      </x:c>
      <x:c r="N1121" s="10" t="str">
        <x:v>Отделить наблюдение от объяснения и пересказать своими словами.</x:v>
      </x:c>
      <x:c r="O1121" s="10" t="str">
        <x:v>Проверить основной язык речи; каталог содержит и переводные материалы</x:v>
      </x:c>
      <x:c r="P1121" s="10" t="str">
        <x:v>Самостоятельное видео</x:v>
      </x:c>
      <x:c r="Q1121" s="9" t="str">
        <x:v>Нет</x:v>
      </x:c>
      <x:c r="R1121" s="9" t="str">
        <x:v>C060</x:v>
      </x:c>
      <x:c r="S1121" s="9" t="str">
        <x:v>C060</x:v>
      </x:c>
      <x:c r="T1121" s="10" t="str">
        <x:v>מכון דוידסון - סרטוני מדע</x:v>
      </x:c>
      <x:c r="U1121" s="11" t="str">
        <x:v>https://www.youtube.com/watch?v=dgD-qLY0XIw</x:v>
      </x:c>
      <x:c r="V1121" s="16" t="n">
        <x:v>46308</x:v>
      </x:c>
      <x:c r="W1121" s="16"/>
      <x:c r="X1121" s="10" t="str">
        <x:v>Иврит предполагается по заголовку и источнику</x:v>
      </x:c>
      <x:c r="Y1121" s="10" t="str">
        <x:v>Не проверено</x:v>
      </x:c>
      <x:c r="Z1121" s="10" t="str">
        <x:v>Не проверено</x:v>
      </x:c>
      <x:c r="AA1121" s="10" t="str">
        <x:v>Метаданные списка; видео не просмотрено</x:v>
      </x:c>
      <x:c r="AB1121" s="13" t="str">
        <x:f>IF(AND(ISNUMBER(H1121),ISNUMBER(W1121)),H1121/MAX(1,'Обзор'!$B$4-W1121),"")</x:f>
      </x:c>
      <x:c r="AC1121" s="17" t="str">
        <x:v>Не решено</x:v>
      </x:c>
      <x:c r="AD1121" s="17" t="str">
        <x:v>Не проверено</x:v>
      </x:c>
      <x:c r="AE1121" s="17" t="str">
        <x:v>Не проверено</x:v>
      </x:c>
      <x:c r="AF1121" s="17" t="str">
        <x:v>Не проверено</x:v>
      </x:c>
      <x:c r="AG1121" s="17" t="str">
        <x:v>Не решено</x:v>
      </x:c>
      <x:c r="AH1121" s="17" t="str">
        <x:v>Не проверено</x:v>
      </x:c>
      <x:c r="AI1121" s="10" t="str">
        <x:f>IF(AC1121="Отклонить","Отклонено",IF(AND(AC1121="Взять",COUNTIFS(AD1121:AH1121,"Да")=5),"Готово","Нужна редактура"))</x:f>
        <x:v>Нужна редактура</x:v>
      </x:c>
      <x:c r="AJ1121" s="17" t="str"/>
      <x:c r="AK1121" s="9" t="str">
        <x:v>https://www.youtube.com/playlist?list=PL0ZkulyfP8bfMU_1JJax5dvr2qxkYt1WH</x:v>
      </x:c>
      <x:c r="AL1121" s="9" t="n">
        <x:v>27</x:v>
      </x:c>
      <x:c r="AM1121" s="9"/>
      <x:c r="AN1121" s="9"/>
    </x:row>
    <x:row r="1122" ht="60" customHeight="1">
      <x:c r="A1122" s="9" t="str">
        <x:v>6m5wu1itNQA</x:v>
      </x:c>
      <x:c r="B1122" s="10" t="str">
        <x:v>איך להדליק נורה בלי לחבר אותה לחשמל?</x:v>
      </x:c>
      <x:c r="C1122" s="10" t="str">
        <x:v>Научные открытия</x:v>
      </x:c>
      <x:c r="D1122" s="9" t="str">
        <x:v>Образование</x:v>
      </x:c>
      <x:c r="E1122" s="10" t="str">
        <x:v>Наука; семья; любознательные</x:v>
      </x:c>
      <x:c r="F1122" s="10" t="str">
        <x:v>B1–B2 (гипотеза)</x:v>
      </x:c>
      <x:c r="G1122" s="12" t="n">
        <x:v>4.6</x:v>
      </x:c>
      <x:c r="H1122" s="14" t="n">
        <x:v>158730</x:v>
      </x:c>
      <x:c r="I1122" s="15" t="str">
        <x:v>Точный счётчик метаданных видео</x:v>
      </x:c>
      <x:c r="J1122" s="14" t="n">
        <x:v>158000</x:v>
      </x:c>
      <x:c r="K1122" s="14" t="n">
        <x:v>17000</x:v>
      </x:c>
      <x:c r="L1122" s="12" t="n">
        <x:f>IF(COUNT(J1122:K1122)=2,IF(K1122=0,"",J1122/K1122),"")</x:f>
        <x:v>9.294117647058824</x:v>
      </x:c>
      <x:c r="M1122" s="10" t="str">
        <x:v>Завершённый короткий просмотр около 5 мин. Просмотры в списке выше медианы выборки этого цикла в 9.29 раза. Неожиданный научный факт поддерживает любопытство и интерес к короткому просмотру.</x:v>
      </x:c>
      <x:c r="N1122" s="10" t="str">
        <x:v>Отделить наблюдение от объяснения и пересказать своими словами.</x:v>
      </x:c>
      <x:c r="O1122" s="10" t="str">
        <x:v>Проверить основной язык речи; каталог содержит и переводные материалы</x:v>
      </x:c>
      <x:c r="P1122" s="10" t="str">
        <x:v>Самостоятельное видео</x:v>
      </x:c>
      <x:c r="Q1122" s="9" t="str">
        <x:v>Нет</x:v>
      </x:c>
      <x:c r="R1122" s="9" t="str">
        <x:v>C060</x:v>
      </x:c>
      <x:c r="S1122" s="9" t="str">
        <x:v>C060</x:v>
      </x:c>
      <x:c r="T1122" s="10" t="str">
        <x:v>מכון דוידסון - סרטוני מדע</x:v>
      </x:c>
      <x:c r="U1122" s="11" t="str">
        <x:v>https://www.youtube.com/watch?v=6m5wu1itNQA</x:v>
      </x:c>
      <x:c r="V1122" s="16" t="n">
        <x:v>46308</x:v>
      </x:c>
      <x:c r="W1122" s="16" t="n">
        <x:v>42977</x:v>
      </x:c>
      <x:c r="X1122" s="10" t="str">
        <x:v>Иврит предполагается по заголовку и источнику</x:v>
      </x:c>
      <x:c r="Y1122" s="10" t="str">
        <x:v>Ручная дорожка HE по метаданным</x:v>
      </x:c>
      <x:c r="Z1122" s="10" t="str">
        <x:v>Разрешено по метаданным</x:v>
      </x:c>
      <x:c r="AA1122" s="10" t="str">
        <x:v>Метаданные видео; воспроизведение и содержание не проверены</x:v>
      </x:c>
      <x:c r="AB1122" s="13" t="n">
        <x:f>IF(AND(ISNUMBER(H1122),ISNUMBER(W1122)),H1122/MAX(1,'Обзор'!$B$4-W1122),"")</x:f>
        <x:v>47.652356649654756</x:v>
      </x:c>
      <x:c r="AC1122" s="17" t="str">
        <x:v>Не решено</x:v>
      </x:c>
      <x:c r="AD1122" s="17" t="str">
        <x:v>Не проверено</x:v>
      </x:c>
      <x:c r="AE1122" s="17" t="str">
        <x:v>Не проверено</x:v>
      </x:c>
      <x:c r="AF1122" s="17" t="str">
        <x:v>Не проверено</x:v>
      </x:c>
      <x:c r="AG1122" s="17" t="str">
        <x:v>Не решено</x:v>
      </x:c>
      <x:c r="AH1122" s="17" t="str">
        <x:v>Не проверено</x:v>
      </x:c>
      <x:c r="AI1122" s="10" t="str">
        <x:f>IF(AC1122="Отклонить","Отклонено",IF(AND(AC1122="Взять",COUNTIFS(AD1122:AH1122,"Да")=5),"Готово","Нужна редактура"))</x:f>
        <x:v>Нужна редактура</x:v>
      </x:c>
      <x:c r="AJ1122" s="17" t="str"/>
      <x:c r="AK1122" s="9" t="str">
        <x:v>https://www.youtube.com/playlist?list=PL0ZkulyfP8bfMU_1JJax5dvr2qxkYt1WH</x:v>
      </x:c>
      <x:c r="AL1122" s="9" t="n">
        <x:v>28</x:v>
      </x:c>
      <x:c r="AM1122" s="9"/>
      <x:c r="AN1122" s="9" t="n">
        <x:v>0</x:v>
      </x:c>
    </x:row>
    <x:row r="1123" ht="60" customHeight="1">
      <x:c r="A1123" s="9" t="str">
        <x:v>mSFNZBjmi-E</x:v>
      </x:c>
      <x:c r="B1123" s="10" t="str">
        <x:v>מה מהירות הסיבוב של ספינר? - 2</x:v>
      </x:c>
      <x:c r="C1123" s="10" t="str">
        <x:v>Научные открытия</x:v>
      </x:c>
      <x:c r="D1123" s="9" t="str">
        <x:v>Образование</x:v>
      </x:c>
      <x:c r="E1123" s="10" t="str">
        <x:v>Наука; семья; любознательные</x:v>
      </x:c>
      <x:c r="F1123" s="10" t="str">
        <x:v>B1–B2 (гипотеза)</x:v>
      </x:c>
      <x:c r="G1123" s="12" t="n">
        <x:v>2</x:v>
      </x:c>
      <x:c r="H1123" s="14" t="n">
        <x:v>3900</x:v>
      </x:c>
      <x:c r="I1123" s="15" t="str">
        <x:v>Округлённый счётчик в списке YouTube</x:v>
      </x:c>
      <x:c r="J1123" s="14" t="n">
        <x:v>3900</x:v>
      </x:c>
      <x:c r="K1123" s="14" t="n">
        <x:v>17000</x:v>
      </x:c>
      <x:c r="L1123" s="12" t="n">
        <x:f>IF(COUNT(J1123:K1123)=2,IF(K1123=0,"",J1123/K1123),"")</x:f>
        <x:v>0.22941176470588234</x:v>
      </x:c>
      <x:c r="M1123" s="10" t="str">
        <x:v>Завершённый короткий просмотр около 2 мин. Просмотры ниже медианы цикла; выбирать за нишевую ценность, а не за массовый охват. Неожиданный научный факт поддерживает любопытство и интерес к короткому просмотру.</x:v>
      </x:c>
      <x:c r="N1123" s="10" t="str">
        <x:v>Отделить наблюдение от объяснения и пересказать своими словами.</x:v>
      </x:c>
      <x:c r="O1123" s="10" t="str">
        <x:v>Проверить основной язык речи; каталог содержит и переводные материалы</x:v>
      </x:c>
      <x:c r="P1123" s="10" t="str">
        <x:v>Самостоятельное видео</x:v>
      </x:c>
      <x:c r="Q1123" s="9" t="str">
        <x:v>Нет</x:v>
      </x:c>
      <x:c r="R1123" s="9" t="str">
        <x:v>C060</x:v>
      </x:c>
      <x:c r="S1123" s="9" t="str">
        <x:v>C060</x:v>
      </x:c>
      <x:c r="T1123" s="10" t="str">
        <x:v>מכון דוידסון - סרטוני מדע</x:v>
      </x:c>
      <x:c r="U1123" s="11" t="str">
        <x:v>https://www.youtube.com/watch?v=mSFNZBjmi-E</x:v>
      </x:c>
      <x:c r="V1123" s="16" t="n">
        <x:v>46308</x:v>
      </x:c>
      <x:c r="W1123" s="16"/>
      <x:c r="X1123" s="10" t="str">
        <x:v>Иврит предполагается по заголовку и источнику</x:v>
      </x:c>
      <x:c r="Y1123" s="10" t="str">
        <x:v>Не проверено</x:v>
      </x:c>
      <x:c r="Z1123" s="10" t="str">
        <x:v>Не проверено</x:v>
      </x:c>
      <x:c r="AA1123" s="10" t="str">
        <x:v>Метаданные списка; видео не просмотрено</x:v>
      </x:c>
      <x:c r="AB1123" s="13" t="str">
        <x:f>IF(AND(ISNUMBER(H1123),ISNUMBER(W1123)),H1123/MAX(1,'Обзор'!$B$4-W1123),"")</x:f>
      </x:c>
      <x:c r="AC1123" s="17" t="str">
        <x:v>Не решено</x:v>
      </x:c>
      <x:c r="AD1123" s="17" t="str">
        <x:v>Не проверено</x:v>
      </x:c>
      <x:c r="AE1123" s="17" t="str">
        <x:v>Не проверено</x:v>
      </x:c>
      <x:c r="AF1123" s="17" t="str">
        <x:v>Не проверено</x:v>
      </x:c>
      <x:c r="AG1123" s="17" t="str">
        <x:v>Не решено</x:v>
      </x:c>
      <x:c r="AH1123" s="17" t="str">
        <x:v>Не проверено</x:v>
      </x:c>
      <x:c r="AI1123" s="10" t="str">
        <x:f>IF(AC1123="Отклонить","Отклонено",IF(AND(AC1123="Взять",COUNTIFS(AD1123:AH1123,"Да")=5),"Готово","Нужна редактура"))</x:f>
        <x:v>Нужна редактура</x:v>
      </x:c>
      <x:c r="AJ1123" s="17" t="str"/>
      <x:c r="AK1123" s="9" t="str">
        <x:v>https://www.youtube.com/playlist?list=PL0ZkulyfP8bfMU_1JJax5dvr2qxkYt1WH</x:v>
      </x:c>
      <x:c r="AL1123" s="9" t="n">
        <x:v>29</x:v>
      </x:c>
      <x:c r="AM1123" s="9"/>
      <x:c r="AN1123" s="9"/>
    </x:row>
    <x:row r="1124" ht="60" customHeight="1">
      <x:c r="A1124" s="9" t="str">
        <x:v>e5M5nw3lX7E</x:v>
      </x:c>
      <x:c r="B1124" s="10" t="str">
        <x:v>מה מהירות הסיבוב של ספינר?</x:v>
      </x:c>
      <x:c r="C1124" s="10" t="str">
        <x:v>Научные открытия</x:v>
      </x:c>
      <x:c r="D1124" s="9" t="str">
        <x:v>Образование</x:v>
      </x:c>
      <x:c r="E1124" s="10" t="str">
        <x:v>Наука; семья; любознательные</x:v>
      </x:c>
      <x:c r="F1124" s="10" t="str">
        <x:v>B1–B2 (гипотеза)</x:v>
      </x:c>
      <x:c r="G1124" s="12" t="n">
        <x:v>3.3</x:v>
      </x:c>
      <x:c r="H1124" s="14" t="n">
        <x:v>45465</x:v>
      </x:c>
      <x:c r="I1124" s="15" t="str">
        <x:v>Точный счётчик метаданных видео</x:v>
      </x:c>
      <x:c r="J1124" s="14" t="n">
        <x:v>45000</x:v>
      </x:c>
      <x:c r="K1124" s="14" t="n">
        <x:v>17000</x:v>
      </x:c>
      <x:c r="L1124" s="12" t="n">
        <x:f>IF(COUNT(J1124:K1124)=2,IF(K1124=0,"",J1124/K1124),"")</x:f>
        <x:v>2.6470588235294117</x:v>
      </x:c>
      <x:c r="M1124" s="10" t="str">
        <x:v>Завершённый короткий просмотр около 3 мин. Просмотры в списке выше медианы выборки этого цикла в 2.65 раза. Неожиданный научный факт поддерживает любопытство и интерес к короткому просмотру.</x:v>
      </x:c>
      <x:c r="N1124" s="10" t="str">
        <x:v>Отделить наблюдение от объяснения и пересказать своими словами.</x:v>
      </x:c>
      <x:c r="O1124" s="10" t="str">
        <x:v>Проверить основной язык речи; каталог содержит и переводные материалы</x:v>
      </x:c>
      <x:c r="P1124" s="10" t="str">
        <x:v>Самостоятельное видео</x:v>
      </x:c>
      <x:c r="Q1124" s="9" t="str">
        <x:v>Нет</x:v>
      </x:c>
      <x:c r="R1124" s="9" t="str">
        <x:v>C060</x:v>
      </x:c>
      <x:c r="S1124" s="9" t="str">
        <x:v>C060</x:v>
      </x:c>
      <x:c r="T1124" s="10" t="str">
        <x:v>מכון דוידסון - סרטוני מדע</x:v>
      </x:c>
      <x:c r="U1124" s="11" t="str">
        <x:v>https://www.youtube.com/watch?v=e5M5nw3lX7E</x:v>
      </x:c>
      <x:c r="V1124" s="16" t="n">
        <x:v>46308</x:v>
      </x:c>
      <x:c r="W1124" s="16" t="n">
        <x:v>42879</x:v>
      </x:c>
      <x:c r="X1124" s="10" t="str">
        <x:v>Иврит предполагается по заголовку и источнику</x:v>
      </x:c>
      <x:c r="Y1124" s="10" t="str">
        <x:v>Ручная дорожка HE по метаданным</x:v>
      </x:c>
      <x:c r="Z1124" s="10" t="str">
        <x:v>Разрешено по метаданным</x:v>
      </x:c>
      <x:c r="AA1124" s="10" t="str">
        <x:v>Метаданные видео; воспроизведение и содержание не проверены</x:v>
      </x:c>
      <x:c r="AB1124" s="13" t="n">
        <x:f>IF(AND(ISNUMBER(H1124),ISNUMBER(W1124)),H1124/MAX(1,'Обзор'!$B$4-W1124),"")</x:f>
        <x:v>13.258967629046369</x:v>
      </x:c>
      <x:c r="AC1124" s="17" t="str">
        <x:v>Не решено</x:v>
      </x:c>
      <x:c r="AD1124" s="17" t="str">
        <x:v>Не проверено</x:v>
      </x:c>
      <x:c r="AE1124" s="17" t="str">
        <x:v>Не проверено</x:v>
      </x:c>
      <x:c r="AF1124" s="17" t="str">
        <x:v>Не проверено</x:v>
      </x:c>
      <x:c r="AG1124" s="17" t="str">
        <x:v>Не решено</x:v>
      </x:c>
      <x:c r="AH1124" s="17" t="str">
        <x:v>Не проверено</x:v>
      </x:c>
      <x:c r="AI1124" s="10" t="str">
        <x:f>IF(AC1124="Отклонить","Отклонено",IF(AND(AC1124="Взять",COUNTIFS(AD1124:AH1124,"Да")=5),"Готово","Нужна редактура"))</x:f>
        <x:v>Нужна редактура</x:v>
      </x:c>
      <x:c r="AJ1124" s="17" t="str"/>
      <x:c r="AK1124" s="9" t="str">
        <x:v>https://www.youtube.com/playlist?list=PL0ZkulyfP8bfMU_1JJax5dvr2qxkYt1WH</x:v>
      </x:c>
      <x:c r="AL1124" s="9" t="n">
        <x:v>30</x:v>
      </x:c>
      <x:c r="AM1124" s="9"/>
      <x:c r="AN1124" s="9" t="n">
        <x:v>0</x:v>
      </x:c>
    </x:row>
    <x:row r="1125" ht="60" customHeight="1">
      <x:c r="A1125" s="9" t="str">
        <x:v>RlXxmhODbRg</x:v>
      </x:c>
      <x:c r="B1125" s="10" t="str">
        <x:v>ניסוי כובע הנזיר - מדע בבית שצולם בבית, בזמן הסגר</x:v>
      </x:c>
      <x:c r="C1125" s="10" t="str">
        <x:v>Наука с семьёй</x:v>
      </x:c>
      <x:c r="D1125" s="9" t="str">
        <x:v>Образование</x:v>
      </x:c>
      <x:c r="E1125" s="10" t="str">
        <x:v>Наука; семья; любознательные</x:v>
      </x:c>
      <x:c r="F1125" s="10" t="str">
        <x:v>B1–B2 (гипотеза)</x:v>
      </x:c>
      <x:c r="G1125" s="12" t="n">
        <x:v>3.2</x:v>
      </x:c>
      <x:c r="H1125" s="14" t="n">
        <x:v>14000</x:v>
      </x:c>
      <x:c r="I1125" s="15" t="str">
        <x:v>Округлённый счётчик в списке YouTube</x:v>
      </x:c>
      <x:c r="J1125" s="14" t="n">
        <x:v>14000</x:v>
      </x:c>
      <x:c r="K1125" s="14" t="n">
        <x:v>18000</x:v>
      </x:c>
      <x:c r="L1125" s="12" t="n">
        <x:f>IF(COUNT(J1125:K1125)=2,IF(K1125=0,"",J1125/K1125),"")</x:f>
        <x:v>0.7777777777777778</x:v>
      </x:c>
      <x:c r="M1125" s="10" t="str">
        <x:v>Завершённый короткий просмотр около 3 мин. Совместная демонстрация даёт родителям и детям сценарий общения на иврите.</x:v>
      </x:c>
      <x:c r="N1125" s="10" t="str">
        <x:v>Описать материалы и порядок действий; соблюдать безопасность эксперимента.</x:v>
      </x:c>
      <x:c r="O1125" s="10" t="str">
        <x:v>Проверить основной язык речи; каталог содержит и переводные материалы</x:v>
      </x:c>
      <x:c r="P1125" s="10" t="str">
        <x:v>Самостоятельное видео</x:v>
      </x:c>
      <x:c r="Q1125" s="9" t="str">
        <x:v>Нет</x:v>
      </x:c>
      <x:c r="R1125" s="9" t="str">
        <x:v>C061</x:v>
      </x:c>
      <x:c r="S1125" s="9" t="str">
        <x:v>C061</x:v>
      </x:c>
      <x:c r="T1125" s="10" t="str">
        <x:v>מכון דוידסון - סרטוני מדע</x:v>
      </x:c>
      <x:c r="U1125" s="11" t="str">
        <x:v>https://www.youtube.com/watch?v=RlXxmhODbRg</x:v>
      </x:c>
      <x:c r="V1125" s="16" t="n">
        <x:v>46308</x:v>
      </x:c>
      <x:c r="W1125" s="16"/>
      <x:c r="X1125" s="10" t="str">
        <x:v>Иврит предполагается по заголовку и источнику</x:v>
      </x:c>
      <x:c r="Y1125" s="10" t="str">
        <x:v>Не проверено</x:v>
      </x:c>
      <x:c r="Z1125" s="10" t="str">
        <x:v>Не проверено</x:v>
      </x:c>
      <x:c r="AA1125" s="10" t="str">
        <x:v>Метаданные списка; видео не просмотрено</x:v>
      </x:c>
      <x:c r="AB1125" s="13" t="str">
        <x:f>IF(AND(ISNUMBER(H1125),ISNUMBER(W1125)),H1125/MAX(1,'Обзор'!$B$4-W1125),"")</x:f>
      </x:c>
      <x:c r="AC1125" s="17" t="str">
        <x:v>Не решено</x:v>
      </x:c>
      <x:c r="AD1125" s="17" t="str">
        <x:v>Не проверено</x:v>
      </x:c>
      <x:c r="AE1125" s="17" t="str">
        <x:v>Не проверено</x:v>
      </x:c>
      <x:c r="AF1125" s="17" t="str">
        <x:v>Не проверено</x:v>
      </x:c>
      <x:c r="AG1125" s="17" t="str">
        <x:v>Не решено</x:v>
      </x:c>
      <x:c r="AH1125" s="17" t="str">
        <x:v>Не проверено</x:v>
      </x:c>
      <x:c r="AI1125" s="10" t="str">
        <x:f>IF(AC1125="Отклонить","Отклонено",IF(AND(AC1125="Взять",COUNTIFS(AD1125:AH1125,"Да")=5),"Готово","Нужна редактура"))</x:f>
        <x:v>Нужна редактура</x:v>
      </x:c>
      <x:c r="AJ1125" s="17" t="str"/>
      <x:c r="AK1125" s="9" t="str">
        <x:v>https://www.youtube.com/playlist?list=PL0ZkulyfP8bdbyq4gck8ncVa0-kkZ5opj</x:v>
      </x:c>
      <x:c r="AL1125" s="9" t="n">
        <x:v>1</x:v>
      </x:c>
      <x:c r="AM1125" s="9"/>
      <x:c r="AN1125" s="9"/>
    </x:row>
    <x:row r="1126" ht="60" customHeight="1">
      <x:c r="A1126" s="9" t="str">
        <x:v>JeXK0L47NCw</x:v>
      </x:c>
      <x:c r="B1126" s="10" t="str">
        <x:v>מערבולת בבקבוק - ניסוי מדע בבית שצולם בבית, בזמן הסגר</x:v>
      </x:c>
      <x:c r="C1126" s="10" t="str">
        <x:v>Наука с семьёй</x:v>
      </x:c>
      <x:c r="D1126" s="9" t="str">
        <x:v>Образование</x:v>
      </x:c>
      <x:c r="E1126" s="10" t="str">
        <x:v>Наука; семья; любознательные</x:v>
      </x:c>
      <x:c r="F1126" s="10" t="str">
        <x:v>B1–B2 (гипотеза)</x:v>
      </x:c>
      <x:c r="G1126" s="12" t="n">
        <x:v>3.1</x:v>
      </x:c>
      <x:c r="H1126" s="14" t="n">
        <x:v>17000</x:v>
      </x:c>
      <x:c r="I1126" s="15" t="str">
        <x:v>Округлённый счётчик в списке YouTube</x:v>
      </x:c>
      <x:c r="J1126" s="14" t="n">
        <x:v>17000</x:v>
      </x:c>
      <x:c r="K1126" s="14" t="n">
        <x:v>18000</x:v>
      </x:c>
      <x:c r="L1126" s="12" t="n">
        <x:f>IF(COUNT(J1126:K1126)=2,IF(K1126=0,"",J1126/K1126),"")</x:f>
        <x:v>0.9444444444444444</x:v>
      </x:c>
      <x:c r="M1126" s="10" t="str">
        <x:v>Завершённый короткий просмотр около 3 мин. Совместная демонстрация даёт родителям и детям сценарий общения на иврите.</x:v>
      </x:c>
      <x:c r="N1126" s="10" t="str">
        <x:v>Описать материалы и порядок действий; соблюдать безопасность эксперимента.</x:v>
      </x:c>
      <x:c r="O1126" s="10" t="str">
        <x:v>Проверить основной язык речи; каталог содержит и переводные материалы</x:v>
      </x:c>
      <x:c r="P1126" s="10" t="str">
        <x:v>Самостоятельное видео</x:v>
      </x:c>
      <x:c r="Q1126" s="9" t="str">
        <x:v>Нет</x:v>
      </x:c>
      <x:c r="R1126" s="9" t="str">
        <x:v>C061</x:v>
      </x:c>
      <x:c r="S1126" s="9" t="str">
        <x:v>C061</x:v>
      </x:c>
      <x:c r="T1126" s="10" t="str">
        <x:v>מכון דוידסון - סרטוני מדע</x:v>
      </x:c>
      <x:c r="U1126" s="11" t="str">
        <x:v>https://www.youtube.com/watch?v=JeXK0L47NCw</x:v>
      </x:c>
      <x:c r="V1126" s="16" t="n">
        <x:v>46308</x:v>
      </x:c>
      <x:c r="W1126" s="16"/>
      <x:c r="X1126" s="10" t="str">
        <x:v>Иврит предполагается по заголовку и источнику</x:v>
      </x:c>
      <x:c r="Y1126" s="10" t="str">
        <x:v>Не проверено</x:v>
      </x:c>
      <x:c r="Z1126" s="10" t="str">
        <x:v>Не проверено</x:v>
      </x:c>
      <x:c r="AA1126" s="10" t="str">
        <x:v>Метаданные списка; видео не просмотрено</x:v>
      </x:c>
      <x:c r="AB1126" s="13" t="str">
        <x:f>IF(AND(ISNUMBER(H1126),ISNUMBER(W1126)),H1126/MAX(1,'Обзор'!$B$4-W1126),"")</x:f>
      </x:c>
      <x:c r="AC1126" s="17" t="str">
        <x:v>Не решено</x:v>
      </x:c>
      <x:c r="AD1126" s="17" t="str">
        <x:v>Не проверено</x:v>
      </x:c>
      <x:c r="AE1126" s="17" t="str">
        <x:v>Не проверено</x:v>
      </x:c>
      <x:c r="AF1126" s="17" t="str">
        <x:v>Не проверено</x:v>
      </x:c>
      <x:c r="AG1126" s="17" t="str">
        <x:v>Не решено</x:v>
      </x:c>
      <x:c r="AH1126" s="17" t="str">
        <x:v>Не проверено</x:v>
      </x:c>
      <x:c r="AI1126" s="10" t="str">
        <x:f>IF(AC1126="Отклонить","Отклонено",IF(AND(AC1126="Взять",COUNTIFS(AD1126:AH1126,"Да")=5),"Готово","Нужна редактура"))</x:f>
        <x:v>Нужна редактура</x:v>
      </x:c>
      <x:c r="AJ1126" s="17" t="str"/>
      <x:c r="AK1126" s="9" t="str">
        <x:v>https://www.youtube.com/playlist?list=PL0ZkulyfP8bdbyq4gck8ncVa0-kkZ5opj</x:v>
      </x:c>
      <x:c r="AL1126" s="9" t="n">
        <x:v>2</x:v>
      </x:c>
      <x:c r="AM1126" s="9"/>
      <x:c r="AN1126" s="9"/>
    </x:row>
    <x:row r="1127" ht="60" customHeight="1">
      <x:c r="A1127" s="9" t="str">
        <x:v>5rWMUyQsMvU</x:v>
      </x:c>
      <x:c r="B1127" s="10" t="str">
        <x:v>ניסוי מנטוס וקולה - ניסוי מדע בבית שצולם בבית, בזמן הסגר</x:v>
      </x:c>
      <x:c r="C1127" s="10" t="str">
        <x:v>Наука с семьёй</x:v>
      </x:c>
      <x:c r="D1127" s="9" t="str">
        <x:v>Образование</x:v>
      </x:c>
      <x:c r="E1127" s="10" t="str">
        <x:v>Наука; семья; любознательные</x:v>
      </x:c>
      <x:c r="F1127" s="10" t="str">
        <x:v>B1–B2 (гипотеза)</x:v>
      </x:c>
      <x:c r="G1127" s="12" t="n">
        <x:v>2.6</x:v>
      </x:c>
      <x:c r="H1127" s="14" t="n">
        <x:v>32543</x:v>
      </x:c>
      <x:c r="I1127" s="15" t="str">
        <x:v>Точный счётчик метаданных видео</x:v>
      </x:c>
      <x:c r="J1127" s="14" t="n">
        <x:v>32000</x:v>
      </x:c>
      <x:c r="K1127" s="14" t="n">
        <x:v>18000</x:v>
      </x:c>
      <x:c r="L1127" s="12" t="n">
        <x:f>IF(COUNT(J1127:K1127)=2,IF(K1127=0,"",J1127/K1127),"")</x:f>
        <x:v>1.7777777777777777</x:v>
      </x:c>
      <x:c r="M1127" s="10" t="str">
        <x:v>Завершённый короткий просмотр около 3 мин. Просмотры в списке выше медианы выборки этого цикла в 1.78 раза. Совместная демонстрация даёт родителям и детям сценарий общения на иврите.</x:v>
      </x:c>
      <x:c r="N1127" s="10" t="str">
        <x:v>Описать материалы и порядок действий; соблюдать безопасность эксперимента.</x:v>
      </x:c>
      <x:c r="O1127" s="10" t="str">
        <x:v>Проверить основной язык речи; каталог содержит и переводные материалы</x:v>
      </x:c>
      <x:c r="P1127" s="10" t="str">
        <x:v>Самостоятельное видео</x:v>
      </x:c>
      <x:c r="Q1127" s="9" t="str">
        <x:v>Нет</x:v>
      </x:c>
      <x:c r="R1127" s="9" t="str">
        <x:v>C061</x:v>
      </x:c>
      <x:c r="S1127" s="9" t="str">
        <x:v>C061</x:v>
      </x:c>
      <x:c r="T1127" s="10" t="str">
        <x:v>מכון דוידסון - סרטוני מדע</x:v>
      </x:c>
      <x:c r="U1127" s="11" t="str">
        <x:v>https://www.youtube.com/watch?v=5rWMUyQsMvU</x:v>
      </x:c>
      <x:c r="V1127" s="16" t="n">
        <x:v>46308</x:v>
      </x:c>
      <x:c r="W1127" s="16" t="n">
        <x:v>44161</x:v>
      </x:c>
      <x:c r="X1127" s="10" t="str">
        <x:v>Иврит предполагается по заголовку и источнику</x:v>
      </x:c>
      <x:c r="Y1127" s="10" t="str">
        <x:v>Ручная дорожка HE по метаданным</x:v>
      </x:c>
      <x:c r="Z1127" s="10" t="str">
        <x:v>Разрешено по метаданным</x:v>
      </x:c>
      <x:c r="AA1127" s="10" t="str">
        <x:v>Метаданные видео; воспроизведение и содержание не проверены</x:v>
      </x:c>
      <x:c r="AB1127" s="13" t="n">
        <x:f>IF(AND(ISNUMBER(H1127),ISNUMBER(W1127)),H1127/MAX(1,'Обзор'!$B$4-W1127),"")</x:f>
        <x:v>15.15742897065673</x:v>
      </x:c>
      <x:c r="AC1127" s="17" t="str">
        <x:v>Не решено</x:v>
      </x:c>
      <x:c r="AD1127" s="17" t="str">
        <x:v>Не проверено</x:v>
      </x:c>
      <x:c r="AE1127" s="17" t="str">
        <x:v>Не проверено</x:v>
      </x:c>
      <x:c r="AF1127" s="17" t="str">
        <x:v>Не проверено</x:v>
      </x:c>
      <x:c r="AG1127" s="17" t="str">
        <x:v>Не решено</x:v>
      </x:c>
      <x:c r="AH1127" s="17" t="str">
        <x:v>Не проверено</x:v>
      </x:c>
      <x:c r="AI1127" s="10" t="str">
        <x:f>IF(AC1127="Отклонить","Отклонено",IF(AND(AC1127="Взять",COUNTIFS(AD1127:AH1127,"Да")=5),"Готово","Нужна редактура"))</x:f>
        <x:v>Нужна редактура</x:v>
      </x:c>
      <x:c r="AJ1127" s="17" t="str"/>
      <x:c r="AK1127" s="9" t="str">
        <x:v>https://www.youtube.com/playlist?list=PL0ZkulyfP8bdbyq4gck8ncVa0-kkZ5opj</x:v>
      </x:c>
      <x:c r="AL1127" s="9" t="n">
        <x:v>3</x:v>
      </x:c>
      <x:c r="AM1127" s="9"/>
      <x:c r="AN1127" s="9" t="n">
        <x:v>0</x:v>
      </x:c>
    </x:row>
    <x:row r="1128" ht="60" customHeight="1">
      <x:c r="A1128" s="9" t="str">
        <x:v>_lz-DPjiRSM</x:v>
      </x:c>
      <x:c r="B1128" s="10" t="str">
        <x:v>הר געש של קצף - ניסוי מדע בבית שצולם בבית, בסגר</x:v>
      </x:c>
      <x:c r="C1128" s="10" t="str">
        <x:v>Наука с семьёй</x:v>
      </x:c>
      <x:c r="D1128" s="9" t="str">
        <x:v>Образование</x:v>
      </x:c>
      <x:c r="E1128" s="10" t="str">
        <x:v>Наука; семья; любознательные</x:v>
      </x:c>
      <x:c r="F1128" s="10" t="str">
        <x:v>B1–B2 (гипотеза)</x:v>
      </x:c>
      <x:c r="G1128" s="12" t="n">
        <x:v>3.1</x:v>
      </x:c>
      <x:c r="H1128" s="14" t="n">
        <x:v>43825</x:v>
      </x:c>
      <x:c r="I1128" s="15" t="str">
        <x:v>Точный счётчик метаданных видео</x:v>
      </x:c>
      <x:c r="J1128" s="14" t="n">
        <x:v>43000</x:v>
      </x:c>
      <x:c r="K1128" s="14" t="n">
        <x:v>18000</x:v>
      </x:c>
      <x:c r="L1128" s="12" t="n">
        <x:f>IF(COUNT(J1128:K1128)=2,IF(K1128=0,"",J1128/K1128),"")</x:f>
        <x:v>2.388888888888889</x:v>
      </x:c>
      <x:c r="M1128" s="10" t="str">
        <x:v>Завершённый короткий просмотр около 3 мин. Просмотры в списке выше медианы выборки этого цикла в 2.39 раза. Совместная демонстрация даёт родителям и детям сценарий общения на иврите.</x:v>
      </x:c>
      <x:c r="N1128" s="10" t="str">
        <x:v>Описать материалы и порядок действий; соблюдать безопасность эксперимента.</x:v>
      </x:c>
      <x:c r="O1128" s="10" t="str">
        <x:v>Проверить основной язык речи; каталог содержит и переводные материалы</x:v>
      </x:c>
      <x:c r="P1128" s="10" t="str">
        <x:v>Самостоятельное видео</x:v>
      </x:c>
      <x:c r="Q1128" s="9" t="str">
        <x:v>Нет</x:v>
      </x:c>
      <x:c r="R1128" s="9" t="str">
        <x:v>C061</x:v>
      </x:c>
      <x:c r="S1128" s="9" t="str">
        <x:v>C061</x:v>
      </x:c>
      <x:c r="T1128" s="10" t="str">
        <x:v>מכון דוידסון - סרטוני מדע</x:v>
      </x:c>
      <x:c r="U1128" s="11" t="str">
        <x:v>https://www.youtube.com/watch?v=_lz-DPjiRSM</x:v>
      </x:c>
      <x:c r="V1128" s="16" t="n">
        <x:v>46308</x:v>
      </x:c>
      <x:c r="W1128" s="16" t="n">
        <x:v>44095</x:v>
      </x:c>
      <x:c r="X1128" s="10" t="str">
        <x:v>Иврит предполагается по заголовку и источнику</x:v>
      </x:c>
      <x:c r="Y1128" s="10" t="str">
        <x:v>Ручная дорожка HE по метаданным</x:v>
      </x:c>
      <x:c r="Z1128" s="10" t="str">
        <x:v>Разрешено по метаданным</x:v>
      </x:c>
      <x:c r="AA1128" s="10" t="str">
        <x:v>Метаданные видео; воспроизведение и содержание не проверены</x:v>
      </x:c>
      <x:c r="AB1128" s="13" t="n">
        <x:f>IF(AND(ISNUMBER(H1128),ISNUMBER(W1128)),H1128/MAX(1,'Обзор'!$B$4-W1128),"")</x:f>
        <x:v>19.803434252146406</x:v>
      </x:c>
      <x:c r="AC1128" s="17" t="str">
        <x:v>Не решено</x:v>
      </x:c>
      <x:c r="AD1128" s="17" t="str">
        <x:v>Не проверено</x:v>
      </x:c>
      <x:c r="AE1128" s="17" t="str">
        <x:v>Не проверено</x:v>
      </x:c>
      <x:c r="AF1128" s="17" t="str">
        <x:v>Не проверено</x:v>
      </x:c>
      <x:c r="AG1128" s="17" t="str">
        <x:v>Не решено</x:v>
      </x:c>
      <x:c r="AH1128" s="17" t="str">
        <x:v>Не проверено</x:v>
      </x:c>
      <x:c r="AI1128" s="10" t="str">
        <x:f>IF(AC1128="Отклонить","Отклонено",IF(AND(AC1128="Взять",COUNTIFS(AD1128:AH1128,"Да")=5),"Готово","Нужна редактура"))</x:f>
        <x:v>Нужна редактура</x:v>
      </x:c>
      <x:c r="AJ1128" s="17" t="str"/>
      <x:c r="AK1128" s="9" t="str">
        <x:v>https://www.youtube.com/playlist?list=PL0ZkulyfP8bdbyq4gck8ncVa0-kkZ5opj</x:v>
      </x:c>
      <x:c r="AL1128" s="9" t="n">
        <x:v>4</x:v>
      </x:c>
      <x:c r="AM1128" s="9"/>
      <x:c r="AN1128" s="9" t="n">
        <x:v>0</x:v>
      </x:c>
    </x:row>
    <x:row r="1129" ht="60" customHeight="1">
      <x:c r="A1129" s="9" t="str">
        <x:v>bLtaJcoembE</x:v>
      </x:c>
      <x:c r="B1129" s="10" t="str">
        <x:v>ציורי קסם על חלב - ניסוי מדע בבית שצולם בבית, בסגר</x:v>
      </x:c>
      <x:c r="C1129" s="10" t="str">
        <x:v>Наука с семьёй</x:v>
      </x:c>
      <x:c r="D1129" s="9" t="str">
        <x:v>Образование</x:v>
      </x:c>
      <x:c r="E1129" s="10" t="str">
        <x:v>Наука; семья; любознательные</x:v>
      </x:c>
      <x:c r="F1129" s="10" t="str">
        <x:v>B1–B2 (гипотеза)</x:v>
      </x:c>
      <x:c r="G1129" s="12" t="n">
        <x:v>2.7</x:v>
      </x:c>
      <x:c r="H1129" s="14" t="n">
        <x:v>17000</x:v>
      </x:c>
      <x:c r="I1129" s="15" t="str">
        <x:v>Округлённый счётчик в списке YouTube</x:v>
      </x:c>
      <x:c r="J1129" s="14" t="n">
        <x:v>17000</x:v>
      </x:c>
      <x:c r="K1129" s="14" t="n">
        <x:v>18000</x:v>
      </x:c>
      <x:c r="L1129" s="12" t="n">
        <x:f>IF(COUNT(J1129:K1129)=2,IF(K1129=0,"",J1129/K1129),"")</x:f>
        <x:v>0.9444444444444444</x:v>
      </x:c>
      <x:c r="M1129" s="10" t="str">
        <x:v>Завершённый короткий просмотр около 3 мин. Совместная демонстрация даёт родителям и детям сценарий общения на иврите.</x:v>
      </x:c>
      <x:c r="N1129" s="10" t="str">
        <x:v>Описать материалы и порядок действий; соблюдать безопасность эксперимента.</x:v>
      </x:c>
      <x:c r="O1129" s="10" t="str">
        <x:v>Проверить основной язык речи; каталог содержит и переводные материалы</x:v>
      </x:c>
      <x:c r="P1129" s="10" t="str">
        <x:v>Самостоятельное видео</x:v>
      </x:c>
      <x:c r="Q1129" s="9" t="str">
        <x:v>Нет</x:v>
      </x:c>
      <x:c r="R1129" s="9" t="str">
        <x:v>C061</x:v>
      </x:c>
      <x:c r="S1129" s="9" t="str">
        <x:v>C061</x:v>
      </x:c>
      <x:c r="T1129" s="10" t="str">
        <x:v>מכון דוידסון - סרטוני מדע</x:v>
      </x:c>
      <x:c r="U1129" s="11" t="str">
        <x:v>https://www.youtube.com/watch?v=bLtaJcoembE</x:v>
      </x:c>
      <x:c r="V1129" s="16" t="n">
        <x:v>46308</x:v>
      </x:c>
      <x:c r="W1129" s="16"/>
      <x:c r="X1129" s="10" t="str">
        <x:v>Иврит предполагается по заголовку и источнику</x:v>
      </x:c>
      <x:c r="Y1129" s="10" t="str">
        <x:v>Не проверено</x:v>
      </x:c>
      <x:c r="Z1129" s="10" t="str">
        <x:v>Не проверено</x:v>
      </x:c>
      <x:c r="AA1129" s="10" t="str">
        <x:v>Метаданные списка; видео не просмотрено</x:v>
      </x:c>
      <x:c r="AB1129" s="13" t="str">
        <x:f>IF(AND(ISNUMBER(H1129),ISNUMBER(W1129)),H1129/MAX(1,'Обзор'!$B$4-W1129),"")</x:f>
      </x:c>
      <x:c r="AC1129" s="17" t="str">
        <x:v>Не решено</x:v>
      </x:c>
      <x:c r="AD1129" s="17" t="str">
        <x:v>Не проверено</x:v>
      </x:c>
      <x:c r="AE1129" s="17" t="str">
        <x:v>Не проверено</x:v>
      </x:c>
      <x:c r="AF1129" s="17" t="str">
        <x:v>Не проверено</x:v>
      </x:c>
      <x:c r="AG1129" s="17" t="str">
        <x:v>Не решено</x:v>
      </x:c>
      <x:c r="AH1129" s="17" t="str">
        <x:v>Не проверено</x:v>
      </x:c>
      <x:c r="AI1129" s="10" t="str">
        <x:f>IF(AC1129="Отклонить","Отклонено",IF(AND(AC1129="Взять",COUNTIFS(AD1129:AH1129,"Да")=5),"Готово","Нужна редактура"))</x:f>
        <x:v>Нужна редактура</x:v>
      </x:c>
      <x:c r="AJ1129" s="17" t="str"/>
      <x:c r="AK1129" s="9" t="str">
        <x:v>https://www.youtube.com/playlist?list=PL0ZkulyfP8bdbyq4gck8ncVa0-kkZ5opj</x:v>
      </x:c>
      <x:c r="AL1129" s="9" t="n">
        <x:v>5</x:v>
      </x:c>
      <x:c r="AM1129" s="9"/>
      <x:c r="AN1129" s="9"/>
    </x:row>
    <x:row r="1130" ht="60" customHeight="1">
      <x:c r="A1130" s="9" t="str">
        <x:v>zieKg5w0y5A</x:v>
      </x:c>
      <x:c r="B1130" s="10" t="str">
        <x:v>ניסוי אלכוג׳ל וביצה - ניסוי מדע בבית שצולם בבית, בסגר</x:v>
      </x:c>
      <x:c r="C1130" s="10" t="str">
        <x:v>Наука с семьёй</x:v>
      </x:c>
      <x:c r="D1130" s="9" t="str">
        <x:v>Образование</x:v>
      </x:c>
      <x:c r="E1130" s="10" t="str">
        <x:v>Наука; семья; любознательные</x:v>
      </x:c>
      <x:c r="F1130" s="10" t="str">
        <x:v>B1–B2 (гипотеза)</x:v>
      </x:c>
      <x:c r="G1130" s="12" t="n">
        <x:v>4.2</x:v>
      </x:c>
      <x:c r="H1130" s="14" t="n">
        <x:v>26267</x:v>
      </x:c>
      <x:c r="I1130" s="15" t="str">
        <x:v>Точный счётчик метаданных видео</x:v>
      </x:c>
      <x:c r="J1130" s="14" t="n">
        <x:v>26000</x:v>
      </x:c>
      <x:c r="K1130" s="14" t="n">
        <x:v>18000</x:v>
      </x:c>
      <x:c r="L1130" s="12" t="n">
        <x:f>IF(COUNT(J1130:K1130)=2,IF(K1130=0,"",J1130/K1130),"")</x:f>
        <x:v>1.4444444444444444</x:v>
      </x:c>
      <x:c r="M1130" s="10" t="str">
        <x:v>Завершённый короткий просмотр около 4 мин. Совместная демонстрация даёт родителям и детям сценарий общения на иврите.</x:v>
      </x:c>
      <x:c r="N1130" s="10" t="str">
        <x:v>Описать материалы и порядок действий; соблюдать безопасность эксперимента.</x:v>
      </x:c>
      <x:c r="O1130" s="10" t="str">
        <x:v>Проверить основной язык речи; каталог содержит и переводные материалы</x:v>
      </x:c>
      <x:c r="P1130" s="10" t="str">
        <x:v>Самостоятельное видео</x:v>
      </x:c>
      <x:c r="Q1130" s="9" t="str">
        <x:v>Нет</x:v>
      </x:c>
      <x:c r="R1130" s="9" t="str">
        <x:v>C061</x:v>
      </x:c>
      <x:c r="S1130" s="9" t="str">
        <x:v>C061</x:v>
      </x:c>
      <x:c r="T1130" s="10" t="str">
        <x:v>מכון דוידסון - סרטוני מדע</x:v>
      </x:c>
      <x:c r="U1130" s="11" t="str">
        <x:v>https://www.youtube.com/watch?v=zieKg5w0y5A</x:v>
      </x:c>
      <x:c r="V1130" s="16" t="n">
        <x:v>46308</x:v>
      </x:c>
      <x:c r="W1130" s="16" t="n">
        <x:v>44106</x:v>
      </x:c>
      <x:c r="X1130" s="10" t="str">
        <x:v>Иврит предполагается по заголовку и источнику</x:v>
      </x:c>
      <x:c r="Y1130" s="10" t="str">
        <x:v>Ручная дорожка HE по метаданным</x:v>
      </x:c>
      <x:c r="Z1130" s="10" t="str">
        <x:v>Разрешено по метаданным</x:v>
      </x:c>
      <x:c r="AA1130" s="10" t="str">
        <x:v>Метаданные видео; воспроизведение и содержание не проверены</x:v>
      </x:c>
      <x:c r="AB1130" s="13" t="n">
        <x:f>IF(AND(ISNUMBER(H1130),ISNUMBER(W1130)),H1130/MAX(1,'Обзор'!$B$4-W1130),"")</x:f>
        <x:v>11.928701180744778</x:v>
      </x:c>
      <x:c r="AC1130" s="17" t="str">
        <x:v>Не решено</x:v>
      </x:c>
      <x:c r="AD1130" s="17" t="str">
        <x:v>Не проверено</x:v>
      </x:c>
      <x:c r="AE1130" s="17" t="str">
        <x:v>Не проверено</x:v>
      </x:c>
      <x:c r="AF1130" s="17" t="str">
        <x:v>Не проверено</x:v>
      </x:c>
      <x:c r="AG1130" s="17" t="str">
        <x:v>Не решено</x:v>
      </x:c>
      <x:c r="AH1130" s="17" t="str">
        <x:v>Не проверено</x:v>
      </x:c>
      <x:c r="AI1130" s="10" t="str">
        <x:f>IF(AC1130="Отклонить","Отклонено",IF(AND(AC1130="Взять",COUNTIFS(AD1130:AH1130,"Да")=5),"Готово","Нужна редактура"))</x:f>
        <x:v>Нужна редактура</x:v>
      </x:c>
      <x:c r="AJ1130" s="17" t="str"/>
      <x:c r="AK1130" s="9" t="str">
        <x:v>https://www.youtube.com/playlist?list=PL0ZkulyfP8bdbyq4gck8ncVa0-kkZ5opj</x:v>
      </x:c>
      <x:c r="AL1130" s="9" t="n">
        <x:v>6</x:v>
      </x:c>
      <x:c r="AM1130" s="9"/>
      <x:c r="AN1130" s="9" t="n">
        <x:v>0</x:v>
      </x:c>
    </x:row>
    <x:row r="1131" ht="60" customHeight="1">
      <x:c r="A1131" s="9" t="str">
        <x:v>pxe5lXguwc0</x:v>
      </x:c>
      <x:c r="B1131" s="10" t="str">
        <x:v>להביור מקליפות פרי הדר - ניסוי מדע בבית שצולם בבית, בסגר</x:v>
      </x:c>
      <x:c r="C1131" s="10" t="str">
        <x:v>Наука с семьёй</x:v>
      </x:c>
      <x:c r="D1131" s="9" t="str">
        <x:v>Образование</x:v>
      </x:c>
      <x:c r="E1131" s="10" t="str">
        <x:v>Наука; семья; любознательные</x:v>
      </x:c>
      <x:c r="F1131" s="10" t="str">
        <x:v>B1–B2 (гипотеза)</x:v>
      </x:c>
      <x:c r="G1131" s="12" t="n">
        <x:v>3.2</x:v>
      </x:c>
      <x:c r="H1131" s="14" t="n">
        <x:v>7900</x:v>
      </x:c>
      <x:c r="I1131" s="15" t="str">
        <x:v>Округлённый счётчик в списке YouTube</x:v>
      </x:c>
      <x:c r="J1131" s="14" t="n">
        <x:v>7900</x:v>
      </x:c>
      <x:c r="K1131" s="14" t="n">
        <x:v>18000</x:v>
      </x:c>
      <x:c r="L1131" s="12" t="n">
        <x:f>IF(COUNT(J1131:K1131)=2,IF(K1131=0,"",J1131/K1131),"")</x:f>
        <x:v>0.4388888888888889</x:v>
      </x:c>
      <x:c r="M1131" s="10" t="str">
        <x:v>Завершённый короткий просмотр около 3 мин. Просмотры ниже медианы цикла; выбирать за нишевую ценность, а не за массовый охват. Совместная демонстрация даёт родителям и детям сценарий общения на иврите.</x:v>
      </x:c>
      <x:c r="N1131" s="10" t="str">
        <x:v>Описать материалы и порядок действий; соблюдать безопасность эксперимента.</x:v>
      </x:c>
      <x:c r="O1131" s="10" t="str">
        <x:v>Проверить основной язык речи; каталог содержит и переводные материалы</x:v>
      </x:c>
      <x:c r="P1131" s="10" t="str">
        <x:v>Самостоятельное видео</x:v>
      </x:c>
      <x:c r="Q1131" s="9" t="str">
        <x:v>Нет</x:v>
      </x:c>
      <x:c r="R1131" s="9" t="str">
        <x:v>C061</x:v>
      </x:c>
      <x:c r="S1131" s="9" t="str">
        <x:v>C061, C064</x:v>
      </x:c>
      <x:c r="T1131" s="10" t="str">
        <x:v>מכון דוידסון - סרטוני מדע</x:v>
      </x:c>
      <x:c r="U1131" s="11" t="str">
        <x:v>https://www.youtube.com/watch?v=pxe5lXguwc0</x:v>
      </x:c>
      <x:c r="V1131" s="16" t="n">
        <x:v>46308</x:v>
      </x:c>
      <x:c r="W1131" s="16"/>
      <x:c r="X1131" s="10" t="str">
        <x:v>Иврит предполагается по заголовку и источнику</x:v>
      </x:c>
      <x:c r="Y1131" s="10" t="str">
        <x:v>Не проверено</x:v>
      </x:c>
      <x:c r="Z1131" s="10" t="str">
        <x:v>Не проверено</x:v>
      </x:c>
      <x:c r="AA1131" s="10" t="str">
        <x:v>Метаданные списка; видео не просмотрено</x:v>
      </x:c>
      <x:c r="AB1131" s="13" t="str">
        <x:f>IF(AND(ISNUMBER(H1131),ISNUMBER(W1131)),H1131/MAX(1,'Обзор'!$B$4-W1131),"")</x:f>
      </x:c>
      <x:c r="AC1131" s="17" t="str">
        <x:v>Не решено</x:v>
      </x:c>
      <x:c r="AD1131" s="17" t="str">
        <x:v>Не проверено</x:v>
      </x:c>
      <x:c r="AE1131" s="17" t="str">
        <x:v>Не проверено</x:v>
      </x:c>
      <x:c r="AF1131" s="17" t="str">
        <x:v>Не проверено</x:v>
      </x:c>
      <x:c r="AG1131" s="17" t="str">
        <x:v>Не решено</x:v>
      </x:c>
      <x:c r="AH1131" s="17" t="str">
        <x:v>Не проверено</x:v>
      </x:c>
      <x:c r="AI1131" s="10" t="str">
        <x:f>IF(AC1131="Отклонить","Отклонено",IF(AND(AC1131="Взять",COUNTIFS(AD1131:AH1131,"Да")=5),"Готово","Нужна редактура"))</x:f>
        <x:v>Нужна редактура</x:v>
      </x:c>
      <x:c r="AJ1131" s="17" t="str"/>
      <x:c r="AK1131" s="9" t="str">
        <x:v>https://www.youtube.com/playlist?list=PL0ZkulyfP8bdbyq4gck8ncVa0-kkZ5opj</x:v>
      </x:c>
      <x:c r="AL1131" s="9" t="n">
        <x:v>7</x:v>
      </x:c>
      <x:c r="AM1131" s="9"/>
      <x:c r="AN1131" s="9"/>
    </x:row>
    <x:row r="1132" ht="60" customHeight="1">
      <x:c r="A1132" s="9" t="str">
        <x:v>lF03IYL6T-E</x:v>
      </x:c>
      <x:c r="B1132" s="10" t="str">
        <x:v>ניסוי חבצלות מים - מדע בבית שצולם בבית, בסגר</x:v>
      </x:c>
      <x:c r="C1132" s="10" t="str">
        <x:v>Наука с семьёй</x:v>
      </x:c>
      <x:c r="D1132" s="9" t="str">
        <x:v>Образование</x:v>
      </x:c>
      <x:c r="E1132" s="10" t="str">
        <x:v>Наука; семья; любознательные</x:v>
      </x:c>
      <x:c r="F1132" s="10" t="str">
        <x:v>B1–B2 (гипотеза)</x:v>
      </x:c>
      <x:c r="G1132" s="12" t="n">
        <x:v>3.8</x:v>
      </x:c>
      <x:c r="H1132" s="14" t="n">
        <x:v>19237</x:v>
      </x:c>
      <x:c r="I1132" s="15" t="str">
        <x:v>Точный счётчик метаданных видео</x:v>
      </x:c>
      <x:c r="J1132" s="14" t="n">
        <x:v>19000</x:v>
      </x:c>
      <x:c r="K1132" s="14" t="n">
        <x:v>18000</x:v>
      </x:c>
      <x:c r="L1132" s="12" t="n">
        <x:f>IF(COUNT(J1132:K1132)=2,IF(K1132=0,"",J1132/K1132),"")</x:f>
        <x:v>1.0555555555555556</x:v>
      </x:c>
      <x:c r="M1132" s="10" t="str">
        <x:v>Завершённый короткий просмотр около 4 мин. Совместная демонстрация даёт родителям и детям сценарий общения на иврите.</x:v>
      </x:c>
      <x:c r="N1132" s="10" t="str">
        <x:v>Описать материалы и порядок действий; соблюдать безопасность эксперимента.</x:v>
      </x:c>
      <x:c r="O1132" s="10" t="str">
        <x:v>Проверить основной язык речи; каталог содержит и переводные материалы</x:v>
      </x:c>
      <x:c r="P1132" s="10" t="str">
        <x:v>Самостоятельное видео</x:v>
      </x:c>
      <x:c r="Q1132" s="9" t="str">
        <x:v>Нет</x:v>
      </x:c>
      <x:c r="R1132" s="9" t="str">
        <x:v>C061</x:v>
      </x:c>
      <x:c r="S1132" s="9" t="str">
        <x:v>C061</x:v>
      </x:c>
      <x:c r="T1132" s="10" t="str">
        <x:v>מכון דוידסון - סרטוני מדע</x:v>
      </x:c>
      <x:c r="U1132" s="11" t="str">
        <x:v>https://www.youtube.com/watch?v=lF03IYL6T-E</x:v>
      </x:c>
      <x:c r="V1132" s="16" t="n">
        <x:v>46308</x:v>
      </x:c>
      <x:c r="W1132" s="16" t="n">
        <x:v>44098</x:v>
      </x:c>
      <x:c r="X1132" s="10" t="str">
        <x:v>Иврит предполагается по заголовку и источнику</x:v>
      </x:c>
      <x:c r="Y1132" s="10" t="str">
        <x:v>Ручная дорожка HE по метаданным</x:v>
      </x:c>
      <x:c r="Z1132" s="10" t="str">
        <x:v>Разрешено по метаданным</x:v>
      </x:c>
      <x:c r="AA1132" s="10" t="str">
        <x:v>Метаданные видео; воспроизведение и содержание не проверены</x:v>
      </x:c>
      <x:c r="AB1132" s="13" t="n">
        <x:f>IF(AND(ISNUMBER(H1132),ISNUMBER(W1132)),H1132/MAX(1,'Обзор'!$B$4-W1132),"")</x:f>
        <x:v>8.704524886877827</x:v>
      </x:c>
      <x:c r="AC1132" s="17" t="str">
        <x:v>Не решено</x:v>
      </x:c>
      <x:c r="AD1132" s="17" t="str">
        <x:v>Не проверено</x:v>
      </x:c>
      <x:c r="AE1132" s="17" t="str">
        <x:v>Не проверено</x:v>
      </x:c>
      <x:c r="AF1132" s="17" t="str">
        <x:v>Не проверено</x:v>
      </x:c>
      <x:c r="AG1132" s="17" t="str">
        <x:v>Не решено</x:v>
      </x:c>
      <x:c r="AH1132" s="17" t="str">
        <x:v>Не проверено</x:v>
      </x:c>
      <x:c r="AI1132" s="10" t="str">
        <x:f>IF(AC1132="Отклонить","Отклонено",IF(AND(AC1132="Взять",COUNTIFS(AD1132:AH1132,"Да")=5),"Готово","Нужна редактура"))</x:f>
        <x:v>Нужна редактура</x:v>
      </x:c>
      <x:c r="AJ1132" s="17" t="str"/>
      <x:c r="AK1132" s="9" t="str">
        <x:v>https://www.youtube.com/playlist?list=PL0ZkulyfP8bdbyq4gck8ncVa0-kkZ5opj</x:v>
      </x:c>
      <x:c r="AL1132" s="9" t="n">
        <x:v>8</x:v>
      </x:c>
      <x:c r="AM1132" s="9"/>
      <x:c r="AN1132" s="9" t="n">
        <x:v>0</x:v>
      </x:c>
    </x:row>
    <x:row r="1133" ht="60" customHeight="1">
      <x:c r="A1133" s="9" t="str">
        <x:v>w0Ce2QpVeC8</x:v>
      </x:c>
      <x:c r="B1133" s="10" t="str">
        <x:v>אין דבר כזה טעם של קפה #אוכל</x:v>
      </x:c>
      <x:c r="C1133" s="10" t="str">
        <x:v>Наука в быту</x:v>
      </x:c>
      <x:c r="D1133" s="9" t="str">
        <x:v>Образование</x:v>
      </x:c>
      <x:c r="E1133" s="10" t="str">
        <x:v>Наука; семья; любознательные</x:v>
      </x:c>
      <x:c r="F1133" s="10" t="str">
        <x:v>B1–B2 (гипотеза)</x:v>
      </x:c>
      <x:c r="G1133" s="12" t="n">
        <x:v>2.2</x:v>
      </x:c>
      <x:c r="H1133" s="14" t="n">
        <x:v>16991</x:v>
      </x:c>
      <x:c r="I1133" s="15" t="str">
        <x:v>Точный счётчик метаданных видео</x:v>
      </x:c>
      <x:c r="J1133" s="14" t="n">
        <x:v>16000</x:v>
      </x:c>
      <x:c r="K1133" s="14" t="n">
        <x:v>9650</x:v>
      </x:c>
      <x:c r="L1133" s="12" t="n">
        <x:f>IF(COUNT(J1133:K1133)=2,IF(K1133=0,"",J1133/K1133),"")</x:f>
        <x:v>1.6580310880829014</x:v>
      </x:c>
      <x:c r="M1133" s="10" t="str">
        <x:v>Завершённый короткий просмотр около 2 мин. Просмотры в списке выше медианы выборки этого цикла в 1.66 раза. Бытовая ситуация помогает понимать научную лексику через знакомое действие.</x:v>
      </x:c>
      <x:c r="N1133" s="10" t="str">
        <x:v>Объяснить, что меняется и почему; выписать глаголы процесса.</x:v>
      </x:c>
      <x:c r="O1133" s="10" t="str">
        <x:v>Проверить основной язык речи; каталог содержит и переводные материалы</x:v>
      </x:c>
      <x:c r="P1133" s="10" t="str">
        <x:v>Самостоятельное видео</x:v>
      </x:c>
      <x:c r="Q1133" s="9" t="str">
        <x:v>Нет</x:v>
      </x:c>
      <x:c r="R1133" s="9" t="str">
        <x:v>C062</x:v>
      </x:c>
      <x:c r="S1133" s="9" t="str">
        <x:v>C062</x:v>
      </x:c>
      <x:c r="T1133" s="10" t="str">
        <x:v>מכון דוידסון - סרטוני מדע</x:v>
      </x:c>
      <x:c r="U1133" s="11" t="str">
        <x:v>https://www.youtube.com/watch?v=w0Ce2QpVeC8</x:v>
      </x:c>
      <x:c r="V1133" s="16" t="n">
        <x:v>46308</x:v>
      </x:c>
      <x:c r="W1133" s="16" t="n">
        <x:v>45984</x:v>
      </x:c>
      <x:c r="X1133" s="10" t="str">
        <x:v>Иврит предполагается по заголовку и источнику</x:v>
      </x:c>
      <x:c r="Y1133" s="10" t="str">
        <x:v>Ручная дорожка HE по метаданным</x:v>
      </x:c>
      <x:c r="Z1133" s="10" t="str">
        <x:v>Разрешено по метаданным</x:v>
      </x:c>
      <x:c r="AA1133" s="10" t="str">
        <x:v>Метаданные видео; воспроизведение и содержание не проверены</x:v>
      </x:c>
      <x:c r="AB1133" s="13" t="n">
        <x:f>IF(AND(ISNUMBER(H1133),ISNUMBER(W1133)),H1133/MAX(1,'Обзор'!$B$4-W1133),"")</x:f>
        <x:v>52.44135802469136</x:v>
      </x:c>
      <x:c r="AC1133" s="17" t="str">
        <x:v>Не решено</x:v>
      </x:c>
      <x:c r="AD1133" s="17" t="str">
        <x:v>Не проверено</x:v>
      </x:c>
      <x:c r="AE1133" s="17" t="str">
        <x:v>Не проверено</x:v>
      </x:c>
      <x:c r="AF1133" s="17" t="str">
        <x:v>Не проверено</x:v>
      </x:c>
      <x:c r="AG1133" s="17" t="str">
        <x:v>Не решено</x:v>
      </x:c>
      <x:c r="AH1133" s="17" t="str">
        <x:v>Не проверено</x:v>
      </x:c>
      <x:c r="AI1133" s="10" t="str">
        <x:f>IF(AC1133="Отклонить","Отклонено",IF(AND(AC1133="Взять",COUNTIFS(AD1133:AH1133,"Да")=5),"Готово","Нужна редактура"))</x:f>
        <x:v>Нужна редактура</x:v>
      </x:c>
      <x:c r="AJ1133" s="17" t="str"/>
      <x:c r="AK1133" s="9" t="str">
        <x:v>https://www.youtube.com/playlist?list=PL0ZkulyfP8bfTfa3uRRAFrfMZb62R6QMl</x:v>
      </x:c>
      <x:c r="AL1133" s="9" t="n">
        <x:v>1</x:v>
      </x:c>
      <x:c r="AM1133" s="9"/>
      <x:c r="AN1133" s="9" t="n">
        <x:v>0</x:v>
      </x:c>
    </x:row>
    <x:row r="1134" ht="60" customHeight="1">
      <x:c r="A1134" s="9" t="str">
        <x:v>r0RkA6Khufs</x:v>
      </x:c>
      <x:c r="B1134" s="10" t="str">
        <x:v>נצנצים אכילים</x:v>
      </x:c>
      <x:c r="C1134" s="10" t="str">
        <x:v>Наука в быту</x:v>
      </x:c>
      <x:c r="D1134" s="9" t="str">
        <x:v>Образование</x:v>
      </x:c>
      <x:c r="E1134" s="10" t="str">
        <x:v>Наука; семья; любознательные</x:v>
      </x:c>
      <x:c r="F1134" s="10" t="str">
        <x:v>B1–B2 (гипотеза)</x:v>
      </x:c>
      <x:c r="G1134" s="12" t="n">
        <x:v>3.3</x:v>
      </x:c>
      <x:c r="H1134" s="14" t="n">
        <x:v>2600</x:v>
      </x:c>
      <x:c r="I1134" s="15" t="str">
        <x:v>Округлённый счётчик в списке YouTube</x:v>
      </x:c>
      <x:c r="J1134" s="14" t="n">
        <x:v>2600</x:v>
      </x:c>
      <x:c r="K1134" s="14" t="n">
        <x:v>9650</x:v>
      </x:c>
      <x:c r="L1134" s="12" t="n">
        <x:f>IF(COUNT(J1134:K1134)=2,IF(K1134=0,"",J1134/K1134),"")</x:f>
        <x:v>0.2694300518134715</x:v>
      </x:c>
      <x:c r="M1134" s="10" t="str">
        <x:v>Завершённый короткий просмотр около 3 мин. Просмотры ниже медианы цикла; выбирать за нишевую ценность, а не за массовый охват. Бытовая ситуация помогает понимать научную лексику через знакомое действие.</x:v>
      </x:c>
      <x:c r="N1134" s="10" t="str">
        <x:v>Объяснить, что меняется и почему; выписать глаголы процесса.</x:v>
      </x:c>
      <x:c r="O1134" s="10" t="str">
        <x:v>Проверить основной язык речи; каталог содержит и переводные материалы</x:v>
      </x:c>
      <x:c r="P1134" s="10" t="str">
        <x:v>Самостоятельное видео</x:v>
      </x:c>
      <x:c r="Q1134" s="9" t="str">
        <x:v>Нет</x:v>
      </x:c>
      <x:c r="R1134" s="9" t="str">
        <x:v>C062</x:v>
      </x:c>
      <x:c r="S1134" s="9" t="str">
        <x:v>C062</x:v>
      </x:c>
      <x:c r="T1134" s="10" t="str">
        <x:v>מכון דוידסון - סרטוני מדע</x:v>
      </x:c>
      <x:c r="U1134" s="11" t="str">
        <x:v>https://www.youtube.com/watch?v=r0RkA6Khufs</x:v>
      </x:c>
      <x:c r="V1134" s="16" t="n">
        <x:v>46308</x:v>
      </x:c>
      <x:c r="W1134" s="16"/>
      <x:c r="X1134" s="10" t="str">
        <x:v>Иврит предполагается по заголовку и источнику</x:v>
      </x:c>
      <x:c r="Y1134" s="10" t="str">
        <x:v>Не проверено</x:v>
      </x:c>
      <x:c r="Z1134" s="10" t="str">
        <x:v>Не проверено</x:v>
      </x:c>
      <x:c r="AA1134" s="10" t="str">
        <x:v>Метаданные списка; видео не просмотрено</x:v>
      </x:c>
      <x:c r="AB1134" s="13" t="str">
        <x:f>IF(AND(ISNUMBER(H1134),ISNUMBER(W1134)),H1134/MAX(1,'Обзор'!$B$4-W1134),"")</x:f>
      </x:c>
      <x:c r="AC1134" s="17" t="str">
        <x:v>Не решено</x:v>
      </x:c>
      <x:c r="AD1134" s="17" t="str">
        <x:v>Не проверено</x:v>
      </x:c>
      <x:c r="AE1134" s="17" t="str">
        <x:v>Не проверено</x:v>
      </x:c>
      <x:c r="AF1134" s="17" t="str">
        <x:v>Не проверено</x:v>
      </x:c>
      <x:c r="AG1134" s="17" t="str">
        <x:v>Не решено</x:v>
      </x:c>
      <x:c r="AH1134" s="17" t="str">
        <x:v>Не проверено</x:v>
      </x:c>
      <x:c r="AI1134" s="10" t="str">
        <x:f>IF(AC1134="Отклонить","Отклонено",IF(AND(AC1134="Взять",COUNTIFS(AD1134:AH1134,"Да")=5),"Готово","Нужна редактура"))</x:f>
        <x:v>Нужна редактура</x:v>
      </x:c>
      <x:c r="AJ1134" s="17" t="str"/>
      <x:c r="AK1134" s="9" t="str">
        <x:v>https://www.youtube.com/playlist?list=PL0ZkulyfP8bfTfa3uRRAFrfMZb62R6QMl</x:v>
      </x:c>
      <x:c r="AL1134" s="9" t="n">
        <x:v>2</x:v>
      </x:c>
      <x:c r="AM1134" s="9"/>
      <x:c r="AN1134" s="9"/>
    </x:row>
    <x:row r="1135" ht="60" customHeight="1">
      <x:c r="A1135" s="9" t="str">
        <x:v>W1VSeQJhEUk</x:v>
      </x:c>
      <x:c r="B1135" s="10" t="str">
        <x:v>מה זה אפקט ליידנפרוסט?</x:v>
      </x:c>
      <x:c r="C1135" s="10" t="str">
        <x:v>Наука в быту</x:v>
      </x:c>
      <x:c r="D1135" s="9" t="str">
        <x:v>Образование</x:v>
      </x:c>
      <x:c r="E1135" s="10" t="str">
        <x:v>Наука; семья; любознательные</x:v>
      </x:c>
      <x:c r="F1135" s="10" t="str">
        <x:v>B1–B2 (гипотеза)</x:v>
      </x:c>
      <x:c r="G1135" s="12" t="n">
        <x:v>2.6</x:v>
      </x:c>
      <x:c r="H1135" s="14" t="n">
        <x:v>74086</x:v>
      </x:c>
      <x:c r="I1135" s="15" t="str">
        <x:v>Точный счётчик метаданных видео</x:v>
      </x:c>
      <x:c r="J1135" s="14" t="n">
        <x:v>74000</x:v>
      </x:c>
      <x:c r="K1135" s="14" t="n">
        <x:v>9650</x:v>
      </x:c>
      <x:c r="L1135" s="12" t="n">
        <x:f>IF(COUNT(J1135:K1135)=2,IF(K1135=0,"",J1135/K1135),"")</x:f>
        <x:v>7.668393782383419</x:v>
      </x:c>
      <x:c r="M1135" s="10" t="str">
        <x:v>Завершённый короткий просмотр около 3 мин. Просмотры в списке выше медианы выборки этого цикла в 7.67 раза. Бытовая ситуация помогает понимать научную лексику через знакомое действие.</x:v>
      </x:c>
      <x:c r="N1135" s="10" t="str">
        <x:v>Объяснить, что меняется и почему; выписать глаголы процесса.</x:v>
      </x:c>
      <x:c r="O1135" s="10" t="str">
        <x:v>Проверить основной язык речи; каталог содержит и переводные материалы</x:v>
      </x:c>
      <x:c r="P1135" s="10" t="str">
        <x:v>Самостоятельное видео</x:v>
      </x:c>
      <x:c r="Q1135" s="9" t="str">
        <x:v>Нет</x:v>
      </x:c>
      <x:c r="R1135" s="9" t="str">
        <x:v>C062</x:v>
      </x:c>
      <x:c r="S1135" s="9" t="str">
        <x:v>C062</x:v>
      </x:c>
      <x:c r="T1135" s="10" t="str">
        <x:v>מכון דוידסון - סרטוני מדע</x:v>
      </x:c>
      <x:c r="U1135" s="11" t="str">
        <x:v>https://www.youtube.com/watch?v=W1VSeQJhEUk</x:v>
      </x:c>
      <x:c r="V1135" s="16" t="n">
        <x:v>46308</x:v>
      </x:c>
      <x:c r="W1135" s="16" t="n">
        <x:v>45874</x:v>
      </x:c>
      <x:c r="X1135" s="10" t="str">
        <x:v>Иврит предполагается по заголовку и источнику</x:v>
      </x:c>
      <x:c r="Y1135" s="10" t="str">
        <x:v>Ручная дорожка HE по метаданным</x:v>
      </x:c>
      <x:c r="Z1135" s="10" t="str">
        <x:v>Разрешено по метаданным</x:v>
      </x:c>
      <x:c r="AA1135" s="10" t="str">
        <x:v>Метаданные видео; воспроизведение и содержание не проверены</x:v>
      </x:c>
      <x:c r="AB1135" s="13" t="n">
        <x:f>IF(AND(ISNUMBER(H1135),ISNUMBER(W1135)),H1135/MAX(1,'Обзор'!$B$4-W1135),"")</x:f>
        <x:v>170.70506912442397</x:v>
      </x:c>
      <x:c r="AC1135" s="17" t="str">
        <x:v>Не решено</x:v>
      </x:c>
      <x:c r="AD1135" s="17" t="str">
        <x:v>Не проверено</x:v>
      </x:c>
      <x:c r="AE1135" s="17" t="str">
        <x:v>Не проверено</x:v>
      </x:c>
      <x:c r="AF1135" s="17" t="str">
        <x:v>Не проверено</x:v>
      </x:c>
      <x:c r="AG1135" s="17" t="str">
        <x:v>Не решено</x:v>
      </x:c>
      <x:c r="AH1135" s="17" t="str">
        <x:v>Не проверено</x:v>
      </x:c>
      <x:c r="AI1135" s="10" t="str">
        <x:f>IF(AC1135="Отклонить","Отклонено",IF(AND(AC1135="Взять",COUNTIFS(AD1135:AH1135,"Да")=5),"Готово","Нужна редактура"))</x:f>
        <x:v>Нужна редактура</x:v>
      </x:c>
      <x:c r="AJ1135" s="17" t="str"/>
      <x:c r="AK1135" s="9" t="str">
        <x:v>https://www.youtube.com/playlist?list=PL0ZkulyfP8bfTfa3uRRAFrfMZb62R6QMl</x:v>
      </x:c>
      <x:c r="AL1135" s="9" t="n">
        <x:v>3</x:v>
      </x:c>
      <x:c r="AM1135" s="9"/>
      <x:c r="AN1135" s="9" t="n">
        <x:v>0</x:v>
      </x:c>
    </x:row>
    <x:row r="1136" ht="60" customHeight="1">
      <x:c r="A1136" s="9" t="str">
        <x:v>Tdu4-_3Wx4g</x:v>
      </x:c>
      <x:c r="B1136" s="10" t="str">
        <x:v>הפשרה מהירה יותר בין שני סירים?!</x:v>
      </x:c>
      <x:c r="C1136" s="10" t="str">
        <x:v>Наука в быту</x:v>
      </x:c>
      <x:c r="D1136" s="9" t="str">
        <x:v>Образование</x:v>
      </x:c>
      <x:c r="E1136" s="10" t="str">
        <x:v>Наука; семья; любознательные</x:v>
      </x:c>
      <x:c r="F1136" s="10" t="str">
        <x:v>B1–B2 (гипотеза)</x:v>
      </x:c>
      <x:c r="G1136" s="12" t="n">
        <x:v>2.8</x:v>
      </x:c>
      <x:c r="H1136" s="14" t="n">
        <x:v>31710</x:v>
      </x:c>
      <x:c r="I1136" s="15" t="str">
        <x:v>Точный счётчик метаданных видео</x:v>
      </x:c>
      <x:c r="J1136" s="14" t="n">
        <x:v>31000</x:v>
      </x:c>
      <x:c r="K1136" s="14" t="n">
        <x:v>9650</x:v>
      </x:c>
      <x:c r="L1136" s="12" t="n">
        <x:f>IF(COUNT(J1136:K1136)=2,IF(K1136=0,"",J1136/K1136),"")</x:f>
        <x:v>3.2124352331606216</x:v>
      </x:c>
      <x:c r="M1136" s="10" t="str">
        <x:v>Завершённый короткий просмотр около 3 мин. Просмотры в списке выше медианы выборки этого цикла в 3.21 раза. Бытовая ситуация помогает понимать научную лексику через знакомое действие.</x:v>
      </x:c>
      <x:c r="N1136" s="10" t="str">
        <x:v>Объяснить, что меняется и почему; выписать глаголы процесса.</x:v>
      </x:c>
      <x:c r="O1136" s="10" t="str">
        <x:v>Проверить основной язык речи; каталог содержит и переводные материалы</x:v>
      </x:c>
      <x:c r="P1136" s="10" t="str">
        <x:v>Самостоятельное видео</x:v>
      </x:c>
      <x:c r="Q1136" s="9" t="str">
        <x:v>Нет</x:v>
      </x:c>
      <x:c r="R1136" s="9" t="str">
        <x:v>C062</x:v>
      </x:c>
      <x:c r="S1136" s="9" t="str">
        <x:v>C062</x:v>
      </x:c>
      <x:c r="T1136" s="10" t="str">
        <x:v>מכון דוידסון - סרטוני מדע</x:v>
      </x:c>
      <x:c r="U1136" s="11" t="str">
        <x:v>https://www.youtube.com/watch?v=Tdu4-_3Wx4g</x:v>
      </x:c>
      <x:c r="V1136" s="16" t="n">
        <x:v>46308</x:v>
      </x:c>
      <x:c r="W1136" s="16" t="n">
        <x:v>45746</x:v>
      </x:c>
      <x:c r="X1136" s="10" t="str">
        <x:v>Иврит предполагается по заголовку и источнику</x:v>
      </x:c>
      <x:c r="Y1136" s="10" t="str">
        <x:v>Ручная дорожка HE по метаданным</x:v>
      </x:c>
      <x:c r="Z1136" s="10" t="str">
        <x:v>Разрешено по метаданным</x:v>
      </x:c>
      <x:c r="AA1136" s="10" t="str">
        <x:v>Метаданные видео; воспроизведение и содержание не проверены</x:v>
      </x:c>
      <x:c r="AB1136" s="13" t="n">
        <x:f>IF(AND(ISNUMBER(H1136),ISNUMBER(W1136)),H1136/MAX(1,'Обзор'!$B$4-W1136),"")</x:f>
        <x:v>56.42348754448398</x:v>
      </x:c>
      <x:c r="AC1136" s="17" t="str">
        <x:v>Не решено</x:v>
      </x:c>
      <x:c r="AD1136" s="17" t="str">
        <x:v>Не проверено</x:v>
      </x:c>
      <x:c r="AE1136" s="17" t="str">
        <x:v>Не проверено</x:v>
      </x:c>
      <x:c r="AF1136" s="17" t="str">
        <x:v>Не проверено</x:v>
      </x:c>
      <x:c r="AG1136" s="17" t="str">
        <x:v>Не решено</x:v>
      </x:c>
      <x:c r="AH1136" s="17" t="str">
        <x:v>Не проверено</x:v>
      </x:c>
      <x:c r="AI1136" s="10" t="str">
        <x:f>IF(AC1136="Отклонить","Отклонено",IF(AND(AC1136="Взять",COUNTIFS(AD1136:AH1136,"Да")=5),"Готово","Нужна редактура"))</x:f>
        <x:v>Нужна редактура</x:v>
      </x:c>
      <x:c r="AJ1136" s="17" t="str"/>
      <x:c r="AK1136" s="9" t="str">
        <x:v>https://www.youtube.com/playlist?list=PL0ZkulyfP8bfTfa3uRRAFrfMZb62R6QMl</x:v>
      </x:c>
      <x:c r="AL1136" s="9" t="n">
        <x:v>4</x:v>
      </x:c>
      <x:c r="AM1136" s="9"/>
      <x:c r="AN1136" s="9" t="n">
        <x:v>0</x:v>
      </x:c>
    </x:row>
    <x:row r="1137" ht="60" customHeight="1">
      <x:c r="A1137" s="9" t="str">
        <x:v>ikny__pOFf0</x:v>
      </x:c>
      <x:c r="B1137" s="10" t="str">
        <x:v>ביצים בצורת לב</x:v>
      </x:c>
      <x:c r="C1137" s="10" t="str">
        <x:v>Наука в быту</x:v>
      </x:c>
      <x:c r="D1137" s="9" t="str">
        <x:v>Образование</x:v>
      </x:c>
      <x:c r="E1137" s="10" t="str">
        <x:v>Наука; семья; любознательные</x:v>
      </x:c>
      <x:c r="F1137" s="10" t="str">
        <x:v>B1–B2 (гипотеза)</x:v>
      </x:c>
      <x:c r="G1137" s="12" t="n">
        <x:v>3.1</x:v>
      </x:c>
      <x:c r="H1137" s="14" t="n">
        <x:v>4500</x:v>
      </x:c>
      <x:c r="I1137" s="15" t="str">
        <x:v>Округлённый счётчик в списке YouTube</x:v>
      </x:c>
      <x:c r="J1137" s="14" t="n">
        <x:v>4500</x:v>
      </x:c>
      <x:c r="K1137" s="14" t="n">
        <x:v>9650</x:v>
      </x:c>
      <x:c r="L1137" s="12" t="n">
        <x:f>IF(COUNT(J1137:K1137)=2,IF(K1137=0,"",J1137/K1137),"")</x:f>
        <x:v>0.46632124352331605</x:v>
      </x:c>
      <x:c r="M1137" s="10" t="str">
        <x:v>Завершённый короткий просмотр около 3 мин. Просмотры ниже медианы цикла; выбирать за нишевую ценность, а не за массовый охват. Бытовая ситуация помогает понимать научную лексику через знакомое действие.</x:v>
      </x:c>
      <x:c r="N1137" s="10" t="str">
        <x:v>Объяснить, что меняется и почему; выписать глаголы процесса.</x:v>
      </x:c>
      <x:c r="O1137" s="10" t="str">
        <x:v>Проверить основной язык речи; каталог содержит и переводные материалы</x:v>
      </x:c>
      <x:c r="P1137" s="10" t="str">
        <x:v>Самостоятельное видео</x:v>
      </x:c>
      <x:c r="Q1137" s="9" t="str">
        <x:v>Нет</x:v>
      </x:c>
      <x:c r="R1137" s="9" t="str">
        <x:v>C062</x:v>
      </x:c>
      <x:c r="S1137" s="9" t="str">
        <x:v>C062</x:v>
      </x:c>
      <x:c r="T1137" s="10" t="str">
        <x:v>מכון דוידסון - סרטוני מדע</x:v>
      </x:c>
      <x:c r="U1137" s="11" t="str">
        <x:v>https://www.youtube.com/watch?v=ikny__pOFf0</x:v>
      </x:c>
      <x:c r="V1137" s="16" t="n">
        <x:v>46308</x:v>
      </x:c>
      <x:c r="W1137" s="16"/>
      <x:c r="X1137" s="10" t="str">
        <x:v>Иврит предполагается по заголовку и источнику</x:v>
      </x:c>
      <x:c r="Y1137" s="10" t="str">
        <x:v>Не проверено</x:v>
      </x:c>
      <x:c r="Z1137" s="10" t="str">
        <x:v>Не проверено</x:v>
      </x:c>
      <x:c r="AA1137" s="10" t="str">
        <x:v>Метаданные списка; видео не просмотрено</x:v>
      </x:c>
      <x:c r="AB1137" s="13" t="str">
        <x:f>IF(AND(ISNUMBER(H1137),ISNUMBER(W1137)),H1137/MAX(1,'Обзор'!$B$4-W1137),"")</x:f>
      </x:c>
      <x:c r="AC1137" s="17" t="str">
        <x:v>Не решено</x:v>
      </x:c>
      <x:c r="AD1137" s="17" t="str">
        <x:v>Не проверено</x:v>
      </x:c>
      <x:c r="AE1137" s="17" t="str">
        <x:v>Не проверено</x:v>
      </x:c>
      <x:c r="AF1137" s="17" t="str">
        <x:v>Не проверено</x:v>
      </x:c>
      <x:c r="AG1137" s="17" t="str">
        <x:v>Не решено</x:v>
      </x:c>
      <x:c r="AH1137" s="17" t="str">
        <x:v>Не проверено</x:v>
      </x:c>
      <x:c r="AI1137" s="10" t="str">
        <x:f>IF(AC1137="Отклонить","Отклонено",IF(AND(AC1137="Взять",COUNTIFS(AD1137:AH1137,"Да")=5),"Готово","Нужна редактура"))</x:f>
        <x:v>Нужна редактура</x:v>
      </x:c>
      <x:c r="AJ1137" s="17" t="str"/>
      <x:c r="AK1137" s="9" t="str">
        <x:v>https://www.youtube.com/playlist?list=PL0ZkulyfP8bfTfa3uRRAFrfMZb62R6QMl</x:v>
      </x:c>
      <x:c r="AL1137" s="9" t="n">
        <x:v>5</x:v>
      </x:c>
      <x:c r="AM1137" s="9"/>
      <x:c r="AN1137" s="9"/>
    </x:row>
    <x:row r="1138" ht="60" customHeight="1">
      <x:c r="A1138" s="9" t="str">
        <x:v>7qGBf-otClc</x:v>
      </x:c>
      <x:c r="B1138" s="10" t="str">
        <x:v>שימוש שגוי במיקרוגל, שוקולד ומהירות האור!</x:v>
      </x:c>
      <x:c r="C1138" s="10" t="str">
        <x:v>Наука в быту</x:v>
      </x:c>
      <x:c r="D1138" s="9" t="str">
        <x:v>Образование</x:v>
      </x:c>
      <x:c r="E1138" s="10" t="str">
        <x:v>Наука; семья; любознательные</x:v>
      </x:c>
      <x:c r="F1138" s="10" t="str">
        <x:v>B1–B2 (гипотеза)</x:v>
      </x:c>
      <x:c r="G1138" s="12" t="n">
        <x:v>2.6</x:v>
      </x:c>
      <x:c r="H1138" s="14" t="n">
        <x:v>295335</x:v>
      </x:c>
      <x:c r="I1138" s="15" t="str">
        <x:v>Точный счётчик метаданных видео</x:v>
      </x:c>
      <x:c r="J1138" s="14" t="n">
        <x:v>295000</x:v>
      </x:c>
      <x:c r="K1138" s="14" t="n">
        <x:v>9650</x:v>
      </x:c>
      <x:c r="L1138" s="12" t="n">
        <x:f>IF(COUNT(J1138:K1138)=2,IF(K1138=0,"",J1138/K1138),"")</x:f>
        <x:v>30.569948186528496</x:v>
      </x:c>
      <x:c r="M1138" s="10" t="str">
        <x:v>Завершённый короткий просмотр около 3 мин. Просмотры в списке выше медианы выборки этого цикла в 30.57 раза. Бытовая ситуация помогает понимать научную лексику через знакомое действие.</x:v>
      </x:c>
      <x:c r="N1138" s="10" t="str">
        <x:v>Объяснить, что меняется и почему; выписать глаголы процесса.</x:v>
      </x:c>
      <x:c r="O1138" s="10" t="str">
        <x:v>Проверить основной язык речи; каталог содержит и переводные материалы</x:v>
      </x:c>
      <x:c r="P1138" s="10" t="str">
        <x:v>Самостоятельное видео</x:v>
      </x:c>
      <x:c r="Q1138" s="9" t="str">
        <x:v>Нет</x:v>
      </x:c>
      <x:c r="R1138" s="9" t="str">
        <x:v>C062</x:v>
      </x:c>
      <x:c r="S1138" s="9" t="str">
        <x:v>C062</x:v>
      </x:c>
      <x:c r="T1138" s="10" t="str">
        <x:v>מכון דוידסון - סרטוני מדע</x:v>
      </x:c>
      <x:c r="U1138" s="11" t="str">
        <x:v>https://www.youtube.com/watch?v=7qGBf-otClc</x:v>
      </x:c>
      <x:c r="V1138" s="16" t="n">
        <x:v>46308</x:v>
      </x:c>
      <x:c r="W1138" s="16" t="n">
        <x:v>45634</x:v>
      </x:c>
      <x:c r="X1138" s="10" t="str">
        <x:v>Иврит предполагается по заголовку и источнику</x:v>
      </x:c>
      <x:c r="Y1138" s="10" t="str">
        <x:v>Ручная дорожка HE по метаданным</x:v>
      </x:c>
      <x:c r="Z1138" s="10" t="str">
        <x:v>Разрешено по метаданным</x:v>
      </x:c>
      <x:c r="AA1138" s="10" t="str">
        <x:v>Метаданные видео; воспроизведение и содержание не проверены</x:v>
      </x:c>
      <x:c r="AB1138" s="13" t="n">
        <x:f>IF(AND(ISNUMBER(H1138),ISNUMBER(W1138)),H1138/MAX(1,'Обзор'!$B$4-W1138),"")</x:f>
        <x:v>438.1824925816024</x:v>
      </x:c>
      <x:c r="AC1138" s="17" t="str">
        <x:v>Не решено</x:v>
      </x:c>
      <x:c r="AD1138" s="17" t="str">
        <x:v>Не проверено</x:v>
      </x:c>
      <x:c r="AE1138" s="17" t="str">
        <x:v>Не проверено</x:v>
      </x:c>
      <x:c r="AF1138" s="17" t="str">
        <x:v>Не проверено</x:v>
      </x:c>
      <x:c r="AG1138" s="17" t="str">
        <x:v>Не решено</x:v>
      </x:c>
      <x:c r="AH1138" s="17" t="str">
        <x:v>Не проверено</x:v>
      </x:c>
      <x:c r="AI1138" s="10" t="str">
        <x:f>IF(AC1138="Отклонить","Отклонено",IF(AND(AC1138="Взять",COUNTIFS(AD1138:AH1138,"Да")=5),"Готово","Нужна редактура"))</x:f>
        <x:v>Нужна редактура</x:v>
      </x:c>
      <x:c r="AJ1138" s="17" t="str"/>
      <x:c r="AK1138" s="9" t="str">
        <x:v>https://www.youtube.com/playlist?list=PL0ZkulyfP8bfTfa3uRRAFrfMZb62R6QMl</x:v>
      </x:c>
      <x:c r="AL1138" s="9" t="n">
        <x:v>6</x:v>
      </x:c>
      <x:c r="AM1138" s="9"/>
      <x:c r="AN1138" s="9" t="n">
        <x:v>0</x:v>
      </x:c>
    </x:row>
    <x:row r="1139" ht="60" customHeight="1">
      <x:c r="A1139" s="9" t="str">
        <x:v>s5jbpQLDL10</x:v>
      </x:c>
      <x:c r="B1139" s="10" t="str">
        <x:v>האם אפשר לאפות נשיקות במכונית?</x:v>
      </x:c>
      <x:c r="C1139" s="10" t="str">
        <x:v>Наука в быту</x:v>
      </x:c>
      <x:c r="D1139" s="9" t="str">
        <x:v>Образование</x:v>
      </x:c>
      <x:c r="E1139" s="10" t="str">
        <x:v>Наука; семья; любознательные</x:v>
      </x:c>
      <x:c r="F1139" s="10" t="str">
        <x:v>B1–B2 (гипотеза)</x:v>
      </x:c>
      <x:c r="G1139" s="12" t="n">
        <x:v>4.1</x:v>
      </x:c>
      <x:c r="H1139" s="14" t="n">
        <x:v>7100</x:v>
      </x:c>
      <x:c r="I1139" s="15" t="str">
        <x:v>Округлённый счётчик в списке YouTube</x:v>
      </x:c>
      <x:c r="J1139" s="14" t="n">
        <x:v>7100</x:v>
      </x:c>
      <x:c r="K1139" s="14" t="n">
        <x:v>9650</x:v>
      </x:c>
      <x:c r="L1139" s="12" t="n">
        <x:f>IF(COUNT(J1139:K1139)=2,IF(K1139=0,"",J1139/K1139),"")</x:f>
        <x:v>0.7357512953367875</x:v>
      </x:c>
      <x:c r="M1139" s="10" t="str">
        <x:v>Завершённый короткий просмотр около 4 мин. Бытовая ситуация помогает понимать научную лексику через знакомое действие.</x:v>
      </x:c>
      <x:c r="N1139" s="10" t="str">
        <x:v>Объяснить, что меняется и почему; выписать глаголы процесса.</x:v>
      </x:c>
      <x:c r="O1139" s="10" t="str">
        <x:v>Проверить основной язык речи; каталог содержит и переводные материалы</x:v>
      </x:c>
      <x:c r="P1139" s="10" t="str">
        <x:v>Самостоятельное видео</x:v>
      </x:c>
      <x:c r="Q1139" s="9" t="str">
        <x:v>Нет</x:v>
      </x:c>
      <x:c r="R1139" s="9" t="str">
        <x:v>C062</x:v>
      </x:c>
      <x:c r="S1139" s="9" t="str">
        <x:v>C062</x:v>
      </x:c>
      <x:c r="T1139" s="10" t="str">
        <x:v>מכון דוידסון - סרטוני מדע</x:v>
      </x:c>
      <x:c r="U1139" s="11" t="str">
        <x:v>https://www.youtube.com/watch?v=s5jbpQLDL10</x:v>
      </x:c>
      <x:c r="V1139" s="16" t="n">
        <x:v>46308</x:v>
      </x:c>
      <x:c r="W1139" s="16"/>
      <x:c r="X1139" s="10" t="str">
        <x:v>Иврит предполагается по заголовку и источнику</x:v>
      </x:c>
      <x:c r="Y1139" s="10" t="str">
        <x:v>Не проверено</x:v>
      </x:c>
      <x:c r="Z1139" s="10" t="str">
        <x:v>Не проверено</x:v>
      </x:c>
      <x:c r="AA1139" s="10" t="str">
        <x:v>Метаданные списка; видео не просмотрено</x:v>
      </x:c>
      <x:c r="AB1139" s="13" t="str">
        <x:f>IF(AND(ISNUMBER(H1139),ISNUMBER(W1139)),H1139/MAX(1,'Обзор'!$B$4-W1139),"")</x:f>
      </x:c>
      <x:c r="AC1139" s="17" t="str">
        <x:v>Не решено</x:v>
      </x:c>
      <x:c r="AD1139" s="17" t="str">
        <x:v>Не проверено</x:v>
      </x:c>
      <x:c r="AE1139" s="17" t="str">
        <x:v>Не проверено</x:v>
      </x:c>
      <x:c r="AF1139" s="17" t="str">
        <x:v>Не проверено</x:v>
      </x:c>
      <x:c r="AG1139" s="17" t="str">
        <x:v>Не решено</x:v>
      </x:c>
      <x:c r="AH1139" s="17" t="str">
        <x:v>Не проверено</x:v>
      </x:c>
      <x:c r="AI1139" s="10" t="str">
        <x:f>IF(AC1139="Отклонить","Отклонено",IF(AND(AC1139="Взять",COUNTIFS(AD1139:AH1139,"Да")=5),"Готово","Нужна редактура"))</x:f>
        <x:v>Нужна редактура</x:v>
      </x:c>
      <x:c r="AJ1139" s="17" t="str"/>
      <x:c r="AK1139" s="9" t="str">
        <x:v>https://www.youtube.com/playlist?list=PL0ZkulyfP8bfTfa3uRRAFrfMZb62R6QMl</x:v>
      </x:c>
      <x:c r="AL1139" s="9" t="n">
        <x:v>7</x:v>
      </x:c>
      <x:c r="AM1139" s="9"/>
      <x:c r="AN1139" s="9"/>
    </x:row>
    <x:row r="1140" ht="60" customHeight="1">
      <x:c r="A1140" s="9" t="str">
        <x:v>Xb0TL8vUJLg</x:v>
      </x:c>
      <x:c r="B1140" s="10" t="str">
        <x:v>פופקורן מקורמל</x:v>
      </x:c>
      <x:c r="C1140" s="10" t="str">
        <x:v>Наука в быту</x:v>
      </x:c>
      <x:c r="D1140" s="9" t="str">
        <x:v>Образование</x:v>
      </x:c>
      <x:c r="E1140" s="10" t="str">
        <x:v>Наука; семья; любознательные</x:v>
      </x:c>
      <x:c r="F1140" s="10" t="str">
        <x:v>B1–B2 (гипотеза)</x:v>
      </x:c>
      <x:c r="G1140" s="12" t="n">
        <x:v>2.7</x:v>
      </x:c>
      <x:c r="H1140" s="14" t="n">
        <x:v>8200</x:v>
      </x:c>
      <x:c r="I1140" s="15" t="str">
        <x:v>Округлённый счётчик в списке YouTube</x:v>
      </x:c>
      <x:c r="J1140" s="14" t="n">
        <x:v>8200</x:v>
      </x:c>
      <x:c r="K1140" s="14" t="n">
        <x:v>9650</x:v>
      </x:c>
      <x:c r="L1140" s="12" t="n">
        <x:f>IF(COUNT(J1140:K1140)=2,IF(K1140=0,"",J1140/K1140),"")</x:f>
        <x:v>0.8497409326424871</x:v>
      </x:c>
      <x:c r="M1140" s="10" t="str">
        <x:v>Завершённый короткий просмотр около 3 мин. Бытовая ситуация помогает понимать научную лексику через знакомое действие.</x:v>
      </x:c>
      <x:c r="N1140" s="10" t="str">
        <x:v>Объяснить, что меняется и почему; выписать глаголы процесса.</x:v>
      </x:c>
      <x:c r="O1140" s="10" t="str">
        <x:v>Проверить основной язык речи; каталог содержит и переводные материалы</x:v>
      </x:c>
      <x:c r="P1140" s="10" t="str">
        <x:v>Самостоятельное видео</x:v>
      </x:c>
      <x:c r="Q1140" s="9" t="str">
        <x:v>Нет</x:v>
      </x:c>
      <x:c r="R1140" s="9" t="str">
        <x:v>C062</x:v>
      </x:c>
      <x:c r="S1140" s="9" t="str">
        <x:v>C062</x:v>
      </x:c>
      <x:c r="T1140" s="10" t="str">
        <x:v>מכון דוידסון - סרטוני מדע</x:v>
      </x:c>
      <x:c r="U1140" s="11" t="str">
        <x:v>https://www.youtube.com/watch?v=Xb0TL8vUJLg</x:v>
      </x:c>
      <x:c r="V1140" s="16" t="n">
        <x:v>46308</x:v>
      </x:c>
      <x:c r="W1140" s="16"/>
      <x:c r="X1140" s="10" t="str">
        <x:v>Иврит предполагается по заголовку и источнику</x:v>
      </x:c>
      <x:c r="Y1140" s="10" t="str">
        <x:v>Не проверено</x:v>
      </x:c>
      <x:c r="Z1140" s="10" t="str">
        <x:v>Не проверено</x:v>
      </x:c>
      <x:c r="AA1140" s="10" t="str">
        <x:v>Метаданные списка; видео не просмотрено</x:v>
      </x:c>
      <x:c r="AB1140" s="13" t="str">
        <x:f>IF(AND(ISNUMBER(H1140),ISNUMBER(W1140)),H1140/MAX(1,'Обзор'!$B$4-W1140),"")</x:f>
      </x:c>
      <x:c r="AC1140" s="17" t="str">
        <x:v>Не решено</x:v>
      </x:c>
      <x:c r="AD1140" s="17" t="str">
        <x:v>Не проверено</x:v>
      </x:c>
      <x:c r="AE1140" s="17" t="str">
        <x:v>Не проверено</x:v>
      </x:c>
      <x:c r="AF1140" s="17" t="str">
        <x:v>Не проверено</x:v>
      </x:c>
      <x:c r="AG1140" s="17" t="str">
        <x:v>Не решено</x:v>
      </x:c>
      <x:c r="AH1140" s="17" t="str">
        <x:v>Не проверено</x:v>
      </x:c>
      <x:c r="AI1140" s="10" t="str">
        <x:f>IF(AC1140="Отклонить","Отклонено",IF(AND(AC1140="Взять",COUNTIFS(AD1140:AH1140,"Да")=5),"Готово","Нужна редактура"))</x:f>
        <x:v>Нужна редактура</x:v>
      </x:c>
      <x:c r="AJ1140" s="17" t="str"/>
      <x:c r="AK1140" s="9" t="str">
        <x:v>https://www.youtube.com/playlist?list=PL0ZkulyfP8bfTfa3uRRAFrfMZb62R6QMl</x:v>
      </x:c>
      <x:c r="AL1140" s="9" t="n">
        <x:v>8</x:v>
      </x:c>
      <x:c r="AM1140" s="9"/>
      <x:c r="AN1140" s="9"/>
    </x:row>
    <x:row r="1141" ht="60" customHeight="1">
      <x:c r="A1141" s="9" t="str">
        <x:v>WGW4mIfjijk</x:v>
      </x:c>
      <x:c r="B1141" s="10" t="str">
        <x:v>בקמח חיטה אין גלוטן?</x:v>
      </x:c>
      <x:c r="C1141" s="10" t="str">
        <x:v>Наука в быту</x:v>
      </x:c>
      <x:c r="D1141" s="9" t="str">
        <x:v>Образование</x:v>
      </x:c>
      <x:c r="E1141" s="10" t="str">
        <x:v>Наука; семья; любознательные</x:v>
      </x:c>
      <x:c r="F1141" s="10" t="str">
        <x:v>B1–B2 (гипотеза)</x:v>
      </x:c>
      <x:c r="G1141" s="12" t="n">
        <x:v>3.8</x:v>
      </x:c>
      <x:c r="H1141" s="14" t="n">
        <x:v>20862</x:v>
      </x:c>
      <x:c r="I1141" s="15" t="str">
        <x:v>Точный счётчик метаданных видео</x:v>
      </x:c>
      <x:c r="J1141" s="14" t="n">
        <x:v>20000</x:v>
      </x:c>
      <x:c r="K1141" s="14" t="n">
        <x:v>9650</x:v>
      </x:c>
      <x:c r="L1141" s="12" t="n">
        <x:f>IF(COUNT(J1141:K1141)=2,IF(K1141=0,"",J1141/K1141),"")</x:f>
        <x:v>2.0725388601036268</x:v>
      </x:c>
      <x:c r="M1141" s="10" t="str">
        <x:v>Завершённый короткий просмотр около 4 мин. Просмотры в списке выше медианы выборки этого цикла в 2.07 раза. Бытовая ситуация помогает понимать научную лексику через знакомое действие.</x:v>
      </x:c>
      <x:c r="N1141" s="10" t="str">
        <x:v>Объяснить, что меняется и почему; выписать глаголы процесса.</x:v>
      </x:c>
      <x:c r="O1141" s="10" t="str">
        <x:v>Проверить основной язык речи; каталог содержит и переводные материалы</x:v>
      </x:c>
      <x:c r="P1141" s="10" t="str">
        <x:v>Самостоятельное видео</x:v>
      </x:c>
      <x:c r="Q1141" s="9" t="str">
        <x:v>Нет</x:v>
      </x:c>
      <x:c r="R1141" s="9" t="str">
        <x:v>C062</x:v>
      </x:c>
      <x:c r="S1141" s="9" t="str">
        <x:v>C062</x:v>
      </x:c>
      <x:c r="T1141" s="10" t="str">
        <x:v>מכון דוידסון - סרטוני מדע</x:v>
      </x:c>
      <x:c r="U1141" s="11" t="str">
        <x:v>https://www.youtube.com/watch?v=WGW4mIfjijk</x:v>
      </x:c>
      <x:c r="V1141" s="16" t="n">
        <x:v>46308</x:v>
      </x:c>
      <x:c r="W1141" s="16" t="n">
        <x:v>45452</x:v>
      </x:c>
      <x:c r="X1141" s="10" t="str">
        <x:v>Иврит предполагается по заголовку и источнику</x:v>
      </x:c>
      <x:c r="Y1141" s="10" t="str">
        <x:v>Ручная дорожка HE по метаданным</x:v>
      </x:c>
      <x:c r="Z1141" s="10" t="str">
        <x:v>Разрешено по метаданным</x:v>
      </x:c>
      <x:c r="AA1141" s="10" t="str">
        <x:v>Метаданные видео; воспроизведение и содержание не проверены</x:v>
      </x:c>
      <x:c r="AB1141" s="13" t="n">
        <x:f>IF(AND(ISNUMBER(H1141),ISNUMBER(W1141)),H1141/MAX(1,'Обзор'!$B$4-W1141),"")</x:f>
        <x:v>24.371495327102803</x:v>
      </x:c>
      <x:c r="AC1141" s="17" t="str">
        <x:v>Не решено</x:v>
      </x:c>
      <x:c r="AD1141" s="17" t="str">
        <x:v>Не проверено</x:v>
      </x:c>
      <x:c r="AE1141" s="17" t="str">
        <x:v>Не проверено</x:v>
      </x:c>
      <x:c r="AF1141" s="17" t="str">
        <x:v>Не проверено</x:v>
      </x:c>
      <x:c r="AG1141" s="17" t="str">
        <x:v>Не решено</x:v>
      </x:c>
      <x:c r="AH1141" s="17" t="str">
        <x:v>Не проверено</x:v>
      </x:c>
      <x:c r="AI1141" s="10" t="str">
        <x:f>IF(AC1141="Отклонить","Отклонено",IF(AND(AC1141="Взять",COUNTIFS(AD1141:AH1141,"Да")=5),"Готово","Нужна редактура"))</x:f>
        <x:v>Нужна редактура</x:v>
      </x:c>
      <x:c r="AJ1141" s="17" t="str"/>
      <x:c r="AK1141" s="9" t="str">
        <x:v>https://www.youtube.com/playlist?list=PL0ZkulyfP8bfTfa3uRRAFrfMZb62R6QMl</x:v>
      </x:c>
      <x:c r="AL1141" s="9" t="n">
        <x:v>9</x:v>
      </x:c>
      <x:c r="AM1141" s="9"/>
      <x:c r="AN1141" s="9" t="n">
        <x:v>0</x:v>
      </x:c>
    </x:row>
    <x:row r="1142" ht="60" customHeight="1">
      <x:c r="A1142" s="9" t="str">
        <x:v>DrSw3N48onE</x:v>
      </x:c>
      <x:c r="B1142" s="10" t="str">
        <x:v>איך להכין גבישי סוכר ענקיים?</x:v>
      </x:c>
      <x:c r="C1142" s="10" t="str">
        <x:v>Наука в быту</x:v>
      </x:c>
      <x:c r="D1142" s="9" t="str">
        <x:v>Образование</x:v>
      </x:c>
      <x:c r="E1142" s="10" t="str">
        <x:v>Наука; семья; любознательные</x:v>
      </x:c>
      <x:c r="F1142" s="10" t="str">
        <x:v>B1–B2 (гипотеза)</x:v>
      </x:c>
      <x:c r="G1142" s="12" t="n">
        <x:v>6.4</x:v>
      </x:c>
      <x:c r="H1142" s="14" t="n">
        <x:v>42074</x:v>
      </x:c>
      <x:c r="I1142" s="15" t="str">
        <x:v>Точный счётчик метаданных видео</x:v>
      </x:c>
      <x:c r="J1142" s="14" t="n">
        <x:v>42000</x:v>
      </x:c>
      <x:c r="K1142" s="14" t="n">
        <x:v>9650</x:v>
      </x:c>
      <x:c r="L1142" s="12" t="n">
        <x:f>IF(COUNT(J1142:K1142)=2,IF(K1142=0,"",J1142/K1142),"")</x:f>
        <x:v>4.352331606217617</x:v>
      </x:c>
      <x:c r="M1142" s="10" t="str">
        <x:v>Завершённый короткий просмотр около 6 мин. Просмотры в списке выше медианы выборки этого цикла в 4.35 раза. Бытовая ситуация помогает понимать научную лексику через знакомое действие.</x:v>
      </x:c>
      <x:c r="N1142" s="10" t="str">
        <x:v>Объяснить, что меняется и почему; выписать глаголы процесса.</x:v>
      </x:c>
      <x:c r="O1142" s="10" t="str">
        <x:v>Проверить основной язык речи; каталог содержит и переводные материалы</x:v>
      </x:c>
      <x:c r="P1142" s="10" t="str">
        <x:v>Самостоятельное видео</x:v>
      </x:c>
      <x:c r="Q1142" s="9" t="str">
        <x:v>Нет</x:v>
      </x:c>
      <x:c r="R1142" s="9" t="str">
        <x:v>C062</x:v>
      </x:c>
      <x:c r="S1142" s="9" t="str">
        <x:v>C062</x:v>
      </x:c>
      <x:c r="T1142" s="10" t="str">
        <x:v>מכון דוידסון - סרטוני מדע</x:v>
      </x:c>
      <x:c r="U1142" s="11" t="str">
        <x:v>https://www.youtube.com/watch?v=DrSw3N48onE</x:v>
      </x:c>
      <x:c r="V1142" s="16" t="n">
        <x:v>46308</x:v>
      </x:c>
      <x:c r="W1142" s="16" t="n">
        <x:v>45412</x:v>
      </x:c>
      <x:c r="X1142" s="10" t="str">
        <x:v>Иврит предполагается по заголовку и источнику</x:v>
      </x:c>
      <x:c r="Y1142" s="10" t="str">
        <x:v>Ручная дорожка HE по метаданным</x:v>
      </x:c>
      <x:c r="Z1142" s="10" t="str">
        <x:v>Разрешено по метаданным</x:v>
      </x:c>
      <x:c r="AA1142" s="10" t="str">
        <x:v>Метаданные видео; воспроизведение и содержание не проверены</x:v>
      </x:c>
      <x:c r="AB1142" s="13" t="n">
        <x:f>IF(AND(ISNUMBER(H1142),ISNUMBER(W1142)),H1142/MAX(1,'Обзор'!$B$4-W1142),"")</x:f>
        <x:v>46.957589285714285</x:v>
      </x:c>
      <x:c r="AC1142" s="17" t="str">
        <x:v>Не решено</x:v>
      </x:c>
      <x:c r="AD1142" s="17" t="str">
        <x:v>Не проверено</x:v>
      </x:c>
      <x:c r="AE1142" s="17" t="str">
        <x:v>Не проверено</x:v>
      </x:c>
      <x:c r="AF1142" s="17" t="str">
        <x:v>Не проверено</x:v>
      </x:c>
      <x:c r="AG1142" s="17" t="str">
        <x:v>Не решено</x:v>
      </x:c>
      <x:c r="AH1142" s="17" t="str">
        <x:v>Не проверено</x:v>
      </x:c>
      <x:c r="AI1142" s="10" t="str">
        <x:f>IF(AC1142="Отклонить","Отклонено",IF(AND(AC1142="Взять",COUNTIFS(AD1142:AH1142,"Да")=5),"Готово","Нужна редактура"))</x:f>
        <x:v>Нужна редактура</x:v>
      </x:c>
      <x:c r="AJ1142" s="17" t="str"/>
      <x:c r="AK1142" s="9" t="str">
        <x:v>https://www.youtube.com/playlist?list=PL0ZkulyfP8bfTfa3uRRAFrfMZb62R6QMl</x:v>
      </x:c>
      <x:c r="AL1142" s="9" t="n">
        <x:v>10</x:v>
      </x:c>
      <x:c r="AM1142" s="9"/>
      <x:c r="AN1142" s="9" t="n">
        <x:v>0</x:v>
      </x:c>
    </x:row>
    <x:row r="1143" ht="60" customHeight="1">
      <x:c r="A1143" s="9" t="str">
        <x:v>z9gjga1t8f8</x:v>
      </x:c>
      <x:c r="B1143" s="10" t="str">
        <x:v>ענן חביתה</x:v>
      </x:c>
      <x:c r="C1143" s="10" t="str">
        <x:v>Наука в быту</x:v>
      </x:c>
      <x:c r="D1143" s="9" t="str">
        <x:v>Образование</x:v>
      </x:c>
      <x:c r="E1143" s="10" t="str">
        <x:v>Наука; семья; любознательные</x:v>
      </x:c>
      <x:c r="F1143" s="10" t="str">
        <x:v>B1–B2 (гипотеза)</x:v>
      </x:c>
      <x:c r="G1143" s="12" t="n">
        <x:v>1.9</x:v>
      </x:c>
      <x:c r="H1143" s="14" t="n">
        <x:v>10216</x:v>
      </x:c>
      <x:c r="I1143" s="15" t="str">
        <x:v>Точный счётчик метаданных видео</x:v>
      </x:c>
      <x:c r="J1143" s="14" t="n">
        <x:v>10000</x:v>
      </x:c>
      <x:c r="K1143" s="14" t="n">
        <x:v>9650</x:v>
      </x:c>
      <x:c r="L1143" s="12" t="n">
        <x:f>IF(COUNT(J1143:K1143)=2,IF(K1143=0,"",J1143/K1143),"")</x:f>
        <x:v>1.0362694300518134</x:v>
      </x:c>
      <x:c r="M1143" s="10" t="str">
        <x:v>Завершённый короткий просмотр около 2 мин. Бытовая ситуация помогает понимать научную лексику через знакомое действие.</x:v>
      </x:c>
      <x:c r="N1143" s="10" t="str">
        <x:v>Объяснить, что меняется и почему; выписать глаголы процесса.</x:v>
      </x:c>
      <x:c r="O1143" s="10" t="str">
        <x:v>Проверить основной язык речи; каталог содержит и переводные материалы</x:v>
      </x:c>
      <x:c r="P1143" s="10" t="str">
        <x:v>Самостоятельное видео</x:v>
      </x:c>
      <x:c r="Q1143" s="9" t="str">
        <x:v>Нет</x:v>
      </x:c>
      <x:c r="R1143" s="9" t="str">
        <x:v>C062</x:v>
      </x:c>
      <x:c r="S1143" s="9" t="str">
        <x:v>C062</x:v>
      </x:c>
      <x:c r="T1143" s="10" t="str">
        <x:v>מכון דוידסון - סרטוני מדע</x:v>
      </x:c>
      <x:c r="U1143" s="11" t="str">
        <x:v>https://www.youtube.com/watch?v=z9gjga1t8f8</x:v>
      </x:c>
      <x:c r="V1143" s="16" t="n">
        <x:v>46308</x:v>
      </x:c>
      <x:c r="W1143" s="16" t="n">
        <x:v>45385</x:v>
      </x:c>
      <x:c r="X1143" s="10" t="str">
        <x:v>Иврит предполагается по заголовку и источнику</x:v>
      </x:c>
      <x:c r="Y1143" s="10" t="str">
        <x:v>Ручная дорожка HE по метаданным</x:v>
      </x:c>
      <x:c r="Z1143" s="10" t="str">
        <x:v>Разрешено по метаданным</x:v>
      </x:c>
      <x:c r="AA1143" s="10" t="str">
        <x:v>Метаданные видео; воспроизведение и содержание не проверены</x:v>
      </x:c>
      <x:c r="AB1143" s="13" t="n">
        <x:f>IF(AND(ISNUMBER(H1143),ISNUMBER(W1143)),H1143/MAX(1,'Обзор'!$B$4-W1143),"")</x:f>
        <x:v>11.068255687973998</x:v>
      </x:c>
      <x:c r="AC1143" s="17" t="str">
        <x:v>Не решено</x:v>
      </x:c>
      <x:c r="AD1143" s="17" t="str">
        <x:v>Не проверено</x:v>
      </x:c>
      <x:c r="AE1143" s="17" t="str">
        <x:v>Не проверено</x:v>
      </x:c>
      <x:c r="AF1143" s="17" t="str">
        <x:v>Не проверено</x:v>
      </x:c>
      <x:c r="AG1143" s="17" t="str">
        <x:v>Не решено</x:v>
      </x:c>
      <x:c r="AH1143" s="17" t="str">
        <x:v>Не проверено</x:v>
      </x:c>
      <x:c r="AI1143" s="10" t="str">
        <x:f>IF(AC1143="Отклонить","Отклонено",IF(AND(AC1143="Взять",COUNTIFS(AD1143:AH1143,"Да")=5),"Готово","Нужна редактура"))</x:f>
        <x:v>Нужна редактура</x:v>
      </x:c>
      <x:c r="AJ1143" s="17" t="str"/>
      <x:c r="AK1143" s="9" t="str">
        <x:v>https://www.youtube.com/playlist?list=PL0ZkulyfP8bfTfa3uRRAFrfMZb62R6QMl</x:v>
      </x:c>
      <x:c r="AL1143" s="9" t="n">
        <x:v>11</x:v>
      </x:c>
      <x:c r="AM1143" s="9"/>
      <x:c r="AN1143" s="9" t="n">
        <x:v>0</x:v>
      </x:c>
    </x:row>
    <x:row r="1144" ht="60" customHeight="1">
      <x:c r="A1144" s="9" t="str">
        <x:v>74MAQFOq_AE</x:v>
      </x:c>
      <x:c r="B1144" s="10" t="str">
        <x:v>ביצים בצבעים</x:v>
      </x:c>
      <x:c r="C1144" s="10" t="str">
        <x:v>Наука в быту</x:v>
      </x:c>
      <x:c r="D1144" s="9" t="str">
        <x:v>Образование</x:v>
      </x:c>
      <x:c r="E1144" s="10" t="str">
        <x:v>Наука; семья; любознательные</x:v>
      </x:c>
      <x:c r="F1144" s="10" t="str">
        <x:v>B1–B2 (гипотеза)</x:v>
      </x:c>
      <x:c r="G1144" s="12" t="n">
        <x:v>4.6</x:v>
      </x:c>
      <x:c r="H1144" s="14" t="n">
        <x:v>10609</x:v>
      </x:c>
      <x:c r="I1144" s="15" t="str">
        <x:v>Точный счётчик метаданных видео</x:v>
      </x:c>
      <x:c r="J1144" s="14" t="n">
        <x:v>10000</x:v>
      </x:c>
      <x:c r="K1144" s="14" t="n">
        <x:v>9650</x:v>
      </x:c>
      <x:c r="L1144" s="12" t="n">
        <x:f>IF(COUNT(J1144:K1144)=2,IF(K1144=0,"",J1144/K1144),"")</x:f>
        <x:v>1.0362694300518134</x:v>
      </x:c>
      <x:c r="M1144" s="10" t="str">
        <x:v>Завершённый короткий просмотр около 5 мин. Бытовая ситуация помогает понимать научную лексику через знакомое действие.</x:v>
      </x:c>
      <x:c r="N1144" s="10" t="str">
        <x:v>Объяснить, что меняется и почему; выписать глаголы процесса.</x:v>
      </x:c>
      <x:c r="O1144" s="10" t="str">
        <x:v>Проверить основной язык речи; каталог содержит и переводные материалы</x:v>
      </x:c>
      <x:c r="P1144" s="10" t="str">
        <x:v>Самостоятельное видео</x:v>
      </x:c>
      <x:c r="Q1144" s="9" t="str">
        <x:v>Нет</x:v>
      </x:c>
      <x:c r="R1144" s="9" t="str">
        <x:v>C062</x:v>
      </x:c>
      <x:c r="S1144" s="9" t="str">
        <x:v>C062</x:v>
      </x:c>
      <x:c r="T1144" s="10" t="str">
        <x:v>מכון דוידסון - סרטוני מדע</x:v>
      </x:c>
      <x:c r="U1144" s="11" t="str">
        <x:v>https://www.youtube.com/watch?v=74MAQFOq_AE</x:v>
      </x:c>
      <x:c r="V1144" s="16" t="n">
        <x:v>46308</x:v>
      </x:c>
      <x:c r="W1144" s="16" t="n">
        <x:v>45368</x:v>
      </x:c>
      <x:c r="X1144" s="10" t="str">
        <x:v>Иврит предполагается по заголовку и источнику</x:v>
      </x:c>
      <x:c r="Y1144" s="10" t="str">
        <x:v>Ручная дорожка HE по метаданным</x:v>
      </x:c>
      <x:c r="Z1144" s="10" t="str">
        <x:v>Разрешено по метаданным</x:v>
      </x:c>
      <x:c r="AA1144" s="10" t="str">
        <x:v>Метаданные видео; воспроизведение и содержание не проверены</x:v>
      </x:c>
      <x:c r="AB1144" s="13" t="n">
        <x:f>IF(AND(ISNUMBER(H1144),ISNUMBER(W1144)),H1144/MAX(1,'Обзор'!$B$4-W1144),"")</x:f>
        <x:v>11.286170212765958</x:v>
      </x:c>
      <x:c r="AC1144" s="17" t="str">
        <x:v>Не решено</x:v>
      </x:c>
      <x:c r="AD1144" s="17" t="str">
        <x:v>Не проверено</x:v>
      </x:c>
      <x:c r="AE1144" s="17" t="str">
        <x:v>Не проверено</x:v>
      </x:c>
      <x:c r="AF1144" s="17" t="str">
        <x:v>Не проверено</x:v>
      </x:c>
      <x:c r="AG1144" s="17" t="str">
        <x:v>Не решено</x:v>
      </x:c>
      <x:c r="AH1144" s="17" t="str">
        <x:v>Не проверено</x:v>
      </x:c>
      <x:c r="AI1144" s="10" t="str">
        <x:f>IF(AC1144="Отклонить","Отклонено",IF(AND(AC1144="Взять",COUNTIFS(AD1144:AH1144,"Да")=5),"Готово","Нужна редактура"))</x:f>
        <x:v>Нужна редактура</x:v>
      </x:c>
      <x:c r="AJ1144" s="17" t="str"/>
      <x:c r="AK1144" s="9" t="str">
        <x:v>https://www.youtube.com/playlist?list=PL0ZkulyfP8bfTfa3uRRAFrfMZb62R6QMl</x:v>
      </x:c>
      <x:c r="AL1144" s="9" t="n">
        <x:v>12</x:v>
      </x:c>
      <x:c r="AM1144" s="9"/>
      <x:c r="AN1144" s="9" t="n">
        <x:v>0</x:v>
      </x:c>
    </x:row>
    <x:row r="1145" ht="60" customHeight="1">
      <x:c r="A1145" s="9" t="str">
        <x:v>AvjCIgFWbkQ</x:v>
      </x:c>
      <x:c r="B1145" s="10" t="str">
        <x:v>איך אפשר למנוע מאבוקדו להשחים?</x:v>
      </x:c>
      <x:c r="C1145" s="10" t="str">
        <x:v>Наука в быту</x:v>
      </x:c>
      <x:c r="D1145" s="9" t="str">
        <x:v>Образование</x:v>
      </x:c>
      <x:c r="E1145" s="10" t="str">
        <x:v>Наука; семья; любознательные</x:v>
      </x:c>
      <x:c r="F1145" s="10" t="str">
        <x:v>B1–B2 (гипотеза)</x:v>
      </x:c>
      <x:c r="G1145" s="12" t="n">
        <x:v>1.4</x:v>
      </x:c>
      <x:c r="H1145" s="14" t="n">
        <x:v>2900</x:v>
      </x:c>
      <x:c r="I1145" s="15" t="str">
        <x:v>Округлённый счётчик в списке YouTube</x:v>
      </x:c>
      <x:c r="J1145" s="14" t="n">
        <x:v>2900</x:v>
      </x:c>
      <x:c r="K1145" s="14" t="n">
        <x:v>9650</x:v>
      </x:c>
      <x:c r="L1145" s="12" t="n">
        <x:f>IF(COUNT(J1145:K1145)=2,IF(K1145=0,"",J1145/K1145),"")</x:f>
        <x:v>0.3005181347150259</x:v>
      </x:c>
      <x:c r="M1145" s="10" t="str">
        <x:v>Завершённый короткий просмотр около 1 мин. Просмотры ниже медианы цикла; выбирать за нишевую ценность, а не за массовый охват. Бытовая ситуация помогает понимать научную лексику через знакомое действие.</x:v>
      </x:c>
      <x:c r="N1145" s="10" t="str">
        <x:v>Объяснить, что меняется и почему; выписать глаголы процесса.</x:v>
      </x:c>
      <x:c r="O1145" s="10" t="str">
        <x:v>Проверить основной язык речи; каталог содержит и переводные материалы</x:v>
      </x:c>
      <x:c r="P1145" s="10" t="str">
        <x:v>Самостоятельное видео</x:v>
      </x:c>
      <x:c r="Q1145" s="9" t="str">
        <x:v>Нет</x:v>
      </x:c>
      <x:c r="R1145" s="9" t="str">
        <x:v>C062</x:v>
      </x:c>
      <x:c r="S1145" s="9" t="str">
        <x:v>C062</x:v>
      </x:c>
      <x:c r="T1145" s="10" t="str">
        <x:v>מכון דוידסון - סרטוני מדע</x:v>
      </x:c>
      <x:c r="U1145" s="11" t="str">
        <x:v>https://www.youtube.com/watch?v=AvjCIgFWbkQ</x:v>
      </x:c>
      <x:c r="V1145" s="16" t="n">
        <x:v>46308</x:v>
      </x:c>
      <x:c r="W1145" s="16"/>
      <x:c r="X1145" s="10" t="str">
        <x:v>Иврит предполагается по заголовку и источнику</x:v>
      </x:c>
      <x:c r="Y1145" s="10" t="str">
        <x:v>Не проверено</x:v>
      </x:c>
      <x:c r="Z1145" s="10" t="str">
        <x:v>Не проверено</x:v>
      </x:c>
      <x:c r="AA1145" s="10" t="str">
        <x:v>Метаданные списка; видео не просмотрено</x:v>
      </x:c>
      <x:c r="AB1145" s="13" t="str">
        <x:f>IF(AND(ISNUMBER(H1145),ISNUMBER(W1145)),H1145/MAX(1,'Обзор'!$B$4-W1145),"")</x:f>
      </x:c>
      <x:c r="AC1145" s="17" t="str">
        <x:v>Не решено</x:v>
      </x:c>
      <x:c r="AD1145" s="17" t="str">
        <x:v>Не проверено</x:v>
      </x:c>
      <x:c r="AE1145" s="17" t="str">
        <x:v>Не проверено</x:v>
      </x:c>
      <x:c r="AF1145" s="17" t="str">
        <x:v>Не проверено</x:v>
      </x:c>
      <x:c r="AG1145" s="17" t="str">
        <x:v>Не решено</x:v>
      </x:c>
      <x:c r="AH1145" s="17" t="str">
        <x:v>Не проверено</x:v>
      </x:c>
      <x:c r="AI1145" s="10" t="str">
        <x:f>IF(AC1145="Отклонить","Отклонено",IF(AND(AC1145="Взять",COUNTIFS(AD1145:AH1145,"Да")=5),"Готово","Нужна редактура"))</x:f>
        <x:v>Нужна редактура</x:v>
      </x:c>
      <x:c r="AJ1145" s="17" t="str"/>
      <x:c r="AK1145" s="9" t="str">
        <x:v>https://www.youtube.com/playlist?list=PL0ZkulyfP8bfTfa3uRRAFrfMZb62R6QMl</x:v>
      </x:c>
      <x:c r="AL1145" s="9" t="n">
        <x:v>13</x:v>
      </x:c>
      <x:c r="AM1145" s="9"/>
      <x:c r="AN1145" s="9"/>
    </x:row>
    <x:row r="1146" ht="60" customHeight="1">
      <x:c r="A1146" s="9" t="str">
        <x:v>Py18fXo9D90</x:v>
      </x:c>
      <x:c r="B1146" s="10" t="str">
        <x:v>עוגיות וסוכריות קריסטלים</x:v>
      </x:c>
      <x:c r="C1146" s="10" t="str">
        <x:v>Наука в быту</x:v>
      </x:c>
      <x:c r="D1146" s="9" t="str">
        <x:v>Образование</x:v>
      </x:c>
      <x:c r="E1146" s="10" t="str">
        <x:v>Наука; семья; любознательные</x:v>
      </x:c>
      <x:c r="F1146" s="10" t="str">
        <x:v>B1–B2 (гипотеза)</x:v>
      </x:c>
      <x:c r="G1146" s="12" t="n">
        <x:v>3.8</x:v>
      </x:c>
      <x:c r="H1146" s="14" t="n">
        <x:v>6400</x:v>
      </x:c>
      <x:c r="I1146" s="15" t="str">
        <x:v>Округлённый счётчик в списке YouTube</x:v>
      </x:c>
      <x:c r="J1146" s="14" t="n">
        <x:v>6400</x:v>
      </x:c>
      <x:c r="K1146" s="14" t="n">
        <x:v>9650</x:v>
      </x:c>
      <x:c r="L1146" s="12" t="n">
        <x:f>IF(COUNT(J1146:K1146)=2,IF(K1146=0,"",J1146/K1146),"")</x:f>
        <x:v>0.6632124352331606</x:v>
      </x:c>
      <x:c r="M1146" s="10" t="str">
        <x:v>Завершённый короткий просмотр около 4 мин. Бытовая ситуация помогает понимать научную лексику через знакомое действие.</x:v>
      </x:c>
      <x:c r="N1146" s="10" t="str">
        <x:v>Объяснить, что меняется и почему; выписать глаголы процесса.</x:v>
      </x:c>
      <x:c r="O1146" s="10" t="str">
        <x:v>Проверить основной язык речи; каталог содержит и переводные материалы</x:v>
      </x:c>
      <x:c r="P1146" s="10" t="str">
        <x:v>Самостоятельное видео</x:v>
      </x:c>
      <x:c r="Q1146" s="9" t="str">
        <x:v>Нет</x:v>
      </x:c>
      <x:c r="R1146" s="9" t="str">
        <x:v>C062</x:v>
      </x:c>
      <x:c r="S1146" s="9" t="str">
        <x:v>C062</x:v>
      </x:c>
      <x:c r="T1146" s="10" t="str">
        <x:v>מכון דוידסון - סרטוני מדע</x:v>
      </x:c>
      <x:c r="U1146" s="11" t="str">
        <x:v>https://www.youtube.com/watch?v=Py18fXo9D90</x:v>
      </x:c>
      <x:c r="V1146" s="16" t="n">
        <x:v>46308</x:v>
      </x:c>
      <x:c r="W1146" s="16"/>
      <x:c r="X1146" s="10" t="str">
        <x:v>Иврит предполагается по заголовку и источнику</x:v>
      </x:c>
      <x:c r="Y1146" s="10" t="str">
        <x:v>Не проверено</x:v>
      </x:c>
      <x:c r="Z1146" s="10" t="str">
        <x:v>Не проверено</x:v>
      </x:c>
      <x:c r="AA1146" s="10" t="str">
        <x:v>Метаданные списка; видео не просмотрено</x:v>
      </x:c>
      <x:c r="AB1146" s="13" t="str">
        <x:f>IF(AND(ISNUMBER(H1146),ISNUMBER(W1146)),H1146/MAX(1,'Обзор'!$B$4-W1146),"")</x:f>
      </x:c>
      <x:c r="AC1146" s="17" t="str">
        <x:v>Не решено</x:v>
      </x:c>
      <x:c r="AD1146" s="17" t="str">
        <x:v>Не проверено</x:v>
      </x:c>
      <x:c r="AE1146" s="17" t="str">
        <x:v>Не проверено</x:v>
      </x:c>
      <x:c r="AF1146" s="17" t="str">
        <x:v>Не проверено</x:v>
      </x:c>
      <x:c r="AG1146" s="17" t="str">
        <x:v>Не решено</x:v>
      </x:c>
      <x:c r="AH1146" s="17" t="str">
        <x:v>Не проверено</x:v>
      </x:c>
      <x:c r="AI1146" s="10" t="str">
        <x:f>IF(AC1146="Отклонить","Отклонено",IF(AND(AC1146="Взять",COUNTIFS(AD1146:AH1146,"Да")=5),"Готово","Нужна редактура"))</x:f>
        <x:v>Нужна редактура</x:v>
      </x:c>
      <x:c r="AJ1146" s="17" t="str"/>
      <x:c r="AK1146" s="9" t="str">
        <x:v>https://www.youtube.com/playlist?list=PL0ZkulyfP8bfTfa3uRRAFrfMZb62R6QMl</x:v>
      </x:c>
      <x:c r="AL1146" s="9" t="n">
        <x:v>14</x:v>
      </x:c>
      <x:c r="AM1146" s="9"/>
      <x:c r="AN1146" s="9"/>
    </x:row>
    <x:row r="1147" ht="60" customHeight="1">
      <x:c r="A1147" s="9" t="str">
        <x:v>oO295zRSdh8</x:v>
      </x:c>
      <x:c r="B1147" s="10" t="str">
        <x:v>ספגטי פנקייק</x:v>
      </x:c>
      <x:c r="C1147" s="10" t="str">
        <x:v>Наука в быту</x:v>
      </x:c>
      <x:c r="D1147" s="9" t="str">
        <x:v>Образование</x:v>
      </x:c>
      <x:c r="E1147" s="10" t="str">
        <x:v>Наука; семья; любознательные</x:v>
      </x:c>
      <x:c r="F1147" s="10" t="str">
        <x:v>B1–B2 (гипотеза)</x:v>
      </x:c>
      <x:c r="G1147" s="12" t="n">
        <x:v>2.8</x:v>
      </x:c>
      <x:c r="H1147" s="14" t="n">
        <x:v>6300</x:v>
      </x:c>
      <x:c r="I1147" s="15" t="str">
        <x:v>Округлённый счётчик в списке YouTube</x:v>
      </x:c>
      <x:c r="J1147" s="14" t="n">
        <x:v>6300</x:v>
      </x:c>
      <x:c r="K1147" s="14" t="n">
        <x:v>9650</x:v>
      </x:c>
      <x:c r="L1147" s="12" t="n">
        <x:f>IF(COUNT(J1147:K1147)=2,IF(K1147=0,"",J1147/K1147),"")</x:f>
        <x:v>0.6528497409326425</x:v>
      </x:c>
      <x:c r="M1147" s="10" t="str">
        <x:v>Завершённый короткий просмотр около 3 мин. Бытовая ситуация помогает понимать научную лексику через знакомое действие.</x:v>
      </x:c>
      <x:c r="N1147" s="10" t="str">
        <x:v>Объяснить, что меняется и почему; выписать глаголы процесса.</x:v>
      </x:c>
      <x:c r="O1147" s="10" t="str">
        <x:v>Проверить основной язык речи; каталог содержит и переводные материалы</x:v>
      </x:c>
      <x:c r="P1147" s="10" t="str">
        <x:v>Самостоятельное видео</x:v>
      </x:c>
      <x:c r="Q1147" s="9" t="str">
        <x:v>Нет</x:v>
      </x:c>
      <x:c r="R1147" s="9" t="str">
        <x:v>C062</x:v>
      </x:c>
      <x:c r="S1147" s="9" t="str">
        <x:v>C062</x:v>
      </x:c>
      <x:c r="T1147" s="10" t="str">
        <x:v>מכון דוידסון - סרטוני מדע</x:v>
      </x:c>
      <x:c r="U1147" s="11" t="str">
        <x:v>https://www.youtube.com/watch?v=oO295zRSdh8</x:v>
      </x:c>
      <x:c r="V1147" s="16" t="n">
        <x:v>46308</x:v>
      </x:c>
      <x:c r="W1147" s="16"/>
      <x:c r="X1147" s="10" t="str">
        <x:v>Иврит предполагается по заголовку и источнику</x:v>
      </x:c>
      <x:c r="Y1147" s="10" t="str">
        <x:v>Не проверено</x:v>
      </x:c>
      <x:c r="Z1147" s="10" t="str">
        <x:v>Не проверено</x:v>
      </x:c>
      <x:c r="AA1147" s="10" t="str">
        <x:v>Метаданные списка; видео не просмотрено</x:v>
      </x:c>
      <x:c r="AB1147" s="13" t="str">
        <x:f>IF(AND(ISNUMBER(H1147),ISNUMBER(W1147)),H1147/MAX(1,'Обзор'!$B$4-W1147),"")</x:f>
      </x:c>
      <x:c r="AC1147" s="17" t="str">
        <x:v>Не решено</x:v>
      </x:c>
      <x:c r="AD1147" s="17" t="str">
        <x:v>Не проверено</x:v>
      </x:c>
      <x:c r="AE1147" s="17" t="str">
        <x:v>Не проверено</x:v>
      </x:c>
      <x:c r="AF1147" s="17" t="str">
        <x:v>Не проверено</x:v>
      </x:c>
      <x:c r="AG1147" s="17" t="str">
        <x:v>Не решено</x:v>
      </x:c>
      <x:c r="AH1147" s="17" t="str">
        <x:v>Не проверено</x:v>
      </x:c>
      <x:c r="AI1147" s="10" t="str">
        <x:f>IF(AC1147="Отклонить","Отклонено",IF(AND(AC1147="Взять",COUNTIFS(AD1147:AH1147,"Да")=5),"Готово","Нужна редактура"))</x:f>
        <x:v>Нужна редактура</x:v>
      </x:c>
      <x:c r="AJ1147" s="17" t="str"/>
      <x:c r="AK1147" s="9" t="str">
        <x:v>https://www.youtube.com/playlist?list=PL0ZkulyfP8bfTfa3uRRAFrfMZb62R6QMl</x:v>
      </x:c>
      <x:c r="AL1147" s="9" t="n">
        <x:v>15</x:v>
      </x:c>
      <x:c r="AM1147" s="9"/>
      <x:c r="AN1147" s="9"/>
    </x:row>
    <x:row r="1148" ht="60" customHeight="1">
      <x:c r="A1148" s="9" t="str">
        <x:v>d1pBtsrNz2k</x:v>
      </x:c>
      <x:c r="B1148" s="10" t="str">
        <x:v>סליים אכיל בטעם שוקולד</x:v>
      </x:c>
      <x:c r="C1148" s="10" t="str">
        <x:v>Наука в быту</x:v>
      </x:c>
      <x:c r="D1148" s="9" t="str">
        <x:v>Образование</x:v>
      </x:c>
      <x:c r="E1148" s="10" t="str">
        <x:v>Наука; семья; любознательные</x:v>
      </x:c>
      <x:c r="F1148" s="10" t="str">
        <x:v>B1–B2 (гипотеза)</x:v>
      </x:c>
      <x:c r="G1148" s="12" t="n">
        <x:v>3.2</x:v>
      </x:c>
      <x:c r="H1148" s="14" t="n">
        <x:v>8100</x:v>
      </x:c>
      <x:c r="I1148" s="15" t="str">
        <x:v>Округлённый счётчик в списке YouTube</x:v>
      </x:c>
      <x:c r="J1148" s="14" t="n">
        <x:v>8100</x:v>
      </x:c>
      <x:c r="K1148" s="14" t="n">
        <x:v>9650</x:v>
      </x:c>
      <x:c r="L1148" s="12" t="n">
        <x:f>IF(COUNT(J1148:K1148)=2,IF(K1148=0,"",J1148/K1148),"")</x:f>
        <x:v>0.8393782383419689</x:v>
      </x:c>
      <x:c r="M1148" s="10" t="str">
        <x:v>Завершённый короткий просмотр около 3 мин. Бытовая ситуация помогает понимать научную лексику через знакомое действие.</x:v>
      </x:c>
      <x:c r="N1148" s="10" t="str">
        <x:v>Объяснить, что меняется и почему; выписать глаголы процесса.</x:v>
      </x:c>
      <x:c r="O1148" s="10" t="str">
        <x:v>Проверить основной язык речи; каталог содержит и переводные материалы</x:v>
      </x:c>
      <x:c r="P1148" s="10" t="str">
        <x:v>Самостоятельное видео</x:v>
      </x:c>
      <x:c r="Q1148" s="9" t="str">
        <x:v>Нет</x:v>
      </x:c>
      <x:c r="R1148" s="9" t="str">
        <x:v>C062</x:v>
      </x:c>
      <x:c r="S1148" s="9" t="str">
        <x:v>C062</x:v>
      </x:c>
      <x:c r="T1148" s="10" t="str">
        <x:v>מכון דוידסון - סרטוני מדע</x:v>
      </x:c>
      <x:c r="U1148" s="11" t="str">
        <x:v>https://www.youtube.com/watch?v=d1pBtsrNz2k</x:v>
      </x:c>
      <x:c r="V1148" s="16" t="n">
        <x:v>46308</x:v>
      </x:c>
      <x:c r="W1148" s="16"/>
      <x:c r="X1148" s="10" t="str">
        <x:v>Иврит предполагается по заголовку и источнику</x:v>
      </x:c>
      <x:c r="Y1148" s="10" t="str">
        <x:v>Не проверено</x:v>
      </x:c>
      <x:c r="Z1148" s="10" t="str">
        <x:v>Не проверено</x:v>
      </x:c>
      <x:c r="AA1148" s="10" t="str">
        <x:v>Метаданные списка; видео не просмотрено</x:v>
      </x:c>
      <x:c r="AB1148" s="13" t="str">
        <x:f>IF(AND(ISNUMBER(H1148),ISNUMBER(W1148)),H1148/MAX(1,'Обзор'!$B$4-W1148),"")</x:f>
      </x:c>
      <x:c r="AC1148" s="17" t="str">
        <x:v>Не решено</x:v>
      </x:c>
      <x:c r="AD1148" s="17" t="str">
        <x:v>Не проверено</x:v>
      </x:c>
      <x:c r="AE1148" s="17" t="str">
        <x:v>Не проверено</x:v>
      </x:c>
      <x:c r="AF1148" s="17" t="str">
        <x:v>Не проверено</x:v>
      </x:c>
      <x:c r="AG1148" s="17" t="str">
        <x:v>Не решено</x:v>
      </x:c>
      <x:c r="AH1148" s="17" t="str">
        <x:v>Не проверено</x:v>
      </x:c>
      <x:c r="AI1148" s="10" t="str">
        <x:f>IF(AC1148="Отклонить","Отклонено",IF(AND(AC1148="Взять",COUNTIFS(AD1148:AH1148,"Да")=5),"Готово","Нужна редактура"))</x:f>
        <x:v>Нужна редактура</x:v>
      </x:c>
      <x:c r="AJ1148" s="17" t="str"/>
      <x:c r="AK1148" s="9" t="str">
        <x:v>https://www.youtube.com/playlist?list=PL0ZkulyfP8bfTfa3uRRAFrfMZb62R6QMl</x:v>
      </x:c>
      <x:c r="AL1148" s="9" t="n">
        <x:v>16</x:v>
      </x:c>
      <x:c r="AM1148" s="9"/>
      <x:c r="AN1148" s="9"/>
    </x:row>
    <x:row r="1149" ht="60" customHeight="1">
      <x:c r="A1149" s="9" t="str">
        <x:v>M14eGtNKWXo</x:v>
      </x:c>
      <x:c r="B1149" s="10" t="str">
        <x:v>איך אופים לחם בשקית?</x:v>
      </x:c>
      <x:c r="C1149" s="10" t="str">
        <x:v>Наука в быту</x:v>
      </x:c>
      <x:c r="D1149" s="9" t="str">
        <x:v>Образование</x:v>
      </x:c>
      <x:c r="E1149" s="10" t="str">
        <x:v>Наука; семья; любознательные</x:v>
      </x:c>
      <x:c r="F1149" s="10" t="str">
        <x:v>B1–B2 (гипотеза)</x:v>
      </x:c>
      <x:c r="G1149" s="12" t="n">
        <x:v>4.6</x:v>
      </x:c>
      <x:c r="H1149" s="14" t="n">
        <x:v>27500</x:v>
      </x:c>
      <x:c r="I1149" s="15" t="str">
        <x:v>Точный счётчик метаданных видео</x:v>
      </x:c>
      <x:c r="J1149" s="14" t="n">
        <x:v>27000</x:v>
      </x:c>
      <x:c r="K1149" s="14" t="n">
        <x:v>9650</x:v>
      </x:c>
      <x:c r="L1149" s="12" t="n">
        <x:f>IF(COUNT(J1149:K1149)=2,IF(K1149=0,"",J1149/K1149),"")</x:f>
        <x:v>2.7979274611398965</x:v>
      </x:c>
      <x:c r="M1149" s="10" t="str">
        <x:v>Завершённый короткий просмотр около 5 мин. Просмотры в списке выше медианы выборки этого цикла в 2.8 раза. Бытовая ситуация помогает понимать научную лексику через знакомое действие.</x:v>
      </x:c>
      <x:c r="N1149" s="10" t="str">
        <x:v>Объяснить, что меняется и почему; выписать глаголы процесса.</x:v>
      </x:c>
      <x:c r="O1149" s="10" t="str">
        <x:v>Проверить основной язык речи; каталог содержит и переводные материалы</x:v>
      </x:c>
      <x:c r="P1149" s="10" t="str">
        <x:v>Самостоятельное видео</x:v>
      </x:c>
      <x:c r="Q1149" s="9" t="str">
        <x:v>Нет</x:v>
      </x:c>
      <x:c r="R1149" s="9" t="str">
        <x:v>C062</x:v>
      </x:c>
      <x:c r="S1149" s="9" t="str">
        <x:v>C062</x:v>
      </x:c>
      <x:c r="T1149" s="10" t="str">
        <x:v>מכון דוידסון - סרטוני מדע</x:v>
      </x:c>
      <x:c r="U1149" s="11" t="str">
        <x:v>https://www.youtube.com/watch?v=M14eGtNKWXo</x:v>
      </x:c>
      <x:c r="V1149" s="16" t="n">
        <x:v>46308</x:v>
      </x:c>
      <x:c r="W1149" s="16" t="n">
        <x:v>45291</x:v>
      </x:c>
      <x:c r="X1149" s="10" t="str">
        <x:v>Иврит предполагается по заголовку и источнику</x:v>
      </x:c>
      <x:c r="Y1149" s="10" t="str">
        <x:v>Ручная дорожка HE по метаданным</x:v>
      </x:c>
      <x:c r="Z1149" s="10" t="str">
        <x:v>Разрешено по метаданным</x:v>
      </x:c>
      <x:c r="AA1149" s="10" t="str">
        <x:v>Метаданные видео; воспроизведение и содержание не проверены</x:v>
      </x:c>
      <x:c r="AB1149" s="13" t="n">
        <x:f>IF(AND(ISNUMBER(H1149),ISNUMBER(W1149)),H1149/MAX(1,'Обзор'!$B$4-W1149),"")</x:f>
        <x:v>27.04031465093412</x:v>
      </x:c>
      <x:c r="AC1149" s="17" t="str">
        <x:v>Не решено</x:v>
      </x:c>
      <x:c r="AD1149" s="17" t="str">
        <x:v>Не проверено</x:v>
      </x:c>
      <x:c r="AE1149" s="17" t="str">
        <x:v>Не проверено</x:v>
      </x:c>
      <x:c r="AF1149" s="17" t="str">
        <x:v>Не проверено</x:v>
      </x:c>
      <x:c r="AG1149" s="17" t="str">
        <x:v>Не решено</x:v>
      </x:c>
      <x:c r="AH1149" s="17" t="str">
        <x:v>Не проверено</x:v>
      </x:c>
      <x:c r="AI1149" s="10" t="str">
        <x:f>IF(AC1149="Отклонить","Отклонено",IF(AND(AC1149="Взять",COUNTIFS(AD1149:AH1149,"Да")=5),"Готово","Нужна редактура"))</x:f>
        <x:v>Нужна редактура</x:v>
      </x:c>
      <x:c r="AJ1149" s="17" t="str"/>
      <x:c r="AK1149" s="9" t="str">
        <x:v>https://www.youtube.com/playlist?list=PL0ZkulyfP8bfTfa3uRRAFrfMZb62R6QMl</x:v>
      </x:c>
      <x:c r="AL1149" s="9" t="n">
        <x:v>17</x:v>
      </x:c>
      <x:c r="AM1149" s="9"/>
      <x:c r="AN1149" s="9" t="n">
        <x:v>0</x:v>
      </x:c>
    </x:row>
    <x:row r="1150" ht="60" customHeight="1">
      <x:c r="A1150" s="9" t="str">
        <x:v>wYt432rOwWk</x:v>
      </x:c>
      <x:c r="B1150" s="10" t="str">
        <x:v>איך מכינים סוכריות גומי בבית</x:v>
      </x:c>
      <x:c r="C1150" s="10" t="str">
        <x:v>Наука в быту</x:v>
      </x:c>
      <x:c r="D1150" s="9" t="str">
        <x:v>Образование</x:v>
      </x:c>
      <x:c r="E1150" s="10" t="str">
        <x:v>Наука; семья; любознательные</x:v>
      </x:c>
      <x:c r="F1150" s="10" t="str">
        <x:v>B1–B2 (гипотеза)</x:v>
      </x:c>
      <x:c r="G1150" s="12" t="n">
        <x:v>3.2</x:v>
      </x:c>
      <x:c r="H1150" s="14" t="n">
        <x:v>36470</x:v>
      </x:c>
      <x:c r="I1150" s="15" t="str">
        <x:v>Точный счётчик метаданных видео</x:v>
      </x:c>
      <x:c r="J1150" s="14" t="n">
        <x:v>36000</x:v>
      </x:c>
      <x:c r="K1150" s="14" t="n">
        <x:v>9650</x:v>
      </x:c>
      <x:c r="L1150" s="12" t="n">
        <x:f>IF(COUNT(J1150:K1150)=2,IF(K1150=0,"",J1150/K1150),"")</x:f>
        <x:v>3.7305699481865284</x:v>
      </x:c>
      <x:c r="M1150" s="10" t="str">
        <x:v>Завершённый короткий просмотр около 3 мин. Просмотры в списке выше медианы выборки этого цикла в 3.73 раза. Бытовая ситуация помогает понимать научную лексику через знакомое действие.</x:v>
      </x:c>
      <x:c r="N1150" s="10" t="str">
        <x:v>Объяснить, что меняется и почему; выписать глаголы процесса.</x:v>
      </x:c>
      <x:c r="O1150" s="10" t="str">
        <x:v>Проверить основной язык речи; каталог содержит и переводные материалы</x:v>
      </x:c>
      <x:c r="P1150" s="10" t="str">
        <x:v>Самостоятельное видео</x:v>
      </x:c>
      <x:c r="Q1150" s="9" t="str">
        <x:v>Нет</x:v>
      </x:c>
      <x:c r="R1150" s="9" t="str">
        <x:v>C062</x:v>
      </x:c>
      <x:c r="S1150" s="9" t="str">
        <x:v>C062</x:v>
      </x:c>
      <x:c r="T1150" s="10" t="str">
        <x:v>מכון דוידסון - סרטוני מדע</x:v>
      </x:c>
      <x:c r="U1150" s="11" t="str">
        <x:v>https://www.youtube.com/watch?v=wYt432rOwWk</x:v>
      </x:c>
      <x:c r="V1150" s="16" t="n">
        <x:v>46308</x:v>
      </x:c>
      <x:c r="W1150" s="16" t="n">
        <x:v>45284</x:v>
      </x:c>
      <x:c r="X1150" s="10" t="str">
        <x:v>Иврит предполагается по заголовку и источнику</x:v>
      </x:c>
      <x:c r="Y1150" s="10" t="str">
        <x:v>Ручная дорожка HE по метаданным</x:v>
      </x:c>
      <x:c r="Z1150" s="10" t="str">
        <x:v>Разрешено по метаданным</x:v>
      </x:c>
      <x:c r="AA1150" s="10" t="str">
        <x:v>Метаданные видео; воспроизведение и содержание не проверены</x:v>
      </x:c>
      <x:c r="AB1150" s="13" t="n">
        <x:f>IF(AND(ISNUMBER(H1150),ISNUMBER(W1150)),H1150/MAX(1,'Обзор'!$B$4-W1150),"")</x:f>
        <x:v>35.615234375</x:v>
      </x:c>
      <x:c r="AC1150" s="17" t="str">
        <x:v>Не решено</x:v>
      </x:c>
      <x:c r="AD1150" s="17" t="str">
        <x:v>Не проверено</x:v>
      </x:c>
      <x:c r="AE1150" s="17" t="str">
        <x:v>Не проверено</x:v>
      </x:c>
      <x:c r="AF1150" s="17" t="str">
        <x:v>Не проверено</x:v>
      </x:c>
      <x:c r="AG1150" s="17" t="str">
        <x:v>Не решено</x:v>
      </x:c>
      <x:c r="AH1150" s="17" t="str">
        <x:v>Не проверено</x:v>
      </x:c>
      <x:c r="AI1150" s="10" t="str">
        <x:f>IF(AC1150="Отклонить","Отклонено",IF(AND(AC1150="Взять",COUNTIFS(AD1150:AH1150,"Да")=5),"Готово","Нужна редактура"))</x:f>
        <x:v>Нужна редактура</x:v>
      </x:c>
      <x:c r="AJ1150" s="17" t="str"/>
      <x:c r="AK1150" s="9" t="str">
        <x:v>https://www.youtube.com/playlist?list=PL0ZkulyfP8bfTfa3uRRAFrfMZb62R6QMl</x:v>
      </x:c>
      <x:c r="AL1150" s="9" t="n">
        <x:v>18</x:v>
      </x:c>
      <x:c r="AM1150" s="9"/>
      <x:c r="AN1150" s="9" t="n">
        <x:v>0</x:v>
      </x:c>
    </x:row>
    <x:row r="1151" ht="60" customHeight="1">
      <x:c r="A1151" s="9" t="str">
        <x:v>Uj3-GzNRDb0</x:v>
      </x:c>
      <x:c r="B1151" s="10" t="str">
        <x:v>קסם הספגטי הגדול!</x:v>
      </x:c>
      <x:c r="C1151" s="10" t="str">
        <x:v>Наука в быту</x:v>
      </x:c>
      <x:c r="D1151" s="9" t="str">
        <x:v>Образование</x:v>
      </x:c>
      <x:c r="E1151" s="10" t="str">
        <x:v>Наука; семья; любознательные</x:v>
      </x:c>
      <x:c r="F1151" s="10" t="str">
        <x:v>B1–B2 (гипотеза)</x:v>
      </x:c>
      <x:c r="G1151" s="12" t="n">
        <x:v>2.3</x:v>
      </x:c>
      <x:c r="H1151" s="14" t="n">
        <x:v>5100</x:v>
      </x:c>
      <x:c r="I1151" s="15" t="str">
        <x:v>Округлённый счётчик в списке YouTube</x:v>
      </x:c>
      <x:c r="J1151" s="14" t="n">
        <x:v>5100</x:v>
      </x:c>
      <x:c r="K1151" s="14" t="n">
        <x:v>9650</x:v>
      </x:c>
      <x:c r="L1151" s="12" t="n">
        <x:f>IF(COUNT(J1151:K1151)=2,IF(K1151=0,"",J1151/K1151),"")</x:f>
        <x:v>0.5284974093264249</x:v>
      </x:c>
      <x:c r="M1151" s="10" t="str">
        <x:v>Завершённый короткий просмотр около 2 мин. Бытовая ситуация помогает понимать научную лексику через знакомое действие.</x:v>
      </x:c>
      <x:c r="N1151" s="10" t="str">
        <x:v>Объяснить, что меняется и почему; выписать глаголы процесса.</x:v>
      </x:c>
      <x:c r="O1151" s="10" t="str">
        <x:v>Проверить основной язык речи; каталог содержит и переводные материалы</x:v>
      </x:c>
      <x:c r="P1151" s="10" t="str">
        <x:v>Самостоятельное видео</x:v>
      </x:c>
      <x:c r="Q1151" s="9" t="str">
        <x:v>Нет</x:v>
      </x:c>
      <x:c r="R1151" s="9" t="str">
        <x:v>C062</x:v>
      </x:c>
      <x:c r="S1151" s="9" t="str">
        <x:v>C062</x:v>
      </x:c>
      <x:c r="T1151" s="10" t="str">
        <x:v>מכון דוידסון - סרטוני מדע</x:v>
      </x:c>
      <x:c r="U1151" s="11" t="str">
        <x:v>https://www.youtube.com/watch?v=Uj3-GzNRDb0</x:v>
      </x:c>
      <x:c r="V1151" s="16" t="n">
        <x:v>46308</x:v>
      </x:c>
      <x:c r="W1151" s="16"/>
      <x:c r="X1151" s="10" t="str">
        <x:v>Иврит предполагается по заголовку и источнику</x:v>
      </x:c>
      <x:c r="Y1151" s="10" t="str">
        <x:v>Не проверено</x:v>
      </x:c>
      <x:c r="Z1151" s="10" t="str">
        <x:v>Не проверено</x:v>
      </x:c>
      <x:c r="AA1151" s="10" t="str">
        <x:v>Метаданные списка; видео не просмотрено</x:v>
      </x:c>
      <x:c r="AB1151" s="13" t="str">
        <x:f>IF(AND(ISNUMBER(H1151),ISNUMBER(W1151)),H1151/MAX(1,'Обзор'!$B$4-W1151),"")</x:f>
      </x:c>
      <x:c r="AC1151" s="17" t="str">
        <x:v>Не решено</x:v>
      </x:c>
      <x:c r="AD1151" s="17" t="str">
        <x:v>Не проверено</x:v>
      </x:c>
      <x:c r="AE1151" s="17" t="str">
        <x:v>Не проверено</x:v>
      </x:c>
      <x:c r="AF1151" s="17" t="str">
        <x:v>Не проверено</x:v>
      </x:c>
      <x:c r="AG1151" s="17" t="str">
        <x:v>Не решено</x:v>
      </x:c>
      <x:c r="AH1151" s="17" t="str">
        <x:v>Не проверено</x:v>
      </x:c>
      <x:c r="AI1151" s="10" t="str">
        <x:f>IF(AC1151="Отклонить","Отклонено",IF(AND(AC1151="Взять",COUNTIFS(AD1151:AH1151,"Да")=5),"Готово","Нужна редактура"))</x:f>
        <x:v>Нужна редактура</x:v>
      </x:c>
      <x:c r="AJ1151" s="17" t="str"/>
      <x:c r="AK1151" s="9" t="str">
        <x:v>https://www.youtube.com/playlist?list=PL0ZkulyfP8bfTfa3uRRAFrfMZb62R6QMl</x:v>
      </x:c>
      <x:c r="AL1151" s="9" t="n">
        <x:v>19</x:v>
      </x:c>
      <x:c r="AM1151" s="9"/>
      <x:c r="AN1151" s="9"/>
    </x:row>
    <x:row r="1152" ht="60" customHeight="1">
      <x:c r="A1152" s="9" t="str">
        <x:v>tfL2G9ryEV0</x:v>
      </x:c>
      <x:c r="B1152" s="10" t="str">
        <x:v>אטריות חד קרן</x:v>
      </x:c>
      <x:c r="C1152" s="10" t="str">
        <x:v>Наука в быту</x:v>
      </x:c>
      <x:c r="D1152" s="9" t="str">
        <x:v>Образование</x:v>
      </x:c>
      <x:c r="E1152" s="10" t="str">
        <x:v>Наука; семья; любознательные</x:v>
      </x:c>
      <x:c r="F1152" s="10" t="str">
        <x:v>B1–B2 (гипотеза)</x:v>
      </x:c>
      <x:c r="G1152" s="12" t="n">
        <x:v>4.1</x:v>
      </x:c>
      <x:c r="H1152" s="14" t="n">
        <x:v>6600</x:v>
      </x:c>
      <x:c r="I1152" s="15" t="str">
        <x:v>Округлённый счётчик в списке YouTube</x:v>
      </x:c>
      <x:c r="J1152" s="14" t="n">
        <x:v>6600</x:v>
      </x:c>
      <x:c r="K1152" s="14" t="n">
        <x:v>9650</x:v>
      </x:c>
      <x:c r="L1152" s="12" t="n">
        <x:f>IF(COUNT(J1152:K1152)=2,IF(K1152=0,"",J1152/K1152),"")</x:f>
        <x:v>0.6839378238341969</x:v>
      </x:c>
      <x:c r="M1152" s="10" t="str">
        <x:v>Завершённый короткий просмотр около 4 мин. Бытовая ситуация помогает понимать научную лексику через знакомое действие.</x:v>
      </x:c>
      <x:c r="N1152" s="10" t="str">
        <x:v>Объяснить, что меняется и почему; выписать глаголы процесса.</x:v>
      </x:c>
      <x:c r="O1152" s="10" t="str">
        <x:v>Проверить основной язык речи; каталог содержит и переводные материалы</x:v>
      </x:c>
      <x:c r="P1152" s="10" t="str">
        <x:v>Самостоятельное видео</x:v>
      </x:c>
      <x:c r="Q1152" s="9" t="str">
        <x:v>Нет</x:v>
      </x:c>
      <x:c r="R1152" s="9" t="str">
        <x:v>C062</x:v>
      </x:c>
      <x:c r="S1152" s="9" t="str">
        <x:v>C062</x:v>
      </x:c>
      <x:c r="T1152" s="10" t="str">
        <x:v>מכון דוידסון - סרטוני מדע</x:v>
      </x:c>
      <x:c r="U1152" s="11" t="str">
        <x:v>https://www.youtube.com/watch?v=tfL2G9ryEV0</x:v>
      </x:c>
      <x:c r="V1152" s="16" t="n">
        <x:v>46308</x:v>
      </x:c>
      <x:c r="W1152" s="16"/>
      <x:c r="X1152" s="10" t="str">
        <x:v>Иврит предполагается по заголовку и источнику</x:v>
      </x:c>
      <x:c r="Y1152" s="10" t="str">
        <x:v>Не проверено</x:v>
      </x:c>
      <x:c r="Z1152" s="10" t="str">
        <x:v>Не проверено</x:v>
      </x:c>
      <x:c r="AA1152" s="10" t="str">
        <x:v>Метаданные списка; видео не просмотрено</x:v>
      </x:c>
      <x:c r="AB1152" s="13" t="str">
        <x:f>IF(AND(ISNUMBER(H1152),ISNUMBER(W1152)),H1152/MAX(1,'Обзор'!$B$4-W1152),"")</x:f>
      </x:c>
      <x:c r="AC1152" s="17" t="str">
        <x:v>Не решено</x:v>
      </x:c>
      <x:c r="AD1152" s="17" t="str">
        <x:v>Не проверено</x:v>
      </x:c>
      <x:c r="AE1152" s="17" t="str">
        <x:v>Не проверено</x:v>
      </x:c>
      <x:c r="AF1152" s="17" t="str">
        <x:v>Не проверено</x:v>
      </x:c>
      <x:c r="AG1152" s="17" t="str">
        <x:v>Не решено</x:v>
      </x:c>
      <x:c r="AH1152" s="17" t="str">
        <x:v>Не проверено</x:v>
      </x:c>
      <x:c r="AI1152" s="10" t="str">
        <x:f>IF(AC1152="Отклонить","Отклонено",IF(AND(AC1152="Взять",COUNTIFS(AD1152:AH1152,"Да")=5),"Готово","Нужна редактура"))</x:f>
        <x:v>Нужна редактура</x:v>
      </x:c>
      <x:c r="AJ1152" s="17" t="str"/>
      <x:c r="AK1152" s="9" t="str">
        <x:v>https://www.youtube.com/playlist?list=PL0ZkulyfP8bfTfa3uRRAFrfMZb62R6QMl</x:v>
      </x:c>
      <x:c r="AL1152" s="9" t="n">
        <x:v>20</x:v>
      </x:c>
      <x:c r="AM1152" s="9"/>
      <x:c r="AN1152" s="9"/>
    </x:row>
    <x:row r="1153" ht="60" customHeight="1">
      <x:c r="A1153" s="9" t="str">
        <x:v>7dSxI8OQ2XE</x:v>
      </x:c>
      <x:c r="B1153" s="10" t="str">
        <x:v>יוגורט עם חיידקים טובים</x:v>
      </x:c>
      <x:c r="C1153" s="10" t="str">
        <x:v>Наука в быту</x:v>
      </x:c>
      <x:c r="D1153" s="9" t="str">
        <x:v>Образование</x:v>
      </x:c>
      <x:c r="E1153" s="10" t="str">
        <x:v>Наука; семья; любознательные</x:v>
      </x:c>
      <x:c r="F1153" s="10" t="str">
        <x:v>B1–B2 (гипотеза)</x:v>
      </x:c>
      <x:c r="G1153" s="12" t="n">
        <x:v>4.3</x:v>
      </x:c>
      <x:c r="H1153" s="14" t="n">
        <x:v>5300</x:v>
      </x:c>
      <x:c r="I1153" s="15" t="str">
        <x:v>Округлённый счётчик в списке YouTube</x:v>
      </x:c>
      <x:c r="J1153" s="14" t="n">
        <x:v>5300</x:v>
      </x:c>
      <x:c r="K1153" s="14" t="n">
        <x:v>9650</x:v>
      </x:c>
      <x:c r="L1153" s="12" t="n">
        <x:f>IF(COUNT(J1153:K1153)=2,IF(K1153=0,"",J1153/K1153),"")</x:f>
        <x:v>0.5492227979274611</x:v>
      </x:c>
      <x:c r="M1153" s="10" t="str">
        <x:v>Завершённый короткий просмотр около 4 мин. Бытовая ситуация помогает понимать научную лексику через знакомое действие.</x:v>
      </x:c>
      <x:c r="N1153" s="10" t="str">
        <x:v>Объяснить, что меняется и почему; выписать глаголы процесса.</x:v>
      </x:c>
      <x:c r="O1153" s="10" t="str">
        <x:v>Проверить основной язык речи; каталог содержит и переводные материалы</x:v>
      </x:c>
      <x:c r="P1153" s="10" t="str">
        <x:v>Самостоятельное видео</x:v>
      </x:c>
      <x:c r="Q1153" s="9" t="str">
        <x:v>Нет</x:v>
      </x:c>
      <x:c r="R1153" s="9" t="str">
        <x:v>C062</x:v>
      </x:c>
      <x:c r="S1153" s="9" t="str">
        <x:v>C062</x:v>
      </x:c>
      <x:c r="T1153" s="10" t="str">
        <x:v>מכון דוידסון - סרטוני מדע</x:v>
      </x:c>
      <x:c r="U1153" s="11" t="str">
        <x:v>https://www.youtube.com/watch?v=7dSxI8OQ2XE</x:v>
      </x:c>
      <x:c r="V1153" s="16" t="n">
        <x:v>46308</x:v>
      </x:c>
      <x:c r="W1153" s="16"/>
      <x:c r="X1153" s="10" t="str">
        <x:v>Иврит предполагается по заголовку и источнику</x:v>
      </x:c>
      <x:c r="Y1153" s="10" t="str">
        <x:v>Не проверено</x:v>
      </x:c>
      <x:c r="Z1153" s="10" t="str">
        <x:v>Не проверено</x:v>
      </x:c>
      <x:c r="AA1153" s="10" t="str">
        <x:v>Метаданные списка; видео не просмотрено</x:v>
      </x:c>
      <x:c r="AB1153" s="13" t="str">
        <x:f>IF(AND(ISNUMBER(H1153),ISNUMBER(W1153)),H1153/MAX(1,'Обзор'!$B$4-W1153),"")</x:f>
      </x:c>
      <x:c r="AC1153" s="17" t="str">
        <x:v>Не решено</x:v>
      </x:c>
      <x:c r="AD1153" s="17" t="str">
        <x:v>Не проверено</x:v>
      </x:c>
      <x:c r="AE1153" s="17" t="str">
        <x:v>Не проверено</x:v>
      </x:c>
      <x:c r="AF1153" s="17" t="str">
        <x:v>Не проверено</x:v>
      </x:c>
      <x:c r="AG1153" s="17" t="str">
        <x:v>Не решено</x:v>
      </x:c>
      <x:c r="AH1153" s="17" t="str">
        <x:v>Не проверено</x:v>
      </x:c>
      <x:c r="AI1153" s="10" t="str">
        <x:f>IF(AC1153="Отклонить","Отклонено",IF(AND(AC1153="Взять",COUNTIFS(AD1153:AH1153,"Да")=5),"Готово","Нужна редактура"))</x:f>
        <x:v>Нужна редактура</x:v>
      </x:c>
      <x:c r="AJ1153" s="17" t="str"/>
      <x:c r="AK1153" s="9" t="str">
        <x:v>https://www.youtube.com/playlist?list=PL0ZkulyfP8bfTfa3uRRAFrfMZb62R6QMl</x:v>
      </x:c>
      <x:c r="AL1153" s="9" t="n">
        <x:v>21</x:v>
      </x:c>
      <x:c r="AM1153" s="9"/>
      <x:c r="AN1153" s="9"/>
    </x:row>
    <x:row r="1154" ht="60" customHeight="1">
      <x:c r="A1154" s="9" t="str">
        <x:v>EPTQpScSARw</x:v>
      </x:c>
      <x:c r="B1154" s="10" t="str">
        <x:v>סורבה בטעמים</x:v>
      </x:c>
      <x:c r="C1154" s="10" t="str">
        <x:v>Наука в быту</x:v>
      </x:c>
      <x:c r="D1154" s="9" t="str">
        <x:v>Образование</x:v>
      </x:c>
      <x:c r="E1154" s="10" t="str">
        <x:v>Наука; семья; любознательные</x:v>
      </x:c>
      <x:c r="F1154" s="10" t="str">
        <x:v>B1–B2 (гипотеза)</x:v>
      </x:c>
      <x:c r="G1154" s="12" t="n">
        <x:v>4.6</x:v>
      </x:c>
      <x:c r="H1154" s="14" t="n">
        <x:v>8100</x:v>
      </x:c>
      <x:c r="I1154" s="15" t="str">
        <x:v>Округлённый счётчик в списке YouTube</x:v>
      </x:c>
      <x:c r="J1154" s="14" t="n">
        <x:v>8100</x:v>
      </x:c>
      <x:c r="K1154" s="14" t="n">
        <x:v>9650</x:v>
      </x:c>
      <x:c r="L1154" s="12" t="n">
        <x:f>IF(COUNT(J1154:K1154)=2,IF(K1154=0,"",J1154/K1154),"")</x:f>
        <x:v>0.8393782383419689</x:v>
      </x:c>
      <x:c r="M1154" s="10" t="str">
        <x:v>Завершённый короткий просмотр около 5 мин. Бытовая ситуация помогает понимать научную лексику через знакомое действие.</x:v>
      </x:c>
      <x:c r="N1154" s="10" t="str">
        <x:v>Объяснить, что меняется и почему; выписать глаголы процесса.</x:v>
      </x:c>
      <x:c r="O1154" s="10" t="str">
        <x:v>Проверить основной язык речи; каталог содержит и переводные материалы</x:v>
      </x:c>
      <x:c r="P1154" s="10" t="str">
        <x:v>Самостоятельное видео</x:v>
      </x:c>
      <x:c r="Q1154" s="9" t="str">
        <x:v>Нет</x:v>
      </x:c>
      <x:c r="R1154" s="9" t="str">
        <x:v>C062</x:v>
      </x:c>
      <x:c r="S1154" s="9" t="str">
        <x:v>C062</x:v>
      </x:c>
      <x:c r="T1154" s="10" t="str">
        <x:v>מכון דוידסון - סרטוני מדע</x:v>
      </x:c>
      <x:c r="U1154" s="11" t="str">
        <x:v>https://www.youtube.com/watch?v=EPTQpScSARw</x:v>
      </x:c>
      <x:c r="V1154" s="16" t="n">
        <x:v>46308</x:v>
      </x:c>
      <x:c r="W1154" s="16"/>
      <x:c r="X1154" s="10" t="str">
        <x:v>Иврит предполагается по заголовку и источнику</x:v>
      </x:c>
      <x:c r="Y1154" s="10" t="str">
        <x:v>Не проверено</x:v>
      </x:c>
      <x:c r="Z1154" s="10" t="str">
        <x:v>Не проверено</x:v>
      </x:c>
      <x:c r="AA1154" s="10" t="str">
        <x:v>Метаданные списка; видео не просмотрено</x:v>
      </x:c>
      <x:c r="AB1154" s="13" t="str">
        <x:f>IF(AND(ISNUMBER(H1154),ISNUMBER(W1154)),H1154/MAX(1,'Обзор'!$B$4-W1154),"")</x:f>
      </x:c>
      <x:c r="AC1154" s="17" t="str">
        <x:v>Не решено</x:v>
      </x:c>
      <x:c r="AD1154" s="17" t="str">
        <x:v>Не проверено</x:v>
      </x:c>
      <x:c r="AE1154" s="17" t="str">
        <x:v>Не проверено</x:v>
      </x:c>
      <x:c r="AF1154" s="17" t="str">
        <x:v>Не проверено</x:v>
      </x:c>
      <x:c r="AG1154" s="17" t="str">
        <x:v>Не решено</x:v>
      </x:c>
      <x:c r="AH1154" s="17" t="str">
        <x:v>Не проверено</x:v>
      </x:c>
      <x:c r="AI1154" s="10" t="str">
        <x:f>IF(AC1154="Отклонить","Отклонено",IF(AND(AC1154="Взять",COUNTIFS(AD1154:AH1154,"Да")=5),"Готово","Нужна редактура"))</x:f>
        <x:v>Нужна редактура</x:v>
      </x:c>
      <x:c r="AJ1154" s="17" t="str"/>
      <x:c r="AK1154" s="9" t="str">
        <x:v>https://www.youtube.com/playlist?list=PL0ZkulyfP8bfTfa3uRRAFrfMZb62R6QMl</x:v>
      </x:c>
      <x:c r="AL1154" s="9" t="n">
        <x:v>22</x:v>
      </x:c>
      <x:c r="AM1154" s="9"/>
      <x:c r="AN1154" s="9"/>
    </x:row>
    <x:row r="1155" ht="60" customHeight="1">
      <x:c r="A1155" s="9" t="str">
        <x:v>v1ctkpYM1AY</x:v>
      </x:c>
      <x:c r="B1155" s="10" t="str">
        <x:v>קפה קצפת</x:v>
      </x:c>
      <x:c r="C1155" s="10" t="str">
        <x:v>Наука в быту</x:v>
      </x:c>
      <x:c r="D1155" s="9" t="str">
        <x:v>Образование</x:v>
      </x:c>
      <x:c r="E1155" s="10" t="str">
        <x:v>Наука; семья; любознательные</x:v>
      </x:c>
      <x:c r="F1155" s="10" t="str">
        <x:v>B1–B2 (гипотеза)</x:v>
      </x:c>
      <x:c r="G1155" s="12" t="n">
        <x:v>3.7</x:v>
      </x:c>
      <x:c r="H1155" s="14" t="n">
        <x:v>6500</x:v>
      </x:c>
      <x:c r="I1155" s="15" t="str">
        <x:v>Округлённый счётчик в списке YouTube</x:v>
      </x:c>
      <x:c r="J1155" s="14" t="n">
        <x:v>6500</x:v>
      </x:c>
      <x:c r="K1155" s="14" t="n">
        <x:v>9650</x:v>
      </x:c>
      <x:c r="L1155" s="12" t="n">
        <x:f>IF(COUNT(J1155:K1155)=2,IF(K1155=0,"",J1155/K1155),"")</x:f>
        <x:v>0.6735751295336787</x:v>
      </x:c>
      <x:c r="M1155" s="10" t="str">
        <x:v>Завершённый короткий просмотр около 4 мин. Бытовая ситуация помогает понимать научную лексику через знакомое действие.</x:v>
      </x:c>
      <x:c r="N1155" s="10" t="str">
        <x:v>Объяснить, что меняется и почему; выписать глаголы процесса.</x:v>
      </x:c>
      <x:c r="O1155" s="10" t="str">
        <x:v>Проверить основной язык речи; каталог содержит и переводные материалы</x:v>
      </x:c>
      <x:c r="P1155" s="10" t="str">
        <x:v>Самостоятельное видео</x:v>
      </x:c>
      <x:c r="Q1155" s="9" t="str">
        <x:v>Нет</x:v>
      </x:c>
      <x:c r="R1155" s="9" t="str">
        <x:v>C062</x:v>
      </x:c>
      <x:c r="S1155" s="9" t="str">
        <x:v>C062</x:v>
      </x:c>
      <x:c r="T1155" s="10" t="str">
        <x:v>מכון דוידסון - סרטוני מדע</x:v>
      </x:c>
      <x:c r="U1155" s="11" t="str">
        <x:v>https://www.youtube.com/watch?v=v1ctkpYM1AY</x:v>
      </x:c>
      <x:c r="V1155" s="16" t="n">
        <x:v>46308</x:v>
      </x:c>
      <x:c r="W1155" s="16"/>
      <x:c r="X1155" s="10" t="str">
        <x:v>Иврит предполагается по заголовку и источнику</x:v>
      </x:c>
      <x:c r="Y1155" s="10" t="str">
        <x:v>Не проверено</x:v>
      </x:c>
      <x:c r="Z1155" s="10" t="str">
        <x:v>Не проверено</x:v>
      </x:c>
      <x:c r="AA1155" s="10" t="str">
        <x:v>Метаданные списка; видео не просмотрено</x:v>
      </x:c>
      <x:c r="AB1155" s="13" t="str">
        <x:f>IF(AND(ISNUMBER(H1155),ISNUMBER(W1155)),H1155/MAX(1,'Обзор'!$B$4-W1155),"")</x:f>
      </x:c>
      <x:c r="AC1155" s="17" t="str">
        <x:v>Не решено</x:v>
      </x:c>
      <x:c r="AD1155" s="17" t="str">
        <x:v>Не проверено</x:v>
      </x:c>
      <x:c r="AE1155" s="17" t="str">
        <x:v>Не проверено</x:v>
      </x:c>
      <x:c r="AF1155" s="17" t="str">
        <x:v>Не проверено</x:v>
      </x:c>
      <x:c r="AG1155" s="17" t="str">
        <x:v>Не решено</x:v>
      </x:c>
      <x:c r="AH1155" s="17" t="str">
        <x:v>Не проверено</x:v>
      </x:c>
      <x:c r="AI1155" s="10" t="str">
        <x:f>IF(AC1155="Отклонить","Отклонено",IF(AND(AC1155="Взять",COUNTIFS(AD1155:AH1155,"Да")=5),"Готово","Нужна редактура"))</x:f>
        <x:v>Нужна редактура</x:v>
      </x:c>
      <x:c r="AJ1155" s="17" t="str"/>
      <x:c r="AK1155" s="9" t="str">
        <x:v>https://www.youtube.com/playlist?list=PL0ZkulyfP8bfTfa3uRRAFrfMZb62R6QMl</x:v>
      </x:c>
      <x:c r="AL1155" s="9" t="n">
        <x:v>23</x:v>
      </x:c>
      <x:c r="AM1155" s="9"/>
      <x:c r="AN1155" s="9"/>
    </x:row>
    <x:row r="1156" ht="60" customHeight="1">
      <x:c r="A1156" s="9" t="str">
        <x:v>CukEMYy_vJE</x:v>
      </x:c>
      <x:c r="B1156" s="10" t="str">
        <x:v>סוד מזיגת הבירה המושלמת</x:v>
      </x:c>
      <x:c r="C1156" s="10" t="str">
        <x:v>Наука в быту</x:v>
      </x:c>
      <x:c r="D1156" s="9" t="str">
        <x:v>Образование</x:v>
      </x:c>
      <x:c r="E1156" s="10" t="str">
        <x:v>Наука; семья; любознательные</x:v>
      </x:c>
      <x:c r="F1156" s="10" t="str">
        <x:v>B1–B2 (гипотеза)</x:v>
      </x:c>
      <x:c r="G1156" s="12" t="n">
        <x:v>2.8</x:v>
      </x:c>
      <x:c r="H1156" s="14" t="n">
        <x:v>2700</x:v>
      </x:c>
      <x:c r="I1156" s="15" t="str">
        <x:v>Округлённый счётчик в списке YouTube</x:v>
      </x:c>
      <x:c r="J1156" s="14" t="n">
        <x:v>2700</x:v>
      </x:c>
      <x:c r="K1156" s="14" t="n">
        <x:v>9650</x:v>
      </x:c>
      <x:c r="L1156" s="12" t="n">
        <x:f>IF(COUNT(J1156:K1156)=2,IF(K1156=0,"",J1156/K1156),"")</x:f>
        <x:v>0.27979274611398963</x:v>
      </x:c>
      <x:c r="M1156" s="10" t="str">
        <x:v>Завершённый короткий просмотр около 3 мин. Просмотры ниже медианы цикла; выбирать за нишевую ценность, а не за массовый охват. Бытовая ситуация помогает понимать научную лексику через знакомое действие.</x:v>
      </x:c>
      <x:c r="N1156" s="10" t="str">
        <x:v>Объяснить, что меняется и почему; выписать глаголы процесса.</x:v>
      </x:c>
      <x:c r="O1156" s="10" t="str">
        <x:v>Проверить основной язык речи; каталог содержит и переводные материалы</x:v>
      </x:c>
      <x:c r="P1156" s="10" t="str">
        <x:v>Самостоятельное видео</x:v>
      </x:c>
      <x:c r="Q1156" s="9" t="str">
        <x:v>Нет</x:v>
      </x:c>
      <x:c r="R1156" s="9" t="str">
        <x:v>C062</x:v>
      </x:c>
      <x:c r="S1156" s="9" t="str">
        <x:v>C062</x:v>
      </x:c>
      <x:c r="T1156" s="10" t="str">
        <x:v>מכון דוידסון - סרטוני מדע</x:v>
      </x:c>
      <x:c r="U1156" s="11" t="str">
        <x:v>https://www.youtube.com/watch?v=CukEMYy_vJE</x:v>
      </x:c>
      <x:c r="V1156" s="16" t="n">
        <x:v>46308</x:v>
      </x:c>
      <x:c r="W1156" s="16"/>
      <x:c r="X1156" s="10" t="str">
        <x:v>Иврит предполагается по заголовку и источнику</x:v>
      </x:c>
      <x:c r="Y1156" s="10" t="str">
        <x:v>Не проверено</x:v>
      </x:c>
      <x:c r="Z1156" s="10" t="str">
        <x:v>Не проверено</x:v>
      </x:c>
      <x:c r="AA1156" s="10" t="str">
        <x:v>Метаданные списка; видео не просмотрено</x:v>
      </x:c>
      <x:c r="AB1156" s="13" t="str">
        <x:f>IF(AND(ISNUMBER(H1156),ISNUMBER(W1156)),H1156/MAX(1,'Обзор'!$B$4-W1156),"")</x:f>
      </x:c>
      <x:c r="AC1156" s="17" t="str">
        <x:v>Не решено</x:v>
      </x:c>
      <x:c r="AD1156" s="17" t="str">
        <x:v>Не проверено</x:v>
      </x:c>
      <x:c r="AE1156" s="17" t="str">
        <x:v>Не проверено</x:v>
      </x:c>
      <x:c r="AF1156" s="17" t="str">
        <x:v>Не проверено</x:v>
      </x:c>
      <x:c r="AG1156" s="17" t="str">
        <x:v>Не решено</x:v>
      </x:c>
      <x:c r="AH1156" s="17" t="str">
        <x:v>Не проверено</x:v>
      </x:c>
      <x:c r="AI1156" s="10" t="str">
        <x:f>IF(AC1156="Отклонить","Отклонено",IF(AND(AC1156="Взять",COUNTIFS(AD1156:AH1156,"Да")=5),"Готово","Нужна редактура"))</x:f>
        <x:v>Нужна редактура</x:v>
      </x:c>
      <x:c r="AJ1156" s="17" t="str"/>
      <x:c r="AK1156" s="9" t="str">
        <x:v>https://www.youtube.com/playlist?list=PL0ZkulyfP8bfTfa3uRRAFrfMZb62R6QMl</x:v>
      </x:c>
      <x:c r="AL1156" s="9" t="n">
        <x:v>24</x:v>
      </x:c>
      <x:c r="AM1156" s="9"/>
      <x:c r="AN1156" s="9"/>
    </x:row>
    <x:row r="1157" ht="60" customHeight="1">
      <x:c r="A1157" s="9" t="str">
        <x:v>BYQgkBwCidM</x:v>
      </x:c>
      <x:c r="B1157" s="10" t="str">
        <x:v>הגזר שצבע אותי</x:v>
      </x:c>
      <x:c r="C1157" s="10" t="str">
        <x:v>Наука в быту</x:v>
      </x:c>
      <x:c r="D1157" s="9" t="str">
        <x:v>Образование</x:v>
      </x:c>
      <x:c r="E1157" s="10" t="str">
        <x:v>Наука; семья; любознательные</x:v>
      </x:c>
      <x:c r="F1157" s="10" t="str">
        <x:v>B1–B2 (гипотеза)</x:v>
      </x:c>
      <x:c r="G1157" s="12" t="n">
        <x:v>2.3</x:v>
      </x:c>
      <x:c r="H1157" s="14" t="n">
        <x:v>9300</x:v>
      </x:c>
      <x:c r="I1157" s="15" t="str">
        <x:v>Округлённый счётчик в списке YouTube</x:v>
      </x:c>
      <x:c r="J1157" s="14" t="n">
        <x:v>9300</x:v>
      </x:c>
      <x:c r="K1157" s="14" t="n">
        <x:v>9650</x:v>
      </x:c>
      <x:c r="L1157" s="12" t="n">
        <x:f>IF(COUNT(J1157:K1157)=2,IF(K1157=0,"",J1157/K1157),"")</x:f>
        <x:v>0.9637305699481865</x:v>
      </x:c>
      <x:c r="M1157" s="10" t="str">
        <x:v>Завершённый короткий просмотр около 2 мин. Бытовая ситуация помогает понимать научную лексику через знакомое действие.</x:v>
      </x:c>
      <x:c r="N1157" s="10" t="str">
        <x:v>Объяснить, что меняется и почему; выписать глаголы процесса.</x:v>
      </x:c>
      <x:c r="O1157" s="10" t="str">
        <x:v>Проверить основной язык речи; каталог содержит и переводные материалы</x:v>
      </x:c>
      <x:c r="P1157" s="10" t="str">
        <x:v>Самостоятельное видео</x:v>
      </x:c>
      <x:c r="Q1157" s="9" t="str">
        <x:v>Нет</x:v>
      </x:c>
      <x:c r="R1157" s="9" t="str">
        <x:v>C062</x:v>
      </x:c>
      <x:c r="S1157" s="9" t="str">
        <x:v>C062</x:v>
      </x:c>
      <x:c r="T1157" s="10" t="str">
        <x:v>מכון דוידסון - סרטוני מדע</x:v>
      </x:c>
      <x:c r="U1157" s="11" t="str">
        <x:v>https://www.youtube.com/watch?v=BYQgkBwCidM</x:v>
      </x:c>
      <x:c r="V1157" s="16" t="n">
        <x:v>46308</x:v>
      </x:c>
      <x:c r="W1157" s="16"/>
      <x:c r="X1157" s="10" t="str">
        <x:v>Иврит предполагается по заголовку и источнику</x:v>
      </x:c>
      <x:c r="Y1157" s="10" t="str">
        <x:v>Не проверено</x:v>
      </x:c>
      <x:c r="Z1157" s="10" t="str">
        <x:v>Не проверено</x:v>
      </x:c>
      <x:c r="AA1157" s="10" t="str">
        <x:v>Метаданные списка; видео не просмотрено</x:v>
      </x:c>
      <x:c r="AB1157" s="13" t="str">
        <x:f>IF(AND(ISNUMBER(H1157),ISNUMBER(W1157)),H1157/MAX(1,'Обзор'!$B$4-W1157),"")</x:f>
      </x:c>
      <x:c r="AC1157" s="17" t="str">
        <x:v>Не решено</x:v>
      </x:c>
      <x:c r="AD1157" s="17" t="str">
        <x:v>Не проверено</x:v>
      </x:c>
      <x:c r="AE1157" s="17" t="str">
        <x:v>Не проверено</x:v>
      </x:c>
      <x:c r="AF1157" s="17" t="str">
        <x:v>Не проверено</x:v>
      </x:c>
      <x:c r="AG1157" s="17" t="str">
        <x:v>Не решено</x:v>
      </x:c>
      <x:c r="AH1157" s="17" t="str">
        <x:v>Не проверено</x:v>
      </x:c>
      <x:c r="AI1157" s="10" t="str">
        <x:f>IF(AC1157="Отклонить","Отклонено",IF(AND(AC1157="Взять",COUNTIFS(AD1157:AH1157,"Да")=5),"Готово","Нужна редактура"))</x:f>
        <x:v>Нужна редактура</x:v>
      </x:c>
      <x:c r="AJ1157" s="17" t="str"/>
      <x:c r="AK1157" s="9" t="str">
        <x:v>https://www.youtube.com/playlist?list=PL0ZkulyfP8bfTfa3uRRAFrfMZb62R6QMl</x:v>
      </x:c>
      <x:c r="AL1157" s="9" t="n">
        <x:v>25</x:v>
      </x:c>
      <x:c r="AM1157" s="9"/>
      <x:c r="AN1157" s="9"/>
    </x:row>
    <x:row r="1158" ht="60" customHeight="1">
      <x:c r="A1158" s="9" t="str">
        <x:v>AkgYmVoZM4M</x:v>
      </x:c>
      <x:c r="B1158" s="10" t="str">
        <x:v>איך לטבול ביסקוויט בתה בלי שיפול?</x:v>
      </x:c>
      <x:c r="C1158" s="10" t="str">
        <x:v>Наука в быту</x:v>
      </x:c>
      <x:c r="D1158" s="9" t="str">
        <x:v>Образование</x:v>
      </x:c>
      <x:c r="E1158" s="10" t="str">
        <x:v>Наука; семья; любознательные</x:v>
      </x:c>
      <x:c r="F1158" s="10" t="str">
        <x:v>B1–B2 (гипотеза)</x:v>
      </x:c>
      <x:c r="G1158" s="12" t="n">
        <x:v>2.3</x:v>
      </x:c>
      <x:c r="H1158" s="14" t="n">
        <x:v>11449</x:v>
      </x:c>
      <x:c r="I1158" s="15" t="str">
        <x:v>Точный счётчик метаданных видео</x:v>
      </x:c>
      <x:c r="J1158" s="14" t="n">
        <x:v>11000</x:v>
      </x:c>
      <x:c r="K1158" s="14" t="n">
        <x:v>9650</x:v>
      </x:c>
      <x:c r="L1158" s="12" t="n">
        <x:f>IF(COUNT(J1158:K1158)=2,IF(K1158=0,"",J1158/K1158),"")</x:f>
        <x:v>1.1398963730569949</x:v>
      </x:c>
      <x:c r="M1158" s="10" t="str">
        <x:v>Завершённый короткий просмотр около 2 мин. Бытовая ситуация помогает понимать научную лексику через знакомое действие.</x:v>
      </x:c>
      <x:c r="N1158" s="10" t="str">
        <x:v>Объяснить, что меняется и почему; выписать глаголы процесса.</x:v>
      </x:c>
      <x:c r="O1158" s="10" t="str">
        <x:v>Проверить основной язык речи; каталог содержит и переводные материалы</x:v>
      </x:c>
      <x:c r="P1158" s="10" t="str">
        <x:v>Самостоятельное видео</x:v>
      </x:c>
      <x:c r="Q1158" s="9" t="str">
        <x:v>Нет</x:v>
      </x:c>
      <x:c r="R1158" s="9" t="str">
        <x:v>C062</x:v>
      </x:c>
      <x:c r="S1158" s="9" t="str">
        <x:v>C062</x:v>
      </x:c>
      <x:c r="T1158" s="10" t="str">
        <x:v>מכון דוידסון - סרטוני מדע</x:v>
      </x:c>
      <x:c r="U1158" s="11" t="str">
        <x:v>https://www.youtube.com/watch?v=AkgYmVoZM4M</x:v>
      </x:c>
      <x:c r="V1158" s="16" t="n">
        <x:v>46308</x:v>
      </x:c>
      <x:c r="W1158" s="16" t="n">
        <x:v>44910</x:v>
      </x:c>
      <x:c r="X1158" s="10" t="str">
        <x:v>Иврит предполагается по заголовку и источнику</x:v>
      </x:c>
      <x:c r="Y1158" s="10" t="str">
        <x:v>Ручная дорожка HE по метаданным</x:v>
      </x:c>
      <x:c r="Z1158" s="10" t="str">
        <x:v>Разрешено по метаданным</x:v>
      </x:c>
      <x:c r="AA1158" s="10" t="str">
        <x:v>Метаданные видео; воспроизведение и содержание не проверены</x:v>
      </x:c>
      <x:c r="AB1158" s="13" t="n">
        <x:f>IF(AND(ISNUMBER(H1158),ISNUMBER(W1158)),H1158/MAX(1,'Обзор'!$B$4-W1158),"")</x:f>
        <x:v>8.189556509298999</x:v>
      </x:c>
      <x:c r="AC1158" s="17" t="str">
        <x:v>Не решено</x:v>
      </x:c>
      <x:c r="AD1158" s="17" t="str">
        <x:v>Не проверено</x:v>
      </x:c>
      <x:c r="AE1158" s="17" t="str">
        <x:v>Не проверено</x:v>
      </x:c>
      <x:c r="AF1158" s="17" t="str">
        <x:v>Не проверено</x:v>
      </x:c>
      <x:c r="AG1158" s="17" t="str">
        <x:v>Не решено</x:v>
      </x:c>
      <x:c r="AH1158" s="17" t="str">
        <x:v>Не проверено</x:v>
      </x:c>
      <x:c r="AI1158" s="10" t="str">
        <x:f>IF(AC1158="Отклонить","Отклонено",IF(AND(AC1158="Взять",COUNTIFS(AD1158:AH1158,"Да")=5),"Готово","Нужна редактура"))</x:f>
        <x:v>Нужна редактура</x:v>
      </x:c>
      <x:c r="AJ1158" s="17" t="str"/>
      <x:c r="AK1158" s="9" t="str">
        <x:v>https://www.youtube.com/playlist?list=PL0ZkulyfP8bfTfa3uRRAFrfMZb62R6QMl</x:v>
      </x:c>
      <x:c r="AL1158" s="9" t="n">
        <x:v>26</x:v>
      </x:c>
      <x:c r="AM1158" s="9"/>
      <x:c r="AN1158" s="9" t="n">
        <x:v>0</x:v>
      </x:c>
    </x:row>
    <x:row r="1159" ht="60" customHeight="1">
      <x:c r="A1159" s="9" t="str">
        <x:v>DpkvNky-QmE</x:v>
      </x:c>
      <x:c r="B1159" s="10" t="str">
        <x:v>מיץ תפוזים שקוף - מתכון בישול מולקולרי</x:v>
      </x:c>
      <x:c r="C1159" s="10" t="str">
        <x:v>Наука в быту</x:v>
      </x:c>
      <x:c r="D1159" s="9" t="str">
        <x:v>Образование</x:v>
      </x:c>
      <x:c r="E1159" s="10" t="str">
        <x:v>Наука; семья; любознательные</x:v>
      </x:c>
      <x:c r="F1159" s="10" t="str">
        <x:v>B1–B2 (гипотеза)</x:v>
      </x:c>
      <x:c r="G1159" s="12" t="n">
        <x:v>3.9</x:v>
      </x:c>
      <x:c r="H1159" s="14" t="n">
        <x:v>17096</x:v>
      </x:c>
      <x:c r="I1159" s="15" t="str">
        <x:v>Точный счётчик метаданных видео</x:v>
      </x:c>
      <x:c r="J1159" s="14" t="n">
        <x:v>17000</x:v>
      </x:c>
      <x:c r="K1159" s="14" t="n">
        <x:v>9650</x:v>
      </x:c>
      <x:c r="L1159" s="12" t="n">
        <x:f>IF(COUNT(J1159:K1159)=2,IF(K1159=0,"",J1159/K1159),"")</x:f>
        <x:v>1.761658031088083</x:v>
      </x:c>
      <x:c r="M1159" s="10" t="str">
        <x:v>Завершённый короткий просмотр около 4 мин. Просмотры в списке выше медианы выборки этого цикла в 1.76 раза. Бытовая ситуация помогает понимать научную лексику через знакомое действие.</x:v>
      </x:c>
      <x:c r="N1159" s="10" t="str">
        <x:v>Объяснить, что меняется и почему; выписать глаголы процесса.</x:v>
      </x:c>
      <x:c r="O1159" s="10" t="str">
        <x:v>Проверить основной язык речи; каталог содержит и переводные материалы</x:v>
      </x:c>
      <x:c r="P1159" s="10" t="str">
        <x:v>Самостоятельное видео</x:v>
      </x:c>
      <x:c r="Q1159" s="9" t="str">
        <x:v>Нет</x:v>
      </x:c>
      <x:c r="R1159" s="9" t="str">
        <x:v>C062</x:v>
      </x:c>
      <x:c r="S1159" s="9" t="str">
        <x:v>C062, C064</x:v>
      </x:c>
      <x:c r="T1159" s="10" t="str">
        <x:v>מכון דוידסון - סרטוני מדע</x:v>
      </x:c>
      <x:c r="U1159" s="11" t="str">
        <x:v>https://www.youtube.com/watch?v=DpkvNky-QmE</x:v>
      </x:c>
      <x:c r="V1159" s="16" t="n">
        <x:v>46308</x:v>
      </x:c>
      <x:c r="W1159" s="16" t="n">
        <x:v>42449</x:v>
      </x:c>
      <x:c r="X1159" s="10" t="str">
        <x:v>Иврит предполагается по заголовку и источнику</x:v>
      </x:c>
      <x:c r="Y1159" s="10" t="str">
        <x:v>Ручная дорожка HE по метаданным</x:v>
      </x:c>
      <x:c r="Z1159" s="10" t="str">
        <x:v>Разрешено по метаданным</x:v>
      </x:c>
      <x:c r="AA1159" s="10" t="str">
        <x:v>Метаданные видео; воспроизведение и содержание не проверены</x:v>
      </x:c>
      <x:c r="AB1159" s="13" t="n">
        <x:f>IF(AND(ISNUMBER(H1159),ISNUMBER(W1159)),H1159/MAX(1,'Обзор'!$B$4-W1159),"")</x:f>
        <x:v>4.430163254729204</x:v>
      </x:c>
      <x:c r="AC1159" s="17" t="str">
        <x:v>Не решено</x:v>
      </x:c>
      <x:c r="AD1159" s="17" t="str">
        <x:v>Не проверено</x:v>
      </x:c>
      <x:c r="AE1159" s="17" t="str">
        <x:v>Не проверено</x:v>
      </x:c>
      <x:c r="AF1159" s="17" t="str">
        <x:v>Не проверено</x:v>
      </x:c>
      <x:c r="AG1159" s="17" t="str">
        <x:v>Не решено</x:v>
      </x:c>
      <x:c r="AH1159" s="17" t="str">
        <x:v>Не проверено</x:v>
      </x:c>
      <x:c r="AI1159" s="10" t="str">
        <x:f>IF(AC1159="Отклонить","Отклонено",IF(AND(AC1159="Взять",COUNTIFS(AD1159:AH1159,"Да")=5),"Готово","Нужна редактура"))</x:f>
        <x:v>Нужна редактура</x:v>
      </x:c>
      <x:c r="AJ1159" s="17" t="str"/>
      <x:c r="AK1159" s="9" t="str">
        <x:v>https://www.youtube.com/playlist?list=PL0ZkulyfP8bfTfa3uRRAFrfMZb62R6QMl</x:v>
      </x:c>
      <x:c r="AL1159" s="9" t="n">
        <x:v>27</x:v>
      </x:c>
      <x:c r="AM1159" s="9"/>
      <x:c r="AN1159" s="9" t="n">
        <x:v>0</x:v>
      </x:c>
    </x:row>
    <x:row r="1160" ht="60" customHeight="1">
      <x:c r="A1160" s="9" t="str">
        <x:v>Sq6Jp9AN3lo</x:v>
      </x:c>
      <x:c r="B1160" s="10" t="str">
        <x:v>קוויאר ממיץ פטל - מתכון בישול מולקולרי</x:v>
      </x:c>
      <x:c r="C1160" s="10" t="str">
        <x:v>Наука в быту</x:v>
      </x:c>
      <x:c r="D1160" s="9" t="str">
        <x:v>Образование</x:v>
      </x:c>
      <x:c r="E1160" s="10" t="str">
        <x:v>Наука; семья; любознательные</x:v>
      </x:c>
      <x:c r="F1160" s="10" t="str">
        <x:v>B1–B2 (гипотеза)</x:v>
      </x:c>
      <x:c r="G1160" s="12" t="n">
        <x:v>5.7</x:v>
      </x:c>
      <x:c r="H1160" s="14" t="n">
        <x:v>38748</x:v>
      </x:c>
      <x:c r="I1160" s="15" t="str">
        <x:v>Точный счётчик метаданных видео</x:v>
      </x:c>
      <x:c r="J1160" s="14" t="n">
        <x:v>38000</x:v>
      </x:c>
      <x:c r="K1160" s="14" t="n">
        <x:v>9650</x:v>
      </x:c>
      <x:c r="L1160" s="12" t="n">
        <x:f>IF(COUNT(J1160:K1160)=2,IF(K1160=0,"",J1160/K1160),"")</x:f>
        <x:v>3.937823834196891</x:v>
      </x:c>
      <x:c r="M1160" s="10" t="str">
        <x:v>Завершённый короткий просмотр около 6 мин. Просмотры в списке выше медианы выборки этого цикла в 3.94 раза. Бытовая ситуация помогает понимать научную лексику через знакомое действие.</x:v>
      </x:c>
      <x:c r="N1160" s="10" t="str">
        <x:v>Объяснить, что меняется и почему; выписать глаголы процесса.</x:v>
      </x:c>
      <x:c r="O1160" s="10" t="str">
        <x:v>Проверить основной язык речи; каталог содержит и переводные материалы</x:v>
      </x:c>
      <x:c r="P1160" s="10" t="str">
        <x:v>Самостоятельное видео</x:v>
      </x:c>
      <x:c r="Q1160" s="9" t="str">
        <x:v>Нет</x:v>
      </x:c>
      <x:c r="R1160" s="9" t="str">
        <x:v>C062</x:v>
      </x:c>
      <x:c r="S1160" s="9" t="str">
        <x:v>C062</x:v>
      </x:c>
      <x:c r="T1160" s="10" t="str">
        <x:v>מכון דוידסון - סרטוני מדע</x:v>
      </x:c>
      <x:c r="U1160" s="11" t="str">
        <x:v>https://www.youtube.com/watch?v=Sq6Jp9AN3lo</x:v>
      </x:c>
      <x:c r="V1160" s="16" t="n">
        <x:v>46308</x:v>
      </x:c>
      <x:c r="W1160" s="16" t="n">
        <x:v>42435</x:v>
      </x:c>
      <x:c r="X1160" s="10" t="str">
        <x:v>Иврит предполагается по заголовку и источнику</x:v>
      </x:c>
      <x:c r="Y1160" s="10" t="str">
        <x:v>Ручная дорожка HE по метаданным</x:v>
      </x:c>
      <x:c r="Z1160" s="10" t="str">
        <x:v>Разрешено по метаданным</x:v>
      </x:c>
      <x:c r="AA1160" s="10" t="str">
        <x:v>Метаданные видео; воспроизведение и содержание не проверены</x:v>
      </x:c>
      <x:c r="AB1160" s="13" t="n">
        <x:f>IF(AND(ISNUMBER(H1160),ISNUMBER(W1160)),H1160/MAX(1,'Обзор'!$B$4-W1160),"")</x:f>
        <x:v>10.004647560030984</x:v>
      </x:c>
      <x:c r="AC1160" s="17" t="str">
        <x:v>Не решено</x:v>
      </x:c>
      <x:c r="AD1160" s="17" t="str">
        <x:v>Не проверено</x:v>
      </x:c>
      <x:c r="AE1160" s="17" t="str">
        <x:v>Не проверено</x:v>
      </x:c>
      <x:c r="AF1160" s="17" t="str">
        <x:v>Не проверено</x:v>
      </x:c>
      <x:c r="AG1160" s="17" t="str">
        <x:v>Не решено</x:v>
      </x:c>
      <x:c r="AH1160" s="17" t="str">
        <x:v>Не проверено</x:v>
      </x:c>
      <x:c r="AI1160" s="10" t="str">
        <x:f>IF(AC1160="Отклонить","Отклонено",IF(AND(AC1160="Взять",COUNTIFS(AD1160:AH1160,"Да")=5),"Готово","Нужна редактура"))</x:f>
        <x:v>Нужна редактура</x:v>
      </x:c>
      <x:c r="AJ1160" s="17" t="str"/>
      <x:c r="AK1160" s="9" t="str">
        <x:v>https://www.youtube.com/playlist?list=PL0ZkulyfP8bfTfa3uRRAFrfMZb62R6QMl</x:v>
      </x:c>
      <x:c r="AL1160" s="9" t="n">
        <x:v>28</x:v>
      </x:c>
      <x:c r="AM1160" s="9"/>
      <x:c r="AN1160" s="9" t="n">
        <x:v>0</x:v>
      </x:c>
    </x:row>
    <x:row r="1161" ht="60" customHeight="1">
      <x:c r="A1161" s="9" t="str">
        <x:v>dDI8pcv46TM</x:v>
      </x:c>
      <x:c r="B1161" s="10" t="str">
        <x:v>ספגטי משוקו - מתכון בישול מולקולרי</x:v>
      </x:c>
      <x:c r="C1161" s="10" t="str">
        <x:v>Наука в быту</x:v>
      </x:c>
      <x:c r="D1161" s="9" t="str">
        <x:v>Образование</x:v>
      </x:c>
      <x:c r="E1161" s="10" t="str">
        <x:v>Наука; семья; любознательные</x:v>
      </x:c>
      <x:c r="F1161" s="10" t="str">
        <x:v>B1–B2 (гипотеза)</x:v>
      </x:c>
      <x:c r="G1161" s="12" t="n">
        <x:v>4.1</x:v>
      </x:c>
      <x:c r="H1161" s="14" t="n">
        <x:v>22646</x:v>
      </x:c>
      <x:c r="I1161" s="15" t="str">
        <x:v>Точный счётчик метаданных видео</x:v>
      </x:c>
      <x:c r="J1161" s="14" t="n">
        <x:v>22000</x:v>
      </x:c>
      <x:c r="K1161" s="14" t="n">
        <x:v>9650</x:v>
      </x:c>
      <x:c r="L1161" s="12" t="n">
        <x:f>IF(COUNT(J1161:K1161)=2,IF(K1161=0,"",J1161/K1161),"")</x:f>
        <x:v>2.2797927461139897</x:v>
      </x:c>
      <x:c r="M1161" s="10" t="str">
        <x:v>Завершённый короткий просмотр около 4 мин. Просмотры в списке выше медианы выборки этого цикла в 2.28 раза. Бытовая ситуация помогает понимать научную лексику через знакомое действие.</x:v>
      </x:c>
      <x:c r="N1161" s="10" t="str">
        <x:v>Объяснить, что меняется и почему; выписать глаголы процесса.</x:v>
      </x:c>
      <x:c r="O1161" s="10" t="str">
        <x:v>Проверить основной язык речи; каталог содержит и переводные материалы</x:v>
      </x:c>
      <x:c r="P1161" s="10" t="str">
        <x:v>Самостоятельное видео</x:v>
      </x:c>
      <x:c r="Q1161" s="9" t="str">
        <x:v>Нет</x:v>
      </x:c>
      <x:c r="R1161" s="9" t="str">
        <x:v>C062</x:v>
      </x:c>
      <x:c r="S1161" s="9" t="str">
        <x:v>C062</x:v>
      </x:c>
      <x:c r="T1161" s="10" t="str">
        <x:v>מכון דוידסון - סרטוני מדע</x:v>
      </x:c>
      <x:c r="U1161" s="11" t="str">
        <x:v>https://www.youtube.com/watch?v=dDI8pcv46TM</x:v>
      </x:c>
      <x:c r="V1161" s="16" t="n">
        <x:v>46308</x:v>
      </x:c>
      <x:c r="W1161" s="16" t="n">
        <x:v>42421</x:v>
      </x:c>
      <x:c r="X1161" s="10" t="str">
        <x:v>Иврит предполагается по заголовку и источнику</x:v>
      </x:c>
      <x:c r="Y1161" s="10" t="str">
        <x:v>Ручная дорожка HE по метаданным</x:v>
      </x:c>
      <x:c r="Z1161" s="10" t="str">
        <x:v>Разрешено по метаданным</x:v>
      </x:c>
      <x:c r="AA1161" s="10" t="str">
        <x:v>Метаданные видео; воспроизведение и содержание не проверены</x:v>
      </x:c>
      <x:c r="AB1161" s="13" t="n">
        <x:f>IF(AND(ISNUMBER(H1161),ISNUMBER(W1161)),H1161/MAX(1,'Обзор'!$B$4-W1161),"")</x:f>
        <x:v>5.826086956521739</x:v>
      </x:c>
      <x:c r="AC1161" s="17" t="str">
        <x:v>Не решено</x:v>
      </x:c>
      <x:c r="AD1161" s="17" t="str">
        <x:v>Не проверено</x:v>
      </x:c>
      <x:c r="AE1161" s="17" t="str">
        <x:v>Не проверено</x:v>
      </x:c>
      <x:c r="AF1161" s="17" t="str">
        <x:v>Не проверено</x:v>
      </x:c>
      <x:c r="AG1161" s="17" t="str">
        <x:v>Не решено</x:v>
      </x:c>
      <x:c r="AH1161" s="17" t="str">
        <x:v>Не проверено</x:v>
      </x:c>
      <x:c r="AI1161" s="10" t="str">
        <x:f>IF(AC1161="Отклонить","Отклонено",IF(AND(AC1161="Взять",COUNTIFS(AD1161:AH1161,"Да")=5),"Готово","Нужна редактура"))</x:f>
        <x:v>Нужна редактура</x:v>
      </x:c>
      <x:c r="AJ1161" s="17" t="str"/>
      <x:c r="AK1161" s="9" t="str">
        <x:v>https://www.youtube.com/playlist?list=PL0ZkulyfP8bfTfa3uRRAFrfMZb62R6QMl</x:v>
      </x:c>
      <x:c r="AL1161" s="9" t="n">
        <x:v>29</x:v>
      </x:c>
      <x:c r="AM1161" s="9"/>
      <x:c r="AN1161" s="9" t="n">
        <x:v>0</x:v>
      </x:c>
    </x:row>
    <x:row r="1162" ht="60" customHeight="1">
      <x:c r="A1162" s="9" t="str">
        <x:v>S1rlFHAC5bE</x:v>
      </x:c>
      <x:c r="B1162" s="10" t="str">
        <x:v>רביולי פירות יער ללא בצק - מתכון בישול מולקולרי</x:v>
      </x:c>
      <x:c r="C1162" s="10" t="str">
        <x:v>Наука в быту</x:v>
      </x:c>
      <x:c r="D1162" s="9" t="str">
        <x:v>Образование</x:v>
      </x:c>
      <x:c r="E1162" s="10" t="str">
        <x:v>Наука; семья; любознательные</x:v>
      </x:c>
      <x:c r="F1162" s="10" t="str">
        <x:v>B1–B2 (гипотеза)</x:v>
      </x:c>
      <x:c r="G1162" s="12" t="n">
        <x:v>5.4</x:v>
      </x:c>
      <x:c r="H1162" s="14" t="n">
        <x:v>13974</x:v>
      </x:c>
      <x:c r="I1162" s="15" t="str">
        <x:v>Точный счётчик метаданных видео</x:v>
      </x:c>
      <x:c r="J1162" s="14" t="n">
        <x:v>13000</x:v>
      </x:c>
      <x:c r="K1162" s="14" t="n">
        <x:v>9650</x:v>
      </x:c>
      <x:c r="L1162" s="12" t="n">
        <x:f>IF(COUNT(J1162:K1162)=2,IF(K1162=0,"",J1162/K1162),"")</x:f>
        <x:v>1.3471502590673574</x:v>
      </x:c>
      <x:c r="M1162" s="10" t="str">
        <x:v>Завершённый короткий просмотр около 5 мин. Бытовая ситуация помогает понимать научную лексику через знакомое действие.</x:v>
      </x:c>
      <x:c r="N1162" s="10" t="str">
        <x:v>Объяснить, что меняется и почему; выписать глаголы процесса.</x:v>
      </x:c>
      <x:c r="O1162" s="10" t="str">
        <x:v>Проверить основной язык речи; каталог содержит и переводные материалы</x:v>
      </x:c>
      <x:c r="P1162" s="10" t="str">
        <x:v>Самостоятельное видео</x:v>
      </x:c>
      <x:c r="Q1162" s="9" t="str">
        <x:v>Нет</x:v>
      </x:c>
      <x:c r="R1162" s="9" t="str">
        <x:v>C062</x:v>
      </x:c>
      <x:c r="S1162" s="9" t="str">
        <x:v>C062</x:v>
      </x:c>
      <x:c r="T1162" s="10" t="str">
        <x:v>מכון דוידסון - סרטוני מדע</x:v>
      </x:c>
      <x:c r="U1162" s="11" t="str">
        <x:v>https://www.youtube.com/watch?v=S1rlFHAC5bE</x:v>
      </x:c>
      <x:c r="V1162" s="16" t="n">
        <x:v>46308</x:v>
      </x:c>
      <x:c r="W1162" s="16" t="n">
        <x:v>42407</x:v>
      </x:c>
      <x:c r="X1162" s="10" t="str">
        <x:v>Иврит предполагается по заголовку и источнику</x:v>
      </x:c>
      <x:c r="Y1162" s="10" t="str">
        <x:v>Ручная дорожка HE по метаданным</x:v>
      </x:c>
      <x:c r="Z1162" s="10" t="str">
        <x:v>Разрешено по метаданным</x:v>
      </x:c>
      <x:c r="AA1162" s="10" t="str">
        <x:v>Метаданные видео; воспроизведение и содержание не проверены</x:v>
      </x:c>
      <x:c r="AB1162" s="13" t="n">
        <x:f>IF(AND(ISNUMBER(H1162),ISNUMBER(W1162)),H1162/MAX(1,'Обзор'!$B$4-W1162),"")</x:f>
        <x:v>3.5821584209177133</x:v>
      </x:c>
      <x:c r="AC1162" s="17" t="str">
        <x:v>Не решено</x:v>
      </x:c>
      <x:c r="AD1162" s="17" t="str">
        <x:v>Не проверено</x:v>
      </x:c>
      <x:c r="AE1162" s="17" t="str">
        <x:v>Не проверено</x:v>
      </x:c>
      <x:c r="AF1162" s="17" t="str">
        <x:v>Не проверено</x:v>
      </x:c>
      <x:c r="AG1162" s="17" t="str">
        <x:v>Не решено</x:v>
      </x:c>
      <x:c r="AH1162" s="17" t="str">
        <x:v>Не проверено</x:v>
      </x:c>
      <x:c r="AI1162" s="10" t="str">
        <x:f>IF(AC1162="Отклонить","Отклонено",IF(AND(AC1162="Взять",COUNTIFS(AD1162:AH1162,"Да")=5),"Готово","Нужна редактура"))</x:f>
        <x:v>Нужна редактура</x:v>
      </x:c>
      <x:c r="AJ1162" s="17" t="str"/>
      <x:c r="AK1162" s="9" t="str">
        <x:v>https://www.youtube.com/playlist?list=PL0ZkulyfP8bfTfa3uRRAFrfMZb62R6QMl</x:v>
      </x:c>
      <x:c r="AL1162" s="9" t="n">
        <x:v>30</x:v>
      </x:c>
      <x:c r="AM1162" s="9"/>
      <x:c r="AN1162" s="9" t="n">
        <x:v>0</x:v>
      </x:c>
    </x:row>
    <x:row r="1163" ht="60" customHeight="1">
      <x:c r="A1163" s="9" t="str">
        <x:v>_vyjrgU7hng</x:v>
      </x:c>
      <x:c r="B1163" s="10" t="str">
        <x:v>מה הסיכוי לזכות בלוטו ובמנוי פיס?</x:v>
      </x:c>
      <x:c r="C1163" s="10" t="str">
        <x:v>Истории науки</x:v>
      </x:c>
      <x:c r="D1163" s="9" t="str">
        <x:v>Образование</x:v>
      </x:c>
      <x:c r="E1163" s="10" t="str">
        <x:v>Наука; семья; любознательные</x:v>
      </x:c>
      <x:c r="F1163" s="10" t="str">
        <x:v>B1–B2 (гипотеза)</x:v>
      </x:c>
      <x:c r="G1163" s="12" t="n">
        <x:v>2.6</x:v>
      </x:c>
      <x:c r="H1163" s="14" t="n">
        <x:v>26139</x:v>
      </x:c>
      <x:c r="I1163" s="15" t="str">
        <x:v>Точный счётчик метаданных видео</x:v>
      </x:c>
      <x:c r="J1163" s="14" t="n">
        <x:v>26000</x:v>
      </x:c>
      <x:c r="K1163" s="14" t="n">
        <x:v>26000</x:v>
      </x:c>
      <x:c r="L1163" s="12" t="n">
        <x:f>IF(COUNT(J1163:K1163)=2,IF(K1163=0,"",J1163/K1163),"")</x:f>
        <x:v>1</x:v>
      </x:c>
      <x:c r="M1163" s="10" t="str">
        <x:v>Завершённый короткий просмотр около 3 мин. История открытия соединяет научный интерес и последовательный рассказ.</x:v>
      </x:c>
      <x:c r="N1163" s="10" t="str">
        <x:v>Построить временную линию и объяснить открытие неспециалисту.</x:v>
      </x:c>
      <x:c r="O1163" s="10" t="str">
        <x:v>Проверить основной язык речи; каталог содержит и переводные материалы</x:v>
      </x:c>
      <x:c r="P1163" s="10" t="str">
        <x:v>Самостоятельное видео</x:v>
      </x:c>
      <x:c r="Q1163" s="9" t="str">
        <x:v>Нет</x:v>
      </x:c>
      <x:c r="R1163" s="9" t="str">
        <x:v>C063</x:v>
      </x:c>
      <x:c r="S1163" s="9" t="str">
        <x:v>C063</x:v>
      </x:c>
      <x:c r="T1163" s="10" t="str">
        <x:v>מכון דוידסון - סרטוני מדע</x:v>
      </x:c>
      <x:c r="U1163" s="11" t="str">
        <x:v>https://www.youtube.com/watch?v=_vyjrgU7hng</x:v>
      </x:c>
      <x:c r="V1163" s="16" t="n">
        <x:v>46308</x:v>
      </x:c>
      <x:c r="W1163" s="16" t="n">
        <x:v>44342</x:v>
      </x:c>
      <x:c r="X1163" s="10" t="str">
        <x:v>Иврит предполагается по заголовку и источнику</x:v>
      </x:c>
      <x:c r="Y1163" s="10" t="str">
        <x:v>Ручная дорожка HE по метаданным</x:v>
      </x:c>
      <x:c r="Z1163" s="10" t="str">
        <x:v>Разрешено по метаданным</x:v>
      </x:c>
      <x:c r="AA1163" s="10" t="str">
        <x:v>Метаданные видео; воспроизведение и содержание не проверены</x:v>
      </x:c>
      <x:c r="AB1163" s="13" t="n">
        <x:f>IF(AND(ISNUMBER(H1163),ISNUMBER(W1163)),H1163/MAX(1,'Обзор'!$B$4-W1163),"")</x:f>
        <x:v>13.295523906408953</x:v>
      </x:c>
      <x:c r="AC1163" s="17" t="str">
        <x:v>Не решено</x:v>
      </x:c>
      <x:c r="AD1163" s="17" t="str">
        <x:v>Не проверено</x:v>
      </x:c>
      <x:c r="AE1163" s="17" t="str">
        <x:v>Не проверено</x:v>
      </x:c>
      <x:c r="AF1163" s="17" t="str">
        <x:v>Не проверено</x:v>
      </x:c>
      <x:c r="AG1163" s="17" t="str">
        <x:v>Не решено</x:v>
      </x:c>
      <x:c r="AH1163" s="17" t="str">
        <x:v>Не проверено</x:v>
      </x:c>
      <x:c r="AI1163" s="10" t="str">
        <x:f>IF(AC1163="Отклонить","Отклонено",IF(AND(AC1163="Взять",COUNTIFS(AD1163:AH1163,"Да")=5),"Готово","Нужна редактура"))</x:f>
        <x:v>Нужна редактура</x:v>
      </x:c>
      <x:c r="AJ1163" s="17" t="str"/>
      <x:c r="AK1163" s="9" t="str">
        <x:v>https://www.youtube.com/playlist?list=PL0ZkulyfP8bfGnjAi92RyV099xNwGBqMf</x:v>
      </x:c>
      <x:c r="AL1163" s="9" t="n">
        <x:v>2</x:v>
      </x:c>
      <x:c r="AM1163" s="9"/>
      <x:c r="AN1163" s="9" t="n">
        <x:v>0</x:v>
      </x:c>
    </x:row>
    <x:row r="1164" ht="60" customHeight="1">
      <x:c r="A1164" s="9" t="str">
        <x:v>dw72mYLN-CI</x:v>
      </x:c>
      <x:c r="B1164" s="10" t="str">
        <x:v>שיר היסודות - המנון הטבלה המחזורית</x:v>
      </x:c>
      <x:c r="C1164" s="10" t="str">
        <x:v>Истории науки</x:v>
      </x:c>
      <x:c r="D1164" s="9" t="str">
        <x:v>Образование</x:v>
      </x:c>
      <x:c r="E1164" s="10" t="str">
        <x:v>Наука; семья; любознательные</x:v>
      </x:c>
      <x:c r="F1164" s="10" t="str">
        <x:v>B1–B2 (гипотеза)</x:v>
      </x:c>
      <x:c r="G1164" s="12" t="n">
        <x:v>3.1</x:v>
      </x:c>
      <x:c r="H1164" s="14" t="n">
        <x:v>123018</x:v>
      </x:c>
      <x:c r="I1164" s="15" t="str">
        <x:v>Точный счётчик метаданных видео</x:v>
      </x:c>
      <x:c r="J1164" s="14" t="n">
        <x:v>123000</x:v>
      </x:c>
      <x:c r="K1164" s="14" t="n">
        <x:v>26000</x:v>
      </x:c>
      <x:c r="L1164" s="12" t="n">
        <x:f>IF(COUNT(J1164:K1164)=2,IF(K1164=0,"",J1164/K1164),"")</x:f>
        <x:v>4.730769230769231</x:v>
      </x:c>
      <x:c r="M1164" s="10" t="str">
        <x:v>Завершённый короткий просмотр около 3 мин. Просмотры в списке выше медианы выборки этого цикла в 4.73 раза. История открытия соединяет научный интерес и последовательный рассказ.</x:v>
      </x:c>
      <x:c r="N1164" s="10" t="str">
        <x:v>Построить временную линию и объяснить открытие неспециалисту.</x:v>
      </x:c>
      <x:c r="O1164" s="10" t="str">
        <x:v>Проверить основной язык речи; каталог содержит и переводные материалы</x:v>
      </x:c>
      <x:c r="P1164" s="10" t="str">
        <x:v>Самостоятельное видео</x:v>
      </x:c>
      <x:c r="Q1164" s="9" t="str">
        <x:v>Нет</x:v>
      </x:c>
      <x:c r="R1164" s="9" t="str">
        <x:v>C063</x:v>
      </x:c>
      <x:c r="S1164" s="9" t="str">
        <x:v>C063</x:v>
      </x:c>
      <x:c r="T1164" s="10" t="str">
        <x:v>מכון דוידסון - סרטוני מדע</x:v>
      </x:c>
      <x:c r="U1164" s="11" t="str">
        <x:v>https://www.youtube.com/watch?v=dw72mYLN-CI</x:v>
      </x:c>
      <x:c r="V1164" s="16" t="n">
        <x:v>46308</x:v>
      </x:c>
      <x:c r="W1164" s="16" t="n">
        <x:v>43867</x:v>
      </x:c>
      <x:c r="X1164" s="10" t="str">
        <x:v>Иврит предполагается по заголовку и источнику</x:v>
      </x:c>
      <x:c r="Y1164" s="10" t="str">
        <x:v>Ручная дорожка HE по метаданным</x:v>
      </x:c>
      <x:c r="Z1164" s="10" t="str">
        <x:v>Разрешено по метаданным</x:v>
      </x:c>
      <x:c r="AA1164" s="10" t="str">
        <x:v>Метаданные видео; воспроизведение и содержание не проверены</x:v>
      </x:c>
      <x:c r="AB1164" s="13" t="n">
        <x:f>IF(AND(ISNUMBER(H1164),ISNUMBER(W1164)),H1164/MAX(1,'Обзор'!$B$4-W1164),"")</x:f>
        <x:v>50.39655878738222</x:v>
      </x:c>
      <x:c r="AC1164" s="17" t="str">
        <x:v>Не решено</x:v>
      </x:c>
      <x:c r="AD1164" s="17" t="str">
        <x:v>Не проверено</x:v>
      </x:c>
      <x:c r="AE1164" s="17" t="str">
        <x:v>Не проверено</x:v>
      </x:c>
      <x:c r="AF1164" s="17" t="str">
        <x:v>Не проверено</x:v>
      </x:c>
      <x:c r="AG1164" s="17" t="str">
        <x:v>Не решено</x:v>
      </x:c>
      <x:c r="AH1164" s="17" t="str">
        <x:v>Не проверено</x:v>
      </x:c>
      <x:c r="AI1164" s="10" t="str">
        <x:f>IF(AC1164="Отклонить","Отклонено",IF(AND(AC1164="Взять",COUNTIFS(AD1164:AH1164,"Да")=5),"Готово","Нужна редактура"))</x:f>
        <x:v>Нужна редактура</x:v>
      </x:c>
      <x:c r="AJ1164" s="17" t="str"/>
      <x:c r="AK1164" s="9" t="str">
        <x:v>https://www.youtube.com/playlist?list=PL0ZkulyfP8bfGnjAi92RyV099xNwGBqMf</x:v>
      </x:c>
      <x:c r="AL1164" s="9" t="n">
        <x:v>3</x:v>
      </x:c>
      <x:c r="AM1164" s="9"/>
      <x:c r="AN1164" s="9" t="n">
        <x:v>0</x:v>
      </x:c>
    </x:row>
    <x:row r="1165" ht="60" customHeight="1">
      <x:c r="A1165" s="9" t="str">
        <x:v>H_jfDidaYrY</x:v>
      </x:c>
      <x:c r="B1165" s="10" t="str">
        <x:v>קריוקי שיר היסודות - המנון הטבלה המחזורית</x:v>
      </x:c>
      <x:c r="C1165" s="10" t="str">
        <x:v>Истории науки</x:v>
      </x:c>
      <x:c r="D1165" s="9" t="str">
        <x:v>Образование</x:v>
      </x:c>
      <x:c r="E1165" s="10" t="str">
        <x:v>Наука; семья; любознательные</x:v>
      </x:c>
      <x:c r="F1165" s="10" t="str">
        <x:v>B1–B2 (гипотеза)</x:v>
      </x:c>
      <x:c r="G1165" s="12" t="n">
        <x:v>3.1</x:v>
      </x:c>
      <x:c r="H1165" s="14" t="n">
        <x:v>9900</x:v>
      </x:c>
      <x:c r="I1165" s="15" t="str">
        <x:v>Округлённый счётчик в списке YouTube</x:v>
      </x:c>
      <x:c r="J1165" s="14" t="n">
        <x:v>9900</x:v>
      </x:c>
      <x:c r="K1165" s="14" t="n">
        <x:v>26000</x:v>
      </x:c>
      <x:c r="L1165" s="12" t="n">
        <x:f>IF(COUNT(J1165:K1165)=2,IF(K1165=0,"",J1165/K1165),"")</x:f>
        <x:v>0.38076923076923075</x:v>
      </x:c>
      <x:c r="M1165" s="10" t="str">
        <x:v>Завершённый короткий просмотр около 3 мин. Просмотры ниже медианы цикла; выбирать за нишевую ценность, а не за массовый охват. История открытия соединяет научный интерес и последовательный рассказ.</x:v>
      </x:c>
      <x:c r="N1165" s="10" t="str">
        <x:v>Построить временную линию и объяснить открытие неспециалисту.</x:v>
      </x:c>
      <x:c r="O1165" s="10" t="str">
        <x:v>Проверить основной язык речи; каталог содержит и переводные материалы</x:v>
      </x:c>
      <x:c r="P1165" s="10" t="str">
        <x:v>Самостоятельное видео</x:v>
      </x:c>
      <x:c r="Q1165" s="9" t="str">
        <x:v>Нет</x:v>
      </x:c>
      <x:c r="R1165" s="9" t="str">
        <x:v>C063</x:v>
      </x:c>
      <x:c r="S1165" s="9" t="str">
        <x:v>C063</x:v>
      </x:c>
      <x:c r="T1165" s="10" t="str">
        <x:v>מכון דוידסון - סרטוני מדע</x:v>
      </x:c>
      <x:c r="U1165" s="11" t="str">
        <x:v>https://www.youtube.com/watch?v=H_jfDidaYrY</x:v>
      </x:c>
      <x:c r="V1165" s="16" t="n">
        <x:v>46308</x:v>
      </x:c>
      <x:c r="W1165" s="16"/>
      <x:c r="X1165" s="10" t="str">
        <x:v>Иврит предполагается по заголовку и источнику</x:v>
      </x:c>
      <x:c r="Y1165" s="10" t="str">
        <x:v>Не проверено</x:v>
      </x:c>
      <x:c r="Z1165" s="10" t="str">
        <x:v>Не проверено</x:v>
      </x:c>
      <x:c r="AA1165" s="10" t="str">
        <x:v>Метаданные списка; видео не просмотрено</x:v>
      </x:c>
      <x:c r="AB1165" s="13" t="str">
        <x:f>IF(AND(ISNUMBER(H1165),ISNUMBER(W1165)),H1165/MAX(1,'Обзор'!$B$4-W1165),"")</x:f>
      </x:c>
      <x:c r="AC1165" s="17" t="str">
        <x:v>Не решено</x:v>
      </x:c>
      <x:c r="AD1165" s="17" t="str">
        <x:v>Не проверено</x:v>
      </x:c>
      <x:c r="AE1165" s="17" t="str">
        <x:v>Не проверено</x:v>
      </x:c>
      <x:c r="AF1165" s="17" t="str">
        <x:v>Не проверено</x:v>
      </x:c>
      <x:c r="AG1165" s="17" t="str">
        <x:v>Не решено</x:v>
      </x:c>
      <x:c r="AH1165" s="17" t="str">
        <x:v>Не проверено</x:v>
      </x:c>
      <x:c r="AI1165" s="10" t="str">
        <x:f>IF(AC1165="Отклонить","Отклонено",IF(AND(AC1165="Взять",COUNTIFS(AD1165:AH1165,"Да")=5),"Готово","Нужна редактура"))</x:f>
        <x:v>Нужна редактура</x:v>
      </x:c>
      <x:c r="AJ1165" s="17" t="str"/>
      <x:c r="AK1165" s="9" t="str">
        <x:v>https://www.youtube.com/playlist?list=PL0ZkulyfP8bfGnjAi92RyV099xNwGBqMf</x:v>
      </x:c>
      <x:c r="AL1165" s="9" t="n">
        <x:v>4</x:v>
      </x:c>
      <x:c r="AM1165" s="9"/>
      <x:c r="AN1165" s="9"/>
    </x:row>
    <x:row r="1166" ht="60" customHeight="1">
      <x:c r="A1166" s="9" t="str">
        <x:v>Astv7HswZLc</x:v>
      </x:c>
      <x:c r="B1166" s="10" t="str">
        <x:v>מנדל והאפונים - חוקי התורשה</x:v>
      </x:c>
      <x:c r="C1166" s="10" t="str">
        <x:v>Истории науки</x:v>
      </x:c>
      <x:c r="D1166" s="9" t="str">
        <x:v>Образование</x:v>
      </x:c>
      <x:c r="E1166" s="10" t="str">
        <x:v>Наука; семья; любознательные</x:v>
      </x:c>
      <x:c r="F1166" s="10" t="str">
        <x:v>B1–B2 (гипотеза)</x:v>
      </x:c>
      <x:c r="G1166" s="12" t="n">
        <x:v>4.6</x:v>
      </x:c>
      <x:c r="H1166" s="14" t="n">
        <x:v>85627</x:v>
      </x:c>
      <x:c r="I1166" s="15" t="str">
        <x:v>Точный счётчик метаданных видео</x:v>
      </x:c>
      <x:c r="J1166" s="14" t="n">
        <x:v>85000</x:v>
      </x:c>
      <x:c r="K1166" s="14" t="n">
        <x:v>26000</x:v>
      </x:c>
      <x:c r="L1166" s="12" t="n">
        <x:f>IF(COUNT(J1166:K1166)=2,IF(K1166=0,"",J1166/K1166),"")</x:f>
        <x:v>3.269230769230769</x:v>
      </x:c>
      <x:c r="M1166" s="10" t="str">
        <x:v>Завершённый короткий просмотр около 5 мин. Просмотры в списке выше медианы выборки этого цикла в 3.27 раза. История открытия соединяет научный интерес и последовательный рассказ.</x:v>
      </x:c>
      <x:c r="N1166" s="10" t="str">
        <x:v>Построить временную линию и объяснить открытие неспециалисту.</x:v>
      </x:c>
      <x:c r="O1166" s="10" t="str">
        <x:v>Проверить основной язык речи; каталог содержит и переводные материалы</x:v>
      </x:c>
      <x:c r="P1166" s="10" t="str">
        <x:v>Самостоятельное видео</x:v>
      </x:c>
      <x:c r="Q1166" s="9" t="str">
        <x:v>Нет</x:v>
      </x:c>
      <x:c r="R1166" s="9" t="str">
        <x:v>C063</x:v>
      </x:c>
      <x:c r="S1166" s="9" t="str">
        <x:v>C063</x:v>
      </x:c>
      <x:c r="T1166" s="10" t="str">
        <x:v>מכון דוידסון - סרטוני מדע</x:v>
      </x:c>
      <x:c r="U1166" s="11" t="str">
        <x:v>https://www.youtube.com/watch?v=Astv7HswZLc</x:v>
      </x:c>
      <x:c r="V1166" s="16" t="n">
        <x:v>46308</x:v>
      </x:c>
      <x:c r="W1166" s="16" t="n">
        <x:v>43522</x:v>
      </x:c>
      <x:c r="X1166" s="10" t="str">
        <x:v>Иврит предполагается по заголовку и источнику</x:v>
      </x:c>
      <x:c r="Y1166" s="10" t="str">
        <x:v>Ручная дорожка HE по метаданным</x:v>
      </x:c>
      <x:c r="Z1166" s="10" t="str">
        <x:v>Разрешено по метаданным</x:v>
      </x:c>
      <x:c r="AA1166" s="10" t="str">
        <x:v>Метаданные видео; воспроизведение и содержание не проверены</x:v>
      </x:c>
      <x:c r="AB1166" s="13" t="n">
        <x:f>IF(AND(ISNUMBER(H1166),ISNUMBER(W1166)),H1166/MAX(1,'Обзор'!$B$4-W1166),"")</x:f>
        <x:v>30.734745154343145</x:v>
      </x:c>
      <x:c r="AC1166" s="17" t="str">
        <x:v>Не решено</x:v>
      </x:c>
      <x:c r="AD1166" s="17" t="str">
        <x:v>Не проверено</x:v>
      </x:c>
      <x:c r="AE1166" s="17" t="str">
        <x:v>Не проверено</x:v>
      </x:c>
      <x:c r="AF1166" s="17" t="str">
        <x:v>Не проверено</x:v>
      </x:c>
      <x:c r="AG1166" s="17" t="str">
        <x:v>Не решено</x:v>
      </x:c>
      <x:c r="AH1166" s="17" t="str">
        <x:v>Не проверено</x:v>
      </x:c>
      <x:c r="AI1166" s="10" t="str">
        <x:f>IF(AC1166="Отклонить","Отклонено",IF(AND(AC1166="Взять",COUNTIFS(AD1166:AH1166,"Да")=5),"Готово","Нужна редактура"))</x:f>
        <x:v>Нужна редактура</x:v>
      </x:c>
      <x:c r="AJ1166" s="17" t="str"/>
      <x:c r="AK1166" s="9" t="str">
        <x:v>https://www.youtube.com/playlist?list=PL0ZkulyfP8bfGnjAi92RyV099xNwGBqMf</x:v>
      </x:c>
      <x:c r="AL1166" s="9" t="n">
        <x:v>5</x:v>
      </x:c>
      <x:c r="AM1166" s="9"/>
      <x:c r="AN1166" s="9" t="n">
        <x:v>0</x:v>
      </x:c>
    </x:row>
    <x:row r="1167" ht="60" customHeight="1">
      <x:c r="A1167" s="9" t="str">
        <x:v>LH63635zu-Q</x:v>
      </x:c>
      <x:c r="B1167" s="10" t="str">
        <x:v>מבוך לצמח</x:v>
      </x:c>
      <x:c r="C1167" s="10" t="str">
        <x:v>Экология и устойчивость</x:v>
      </x:c>
      <x:c r="D1167" s="9" t="str">
        <x:v>Образование</x:v>
      </x:c>
      <x:c r="E1167" s="10" t="str">
        <x:v>Наука; семья; любознательные</x:v>
      </x:c>
      <x:c r="F1167" s="10" t="str">
        <x:v>B1–B2 (гипотеза)</x:v>
      </x:c>
      <x:c r="G1167" s="12" t="n">
        <x:v>6.8</x:v>
      </x:c>
      <x:c r="H1167" s="14" t="n">
        <x:v>12655</x:v>
      </x:c>
      <x:c r="I1167" s="15" t="str">
        <x:v>Точный счётчик метаданных видео</x:v>
      </x:c>
      <x:c r="J1167" s="14" t="n">
        <x:v>12000</x:v>
      </x:c>
      <x:c r="K1167" s="14" t="n">
        <x:v>9950</x:v>
      </x:c>
      <x:c r="L1167" s="12" t="n">
        <x:f>IF(COUNT(J1167:K1167)=2,IF(K1167=0,"",J1167/K1167),"")</x:f>
        <x:v>1.2060301507537687</x:v>
      </x:c>
      <x:c r="M1167" s="10" t="str">
        <x:v>Завершённый короткий просмотр около 7 мин. Тема среды расширяет предложение для экологически заинтересованной аудитории.</x:v>
      </x:c>
      <x:c r="N1167" s="10" t="str">
        <x:v>Назвать проблему, механизм и предлагаемое решение.</x:v>
      </x:c>
      <x:c r="O1167" s="10" t="str">
        <x:v>Проверить основной язык речи; каталог содержит и переводные материалы</x:v>
      </x:c>
      <x:c r="P1167" s="10" t="str">
        <x:v>Самостоятельное видео</x:v>
      </x:c>
      <x:c r="Q1167" s="9" t="str">
        <x:v>Нет</x:v>
      </x:c>
      <x:c r="R1167" s="9" t="str">
        <x:v>C064</x:v>
      </x:c>
      <x:c r="S1167" s="9" t="str">
        <x:v>C064</x:v>
      </x:c>
      <x:c r="T1167" s="10" t="str">
        <x:v>מכון דוידסון - סרטוני מדע</x:v>
      </x:c>
      <x:c r="U1167" s="11" t="str">
        <x:v>https://www.youtube.com/watch?v=LH63635zu-Q</x:v>
      </x:c>
      <x:c r="V1167" s="16" t="n">
        <x:v>46308</x:v>
      </x:c>
      <x:c r="W1167" s="16" t="n">
        <x:v>44927</x:v>
      </x:c>
      <x:c r="X1167" s="10" t="str">
        <x:v>Иврит предполагается по заголовку и источнику</x:v>
      </x:c>
      <x:c r="Y1167" s="10" t="str">
        <x:v>Ручная дорожка HE по метаданным</x:v>
      </x:c>
      <x:c r="Z1167" s="10" t="str">
        <x:v>Разрешено по метаданным</x:v>
      </x:c>
      <x:c r="AA1167" s="10" t="str">
        <x:v>Метаданные видео; воспроизведение и содержание не проверены</x:v>
      </x:c>
      <x:c r="AB1167" s="13" t="n">
        <x:f>IF(AND(ISNUMBER(H1167),ISNUMBER(W1167)),H1167/MAX(1,'Обзор'!$B$4-W1167),"")</x:f>
        <x:v>9.163649529326575</x:v>
      </x:c>
      <x:c r="AC1167" s="17" t="str">
        <x:v>Не решено</x:v>
      </x:c>
      <x:c r="AD1167" s="17" t="str">
        <x:v>Не проверено</x:v>
      </x:c>
      <x:c r="AE1167" s="17" t="str">
        <x:v>Не проверено</x:v>
      </x:c>
      <x:c r="AF1167" s="17" t="str">
        <x:v>Не проверено</x:v>
      </x:c>
      <x:c r="AG1167" s="17" t="str">
        <x:v>Не решено</x:v>
      </x:c>
      <x:c r="AH1167" s="17" t="str">
        <x:v>Не проверено</x:v>
      </x:c>
      <x:c r="AI1167" s="10" t="str">
        <x:f>IF(AC1167="Отклонить","Отклонено",IF(AND(AC1167="Взять",COUNTIFS(AD1167:AH1167,"Да")=5),"Готово","Нужна редактура"))</x:f>
        <x:v>Нужна редактура</x:v>
      </x:c>
      <x:c r="AJ1167" s="17" t="str"/>
      <x:c r="AK1167" s="9" t="str">
        <x:v>https://www.youtube.com/playlist?list=PL0ZkulyfP8beUDONIWu5t3I2xRbZK9gjn</x:v>
      </x:c>
      <x:c r="AL1167" s="9" t="n">
        <x:v>2</x:v>
      </x:c>
      <x:c r="AM1167" s="9"/>
      <x:c r="AN1167" s="9" t="n">
        <x:v>0</x:v>
      </x:c>
    </x:row>
    <x:row r="1168" ht="60" customHeight="1">
      <x:c r="A1168" s="9" t="str">
        <x:v>0yKKgyQ4dAI</x:v>
      </x:c>
      <x:c r="B1168" s="10" t="str">
        <x:v>הקוד הסודי של האיצטרובלים</x:v>
      </x:c>
      <x:c r="C1168" s="10" t="str">
        <x:v>Экология и устойчивость</x:v>
      </x:c>
      <x:c r="D1168" s="9" t="str">
        <x:v>Образование</x:v>
      </x:c>
      <x:c r="E1168" s="10" t="str">
        <x:v>Наука; семья; любознательные</x:v>
      </x:c>
      <x:c r="F1168" s="10" t="str">
        <x:v>B1–B2 (гипотеза)</x:v>
      </x:c>
      <x:c r="G1168" s="12" t="n">
        <x:v>5.9</x:v>
      </x:c>
      <x:c r="H1168" s="14" t="n">
        <x:v>7500</x:v>
      </x:c>
      <x:c r="I1168" s="15" t="str">
        <x:v>Округлённый счётчик в списке YouTube</x:v>
      </x:c>
      <x:c r="J1168" s="14" t="n">
        <x:v>7500</x:v>
      </x:c>
      <x:c r="K1168" s="14" t="n">
        <x:v>9950</x:v>
      </x:c>
      <x:c r="L1168" s="12" t="n">
        <x:f>IF(COUNT(J1168:K1168)=2,IF(K1168=0,"",J1168/K1168),"")</x:f>
        <x:v>0.7537688442211056</x:v>
      </x:c>
      <x:c r="M1168" s="10" t="str">
        <x:v>Завершённый короткий просмотр около 6 мин. Тема среды расширяет предложение для экологически заинтересованной аудитории.</x:v>
      </x:c>
      <x:c r="N1168" s="10" t="str">
        <x:v>Назвать проблему, механизм и предлагаемое решение.</x:v>
      </x:c>
      <x:c r="O1168" s="10" t="str">
        <x:v>Проверить основной язык речи; каталог содержит и переводные материалы</x:v>
      </x:c>
      <x:c r="P1168" s="10" t="str">
        <x:v>Самостоятельное видео</x:v>
      </x:c>
      <x:c r="Q1168" s="9" t="str">
        <x:v>Нет</x:v>
      </x:c>
      <x:c r="R1168" s="9" t="str">
        <x:v>C064</x:v>
      </x:c>
      <x:c r="S1168" s="9" t="str">
        <x:v>C064</x:v>
      </x:c>
      <x:c r="T1168" s="10" t="str">
        <x:v>מכון דוידסון - סרטוני מדע</x:v>
      </x:c>
      <x:c r="U1168" s="11" t="str">
        <x:v>https://www.youtube.com/watch?v=0yKKgyQ4dAI</x:v>
      </x:c>
      <x:c r="V1168" s="16" t="n">
        <x:v>46308</x:v>
      </x:c>
      <x:c r="W1168" s="16"/>
      <x:c r="X1168" s="10" t="str">
        <x:v>Иврит предполагается по заголовку и источнику</x:v>
      </x:c>
      <x:c r="Y1168" s="10" t="str">
        <x:v>Не проверено</x:v>
      </x:c>
      <x:c r="Z1168" s="10" t="str">
        <x:v>Не проверено</x:v>
      </x:c>
      <x:c r="AA1168" s="10" t="str">
        <x:v>Метаданные списка; видео не просмотрено</x:v>
      </x:c>
      <x:c r="AB1168" s="13" t="str">
        <x:f>IF(AND(ISNUMBER(H1168),ISNUMBER(W1168)),H1168/MAX(1,'Обзор'!$B$4-W1168),"")</x:f>
      </x:c>
      <x:c r="AC1168" s="17" t="str">
        <x:v>Не решено</x:v>
      </x:c>
      <x:c r="AD1168" s="17" t="str">
        <x:v>Не проверено</x:v>
      </x:c>
      <x:c r="AE1168" s="17" t="str">
        <x:v>Не проверено</x:v>
      </x:c>
      <x:c r="AF1168" s="17" t="str">
        <x:v>Не проверено</x:v>
      </x:c>
      <x:c r="AG1168" s="17" t="str">
        <x:v>Не решено</x:v>
      </x:c>
      <x:c r="AH1168" s="17" t="str">
        <x:v>Не проверено</x:v>
      </x:c>
      <x:c r="AI1168" s="10" t="str">
        <x:f>IF(AC1168="Отклонить","Отклонено",IF(AND(AC1168="Взять",COUNTIFS(AD1168:AH1168,"Да")=5),"Готово","Нужна редактура"))</x:f>
        <x:v>Нужна редактура</x:v>
      </x:c>
      <x:c r="AJ1168" s="17" t="str"/>
      <x:c r="AK1168" s="9" t="str">
        <x:v>https://www.youtube.com/playlist?list=PL0ZkulyfP8beUDONIWu5t3I2xRbZK9gjn</x:v>
      </x:c>
      <x:c r="AL1168" s="9" t="n">
        <x:v>3</x:v>
      </x:c>
      <x:c r="AM1168" s="9"/>
      <x:c r="AN1168" s="9"/>
    </x:row>
    <x:row r="1169" ht="60" customHeight="1">
      <x:c r="A1169" s="9" t="str">
        <x:v>8GKHHf7NzHE</x:v>
      </x:c>
      <x:c r="B1169" s="10" t="str">
        <x:v>הצבעים האמיתיים של הפרחים</x:v>
      </x:c>
      <x:c r="C1169" s="10" t="str">
        <x:v>Экология и устойчивость</x:v>
      </x:c>
      <x:c r="D1169" s="9" t="str">
        <x:v>Образование</x:v>
      </x:c>
      <x:c r="E1169" s="10" t="str">
        <x:v>Наука; семья; любознательные</x:v>
      </x:c>
      <x:c r="F1169" s="10" t="str">
        <x:v>B1–B2 (гипотеза)</x:v>
      </x:c>
      <x:c r="G1169" s="12" t="n">
        <x:v>5.3</x:v>
      </x:c>
      <x:c r="H1169" s="14" t="n">
        <x:v>7500</x:v>
      </x:c>
      <x:c r="I1169" s="15" t="str">
        <x:v>Округлённый счётчик в списке YouTube</x:v>
      </x:c>
      <x:c r="J1169" s="14" t="n">
        <x:v>7500</x:v>
      </x:c>
      <x:c r="K1169" s="14" t="n">
        <x:v>9950</x:v>
      </x:c>
      <x:c r="L1169" s="12" t="n">
        <x:f>IF(COUNT(J1169:K1169)=2,IF(K1169=0,"",J1169/K1169),"")</x:f>
        <x:v>0.7537688442211056</x:v>
      </x:c>
      <x:c r="M1169" s="10" t="str">
        <x:v>Завершённый короткий просмотр около 5 мин. Тема среды расширяет предложение для экологически заинтересованной аудитории.</x:v>
      </x:c>
      <x:c r="N1169" s="10" t="str">
        <x:v>Назвать проблему, механизм и предлагаемое решение.</x:v>
      </x:c>
      <x:c r="O1169" s="10" t="str">
        <x:v>Проверить основной язык речи; каталог содержит и переводные материалы</x:v>
      </x:c>
      <x:c r="P1169" s="10" t="str">
        <x:v>Самостоятельное видео</x:v>
      </x:c>
      <x:c r="Q1169" s="9" t="str">
        <x:v>Нет</x:v>
      </x:c>
      <x:c r="R1169" s="9" t="str">
        <x:v>C064</x:v>
      </x:c>
      <x:c r="S1169" s="9" t="str">
        <x:v>C064</x:v>
      </x:c>
      <x:c r="T1169" s="10" t="str">
        <x:v>מכון דוידסון - סרטוני מדע</x:v>
      </x:c>
      <x:c r="U1169" s="11" t="str">
        <x:v>https://www.youtube.com/watch?v=8GKHHf7NzHE</x:v>
      </x:c>
      <x:c r="V1169" s="16" t="n">
        <x:v>46308</x:v>
      </x:c>
      <x:c r="W1169" s="16"/>
      <x:c r="X1169" s="10" t="str">
        <x:v>Иврит предполагается по заголовку и источнику</x:v>
      </x:c>
      <x:c r="Y1169" s="10" t="str">
        <x:v>Не проверено</x:v>
      </x:c>
      <x:c r="Z1169" s="10" t="str">
        <x:v>Не проверено</x:v>
      </x:c>
      <x:c r="AA1169" s="10" t="str">
        <x:v>Метаданные списка; видео не просмотрено</x:v>
      </x:c>
      <x:c r="AB1169" s="13" t="str">
        <x:f>IF(AND(ISNUMBER(H1169),ISNUMBER(W1169)),H1169/MAX(1,'Обзор'!$B$4-W1169),"")</x:f>
      </x:c>
      <x:c r="AC1169" s="17" t="str">
        <x:v>Не решено</x:v>
      </x:c>
      <x:c r="AD1169" s="17" t="str">
        <x:v>Не проверено</x:v>
      </x:c>
      <x:c r="AE1169" s="17" t="str">
        <x:v>Не проверено</x:v>
      </x:c>
      <x:c r="AF1169" s="17" t="str">
        <x:v>Не проверено</x:v>
      </x:c>
      <x:c r="AG1169" s="17" t="str">
        <x:v>Не решено</x:v>
      </x:c>
      <x:c r="AH1169" s="17" t="str">
        <x:v>Не проверено</x:v>
      </x:c>
      <x:c r="AI1169" s="10" t="str">
        <x:f>IF(AC1169="Отклонить","Отклонено",IF(AND(AC1169="Взять",COUNTIFS(AD1169:AH1169,"Да")=5),"Готово","Нужна редактура"))</x:f>
        <x:v>Нужна редактура</x:v>
      </x:c>
      <x:c r="AJ1169" s="17" t="str"/>
      <x:c r="AK1169" s="9" t="str">
        <x:v>https://www.youtube.com/playlist?list=PL0ZkulyfP8beUDONIWu5t3I2xRbZK9gjn</x:v>
      </x:c>
      <x:c r="AL1169" s="9" t="n">
        <x:v>4</x:v>
      </x:c>
      <x:c r="AM1169" s="9"/>
      <x:c r="AN1169" s="9"/>
    </x:row>
    <x:row r="1170" ht="60" customHeight="1">
      <x:c r="A1170" s="9" t="str">
        <x:v>AnPeHtfm5XQ</x:v>
      </x:c>
      <x:c r="B1170" s="10" t="str">
        <x:v>עולם קטן בצנצנת</x:v>
      </x:c>
      <x:c r="C1170" s="10" t="str">
        <x:v>Экология и устойчивость</x:v>
      </x:c>
      <x:c r="D1170" s="9" t="str">
        <x:v>Образование</x:v>
      </x:c>
      <x:c r="E1170" s="10" t="str">
        <x:v>Наука; семья; любознательные</x:v>
      </x:c>
      <x:c r="F1170" s="10" t="str">
        <x:v>B1–B2 (гипотеза)</x:v>
      </x:c>
      <x:c r="G1170" s="12" t="n">
        <x:v>4.6</x:v>
      </x:c>
      <x:c r="H1170" s="14" t="n">
        <x:v>5200</x:v>
      </x:c>
      <x:c r="I1170" s="15" t="str">
        <x:v>Округлённый счётчик в списке YouTube</x:v>
      </x:c>
      <x:c r="J1170" s="14" t="n">
        <x:v>5200</x:v>
      </x:c>
      <x:c r="K1170" s="14" t="n">
        <x:v>9950</x:v>
      </x:c>
      <x:c r="L1170" s="12" t="n">
        <x:f>IF(COUNT(J1170:K1170)=2,IF(K1170=0,"",J1170/K1170),"")</x:f>
        <x:v>0.5226130653266332</x:v>
      </x:c>
      <x:c r="M1170" s="10" t="str">
        <x:v>Завершённый короткий просмотр около 5 мин. Тема среды расширяет предложение для экологически заинтересованной аудитории.</x:v>
      </x:c>
      <x:c r="N1170" s="10" t="str">
        <x:v>Назвать проблему, механизм и предлагаемое решение.</x:v>
      </x:c>
      <x:c r="O1170" s="10" t="str">
        <x:v>Проверить основной язык речи; каталог содержит и переводные материалы</x:v>
      </x:c>
      <x:c r="P1170" s="10" t="str">
        <x:v>Самостоятельное видео</x:v>
      </x:c>
      <x:c r="Q1170" s="9" t="str">
        <x:v>Нет</x:v>
      </x:c>
      <x:c r="R1170" s="9" t="str">
        <x:v>C064</x:v>
      </x:c>
      <x:c r="S1170" s="9" t="str">
        <x:v>C064</x:v>
      </x:c>
      <x:c r="T1170" s="10" t="str">
        <x:v>מכון דוידסון - סרטוני מדע</x:v>
      </x:c>
      <x:c r="U1170" s="11" t="str">
        <x:v>https://www.youtube.com/watch?v=AnPeHtfm5XQ</x:v>
      </x:c>
      <x:c r="V1170" s="16" t="n">
        <x:v>46308</x:v>
      </x:c>
      <x:c r="W1170" s="16"/>
      <x:c r="X1170" s="10" t="str">
        <x:v>Иврит предполагается по заголовку и источнику</x:v>
      </x:c>
      <x:c r="Y1170" s="10" t="str">
        <x:v>Не проверено</x:v>
      </x:c>
      <x:c r="Z1170" s="10" t="str">
        <x:v>Не проверено</x:v>
      </x:c>
      <x:c r="AA1170" s="10" t="str">
        <x:v>Метаданные списка; видео не просмотрено</x:v>
      </x:c>
      <x:c r="AB1170" s="13" t="str">
        <x:f>IF(AND(ISNUMBER(H1170),ISNUMBER(W1170)),H1170/MAX(1,'Обзор'!$B$4-W1170),"")</x:f>
      </x:c>
      <x:c r="AC1170" s="17" t="str">
        <x:v>Не решено</x:v>
      </x:c>
      <x:c r="AD1170" s="17" t="str">
        <x:v>Не проверено</x:v>
      </x:c>
      <x:c r="AE1170" s="17" t="str">
        <x:v>Не проверено</x:v>
      </x:c>
      <x:c r="AF1170" s="17" t="str">
        <x:v>Не проверено</x:v>
      </x:c>
      <x:c r="AG1170" s="17" t="str">
        <x:v>Не решено</x:v>
      </x:c>
      <x:c r="AH1170" s="17" t="str">
        <x:v>Не проверено</x:v>
      </x:c>
      <x:c r="AI1170" s="10" t="str">
        <x:f>IF(AC1170="Отклонить","Отклонено",IF(AND(AC1170="Взять",COUNTIFS(AD1170:AH1170,"Да")=5),"Готово","Нужна редактура"))</x:f>
        <x:v>Нужна редактура</x:v>
      </x:c>
      <x:c r="AJ1170" s="17" t="str"/>
      <x:c r="AK1170" s="9" t="str">
        <x:v>https://www.youtube.com/playlist?list=PL0ZkulyfP8beUDONIWu5t3I2xRbZK9gjn</x:v>
      </x:c>
      <x:c r="AL1170" s="9" t="n">
        <x:v>5</x:v>
      </x:c>
      <x:c r="AM1170" s="9"/>
      <x:c r="AN1170" s="9"/>
    </x:row>
    <x:row r="1171" ht="60" customHeight="1">
      <x:c r="A1171" s="9" t="str">
        <x:v>oXtJx6bWcwg</x:v>
      </x:c>
      <x:c r="B1171" s="10" t="str">
        <x:v>פרחים לבנים בכל מיני צבעים</x:v>
      </x:c>
      <x:c r="C1171" s="10" t="str">
        <x:v>Экология и устойчивость</x:v>
      </x:c>
      <x:c r="D1171" s="9" t="str">
        <x:v>Образование</x:v>
      </x:c>
      <x:c r="E1171" s="10" t="str">
        <x:v>Наука; семья; любознательные</x:v>
      </x:c>
      <x:c r="F1171" s="10" t="str">
        <x:v>B1–B2 (гипотеза)</x:v>
      </x:c>
      <x:c r="G1171" s="12" t="n">
        <x:v>3.8</x:v>
      </x:c>
      <x:c r="H1171" s="14" t="n">
        <x:v>10149</x:v>
      </x:c>
      <x:c r="I1171" s="15" t="str">
        <x:v>Точный счётчик метаданных видео</x:v>
      </x:c>
      <x:c r="J1171" s="14" t="n">
        <x:v>10000</x:v>
      </x:c>
      <x:c r="K1171" s="14" t="n">
        <x:v>9950</x:v>
      </x:c>
      <x:c r="L1171" s="12" t="n">
        <x:f>IF(COUNT(J1171:K1171)=2,IF(K1171=0,"",J1171/K1171),"")</x:f>
        <x:v>1.0050251256281406</x:v>
      </x:c>
      <x:c r="M1171" s="10" t="str">
        <x:v>Завершённый короткий просмотр около 4 мин. Тема среды расширяет предложение для экологически заинтересованной аудитории.</x:v>
      </x:c>
      <x:c r="N1171" s="10" t="str">
        <x:v>Назвать проблему, механизм и предлагаемое решение.</x:v>
      </x:c>
      <x:c r="O1171" s="10" t="str">
        <x:v>Проверить основной язык речи; каталог содержит и переводные материалы</x:v>
      </x:c>
      <x:c r="P1171" s="10" t="str">
        <x:v>Самостоятельное видео</x:v>
      </x:c>
      <x:c r="Q1171" s="9" t="str">
        <x:v>Нет</x:v>
      </x:c>
      <x:c r="R1171" s="9" t="str">
        <x:v>C064</x:v>
      </x:c>
      <x:c r="S1171" s="9" t="str">
        <x:v>C064</x:v>
      </x:c>
      <x:c r="T1171" s="10" t="str">
        <x:v>מכון דוידסון - סרטוני מדע</x:v>
      </x:c>
      <x:c r="U1171" s="11" t="str">
        <x:v>https://www.youtube.com/watch?v=oXtJx6bWcwg</x:v>
      </x:c>
      <x:c r="V1171" s="16" t="n">
        <x:v>46308</x:v>
      </x:c>
      <x:c r="W1171" s="16" t="n">
        <x:v>44668</x:v>
      </x:c>
      <x:c r="X1171" s="10" t="str">
        <x:v>Иврит предполагается по заголовку и источнику</x:v>
      </x:c>
      <x:c r="Y1171" s="10" t="str">
        <x:v>Ручная дорожка HE по метаданным</x:v>
      </x:c>
      <x:c r="Z1171" s="10" t="str">
        <x:v>Разрешено по метаданным</x:v>
      </x:c>
      <x:c r="AA1171" s="10" t="str">
        <x:v>Метаданные видео; воспроизведение и содержание не проверены</x:v>
      </x:c>
      <x:c r="AB1171" s="13" t="n">
        <x:f>IF(AND(ISNUMBER(H1171),ISNUMBER(W1171)),H1171/MAX(1,'Обзор'!$B$4-W1171),"")</x:f>
        <x:v>6.1884146341463415</x:v>
      </x:c>
      <x:c r="AC1171" s="17" t="str">
        <x:v>Не решено</x:v>
      </x:c>
      <x:c r="AD1171" s="17" t="str">
        <x:v>Не проверено</x:v>
      </x:c>
      <x:c r="AE1171" s="17" t="str">
        <x:v>Не проверено</x:v>
      </x:c>
      <x:c r="AF1171" s="17" t="str">
        <x:v>Не проверено</x:v>
      </x:c>
      <x:c r="AG1171" s="17" t="str">
        <x:v>Не решено</x:v>
      </x:c>
      <x:c r="AH1171" s="17" t="str">
        <x:v>Не проверено</x:v>
      </x:c>
      <x:c r="AI1171" s="10" t="str">
        <x:f>IF(AC1171="Отклонить","Отклонено",IF(AND(AC1171="Взять",COUNTIFS(AD1171:AH1171,"Да")=5),"Готово","Нужна редактура"))</x:f>
        <x:v>Нужна редактура</x:v>
      </x:c>
      <x:c r="AJ1171" s="17" t="str"/>
      <x:c r="AK1171" s="9" t="str">
        <x:v>https://www.youtube.com/playlist?list=PL0ZkulyfP8beUDONIWu5t3I2xRbZK9gjn</x:v>
      </x:c>
      <x:c r="AL1171" s="9" t="n">
        <x:v>6</x:v>
      </x:c>
      <x:c r="AM1171" s="9"/>
      <x:c r="AN1171" s="9" t="n">
        <x:v>0</x:v>
      </x:c>
    </x:row>
    <x:row r="1172" ht="60" customHeight="1">
      <x:c r="A1172" s="9" t="str">
        <x:v>AHHKmYrkztQ</x:v>
      </x:c>
      <x:c r="B1172" s="10" t="str">
        <x:v>איך לגרום לאצטרובל להיפתח ולהיסגר?</x:v>
      </x:c>
      <x:c r="C1172" s="10" t="str">
        <x:v>Экология и устойчивость</x:v>
      </x:c>
      <x:c r="D1172" s="9" t="str">
        <x:v>Образование</x:v>
      </x:c>
      <x:c r="E1172" s="10" t="str">
        <x:v>Наука; семья; любознательные</x:v>
      </x:c>
      <x:c r="F1172" s="10" t="str">
        <x:v>B1–B2 (гипотеза)</x:v>
      </x:c>
      <x:c r="G1172" s="12" t="n">
        <x:v>3</x:v>
      </x:c>
      <x:c r="H1172" s="14" t="n">
        <x:v>40638</x:v>
      </x:c>
      <x:c r="I1172" s="15" t="str">
        <x:v>Точный счётчик метаданных видео</x:v>
      </x:c>
      <x:c r="J1172" s="14" t="n">
        <x:v>40000</x:v>
      </x:c>
      <x:c r="K1172" s="14" t="n">
        <x:v>9950</x:v>
      </x:c>
      <x:c r="L1172" s="12" t="n">
        <x:f>IF(COUNT(J1172:K1172)=2,IF(K1172=0,"",J1172/K1172),"")</x:f>
        <x:v>4.0201005025125625</x:v>
      </x:c>
      <x:c r="M1172" s="10" t="str">
        <x:v>Завершённый короткий просмотр около 3 мин. Просмотры в списке выше медианы выборки этого цикла в 4.02 раза. Тема среды расширяет предложение для экологически заинтересованной аудитории.</x:v>
      </x:c>
      <x:c r="N1172" s="10" t="str">
        <x:v>Назвать проблему, механизм и предлагаемое решение.</x:v>
      </x:c>
      <x:c r="O1172" s="10" t="str">
        <x:v>Проверить основной язык речи; каталог содержит и переводные материалы</x:v>
      </x:c>
      <x:c r="P1172" s="10" t="str">
        <x:v>Самостоятельное видео</x:v>
      </x:c>
      <x:c r="Q1172" s="9" t="str">
        <x:v>Нет</x:v>
      </x:c>
      <x:c r="R1172" s="9" t="str">
        <x:v>C064</x:v>
      </x:c>
      <x:c r="S1172" s="9" t="str">
        <x:v>C064</x:v>
      </x:c>
      <x:c r="T1172" s="10" t="str">
        <x:v>מכון דוידסון - סרטוני מדע</x:v>
      </x:c>
      <x:c r="U1172" s="11" t="str">
        <x:v>https://www.youtube.com/watch?v=AHHKmYrkztQ</x:v>
      </x:c>
      <x:c r="V1172" s="16" t="n">
        <x:v>46308</x:v>
      </x:c>
      <x:c r="W1172" s="16" t="n">
        <x:v>41772</x:v>
      </x:c>
      <x:c r="X1172" s="10" t="str">
        <x:v>iw</x:v>
      </x:c>
      <x:c r="Y1172" s="10" t="str">
        <x:v>Ручная дорожка HE по метаданным</x:v>
      </x:c>
      <x:c r="Z1172" s="10" t="str">
        <x:v>Разрешено по метаданным</x:v>
      </x:c>
      <x:c r="AA1172" s="10" t="str">
        <x:v>Метаданные видео; воспроизведение и содержание не проверены</x:v>
      </x:c>
      <x:c r="AB1172" s="13" t="n">
        <x:f>IF(AND(ISNUMBER(H1172),ISNUMBER(W1172)),H1172/MAX(1,'Обзор'!$B$4-W1172),"")</x:f>
        <x:v>8.958994708994709</x:v>
      </x:c>
      <x:c r="AC1172" s="17" t="str">
        <x:v>Не решено</x:v>
      </x:c>
      <x:c r="AD1172" s="17" t="str">
        <x:v>Не проверено</x:v>
      </x:c>
      <x:c r="AE1172" s="17" t="str">
        <x:v>Не проверено</x:v>
      </x:c>
      <x:c r="AF1172" s="17" t="str">
        <x:v>Не проверено</x:v>
      </x:c>
      <x:c r="AG1172" s="17" t="str">
        <x:v>Не решено</x:v>
      </x:c>
      <x:c r="AH1172" s="17" t="str">
        <x:v>Не проверено</x:v>
      </x:c>
      <x:c r="AI1172" s="10" t="str">
        <x:f>IF(AC1172="Отклонить","Отклонено",IF(AND(AC1172="Взять",COUNTIFS(AD1172:AH1172,"Да")=5),"Готово","Нужна редактура"))</x:f>
        <x:v>Нужна редактура</x:v>
      </x:c>
      <x:c r="AJ1172" s="17" t="str"/>
      <x:c r="AK1172" s="9" t="str">
        <x:v>https://www.youtube.com/playlist?list=PL0ZkulyfP8beUDONIWu5t3I2xRbZK9gjn</x:v>
      </x:c>
      <x:c r="AL1172" s="9" t="n">
        <x:v>7</x:v>
      </x:c>
      <x:c r="AM1172" s="9"/>
      <x:c r="AN1172" s="9" t="n">
        <x:v>0</x:v>
      </x:c>
    </x:row>
    <x:row r="1173" ht="60" customHeight="1">
      <x:c r="A1173" s="9" t="str">
        <x:v>Ll3yKFl2zH4</x:v>
      </x:c>
      <x:c r="B1173" s="10" t="str">
        <x:v>קיסמי שיניים זזים מעצמם ויוצרים כוכב</x:v>
      </x:c>
      <x:c r="C1173" s="10" t="str">
        <x:v>Экология и устойчивость</x:v>
      </x:c>
      <x:c r="D1173" s="9" t="str">
        <x:v>Образование</x:v>
      </x:c>
      <x:c r="E1173" s="10" t="str">
        <x:v>Наука; семья; любознательные</x:v>
      </x:c>
      <x:c r="F1173" s="10" t="str">
        <x:v>B1–B2 (гипотеза)</x:v>
      </x:c>
      <x:c r="G1173" s="12" t="n">
        <x:v>1.9</x:v>
      </x:c>
      <x:c r="H1173" s="14" t="n">
        <x:v>71469</x:v>
      </x:c>
      <x:c r="I1173" s="15" t="str">
        <x:v>Точный счётчик метаданных видео</x:v>
      </x:c>
      <x:c r="J1173" s="14" t="n">
        <x:v>71000</x:v>
      </x:c>
      <x:c r="K1173" s="14" t="n">
        <x:v>9950</x:v>
      </x:c>
      <x:c r="L1173" s="12" t="n">
        <x:f>IF(COUNT(J1173:K1173)=2,IF(K1173=0,"",J1173/K1173),"")</x:f>
        <x:v>7.135678391959799</x:v>
      </x:c>
      <x:c r="M1173" s="10" t="str">
        <x:v>Завершённый короткий просмотр около 2 мин. Просмотры в списке выше медианы выборки этого цикла в 7.14 раза. Тема среды расширяет предложение для экологически заинтересованной аудитории.</x:v>
      </x:c>
      <x:c r="N1173" s="10" t="str">
        <x:v>Назвать проблему, механизм и предлагаемое решение.</x:v>
      </x:c>
      <x:c r="O1173" s="10" t="str">
        <x:v>Проверить основной язык речи; каталог содержит и переводные материалы</x:v>
      </x:c>
      <x:c r="P1173" s="10" t="str">
        <x:v>Самостоятельное видео</x:v>
      </x:c>
      <x:c r="Q1173" s="9" t="str">
        <x:v>Нет</x:v>
      </x:c>
      <x:c r="R1173" s="9" t="str">
        <x:v>C064</x:v>
      </x:c>
      <x:c r="S1173" s="9" t="str">
        <x:v>C064</x:v>
      </x:c>
      <x:c r="T1173" s="10" t="str">
        <x:v>מכון דוידסון - סרטוני מדע</x:v>
      </x:c>
      <x:c r="U1173" s="11" t="str">
        <x:v>https://www.youtube.com/watch?v=Ll3yKFl2zH4</x:v>
      </x:c>
      <x:c r="V1173" s="16" t="n">
        <x:v>46308</x:v>
      </x:c>
      <x:c r="W1173" s="16" t="n">
        <x:v>43737</x:v>
      </x:c>
      <x:c r="X1173" s="10" t="str">
        <x:v>Иврит предполагается по заголовку и источнику</x:v>
      </x:c>
      <x:c r="Y1173" s="10" t="str">
        <x:v>Ручная дорожка HE по метаданным</x:v>
      </x:c>
      <x:c r="Z1173" s="10" t="str">
        <x:v>Разрешено по метаданным</x:v>
      </x:c>
      <x:c r="AA1173" s="10" t="str">
        <x:v>Метаданные видео; воспроизведение и содержание не проверены</x:v>
      </x:c>
      <x:c r="AB1173" s="13" t="n">
        <x:f>IF(AND(ISNUMBER(H1173),ISNUMBER(W1173)),H1173/MAX(1,'Обзор'!$B$4-W1173),"")</x:f>
        <x:v>27.79813302217036</x:v>
      </x:c>
      <x:c r="AC1173" s="17" t="str">
        <x:v>Не решено</x:v>
      </x:c>
      <x:c r="AD1173" s="17" t="str">
        <x:v>Не проверено</x:v>
      </x:c>
      <x:c r="AE1173" s="17" t="str">
        <x:v>Не проверено</x:v>
      </x:c>
      <x:c r="AF1173" s="17" t="str">
        <x:v>Не проверено</x:v>
      </x:c>
      <x:c r="AG1173" s="17" t="str">
        <x:v>Не решено</x:v>
      </x:c>
      <x:c r="AH1173" s="17" t="str">
        <x:v>Не проверено</x:v>
      </x:c>
      <x:c r="AI1173" s="10" t="str">
        <x:f>IF(AC1173="Отклонить","Отклонено",IF(AND(AC1173="Взять",COUNTIFS(AD1173:AH1173,"Да")=5),"Готово","Нужна редактура"))</x:f>
        <x:v>Нужна редактура</x:v>
      </x:c>
      <x:c r="AJ1173" s="17" t="str"/>
      <x:c r="AK1173" s="9" t="str">
        <x:v>https://www.youtube.com/playlist?list=PL0ZkulyfP8beUDONIWu5t3I2xRbZK9gjn</x:v>
      </x:c>
      <x:c r="AL1173" s="9" t="n">
        <x:v>8</x:v>
      </x:c>
      <x:c r="AM1173" s="9"/>
      <x:c r="AN1173" s="9" t="n">
        <x:v>0</x:v>
      </x:c>
    </x:row>
    <x:row r="1174" ht="60" customHeight="1">
      <x:c r="A1174" s="9" t="str">
        <x:v>6J76hDSmSSE</x:v>
      </x:c>
      <x:c r="B1174" s="10" t="str">
        <x:v>כיצד למדוד ויטמין סי במזון?</x:v>
      </x:c>
      <x:c r="C1174" s="10" t="str">
        <x:v>Экология и устойчивость</x:v>
      </x:c>
      <x:c r="D1174" s="9" t="str">
        <x:v>Образование</x:v>
      </x:c>
      <x:c r="E1174" s="10" t="str">
        <x:v>Наука; семья; любознательные</x:v>
      </x:c>
      <x:c r="F1174" s="10" t="str">
        <x:v>B1–B2 (гипотеза)</x:v>
      </x:c>
      <x:c r="G1174" s="12" t="n">
        <x:v>4.2</x:v>
      </x:c>
      <x:c r="H1174" s="14" t="n">
        <x:v>55653</x:v>
      </x:c>
      <x:c r="I1174" s="15" t="str">
        <x:v>Точный счётчик метаданных видео</x:v>
      </x:c>
      <x:c r="J1174" s="14" t="n">
        <x:v>55000</x:v>
      </x:c>
      <x:c r="K1174" s="14" t="n">
        <x:v>9950</x:v>
      </x:c>
      <x:c r="L1174" s="12" t="n">
        <x:f>IF(COUNT(J1174:K1174)=2,IF(K1174=0,"",J1174/K1174),"")</x:f>
        <x:v>5.527638190954774</x:v>
      </x:c>
      <x:c r="M1174" s="10" t="str">
        <x:v>Завершённый короткий просмотр около 4 мин. Просмотры в списке выше медианы выборки этого цикла в 5.53 раза. Тема среды расширяет предложение для экологически заинтересованной аудитории.</x:v>
      </x:c>
      <x:c r="N1174" s="10" t="str">
        <x:v>Назвать проблему, механизм и предлагаемое решение.</x:v>
      </x:c>
      <x:c r="O1174" s="10" t="str">
        <x:v>Проверить основной язык речи; каталог содержит и переводные материалы</x:v>
      </x:c>
      <x:c r="P1174" s="10" t="str">
        <x:v>Самостоятельное видео</x:v>
      </x:c>
      <x:c r="Q1174" s="9" t="str">
        <x:v>Нет</x:v>
      </x:c>
      <x:c r="R1174" s="9" t="str">
        <x:v>C064</x:v>
      </x:c>
      <x:c r="S1174" s="9" t="str">
        <x:v>C064</x:v>
      </x:c>
      <x:c r="T1174" s="10" t="str">
        <x:v>מכון דוידסון - סרטוני מדע</x:v>
      </x:c>
      <x:c r="U1174" s="11" t="str">
        <x:v>https://www.youtube.com/watch?v=6J76hDSmSSE</x:v>
      </x:c>
      <x:c r="V1174" s="16" t="n">
        <x:v>46308</x:v>
      </x:c>
      <x:c r="W1174" s="16" t="n">
        <x:v>42071</x:v>
      </x:c>
      <x:c r="X1174" s="10" t="str">
        <x:v>Иврит предполагается по заголовку и источнику</x:v>
      </x:c>
      <x:c r="Y1174" s="10" t="str">
        <x:v>Ручная дорожка HE по метаданным</x:v>
      </x:c>
      <x:c r="Z1174" s="10" t="str">
        <x:v>Разрешено по метаданным</x:v>
      </x:c>
      <x:c r="AA1174" s="10" t="str">
        <x:v>Метаданные видео; воспроизведение и содержание не проверены</x:v>
      </x:c>
      <x:c r="AB1174" s="13" t="n">
        <x:f>IF(AND(ISNUMBER(H1174),ISNUMBER(W1174)),H1174/MAX(1,'Обзор'!$B$4-W1174),"")</x:f>
        <x:v>13.135001180080245</x:v>
      </x:c>
      <x:c r="AC1174" s="17" t="str">
        <x:v>Не решено</x:v>
      </x:c>
      <x:c r="AD1174" s="17" t="str">
        <x:v>Не проверено</x:v>
      </x:c>
      <x:c r="AE1174" s="17" t="str">
        <x:v>Не проверено</x:v>
      </x:c>
      <x:c r="AF1174" s="17" t="str">
        <x:v>Не проверено</x:v>
      </x:c>
      <x:c r="AG1174" s="17" t="str">
        <x:v>Не решено</x:v>
      </x:c>
      <x:c r="AH1174" s="17" t="str">
        <x:v>Не проверено</x:v>
      </x:c>
      <x:c r="AI1174" s="10" t="str">
        <x:f>IF(AC1174="Отклонить","Отклонено",IF(AND(AC1174="Взять",COUNTIFS(AD1174:AH1174,"Да")=5),"Готово","Нужна редактура"))</x:f>
        <x:v>Нужна редактура</x:v>
      </x:c>
      <x:c r="AJ1174" s="17" t="str"/>
      <x:c r="AK1174" s="9" t="str">
        <x:v>https://www.youtube.com/playlist?list=PL0ZkulyfP8beUDONIWu5t3I2xRbZK9gjn</x:v>
      </x:c>
      <x:c r="AL1174" s="9" t="n">
        <x:v>10</x:v>
      </x:c>
      <x:c r="AM1174" s="9"/>
      <x:c r="AN1174" s="9" t="n">
        <x:v>0</x:v>
      </x:c>
    </x:row>
    <x:row r="1175" ht="60" customHeight="1">
      <x:c r="A1175" s="9" t="str">
        <x:v>NCL1GBTSQCM</x:v>
      </x:c>
      <x:c r="B1175" s="10" t="str">
        <x:v>קסם כרוב משנה צבעים (אינדיקטור)</x:v>
      </x:c>
      <x:c r="C1175" s="10" t="str">
        <x:v>Экология и устойчивость</x:v>
      </x:c>
      <x:c r="D1175" s="9" t="str">
        <x:v>Образование</x:v>
      </x:c>
      <x:c r="E1175" s="10" t="str">
        <x:v>Наука; семья; любознательные</x:v>
      </x:c>
      <x:c r="F1175" s="10" t="str">
        <x:v>B1–B2 (гипотеза)</x:v>
      </x:c>
      <x:c r="G1175" s="12" t="n">
        <x:v>5.3</x:v>
      </x:c>
      <x:c r="H1175" s="14" t="n">
        <x:v>117768</x:v>
      </x:c>
      <x:c r="I1175" s="15" t="str">
        <x:v>Точный счётчик метаданных видео</x:v>
      </x:c>
      <x:c r="J1175" s="14" t="n">
        <x:v>117000</x:v>
      </x:c>
      <x:c r="K1175" s="14" t="n">
        <x:v>9950</x:v>
      </x:c>
      <x:c r="L1175" s="12" t="n">
        <x:f>IF(COUNT(J1175:K1175)=2,IF(K1175=0,"",J1175/K1175),"")</x:f>
        <x:v>11.758793969849247</x:v>
      </x:c>
      <x:c r="M1175" s="10" t="str">
        <x:v>Завершённый короткий просмотр около 5 мин. Просмотры в списке выше медианы выборки этого цикла в 11.76 раза. Тема среды расширяет предложение для экологически заинтересованной аудитории.</x:v>
      </x:c>
      <x:c r="N1175" s="10" t="str">
        <x:v>Назвать проблему, механизм и предлагаемое решение.</x:v>
      </x:c>
      <x:c r="O1175" s="10" t="str">
        <x:v>Проверить основной язык речи; каталог содержит и переводные материалы</x:v>
      </x:c>
      <x:c r="P1175" s="10" t="str">
        <x:v>Самостоятельное видео</x:v>
      </x:c>
      <x:c r="Q1175" s="9" t="str">
        <x:v>Нет</x:v>
      </x:c>
      <x:c r="R1175" s="9" t="str">
        <x:v>C064</x:v>
      </x:c>
      <x:c r="S1175" s="9" t="str">
        <x:v>C064</x:v>
      </x:c>
      <x:c r="T1175" s="10" t="str">
        <x:v>מכון דוידסון - סרטוני מדע</x:v>
      </x:c>
      <x:c r="U1175" s="11" t="str">
        <x:v>https://www.youtube.com/watch?v=NCL1GBTSQCM</x:v>
      </x:c>
      <x:c r="V1175" s="16" t="n">
        <x:v>46308</x:v>
      </x:c>
      <x:c r="W1175" s="16" t="n">
        <x:v>41946</x:v>
      </x:c>
      <x:c r="X1175" s="10" t="str">
        <x:v>Иврит предполагается по заголовку и источнику</x:v>
      </x:c>
      <x:c r="Y1175" s="10" t="str">
        <x:v>Ручная дорожка HE по метаданным</x:v>
      </x:c>
      <x:c r="Z1175" s="10" t="str">
        <x:v>Разрешено по метаданным</x:v>
      </x:c>
      <x:c r="AA1175" s="10" t="str">
        <x:v>Метаданные видео; воспроизведение и содержание не проверены</x:v>
      </x:c>
      <x:c r="AB1175" s="13" t="n">
        <x:f>IF(AND(ISNUMBER(H1175),ISNUMBER(W1175)),H1175/MAX(1,'Обзор'!$B$4-W1175),"")</x:f>
        <x:v>26.99862448418157</x:v>
      </x:c>
      <x:c r="AC1175" s="17" t="str">
        <x:v>Не решено</x:v>
      </x:c>
      <x:c r="AD1175" s="17" t="str">
        <x:v>Не проверено</x:v>
      </x:c>
      <x:c r="AE1175" s="17" t="str">
        <x:v>Не проверено</x:v>
      </x:c>
      <x:c r="AF1175" s="17" t="str">
        <x:v>Не проверено</x:v>
      </x:c>
      <x:c r="AG1175" s="17" t="str">
        <x:v>Не решено</x:v>
      </x:c>
      <x:c r="AH1175" s="17" t="str">
        <x:v>Не проверено</x:v>
      </x:c>
      <x:c r="AI1175" s="10" t="str">
        <x:f>IF(AC1175="Отклонить","Отклонено",IF(AND(AC1175="Взять",COUNTIFS(AD1175:AH1175,"Да")=5),"Готово","Нужна редактура"))</x:f>
        <x:v>Нужна редактура</x:v>
      </x:c>
      <x:c r="AJ1175" s="17" t="str"/>
      <x:c r="AK1175" s="9" t="str">
        <x:v>https://www.youtube.com/playlist?list=PL0ZkulyfP8beUDONIWu5t3I2xRbZK9gjn</x:v>
      </x:c>
      <x:c r="AL1175" s="9" t="n">
        <x:v>11</x:v>
      </x:c>
      <x:c r="AM1175" s="9"/>
      <x:c r="AN1175" s="9" t="n">
        <x:v>0</x:v>
      </x:c>
    </x:row>
    <x:row r="1176" ht="60" customHeight="1">
      <x:c r="A1176" s="9" t="str">
        <x:v>un8MbMMqVoA</x:v>
      </x:c>
      <x:c r="B1176" s="10" t="str">
        <x:v>למה? ככה! איך מכינים ציורי קסם מכרוב</x:v>
      </x:c>
      <x:c r="C1176" s="10" t="str">
        <x:v>Экология и устойчивость</x:v>
      </x:c>
      <x:c r="D1176" s="9" t="str">
        <x:v>Образование</x:v>
      </x:c>
      <x:c r="E1176" s="10" t="str">
        <x:v>Наука; семья; любознательные</x:v>
      </x:c>
      <x:c r="F1176" s="10" t="str">
        <x:v>B1–B2 (гипотеза)</x:v>
      </x:c>
      <x:c r="G1176" s="12" t="n">
        <x:v>3.2</x:v>
      </x:c>
      <x:c r="H1176" s="14" t="n">
        <x:v>6000</x:v>
      </x:c>
      <x:c r="I1176" s="15" t="str">
        <x:v>Округлённый счётчик в списке YouTube</x:v>
      </x:c>
      <x:c r="J1176" s="14" t="n">
        <x:v>6000</x:v>
      </x:c>
      <x:c r="K1176" s="14" t="n">
        <x:v>9950</x:v>
      </x:c>
      <x:c r="L1176" s="12" t="n">
        <x:f>IF(COUNT(J1176:K1176)=2,IF(K1176=0,"",J1176/K1176),"")</x:f>
        <x:v>0.6030150753768844</x:v>
      </x:c>
      <x:c r="M1176" s="10" t="str">
        <x:v>Завершённый короткий просмотр около 3 мин. Тема среды расширяет предложение для экологически заинтересованной аудитории.</x:v>
      </x:c>
      <x:c r="N1176" s="10" t="str">
        <x:v>Назвать проблему, механизм и предлагаемое решение.</x:v>
      </x:c>
      <x:c r="O1176" s="10" t="str">
        <x:v>Проверить основной язык речи; каталог содержит и переводные материалы</x:v>
      </x:c>
      <x:c r="P1176" s="10" t="str">
        <x:v>Самостоятельное видео</x:v>
      </x:c>
      <x:c r="Q1176" s="9" t="str">
        <x:v>Нет</x:v>
      </x:c>
      <x:c r="R1176" s="9" t="str">
        <x:v>C064</x:v>
      </x:c>
      <x:c r="S1176" s="9" t="str">
        <x:v>C064</x:v>
      </x:c>
      <x:c r="T1176" s="10" t="str">
        <x:v>מכון דוידסון - סרטוני מדע</x:v>
      </x:c>
      <x:c r="U1176" s="11" t="str">
        <x:v>https://www.youtube.com/watch?v=un8MbMMqVoA</x:v>
      </x:c>
      <x:c r="V1176" s="16" t="n">
        <x:v>46308</x:v>
      </x:c>
      <x:c r="W1176" s="16"/>
      <x:c r="X1176" s="10" t="str">
        <x:v>Иврит предполагается по заголовку и источнику</x:v>
      </x:c>
      <x:c r="Y1176" s="10" t="str">
        <x:v>Не проверено</x:v>
      </x:c>
      <x:c r="Z1176" s="10" t="str">
        <x:v>Не проверено</x:v>
      </x:c>
      <x:c r="AA1176" s="10" t="str">
        <x:v>Метаданные списка; видео не просмотрено</x:v>
      </x:c>
      <x:c r="AB1176" s="13" t="str">
        <x:f>IF(AND(ISNUMBER(H1176),ISNUMBER(W1176)),H1176/MAX(1,'Обзор'!$B$4-W1176),"")</x:f>
      </x:c>
      <x:c r="AC1176" s="17" t="str">
        <x:v>Не решено</x:v>
      </x:c>
      <x:c r="AD1176" s="17" t="str">
        <x:v>Не проверено</x:v>
      </x:c>
      <x:c r="AE1176" s="17" t="str">
        <x:v>Не проверено</x:v>
      </x:c>
      <x:c r="AF1176" s="17" t="str">
        <x:v>Не проверено</x:v>
      </x:c>
      <x:c r="AG1176" s="17" t="str">
        <x:v>Не решено</x:v>
      </x:c>
      <x:c r="AH1176" s="17" t="str">
        <x:v>Не проверено</x:v>
      </x:c>
      <x:c r="AI1176" s="10" t="str">
        <x:f>IF(AC1176="Отклонить","Отклонено",IF(AND(AC1176="Взять",COUNTIFS(AD1176:AH1176,"Да")=5),"Готово","Нужна редактура"))</x:f>
        <x:v>Нужна редактура</x:v>
      </x:c>
      <x:c r="AJ1176" s="17" t="str"/>
      <x:c r="AK1176" s="9" t="str">
        <x:v>https://www.youtube.com/playlist?list=PL0ZkulyfP8beUDONIWu5t3I2xRbZK9gjn</x:v>
      </x:c>
      <x:c r="AL1176" s="9" t="n">
        <x:v>12</x:v>
      </x:c>
      <x:c r="AM1176" s="9"/>
      <x:c r="AN1176" s="9"/>
    </x:row>
    <x:row r="1177" ht="60" customHeight="1">
      <x:c r="A1177" s="9" t="str">
        <x:v>G7OdFCiztww</x:v>
      </x:c>
      <x:c r="B1177" s="10" t="str">
        <x:v>קסם כרוב סגול - ניסוי מדע בבית שצולם בבית, בזמן הסגר</x:v>
      </x:c>
      <x:c r="C1177" s="10" t="str">
        <x:v>Экология и устойчивость</x:v>
      </x:c>
      <x:c r="D1177" s="9" t="str">
        <x:v>Образование</x:v>
      </x:c>
      <x:c r="E1177" s="10" t="str">
        <x:v>Наука; семья; любознательные</x:v>
      </x:c>
      <x:c r="F1177" s="10" t="str">
        <x:v>B1–B2 (гипотеза)</x:v>
      </x:c>
      <x:c r="G1177" s="12" t="n">
        <x:v>4.3</x:v>
      </x:c>
      <x:c r="H1177" s="14" t="n">
        <x:v>19574</x:v>
      </x:c>
      <x:c r="I1177" s="15" t="str">
        <x:v>Точный счётчик метаданных видео</x:v>
      </x:c>
      <x:c r="J1177" s="14" t="n">
        <x:v>19000</x:v>
      </x:c>
      <x:c r="K1177" s="14" t="n">
        <x:v>9950</x:v>
      </x:c>
      <x:c r="L1177" s="12" t="n">
        <x:f>IF(COUNT(J1177:K1177)=2,IF(K1177=0,"",J1177/K1177),"")</x:f>
        <x:v>1.9095477386934674</x:v>
      </x:c>
      <x:c r="M1177" s="10" t="str">
        <x:v>Завершённый короткий просмотр около 4 мин. Просмотры в списке выше медианы выборки этого цикла в 1.91 раза. Тема среды расширяет предложение для экологически заинтересованной аудитории.</x:v>
      </x:c>
      <x:c r="N1177" s="10" t="str">
        <x:v>Назвать проблему, механизм и предлагаемое решение.</x:v>
      </x:c>
      <x:c r="O1177" s="10" t="str">
        <x:v>Проверить основной язык речи; каталог содержит и переводные материалы</x:v>
      </x:c>
      <x:c r="P1177" s="10" t="str">
        <x:v>Самостоятельное видео</x:v>
      </x:c>
      <x:c r="Q1177" s="9" t="str">
        <x:v>Нет</x:v>
      </x:c>
      <x:c r="R1177" s="9" t="str">
        <x:v>C064</x:v>
      </x:c>
      <x:c r="S1177" s="9" t="str">
        <x:v>C064</x:v>
      </x:c>
      <x:c r="T1177" s="10" t="str">
        <x:v>מכון דוידסון - סרטוני מדע</x:v>
      </x:c>
      <x:c r="U1177" s="11" t="str">
        <x:v>https://www.youtube.com/watch?v=G7OdFCiztww</x:v>
      </x:c>
      <x:c r="V1177" s="16" t="n">
        <x:v>46308</x:v>
      </x:c>
      <x:c r="W1177" s="16" t="n">
        <x:v>44220</x:v>
      </x:c>
      <x:c r="X1177" s="10" t="str">
        <x:v>Иврит предполагается по заголовку и источнику</x:v>
      </x:c>
      <x:c r="Y1177" s="10" t="str">
        <x:v>Ручная дорожка HE по метаданным</x:v>
      </x:c>
      <x:c r="Z1177" s="10" t="str">
        <x:v>Разрешено по метаданным</x:v>
      </x:c>
      <x:c r="AA1177" s="10" t="str">
        <x:v>Метаданные видео; воспроизведение и содержание не проверены</x:v>
      </x:c>
      <x:c r="AB1177" s="13" t="n">
        <x:f>IF(AND(ISNUMBER(H1177),ISNUMBER(W1177)),H1177/MAX(1,'Обзор'!$B$4-W1177),"")</x:f>
        <x:v>9.374521072796934</x:v>
      </x:c>
      <x:c r="AC1177" s="17" t="str">
        <x:v>Не решено</x:v>
      </x:c>
      <x:c r="AD1177" s="17" t="str">
        <x:v>Не проверено</x:v>
      </x:c>
      <x:c r="AE1177" s="17" t="str">
        <x:v>Не проверено</x:v>
      </x:c>
      <x:c r="AF1177" s="17" t="str">
        <x:v>Не проверено</x:v>
      </x:c>
      <x:c r="AG1177" s="17" t="str">
        <x:v>Не решено</x:v>
      </x:c>
      <x:c r="AH1177" s="17" t="str">
        <x:v>Не проверено</x:v>
      </x:c>
      <x:c r="AI1177" s="10" t="str">
        <x:f>IF(AC1177="Отклонить","Отклонено",IF(AND(AC1177="Взять",COUNTIFS(AD1177:AH1177,"Да")=5),"Готово","Нужна редактура"))</x:f>
        <x:v>Нужна редактура</x:v>
      </x:c>
      <x:c r="AJ1177" s="17" t="str"/>
      <x:c r="AK1177" s="9" t="str">
        <x:v>https://www.youtube.com/playlist?list=PL0ZkulyfP8beUDONIWu5t3I2xRbZK9gjn</x:v>
      </x:c>
      <x:c r="AL1177" s="9" t="n">
        <x:v>13</x:v>
      </x:c>
      <x:c r="AM1177" s="9"/>
      <x:c r="AN1177" s="9" t="n">
        <x:v>0</x:v>
      </x:c>
    </x:row>
    <x:row r="1178" ht="60" customHeight="1">
      <x:c r="A1178" s="9" t="str">
        <x:v>T7UsSWc7ViY</x:v>
      </x:c>
      <x:c r="B1178" s="10" t="str">
        <x:v>איך לפוצץ בלון עם תפוז</x:v>
      </x:c>
      <x:c r="C1178" s="10" t="str">
        <x:v>Экология и устойчивость</x:v>
      </x:c>
      <x:c r="D1178" s="9" t="str">
        <x:v>Образование</x:v>
      </x:c>
      <x:c r="E1178" s="10" t="str">
        <x:v>Наука; семья; любознательные</x:v>
      </x:c>
      <x:c r="F1178" s="10" t="str">
        <x:v>B1–B2 (гипотеза)</x:v>
      </x:c>
      <x:c r="G1178" s="12" t="n">
        <x:v>2.7</x:v>
      </x:c>
      <x:c r="H1178" s="14" t="n">
        <x:v>28953</x:v>
      </x:c>
      <x:c r="I1178" s="15" t="str">
        <x:v>Точный счётчик метаданных видео</x:v>
      </x:c>
      <x:c r="J1178" s="14" t="n">
        <x:v>28000</x:v>
      </x:c>
      <x:c r="K1178" s="14" t="n">
        <x:v>9950</x:v>
      </x:c>
      <x:c r="L1178" s="12" t="n">
        <x:f>IF(COUNT(J1178:K1178)=2,IF(K1178=0,"",J1178/K1178),"")</x:f>
        <x:v>2.814070351758794</x:v>
      </x:c>
      <x:c r="M1178" s="10" t="str">
        <x:v>Завершённый короткий просмотр около 3 мин. Просмотры в списке выше медианы выборки этого цикла в 2.81 раза. Тема среды расширяет предложение для экологически заинтересованной аудитории.</x:v>
      </x:c>
      <x:c r="N1178" s="10" t="str">
        <x:v>Назвать проблему, механизм и предлагаемое решение.</x:v>
      </x:c>
      <x:c r="O1178" s="10" t="str">
        <x:v>Проверить основной язык речи; каталог содержит и переводные материалы</x:v>
      </x:c>
      <x:c r="P1178" s="10" t="str">
        <x:v>Самостоятельное видео</x:v>
      </x:c>
      <x:c r="Q1178" s="9" t="str">
        <x:v>Нет</x:v>
      </x:c>
      <x:c r="R1178" s="9" t="str">
        <x:v>C064</x:v>
      </x:c>
      <x:c r="S1178" s="9" t="str">
        <x:v>C064</x:v>
      </x:c>
      <x:c r="T1178" s="10" t="str">
        <x:v>מכון דוידסון - סרטוני מדע</x:v>
      </x:c>
      <x:c r="U1178" s="11" t="str">
        <x:v>https://www.youtube.com/watch?v=T7UsSWc7ViY</x:v>
      </x:c>
      <x:c r="V1178" s="16" t="n">
        <x:v>46308</x:v>
      </x:c>
      <x:c r="W1178" s="16" t="n">
        <x:v>43059</x:v>
      </x:c>
      <x:c r="X1178" s="10" t="str">
        <x:v>Иврит предполагается по заголовку и источнику</x:v>
      </x:c>
      <x:c r="Y1178" s="10" t="str">
        <x:v>Ручная дорожка HE по метаданным</x:v>
      </x:c>
      <x:c r="Z1178" s="10" t="str">
        <x:v>Разрешено по метаданным</x:v>
      </x:c>
      <x:c r="AA1178" s="10" t="str">
        <x:v>Метаданные видео; воспроизведение и содержание не проверены</x:v>
      </x:c>
      <x:c r="AB1178" s="13" t="n">
        <x:f>IF(AND(ISNUMBER(H1178),ISNUMBER(W1178)),H1178/MAX(1,'Обзор'!$B$4-W1178),"")</x:f>
        <x:v>8.911357340720222</x:v>
      </x:c>
      <x:c r="AC1178" s="17" t="str">
        <x:v>Не решено</x:v>
      </x:c>
      <x:c r="AD1178" s="17" t="str">
        <x:v>Не проверено</x:v>
      </x:c>
      <x:c r="AE1178" s="17" t="str">
        <x:v>Не проверено</x:v>
      </x:c>
      <x:c r="AF1178" s="17" t="str">
        <x:v>Не проверено</x:v>
      </x:c>
      <x:c r="AG1178" s="17" t="str">
        <x:v>Не решено</x:v>
      </x:c>
      <x:c r="AH1178" s="17" t="str">
        <x:v>Не проверено</x:v>
      </x:c>
      <x:c r="AI1178" s="10" t="str">
        <x:f>IF(AC1178="Отклонить","Отклонено",IF(AND(AC1178="Взять",COUNTIFS(AD1178:AH1178,"Да")=5),"Готово","Нужна редактура"))</x:f>
        <x:v>Нужна редактура</x:v>
      </x:c>
      <x:c r="AJ1178" s="17" t="str"/>
      <x:c r="AK1178" s="9" t="str">
        <x:v>https://www.youtube.com/playlist?list=PL0ZkulyfP8beUDONIWu5t3I2xRbZK9gjn</x:v>
      </x:c>
      <x:c r="AL1178" s="9" t="n">
        <x:v>14</x:v>
      </x:c>
      <x:c r="AM1178" s="9"/>
      <x:c r="AN1178" s="9" t="n">
        <x:v>0</x:v>
      </x:c>
    </x:row>
    <x:row r="1179" ht="60" customHeight="1">
      <x:c r="A1179" s="9" t="str">
        <x:v>yn6ugzgh_Ps</x:v>
      </x:c>
      <x:c r="B1179" s="10" t="str">
        <x:v>יורק להבות אש מקליפות פרי הדר</x:v>
      </x:c>
      <x:c r="C1179" s="10" t="str">
        <x:v>Экология и устойчивость</x:v>
      </x:c>
      <x:c r="D1179" s="9" t="str">
        <x:v>Образование</x:v>
      </x:c>
      <x:c r="E1179" s="10" t="str">
        <x:v>Наука; семья; любознательные</x:v>
      </x:c>
      <x:c r="F1179" s="10" t="str">
        <x:v>B1–B2 (гипотеза)</x:v>
      </x:c>
      <x:c r="G1179" s="12" t="n">
        <x:v>2.4</x:v>
      </x:c>
      <x:c r="H1179" s="14" t="n">
        <x:v>44193</x:v>
      </x:c>
      <x:c r="I1179" s="15" t="str">
        <x:v>Точный счётчик метаданных видео</x:v>
      </x:c>
      <x:c r="J1179" s="14" t="n">
        <x:v>44000</x:v>
      </x:c>
      <x:c r="K1179" s="14" t="n">
        <x:v>9950</x:v>
      </x:c>
      <x:c r="L1179" s="12" t="n">
        <x:f>IF(COUNT(J1179:K1179)=2,IF(K1179=0,"",J1179/K1179),"")</x:f>
        <x:v>4.422110552763819</x:v>
      </x:c>
      <x:c r="M1179" s="10" t="str">
        <x:v>Завершённый короткий просмотр около 2 мин. Просмотры в списке выше медианы выборки этого цикла в 4.42 раза. Тема среды расширяет предложение для экологически заинтересованной аудитории.</x:v>
      </x:c>
      <x:c r="N1179" s="10" t="str">
        <x:v>Назвать проблему, механизм и предлагаемое решение.</x:v>
      </x:c>
      <x:c r="O1179" s="10" t="str">
        <x:v>Проверить основной язык речи; каталог содержит и переводные материалы</x:v>
      </x:c>
      <x:c r="P1179" s="10" t="str">
        <x:v>Самостоятельное видео</x:v>
      </x:c>
      <x:c r="Q1179" s="9" t="str">
        <x:v>Нет</x:v>
      </x:c>
      <x:c r="R1179" s="9" t="str">
        <x:v>C064</x:v>
      </x:c>
      <x:c r="S1179" s="9" t="str">
        <x:v>C064</x:v>
      </x:c>
      <x:c r="T1179" s="10" t="str">
        <x:v>מכון דוידסון - סרטוני מדע</x:v>
      </x:c>
      <x:c r="U1179" s="11" t="str">
        <x:v>https://www.youtube.com/watch?v=yn6ugzgh_Ps</x:v>
      </x:c>
      <x:c r="V1179" s="16" t="n">
        <x:v>46308</x:v>
      </x:c>
      <x:c r="W1179" s="16" t="n">
        <x:v>40770</x:v>
      </x:c>
      <x:c r="X1179" s="10" t="str">
        <x:v>Иврит предполагается по заголовку и источнику</x:v>
      </x:c>
      <x:c r="Y1179" s="10" t="str">
        <x:v>Ручная дорожка HE по метаданным</x:v>
      </x:c>
      <x:c r="Z1179" s="10" t="str">
        <x:v>Разрешено по метаданным</x:v>
      </x:c>
      <x:c r="AA1179" s="10" t="str">
        <x:v>Метаданные видео; воспроизведение и содержание не проверены</x:v>
      </x:c>
      <x:c r="AB1179" s="13" t="n">
        <x:f>IF(AND(ISNUMBER(H1179),ISNUMBER(W1179)),H1179/MAX(1,'Обзор'!$B$4-W1179),"")</x:f>
        <x:v>7.979956663055255</x:v>
      </x:c>
      <x:c r="AC1179" s="17" t="str">
        <x:v>Не решено</x:v>
      </x:c>
      <x:c r="AD1179" s="17" t="str">
        <x:v>Не проверено</x:v>
      </x:c>
      <x:c r="AE1179" s="17" t="str">
        <x:v>Не проверено</x:v>
      </x:c>
      <x:c r="AF1179" s="17" t="str">
        <x:v>Не проверено</x:v>
      </x:c>
      <x:c r="AG1179" s="17" t="str">
        <x:v>Не решено</x:v>
      </x:c>
      <x:c r="AH1179" s="17" t="str">
        <x:v>Не проверено</x:v>
      </x:c>
      <x:c r="AI1179" s="10" t="str">
        <x:f>IF(AC1179="Отклонить","Отклонено",IF(AND(AC1179="Взять",COUNTIFS(AD1179:AH1179,"Да")=5),"Готово","Нужна редактура"))</x:f>
        <x:v>Нужна редактура</x:v>
      </x:c>
      <x:c r="AJ1179" s="17" t="str"/>
      <x:c r="AK1179" s="9" t="str">
        <x:v>https://www.youtube.com/playlist?list=PL0ZkulyfP8beUDONIWu5t3I2xRbZK9gjn</x:v>
      </x:c>
      <x:c r="AL1179" s="9" t="n">
        <x:v>16</x:v>
      </x:c>
      <x:c r="AM1179" s="9"/>
      <x:c r="AN1179" s="9" t="n">
        <x:v>0</x:v>
      </x:c>
    </x:row>
    <x:row r="1180" ht="60" customHeight="1">
      <x:c r="A1180" s="9" t="str">
        <x:v>zjVPypIp8Zs</x:v>
      </x:c>
      <x:c r="B1180" s="10" t="str">
        <x:v>מה בבננה</x:v>
      </x:c>
      <x:c r="C1180" s="10" t="str">
        <x:v>Экология и устойчивость</x:v>
      </x:c>
      <x:c r="D1180" s="9" t="str">
        <x:v>Образование</x:v>
      </x:c>
      <x:c r="E1180" s="10" t="str">
        <x:v>Наука; семья; любознательные</x:v>
      </x:c>
      <x:c r="F1180" s="10" t="str">
        <x:v>B1–B2 (гипотеза)</x:v>
      </x:c>
      <x:c r="G1180" s="12" t="n">
        <x:v>5.3</x:v>
      </x:c>
      <x:c r="H1180" s="14" t="n">
        <x:v>5000</x:v>
      </x:c>
      <x:c r="I1180" s="15" t="str">
        <x:v>Округлённый счётчик в списке YouTube</x:v>
      </x:c>
      <x:c r="J1180" s="14" t="n">
        <x:v>5000</x:v>
      </x:c>
      <x:c r="K1180" s="14" t="n">
        <x:v>9950</x:v>
      </x:c>
      <x:c r="L1180" s="12" t="n">
        <x:f>IF(COUNT(J1180:K1180)=2,IF(K1180=0,"",J1180/K1180),"")</x:f>
        <x:v>0.5025125628140703</x:v>
      </x:c>
      <x:c r="M1180" s="10" t="str">
        <x:v>Завершённый короткий просмотр около 5 мин. Тема среды расширяет предложение для экологически заинтересованной аудитории.</x:v>
      </x:c>
      <x:c r="N1180" s="10" t="str">
        <x:v>Назвать проблему, механизм и предлагаемое решение.</x:v>
      </x:c>
      <x:c r="O1180" s="10" t="str">
        <x:v>Проверить основной язык речи; каталог содержит и переводные материалы</x:v>
      </x:c>
      <x:c r="P1180" s="10" t="str">
        <x:v>Самостоятельное видео</x:v>
      </x:c>
      <x:c r="Q1180" s="9" t="str">
        <x:v>Нет</x:v>
      </x:c>
      <x:c r="R1180" s="9" t="str">
        <x:v>C064</x:v>
      </x:c>
      <x:c r="S1180" s="9" t="str">
        <x:v>C064</x:v>
      </x:c>
      <x:c r="T1180" s="10" t="str">
        <x:v>מכון דוידסון - סרטוני מדע</x:v>
      </x:c>
      <x:c r="U1180" s="11" t="str">
        <x:v>https://www.youtube.com/watch?v=zjVPypIp8Zs</x:v>
      </x:c>
      <x:c r="V1180" s="16" t="n">
        <x:v>46308</x:v>
      </x:c>
      <x:c r="W1180" s="16"/>
      <x:c r="X1180" s="10" t="str">
        <x:v>Иврит предполагается по заголовку и источнику</x:v>
      </x:c>
      <x:c r="Y1180" s="10" t="str">
        <x:v>Не проверено</x:v>
      </x:c>
      <x:c r="Z1180" s="10" t="str">
        <x:v>Не проверено</x:v>
      </x:c>
      <x:c r="AA1180" s="10" t="str">
        <x:v>Метаданные списка; видео не просмотрено</x:v>
      </x:c>
      <x:c r="AB1180" s="13" t="str">
        <x:f>IF(AND(ISNUMBER(H1180),ISNUMBER(W1180)),H1180/MAX(1,'Обзор'!$B$4-W1180),"")</x:f>
      </x:c>
      <x:c r="AC1180" s="17" t="str">
        <x:v>Не решено</x:v>
      </x:c>
      <x:c r="AD1180" s="17" t="str">
        <x:v>Не проверено</x:v>
      </x:c>
      <x:c r="AE1180" s="17" t="str">
        <x:v>Не проверено</x:v>
      </x:c>
      <x:c r="AF1180" s="17" t="str">
        <x:v>Не проверено</x:v>
      </x:c>
      <x:c r="AG1180" s="17" t="str">
        <x:v>Не решено</x:v>
      </x:c>
      <x:c r="AH1180" s="17" t="str">
        <x:v>Не проверено</x:v>
      </x:c>
      <x:c r="AI1180" s="10" t="str">
        <x:f>IF(AC1180="Отклонить","Отклонено",IF(AND(AC1180="Взять",COUNTIFS(AD1180:AH1180,"Да")=5),"Готово","Нужна редактура"))</x:f>
        <x:v>Нужна редактура</x:v>
      </x:c>
      <x:c r="AJ1180" s="17" t="str"/>
      <x:c r="AK1180" s="9" t="str">
        <x:v>https://www.youtube.com/playlist?list=PL0ZkulyfP8beUDONIWu5t3I2xRbZK9gjn</x:v>
      </x:c>
      <x:c r="AL1180" s="9" t="n">
        <x:v>17</x:v>
      </x:c>
      <x:c r="AM1180" s="9"/>
      <x:c r="AN1180" s="9"/>
    </x:row>
    <x:row r="1181" ht="60" customHeight="1">
      <x:c r="A1181" s="9" t="str">
        <x:v>wEEOQQgDTWY</x:v>
      </x:c>
      <x:c r="B1181" s="10" t="str">
        <x:v>מי הפיל את החומוס? - כלי נגינה מקטניות</x:v>
      </x:c>
      <x:c r="C1181" s="10" t="str">
        <x:v>Экология и устойчивость</x:v>
      </x:c>
      <x:c r="D1181" s="9" t="str">
        <x:v>Образование</x:v>
      </x:c>
      <x:c r="E1181" s="10" t="str">
        <x:v>Наука; семья; любознательные</x:v>
      </x:c>
      <x:c r="F1181" s="10" t="str">
        <x:v>B1–B2 (гипотеза)</x:v>
      </x:c>
      <x:c r="G1181" s="12" t="n">
        <x:v>4.3</x:v>
      </x:c>
      <x:c r="H1181" s="14" t="n">
        <x:v>14373</x:v>
      </x:c>
      <x:c r="I1181" s="15" t="str">
        <x:v>Точный счётчик метаданных видео</x:v>
      </x:c>
      <x:c r="J1181" s="14" t="n">
        <x:v>14000</x:v>
      </x:c>
      <x:c r="K1181" s="14" t="n">
        <x:v>9950</x:v>
      </x:c>
      <x:c r="L1181" s="12" t="n">
        <x:f>IF(COUNT(J1181:K1181)=2,IF(K1181=0,"",J1181/K1181),"")</x:f>
        <x:v>1.407035175879397</x:v>
      </x:c>
      <x:c r="M1181" s="10" t="str">
        <x:v>Завершённый короткий просмотр около 4 мин. Тема среды расширяет предложение для экологически заинтересованной аудитории.</x:v>
      </x:c>
      <x:c r="N1181" s="10" t="str">
        <x:v>Назвать проблему, механизм и предлагаемое решение.</x:v>
      </x:c>
      <x:c r="O1181" s="10" t="str">
        <x:v>Проверить основной язык речи; каталог содержит и переводные материалы</x:v>
      </x:c>
      <x:c r="P1181" s="10" t="str">
        <x:v>Самостоятельное видео</x:v>
      </x:c>
      <x:c r="Q1181" s="9" t="str">
        <x:v>Нет</x:v>
      </x:c>
      <x:c r="R1181" s="9" t="str">
        <x:v>C064</x:v>
      </x:c>
      <x:c r="S1181" s="9" t="str">
        <x:v>C064</x:v>
      </x:c>
      <x:c r="T1181" s="10" t="str">
        <x:v>מכון דוידסון - סרטוני מדע</x:v>
      </x:c>
      <x:c r="U1181" s="11" t="str">
        <x:v>https://www.youtube.com/watch?v=wEEOQQgDTWY</x:v>
      </x:c>
      <x:c r="V1181" s="16" t="n">
        <x:v>46308</x:v>
      </x:c>
      <x:c r="W1181" s="16" t="n">
        <x:v>44941</x:v>
      </x:c>
      <x:c r="X1181" s="10" t="str">
        <x:v>Иврит предполагается по заголовку и источнику</x:v>
      </x:c>
      <x:c r="Y1181" s="10" t="str">
        <x:v>Ручная дорожка HE по метаданным</x:v>
      </x:c>
      <x:c r="Z1181" s="10" t="str">
        <x:v>Разрешено по метаданным</x:v>
      </x:c>
      <x:c r="AA1181" s="10" t="str">
        <x:v>Метаданные видео; воспроизведение и содержание не проверены</x:v>
      </x:c>
      <x:c r="AB1181" s="13" t="n">
        <x:f>IF(AND(ISNUMBER(H1181),ISNUMBER(W1181)),H1181/MAX(1,'Обзор'!$B$4-W1181),"")</x:f>
        <x:v>10.514264813460132</x:v>
      </x:c>
      <x:c r="AC1181" s="17" t="str">
        <x:v>Не решено</x:v>
      </x:c>
      <x:c r="AD1181" s="17" t="str">
        <x:v>Не проверено</x:v>
      </x:c>
      <x:c r="AE1181" s="17" t="str">
        <x:v>Не проверено</x:v>
      </x:c>
      <x:c r="AF1181" s="17" t="str">
        <x:v>Не проверено</x:v>
      </x:c>
      <x:c r="AG1181" s="17" t="str">
        <x:v>Не решено</x:v>
      </x:c>
      <x:c r="AH1181" s="17" t="str">
        <x:v>Не проверено</x:v>
      </x:c>
      <x:c r="AI1181" s="10" t="str">
        <x:f>IF(AC1181="Отклонить","Отклонено",IF(AND(AC1181="Взять",COUNTIFS(AD1181:AH1181,"Да")=5),"Готово","Нужна редактура"))</x:f>
        <x:v>Нужна редактура</x:v>
      </x:c>
      <x:c r="AJ1181" s="17" t="str"/>
      <x:c r="AK1181" s="9" t="str">
        <x:v>https://www.youtube.com/playlist?list=PL0ZkulyfP8beUDONIWu5t3I2xRbZK9gjn</x:v>
      </x:c>
      <x:c r="AL1181" s="9" t="n">
        <x:v>18</x:v>
      </x:c>
      <x:c r="AM1181" s="9"/>
      <x:c r="AN1181" s="9" t="n">
        <x:v>0</x:v>
      </x:c>
    </x:row>
    <x:row r="1182" ht="60" customHeight="1">
      <x:c r="A1182" s="9" t="str">
        <x:v>BcoYIg6xbA0</x:v>
      </x:c>
      <x:c r="B1182" s="10" t="str">
        <x:v>תפוח אדמה מזיע</x:v>
      </x:c>
      <x:c r="C1182" s="10" t="str">
        <x:v>Экология и устойчивость</x:v>
      </x:c>
      <x:c r="D1182" s="9" t="str">
        <x:v>Образование</x:v>
      </x:c>
      <x:c r="E1182" s="10" t="str">
        <x:v>Наука; семья; любознательные</x:v>
      </x:c>
      <x:c r="F1182" s="10" t="str">
        <x:v>B1–B2 (гипотеза)</x:v>
      </x:c>
      <x:c r="G1182" s="12" t="n">
        <x:v>5.4</x:v>
      </x:c>
      <x:c r="H1182" s="14" t="n">
        <x:v>5800</x:v>
      </x:c>
      <x:c r="I1182" s="15" t="str">
        <x:v>Округлённый счётчик в списке YouTube</x:v>
      </x:c>
      <x:c r="J1182" s="14" t="n">
        <x:v>5800</x:v>
      </x:c>
      <x:c r="K1182" s="14" t="n">
        <x:v>9950</x:v>
      </x:c>
      <x:c r="L1182" s="12" t="n">
        <x:f>IF(COUNT(J1182:K1182)=2,IF(K1182=0,"",J1182/K1182),"")</x:f>
        <x:v>0.5829145728643216</x:v>
      </x:c>
      <x:c r="M1182" s="10" t="str">
        <x:v>Завершённый короткий просмотр около 5 мин. Тема среды расширяет предложение для экологически заинтересованной аудитории.</x:v>
      </x:c>
      <x:c r="N1182" s="10" t="str">
        <x:v>Назвать проблему, механизм и предлагаемое решение.</x:v>
      </x:c>
      <x:c r="O1182" s="10" t="str">
        <x:v>Проверить основной язык речи; каталог содержит и переводные материалы</x:v>
      </x:c>
      <x:c r="P1182" s="10" t="str">
        <x:v>Самостоятельное видео</x:v>
      </x:c>
      <x:c r="Q1182" s="9" t="str">
        <x:v>Нет</x:v>
      </x:c>
      <x:c r="R1182" s="9" t="str">
        <x:v>C064</x:v>
      </x:c>
      <x:c r="S1182" s="9" t="str">
        <x:v>C064, C090</x:v>
      </x:c>
      <x:c r="T1182" s="10" t="str">
        <x:v>מכון דוידסון - סרטוני מדע</x:v>
      </x:c>
      <x:c r="U1182" s="11" t="str">
        <x:v>https://www.youtube.com/watch?v=BcoYIg6xbA0</x:v>
      </x:c>
      <x:c r="V1182" s="16" t="n">
        <x:v>46308</x:v>
      </x:c>
      <x:c r="W1182" s="16"/>
      <x:c r="X1182" s="10" t="str">
        <x:v>Иврит предполагается по заголовку и источнику</x:v>
      </x:c>
      <x:c r="Y1182" s="10" t="str">
        <x:v>Не проверено</x:v>
      </x:c>
      <x:c r="Z1182" s="10" t="str">
        <x:v>Не проверено</x:v>
      </x:c>
      <x:c r="AA1182" s="10" t="str">
        <x:v>Метаданные списка; видео не просмотрено</x:v>
      </x:c>
      <x:c r="AB1182" s="13" t="str">
        <x:f>IF(AND(ISNUMBER(H1182),ISNUMBER(W1182)),H1182/MAX(1,'Обзор'!$B$4-W1182),"")</x:f>
      </x:c>
      <x:c r="AC1182" s="17" t="str">
        <x:v>Не решено</x:v>
      </x:c>
      <x:c r="AD1182" s="17" t="str">
        <x:v>Не проверено</x:v>
      </x:c>
      <x:c r="AE1182" s="17" t="str">
        <x:v>Не проверено</x:v>
      </x:c>
      <x:c r="AF1182" s="17" t="str">
        <x:v>Не проверено</x:v>
      </x:c>
      <x:c r="AG1182" s="17" t="str">
        <x:v>Не решено</x:v>
      </x:c>
      <x:c r="AH1182" s="17" t="str">
        <x:v>Не проверено</x:v>
      </x:c>
      <x:c r="AI1182" s="10" t="str">
        <x:f>IF(AC1182="Отклонить","Отклонено",IF(AND(AC1182="Взять",COUNTIFS(AD1182:AH1182,"Да")=5),"Готово","Нужна редактура"))</x:f>
        <x:v>Нужна редактура</x:v>
      </x:c>
      <x:c r="AJ1182" s="17" t="str"/>
      <x:c r="AK1182" s="9" t="str">
        <x:v>https://www.youtube.com/playlist?list=PL0ZkulyfP8beUDONIWu5t3I2xRbZK9gjn</x:v>
      </x:c>
      <x:c r="AL1182" s="9" t="n">
        <x:v>19</x:v>
      </x:c>
      <x:c r="AM1182" s="9"/>
      <x:c r="AN1182" s="9"/>
    </x:row>
    <x:row r="1183" ht="60" customHeight="1">
      <x:c r="A1183" s="9" t="str">
        <x:v>bj7JUZZlkao</x:v>
      </x:c>
      <x:c r="B1183" s="10" t="str">
        <x:v>בננה נחלצת לעזרת אבוקדו</x:v>
      </x:c>
      <x:c r="C1183" s="10" t="str">
        <x:v>Экология и устойчивость</x:v>
      </x:c>
      <x:c r="D1183" s="9" t="str">
        <x:v>Образование</x:v>
      </x:c>
      <x:c r="E1183" s="10" t="str">
        <x:v>Наука; семья; любознательные</x:v>
      </x:c>
      <x:c r="F1183" s="10" t="str">
        <x:v>B1–B2 (гипотеза)</x:v>
      </x:c>
      <x:c r="G1183" s="12" t="n">
        <x:v>6</x:v>
      </x:c>
      <x:c r="H1183" s="14" t="n">
        <x:v>5800</x:v>
      </x:c>
      <x:c r="I1183" s="15" t="str">
        <x:v>Округлённый счётчик в списке YouTube</x:v>
      </x:c>
      <x:c r="J1183" s="14" t="n">
        <x:v>5800</x:v>
      </x:c>
      <x:c r="K1183" s="14" t="n">
        <x:v>9950</x:v>
      </x:c>
      <x:c r="L1183" s="12" t="n">
        <x:f>IF(COUNT(J1183:K1183)=2,IF(K1183=0,"",J1183/K1183),"")</x:f>
        <x:v>0.5829145728643216</x:v>
      </x:c>
      <x:c r="M1183" s="10" t="str">
        <x:v>Завершённый короткий просмотр около 6 мин. Тема среды расширяет предложение для экологически заинтересованной аудитории.</x:v>
      </x:c>
      <x:c r="N1183" s="10" t="str">
        <x:v>Назвать проблему, механизм и предлагаемое решение.</x:v>
      </x:c>
      <x:c r="O1183" s="10" t="str">
        <x:v>Проверить основной язык речи; каталог содержит и переводные материалы</x:v>
      </x:c>
      <x:c r="P1183" s="10" t="str">
        <x:v>Самостоятельное видео</x:v>
      </x:c>
      <x:c r="Q1183" s="9" t="str">
        <x:v>Нет</x:v>
      </x:c>
      <x:c r="R1183" s="9" t="str">
        <x:v>C064</x:v>
      </x:c>
      <x:c r="S1183" s="9" t="str">
        <x:v>C064</x:v>
      </x:c>
      <x:c r="T1183" s="10" t="str">
        <x:v>מכון דוידסון - סרטוני מדע</x:v>
      </x:c>
      <x:c r="U1183" s="11" t="str">
        <x:v>https://www.youtube.com/watch?v=bj7JUZZlkao</x:v>
      </x:c>
      <x:c r="V1183" s="16" t="n">
        <x:v>46308</x:v>
      </x:c>
      <x:c r="W1183" s="16"/>
      <x:c r="X1183" s="10" t="str">
        <x:v>Иврит предполагается по заголовку и источнику</x:v>
      </x:c>
      <x:c r="Y1183" s="10" t="str">
        <x:v>Не проверено</x:v>
      </x:c>
      <x:c r="Z1183" s="10" t="str">
        <x:v>Не проверено</x:v>
      </x:c>
      <x:c r="AA1183" s="10" t="str">
        <x:v>Метаданные списка; видео не просмотрено</x:v>
      </x:c>
      <x:c r="AB1183" s="13" t="str">
        <x:f>IF(AND(ISNUMBER(H1183),ISNUMBER(W1183)),H1183/MAX(1,'Обзор'!$B$4-W1183),"")</x:f>
      </x:c>
      <x:c r="AC1183" s="17" t="str">
        <x:v>Не решено</x:v>
      </x:c>
      <x:c r="AD1183" s="17" t="str">
        <x:v>Не проверено</x:v>
      </x:c>
      <x:c r="AE1183" s="17" t="str">
        <x:v>Не проверено</x:v>
      </x:c>
      <x:c r="AF1183" s="17" t="str">
        <x:v>Не проверено</x:v>
      </x:c>
      <x:c r="AG1183" s="17" t="str">
        <x:v>Не решено</x:v>
      </x:c>
      <x:c r="AH1183" s="17" t="str">
        <x:v>Не проверено</x:v>
      </x:c>
      <x:c r="AI1183" s="10" t="str">
        <x:f>IF(AC1183="Отклонить","Отклонено",IF(AND(AC1183="Взять",COUNTIFS(AD1183:AH1183,"Да")=5),"Готово","Нужна редактура"))</x:f>
        <x:v>Нужна редактура</x:v>
      </x:c>
      <x:c r="AJ1183" s="17" t="str"/>
      <x:c r="AK1183" s="9" t="str">
        <x:v>https://www.youtube.com/playlist?list=PL0ZkulyfP8beUDONIWu5t3I2xRbZK9gjn</x:v>
      </x:c>
      <x:c r="AL1183" s="9" t="n">
        <x:v>20</x:v>
      </x:c>
      <x:c r="AM1183" s="9"/>
      <x:c r="AN1183" s="9"/>
    </x:row>
    <x:row r="1184" ht="60" customHeight="1">
      <x:c r="A1184" s="9" t="str">
        <x:v>_0M3pbrg_Fk</x:v>
      </x:c>
      <x:c r="B1184" s="10" t="str">
        <x:v>בננות חשאיות</x:v>
      </x:c>
      <x:c r="C1184" s="10" t="str">
        <x:v>Экология и устойчивость</x:v>
      </x:c>
      <x:c r="D1184" s="9" t="str">
        <x:v>Образование</x:v>
      </x:c>
      <x:c r="E1184" s="10" t="str">
        <x:v>Наука; семья; любознательные</x:v>
      </x:c>
      <x:c r="F1184" s="10" t="str">
        <x:v>B1–B2 (гипотеза)</x:v>
      </x:c>
      <x:c r="G1184" s="12" t="n">
        <x:v>3.8</x:v>
      </x:c>
      <x:c r="H1184" s="14" t="n">
        <x:v>5500</x:v>
      </x:c>
      <x:c r="I1184" s="15" t="str">
        <x:v>Округлённый счётчик в списке YouTube</x:v>
      </x:c>
      <x:c r="J1184" s="14" t="n">
        <x:v>5500</x:v>
      </x:c>
      <x:c r="K1184" s="14" t="n">
        <x:v>9950</x:v>
      </x:c>
      <x:c r="L1184" s="12" t="n">
        <x:f>IF(COUNT(J1184:K1184)=2,IF(K1184=0,"",J1184/K1184),"")</x:f>
        <x:v>0.5527638190954773</x:v>
      </x:c>
      <x:c r="M1184" s="10" t="str">
        <x:v>Завершённый короткий просмотр около 4 мин. Тема среды расширяет предложение для экологически заинтересованной аудитории.</x:v>
      </x:c>
      <x:c r="N1184" s="10" t="str">
        <x:v>Назвать проблему, механизм и предлагаемое решение.</x:v>
      </x:c>
      <x:c r="O1184" s="10" t="str">
        <x:v>Проверить основной язык речи; каталог содержит и переводные материалы</x:v>
      </x:c>
      <x:c r="P1184" s="10" t="str">
        <x:v>Самостоятельное видео</x:v>
      </x:c>
      <x:c r="Q1184" s="9" t="str">
        <x:v>Нет</x:v>
      </x:c>
      <x:c r="R1184" s="9" t="str">
        <x:v>C064</x:v>
      </x:c>
      <x:c r="S1184" s="9" t="str">
        <x:v>C064</x:v>
      </x:c>
      <x:c r="T1184" s="10" t="str">
        <x:v>מכון דוידסון - סרטוני מדע</x:v>
      </x:c>
      <x:c r="U1184" s="11" t="str">
        <x:v>https://www.youtube.com/watch?v=_0M3pbrg_Fk</x:v>
      </x:c>
      <x:c r="V1184" s="16" t="n">
        <x:v>46308</x:v>
      </x:c>
      <x:c r="W1184" s="16"/>
      <x:c r="X1184" s="10" t="str">
        <x:v>Иврит предполагается по заголовку и источнику</x:v>
      </x:c>
      <x:c r="Y1184" s="10" t="str">
        <x:v>Не проверено</x:v>
      </x:c>
      <x:c r="Z1184" s="10" t="str">
        <x:v>Не проверено</x:v>
      </x:c>
      <x:c r="AA1184" s="10" t="str">
        <x:v>Метаданные списка; видео не просмотрено</x:v>
      </x:c>
      <x:c r="AB1184" s="13" t="str">
        <x:f>IF(AND(ISNUMBER(H1184),ISNUMBER(W1184)),H1184/MAX(1,'Обзор'!$B$4-W1184),"")</x:f>
      </x:c>
      <x:c r="AC1184" s="17" t="str">
        <x:v>Не решено</x:v>
      </x:c>
      <x:c r="AD1184" s="17" t="str">
        <x:v>Не проверено</x:v>
      </x:c>
      <x:c r="AE1184" s="17" t="str">
        <x:v>Не проверено</x:v>
      </x:c>
      <x:c r="AF1184" s="17" t="str">
        <x:v>Не проверено</x:v>
      </x:c>
      <x:c r="AG1184" s="17" t="str">
        <x:v>Не решено</x:v>
      </x:c>
      <x:c r="AH1184" s="17" t="str">
        <x:v>Не проверено</x:v>
      </x:c>
      <x:c r="AI1184" s="10" t="str">
        <x:f>IF(AC1184="Отклонить","Отклонено",IF(AND(AC1184="Взять",COUNTIFS(AD1184:AH1184,"Да")=5),"Готово","Нужна редактура"))</x:f>
        <x:v>Нужна редактура</x:v>
      </x:c>
      <x:c r="AJ1184" s="17" t="str"/>
      <x:c r="AK1184" s="9" t="str">
        <x:v>https://www.youtube.com/playlist?list=PL0ZkulyfP8beUDONIWu5t3I2xRbZK9gjn</x:v>
      </x:c>
      <x:c r="AL1184" s="9" t="n">
        <x:v>21</x:v>
      </x:c>
      <x:c r="AM1184" s="9"/>
      <x:c r="AN1184" s="9"/>
    </x:row>
    <x:row r="1185" ht="60" customHeight="1">
      <x:c r="A1185" s="9" t="str">
        <x:v>rBj1dScj3uY</x:v>
      </x:c>
      <x:c r="B1185" s="10" t="str">
        <x:v>מים מסתתרים בתוך עלים</x:v>
      </x:c>
      <x:c r="C1185" s="10" t="str">
        <x:v>Экология и устойчивость</x:v>
      </x:c>
      <x:c r="D1185" s="9" t="str">
        <x:v>Образование</x:v>
      </x:c>
      <x:c r="E1185" s="10" t="str">
        <x:v>Наука; семья; любознательные</x:v>
      </x:c>
      <x:c r="F1185" s="10" t="str">
        <x:v>B1–B2 (гипотеза)</x:v>
      </x:c>
      <x:c r="G1185" s="12" t="n">
        <x:v>2.9</x:v>
      </x:c>
      <x:c r="H1185" s="14" t="n">
        <x:v>4100</x:v>
      </x:c>
      <x:c r="I1185" s="15" t="str">
        <x:v>Округлённый счётчик в списке YouTube</x:v>
      </x:c>
      <x:c r="J1185" s="14" t="n">
        <x:v>4100</x:v>
      </x:c>
      <x:c r="K1185" s="14" t="n">
        <x:v>9950</x:v>
      </x:c>
      <x:c r="L1185" s="12" t="n">
        <x:f>IF(COUNT(J1185:K1185)=2,IF(K1185=0,"",J1185/K1185),"")</x:f>
        <x:v>0.4120603015075377</x:v>
      </x:c>
      <x:c r="M1185" s="10" t="str">
        <x:v>Завершённый короткий просмотр около 3 мин. Просмотры ниже медианы цикла; выбирать за нишевую ценность, а не за массовый охват. Тема среды расширяет предложение для экологически заинтересованной аудитории.</x:v>
      </x:c>
      <x:c r="N1185" s="10" t="str">
        <x:v>Назвать проблему, механизм и предлагаемое решение.</x:v>
      </x:c>
      <x:c r="O1185" s="10" t="str">
        <x:v>Проверить основной язык речи; каталог содержит и переводные материалы</x:v>
      </x:c>
      <x:c r="P1185" s="10" t="str">
        <x:v>Самостоятельное видео</x:v>
      </x:c>
      <x:c r="Q1185" s="9" t="str">
        <x:v>Нет</x:v>
      </x:c>
      <x:c r="R1185" s="9" t="str">
        <x:v>C064</x:v>
      </x:c>
      <x:c r="S1185" s="9" t="str">
        <x:v>C064</x:v>
      </x:c>
      <x:c r="T1185" s="10" t="str">
        <x:v>מכון דוידסון - סרטוני מדע</x:v>
      </x:c>
      <x:c r="U1185" s="11" t="str">
        <x:v>https://www.youtube.com/watch?v=rBj1dScj3uY</x:v>
      </x:c>
      <x:c r="V1185" s="16" t="n">
        <x:v>46308</x:v>
      </x:c>
      <x:c r="W1185" s="16"/>
      <x:c r="X1185" s="10" t="str">
        <x:v>Иврит предполагается по заголовку и источнику</x:v>
      </x:c>
      <x:c r="Y1185" s="10" t="str">
        <x:v>Не проверено</x:v>
      </x:c>
      <x:c r="Z1185" s="10" t="str">
        <x:v>Не проверено</x:v>
      </x:c>
      <x:c r="AA1185" s="10" t="str">
        <x:v>Метаданные списка; видео не просмотрено</x:v>
      </x:c>
      <x:c r="AB1185" s="13" t="str">
        <x:f>IF(AND(ISNUMBER(H1185),ISNUMBER(W1185)),H1185/MAX(1,'Обзор'!$B$4-W1185),"")</x:f>
      </x:c>
      <x:c r="AC1185" s="17" t="str">
        <x:v>Не решено</x:v>
      </x:c>
      <x:c r="AD1185" s="17" t="str">
        <x:v>Не проверено</x:v>
      </x:c>
      <x:c r="AE1185" s="17" t="str">
        <x:v>Не проверено</x:v>
      </x:c>
      <x:c r="AF1185" s="17" t="str">
        <x:v>Не проверено</x:v>
      </x:c>
      <x:c r="AG1185" s="17" t="str">
        <x:v>Не решено</x:v>
      </x:c>
      <x:c r="AH1185" s="17" t="str">
        <x:v>Не проверено</x:v>
      </x:c>
      <x:c r="AI1185" s="10" t="str">
        <x:f>IF(AC1185="Отклонить","Отклонено",IF(AND(AC1185="Взять",COUNTIFS(AD1185:AH1185,"Да")=5),"Готово","Нужна редактура"))</x:f>
        <x:v>Нужна редактура</x:v>
      </x:c>
      <x:c r="AJ1185" s="17" t="str"/>
      <x:c r="AK1185" s="9" t="str">
        <x:v>https://www.youtube.com/playlist?list=PL0ZkulyfP8beUDONIWu5t3I2xRbZK9gjn</x:v>
      </x:c>
      <x:c r="AL1185" s="9" t="n">
        <x:v>22</x:v>
      </x:c>
      <x:c r="AM1185" s="9"/>
      <x:c r="AN1185" s="9"/>
    </x:row>
    <x:row r="1186" ht="60" customHeight="1">
      <x:c r="A1186" s="9" t="str">
        <x:v>PpyovP72GYA</x:v>
      </x:c>
      <x:c r="B1186" s="10" t="str">
        <x:v>הצבעים הסודיים של הפרחים</x:v>
      </x:c>
      <x:c r="C1186" s="10" t="str">
        <x:v>Экология и устойчивость</x:v>
      </x:c>
      <x:c r="D1186" s="9" t="str">
        <x:v>Образование</x:v>
      </x:c>
      <x:c r="E1186" s="10" t="str">
        <x:v>Наука; семья; любознательные</x:v>
      </x:c>
      <x:c r="F1186" s="10" t="str">
        <x:v>B1–B2 (гипотеза)</x:v>
      </x:c>
      <x:c r="G1186" s="12" t="n">
        <x:v>2.4</x:v>
      </x:c>
      <x:c r="H1186" s="14" t="n">
        <x:v>2900</x:v>
      </x:c>
      <x:c r="I1186" s="15" t="str">
        <x:v>Округлённый счётчик в списке YouTube</x:v>
      </x:c>
      <x:c r="J1186" s="14" t="n">
        <x:v>2900</x:v>
      </x:c>
      <x:c r="K1186" s="14" t="n">
        <x:v>9950</x:v>
      </x:c>
      <x:c r="L1186" s="12" t="n">
        <x:f>IF(COUNT(J1186:K1186)=2,IF(K1186=0,"",J1186/K1186),"")</x:f>
        <x:v>0.2914572864321608</x:v>
      </x:c>
      <x:c r="M1186" s="10" t="str">
        <x:v>Завершённый короткий просмотр около 2 мин. Просмотры ниже медианы цикла; выбирать за нишевую ценность, а не за массовый охват. Тема среды расширяет предложение для экологически заинтересованной аудитории.</x:v>
      </x:c>
      <x:c r="N1186" s="10" t="str">
        <x:v>Назвать проблему, механизм и предлагаемое решение.</x:v>
      </x:c>
      <x:c r="O1186" s="10" t="str">
        <x:v>Проверить основной язык речи; каталог содержит и переводные материалы</x:v>
      </x:c>
      <x:c r="P1186" s="10" t="str">
        <x:v>Самостоятельное видео</x:v>
      </x:c>
      <x:c r="Q1186" s="9" t="str">
        <x:v>Нет</x:v>
      </x:c>
      <x:c r="R1186" s="9" t="str">
        <x:v>C064</x:v>
      </x:c>
      <x:c r="S1186" s="9" t="str">
        <x:v>C064</x:v>
      </x:c>
      <x:c r="T1186" s="10" t="str">
        <x:v>מכון דוידסון - סרטוני מדע</x:v>
      </x:c>
      <x:c r="U1186" s="11" t="str">
        <x:v>https://www.youtube.com/watch?v=PpyovP72GYA</x:v>
      </x:c>
      <x:c r="V1186" s="16" t="n">
        <x:v>46308</x:v>
      </x:c>
      <x:c r="W1186" s="16"/>
      <x:c r="X1186" s="10" t="str">
        <x:v>Иврит предполагается по заголовку и источнику</x:v>
      </x:c>
      <x:c r="Y1186" s="10" t="str">
        <x:v>Не проверено</x:v>
      </x:c>
      <x:c r="Z1186" s="10" t="str">
        <x:v>Не проверено</x:v>
      </x:c>
      <x:c r="AA1186" s="10" t="str">
        <x:v>Метаданные списка; видео не просмотрено</x:v>
      </x:c>
      <x:c r="AB1186" s="13" t="str">
        <x:f>IF(AND(ISNUMBER(H1186),ISNUMBER(W1186)),H1186/MAX(1,'Обзор'!$B$4-W1186),"")</x:f>
      </x:c>
      <x:c r="AC1186" s="17" t="str">
        <x:v>Не решено</x:v>
      </x:c>
      <x:c r="AD1186" s="17" t="str">
        <x:v>Не проверено</x:v>
      </x:c>
      <x:c r="AE1186" s="17" t="str">
        <x:v>Не проверено</x:v>
      </x:c>
      <x:c r="AF1186" s="17" t="str">
        <x:v>Не проверено</x:v>
      </x:c>
      <x:c r="AG1186" s="17" t="str">
        <x:v>Не решено</x:v>
      </x:c>
      <x:c r="AH1186" s="17" t="str">
        <x:v>Не проверено</x:v>
      </x:c>
      <x:c r="AI1186" s="10" t="str">
        <x:f>IF(AC1186="Отклонить","Отклонено",IF(AND(AC1186="Взять",COUNTIFS(AD1186:AH1186,"Да")=5),"Готово","Нужна редактура"))</x:f>
        <x:v>Нужна редактура</x:v>
      </x:c>
      <x:c r="AJ1186" s="17" t="str"/>
      <x:c r="AK1186" s="9" t="str">
        <x:v>https://www.youtube.com/playlist?list=PL0ZkulyfP8beUDONIWu5t3I2xRbZK9gjn</x:v>
      </x:c>
      <x:c r="AL1186" s="9" t="n">
        <x:v>23</x:v>
      </x:c>
      <x:c r="AM1186" s="9"/>
      <x:c r="AN1186" s="9"/>
    </x:row>
    <x:row r="1187" ht="60" customHeight="1">
      <x:c r="A1187" s="9" t="str">
        <x:v>ynWcy6Eei0A</x:v>
      </x:c>
      <x:c r="B1187" s="10" t="str">
        <x:v>חוביזה זה לא תמיד חלמית!</x:v>
      </x:c>
      <x:c r="C1187" s="10" t="str">
        <x:v>Экология и устойчивость</x:v>
      </x:c>
      <x:c r="D1187" s="9" t="str">
        <x:v>Образование</x:v>
      </x:c>
      <x:c r="E1187" s="10" t="str">
        <x:v>Наука; семья; любознательные</x:v>
      </x:c>
      <x:c r="F1187" s="10" t="str">
        <x:v>B1–B2 (гипотеза)</x:v>
      </x:c>
      <x:c r="G1187" s="12" t="n">
        <x:v>1.3</x:v>
      </x:c>
      <x:c r="H1187" s="14" t="n">
        <x:v>4200</x:v>
      </x:c>
      <x:c r="I1187" s="15" t="str">
        <x:v>Округлённый счётчик в списке YouTube</x:v>
      </x:c>
      <x:c r="J1187" s="14" t="n">
        <x:v>4200</x:v>
      </x:c>
      <x:c r="K1187" s="14" t="n">
        <x:v>9950</x:v>
      </x:c>
      <x:c r="L1187" s="12" t="n">
        <x:f>IF(COUNT(J1187:K1187)=2,IF(K1187=0,"",J1187/K1187),"")</x:f>
        <x:v>0.4221105527638191</x:v>
      </x:c>
      <x:c r="M1187" s="10" t="str">
        <x:v>Завершённый короткий просмотр около 1 мин. Просмотры ниже медианы цикла; выбирать за нишевую ценность, а не за массовый охват. Тема среды расширяет предложение для экологически заинтересованной аудитории.</x:v>
      </x:c>
      <x:c r="N1187" s="10" t="str">
        <x:v>Назвать проблему, механизм и предлагаемое решение.</x:v>
      </x:c>
      <x:c r="O1187" s="10" t="str">
        <x:v>Проверить основной язык речи; каталог содержит и переводные материалы</x:v>
      </x:c>
      <x:c r="P1187" s="10" t="str">
        <x:v>Самостоятельное видео</x:v>
      </x:c>
      <x:c r="Q1187" s="9" t="str">
        <x:v>Нет</x:v>
      </x:c>
      <x:c r="R1187" s="9" t="str">
        <x:v>C064</x:v>
      </x:c>
      <x:c r="S1187" s="9" t="str">
        <x:v>C064</x:v>
      </x:c>
      <x:c r="T1187" s="10" t="str">
        <x:v>מכון דוידסון - סרטוני מדע</x:v>
      </x:c>
      <x:c r="U1187" s="11" t="str">
        <x:v>https://www.youtube.com/watch?v=ynWcy6Eei0A</x:v>
      </x:c>
      <x:c r="V1187" s="16" t="n">
        <x:v>46308</x:v>
      </x:c>
      <x:c r="W1187" s="16"/>
      <x:c r="X1187" s="10" t="str">
        <x:v>Иврит предполагается по заголовку и источнику</x:v>
      </x:c>
      <x:c r="Y1187" s="10" t="str">
        <x:v>Не проверено</x:v>
      </x:c>
      <x:c r="Z1187" s="10" t="str">
        <x:v>Не проверено</x:v>
      </x:c>
      <x:c r="AA1187" s="10" t="str">
        <x:v>Метаданные списка; видео не просмотрено</x:v>
      </x:c>
      <x:c r="AB1187" s="13" t="str">
        <x:f>IF(AND(ISNUMBER(H1187),ISNUMBER(W1187)),H1187/MAX(1,'Обзор'!$B$4-W1187),"")</x:f>
      </x:c>
      <x:c r="AC1187" s="17" t="str">
        <x:v>Не решено</x:v>
      </x:c>
      <x:c r="AD1187" s="17" t="str">
        <x:v>Не проверено</x:v>
      </x:c>
      <x:c r="AE1187" s="17" t="str">
        <x:v>Не проверено</x:v>
      </x:c>
      <x:c r="AF1187" s="17" t="str">
        <x:v>Не проверено</x:v>
      </x:c>
      <x:c r="AG1187" s="17" t="str">
        <x:v>Не решено</x:v>
      </x:c>
      <x:c r="AH1187" s="17" t="str">
        <x:v>Не проверено</x:v>
      </x:c>
      <x:c r="AI1187" s="10" t="str">
        <x:f>IF(AC1187="Отклонить","Отклонено",IF(AND(AC1187="Взять",COUNTIFS(AD1187:AH1187,"Да")=5),"Готово","Нужна редактура"))</x:f>
        <x:v>Нужна редактура</x:v>
      </x:c>
      <x:c r="AJ1187" s="17" t="str"/>
      <x:c r="AK1187" s="9" t="str">
        <x:v>https://www.youtube.com/playlist?list=PL0ZkulyfP8beUDONIWu5t3I2xRbZK9gjn</x:v>
      </x:c>
      <x:c r="AL1187" s="9" t="n">
        <x:v>24</x:v>
      </x:c>
      <x:c r="AM1187" s="9"/>
      <x:c r="AN1187" s="9"/>
    </x:row>
    <x:row r="1188" ht="60" customHeight="1">
      <x:c r="A1188" s="9" t="str">
        <x:v>N2pfHZMwXT0</x:v>
      </x:c>
      <x:c r="B1188" s="10" t="str">
        <x:v>דניאל שואל - לאן הולך הזבל שלנו?</x:v>
      </x:c>
      <x:c r="C1188" s="10" t="str">
        <x:v>Экология и устойчивость</x:v>
      </x:c>
      <x:c r="D1188" s="9" t="str">
        <x:v>Образование</x:v>
      </x:c>
      <x:c r="E1188" s="10" t="str">
        <x:v>Наука; семья; любознательные</x:v>
      </x:c>
      <x:c r="F1188" s="10" t="str">
        <x:v>B1–B2 (гипотеза)</x:v>
      </x:c>
      <x:c r="G1188" s="12" t="n">
        <x:v>3.6</x:v>
      </x:c>
      <x:c r="H1188" s="14" t="n">
        <x:v>33057</x:v>
      </x:c>
      <x:c r="I1188" s="15" t="str">
        <x:v>Точный счётчик метаданных видео</x:v>
      </x:c>
      <x:c r="J1188" s="14" t="n">
        <x:v>33000</x:v>
      </x:c>
      <x:c r="K1188" s="14" t="n">
        <x:v>9950</x:v>
      </x:c>
      <x:c r="L1188" s="12" t="n">
        <x:f>IF(COUNT(J1188:K1188)=2,IF(K1188=0,"",J1188/K1188),"")</x:f>
        <x:v>3.3165829145728645</x:v>
      </x:c>
      <x:c r="M1188" s="10" t="str">
        <x:v>Завершённый короткий просмотр около 4 мин. Просмотры в списке выше медианы выборки этого цикла в 3.32 раза. Тема среды расширяет предложение для экологически заинтересованной аудитории.</x:v>
      </x:c>
      <x:c r="N1188" s="10" t="str">
        <x:v>Назвать проблему, механизм и предлагаемое решение.</x:v>
      </x:c>
      <x:c r="O1188" s="10" t="str">
        <x:v>Проверить основной язык речи; каталог содержит и переводные материалы</x:v>
      </x:c>
      <x:c r="P1188" s="10" t="str">
        <x:v>Самостоятельное видео</x:v>
      </x:c>
      <x:c r="Q1188" s="9" t="str">
        <x:v>Нет</x:v>
      </x:c>
      <x:c r="R1188" s="9" t="str">
        <x:v>C064</x:v>
      </x:c>
      <x:c r="S1188" s="9" t="str">
        <x:v>C064</x:v>
      </x:c>
      <x:c r="T1188" s="10" t="str">
        <x:v>מכון דוידסון - סרטוני מדע</x:v>
      </x:c>
      <x:c r="U1188" s="11" t="str">
        <x:v>https://www.youtube.com/watch?v=N2pfHZMwXT0</x:v>
      </x:c>
      <x:c r="V1188" s="16" t="n">
        <x:v>46308</x:v>
      </x:c>
      <x:c r="W1188" s="16" t="n">
        <x:v>45396</x:v>
      </x:c>
      <x:c r="X1188" s="10" t="str">
        <x:v>Иврит предполагается по заголовку и источнику</x:v>
      </x:c>
      <x:c r="Y1188" s="10" t="str">
        <x:v>Ручная дорожка HE по метаданным</x:v>
      </x:c>
      <x:c r="Z1188" s="10" t="str">
        <x:v>Разрешено по метаданным</x:v>
      </x:c>
      <x:c r="AA1188" s="10" t="str">
        <x:v>Метаданные видео; воспроизведение и содержание не проверены</x:v>
      </x:c>
      <x:c r="AB1188" s="13" t="n">
        <x:f>IF(AND(ISNUMBER(H1188),ISNUMBER(W1188)),H1188/MAX(1,'Обзор'!$B$4-W1188),"")</x:f>
        <x:v>36.24671052631579</x:v>
      </x:c>
      <x:c r="AC1188" s="17" t="str">
        <x:v>Не решено</x:v>
      </x:c>
      <x:c r="AD1188" s="17" t="str">
        <x:v>Не проверено</x:v>
      </x:c>
      <x:c r="AE1188" s="17" t="str">
        <x:v>Не проверено</x:v>
      </x:c>
      <x:c r="AF1188" s="17" t="str">
        <x:v>Не проверено</x:v>
      </x:c>
      <x:c r="AG1188" s="17" t="str">
        <x:v>Не решено</x:v>
      </x:c>
      <x:c r="AH1188" s="17" t="str">
        <x:v>Не проверено</x:v>
      </x:c>
      <x:c r="AI1188" s="10" t="str">
        <x:f>IF(AC1188="Отклонить","Отклонено",IF(AND(AC1188="Взять",COUNTIFS(AD1188:AH1188,"Да")=5),"Готово","Нужна редактура"))</x:f>
        <x:v>Нужна редактура</x:v>
      </x:c>
      <x:c r="AJ1188" s="17" t="str"/>
      <x:c r="AK1188" s="9" t="str">
        <x:v>https://www.youtube.com/playlist?list=PL0ZkulyfP8beUDONIWu5t3I2xRbZK9gjn</x:v>
      </x:c>
      <x:c r="AL1188" s="9" t="n">
        <x:v>25</x:v>
      </x:c>
      <x:c r="AM1188" s="9"/>
      <x:c r="AN1188" s="9" t="n">
        <x:v>0</x:v>
      </x:c>
    </x:row>
    <x:row r="1189" ht="60" customHeight="1">
      <x:c r="A1189" s="9" t="str">
        <x:v>AsDlsTxRtkM</x:v>
      </x:c>
      <x:c r="B1189" s="10" t="str">
        <x:v>דניאל שואל - איזה חיות בר גרות בעיר?</x:v>
      </x:c>
      <x:c r="C1189" s="10" t="str">
        <x:v>Экология и устойчивость</x:v>
      </x:c>
      <x:c r="D1189" s="9" t="str">
        <x:v>Образование</x:v>
      </x:c>
      <x:c r="E1189" s="10" t="str">
        <x:v>Наука; семья; любознательные</x:v>
      </x:c>
      <x:c r="F1189" s="10" t="str">
        <x:v>B1–B2 (гипотеза)</x:v>
      </x:c>
      <x:c r="G1189" s="12" t="n">
        <x:v>3.3</x:v>
      </x:c>
      <x:c r="H1189" s="14" t="n">
        <x:v>22493</x:v>
      </x:c>
      <x:c r="I1189" s="15" t="str">
        <x:v>Точный счётчик метаданных видео</x:v>
      </x:c>
      <x:c r="J1189" s="14" t="n">
        <x:v>22000</x:v>
      </x:c>
      <x:c r="K1189" s="14" t="n">
        <x:v>9950</x:v>
      </x:c>
      <x:c r="L1189" s="12" t="n">
        <x:f>IF(COUNT(J1189:K1189)=2,IF(K1189=0,"",J1189/K1189),"")</x:f>
        <x:v>2.2110552763819094</x:v>
      </x:c>
      <x:c r="M1189" s="10" t="str">
        <x:v>Завершённый короткий просмотр около 3 мин. Просмотры в списке выше медианы выборки этого цикла в 2.21 раза. Тема среды расширяет предложение для экологически заинтересованной аудитории.</x:v>
      </x:c>
      <x:c r="N1189" s="10" t="str">
        <x:v>Назвать проблему, механизм и предлагаемое решение.</x:v>
      </x:c>
      <x:c r="O1189" s="10" t="str">
        <x:v>Проверить основной язык речи; каталог содержит и переводные материалы</x:v>
      </x:c>
      <x:c r="P1189" s="10" t="str">
        <x:v>Самостоятельное видео</x:v>
      </x:c>
      <x:c r="Q1189" s="9" t="str">
        <x:v>Нет</x:v>
      </x:c>
      <x:c r="R1189" s="9" t="str">
        <x:v>C064</x:v>
      </x:c>
      <x:c r="S1189" s="9" t="str">
        <x:v>C064</x:v>
      </x:c>
      <x:c r="T1189" s="10" t="str">
        <x:v>מכון דוידסון - סרטוני מדע</x:v>
      </x:c>
      <x:c r="U1189" s="11" t="str">
        <x:v>https://www.youtube.com/watch?v=AsDlsTxRtkM</x:v>
      </x:c>
      <x:c r="V1189" s="16" t="n">
        <x:v>46308</x:v>
      </x:c>
      <x:c r="W1189" s="16" t="n">
        <x:v>45431</x:v>
      </x:c>
      <x:c r="X1189" s="10" t="str">
        <x:v>iw</x:v>
      </x:c>
      <x:c r="Y1189" s="10" t="str">
        <x:v>Ручная дорожка HE по метаданным</x:v>
      </x:c>
      <x:c r="Z1189" s="10" t="str">
        <x:v>Разрешено по метаданным</x:v>
      </x:c>
      <x:c r="AA1189" s="10" t="str">
        <x:v>Метаданные видео; воспроизведение и содержание не проверены</x:v>
      </x:c>
      <x:c r="AB1189" s="13" t="n">
        <x:f>IF(AND(ISNUMBER(H1189),ISNUMBER(W1189)),H1189/MAX(1,'Обзор'!$B$4-W1189),"")</x:f>
        <x:v>25.647662485746864</x:v>
      </x:c>
      <x:c r="AC1189" s="17" t="str">
        <x:v>Не решено</x:v>
      </x:c>
      <x:c r="AD1189" s="17" t="str">
        <x:v>Не проверено</x:v>
      </x:c>
      <x:c r="AE1189" s="17" t="str">
        <x:v>Не проверено</x:v>
      </x:c>
      <x:c r="AF1189" s="17" t="str">
        <x:v>Не проверено</x:v>
      </x:c>
      <x:c r="AG1189" s="17" t="str">
        <x:v>Не решено</x:v>
      </x:c>
      <x:c r="AH1189" s="17" t="str">
        <x:v>Не проверено</x:v>
      </x:c>
      <x:c r="AI1189" s="10" t="str">
        <x:f>IF(AC1189="Отклонить","Отклонено",IF(AND(AC1189="Взять",COUNTIFS(AD1189:AH1189,"Да")=5),"Готово","Нужна редактура"))</x:f>
        <x:v>Нужна редактура</x:v>
      </x:c>
      <x:c r="AJ1189" s="17" t="str"/>
      <x:c r="AK1189" s="9" t="str">
        <x:v>https://www.youtube.com/playlist?list=PL0ZkulyfP8beUDONIWu5t3I2xRbZK9gjn</x:v>
      </x:c>
      <x:c r="AL1189" s="9" t="n">
        <x:v>26</x:v>
      </x:c>
      <x:c r="AM1189" s="9"/>
      <x:c r="AN1189" s="9" t="n">
        <x:v>0</x:v>
      </x:c>
    </x:row>
    <x:row r="1190" ht="60" customHeight="1">
      <x:c r="A1190" s="9" t="str">
        <x:v>QqfcVd_9Z_Y</x:v>
      </x:c>
      <x:c r="B1190" s="10" t="str">
        <x:v>דניאל שואל - איזה טעם יש לג'וק?</x:v>
      </x:c>
      <x:c r="C1190" s="10" t="str">
        <x:v>Экология и устойчивость</x:v>
      </x:c>
      <x:c r="D1190" s="9" t="str">
        <x:v>Образование</x:v>
      </x:c>
      <x:c r="E1190" s="10" t="str">
        <x:v>Наука; семья; любознательные</x:v>
      </x:c>
      <x:c r="F1190" s="10" t="str">
        <x:v>B1–B2 (гипотеза)</x:v>
      </x:c>
      <x:c r="G1190" s="12" t="n">
        <x:v>3.4</x:v>
      </x:c>
      <x:c r="H1190" s="14" t="n">
        <x:v>20391</x:v>
      </x:c>
      <x:c r="I1190" s="15" t="str">
        <x:v>Точный счётчик метаданных видео</x:v>
      </x:c>
      <x:c r="J1190" s="14" t="n">
        <x:v>20000</x:v>
      </x:c>
      <x:c r="K1190" s="14" t="n">
        <x:v>9950</x:v>
      </x:c>
      <x:c r="L1190" s="12" t="n">
        <x:f>IF(COUNT(J1190:K1190)=2,IF(K1190=0,"",J1190/K1190),"")</x:f>
        <x:v>2.0100502512562812</x:v>
      </x:c>
      <x:c r="M1190" s="10" t="str">
        <x:v>Завершённый короткий просмотр около 3 мин. Просмотры в списке выше медианы выборки этого цикла в 2.01 раза. Тема среды расширяет предложение для экологически заинтересованной аудитории.</x:v>
      </x:c>
      <x:c r="N1190" s="10" t="str">
        <x:v>Назвать проблему, механизм и предлагаемое решение.</x:v>
      </x:c>
      <x:c r="O1190" s="10" t="str">
        <x:v>Проверить основной язык речи; каталог содержит и переводные материалы</x:v>
      </x:c>
      <x:c r="P1190" s="10" t="str">
        <x:v>Самостоятельное видео</x:v>
      </x:c>
      <x:c r="Q1190" s="9" t="str">
        <x:v>Нет</x:v>
      </x:c>
      <x:c r="R1190" s="9" t="str">
        <x:v>C064</x:v>
      </x:c>
      <x:c r="S1190" s="9" t="str">
        <x:v>C064</x:v>
      </x:c>
      <x:c r="T1190" s="10" t="str">
        <x:v>מכון דוידסון - סרטוני מדע</x:v>
      </x:c>
      <x:c r="U1190" s="11" t="str">
        <x:v>https://www.youtube.com/watch?v=QqfcVd_9Z_Y</x:v>
      </x:c>
      <x:c r="V1190" s="16" t="n">
        <x:v>46308</x:v>
      </x:c>
      <x:c r="W1190" s="16" t="n">
        <x:v>45445</x:v>
      </x:c>
      <x:c r="X1190" s="10" t="str">
        <x:v>Иврит предполагается по заголовку и источнику</x:v>
      </x:c>
      <x:c r="Y1190" s="10" t="str">
        <x:v>Ручная дорожка HE по метаданным</x:v>
      </x:c>
      <x:c r="Z1190" s="10" t="str">
        <x:v>Разрешено по метаданным</x:v>
      </x:c>
      <x:c r="AA1190" s="10" t="str">
        <x:v>Метаданные видео; воспроизведение и содержание не проверены</x:v>
      </x:c>
      <x:c r="AB1190" s="13" t="n">
        <x:f>IF(AND(ISNUMBER(H1190),ISNUMBER(W1190)),H1190/MAX(1,'Обзор'!$B$4-W1190),"")</x:f>
        <x:v>23.628041714947855</x:v>
      </x:c>
      <x:c r="AC1190" s="17" t="str">
        <x:v>Не решено</x:v>
      </x:c>
      <x:c r="AD1190" s="17" t="str">
        <x:v>Не проверено</x:v>
      </x:c>
      <x:c r="AE1190" s="17" t="str">
        <x:v>Не проверено</x:v>
      </x:c>
      <x:c r="AF1190" s="17" t="str">
        <x:v>Не проверено</x:v>
      </x:c>
      <x:c r="AG1190" s="17" t="str">
        <x:v>Не решено</x:v>
      </x:c>
      <x:c r="AH1190" s="17" t="str">
        <x:v>Не проверено</x:v>
      </x:c>
      <x:c r="AI1190" s="10" t="str">
        <x:f>IF(AC1190="Отклонить","Отклонено",IF(AND(AC1190="Взять",COUNTIFS(AD1190:AH1190,"Да")=5),"Готово","Нужна редактура"))</x:f>
        <x:v>Нужна редактура</x:v>
      </x:c>
      <x:c r="AJ1190" s="17" t="str"/>
      <x:c r="AK1190" s="9" t="str">
        <x:v>https://www.youtube.com/playlist?list=PL0ZkulyfP8beUDONIWu5t3I2xRbZK9gjn</x:v>
      </x:c>
      <x:c r="AL1190" s="9" t="n">
        <x:v>27</x:v>
      </x:c>
      <x:c r="AM1190" s="9"/>
      <x:c r="AN1190" s="9" t="n">
        <x:v>0</x:v>
      </x:c>
    </x:row>
    <x:row r="1191" ht="60" customHeight="1">
      <x:c r="A1191" s="9" t="str">
        <x:v>7QoDBz95HhM</x:v>
      </x:c>
      <x:c r="B1191" s="10" t="str">
        <x:v>מה זה מיקוריזה? #מדע</x:v>
      </x:c>
      <x:c r="C1191" s="10" t="str">
        <x:v>Экология и устойчивость</x:v>
      </x:c>
      <x:c r="D1191" s="9" t="str">
        <x:v>Образование</x:v>
      </x:c>
      <x:c r="E1191" s="10" t="str">
        <x:v>Наука; семья; любознательные</x:v>
      </x:c>
      <x:c r="F1191" s="10" t="str">
        <x:v>B1–B2 (гипотеза)</x:v>
      </x:c>
      <x:c r="G1191" s="12" t="n">
        <x:v>0.9</x:v>
      </x:c>
      <x:c r="H1191" s="14" t="n">
        <x:v>7800</x:v>
      </x:c>
      <x:c r="I1191" s="15" t="str">
        <x:v>Округлённый счётчик в списке YouTube</x:v>
      </x:c>
      <x:c r="J1191" s="14" t="n">
        <x:v>7800</x:v>
      </x:c>
      <x:c r="K1191" s="14" t="n">
        <x:v>9950</x:v>
      </x:c>
      <x:c r="L1191" s="12" t="n">
        <x:f>IF(COUNT(J1191:K1191)=2,IF(K1191=0,"",J1191/K1191),"")</x:f>
        <x:v>0.7839195979899497</x:v>
      </x:c>
      <x:c r="M1191" s="10" t="str">
        <x:v>Завершённый короткий просмотр около 1 мин. Тема среды расширяет предложение для экологически заинтересованной аудитории.</x:v>
      </x:c>
      <x:c r="N1191" s="10" t="str">
        <x:v>Назвать проблему, механизм и предлагаемое решение.</x:v>
      </x:c>
      <x:c r="O1191" s="10" t="str">
        <x:v>Проверить основной язык речи; каталог содержит и переводные материалы</x:v>
      </x:c>
      <x:c r="P1191" s="10" t="str">
        <x:v>Самостоятельное видео</x:v>
      </x:c>
      <x:c r="Q1191" s="9" t="str">
        <x:v>Нет</x:v>
      </x:c>
      <x:c r="R1191" s="9" t="str">
        <x:v>C064</x:v>
      </x:c>
      <x:c r="S1191" s="9" t="str">
        <x:v>C064</x:v>
      </x:c>
      <x:c r="T1191" s="10" t="str">
        <x:v>מכון דוידסון - סרטוני מדע</x:v>
      </x:c>
      <x:c r="U1191" s="11" t="str">
        <x:v>https://www.youtube.com/watch?v=7QoDBz95HhM</x:v>
      </x:c>
      <x:c r="V1191" s="16" t="n">
        <x:v>46308</x:v>
      </x:c>
      <x:c r="W1191" s="16"/>
      <x:c r="X1191" s="10" t="str">
        <x:v>Иврит предполагается по заголовку и источнику</x:v>
      </x:c>
      <x:c r="Y1191" s="10" t="str">
        <x:v>Не проверено</x:v>
      </x:c>
      <x:c r="Z1191" s="10" t="str">
        <x:v>Не проверено</x:v>
      </x:c>
      <x:c r="AA1191" s="10" t="str">
        <x:v>Метаданные списка; видео не просмотрено</x:v>
      </x:c>
      <x:c r="AB1191" s="13" t="str">
        <x:f>IF(AND(ISNUMBER(H1191),ISNUMBER(W1191)),H1191/MAX(1,'Обзор'!$B$4-W1191),"")</x:f>
      </x:c>
      <x:c r="AC1191" s="17" t="str">
        <x:v>Не решено</x:v>
      </x:c>
      <x:c r="AD1191" s="17" t="str">
        <x:v>Не проверено</x:v>
      </x:c>
      <x:c r="AE1191" s="17" t="str">
        <x:v>Не проверено</x:v>
      </x:c>
      <x:c r="AF1191" s="17" t="str">
        <x:v>Не проверено</x:v>
      </x:c>
      <x:c r="AG1191" s="17" t="str">
        <x:v>Не решено</x:v>
      </x:c>
      <x:c r="AH1191" s="17" t="str">
        <x:v>Не проверено</x:v>
      </x:c>
      <x:c r="AI1191" s="10" t="str">
        <x:f>IF(AC1191="Отклонить","Отклонено",IF(AND(AC1191="Взять",COUNTIFS(AD1191:AH1191,"Да")=5),"Готово","Нужна редактура"))</x:f>
        <x:v>Нужна редактура</x:v>
      </x:c>
      <x:c r="AJ1191" s="17" t="str"/>
      <x:c r="AK1191" s="9" t="str">
        <x:v>https://www.youtube.com/playlist?list=PL0ZkulyfP8beUDONIWu5t3I2xRbZK9gjn</x:v>
      </x:c>
      <x:c r="AL1191" s="9" t="n">
        <x:v>28</x:v>
      </x:c>
      <x:c r="AM1191" s="9"/>
      <x:c r="AN1191" s="9"/>
    </x:row>
    <x:row r="1192" ht="60" customHeight="1">
      <x:c r="A1192" s="9" t="str">
        <x:v>NHcdWLgpA8g</x:v>
      </x:c>
      <x:c r="B1192" s="10" t="str">
        <x:v>עלים שפוחדים מאוד ממים</x:v>
      </x:c>
      <x:c r="C1192" s="10" t="str">
        <x:v>Экология и устойчивость</x:v>
      </x:c>
      <x:c r="D1192" s="9" t="str">
        <x:v>Образование</x:v>
      </x:c>
      <x:c r="E1192" s="10" t="str">
        <x:v>Наука; семья; любознательные</x:v>
      </x:c>
      <x:c r="F1192" s="10" t="str">
        <x:v>B1–B2 (гипотеза)</x:v>
      </x:c>
      <x:c r="G1192" s="12" t="n">
        <x:v>3.7</x:v>
      </x:c>
      <x:c r="H1192" s="14" t="n">
        <x:v>9900</x:v>
      </x:c>
      <x:c r="I1192" s="15" t="str">
        <x:v>Округлённый счётчик в списке YouTube</x:v>
      </x:c>
      <x:c r="J1192" s="14" t="n">
        <x:v>9900</x:v>
      </x:c>
      <x:c r="K1192" s="14" t="n">
        <x:v>9950</x:v>
      </x:c>
      <x:c r="L1192" s="12" t="n">
        <x:f>IF(COUNT(J1192:K1192)=2,IF(K1192=0,"",J1192/K1192),"")</x:f>
        <x:v>0.9949748743718593</x:v>
      </x:c>
      <x:c r="M1192" s="10" t="str">
        <x:v>Завершённый короткий просмотр около 4 мин. Тема среды расширяет предложение для экологически заинтересованной аудитории.</x:v>
      </x:c>
      <x:c r="N1192" s="10" t="str">
        <x:v>Назвать проблему, механизм и предлагаемое решение.</x:v>
      </x:c>
      <x:c r="O1192" s="10" t="str">
        <x:v>Проверить основной язык речи; каталог содержит и переводные материалы</x:v>
      </x:c>
      <x:c r="P1192" s="10" t="str">
        <x:v>Самостоятельное видео</x:v>
      </x:c>
      <x:c r="Q1192" s="9" t="str">
        <x:v>Нет</x:v>
      </x:c>
      <x:c r="R1192" s="9" t="str">
        <x:v>C064</x:v>
      </x:c>
      <x:c r="S1192" s="9" t="str">
        <x:v>C064</x:v>
      </x:c>
      <x:c r="T1192" s="10" t="str">
        <x:v>מכון דוידסון - סרטוני מדע</x:v>
      </x:c>
      <x:c r="U1192" s="11" t="str">
        <x:v>https://www.youtube.com/watch?v=NHcdWLgpA8g</x:v>
      </x:c>
      <x:c r="V1192" s="16" t="n">
        <x:v>46308</x:v>
      </x:c>
      <x:c r="W1192" s="16"/>
      <x:c r="X1192" s="10" t="str">
        <x:v>Иврит предполагается по заголовку и источнику</x:v>
      </x:c>
      <x:c r="Y1192" s="10" t="str">
        <x:v>Не проверено</x:v>
      </x:c>
      <x:c r="Z1192" s="10" t="str">
        <x:v>Не проверено</x:v>
      </x:c>
      <x:c r="AA1192" s="10" t="str">
        <x:v>Метаданные списка; видео не просмотрено</x:v>
      </x:c>
      <x:c r="AB1192" s="13" t="str">
        <x:f>IF(AND(ISNUMBER(H1192),ISNUMBER(W1192)),H1192/MAX(1,'Обзор'!$B$4-W1192),"")</x:f>
      </x:c>
      <x:c r="AC1192" s="17" t="str">
        <x:v>Не решено</x:v>
      </x:c>
      <x:c r="AD1192" s="17" t="str">
        <x:v>Не проверено</x:v>
      </x:c>
      <x:c r="AE1192" s="17" t="str">
        <x:v>Не проверено</x:v>
      </x:c>
      <x:c r="AF1192" s="17" t="str">
        <x:v>Не проверено</x:v>
      </x:c>
      <x:c r="AG1192" s="17" t="str">
        <x:v>Не решено</x:v>
      </x:c>
      <x:c r="AH1192" s="17" t="str">
        <x:v>Не проверено</x:v>
      </x:c>
      <x:c r="AI1192" s="10" t="str">
        <x:f>IF(AC1192="Отклонить","Отклонено",IF(AND(AC1192="Взять",COUNTIFS(AD1192:AH1192,"Да")=5),"Готово","Нужна редактура"))</x:f>
        <x:v>Нужна редактура</x:v>
      </x:c>
      <x:c r="AJ1192" s="17" t="str"/>
      <x:c r="AK1192" s="9" t="str">
        <x:v>https://www.youtube.com/playlist?list=PL0ZkulyfP8beUDONIWu5t3I2xRbZK9gjn</x:v>
      </x:c>
      <x:c r="AL1192" s="9" t="n">
        <x:v>29</x:v>
      </x:c>
      <x:c r="AM1192" s="9"/>
      <x:c r="AN1192" s="9"/>
    </x:row>
    <x:row r="1193" ht="60" customHeight="1">
      <x:c r="A1193" s="9" t="str">
        <x:v>7HlR6cVpLBg</x:v>
      </x:c>
      <x:c r="B1193" s="10" t="str">
        <x:v>הצבע הנסתר של הפרחים</x:v>
      </x:c>
      <x:c r="C1193" s="10" t="str">
        <x:v>Экология и устойчивость</x:v>
      </x:c>
      <x:c r="D1193" s="9" t="str">
        <x:v>Образование</x:v>
      </x:c>
      <x:c r="E1193" s="10" t="str">
        <x:v>Наука; семья; любознательные</x:v>
      </x:c>
      <x:c r="F1193" s="10" t="str">
        <x:v>B1–B2 (гипотеза)</x:v>
      </x:c>
      <x:c r="G1193" s="12" t="n">
        <x:v>2.2</x:v>
      </x:c>
      <x:c r="H1193" s="14" t="n">
        <x:v>8700</x:v>
      </x:c>
      <x:c r="I1193" s="15" t="str">
        <x:v>Округлённый счётчик в списке YouTube</x:v>
      </x:c>
      <x:c r="J1193" s="14" t="n">
        <x:v>8700</x:v>
      </x:c>
      <x:c r="K1193" s="14" t="n">
        <x:v>9950</x:v>
      </x:c>
      <x:c r="L1193" s="12" t="n">
        <x:f>IF(COUNT(J1193:K1193)=2,IF(K1193=0,"",J1193/K1193),"")</x:f>
        <x:v>0.8743718592964824</x:v>
      </x:c>
      <x:c r="M1193" s="10" t="str">
        <x:v>Завершённый короткий просмотр около 2 мин. Тема среды расширяет предложение для экологически заинтересованной аудитории.</x:v>
      </x:c>
      <x:c r="N1193" s="10" t="str">
        <x:v>Назвать проблему, механизм и предлагаемое решение.</x:v>
      </x:c>
      <x:c r="O1193" s="10" t="str">
        <x:v>Проверить основной язык речи; каталог содержит и переводные материалы</x:v>
      </x:c>
      <x:c r="P1193" s="10" t="str">
        <x:v>Самостоятельное видео</x:v>
      </x:c>
      <x:c r="Q1193" s="9" t="str">
        <x:v>Нет</x:v>
      </x:c>
      <x:c r="R1193" s="9" t="str">
        <x:v>C064</x:v>
      </x:c>
      <x:c r="S1193" s="9" t="str">
        <x:v>C064</x:v>
      </x:c>
      <x:c r="T1193" s="10" t="str">
        <x:v>מכון דוידסון - סרטוני מדע</x:v>
      </x:c>
      <x:c r="U1193" s="11" t="str">
        <x:v>https://www.youtube.com/watch?v=7HlR6cVpLBg</x:v>
      </x:c>
      <x:c r="V1193" s="16" t="n">
        <x:v>46308</x:v>
      </x:c>
      <x:c r="W1193" s="16"/>
      <x:c r="X1193" s="10" t="str">
        <x:v>Иврит предполагается по заголовку и источнику</x:v>
      </x:c>
      <x:c r="Y1193" s="10" t="str">
        <x:v>Не проверено</x:v>
      </x:c>
      <x:c r="Z1193" s="10" t="str">
        <x:v>Не проверено</x:v>
      </x:c>
      <x:c r="AA1193" s="10" t="str">
        <x:v>Метаданные списка; видео не просмотрено</x:v>
      </x:c>
      <x:c r="AB1193" s="13" t="str">
        <x:f>IF(AND(ISNUMBER(H1193),ISNUMBER(W1193)),H1193/MAX(1,'Обзор'!$B$4-W1193),"")</x:f>
      </x:c>
      <x:c r="AC1193" s="17" t="str">
        <x:v>Не решено</x:v>
      </x:c>
      <x:c r="AD1193" s="17" t="str">
        <x:v>Не проверено</x:v>
      </x:c>
      <x:c r="AE1193" s="17" t="str">
        <x:v>Не проверено</x:v>
      </x:c>
      <x:c r="AF1193" s="17" t="str">
        <x:v>Не проверено</x:v>
      </x:c>
      <x:c r="AG1193" s="17" t="str">
        <x:v>Не решено</x:v>
      </x:c>
      <x:c r="AH1193" s="17" t="str">
        <x:v>Не проверено</x:v>
      </x:c>
      <x:c r="AI1193" s="10" t="str">
        <x:f>IF(AC1193="Отклонить","Отклонено",IF(AND(AC1193="Взять",COUNTIFS(AD1193:AH1193,"Да")=5),"Готово","Нужна редактура"))</x:f>
        <x:v>Нужна редактура</x:v>
      </x:c>
      <x:c r="AJ1193" s="17" t="str"/>
      <x:c r="AK1193" s="9" t="str">
        <x:v>https://www.youtube.com/playlist?list=PL0ZkulyfP8beUDONIWu5t3I2xRbZK9gjn</x:v>
      </x:c>
      <x:c r="AL1193" s="9" t="n">
        <x:v>30</x:v>
      </x:c>
      <x:c r="AM1193" s="9"/>
      <x:c r="AN1193" s="9"/>
    </x:row>
    <x:row r="1194" ht="60" customHeight="1">
      <x:c r="A1194" s="9" t="str">
        <x:v>45m21ydLigY</x:v>
      </x:c>
      <x:c r="B1194" s="10" t="str">
        <x:v>תולדות העברית דרך האטימולוגיה | שיעור 5 - עברית ישראלית – שפת היומיום | אילון גלעד</x:v>
      </x:c>
      <x:c r="C1194" s="10" t="str">
        <x:v>История иврита</x:v>
      </x:c>
      <x:c r="D1194" s="9" t="str">
        <x:v>История</x:v>
      </x:c>
      <x:c r="E1194" s="10" t="str">
        <x:v>История; культура; еврейское наследие; продвинутые</x:v>
      </x:c>
      <x:c r="F1194" s="10" t="str">
        <x:v>B2–C1 (гипотеза)</x:v>
      </x:c>
      <x:c r="G1194" s="12" t="n">
        <x:v>38.7</x:v>
      </x:c>
      <x:c r="H1194" s="14" t="n">
        <x:v>2223</x:v>
      </x:c>
      <x:c r="I1194" s="15" t="str">
        <x:v>Точный счётчик метаданных видео</x:v>
      </x:c>
      <x:c r="J1194" s="14" t="n">
        <x:v>2200</x:v>
      </x:c>
      <x:c r="K1194" s="14" t="n">
        <x:v>2400</x:v>
      </x:c>
      <x:c r="L1194" s="12" t="n">
        <x:f>IF(COUNT(J1194:K1194)=2,IF(K1194=0,"",J1194/K1194),"")</x:f>
        <x:v>0.9166666666666666</x:v>
      </x:c>
      <x:c r="M1194" s="10" t="str">
        <x:v>Тема: תולדות העברית דרך האטימולוגיה | שיעור 5 - עברית ישראלית – שפת היומיום | אילון גלעד. Этимология связывает слово с историей культуры и даёт прямую ценность изучающим язык.</x:v>
      </x:c>
      <x:c r="N1194" s="10" t="str">
        <x:v>Разобрать происхождение 3 слов и современный контекст употребления.</x:v>
      </x:c>
      <x:c r="O1194" s="10" t="str">
        <x:v>Лекции могут включать арамейский, ладино и цитаты; основной язык проверить</x:v>
      </x:c>
      <x:c r="P1194" s="10" t="str">
        <x:v>Самостоятельное видео</x:v>
      </x:c>
      <x:c r="Q1194" s="9" t="str">
        <x:v>Нет</x:v>
      </x:c>
      <x:c r="R1194" s="9" t="str">
        <x:v>C065</x:v>
      </x:c>
      <x:c r="S1194" s="9" t="str">
        <x:v>C065</x:v>
      </x:c>
      <x:c r="T1194" s="10" t="str">
        <x:v>בית אבי חי</x:v>
      </x:c>
      <x:c r="U1194" s="11" t="str">
        <x:v>https://www.youtube.com/watch?v=45m21ydLigY</x:v>
      </x:c>
      <x:c r="V1194" s="16" t="n">
        <x:v>46308</x:v>
      </x:c>
      <x:c r="W1194" s="16" t="n">
        <x:v>45904</x:v>
      </x:c>
      <x:c r="X1194" s="10" t="str">
        <x:v>iw</x:v>
      </x:c>
      <x:c r="Y1194" s="10" t="str">
        <x:v>Автоматическая дорожка HE по метаданным</x:v>
      </x:c>
      <x:c r="Z1194" s="10" t="str">
        <x:v>Разрешено по метаданным</x:v>
      </x:c>
      <x:c r="AA1194" s="10" t="str">
        <x:v>Метаданные видео; воспроизведение и содержание не проверены</x:v>
      </x:c>
      <x:c r="AB1194" s="13" t="n">
        <x:f>IF(AND(ISNUMBER(H1194),ISNUMBER(W1194)),H1194/MAX(1,'Обзор'!$B$4-W1194),"")</x:f>
        <x:v>5.502475247524752</x:v>
      </x:c>
      <x:c r="AC1194" s="17" t="str">
        <x:v>Не решено</x:v>
      </x:c>
      <x:c r="AD1194" s="17" t="str">
        <x:v>Не проверено</x:v>
      </x:c>
      <x:c r="AE1194" s="17" t="str">
        <x:v>Не проверено</x:v>
      </x:c>
      <x:c r="AF1194" s="17" t="str">
        <x:v>Не проверено</x:v>
      </x:c>
      <x:c r="AG1194" s="17" t="str">
        <x:v>Не решено</x:v>
      </x:c>
      <x:c r="AH1194" s="17" t="str">
        <x:v>Не проверено</x:v>
      </x:c>
      <x:c r="AI1194" s="10" t="str">
        <x:f>IF(AC1194="Отклонить","Отклонено",IF(AND(AC1194="Взять",COUNTIFS(AD1194:AH1194,"Да")=5),"Готово","Нужна редактура"))</x:f>
        <x:v>Нужна редактура</x:v>
      </x:c>
      <x:c r="AJ1194" s="17" t="str"/>
      <x:c r="AK1194" s="9" t="str">
        <x:v>https://www.youtube.com/playlist?list=PLv2rnAORLiVCAMlLQVajaegIVmAxAMPn1</x:v>
      </x:c>
      <x:c r="AL1194" s="9" t="n">
        <x:v>1</x:v>
      </x:c>
      <x:c r="AM1194" s="9"/>
      <x:c r="AN1194" s="9" t="n">
        <x:v>0</x:v>
      </x:c>
    </x:row>
    <x:row r="1195" ht="60" customHeight="1">
      <x:c r="A1195" s="9" t="str">
        <x:v>BN54LDsPVzA</x:v>
      </x:c>
      <x:c r="B1195" s="10" t="str">
        <x:v>תולדות העברית דרך האטימולוגיה | שיעור 4 - ההשכלה והתחייה | אילון גלעד</x:v>
      </x:c>
      <x:c r="C1195" s="10" t="str">
        <x:v>История иврита</x:v>
      </x:c>
      <x:c r="D1195" s="9" t="str">
        <x:v>История</x:v>
      </x:c>
      <x:c r="E1195" s="10" t="str">
        <x:v>История; культура; еврейское наследие; продвинутые</x:v>
      </x:c>
      <x:c r="F1195" s="10" t="str">
        <x:v>B2–C1 (гипотеза)</x:v>
      </x:c>
      <x:c r="G1195" s="12" t="n">
        <x:v>37.4</x:v>
      </x:c>
      <x:c r="H1195" s="14" t="n">
        <x:v>2348</x:v>
      </x:c>
      <x:c r="I1195" s="15" t="str">
        <x:v>Точный счётчик метаданных видео</x:v>
      </x:c>
      <x:c r="J1195" s="14" t="n">
        <x:v>2300</x:v>
      </x:c>
      <x:c r="K1195" s="14" t="n">
        <x:v>2400</x:v>
      </x:c>
      <x:c r="L1195" s="12" t="n">
        <x:f>IF(COUNT(J1195:K1195)=2,IF(K1195=0,"",J1195/K1195),"")</x:f>
        <x:v>0.9583333333333334</x:v>
      </x:c>
      <x:c r="M1195" s="10" t="str">
        <x:v>Тема: תולדות העברית דרך האטימולוגיה | שיעור 4 - ההשכלה והתחייה | אילון גלעד. Этимология связывает слово с историей культуры и даёт прямую ценность изучающим язык.</x:v>
      </x:c>
      <x:c r="N1195" s="10" t="str">
        <x:v>Разобрать происхождение 3 слов и современный контекст употребления.</x:v>
      </x:c>
      <x:c r="O1195" s="10" t="str">
        <x:v>Лекции могут включать арамейский, ладино и цитаты; основной язык проверить</x:v>
      </x:c>
      <x:c r="P1195" s="10" t="str">
        <x:v>Самостоятельное видео</x:v>
      </x:c>
      <x:c r="Q1195" s="9" t="str">
        <x:v>Нет</x:v>
      </x:c>
      <x:c r="R1195" s="9" t="str">
        <x:v>C065</x:v>
      </x:c>
      <x:c r="S1195" s="9" t="str">
        <x:v>C065</x:v>
      </x:c>
      <x:c r="T1195" s="10" t="str">
        <x:v>בית אבי חי</x:v>
      </x:c>
      <x:c r="U1195" s="11" t="str">
        <x:v>https://www.youtube.com/watch?v=BN54LDsPVzA</x:v>
      </x:c>
      <x:c r="V1195" s="16" t="n">
        <x:v>46308</x:v>
      </x:c>
      <x:c r="W1195" s="16" t="n">
        <x:v>45903</x:v>
      </x:c>
      <x:c r="X1195" s="10" t="str">
        <x:v>iw</x:v>
      </x:c>
      <x:c r="Y1195" s="10" t="str">
        <x:v>Автоматическая дорожка HE по метаданным</x:v>
      </x:c>
      <x:c r="Z1195" s="10" t="str">
        <x:v>Разрешено по метаданным</x:v>
      </x:c>
      <x:c r="AA1195" s="10" t="str">
        <x:v>Метаданные видео; воспроизведение и содержание не проверены</x:v>
      </x:c>
      <x:c r="AB1195" s="13" t="n">
        <x:f>IF(AND(ISNUMBER(H1195),ISNUMBER(W1195)),H1195/MAX(1,'Обзор'!$B$4-W1195),"")</x:f>
        <x:v>5.7975308641975305</x:v>
      </x:c>
      <x:c r="AC1195" s="17" t="str">
        <x:v>Не решено</x:v>
      </x:c>
      <x:c r="AD1195" s="17" t="str">
        <x:v>Не проверено</x:v>
      </x:c>
      <x:c r="AE1195" s="17" t="str">
        <x:v>Не проверено</x:v>
      </x:c>
      <x:c r="AF1195" s="17" t="str">
        <x:v>Не проверено</x:v>
      </x:c>
      <x:c r="AG1195" s="17" t="str">
        <x:v>Не решено</x:v>
      </x:c>
      <x:c r="AH1195" s="17" t="str">
        <x:v>Не проверено</x:v>
      </x:c>
      <x:c r="AI1195" s="10" t="str">
        <x:f>IF(AC1195="Отклонить","Отклонено",IF(AND(AC1195="Взять",COUNTIFS(AD1195:AH1195,"Да")=5),"Готово","Нужна редактура"))</x:f>
        <x:v>Нужна редактура</x:v>
      </x:c>
      <x:c r="AJ1195" s="17" t="str"/>
      <x:c r="AK1195" s="9" t="str">
        <x:v>https://www.youtube.com/playlist?list=PLv2rnAORLiVCAMlLQVajaegIVmAxAMPn1</x:v>
      </x:c>
      <x:c r="AL1195" s="9" t="n">
        <x:v>2</x:v>
      </x:c>
      <x:c r="AM1195" s="9"/>
      <x:c r="AN1195" s="9" t="n">
        <x:v>0</x:v>
      </x:c>
    </x:row>
    <x:row r="1196" ht="60" customHeight="1">
      <x:c r="A1196" s="9" t="str">
        <x:v>6UyIVSwTsX8</x:v>
      </x:c>
      <x:c r="B1196" s="10" t="str">
        <x:v>תולדות העברית דרך האטימולוגיה | שיעור 3 - ימי הביניים – בין מזרח למערב | אילון גלעד</x:v>
      </x:c>
      <x:c r="C1196" s="10" t="str">
        <x:v>История иврита</x:v>
      </x:c>
      <x:c r="D1196" s="9" t="str">
        <x:v>История</x:v>
      </x:c>
      <x:c r="E1196" s="10" t="str">
        <x:v>История; культура; еврейское наследие; продвинутые</x:v>
      </x:c>
      <x:c r="F1196" s="10" t="str">
        <x:v>B2–C1 (гипотеза)</x:v>
      </x:c>
      <x:c r="G1196" s="12" t="n">
        <x:v>35.2</x:v>
      </x:c>
      <x:c r="H1196" s="14" t="n">
        <x:v>2405</x:v>
      </x:c>
      <x:c r="I1196" s="15" t="str">
        <x:v>Точный счётчик метаданных видео</x:v>
      </x:c>
      <x:c r="J1196" s="14" t="n">
        <x:v>2400</x:v>
      </x:c>
      <x:c r="K1196" s="14" t="n">
        <x:v>2400</x:v>
      </x:c>
      <x:c r="L1196" s="12" t="n">
        <x:f>IF(COUNT(J1196:K1196)=2,IF(K1196=0,"",J1196/K1196),"")</x:f>
        <x:v>1</x:v>
      </x:c>
      <x:c r="M1196" s="10" t="str">
        <x:v>Тема: תולדות העברית דרך האטימולוגיה | שיעור 3 - ימי הביניים – בין מזרח למערב | אילון גלעד. Этимология связывает слово с историей культуры и даёт прямую ценность изучающим язык.</x:v>
      </x:c>
      <x:c r="N1196" s="10" t="str">
        <x:v>Разобрать происхождение 3 слов и современный контекст употребления.</x:v>
      </x:c>
      <x:c r="O1196" s="10" t="str">
        <x:v>Лекции могут включать арамейский, ладино и цитаты; основной язык проверить</x:v>
      </x:c>
      <x:c r="P1196" s="10" t="str">
        <x:v>Самостоятельное видео</x:v>
      </x:c>
      <x:c r="Q1196" s="9" t="str">
        <x:v>Нет</x:v>
      </x:c>
      <x:c r="R1196" s="9" t="str">
        <x:v>C065</x:v>
      </x:c>
      <x:c r="S1196" s="9" t="str">
        <x:v>C065</x:v>
      </x:c>
      <x:c r="T1196" s="10" t="str">
        <x:v>בית אבי חי</x:v>
      </x:c>
      <x:c r="U1196" s="11" t="str">
        <x:v>https://www.youtube.com/watch?v=6UyIVSwTsX8</x:v>
      </x:c>
      <x:c r="V1196" s="16" t="n">
        <x:v>46308</x:v>
      </x:c>
      <x:c r="W1196" s="16" t="n">
        <x:v>45902</x:v>
      </x:c>
      <x:c r="X1196" s="10" t="str">
        <x:v>iw</x:v>
      </x:c>
      <x:c r="Y1196" s="10" t="str">
        <x:v>Автоматическая дорожка HE по метаданным</x:v>
      </x:c>
      <x:c r="Z1196" s="10" t="str">
        <x:v>Разрешено по метаданным</x:v>
      </x:c>
      <x:c r="AA1196" s="10" t="str">
        <x:v>Метаданные видео; воспроизведение и содержание не проверены</x:v>
      </x:c>
      <x:c r="AB1196" s="13" t="n">
        <x:f>IF(AND(ISNUMBER(H1196),ISNUMBER(W1196)),H1196/MAX(1,'Обзор'!$B$4-W1196),"")</x:f>
        <x:v>5.9236453201970445</x:v>
      </x:c>
      <x:c r="AC1196" s="17" t="str">
        <x:v>Не решено</x:v>
      </x:c>
      <x:c r="AD1196" s="17" t="str">
        <x:v>Не проверено</x:v>
      </x:c>
      <x:c r="AE1196" s="17" t="str">
        <x:v>Не проверено</x:v>
      </x:c>
      <x:c r="AF1196" s="17" t="str">
        <x:v>Не проверено</x:v>
      </x:c>
      <x:c r="AG1196" s="17" t="str">
        <x:v>Не решено</x:v>
      </x:c>
      <x:c r="AH1196" s="17" t="str">
        <x:v>Не проверено</x:v>
      </x:c>
      <x:c r="AI1196" s="10" t="str">
        <x:f>IF(AC1196="Отклонить","Отклонено",IF(AND(AC1196="Взять",COUNTIFS(AD1196:AH1196,"Да")=5),"Готово","Нужна редактура"))</x:f>
        <x:v>Нужна редактура</x:v>
      </x:c>
      <x:c r="AJ1196" s="17" t="str"/>
      <x:c r="AK1196" s="9" t="str">
        <x:v>https://www.youtube.com/playlist?list=PLv2rnAORLiVCAMlLQVajaegIVmAxAMPn1</x:v>
      </x:c>
      <x:c r="AL1196" s="9" t="n">
        <x:v>3</x:v>
      </x:c>
      <x:c r="AM1196" s="9"/>
      <x:c r="AN1196" s="9" t="n">
        <x:v>0</x:v>
      </x:c>
    </x:row>
    <x:row r="1197" ht="60" customHeight="1">
      <x:c r="A1197" s="9" t="str">
        <x:v>rPzhjHEQsEw</x:v>
      </x:c>
      <x:c r="B1197" s="10" t="str">
        <x:v>תולדות העברית דרך האטימולוגיה | שיעור 2 - מגלות בבל לארץ ישראל וחזרה | אילון גלעד</x:v>
      </x:c>
      <x:c r="C1197" s="10" t="str">
        <x:v>История иврита</x:v>
      </x:c>
      <x:c r="D1197" s="9" t="str">
        <x:v>История</x:v>
      </x:c>
      <x:c r="E1197" s="10" t="str">
        <x:v>История; культура; еврейское наследие; продвинутые</x:v>
      </x:c>
      <x:c r="F1197" s="10" t="str">
        <x:v>B2–C1 (гипотеза)</x:v>
      </x:c>
      <x:c r="G1197" s="12" t="n">
        <x:v>37.1</x:v>
      </x:c>
      <x:c r="H1197" s="14" t="n">
        <x:v>3295</x:v>
      </x:c>
      <x:c r="I1197" s="15" t="str">
        <x:v>Точный счётчик метаданных видео</x:v>
      </x:c>
      <x:c r="J1197" s="14" t="n">
        <x:v>3200</x:v>
      </x:c>
      <x:c r="K1197" s="14" t="n">
        <x:v>2400</x:v>
      </x:c>
      <x:c r="L1197" s="12" t="n">
        <x:f>IF(COUNT(J1197:K1197)=2,IF(K1197=0,"",J1197/K1197),"")</x:f>
        <x:v>1.3333333333333333</x:v>
      </x:c>
      <x:c r="M1197" s="10" t="str">
        <x:v>Тема: תולדות העברית דרך האטימולוגיה | שיעור 2 - מגלות בבל לארץ ישראל וחזרה | אילון גלעד. Этимология связывает слово с историей культуры и даёт прямую ценность изучающим язык.</x:v>
      </x:c>
      <x:c r="N1197" s="10" t="str">
        <x:v>Разобрать происхождение 3 слов и современный контекст употребления.</x:v>
      </x:c>
      <x:c r="O1197" s="10" t="str">
        <x:v>Лекции могут включать арамейский, ладино и цитаты; основной язык проверить</x:v>
      </x:c>
      <x:c r="P1197" s="10" t="str">
        <x:v>Самостоятельное видео</x:v>
      </x:c>
      <x:c r="Q1197" s="9" t="str">
        <x:v>Нет</x:v>
      </x:c>
      <x:c r="R1197" s="9" t="str">
        <x:v>C065</x:v>
      </x:c>
      <x:c r="S1197" s="9" t="str">
        <x:v>C065</x:v>
      </x:c>
      <x:c r="T1197" s="10" t="str">
        <x:v>בית אבי חי</x:v>
      </x:c>
      <x:c r="U1197" s="11" t="str">
        <x:v>https://www.youtube.com/watch?v=rPzhjHEQsEw</x:v>
      </x:c>
      <x:c r="V1197" s="16" t="n">
        <x:v>46308</x:v>
      </x:c>
      <x:c r="W1197" s="16" t="n">
        <x:v>45901</x:v>
      </x:c>
      <x:c r="X1197" s="10" t="str">
        <x:v>Иврит предполагается по заголовку и источнику</x:v>
      </x:c>
      <x:c r="Y1197" s="10" t="str">
        <x:v>Автоматическая дорожка HE по метаданным</x:v>
      </x:c>
      <x:c r="Z1197" s="10" t="str">
        <x:v>Разрешено по метаданным</x:v>
      </x:c>
      <x:c r="AA1197" s="10" t="str">
        <x:v>Метаданные видео; воспроизведение и содержание не проверены</x:v>
      </x:c>
      <x:c r="AB1197" s="13" t="n">
        <x:f>IF(AND(ISNUMBER(H1197),ISNUMBER(W1197)),H1197/MAX(1,'Обзор'!$B$4-W1197),"")</x:f>
        <x:v>8.095823095823096</x:v>
      </x:c>
      <x:c r="AC1197" s="17" t="str">
        <x:v>Не решено</x:v>
      </x:c>
      <x:c r="AD1197" s="17" t="str">
        <x:v>Не проверено</x:v>
      </x:c>
      <x:c r="AE1197" s="17" t="str">
        <x:v>Не проверено</x:v>
      </x:c>
      <x:c r="AF1197" s="17" t="str">
        <x:v>Не проверено</x:v>
      </x:c>
      <x:c r="AG1197" s="17" t="str">
        <x:v>Не решено</x:v>
      </x:c>
      <x:c r="AH1197" s="17" t="str">
        <x:v>Не проверено</x:v>
      </x:c>
      <x:c r="AI1197" s="10" t="str">
        <x:f>IF(AC1197="Отклонить","Отклонено",IF(AND(AC1197="Взять",COUNTIFS(AD1197:AH1197,"Да")=5),"Готово","Нужна редактура"))</x:f>
        <x:v>Нужна редактура</x:v>
      </x:c>
      <x:c r="AJ1197" s="17" t="str"/>
      <x:c r="AK1197" s="9" t="str">
        <x:v>https://www.youtube.com/playlist?list=PLv2rnAORLiVCAMlLQVajaegIVmAxAMPn1</x:v>
      </x:c>
      <x:c r="AL1197" s="9" t="n">
        <x:v>4</x:v>
      </x:c>
      <x:c r="AM1197" s="9"/>
      <x:c r="AN1197" s="9" t="n">
        <x:v>0</x:v>
      </x:c>
    </x:row>
    <x:row r="1198" ht="60" customHeight="1">
      <x:c r="A1198" s="9" t="str">
        <x:v>JkTBsaEseDg</x:v>
      </x:c>
      <x:c r="B1198" s="10" t="str">
        <x:v>תולדות העברית דרך האטימולוגיה | שיעור 1 - מפרוטו שמית לעברית המקראית | אילון גלעד</x:v>
      </x:c>
      <x:c r="C1198" s="10" t="str">
        <x:v>История иврита</x:v>
      </x:c>
      <x:c r="D1198" s="9" t="str">
        <x:v>История</x:v>
      </x:c>
      <x:c r="E1198" s="10" t="str">
        <x:v>История; культура; еврейское наследие; продвинутые</x:v>
      </x:c>
      <x:c r="F1198" s="10" t="str">
        <x:v>B2–C1 (гипотеза)</x:v>
      </x:c>
      <x:c r="G1198" s="12" t="n">
        <x:v>35.9</x:v>
      </x:c>
      <x:c r="H1198" s="14" t="n">
        <x:v>6497</x:v>
      </x:c>
      <x:c r="I1198" s="15" t="str">
        <x:v>Точный счётчик метаданных видео</x:v>
      </x:c>
      <x:c r="J1198" s="14" t="n">
        <x:v>6400</x:v>
      </x:c>
      <x:c r="K1198" s="14" t="n">
        <x:v>2400</x:v>
      </x:c>
      <x:c r="L1198" s="12" t="n">
        <x:f>IF(COUNT(J1198:K1198)=2,IF(K1198=0,"",J1198/K1198),"")</x:f>
        <x:v>2.6666666666666665</x:v>
      </x:c>
      <x:c r="M1198" s="10" t="str">
        <x:v>Тема: תולדות העברית דרך האטימולוגיה | שיעור 1 - מפרוטו שמית לעברית המקראית | אילון גלעד. Просмотры в списке выше медианы выборки этого цикла в 2.67 раза. Этимология связывает слово с историей культуры и даёт прямую ценность изучающим язык.</x:v>
      </x:c>
      <x:c r="N1198" s="10" t="str">
        <x:v>Разобрать происхождение 3 слов и современный контекст употребления.</x:v>
      </x:c>
      <x:c r="O1198" s="10" t="str">
        <x:v>Лекции могут включать арамейский, ладино и цитаты; основной язык проверить</x:v>
      </x:c>
      <x:c r="P1198" s="10" t="str">
        <x:v>Самостоятельное видео</x:v>
      </x:c>
      <x:c r="Q1198" s="9" t="str">
        <x:v>Нет</x:v>
      </x:c>
      <x:c r="R1198" s="9" t="str">
        <x:v>C065</x:v>
      </x:c>
      <x:c r="S1198" s="9" t="str">
        <x:v>C065</x:v>
      </x:c>
      <x:c r="T1198" s="10" t="str">
        <x:v>בית אבי חי</x:v>
      </x:c>
      <x:c r="U1198" s="11" t="str">
        <x:v>https://www.youtube.com/watch?v=JkTBsaEseDg</x:v>
      </x:c>
      <x:c r="V1198" s="16" t="n">
        <x:v>46308</x:v>
      </x:c>
      <x:c r="W1198" s="16" t="n">
        <x:v>45900</x:v>
      </x:c>
      <x:c r="X1198" s="10" t="str">
        <x:v>Иврит предполагается по заголовку и источнику</x:v>
      </x:c>
      <x:c r="Y1198" s="10" t="str">
        <x:v>Автоматическая дорожка HE по метаданным</x:v>
      </x:c>
      <x:c r="Z1198" s="10" t="str">
        <x:v>Разрешено по метаданным</x:v>
      </x:c>
      <x:c r="AA1198" s="10" t="str">
        <x:v>Метаданные видео; воспроизведение и содержание не проверены</x:v>
      </x:c>
      <x:c r="AB1198" s="13" t="n">
        <x:f>IF(AND(ISNUMBER(H1198),ISNUMBER(W1198)),H1198/MAX(1,'Обзор'!$B$4-W1198),"")</x:f>
        <x:v>15.924019607843137</x:v>
      </x:c>
      <x:c r="AC1198" s="17" t="str">
        <x:v>Не решено</x:v>
      </x:c>
      <x:c r="AD1198" s="17" t="str">
        <x:v>Не проверено</x:v>
      </x:c>
      <x:c r="AE1198" s="17" t="str">
        <x:v>Не проверено</x:v>
      </x:c>
      <x:c r="AF1198" s="17" t="str">
        <x:v>Не проверено</x:v>
      </x:c>
      <x:c r="AG1198" s="17" t="str">
        <x:v>Не решено</x:v>
      </x:c>
      <x:c r="AH1198" s="17" t="str">
        <x:v>Не проверено</x:v>
      </x:c>
      <x:c r="AI1198" s="10" t="str">
        <x:f>IF(AC1198="Отклонить","Отклонено",IF(AND(AC1198="Взять",COUNTIFS(AD1198:AH1198,"Да")=5),"Готово","Нужна редактура"))</x:f>
        <x:v>Нужна редактура</x:v>
      </x:c>
      <x:c r="AJ1198" s="17" t="str"/>
      <x:c r="AK1198" s="9" t="str">
        <x:v>https://www.youtube.com/playlist?list=PLv2rnAORLiVCAMlLQVajaegIVmAxAMPn1</x:v>
      </x:c>
      <x:c r="AL1198" s="9" t="n">
        <x:v>5</x:v>
      </x:c>
      <x:c r="AM1198" s="9"/>
      <x:c r="AN1198" s="9" t="n">
        <x:v>0</x:v>
      </x:c>
    </x:row>
    <x:row r="1199" ht="60" customHeight="1">
      <x:c r="A1199" s="9" t="str">
        <x:v>HgOj089yBLc</x:v>
      </x:c>
      <x:c r="B1199" s="10" t="str">
        <x:v>בחזרה למצרים | שיעור 5 – חורבנה של יהדות מצרים - מרד התפוצות  | פרופ' נח חכם</x:v>
      </x:c>
      <x:c r="C1199" s="10" t="str">
        <x:v>История общин</x:v>
      </x:c>
      <x:c r="D1199" s="9" t="str">
        <x:v>История</x:v>
      </x:c>
      <x:c r="E1199" s="10" t="str">
        <x:v>История; культура; еврейское наследие; продвинутые</x:v>
      </x:c>
      <x:c r="F1199" s="10" t="str">
        <x:v>B2–C1 (гипотеза)</x:v>
      </x:c>
      <x:c r="G1199" s="12" t="n">
        <x:v>35.9</x:v>
      </x:c>
      <x:c r="H1199" s="14" t="n">
        <x:v>1612</x:v>
      </x:c>
      <x:c r="I1199" s="15" t="str">
        <x:v>Точный счётчик метаданных видео</x:v>
      </x:c>
      <x:c r="J1199" s="14" t="n">
        <x:v>1600</x:v>
      </x:c>
      <x:c r="K1199" s="14" t="n">
        <x:v>1800</x:v>
      </x:c>
      <x:c r="L1199" s="12" t="n">
        <x:f>IF(COUNT(J1199:K1199)=2,IF(K1199=0,"",J1199/K1199),"")</x:f>
        <x:v>0.8888888888888888</x:v>
      </x:c>
      <x:c r="M1199" s="10" t="str">
        <x:v>Тема: בחזרה למצרים | שיעור 5 – חורבנה של יהדות מצרים - מרד התפוצות  | פרופ' נח חכם. Египетская еврейская история расширяет каталог за пределы европейского опыта.</x:v>
      </x:c>
      <x:c r="N1199" s="10" t="str">
        <x:v>Составить карту мест, эпох и связей общины.</x:v>
      </x:c>
      <x:c r="O1199" s="10" t="str">
        <x:v>Лекции могут включать арамейский, ладино и цитаты; основной язык проверить</x:v>
      </x:c>
      <x:c r="P1199" s="10" t="str">
        <x:v>Самостоятельное видео</x:v>
      </x:c>
      <x:c r="Q1199" s="9" t="str">
        <x:v>Нет</x:v>
      </x:c>
      <x:c r="R1199" s="9" t="str">
        <x:v>C066</x:v>
      </x:c>
      <x:c r="S1199" s="9" t="str">
        <x:v>C066</x:v>
      </x:c>
      <x:c r="T1199" s="10" t="str">
        <x:v>בית אבי חי</x:v>
      </x:c>
      <x:c r="U1199" s="11" t="str">
        <x:v>https://www.youtube.com/watch?v=HgOj089yBLc</x:v>
      </x:c>
      <x:c r="V1199" s="16" t="n">
        <x:v>46308</x:v>
      </x:c>
      <x:c r="W1199" s="16" t="n">
        <x:v>46191</x:v>
      </x:c>
      <x:c r="X1199" s="10" t="str">
        <x:v>Иврит предполагается по заголовку и источнику</x:v>
      </x:c>
      <x:c r="Y1199" s="10" t="str">
        <x:v>Автоматическая дорожка HE по метаданным</x:v>
      </x:c>
      <x:c r="Z1199" s="10" t="str">
        <x:v>Разрешено по метаданным</x:v>
      </x:c>
      <x:c r="AA1199" s="10" t="str">
        <x:v>Метаданные видео; воспроизведение и содержание не проверены</x:v>
      </x:c>
      <x:c r="AB1199" s="13" t="n">
        <x:f>IF(AND(ISNUMBER(H1199),ISNUMBER(W1199)),H1199/MAX(1,'Обзор'!$B$4-W1199),"")</x:f>
        <x:v>13.777777777777779</x:v>
      </x:c>
      <x:c r="AC1199" s="17" t="str">
        <x:v>Не решено</x:v>
      </x:c>
      <x:c r="AD1199" s="17" t="str">
        <x:v>Не проверено</x:v>
      </x:c>
      <x:c r="AE1199" s="17" t="str">
        <x:v>Не проверено</x:v>
      </x:c>
      <x:c r="AF1199" s="17" t="str">
        <x:v>Не проверено</x:v>
      </x:c>
      <x:c r="AG1199" s="17" t="str">
        <x:v>Не решено</x:v>
      </x:c>
      <x:c r="AH1199" s="17" t="str">
        <x:v>Не проверено</x:v>
      </x:c>
      <x:c r="AI1199" s="10" t="str">
        <x:f>IF(AC1199="Отклонить","Отклонено",IF(AND(AC1199="Взять",COUNTIFS(AD1199:AH1199,"Да")=5),"Готово","Нужна редактура"))</x:f>
        <x:v>Нужна редактура</x:v>
      </x:c>
      <x:c r="AJ1199" s="17" t="str"/>
      <x:c r="AK1199" s="9" t="str">
        <x:v>https://www.youtube.com/playlist?list=PLv2rnAORLiVAs6o6twugy8cdZb8uNlrAi</x:v>
      </x:c>
      <x:c r="AL1199" s="9" t="n">
        <x:v>1</x:v>
      </x:c>
      <x:c r="AM1199" s="9"/>
      <x:c r="AN1199" s="9" t="n">
        <x:v>0</x:v>
      </x:c>
    </x:row>
    <x:row r="1200" ht="60" customHeight="1">
      <x:c r="A1200" s="9" t="str">
        <x:v>Ts6VarIz1LY</x:v>
      </x:c>
      <x:c r="B1200" s="10" t="str">
        <x:v>בחזרה למצרים | שיעור 4 – בין יהודים לנכרים - המהומות בימי גאיוס קליגולה | פרופ' נח חכם</x:v>
      </x:c>
      <x:c r="C1200" s="10" t="str">
        <x:v>История общин</x:v>
      </x:c>
      <x:c r="D1200" s="9" t="str">
        <x:v>История</x:v>
      </x:c>
      <x:c r="E1200" s="10" t="str">
        <x:v>История; культура; еврейское наследие; продвинутые</x:v>
      </x:c>
      <x:c r="F1200" s="10" t="str">
        <x:v>B2–C1 (гипотеза)</x:v>
      </x:c>
      <x:c r="G1200" s="12" t="n">
        <x:v>34.6</x:v>
      </x:c>
      <x:c r="H1200" s="14" t="n">
        <x:v>1600</x:v>
      </x:c>
      <x:c r="I1200" s="15" t="str">
        <x:v>Округлённый счётчик в списке YouTube</x:v>
      </x:c>
      <x:c r="J1200" s="14" t="n">
        <x:v>1600</x:v>
      </x:c>
      <x:c r="K1200" s="14" t="n">
        <x:v>1800</x:v>
      </x:c>
      <x:c r="L1200" s="12" t="n">
        <x:f>IF(COUNT(J1200:K1200)=2,IF(K1200=0,"",J1200/K1200),"")</x:f>
        <x:v>0.8888888888888888</x:v>
      </x:c>
      <x:c r="M1200" s="10" t="str">
        <x:v>Тема: בחזרה למצרים | שיעור 4 – בין יהודים לנכרים - המהומות בימי גאיוס קליגולה | פרופ' נח חכם. Египетская еврейская история расширяет каталог за пределы европейского опыта.</x:v>
      </x:c>
      <x:c r="N1200" s="10" t="str">
        <x:v>Составить карту мест, эпох и связей общины.</x:v>
      </x:c>
      <x:c r="O1200" s="10" t="str">
        <x:v>Лекции могут включать арамейский, ладино и цитаты; основной язык проверить</x:v>
      </x:c>
      <x:c r="P1200" s="10" t="str">
        <x:v>Самостоятельное видео</x:v>
      </x:c>
      <x:c r="Q1200" s="9" t="str">
        <x:v>Нет</x:v>
      </x:c>
      <x:c r="R1200" s="9" t="str">
        <x:v>C066</x:v>
      </x:c>
      <x:c r="S1200" s="9" t="str">
        <x:v>C066</x:v>
      </x:c>
      <x:c r="T1200" s="10" t="str">
        <x:v>בית אבי חי</x:v>
      </x:c>
      <x:c r="U1200" s="11" t="str">
        <x:v>https://www.youtube.com/watch?v=Ts6VarIz1LY</x:v>
      </x:c>
      <x:c r="V1200" s="16" t="n">
        <x:v>46308</x:v>
      </x:c>
      <x:c r="W1200" s="16"/>
      <x:c r="X1200" s="10" t="str">
        <x:v>Иврит предполагается по заголовку и источнику</x:v>
      </x:c>
      <x:c r="Y1200" s="10" t="str">
        <x:v>Не проверено</x:v>
      </x:c>
      <x:c r="Z1200" s="10" t="str">
        <x:v>Не проверено</x:v>
      </x:c>
      <x:c r="AA1200" s="10" t="str">
        <x:v>Метаданные списка; видео не просмотрено</x:v>
      </x:c>
      <x:c r="AB1200" s="13" t="str">
        <x:f>IF(AND(ISNUMBER(H1200),ISNUMBER(W1200)),H1200/MAX(1,'Обзор'!$B$4-W1200),"")</x:f>
      </x:c>
      <x:c r="AC1200" s="17" t="str">
        <x:v>Не решено</x:v>
      </x:c>
      <x:c r="AD1200" s="17" t="str">
        <x:v>Не проверено</x:v>
      </x:c>
      <x:c r="AE1200" s="17" t="str">
        <x:v>Не проверено</x:v>
      </x:c>
      <x:c r="AF1200" s="17" t="str">
        <x:v>Не проверено</x:v>
      </x:c>
      <x:c r="AG1200" s="17" t="str">
        <x:v>Не решено</x:v>
      </x:c>
      <x:c r="AH1200" s="17" t="str">
        <x:v>Не проверено</x:v>
      </x:c>
      <x:c r="AI1200" s="10" t="str">
        <x:f>IF(AC1200="Отклонить","Отклонено",IF(AND(AC1200="Взять",COUNTIFS(AD1200:AH1200,"Да")=5),"Готово","Нужна редактура"))</x:f>
        <x:v>Нужна редактура</x:v>
      </x:c>
      <x:c r="AJ1200" s="17" t="str"/>
      <x:c r="AK1200" s="9" t="str">
        <x:v>https://www.youtube.com/playlist?list=PLv2rnAORLiVAs6o6twugy8cdZb8uNlrAi</x:v>
      </x:c>
      <x:c r="AL1200" s="9" t="n">
        <x:v>2</x:v>
      </x:c>
      <x:c r="AM1200" s="9"/>
      <x:c r="AN1200" s="9"/>
    </x:row>
    <x:row r="1201" ht="60" customHeight="1">
      <x:c r="A1201" s="9" t="str">
        <x:v>bKD8fOVYqeU</x:v>
      </x:c>
      <x:c r="B1201" s="10" t="str">
        <x:v>בחזרה למצרים | שיעור 3 – בית המקדש היהודי במצרים והצבא היהודי של חוניו | פרופ' נח חכם</x:v>
      </x:c>
      <x:c r="C1201" s="10" t="str">
        <x:v>История общин</x:v>
      </x:c>
      <x:c r="D1201" s="9" t="str">
        <x:v>История</x:v>
      </x:c>
      <x:c r="E1201" s="10" t="str">
        <x:v>История; культура; еврейское наследие; продвинутые</x:v>
      </x:c>
      <x:c r="F1201" s="10" t="str">
        <x:v>B2–C1 (гипотеза)</x:v>
      </x:c>
      <x:c r="G1201" s="12" t="n">
        <x:v>39.8</x:v>
      </x:c>
      <x:c r="H1201" s="14" t="n">
        <x:v>1816</x:v>
      </x:c>
      <x:c r="I1201" s="15" t="str">
        <x:v>Точный счётчик метаданных видео</x:v>
      </x:c>
      <x:c r="J1201" s="14" t="n">
        <x:v>1800</x:v>
      </x:c>
      <x:c r="K1201" s="14" t="n">
        <x:v>1800</x:v>
      </x:c>
      <x:c r="L1201" s="12" t="n">
        <x:f>IF(COUNT(J1201:K1201)=2,IF(K1201=0,"",J1201/K1201),"")</x:f>
        <x:v>1</x:v>
      </x:c>
      <x:c r="M1201" s="10" t="str">
        <x:v>Тема: בחזרה למצרים | שיעור 3 – בית המקדש היהודי במצרים והצבא היהודי של חוניו | פרופ' נח חכם. Египетская еврейская история расширяет каталог за пределы европейского опыта.</x:v>
      </x:c>
      <x:c r="N1201" s="10" t="str">
        <x:v>Составить карту мест, эпох и связей общины.</x:v>
      </x:c>
      <x:c r="O1201" s="10" t="str">
        <x:v>Лекции могут включать арамейский, ладино и цитаты; основной язык проверить</x:v>
      </x:c>
      <x:c r="P1201" s="10" t="str">
        <x:v>Самостоятельное видео</x:v>
      </x:c>
      <x:c r="Q1201" s="9" t="str">
        <x:v>Нет</x:v>
      </x:c>
      <x:c r="R1201" s="9" t="str">
        <x:v>C066</x:v>
      </x:c>
      <x:c r="S1201" s="9" t="str">
        <x:v>C066</x:v>
      </x:c>
      <x:c r="T1201" s="10" t="str">
        <x:v>בית אבי חי</x:v>
      </x:c>
      <x:c r="U1201" s="11" t="str">
        <x:v>https://www.youtube.com/watch?v=bKD8fOVYqeU</x:v>
      </x:c>
      <x:c r="V1201" s="16" t="n">
        <x:v>46308</x:v>
      </x:c>
      <x:c r="W1201" s="16" t="n">
        <x:v>46189</x:v>
      </x:c>
      <x:c r="X1201" s="10" t="str">
        <x:v>Иврит предполагается по заголовку и источнику</x:v>
      </x:c>
      <x:c r="Y1201" s="10" t="str">
        <x:v>Автоматическая дорожка HE по метаданным</x:v>
      </x:c>
      <x:c r="Z1201" s="10" t="str">
        <x:v>Разрешено по метаданным</x:v>
      </x:c>
      <x:c r="AA1201" s="10" t="str">
        <x:v>Метаданные видео; воспроизведение и содержание не проверены</x:v>
      </x:c>
      <x:c r="AB1201" s="13" t="n">
        <x:f>IF(AND(ISNUMBER(H1201),ISNUMBER(W1201)),H1201/MAX(1,'Обзор'!$B$4-W1201),"")</x:f>
        <x:v>15.260504201680673</x:v>
      </x:c>
      <x:c r="AC1201" s="17" t="str">
        <x:v>Не решено</x:v>
      </x:c>
      <x:c r="AD1201" s="17" t="str">
        <x:v>Не проверено</x:v>
      </x:c>
      <x:c r="AE1201" s="17" t="str">
        <x:v>Не проверено</x:v>
      </x:c>
      <x:c r="AF1201" s="17" t="str">
        <x:v>Не проверено</x:v>
      </x:c>
      <x:c r="AG1201" s="17" t="str">
        <x:v>Не решено</x:v>
      </x:c>
      <x:c r="AH1201" s="17" t="str">
        <x:v>Не проверено</x:v>
      </x:c>
      <x:c r="AI1201" s="10" t="str">
        <x:f>IF(AC1201="Отклонить","Отклонено",IF(AND(AC1201="Взять",COUNTIFS(AD1201:AH1201,"Да")=5),"Готово","Нужна редактура"))</x:f>
        <x:v>Нужна редактура</x:v>
      </x:c>
      <x:c r="AJ1201" s="17" t="str"/>
      <x:c r="AK1201" s="9" t="str">
        <x:v>https://www.youtube.com/playlist?list=PLv2rnAORLiVAs6o6twugy8cdZb8uNlrAi</x:v>
      </x:c>
      <x:c r="AL1201" s="9" t="n">
        <x:v>3</x:v>
      </x:c>
      <x:c r="AM1201" s="9"/>
      <x:c r="AN1201" s="9" t="n">
        <x:v>0</x:v>
      </x:c>
    </x:row>
    <x:row r="1202" ht="60" customHeight="1">
      <x:c r="A1202" s="9" t="str">
        <x:v>pZHaUMn3vD8</x:v>
      </x:c>
      <x:c r="B1202" s="10" t="str">
        <x:v>בחזרה למצרים | שיעור 2 – מתן תורה ליהודי מצרים – איגרת אריסטיאס | פרופ' נח חכם</x:v>
      </x:c>
      <x:c r="C1202" s="10" t="str">
        <x:v>История общин</x:v>
      </x:c>
      <x:c r="D1202" s="9" t="str">
        <x:v>История</x:v>
      </x:c>
      <x:c r="E1202" s="10" t="str">
        <x:v>История; культура; еврейское наследие; продвинутые</x:v>
      </x:c>
      <x:c r="F1202" s="10" t="str">
        <x:v>B2–C1 (гипотеза)</x:v>
      </x:c>
      <x:c r="G1202" s="12" t="n">
        <x:v>36.9</x:v>
      </x:c>
      <x:c r="H1202" s="14" t="n">
        <x:v>2040</x:v>
      </x:c>
      <x:c r="I1202" s="15" t="str">
        <x:v>Точный счётчик метаданных видео</x:v>
      </x:c>
      <x:c r="J1202" s="14" t="n">
        <x:v>2000</x:v>
      </x:c>
      <x:c r="K1202" s="14" t="n">
        <x:v>1800</x:v>
      </x:c>
      <x:c r="L1202" s="12" t="n">
        <x:f>IF(COUNT(J1202:K1202)=2,IF(K1202=0,"",J1202/K1202),"")</x:f>
        <x:v>1.1111111111111112</x:v>
      </x:c>
      <x:c r="M1202" s="10" t="str">
        <x:v>Тема: בחזרה למצרים | שיעור 2 – מתן תורה ליהודי מצרים – איגרת אריסטיאס | פרופ' נח חכם. Египетская еврейская история расширяет каталог за пределы европейского опыта.</x:v>
      </x:c>
      <x:c r="N1202" s="10" t="str">
        <x:v>Составить карту мест, эпох и связей общины.</x:v>
      </x:c>
      <x:c r="O1202" s="10" t="str">
        <x:v>Лекции могут включать арамейский, ладино и цитаты; основной язык проверить</x:v>
      </x:c>
      <x:c r="P1202" s="10" t="str">
        <x:v>Самостоятельное видео</x:v>
      </x:c>
      <x:c r="Q1202" s="9" t="str">
        <x:v>Нет</x:v>
      </x:c>
      <x:c r="R1202" s="9" t="str">
        <x:v>C066</x:v>
      </x:c>
      <x:c r="S1202" s="9" t="str">
        <x:v>C066</x:v>
      </x:c>
      <x:c r="T1202" s="10" t="str">
        <x:v>בית אבי חי</x:v>
      </x:c>
      <x:c r="U1202" s="11" t="str">
        <x:v>https://www.youtube.com/watch?v=pZHaUMn3vD8</x:v>
      </x:c>
      <x:c r="V1202" s="16" t="n">
        <x:v>46308</x:v>
      </x:c>
      <x:c r="W1202" s="16" t="n">
        <x:v>46188</x:v>
      </x:c>
      <x:c r="X1202" s="10" t="str">
        <x:v>Иврит предполагается по заголовку и источнику</x:v>
      </x:c>
      <x:c r="Y1202" s="10" t="str">
        <x:v>Автоматическая дорожка HE по метаданным</x:v>
      </x:c>
      <x:c r="Z1202" s="10" t="str">
        <x:v>Разрешено по метаданным</x:v>
      </x:c>
      <x:c r="AA1202" s="10" t="str">
        <x:v>Метаданные видео; воспроизведение и содержание не проверены</x:v>
      </x:c>
      <x:c r="AB1202" s="13" t="n">
        <x:f>IF(AND(ISNUMBER(H1202),ISNUMBER(W1202)),H1202/MAX(1,'Обзор'!$B$4-W1202),"")</x:f>
        <x:v>17</x:v>
      </x:c>
      <x:c r="AC1202" s="17" t="str">
        <x:v>Не решено</x:v>
      </x:c>
      <x:c r="AD1202" s="17" t="str">
        <x:v>Не проверено</x:v>
      </x:c>
      <x:c r="AE1202" s="17" t="str">
        <x:v>Не проверено</x:v>
      </x:c>
      <x:c r="AF1202" s="17" t="str">
        <x:v>Не проверено</x:v>
      </x:c>
      <x:c r="AG1202" s="17" t="str">
        <x:v>Не решено</x:v>
      </x:c>
      <x:c r="AH1202" s="17" t="str">
        <x:v>Не проверено</x:v>
      </x:c>
      <x:c r="AI1202" s="10" t="str">
        <x:f>IF(AC1202="Отклонить","Отклонено",IF(AND(AC1202="Взять",COUNTIFS(AD1202:AH1202,"Да")=5),"Готово","Нужна редактура"))</x:f>
        <x:v>Нужна редактура</x:v>
      </x:c>
      <x:c r="AJ1202" s="17" t="str"/>
      <x:c r="AK1202" s="9" t="str">
        <x:v>https://www.youtube.com/playlist?list=PLv2rnAORLiVAs6o6twugy8cdZb8uNlrAi</x:v>
      </x:c>
      <x:c r="AL1202" s="9" t="n">
        <x:v>4</x:v>
      </x:c>
      <x:c r="AM1202" s="9"/>
      <x:c r="AN1202" s="9" t="n">
        <x:v>0</x:v>
      </x:c>
    </x:row>
    <x:row r="1203" ht="60" customHeight="1">
      <x:c r="A1203" s="9" t="str">
        <x:v>Bjc8CZ2D77Q</x:v>
      </x:c>
      <x:c r="B1203" s="10" t="str">
        <x:v>בחזרה למצרים | שיעור 1 – הגעת היהודים למצרים | פרופ' נח חכם</x:v>
      </x:c>
      <x:c r="C1203" s="10" t="str">
        <x:v>История общин</x:v>
      </x:c>
      <x:c r="D1203" s="9" t="str">
        <x:v>История</x:v>
      </x:c>
      <x:c r="E1203" s="10" t="str">
        <x:v>История; культура; еврейское наследие; продвинутые</x:v>
      </x:c>
      <x:c r="F1203" s="10" t="str">
        <x:v>B2–C1 (гипотеза)</x:v>
      </x:c>
      <x:c r="G1203" s="12" t="n">
        <x:v>36.7</x:v>
      </x:c>
      <x:c r="H1203" s="14" t="n">
        <x:v>3284</x:v>
      </x:c>
      <x:c r="I1203" s="15" t="str">
        <x:v>Точный счётчик метаданных видео</x:v>
      </x:c>
      <x:c r="J1203" s="14" t="n">
        <x:v>3200</x:v>
      </x:c>
      <x:c r="K1203" s="14" t="n">
        <x:v>1800</x:v>
      </x:c>
      <x:c r="L1203" s="12" t="n">
        <x:f>IF(COUNT(J1203:K1203)=2,IF(K1203=0,"",J1203/K1203),"")</x:f>
        <x:v>1.7777777777777777</x:v>
      </x:c>
      <x:c r="M1203" s="10" t="str">
        <x:v>Тема: בחזרה למצרים | שיעור 1 – הגעת היהודים למצרים | פרופ' נח חכם. Просмотры в списке выше медианы выборки этого цикла в 1.78 раза. Египетская еврейская история расширяет каталог за пределы европейского опыта.</x:v>
      </x:c>
      <x:c r="N1203" s="10" t="str">
        <x:v>Составить карту мест, эпох и связей общины.</x:v>
      </x:c>
      <x:c r="O1203" s="10" t="str">
        <x:v>Лекции могут включать арамейский, ладино и цитаты; основной язык проверить</x:v>
      </x:c>
      <x:c r="P1203" s="10" t="str">
        <x:v>Самостоятельное видео</x:v>
      </x:c>
      <x:c r="Q1203" s="9" t="str">
        <x:v>Нет</x:v>
      </x:c>
      <x:c r="R1203" s="9" t="str">
        <x:v>C066</x:v>
      </x:c>
      <x:c r="S1203" s="9" t="str">
        <x:v>C066</x:v>
      </x:c>
      <x:c r="T1203" s="10" t="str">
        <x:v>בית אבי חי</x:v>
      </x:c>
      <x:c r="U1203" s="11" t="str">
        <x:v>https://www.youtube.com/watch?v=Bjc8CZ2D77Q</x:v>
      </x:c>
      <x:c r="V1203" s="16" t="n">
        <x:v>46308</x:v>
      </x:c>
      <x:c r="W1203" s="16" t="n">
        <x:v>46187</x:v>
      </x:c>
      <x:c r="X1203" s="10" t="str">
        <x:v>iw</x:v>
      </x:c>
      <x:c r="Y1203" s="10" t="str">
        <x:v>Автоматическая дорожка HE по метаданным</x:v>
      </x:c>
      <x:c r="Z1203" s="10" t="str">
        <x:v>Разрешено по метаданным</x:v>
      </x:c>
      <x:c r="AA1203" s="10" t="str">
        <x:v>Метаданные видео; воспроизведение и содержание не проверены</x:v>
      </x:c>
      <x:c r="AB1203" s="13" t="n">
        <x:f>IF(AND(ISNUMBER(H1203),ISNUMBER(W1203)),H1203/MAX(1,'Обзор'!$B$4-W1203),"")</x:f>
        <x:v>27.140495867768596</x:v>
      </x:c>
      <x:c r="AC1203" s="17" t="str">
        <x:v>Не решено</x:v>
      </x:c>
      <x:c r="AD1203" s="17" t="str">
        <x:v>Не проверено</x:v>
      </x:c>
      <x:c r="AE1203" s="17" t="str">
        <x:v>Не проверено</x:v>
      </x:c>
      <x:c r="AF1203" s="17" t="str">
        <x:v>Не проверено</x:v>
      </x:c>
      <x:c r="AG1203" s="17" t="str">
        <x:v>Не решено</x:v>
      </x:c>
      <x:c r="AH1203" s="17" t="str">
        <x:v>Не проверено</x:v>
      </x:c>
      <x:c r="AI1203" s="10" t="str">
        <x:f>IF(AC1203="Отклонить","Отклонено",IF(AND(AC1203="Взять",COUNTIFS(AD1203:AH1203,"Да")=5),"Готово","Нужна редактура"))</x:f>
        <x:v>Нужна редактура</x:v>
      </x:c>
      <x:c r="AJ1203" s="17" t="str"/>
      <x:c r="AK1203" s="9" t="str">
        <x:v>https://www.youtube.com/playlist?list=PLv2rnAORLiVAs6o6twugy8cdZb8uNlrAi</x:v>
      </x:c>
      <x:c r="AL1203" s="9" t="n">
        <x:v>5</x:v>
      </x:c>
      <x:c r="AM1203" s="9"/>
      <x:c r="AN1203" s="9" t="n">
        <x:v>0</x:v>
      </x:c>
    </x:row>
    <x:row r="1204" ht="60" customHeight="1">
      <x:c r="A1204" s="9" t="str">
        <x:v>RjMfffUuMd8</x:v>
      </x:c>
      <x:c r="B1204" s="10" t="str">
        <x:v>דיואן יהודי תימן | שיעור 5 - אגדה והיסטוריה | ד"ר תום פוגל</x:v>
      </x:c>
      <x:c r="C1204" s="10" t="str">
        <x:v>Культура общин</x:v>
      </x:c>
      <x:c r="D1204" s="9" t="str">
        <x:v>История</x:v>
      </x:c>
      <x:c r="E1204" s="10" t="str">
        <x:v>История; культура; еврейское наследие; продвинутые</x:v>
      </x:c>
      <x:c r="F1204" s="10" t="str">
        <x:v>B2–C1 (гипотеза)</x:v>
      </x:c>
      <x:c r="G1204" s="12" t="n">
        <x:v>34.8</x:v>
      </x:c>
      <x:c r="H1204" s="14" t="n">
        <x:v>682</x:v>
      </x:c>
      <x:c r="I1204" s="15" t="str">
        <x:v>Округлённый счётчик в списке YouTube</x:v>
      </x:c>
      <x:c r="J1204" s="14" t="n">
        <x:v>682</x:v>
      </x:c>
      <x:c r="K1204" s="14" t="n">
        <x:v>870</x:v>
      </x:c>
      <x:c r="L1204" s="12" t="n">
        <x:f>IF(COUNT(J1204:K1204)=2,IF(K1204=0,"",J1204/K1204),"")</x:f>
        <x:v>0.7839080459770115</x:v>
      </x:c>
      <x:c r="M1204" s="10" t="str">
        <x:v>Тема: דיואן יהודי תימן | שיעור 5 - אגדה והיסטוריה | ד"ר תום פוגל. Йеменская традиция показывает разнообразие еврейской культуры.</x:v>
      </x:c>
      <x:c r="N1204" s="10" t="str">
        <x:v>Отделить разговорный иврит лектора от языка первичного текста.</x:v>
      </x:c>
      <x:c r="O1204" s="10" t="str">
        <x:v>Лекции могут включать арамейский, ладино и цитаты; основной язык проверить</x:v>
      </x:c>
      <x:c r="P1204" s="10" t="str">
        <x:v>Самостоятельное видео</x:v>
      </x:c>
      <x:c r="Q1204" s="9" t="str">
        <x:v>Нет</x:v>
      </x:c>
      <x:c r="R1204" s="9" t="str">
        <x:v>C067</x:v>
      </x:c>
      <x:c r="S1204" s="9" t="str">
        <x:v>C067</x:v>
      </x:c>
      <x:c r="T1204" s="10" t="str">
        <x:v>בית אבי חי</x:v>
      </x:c>
      <x:c r="U1204" s="11" t="str">
        <x:v>https://www.youtube.com/watch?v=RjMfffUuMd8</x:v>
      </x:c>
      <x:c r="V1204" s="16" t="n">
        <x:v>46308</x:v>
      </x:c>
      <x:c r="W1204" s="16"/>
      <x:c r="X1204" s="10" t="str">
        <x:v>Иврит предполагается по заголовку и источнику</x:v>
      </x:c>
      <x:c r="Y1204" s="10" t="str">
        <x:v>Не проверено</x:v>
      </x:c>
      <x:c r="Z1204" s="10" t="str">
        <x:v>Не проверено</x:v>
      </x:c>
      <x:c r="AA1204" s="10" t="str">
        <x:v>Метаданные списка; видео не просмотрено</x:v>
      </x:c>
      <x:c r="AB1204" s="13" t="str">
        <x:f>IF(AND(ISNUMBER(H1204),ISNUMBER(W1204)),H1204/MAX(1,'Обзор'!$B$4-W1204),"")</x:f>
      </x:c>
      <x:c r="AC1204" s="17" t="str">
        <x:v>Не решено</x:v>
      </x:c>
      <x:c r="AD1204" s="17" t="str">
        <x:v>Не проверено</x:v>
      </x:c>
      <x:c r="AE1204" s="17" t="str">
        <x:v>Не проверено</x:v>
      </x:c>
      <x:c r="AF1204" s="17" t="str">
        <x:v>Не проверено</x:v>
      </x:c>
      <x:c r="AG1204" s="17" t="str">
        <x:v>Не решено</x:v>
      </x:c>
      <x:c r="AH1204" s="17" t="str">
        <x:v>Не проверено</x:v>
      </x:c>
      <x:c r="AI1204" s="10" t="str">
        <x:f>IF(AC1204="Отклонить","Отклонено",IF(AND(AC1204="Взять",COUNTIFS(AD1204:AH1204,"Да")=5),"Готово","Нужна редактура"))</x:f>
        <x:v>Нужна редактура</x:v>
      </x:c>
      <x:c r="AJ1204" s="17" t="str"/>
      <x:c r="AK1204" s="9" t="str">
        <x:v>https://www.youtube.com/playlist?list=PLv2rnAORLiVAkrsVe-dCgL4SAf5KlRXTI</x:v>
      </x:c>
      <x:c r="AL1204" s="9" t="n">
        <x:v>1</x:v>
      </x:c>
      <x:c r="AM1204" s="9"/>
      <x:c r="AN1204" s="9"/>
    </x:row>
    <x:row r="1205" ht="60" customHeight="1">
      <x:c r="A1205" s="9" t="str">
        <x:v>oNP4FvMkMoY</x:v>
      </x:c>
      <x:c r="B1205" s="10" t="str">
        <x:v>דיואן יהודי תימן | שיעור 4 - פרשנות וייצוג | ד"ר תום פוגל</x:v>
      </x:c>
      <x:c r="C1205" s="10" t="str">
        <x:v>Культура общин</x:v>
      </x:c>
      <x:c r="D1205" s="9" t="str">
        <x:v>История</x:v>
      </x:c>
      <x:c r="E1205" s="10" t="str">
        <x:v>История; культура; еврейское наследие; продвинутые</x:v>
      </x:c>
      <x:c r="F1205" s="10" t="str">
        <x:v>B2–C1 (гипотеза)</x:v>
      </x:c>
      <x:c r="G1205" s="12" t="n">
        <x:v>36.1</x:v>
      </x:c>
      <x:c r="H1205" s="14" t="n">
        <x:v>522</x:v>
      </x:c>
      <x:c r="I1205" s="15" t="str">
        <x:v>Округлённый счётчик в списке YouTube</x:v>
      </x:c>
      <x:c r="J1205" s="14" t="n">
        <x:v>522</x:v>
      </x:c>
      <x:c r="K1205" s="14" t="n">
        <x:v>870</x:v>
      </x:c>
      <x:c r="L1205" s="12" t="n">
        <x:f>IF(COUNT(J1205:K1205)=2,IF(K1205=0,"",J1205/K1205),"")</x:f>
        <x:v>0.6</x:v>
      </x:c>
      <x:c r="M1205" s="10" t="str">
        <x:v>Тема: דיואן יהודי תימן | שיעור 4 - פרשנות וייצוג | ד"ר תום פוגל. Йеменская традиция показывает разнообразие еврейской культуры.</x:v>
      </x:c>
      <x:c r="N1205" s="10" t="str">
        <x:v>Отделить разговорный иврит лектора от языка первичного текста.</x:v>
      </x:c>
      <x:c r="O1205" s="10" t="str">
        <x:v>Лекции могут включать арамейский, ладино и цитаты; основной язык проверить</x:v>
      </x:c>
      <x:c r="P1205" s="10" t="str">
        <x:v>Самостоятельное видео</x:v>
      </x:c>
      <x:c r="Q1205" s="9" t="str">
        <x:v>Нет</x:v>
      </x:c>
      <x:c r="R1205" s="9" t="str">
        <x:v>C067</x:v>
      </x:c>
      <x:c r="S1205" s="9" t="str">
        <x:v>C067</x:v>
      </x:c>
      <x:c r="T1205" s="10" t="str">
        <x:v>בית אבי חי</x:v>
      </x:c>
      <x:c r="U1205" s="11" t="str">
        <x:v>https://www.youtube.com/watch?v=oNP4FvMkMoY</x:v>
      </x:c>
      <x:c r="V1205" s="16" t="n">
        <x:v>46308</x:v>
      </x:c>
      <x:c r="W1205" s="16"/>
      <x:c r="X1205" s="10" t="str">
        <x:v>Иврит предполагается по заголовку и источнику</x:v>
      </x:c>
      <x:c r="Y1205" s="10" t="str">
        <x:v>Не проверено</x:v>
      </x:c>
      <x:c r="Z1205" s="10" t="str">
        <x:v>Не проверено</x:v>
      </x:c>
      <x:c r="AA1205" s="10" t="str">
        <x:v>Метаданные списка; видео не просмотрено</x:v>
      </x:c>
      <x:c r="AB1205" s="13" t="str">
        <x:f>IF(AND(ISNUMBER(H1205),ISNUMBER(W1205)),H1205/MAX(1,'Обзор'!$B$4-W1205),"")</x:f>
      </x:c>
      <x:c r="AC1205" s="17" t="str">
        <x:v>Не решено</x:v>
      </x:c>
      <x:c r="AD1205" s="17" t="str">
        <x:v>Не проверено</x:v>
      </x:c>
      <x:c r="AE1205" s="17" t="str">
        <x:v>Не проверено</x:v>
      </x:c>
      <x:c r="AF1205" s="17" t="str">
        <x:v>Не проверено</x:v>
      </x:c>
      <x:c r="AG1205" s="17" t="str">
        <x:v>Не решено</x:v>
      </x:c>
      <x:c r="AH1205" s="17" t="str">
        <x:v>Не проверено</x:v>
      </x:c>
      <x:c r="AI1205" s="10" t="str">
        <x:f>IF(AC1205="Отклонить","Отклонено",IF(AND(AC1205="Взять",COUNTIFS(AD1205:AH1205,"Да")=5),"Готово","Нужна редактура"))</x:f>
        <x:v>Нужна редактура</x:v>
      </x:c>
      <x:c r="AJ1205" s="17" t="str"/>
      <x:c r="AK1205" s="9" t="str">
        <x:v>https://www.youtube.com/playlist?list=PLv2rnAORLiVAkrsVe-dCgL4SAf5KlRXTI</x:v>
      </x:c>
      <x:c r="AL1205" s="9" t="n">
        <x:v>2</x:v>
      </x:c>
      <x:c r="AM1205" s="9"/>
      <x:c r="AN1205" s="9"/>
    </x:row>
    <x:row r="1206" ht="60" customHeight="1">
      <x:c r="A1206" s="9" t="str">
        <x:v>c0TLpEoLAQU</x:v>
      </x:c>
      <x:c r="B1206" s="10" t="str">
        <x:v>דיואן יהודי תימן | שיעור 3 - ביצוע | ד"ר תום פוגל</x:v>
      </x:c>
      <x:c r="C1206" s="10" t="str">
        <x:v>Культура общин</x:v>
      </x:c>
      <x:c r="D1206" s="9" t="str">
        <x:v>История</x:v>
      </x:c>
      <x:c r="E1206" s="10" t="str">
        <x:v>История; культура; еврейское наследие; продвинутые</x:v>
      </x:c>
      <x:c r="F1206" s="10" t="str">
        <x:v>B2–C1 (гипотеза)</x:v>
      </x:c>
      <x:c r="G1206" s="12" t="n">
        <x:v>35.1</x:v>
      </x:c>
      <x:c r="H1206" s="14" t="n">
        <x:v>870</x:v>
      </x:c>
      <x:c r="I1206" s="15" t="str">
        <x:v>Точный счётчик метаданных видео</x:v>
      </x:c>
      <x:c r="J1206" s="14" t="n">
        <x:v>870</x:v>
      </x:c>
      <x:c r="K1206" s="14" t="n">
        <x:v>870</x:v>
      </x:c>
      <x:c r="L1206" s="12" t="n">
        <x:f>IF(COUNT(J1206:K1206)=2,IF(K1206=0,"",J1206/K1206),"")</x:f>
        <x:v>1</x:v>
      </x:c>
      <x:c r="M1206" s="10" t="str">
        <x:v>Тема: דיואן יהודי תימן | שיעור 3 - ביצוע | ד"ר תום פוגל. Йеменская традиция показывает разнообразие еврейской культуры.</x:v>
      </x:c>
      <x:c r="N1206" s="10" t="str">
        <x:v>Отделить разговорный иврит лектора от языка первичного текста.</x:v>
      </x:c>
      <x:c r="O1206" s="10" t="str">
        <x:v>Лекции могут включать арамейский, ладино и цитаты; основной язык проверить</x:v>
      </x:c>
      <x:c r="P1206" s="10" t="str">
        <x:v>Самостоятельное видео</x:v>
      </x:c>
      <x:c r="Q1206" s="9" t="str">
        <x:v>Нет</x:v>
      </x:c>
      <x:c r="R1206" s="9" t="str">
        <x:v>C067</x:v>
      </x:c>
      <x:c r="S1206" s="9" t="str">
        <x:v>C067</x:v>
      </x:c>
      <x:c r="T1206" s="10" t="str">
        <x:v>בית אבי חי</x:v>
      </x:c>
      <x:c r="U1206" s="11" t="str">
        <x:v>https://www.youtube.com/watch?v=c0TLpEoLAQU</x:v>
      </x:c>
      <x:c r="V1206" s="16" t="n">
        <x:v>46308</x:v>
      </x:c>
      <x:c r="W1206" s="16" t="n">
        <x:v>45692</x:v>
      </x:c>
      <x:c r="X1206" s="10" t="str">
        <x:v>Иврит предполагается по заголовку и источнику</x:v>
      </x:c>
      <x:c r="Y1206" s="10" t="str">
        <x:v>Автоматическая дорожка HE по метаданным</x:v>
      </x:c>
      <x:c r="Z1206" s="10" t="str">
        <x:v>Разрешено по метаданным</x:v>
      </x:c>
      <x:c r="AA1206" s="10" t="str">
        <x:v>Метаданные видео; воспроизведение и содержание не проверены</x:v>
      </x:c>
      <x:c r="AB1206" s="13" t="n">
        <x:f>IF(AND(ISNUMBER(H1206),ISNUMBER(W1206)),H1206/MAX(1,'Обзор'!$B$4-W1206),"")</x:f>
        <x:v>1.4123376623376624</x:v>
      </x:c>
      <x:c r="AC1206" s="17" t="str">
        <x:v>Не решено</x:v>
      </x:c>
      <x:c r="AD1206" s="17" t="str">
        <x:v>Не проверено</x:v>
      </x:c>
      <x:c r="AE1206" s="17" t="str">
        <x:v>Не проверено</x:v>
      </x:c>
      <x:c r="AF1206" s="17" t="str">
        <x:v>Не проверено</x:v>
      </x:c>
      <x:c r="AG1206" s="17" t="str">
        <x:v>Не решено</x:v>
      </x:c>
      <x:c r="AH1206" s="17" t="str">
        <x:v>Не проверено</x:v>
      </x:c>
      <x:c r="AI1206" s="10" t="str">
        <x:f>IF(AC1206="Отклонить","Отклонено",IF(AND(AC1206="Взять",COUNTIFS(AD1206:AH1206,"Да")=5),"Готово","Нужна редактура"))</x:f>
        <x:v>Нужна редактура</x:v>
      </x:c>
      <x:c r="AJ1206" s="17" t="str"/>
      <x:c r="AK1206" s="9" t="str">
        <x:v>https://www.youtube.com/playlist?list=PLv2rnAORLiVAkrsVe-dCgL4SAf5KlRXTI</x:v>
      </x:c>
      <x:c r="AL1206" s="9" t="n">
        <x:v>3</x:v>
      </x:c>
      <x:c r="AM1206" s="9"/>
      <x:c r="AN1206" s="9" t="n">
        <x:v>0</x:v>
      </x:c>
    </x:row>
    <x:row r="1207" ht="60" customHeight="1">
      <x:c r="A1207" s="9" t="str">
        <x:v>YZEzPq6-3Sc</x:v>
      </x:c>
      <x:c r="B1207" s="10" t="str">
        <x:v>דיואן יהודי תימן | שיעור 2 - טקסט | ד"ר תום פוגל</x:v>
      </x:c>
      <x:c r="C1207" s="10" t="str">
        <x:v>Культура общин</x:v>
      </x:c>
      <x:c r="D1207" s="9" t="str">
        <x:v>История</x:v>
      </x:c>
      <x:c r="E1207" s="10" t="str">
        <x:v>История; культура; еврейское наследие; продвинутые</x:v>
      </x:c>
      <x:c r="F1207" s="10" t="str">
        <x:v>B2–C1 (гипотеза)</x:v>
      </x:c>
      <x:c r="G1207" s="12" t="n">
        <x:v>37.4</x:v>
      </x:c>
      <x:c r="H1207" s="14" t="n">
        <x:v>1047</x:v>
      </x:c>
      <x:c r="I1207" s="15" t="str">
        <x:v>Точный счётчик метаданных видео</x:v>
      </x:c>
      <x:c r="J1207" s="14" t="n">
        <x:v>1000</x:v>
      </x:c>
      <x:c r="K1207" s="14" t="n">
        <x:v>870</x:v>
      </x:c>
      <x:c r="L1207" s="12" t="n">
        <x:f>IF(COUNT(J1207:K1207)=2,IF(K1207=0,"",J1207/K1207),"")</x:f>
        <x:v>1.1494252873563218</x:v>
      </x:c>
      <x:c r="M1207" s="10" t="str">
        <x:v>Тема: דיואן יהודי תימן | שיעור 2 - טקסט | ד"ר תום פוגל. Йеменская традиция показывает разнообразие еврейской культуры.</x:v>
      </x:c>
      <x:c r="N1207" s="10" t="str">
        <x:v>Отделить разговорный иврит лектора от языка первичного текста.</x:v>
      </x:c>
      <x:c r="O1207" s="10" t="str">
        <x:v>Лекции могут включать арамейский, ладино и цитаты; основной язык проверить</x:v>
      </x:c>
      <x:c r="P1207" s="10" t="str">
        <x:v>Самостоятельное видео</x:v>
      </x:c>
      <x:c r="Q1207" s="9" t="str">
        <x:v>Нет</x:v>
      </x:c>
      <x:c r="R1207" s="9" t="str">
        <x:v>C067</x:v>
      </x:c>
      <x:c r="S1207" s="9" t="str">
        <x:v>C067</x:v>
      </x:c>
      <x:c r="T1207" s="10" t="str">
        <x:v>בית אבי חי</x:v>
      </x:c>
      <x:c r="U1207" s="11" t="str">
        <x:v>https://www.youtube.com/watch?v=YZEzPq6-3Sc</x:v>
      </x:c>
      <x:c r="V1207" s="16" t="n">
        <x:v>46308</x:v>
      </x:c>
      <x:c r="W1207" s="16" t="n">
        <x:v>45691</x:v>
      </x:c>
      <x:c r="X1207" s="10" t="str">
        <x:v>Иврит предполагается по заголовку и источнику</x:v>
      </x:c>
      <x:c r="Y1207" s="10" t="str">
        <x:v>Автоматическая дорожка HE по метаданным</x:v>
      </x:c>
      <x:c r="Z1207" s="10" t="str">
        <x:v>Разрешено по метаданным</x:v>
      </x:c>
      <x:c r="AA1207" s="10" t="str">
        <x:v>Метаданные видео; воспроизведение и содержание не проверены</x:v>
      </x:c>
      <x:c r="AB1207" s="13" t="n">
        <x:f>IF(AND(ISNUMBER(H1207),ISNUMBER(W1207)),H1207/MAX(1,'Обзор'!$B$4-W1207),"")</x:f>
        <x:v>1.6969205834683954</x:v>
      </x:c>
      <x:c r="AC1207" s="17" t="str">
        <x:v>Не решено</x:v>
      </x:c>
      <x:c r="AD1207" s="17" t="str">
        <x:v>Не проверено</x:v>
      </x:c>
      <x:c r="AE1207" s="17" t="str">
        <x:v>Не проверено</x:v>
      </x:c>
      <x:c r="AF1207" s="17" t="str">
        <x:v>Не проверено</x:v>
      </x:c>
      <x:c r="AG1207" s="17" t="str">
        <x:v>Не решено</x:v>
      </x:c>
      <x:c r="AH1207" s="17" t="str">
        <x:v>Не проверено</x:v>
      </x:c>
      <x:c r="AI1207" s="10" t="str">
        <x:f>IF(AC1207="Отклонить","Отклонено",IF(AND(AC1207="Взять",COUNTIFS(AD1207:AH1207,"Да")=5),"Готово","Нужна редактура"))</x:f>
        <x:v>Нужна редактура</x:v>
      </x:c>
      <x:c r="AJ1207" s="17" t="str"/>
      <x:c r="AK1207" s="9" t="str">
        <x:v>https://www.youtube.com/playlist?list=PLv2rnAORLiVAkrsVe-dCgL4SAf5KlRXTI</x:v>
      </x:c>
      <x:c r="AL1207" s="9" t="n">
        <x:v>4</x:v>
      </x:c>
      <x:c r="AM1207" s="9"/>
      <x:c r="AN1207" s="9" t="n">
        <x:v>0</x:v>
      </x:c>
    </x:row>
    <x:row r="1208" ht="60" customHeight="1">
      <x:c r="A1208" s="9" t="str">
        <x:v>W_h-xV7Xabs</x:v>
      </x:c>
      <x:c r="B1208" s="10" t="str">
        <x:v>דיואן יהודי תימן | שיעור 1 - היסטוריה | ד"ר תום פוגל</x:v>
      </x:c>
      <x:c r="C1208" s="10" t="str">
        <x:v>Культура общин</x:v>
      </x:c>
      <x:c r="D1208" s="9" t="str">
        <x:v>История</x:v>
      </x:c>
      <x:c r="E1208" s="10" t="str">
        <x:v>История; культура; еврейское наследие; продвинутые</x:v>
      </x:c>
      <x:c r="F1208" s="10" t="str">
        <x:v>B2–C1 (гипотеза)</x:v>
      </x:c>
      <x:c r="G1208" s="12" t="n">
        <x:v>39.9</x:v>
      </x:c>
      <x:c r="H1208" s="14" t="n">
        <x:v>3188</x:v>
      </x:c>
      <x:c r="I1208" s="15" t="str">
        <x:v>Точный счётчик метаданных видео</x:v>
      </x:c>
      <x:c r="J1208" s="14" t="n">
        <x:v>3100</x:v>
      </x:c>
      <x:c r="K1208" s="14" t="n">
        <x:v>870</x:v>
      </x:c>
      <x:c r="L1208" s="12" t="n">
        <x:f>IF(COUNT(J1208:K1208)=2,IF(K1208=0,"",J1208/K1208),"")</x:f>
        <x:v>3.5632183908045976</x:v>
      </x:c>
      <x:c r="M1208" s="10" t="str">
        <x:v>Тема: דיואן יהודי תימן | שיעור 1 - היסטוריה | ד"ר תום פוגל. Просмотры в списке выше медианы выборки этого цикла в 3.56 раза. Йеменская традиция показывает разнообразие еврейской культуры.</x:v>
      </x:c>
      <x:c r="N1208" s="10" t="str">
        <x:v>Отделить разговорный иврит лектора от языка первичного текста.</x:v>
      </x:c>
      <x:c r="O1208" s="10" t="str">
        <x:v>Лекции могут включать арамейский, ладино и цитаты; основной язык проверить</x:v>
      </x:c>
      <x:c r="P1208" s="10" t="str">
        <x:v>Самостоятельное видео</x:v>
      </x:c>
      <x:c r="Q1208" s="9" t="str">
        <x:v>Нет</x:v>
      </x:c>
      <x:c r="R1208" s="9" t="str">
        <x:v>C067</x:v>
      </x:c>
      <x:c r="S1208" s="9" t="str">
        <x:v>C067</x:v>
      </x:c>
      <x:c r="T1208" s="10" t="str">
        <x:v>בית אבי חי</x:v>
      </x:c>
      <x:c r="U1208" s="11" t="str">
        <x:v>https://www.youtube.com/watch?v=W_h-xV7Xabs</x:v>
      </x:c>
      <x:c r="V1208" s="16" t="n">
        <x:v>46308</x:v>
      </x:c>
      <x:c r="W1208" s="16" t="n">
        <x:v>45690</x:v>
      </x:c>
      <x:c r="X1208" s="10" t="str">
        <x:v>Иврит предполагается по заголовку и источнику</x:v>
      </x:c>
      <x:c r="Y1208" s="10" t="str">
        <x:v>Автоматическая дорожка HE по метаданным</x:v>
      </x:c>
      <x:c r="Z1208" s="10" t="str">
        <x:v>Разрешено по метаданным</x:v>
      </x:c>
      <x:c r="AA1208" s="10" t="str">
        <x:v>Метаданные видео; воспроизведение и содержание не проверены</x:v>
      </x:c>
      <x:c r="AB1208" s="13" t="n">
        <x:f>IF(AND(ISNUMBER(H1208),ISNUMBER(W1208)),H1208/MAX(1,'Обзор'!$B$4-W1208),"")</x:f>
        <x:v>5.158576051779935</x:v>
      </x:c>
      <x:c r="AC1208" s="17" t="str">
        <x:v>Не решено</x:v>
      </x:c>
      <x:c r="AD1208" s="17" t="str">
        <x:v>Не проверено</x:v>
      </x:c>
      <x:c r="AE1208" s="17" t="str">
        <x:v>Не проверено</x:v>
      </x:c>
      <x:c r="AF1208" s="17" t="str">
        <x:v>Не проверено</x:v>
      </x:c>
      <x:c r="AG1208" s="17" t="str">
        <x:v>Не решено</x:v>
      </x:c>
      <x:c r="AH1208" s="17" t="str">
        <x:v>Не проверено</x:v>
      </x:c>
      <x:c r="AI1208" s="10" t="str">
        <x:f>IF(AC1208="Отклонить","Отклонено",IF(AND(AC1208="Взять",COUNTIFS(AD1208:AH1208,"Да")=5),"Готово","Нужна редактура"))</x:f>
        <x:v>Нужна редактура</x:v>
      </x:c>
      <x:c r="AJ1208" s="17" t="str"/>
      <x:c r="AK1208" s="9" t="str">
        <x:v>https://www.youtube.com/playlist?list=PLv2rnAORLiVAkrsVe-dCgL4SAf5KlRXTI</x:v>
      </x:c>
      <x:c r="AL1208" s="9" t="n">
        <x:v>5</x:v>
      </x:c>
      <x:c r="AM1208" s="9"/>
      <x:c r="AN1208" s="9" t="n">
        <x:v>0</x:v>
      </x:c>
    </x:row>
    <x:row r="1209" ht="60" customHeight="1">
      <x:c r="A1209" s="9" t="str">
        <x:v>7-rMDzA5PBI</x:v>
      </x:c>
      <x:c r="B1209" s="10" t="str">
        <x:v>ספרות הלאדינו | שיעור 5 - הרומאנסירו השבתאי | ד"ר אליעזר פאפו</x:v>
      </x:c>
      <x:c r="C1209" s="10" t="str">
        <x:v>Культура общин</x:v>
      </x:c>
      <x:c r="D1209" s="9" t="str">
        <x:v>История</x:v>
      </x:c>
      <x:c r="E1209" s="10" t="str">
        <x:v>История; культура; еврейское наследие; продвинутые</x:v>
      </x:c>
      <x:c r="F1209" s="10" t="str">
        <x:v>B2–C1 (гипотеза)</x:v>
      </x:c>
      <x:c r="G1209" s="12" t="n">
        <x:v>47</x:v>
      </x:c>
      <x:c r="H1209" s="14" t="n">
        <x:v>569</x:v>
      </x:c>
      <x:c r="I1209" s="15" t="str">
        <x:v>Округлённый счётчик в списке YouTube</x:v>
      </x:c>
      <x:c r="J1209" s="14" t="n">
        <x:v>569</x:v>
      </x:c>
      <x:c r="K1209" s="14" t="n">
        <x:v>695</x:v>
      </x:c>
      <x:c r="L1209" s="12" t="n">
        <x:f>IF(COUNT(J1209:K1209)=2,IF(K1209=0,"",J1209/K1209),"")</x:f>
        <x:v>0.818705035971223</x:v>
      </x:c>
      <x:c r="M1209" s="10" t="str">
        <x:v>Тема: ספרות הלאדינו | שיעור 5 - הרומאנסירו השבתאי | ד"ר אליעזר פאפו. Ладино вводит сефардскую культурную историю через лекцию на иврите.</x:v>
      </x:c>
      <x:c r="N1209" s="10" t="str">
        <x:v>Составить словарь культурных терминов и пересказать на современном иврите.</x:v>
      </x:c>
      <x:c r="O1209" s="10" t="str">
        <x:v>Лекции могут включать арамейский, ладино и цитаты; основной язык проверить</x:v>
      </x:c>
      <x:c r="P1209" s="10" t="str">
        <x:v>Самостоятельное видео</x:v>
      </x:c>
      <x:c r="Q1209" s="9" t="str">
        <x:v>Нет</x:v>
      </x:c>
      <x:c r="R1209" s="9" t="str">
        <x:v>C068</x:v>
      </x:c>
      <x:c r="S1209" s="9" t="str">
        <x:v>C068</x:v>
      </x:c>
      <x:c r="T1209" s="10" t="str">
        <x:v>בית אבי חי</x:v>
      </x:c>
      <x:c r="U1209" s="11" t="str">
        <x:v>https://www.youtube.com/watch?v=7-rMDzA5PBI</x:v>
      </x:c>
      <x:c r="V1209" s="16" t="n">
        <x:v>46308</x:v>
      </x:c>
      <x:c r="W1209" s="16"/>
      <x:c r="X1209" s="10" t="str">
        <x:v>Иврит предполагается по заголовку и источнику</x:v>
      </x:c>
      <x:c r="Y1209" s="10" t="str">
        <x:v>Не проверено</x:v>
      </x:c>
      <x:c r="Z1209" s="10" t="str">
        <x:v>Не проверено</x:v>
      </x:c>
      <x:c r="AA1209" s="10" t="str">
        <x:v>Метаданные списка; видео не просмотрено</x:v>
      </x:c>
      <x:c r="AB1209" s="13" t="str">
        <x:f>IF(AND(ISNUMBER(H1209),ISNUMBER(W1209)),H1209/MAX(1,'Обзор'!$B$4-W1209),"")</x:f>
      </x:c>
      <x:c r="AC1209" s="17" t="str">
        <x:v>Не решено</x:v>
      </x:c>
      <x:c r="AD1209" s="17" t="str">
        <x:v>Не проверено</x:v>
      </x:c>
      <x:c r="AE1209" s="17" t="str">
        <x:v>Не проверено</x:v>
      </x:c>
      <x:c r="AF1209" s="17" t="str">
        <x:v>Не проверено</x:v>
      </x:c>
      <x:c r="AG1209" s="17" t="str">
        <x:v>Не решено</x:v>
      </x:c>
      <x:c r="AH1209" s="17" t="str">
        <x:v>Не проверено</x:v>
      </x:c>
      <x:c r="AI1209" s="10" t="str">
        <x:f>IF(AC1209="Отклонить","Отклонено",IF(AND(AC1209="Взять",COUNTIFS(AD1209:AH1209,"Да")=5),"Готово","Нужна редактура"))</x:f>
        <x:v>Нужна редактура</x:v>
      </x:c>
      <x:c r="AJ1209" s="17" t="str"/>
      <x:c r="AK1209" s="9" t="str">
        <x:v>https://www.youtube.com/playlist?list=PLv2rnAORLiVCrzlov-Nq33yzmn31v_n-g</x:v>
      </x:c>
      <x:c r="AL1209" s="9" t="n">
        <x:v>1</x:v>
      </x:c>
      <x:c r="AM1209" s="9"/>
      <x:c r="AN1209" s="9"/>
    </x:row>
    <x:row r="1210" ht="60" customHeight="1">
      <x:c r="A1210" s="9" t="str">
        <x:v>ODa9egFgtlg</x:v>
      </x:c>
      <x:c r="B1210" s="10" t="str">
        <x:v>ספרות הלאדינו | שיעור 4 - ספרד הוירטואלית | ד"ר אליעזר פאפו</x:v>
      </x:c>
      <x:c r="C1210" s="10" t="str">
        <x:v>Культура общин</x:v>
      </x:c>
      <x:c r="D1210" s="9" t="str">
        <x:v>История</x:v>
      </x:c>
      <x:c r="E1210" s="10" t="str">
        <x:v>История; культура; еврейское наследие; продвинутые</x:v>
      </x:c>
      <x:c r="F1210" s="10" t="str">
        <x:v>B2–C1 (гипотеза)</x:v>
      </x:c>
      <x:c r="G1210" s="12" t="n">
        <x:v>43.8</x:v>
      </x:c>
      <x:c r="H1210" s="14" t="n">
        <x:v>543</x:v>
      </x:c>
      <x:c r="I1210" s="15" t="str">
        <x:v>Округлённый счётчик в списке YouTube</x:v>
      </x:c>
      <x:c r="J1210" s="14" t="n">
        <x:v>543</x:v>
      </x:c>
      <x:c r="K1210" s="14" t="n">
        <x:v>695</x:v>
      </x:c>
      <x:c r="L1210" s="12" t="n">
        <x:f>IF(COUNT(J1210:K1210)=2,IF(K1210=0,"",J1210/K1210),"")</x:f>
        <x:v>0.781294964028777</x:v>
      </x:c>
      <x:c r="M1210" s="10" t="str">
        <x:v>Тема: ספרות הלאדינו | שיעור 4 - ספרד הוירטואלית | ד"ר אליעזר פאפו. Ладино вводит сефардскую культурную историю через лекцию на иврите.</x:v>
      </x:c>
      <x:c r="N1210" s="10" t="str">
        <x:v>Составить словарь культурных терминов и пересказать на современном иврите.</x:v>
      </x:c>
      <x:c r="O1210" s="10" t="str">
        <x:v>Лекции могут включать арамейский, ладино и цитаты; основной язык проверить</x:v>
      </x:c>
      <x:c r="P1210" s="10" t="str">
        <x:v>Самостоятельное видео</x:v>
      </x:c>
      <x:c r="Q1210" s="9" t="str">
        <x:v>Нет</x:v>
      </x:c>
      <x:c r="R1210" s="9" t="str">
        <x:v>C068</x:v>
      </x:c>
      <x:c r="S1210" s="9" t="str">
        <x:v>C068</x:v>
      </x:c>
      <x:c r="T1210" s="10" t="str">
        <x:v>בית אבי חי</x:v>
      </x:c>
      <x:c r="U1210" s="11" t="str">
        <x:v>https://www.youtube.com/watch?v=ODa9egFgtlg</x:v>
      </x:c>
      <x:c r="V1210" s="16" t="n">
        <x:v>46308</x:v>
      </x:c>
      <x:c r="W1210" s="16"/>
      <x:c r="X1210" s="10" t="str">
        <x:v>Иврит предполагается по заголовку и источнику</x:v>
      </x:c>
      <x:c r="Y1210" s="10" t="str">
        <x:v>Не проверено</x:v>
      </x:c>
      <x:c r="Z1210" s="10" t="str">
        <x:v>Не проверено</x:v>
      </x:c>
      <x:c r="AA1210" s="10" t="str">
        <x:v>Метаданные списка; видео не просмотрено</x:v>
      </x:c>
      <x:c r="AB1210" s="13" t="str">
        <x:f>IF(AND(ISNUMBER(H1210),ISNUMBER(W1210)),H1210/MAX(1,'Обзор'!$B$4-W1210),"")</x:f>
      </x:c>
      <x:c r="AC1210" s="17" t="str">
        <x:v>Не решено</x:v>
      </x:c>
      <x:c r="AD1210" s="17" t="str">
        <x:v>Не проверено</x:v>
      </x:c>
      <x:c r="AE1210" s="17" t="str">
        <x:v>Не проверено</x:v>
      </x:c>
      <x:c r="AF1210" s="17" t="str">
        <x:v>Не проверено</x:v>
      </x:c>
      <x:c r="AG1210" s="17" t="str">
        <x:v>Не решено</x:v>
      </x:c>
      <x:c r="AH1210" s="17" t="str">
        <x:v>Не проверено</x:v>
      </x:c>
      <x:c r="AI1210" s="10" t="str">
        <x:f>IF(AC1210="Отклонить","Отклонено",IF(AND(AC1210="Взять",COUNTIFS(AD1210:AH1210,"Да")=5),"Готово","Нужна редактура"))</x:f>
        <x:v>Нужна редактура</x:v>
      </x:c>
      <x:c r="AJ1210" s="17" t="str"/>
      <x:c r="AK1210" s="9" t="str">
        <x:v>https://www.youtube.com/playlist?list=PLv2rnAORLiVCrzlov-Nq33yzmn31v_n-g</x:v>
      </x:c>
      <x:c r="AL1210" s="9" t="n">
        <x:v>2</x:v>
      </x:c>
      <x:c r="AM1210" s="9"/>
      <x:c r="AN1210" s="9"/>
    </x:row>
    <x:row r="1211" ht="60" customHeight="1">
      <x:c r="A1211" s="9" t="str">
        <x:v>i3iK4fCJBhw</x:v>
      </x:c>
      <x:c r="B1211" s="10" t="str">
        <x:v>ספרות הלאדינו | שיעור 3 - ילקוט מעם לועז | ד"ר אליעזר פאפו</x:v>
      </x:c>
      <x:c r="C1211" s="10" t="str">
        <x:v>Культура общин</x:v>
      </x:c>
      <x:c r="D1211" s="9" t="str">
        <x:v>История</x:v>
      </x:c>
      <x:c r="E1211" s="10" t="str">
        <x:v>История; культура; еврейское наследие; продвинутые</x:v>
      </x:c>
      <x:c r="F1211" s="10" t="str">
        <x:v>B2–C1 (гипотеза)</x:v>
      </x:c>
      <x:c r="G1211" s="12" t="n">
        <x:v>37</x:v>
      </x:c>
      <x:c r="H1211" s="14" t="n">
        <x:v>695</x:v>
      </x:c>
      <x:c r="I1211" s="15" t="str">
        <x:v>Точный счётчик метаданных видео</x:v>
      </x:c>
      <x:c r="J1211" s="14" t="n">
        <x:v>695</x:v>
      </x:c>
      <x:c r="K1211" s="14" t="n">
        <x:v>695</x:v>
      </x:c>
      <x:c r="L1211" s="12" t="n">
        <x:f>IF(COUNT(J1211:K1211)=2,IF(K1211=0,"",J1211/K1211),"")</x:f>
        <x:v>1</x:v>
      </x:c>
      <x:c r="M1211" s="10" t="str">
        <x:v>Тема: ספרות הלאדינו | שיעור 3 - ילקוט מעם לועז | ד"ר אליעזר פאפו. Ладино вводит сефардскую культурную историю через лекцию на иврите.</x:v>
      </x:c>
      <x:c r="N1211" s="10" t="str">
        <x:v>Составить словарь культурных терминов и пересказать на современном иврите.</x:v>
      </x:c>
      <x:c r="O1211" s="10" t="str">
        <x:v>Лекции могут включать арамейский, ладино и цитаты; основной язык проверить</x:v>
      </x:c>
      <x:c r="P1211" s="10" t="str">
        <x:v>Самостоятельное видео</x:v>
      </x:c>
      <x:c r="Q1211" s="9" t="str">
        <x:v>Нет</x:v>
      </x:c>
      <x:c r="R1211" s="9" t="str">
        <x:v>C068</x:v>
      </x:c>
      <x:c r="S1211" s="9" t="str">
        <x:v>C068</x:v>
      </x:c>
      <x:c r="T1211" s="10" t="str">
        <x:v>בית אבי חי</x:v>
      </x:c>
      <x:c r="U1211" s="11" t="str">
        <x:v>https://www.youtube.com/watch?v=i3iK4fCJBhw</x:v>
      </x:c>
      <x:c r="V1211" s="16" t="n">
        <x:v>46308</x:v>
      </x:c>
      <x:c r="W1211" s="16" t="n">
        <x:v>45783</x:v>
      </x:c>
      <x:c r="X1211" s="10" t="str">
        <x:v>Иврит предполагается по заголовку и источнику</x:v>
      </x:c>
      <x:c r="Y1211" s="10" t="str">
        <x:v>Автоматическая дорожка HE по метаданным</x:v>
      </x:c>
      <x:c r="Z1211" s="10" t="str">
        <x:v>Разрешено по метаданным</x:v>
      </x:c>
      <x:c r="AA1211" s="10" t="str">
        <x:v>Метаданные видео; воспроизведение и содержание не проверены</x:v>
      </x:c>
      <x:c r="AB1211" s="13" t="n">
        <x:f>IF(AND(ISNUMBER(H1211),ISNUMBER(W1211)),H1211/MAX(1,'Обзор'!$B$4-W1211),"")</x:f>
        <x:v>1.3238095238095238</x:v>
      </x:c>
      <x:c r="AC1211" s="17" t="str">
        <x:v>Не решено</x:v>
      </x:c>
      <x:c r="AD1211" s="17" t="str">
        <x:v>Не проверено</x:v>
      </x:c>
      <x:c r="AE1211" s="17" t="str">
        <x:v>Не проверено</x:v>
      </x:c>
      <x:c r="AF1211" s="17" t="str">
        <x:v>Не проверено</x:v>
      </x:c>
      <x:c r="AG1211" s="17" t="str">
        <x:v>Не решено</x:v>
      </x:c>
      <x:c r="AH1211" s="17" t="str">
        <x:v>Не проверено</x:v>
      </x:c>
      <x:c r="AI1211" s="10" t="str">
        <x:f>IF(AC1211="Отклонить","Отклонено",IF(AND(AC1211="Взять",COUNTIFS(AD1211:AH1211,"Да")=5),"Готово","Нужна редактура"))</x:f>
        <x:v>Нужна редактура</x:v>
      </x:c>
      <x:c r="AJ1211" s="17" t="str"/>
      <x:c r="AK1211" s="9" t="str">
        <x:v>https://www.youtube.com/playlist?list=PLv2rnAORLiVCrzlov-Nq33yzmn31v_n-g</x:v>
      </x:c>
      <x:c r="AL1211" s="9" t="n">
        <x:v>3</x:v>
      </x:c>
      <x:c r="AM1211" s="9"/>
      <x:c r="AN1211" s="9" t="n">
        <x:v>0</x:v>
      </x:c>
    </x:row>
    <x:row r="1212" ht="60" customHeight="1">
      <x:c r="A1212" s="9" t="str">
        <x:v>4bQg-HtdcI8</x:v>
      </x:c>
      <x:c r="B1212" s="10" t="str">
        <x:v>ספרות הלאדינו | שיעור 2 - קומפלאש די יוסף הצדיק | ד"ר אליעזר פאפו</x:v>
      </x:c>
      <x:c r="C1212" s="10" t="str">
        <x:v>Культура общин</x:v>
      </x:c>
      <x:c r="D1212" s="9" t="str">
        <x:v>История</x:v>
      </x:c>
      <x:c r="E1212" s="10" t="str">
        <x:v>История; культура; еврейское наследие; продвинутые</x:v>
      </x:c>
      <x:c r="F1212" s="10" t="str">
        <x:v>B2–C1 (гипотеза)</x:v>
      </x:c>
      <x:c r="G1212" s="12" t="n">
        <x:v>32</x:v>
      </x:c>
      <x:c r="H1212" s="14" t="n">
        <x:v>850</x:v>
      </x:c>
      <x:c r="I1212" s="15" t="str">
        <x:v>Точный счётчик метаданных видео</x:v>
      </x:c>
      <x:c r="J1212" s="14" t="n">
        <x:v>850</x:v>
      </x:c>
      <x:c r="K1212" s="14" t="n">
        <x:v>695</x:v>
      </x:c>
      <x:c r="L1212" s="12" t="n">
        <x:f>IF(COUNT(J1212:K1212)=2,IF(K1212=0,"",J1212/K1212),"")</x:f>
        <x:v>1.223021582733813</x:v>
      </x:c>
      <x:c r="M1212" s="10" t="str">
        <x:v>Тема: ספרות הלאדינו | שיעור 2 - קומפלאש די יוסף הצדיק | ד"ר אליעזר פאפו. Ладино вводит сефардскую культурную историю через лекцию на иврите.</x:v>
      </x:c>
      <x:c r="N1212" s="10" t="str">
        <x:v>Составить словарь культурных терминов и пересказать на современном иврите.</x:v>
      </x:c>
      <x:c r="O1212" s="10" t="str">
        <x:v>Лекции могут включать арамейский, ладино и цитаты; основной язык проверить</x:v>
      </x:c>
      <x:c r="P1212" s="10" t="str">
        <x:v>Самостоятельное видео</x:v>
      </x:c>
      <x:c r="Q1212" s="9" t="str">
        <x:v>Нет</x:v>
      </x:c>
      <x:c r="R1212" s="9" t="str">
        <x:v>C068</x:v>
      </x:c>
      <x:c r="S1212" s="9" t="str">
        <x:v>C068</x:v>
      </x:c>
      <x:c r="T1212" s="10" t="str">
        <x:v>בית אבי חי</x:v>
      </x:c>
      <x:c r="U1212" s="11" t="str">
        <x:v>https://www.youtube.com/watch?v=4bQg-HtdcI8</x:v>
      </x:c>
      <x:c r="V1212" s="16" t="n">
        <x:v>46308</x:v>
      </x:c>
      <x:c r="W1212" s="16" t="n">
        <x:v>45782</x:v>
      </x:c>
      <x:c r="X1212" s="10" t="str">
        <x:v>iw</x:v>
      </x:c>
      <x:c r="Y1212" s="10" t="str">
        <x:v>Автоматическая дорожка HE по метаданным</x:v>
      </x:c>
      <x:c r="Z1212" s="10" t="str">
        <x:v>Разрешено по метаданным</x:v>
      </x:c>
      <x:c r="AA1212" s="10" t="str">
        <x:v>Метаданные видео; воспроизведение и содержание не проверены</x:v>
      </x:c>
      <x:c r="AB1212" s="13" t="n">
        <x:f>IF(AND(ISNUMBER(H1212),ISNUMBER(W1212)),H1212/MAX(1,'Обзор'!$B$4-W1212),"")</x:f>
        <x:v>1.6159695817490494</x:v>
      </x:c>
      <x:c r="AC1212" s="17" t="str">
        <x:v>Не решено</x:v>
      </x:c>
      <x:c r="AD1212" s="17" t="str">
        <x:v>Не проверено</x:v>
      </x:c>
      <x:c r="AE1212" s="17" t="str">
        <x:v>Не проверено</x:v>
      </x:c>
      <x:c r="AF1212" s="17" t="str">
        <x:v>Не проверено</x:v>
      </x:c>
      <x:c r="AG1212" s="17" t="str">
        <x:v>Не решено</x:v>
      </x:c>
      <x:c r="AH1212" s="17" t="str">
        <x:v>Не проверено</x:v>
      </x:c>
      <x:c r="AI1212" s="10" t="str">
        <x:f>IF(AC1212="Отклонить","Отклонено",IF(AND(AC1212="Взять",COUNTIFS(AD1212:AH1212,"Да")=5),"Готово","Нужна редактура"))</x:f>
        <x:v>Нужна редактура</x:v>
      </x:c>
      <x:c r="AJ1212" s="17" t="str"/>
      <x:c r="AK1212" s="9" t="str">
        <x:v>https://www.youtube.com/playlist?list=PLv2rnAORLiVCrzlov-Nq33yzmn31v_n-g</x:v>
      </x:c>
      <x:c r="AL1212" s="9" t="n">
        <x:v>4</x:v>
      </x:c>
      <x:c r="AM1212" s="9"/>
      <x:c r="AN1212" s="9" t="n">
        <x:v>0</x:v>
      </x:c>
    </x:row>
    <x:row r="1213" ht="60" customHeight="1">
      <x:c r="A1213" s="9" t="str">
        <x:v>6IPnGLabX_Q</x:v>
      </x:c>
      <x:c r="B1213" s="10" t="str">
        <x:v>ספרות הלאדינו | שיעור 1 - ספרד הוירטואלית | ד"ר אליעזר פאפו</x:v>
      </x:c>
      <x:c r="C1213" s="10" t="str">
        <x:v>Культура общин</x:v>
      </x:c>
      <x:c r="D1213" s="9" t="str">
        <x:v>История</x:v>
      </x:c>
      <x:c r="E1213" s="10" t="str">
        <x:v>История; культура; еврейское наследие; продвинутые</x:v>
      </x:c>
      <x:c r="F1213" s="10" t="str">
        <x:v>B2–C1 (гипотеза)</x:v>
      </x:c>
      <x:c r="G1213" s="12" t="n">
        <x:v>43.8</x:v>
      </x:c>
      <x:c r="H1213" s="14" t="n">
        <x:v>1671</x:v>
      </x:c>
      <x:c r="I1213" s="15" t="str">
        <x:v>Точный счётчик метаданных видео</x:v>
      </x:c>
      <x:c r="J1213" s="14" t="n">
        <x:v>1600</x:v>
      </x:c>
      <x:c r="K1213" s="14" t="n">
        <x:v>695</x:v>
      </x:c>
      <x:c r="L1213" s="12" t="n">
        <x:f>IF(COUNT(J1213:K1213)=2,IF(K1213=0,"",J1213/K1213),"")</x:f>
        <x:v>2.302158273381295</x:v>
      </x:c>
      <x:c r="M1213" s="10" t="str">
        <x:v>Тема: ספרות הלאדינו | שיעור 1 - ספרד הוירטואלית | ד"ר אליעזר פאפו. Просмотры в списке выше медианы выборки этого цикла в 2.3 раза. Ладино вводит сефардскую культурную историю через лекцию на иврите.</x:v>
      </x:c>
      <x:c r="N1213" s="10" t="str">
        <x:v>Составить словарь культурных терминов и пересказать на современном иврите.</x:v>
      </x:c>
      <x:c r="O1213" s="10" t="str">
        <x:v>Лекции могут включать арамейский, ладино и цитаты; основной язык проверить</x:v>
      </x:c>
      <x:c r="P1213" s="10" t="str">
        <x:v>Самостоятельное видео</x:v>
      </x:c>
      <x:c r="Q1213" s="9" t="str">
        <x:v>Нет</x:v>
      </x:c>
      <x:c r="R1213" s="9" t="str">
        <x:v>C068</x:v>
      </x:c>
      <x:c r="S1213" s="9" t="str">
        <x:v>C068</x:v>
      </x:c>
      <x:c r="T1213" s="10" t="str">
        <x:v>בית אבי חי</x:v>
      </x:c>
      <x:c r="U1213" s="11" t="str">
        <x:v>https://www.youtube.com/watch?v=6IPnGLabX_Q</x:v>
      </x:c>
      <x:c r="V1213" s="16" t="n">
        <x:v>46308</x:v>
      </x:c>
      <x:c r="W1213" s="16" t="n">
        <x:v>45781</x:v>
      </x:c>
      <x:c r="X1213" s="10" t="str">
        <x:v>iw</x:v>
      </x:c>
      <x:c r="Y1213" s="10" t="str">
        <x:v>Автоматическая дорожка HE по метаданным</x:v>
      </x:c>
      <x:c r="Z1213" s="10" t="str">
        <x:v>Разрешено по метаданным</x:v>
      </x:c>
      <x:c r="AA1213" s="10" t="str">
        <x:v>Метаданные видео; воспроизведение и содержание не проверены</x:v>
      </x:c>
      <x:c r="AB1213" s="13" t="n">
        <x:f>IF(AND(ISNUMBER(H1213),ISNUMBER(W1213)),H1213/MAX(1,'Обзор'!$B$4-W1213),"")</x:f>
        <x:v>3.170777988614801</x:v>
      </x:c>
      <x:c r="AC1213" s="17" t="str">
        <x:v>Не решено</x:v>
      </x:c>
      <x:c r="AD1213" s="17" t="str">
        <x:v>Не проверено</x:v>
      </x:c>
      <x:c r="AE1213" s="17" t="str">
        <x:v>Не проверено</x:v>
      </x:c>
      <x:c r="AF1213" s="17" t="str">
        <x:v>Не проверено</x:v>
      </x:c>
      <x:c r="AG1213" s="17" t="str">
        <x:v>Не решено</x:v>
      </x:c>
      <x:c r="AH1213" s="17" t="str">
        <x:v>Не проверено</x:v>
      </x:c>
      <x:c r="AI1213" s="10" t="str">
        <x:f>IF(AC1213="Отклонить","Отклонено",IF(AND(AC1213="Взять",COUNTIFS(AD1213:AH1213,"Да")=5),"Готово","Нужна редактура"))</x:f>
        <x:v>Нужна редактура</x:v>
      </x:c>
      <x:c r="AJ1213" s="17" t="str"/>
      <x:c r="AK1213" s="9" t="str">
        <x:v>https://www.youtube.com/playlist?list=PLv2rnAORLiVCrzlov-Nq33yzmn31v_n-g</x:v>
      </x:c>
      <x:c r="AL1213" s="9" t="n">
        <x:v>5</x:v>
      </x:c>
      <x:c r="AM1213" s="9"/>
      <x:c r="AN1213" s="9" t="n">
        <x:v>0</x:v>
      </x:c>
    </x:row>
    <x:row r="1214" ht="60" customHeight="1">
      <x:c r="A1214" s="9" t="str">
        <x:v>Wl8yjbHvASM</x:v>
      </x:c>
      <x:c r="B1214" s="10" t="str">
        <x:v>חמש קריאות בהגות ציונית | שיעור 5 - זאב ז'בוטינסקי | פרופ' ישראל ברטל</x:v>
      </x:c>
      <x:c r="C1214" s="10" t="str">
        <x:v>История идей</x:v>
      </x:c>
      <x:c r="D1214" s="9" t="str">
        <x:v>История</x:v>
      </x:c>
      <x:c r="E1214" s="10" t="str">
        <x:v>История; культура; еврейское наследие; продвинутые</x:v>
      </x:c>
      <x:c r="F1214" s="10" t="str">
        <x:v>B2–C1 (гипотеза)</x:v>
      </x:c>
      <x:c r="G1214" s="12" t="n">
        <x:v>46</x:v>
      </x:c>
      <x:c r="H1214" s="14" t="n">
        <x:v>1056</x:v>
      </x:c>
      <x:c r="I1214" s="15" t="str">
        <x:v>Точный счётчик метаданных видео</x:v>
      </x:c>
      <x:c r="J1214" s="14" t="n">
        <x:v>1000</x:v>
      </x:c>
      <x:c r="K1214" s="14" t="n">
        <x:v>1000</x:v>
      </x:c>
      <x:c r="L1214" s="12" t="n">
        <x:f>IF(COUNT(J1214:K1214)=2,IF(K1214=0,"",J1214/K1214),"")</x:f>
        <x:v>1</x:v>
      </x:c>
      <x:c r="M1214" s="10" t="str">
        <x:v>Тема: חמש קריאות בהגות ציונית | שיעור 5 - זאב ז'בוטינסקי | פרופ' ישראל ברטל. Серия предлагает академический вход в разные тексты и идеи сионизма.</x:v>
      </x:c>
      <x:c r="N1214" s="10" t="str">
        <x:v>Сравнить два аргумента и обозначить автора и эпоху.</x:v>
      </x:c>
      <x:c r="O1214" s="10" t="str">
        <x:v>Лекции могут включать арамейский, ладино и цитаты; основной язык проверить</x:v>
      </x:c>
      <x:c r="P1214" s="10" t="str">
        <x:v>Самостоятельное видео</x:v>
      </x:c>
      <x:c r="Q1214" s="9" t="str">
        <x:v>Нет</x:v>
      </x:c>
      <x:c r="R1214" s="9" t="str">
        <x:v>C069</x:v>
      </x:c>
      <x:c r="S1214" s="9" t="str">
        <x:v>C069</x:v>
      </x:c>
      <x:c r="T1214" s="10" t="str">
        <x:v>בית אבי חי</x:v>
      </x:c>
      <x:c r="U1214" s="11" t="str">
        <x:v>https://www.youtube.com/watch?v=Wl8yjbHvASM</x:v>
      </x:c>
      <x:c r="V1214" s="16" t="n">
        <x:v>46308</x:v>
      </x:c>
      <x:c r="W1214" s="16" t="n">
        <x:v>45603</x:v>
      </x:c>
      <x:c r="X1214" s="10" t="str">
        <x:v>Иврит предполагается по заголовку и источнику</x:v>
      </x:c>
      <x:c r="Y1214" s="10" t="str">
        <x:v>Автоматическая дорожка HE по метаданным</x:v>
      </x:c>
      <x:c r="Z1214" s="10" t="str">
        <x:v>Разрешено по метаданным</x:v>
      </x:c>
      <x:c r="AA1214" s="10" t="str">
        <x:v>Метаданные видео; воспроизведение и содержание не проверены</x:v>
      </x:c>
      <x:c r="AB1214" s="13" t="n">
        <x:f>IF(AND(ISNUMBER(H1214),ISNUMBER(W1214)),H1214/MAX(1,'Обзор'!$B$4-W1214),"")</x:f>
        <x:v>1.4978723404255319</x:v>
      </x:c>
      <x:c r="AC1214" s="17" t="str">
        <x:v>Не решено</x:v>
      </x:c>
      <x:c r="AD1214" s="17" t="str">
        <x:v>Не проверено</x:v>
      </x:c>
      <x:c r="AE1214" s="17" t="str">
        <x:v>Не проверено</x:v>
      </x:c>
      <x:c r="AF1214" s="17" t="str">
        <x:v>Не проверено</x:v>
      </x:c>
      <x:c r="AG1214" s="17" t="str">
        <x:v>Не решено</x:v>
      </x:c>
      <x:c r="AH1214" s="17" t="str">
        <x:v>Не проверено</x:v>
      </x:c>
      <x:c r="AI1214" s="10" t="str">
        <x:f>IF(AC1214="Отклонить","Отклонено",IF(AND(AC1214="Взять",COUNTIFS(AD1214:AH1214,"Да")=5),"Готово","Нужна редактура"))</x:f>
        <x:v>Нужна редактура</x:v>
      </x:c>
      <x:c r="AJ1214" s="17" t="str"/>
      <x:c r="AK1214" s="9" t="str">
        <x:v>https://www.youtube.com/playlist?list=PLv2rnAORLiVBHu1sbHbQah5dkjhKDzpWn</x:v>
      </x:c>
      <x:c r="AL1214" s="9" t="n">
        <x:v>1</x:v>
      </x:c>
      <x:c r="AM1214" s="9"/>
      <x:c r="AN1214" s="9" t="n">
        <x:v>0</x:v>
      </x:c>
    </x:row>
    <x:row r="1215" ht="60" customHeight="1">
      <x:c r="A1215" s="9" t="str">
        <x:v>dUsYnittGKA</x:v>
      </x:c>
      <x:c r="B1215" s="10" t="str">
        <x:v>חמש קריאות בהגות ציונית | שיעור 4 - נחמן סירקין | פרופ' ישראל ברטל</x:v>
      </x:c>
      <x:c r="C1215" s="10" t="str">
        <x:v>История идей</x:v>
      </x:c>
      <x:c r="D1215" s="9" t="str">
        <x:v>История</x:v>
      </x:c>
      <x:c r="E1215" s="10" t="str">
        <x:v>История; культура; еврейское наследие; продвинутые</x:v>
      </x:c>
      <x:c r="F1215" s="10" t="str">
        <x:v>B2–C1 (гипотеза)</x:v>
      </x:c>
      <x:c r="G1215" s="12" t="n">
        <x:v>40.3</x:v>
      </x:c>
      <x:c r="H1215" s="14" t="n">
        <x:v>973</x:v>
      </x:c>
      <x:c r="I1215" s="15" t="str">
        <x:v>Точный счётчик метаданных видео</x:v>
      </x:c>
      <x:c r="J1215" s="14" t="n">
        <x:v>973</x:v>
      </x:c>
      <x:c r="K1215" s="14" t="n">
        <x:v>1000</x:v>
      </x:c>
      <x:c r="L1215" s="12" t="n">
        <x:f>IF(COUNT(J1215:K1215)=2,IF(K1215=0,"",J1215/K1215),"")</x:f>
        <x:v>0.973</x:v>
      </x:c>
      <x:c r="M1215" s="10" t="str">
        <x:v>Тема: חמש קריאות בהגות ציונית | שיעור 4 - נחמן סירקין | פרופ' ישראל ברטל. Серия предлагает академический вход в разные тексты и идеи сионизма.</x:v>
      </x:c>
      <x:c r="N1215" s="10" t="str">
        <x:v>Сравнить два аргумента и обозначить автора и эпоху.</x:v>
      </x:c>
      <x:c r="O1215" s="10" t="str">
        <x:v>Лекции могут включать арамейский, ладино и цитаты; основной язык проверить</x:v>
      </x:c>
      <x:c r="P1215" s="10" t="str">
        <x:v>Самостоятельное видео</x:v>
      </x:c>
      <x:c r="Q1215" s="9" t="str">
        <x:v>Нет</x:v>
      </x:c>
      <x:c r="R1215" s="9" t="str">
        <x:v>C069</x:v>
      </x:c>
      <x:c r="S1215" s="9" t="str">
        <x:v>C069</x:v>
      </x:c>
      <x:c r="T1215" s="10" t="str">
        <x:v>בית אבי חי</x:v>
      </x:c>
      <x:c r="U1215" s="11" t="str">
        <x:v>https://www.youtube.com/watch?v=dUsYnittGKA</x:v>
      </x:c>
      <x:c r="V1215" s="16" t="n">
        <x:v>46308</x:v>
      </x:c>
      <x:c r="W1215" s="16" t="n">
        <x:v>45602</x:v>
      </x:c>
      <x:c r="X1215" s="10" t="str">
        <x:v>Иврит предполагается по заголовку и источнику</x:v>
      </x:c>
      <x:c r="Y1215" s="10" t="str">
        <x:v>Автоматическая дорожка HE по метаданным</x:v>
      </x:c>
      <x:c r="Z1215" s="10" t="str">
        <x:v>Разрешено по метаданным</x:v>
      </x:c>
      <x:c r="AA1215" s="10" t="str">
        <x:v>Метаданные видео; воспроизведение и содержание не проверены</x:v>
      </x:c>
      <x:c r="AB1215" s="13" t="n">
        <x:f>IF(AND(ISNUMBER(H1215),ISNUMBER(W1215)),H1215/MAX(1,'Обзор'!$B$4-W1215),"")</x:f>
        <x:v>1.3781869688385269</x:v>
      </x:c>
      <x:c r="AC1215" s="17" t="str">
        <x:v>Не решено</x:v>
      </x:c>
      <x:c r="AD1215" s="17" t="str">
        <x:v>Не проверено</x:v>
      </x:c>
      <x:c r="AE1215" s="17" t="str">
        <x:v>Не проверено</x:v>
      </x:c>
      <x:c r="AF1215" s="17" t="str">
        <x:v>Не проверено</x:v>
      </x:c>
      <x:c r="AG1215" s="17" t="str">
        <x:v>Не решено</x:v>
      </x:c>
      <x:c r="AH1215" s="17" t="str">
        <x:v>Не проверено</x:v>
      </x:c>
      <x:c r="AI1215" s="10" t="str">
        <x:f>IF(AC1215="Отклонить","Отклонено",IF(AND(AC1215="Взять",COUNTIFS(AD1215:AH1215,"Да")=5),"Готово","Нужна редактура"))</x:f>
        <x:v>Нужна редактура</x:v>
      </x:c>
      <x:c r="AJ1215" s="17" t="str"/>
      <x:c r="AK1215" s="9" t="str">
        <x:v>https://www.youtube.com/playlist?list=PLv2rnAORLiVBHu1sbHbQah5dkjhKDzpWn</x:v>
      </x:c>
      <x:c r="AL1215" s="9" t="n">
        <x:v>2</x:v>
      </x:c>
      <x:c r="AM1215" s="9"/>
      <x:c r="AN1215" s="9" t="n">
        <x:v>0</x:v>
      </x:c>
    </x:row>
    <x:row r="1216" ht="60" customHeight="1">
      <x:c r="A1216" s="9" t="str">
        <x:v>D7qLMcys2Dw</x:v>
      </x:c>
      <x:c r="B1216" s="10" t="str">
        <x:v>חמש קריאות בהגות ציונית | שיעור 3 - בנימין זאב הרצל | פרופ' ישראל ברטל</x:v>
      </x:c>
      <x:c r="C1216" s="10" t="str">
        <x:v>История идей</x:v>
      </x:c>
      <x:c r="D1216" s="9" t="str">
        <x:v>История</x:v>
      </x:c>
      <x:c r="E1216" s="10" t="str">
        <x:v>История; культура; еврейское наследие; продвинутые</x:v>
      </x:c>
      <x:c r="F1216" s="10" t="str">
        <x:v>B2–C1 (гипотеза)</x:v>
      </x:c>
      <x:c r="G1216" s="12" t="n">
        <x:v>43</x:v>
      </x:c>
      <x:c r="H1216" s="14" t="n">
        <x:v>971</x:v>
      </x:c>
      <x:c r="I1216" s="15" t="str">
        <x:v>Точный счётчик метаданных видео</x:v>
      </x:c>
      <x:c r="J1216" s="14" t="n">
        <x:v>971</x:v>
      </x:c>
      <x:c r="K1216" s="14" t="n">
        <x:v>1000</x:v>
      </x:c>
      <x:c r="L1216" s="12" t="n">
        <x:f>IF(COUNT(J1216:K1216)=2,IF(K1216=0,"",J1216/K1216),"")</x:f>
        <x:v>0.971</x:v>
      </x:c>
      <x:c r="M1216" s="10" t="str">
        <x:v>Тема: חמש קריאות בהגות ציונית | שיעור 3 - בנימין זאב הרצל | פרופ' ישראל ברטל. Серия предлагает академический вход в разные тексты и идеи сионизма.</x:v>
      </x:c>
      <x:c r="N1216" s="10" t="str">
        <x:v>Сравнить два аргумента и обозначить автора и эпоху.</x:v>
      </x:c>
      <x:c r="O1216" s="10" t="str">
        <x:v>Лекции могут включать арамейский, ладино и цитаты; основной язык проверить</x:v>
      </x:c>
      <x:c r="P1216" s="10" t="str">
        <x:v>Самостоятельное видео</x:v>
      </x:c>
      <x:c r="Q1216" s="9" t="str">
        <x:v>Нет</x:v>
      </x:c>
      <x:c r="R1216" s="9" t="str">
        <x:v>C069</x:v>
      </x:c>
      <x:c r="S1216" s="9" t="str">
        <x:v>C069</x:v>
      </x:c>
      <x:c r="T1216" s="10" t="str">
        <x:v>בית אבי חי</x:v>
      </x:c>
      <x:c r="U1216" s="11" t="str">
        <x:v>https://www.youtube.com/watch?v=D7qLMcys2Dw</x:v>
      </x:c>
      <x:c r="V1216" s="16" t="n">
        <x:v>46308</x:v>
      </x:c>
      <x:c r="W1216" s="16" t="n">
        <x:v>45601</x:v>
      </x:c>
      <x:c r="X1216" s="10" t="str">
        <x:v>iw</x:v>
      </x:c>
      <x:c r="Y1216" s="10" t="str">
        <x:v>Автоматическая дорожка HE по метаданным</x:v>
      </x:c>
      <x:c r="Z1216" s="10" t="str">
        <x:v>Разрешено по метаданным</x:v>
      </x:c>
      <x:c r="AA1216" s="10" t="str">
        <x:v>Метаданные видео; воспроизведение и содержание не проверены</x:v>
      </x:c>
      <x:c r="AB1216" s="13" t="n">
        <x:f>IF(AND(ISNUMBER(H1216),ISNUMBER(W1216)),H1216/MAX(1,'Обзор'!$B$4-W1216),"")</x:f>
        <x:v>1.3734087694483734</x:v>
      </x:c>
      <x:c r="AC1216" s="17" t="str">
        <x:v>Не решено</x:v>
      </x:c>
      <x:c r="AD1216" s="17" t="str">
        <x:v>Не проверено</x:v>
      </x:c>
      <x:c r="AE1216" s="17" t="str">
        <x:v>Не проверено</x:v>
      </x:c>
      <x:c r="AF1216" s="17" t="str">
        <x:v>Не проверено</x:v>
      </x:c>
      <x:c r="AG1216" s="17" t="str">
        <x:v>Не решено</x:v>
      </x:c>
      <x:c r="AH1216" s="17" t="str">
        <x:v>Не проверено</x:v>
      </x:c>
      <x:c r="AI1216" s="10" t="str">
        <x:f>IF(AC1216="Отклонить","Отклонено",IF(AND(AC1216="Взять",COUNTIFS(AD1216:AH1216,"Да")=5),"Готово","Нужна редактура"))</x:f>
        <x:v>Нужна редактура</x:v>
      </x:c>
      <x:c r="AJ1216" s="17" t="str"/>
      <x:c r="AK1216" s="9" t="str">
        <x:v>https://www.youtube.com/playlist?list=PLv2rnAORLiVBHu1sbHbQah5dkjhKDzpWn</x:v>
      </x:c>
      <x:c r="AL1216" s="9" t="n">
        <x:v>3</x:v>
      </x:c>
      <x:c r="AM1216" s="9"/>
      <x:c r="AN1216" s="9" t="n">
        <x:v>0</x:v>
      </x:c>
    </x:row>
    <x:row r="1217" ht="60" customHeight="1">
      <x:c r="A1217" s="9" t="str">
        <x:v>mFs9mUgvrIA</x:v>
      </x:c>
      <x:c r="B1217" s="10" t="str">
        <x:v>חמש קריאות בהגות ציונית | שיעור 2 - אליעזר בן־יהודה | פרופ' ישראל ברטל</x:v>
      </x:c>
      <x:c r="C1217" s="10" t="str">
        <x:v>История идей</x:v>
      </x:c>
      <x:c r="D1217" s="9" t="str">
        <x:v>История</x:v>
      </x:c>
      <x:c r="E1217" s="10" t="str">
        <x:v>История; культура; еврейское наследие; продвинутые</x:v>
      </x:c>
      <x:c r="F1217" s="10" t="str">
        <x:v>B2–C1 (гипотеза)</x:v>
      </x:c>
      <x:c r="G1217" s="12" t="n">
        <x:v>43.4</x:v>
      </x:c>
      <x:c r="H1217" s="14" t="n">
        <x:v>1243</x:v>
      </x:c>
      <x:c r="I1217" s="15" t="str">
        <x:v>Точный счётчик метаданных видео</x:v>
      </x:c>
      <x:c r="J1217" s="14" t="n">
        <x:v>1200</x:v>
      </x:c>
      <x:c r="K1217" s="14" t="n">
        <x:v>1000</x:v>
      </x:c>
      <x:c r="L1217" s="12" t="n">
        <x:f>IF(COUNT(J1217:K1217)=2,IF(K1217=0,"",J1217/K1217),"")</x:f>
        <x:v>1.2</x:v>
      </x:c>
      <x:c r="M1217" s="10" t="str">
        <x:v>Тема: חמש קריאות בהגות ציונית | שיעור 2 - אליעזר בן־יהודה | פרופ' ישראל ברטל. Серия предлагает академический вход в разные тексты и идеи сионизма.</x:v>
      </x:c>
      <x:c r="N1217" s="10" t="str">
        <x:v>Сравнить два аргумента и обозначить автора и эпоху.</x:v>
      </x:c>
      <x:c r="O1217" s="10" t="str">
        <x:v>Лекции могут включать арамейский, ладино и цитаты; основной язык проверить</x:v>
      </x:c>
      <x:c r="P1217" s="10" t="str">
        <x:v>Самостоятельное видео</x:v>
      </x:c>
      <x:c r="Q1217" s="9" t="str">
        <x:v>Нет</x:v>
      </x:c>
      <x:c r="R1217" s="9" t="str">
        <x:v>C069</x:v>
      </x:c>
      <x:c r="S1217" s="9" t="str">
        <x:v>C069</x:v>
      </x:c>
      <x:c r="T1217" s="10" t="str">
        <x:v>בית אבי חי</x:v>
      </x:c>
      <x:c r="U1217" s="11" t="str">
        <x:v>https://www.youtube.com/watch?v=mFs9mUgvrIA</x:v>
      </x:c>
      <x:c r="V1217" s="16" t="n">
        <x:v>46308</x:v>
      </x:c>
      <x:c r="W1217" s="16" t="n">
        <x:v>45600</x:v>
      </x:c>
      <x:c r="X1217" s="10" t="str">
        <x:v>Иврит предполагается по заголовку и источнику</x:v>
      </x:c>
      <x:c r="Y1217" s="10" t="str">
        <x:v>Автоматическая дорожка HE по метаданным</x:v>
      </x:c>
      <x:c r="Z1217" s="10" t="str">
        <x:v>Разрешено по метаданным</x:v>
      </x:c>
      <x:c r="AA1217" s="10" t="str">
        <x:v>Метаданные видео; воспроизведение и содержание не проверены</x:v>
      </x:c>
      <x:c r="AB1217" s="13" t="n">
        <x:f>IF(AND(ISNUMBER(H1217),ISNUMBER(W1217)),H1217/MAX(1,'Обзор'!$B$4-W1217),"")</x:f>
        <x:v>1.7556497175141244</x:v>
      </x:c>
      <x:c r="AC1217" s="17" t="str">
        <x:v>Не решено</x:v>
      </x:c>
      <x:c r="AD1217" s="17" t="str">
        <x:v>Не проверено</x:v>
      </x:c>
      <x:c r="AE1217" s="17" t="str">
        <x:v>Не проверено</x:v>
      </x:c>
      <x:c r="AF1217" s="17" t="str">
        <x:v>Не проверено</x:v>
      </x:c>
      <x:c r="AG1217" s="17" t="str">
        <x:v>Не решено</x:v>
      </x:c>
      <x:c r="AH1217" s="17" t="str">
        <x:v>Не проверено</x:v>
      </x:c>
      <x:c r="AI1217" s="10" t="str">
        <x:f>IF(AC1217="Отклонить","Отклонено",IF(AND(AC1217="Взять",COUNTIFS(AD1217:AH1217,"Да")=5),"Готово","Нужна редактура"))</x:f>
        <x:v>Нужна редактура</x:v>
      </x:c>
      <x:c r="AJ1217" s="17" t="str"/>
      <x:c r="AK1217" s="9" t="str">
        <x:v>https://www.youtube.com/playlist?list=PLv2rnAORLiVBHu1sbHbQah5dkjhKDzpWn</x:v>
      </x:c>
      <x:c r="AL1217" s="9" t="n">
        <x:v>4</x:v>
      </x:c>
      <x:c r="AM1217" s="9"/>
      <x:c r="AN1217" s="9" t="n">
        <x:v>0</x:v>
      </x:c>
    </x:row>
    <x:row r="1218" ht="60" customHeight="1">
      <x:c r="A1218" s="9" t="str">
        <x:v>Wd3ZUjXIDlA</x:v>
      </x:c>
      <x:c r="B1218" s="10" t="str">
        <x:v>חמש קריאות בהגות ציונית | שיעור 1 - יהודה חי אלקלעי | פרופ' ישראל ברטל</x:v>
      </x:c>
      <x:c r="C1218" s="10" t="str">
        <x:v>История идей</x:v>
      </x:c>
      <x:c r="D1218" s="9" t="str">
        <x:v>История</x:v>
      </x:c>
      <x:c r="E1218" s="10" t="str">
        <x:v>История; культура; еврейское наследие; продвинутые</x:v>
      </x:c>
      <x:c r="F1218" s="10" t="str">
        <x:v>B2–C1 (гипотеза)</x:v>
      </x:c>
      <x:c r="G1218" s="12" t="n">
        <x:v>42.8</x:v>
      </x:c>
      <x:c r="H1218" s="14" t="n">
        <x:v>2295</x:v>
      </x:c>
      <x:c r="I1218" s="15" t="str">
        <x:v>Точный счётчик метаданных видео</x:v>
      </x:c>
      <x:c r="J1218" s="14" t="n">
        <x:v>2200</x:v>
      </x:c>
      <x:c r="K1218" s="14" t="n">
        <x:v>1000</x:v>
      </x:c>
      <x:c r="L1218" s="12" t="n">
        <x:f>IF(COUNT(J1218:K1218)=2,IF(K1218=0,"",J1218/K1218),"")</x:f>
        <x:v>2.2</x:v>
      </x:c>
      <x:c r="M1218" s="10" t="str">
        <x:v>Тема: חמש קריאות בהגות ציונית | שיעור 1 - יהודה חי אלקלעי | פרופ' ישראל ברטל. Просмотры в списке выше медианы выборки этого цикла в 2.2 раза. Серия предлагает академический вход в разные тексты и идеи сионизма.</x:v>
      </x:c>
      <x:c r="N1218" s="10" t="str">
        <x:v>Сравнить два аргумента и обозначить автора и эпоху.</x:v>
      </x:c>
      <x:c r="O1218" s="10" t="str">
        <x:v>Лекции могут включать арамейский, ладино и цитаты; основной язык проверить</x:v>
      </x:c>
      <x:c r="P1218" s="10" t="str">
        <x:v>Самостоятельное видео</x:v>
      </x:c>
      <x:c r="Q1218" s="9" t="str">
        <x:v>Нет</x:v>
      </x:c>
      <x:c r="R1218" s="9" t="str">
        <x:v>C069</x:v>
      </x:c>
      <x:c r="S1218" s="9" t="str">
        <x:v>C069</x:v>
      </x:c>
      <x:c r="T1218" s="10" t="str">
        <x:v>בית אבי חי</x:v>
      </x:c>
      <x:c r="U1218" s="11" t="str">
        <x:v>https://www.youtube.com/watch?v=Wd3ZUjXIDlA</x:v>
      </x:c>
      <x:c r="V1218" s="16" t="n">
        <x:v>46308</x:v>
      </x:c>
      <x:c r="W1218" s="16" t="n">
        <x:v>45599</x:v>
      </x:c>
      <x:c r="X1218" s="10" t="str">
        <x:v>Иврит предполагается по заголовку и источнику</x:v>
      </x:c>
      <x:c r="Y1218" s="10" t="str">
        <x:v>Автоматическая дорожка HE по метаданным</x:v>
      </x:c>
      <x:c r="Z1218" s="10" t="str">
        <x:v>Разрешено по метаданным</x:v>
      </x:c>
      <x:c r="AA1218" s="10" t="str">
        <x:v>Метаданные видео; воспроизведение и содержание не проверены</x:v>
      </x:c>
      <x:c r="AB1218" s="13" t="n">
        <x:f>IF(AND(ISNUMBER(H1218),ISNUMBER(W1218)),H1218/MAX(1,'Обзор'!$B$4-W1218),"")</x:f>
        <x:v>3.236953455571227</x:v>
      </x:c>
      <x:c r="AC1218" s="17" t="str">
        <x:v>Не решено</x:v>
      </x:c>
      <x:c r="AD1218" s="17" t="str">
        <x:v>Не проверено</x:v>
      </x:c>
      <x:c r="AE1218" s="17" t="str">
        <x:v>Не проверено</x:v>
      </x:c>
      <x:c r="AF1218" s="17" t="str">
        <x:v>Не проверено</x:v>
      </x:c>
      <x:c r="AG1218" s="17" t="str">
        <x:v>Не решено</x:v>
      </x:c>
      <x:c r="AH1218" s="17" t="str">
        <x:v>Не проверено</x:v>
      </x:c>
      <x:c r="AI1218" s="10" t="str">
        <x:f>IF(AC1218="Отклонить","Отклонено",IF(AND(AC1218="Взять",COUNTIFS(AD1218:AH1218,"Да")=5),"Готово","Нужна редактура"))</x:f>
        <x:v>Нужна редактура</x:v>
      </x:c>
      <x:c r="AJ1218" s="17" t="str"/>
      <x:c r="AK1218" s="9" t="str">
        <x:v>https://www.youtube.com/playlist?list=PLv2rnAORLiVBHu1sbHbQah5dkjhKDzpWn</x:v>
      </x:c>
      <x:c r="AL1218" s="9" t="n">
        <x:v>5</x:v>
      </x:c>
      <x:c r="AM1218" s="9"/>
      <x:c r="AN1218" s="9" t="n">
        <x:v>0</x:v>
      </x:c>
    </x:row>
    <x:row r="1219" ht="60" customHeight="1">
      <x:c r="A1219" s="9" t="str">
        <x:v>vasZGiVhFFQ</x:v>
      </x:c>
      <x:c r="B1219" s="10" t="str">
        <x:v>כתובות מימי המקרא | שיעור 5 - מכתב הקוצר ממצד חשביהו | פרופ' חגי משגב</x:v>
      </x:c>
      <x:c r="C1219" s="10" t="str">
        <x:v>Древняя история</x:v>
      </x:c>
      <x:c r="D1219" s="9" t="str">
        <x:v>История</x:v>
      </x:c>
      <x:c r="E1219" s="10" t="str">
        <x:v>История; культура; еврейское наследие; продвинутые</x:v>
      </x:c>
      <x:c r="F1219" s="10" t="str">
        <x:v>B2–C1 (гипотеза)</x:v>
      </x:c>
      <x:c r="G1219" s="12" t="n">
        <x:v>45.4</x:v>
      </x:c>
      <x:c r="H1219" s="14" t="n">
        <x:v>8000</x:v>
      </x:c>
      <x:c r="I1219" s="15" t="str">
        <x:v>Округлённый счётчик в списке YouTube</x:v>
      </x:c>
      <x:c r="J1219" s="14" t="n">
        <x:v>8000</x:v>
      </x:c>
      <x:c r="K1219" s="14"/>
      <x:c r="L1219" s="12" t="str">
        <x:f>IF(COUNT(J1219:K1219)=2,IF(K1219=0,"",J1219/K1219),"")</x:f>
      </x:c>
      <x:c r="M1219" s="10" t="str">
        <x:v>Тема: כתובות מימי המקרא | שיעור 5 - מכתב הקוצר ממצד חשביהו | פרופ' חגי משגב. Эпиграфика связывает историю языка с материальными источниками.</x:v>
      </x:c>
      <x:c r="N1219" s="10" t="str">
        <x:v>Разделить чтение надписи, реконструкцию и интерпретацию.</x:v>
      </x:c>
      <x:c r="O1219" s="10" t="str">
        <x:v>Лекции могут включать арамейский, ладино и цитаты; основной язык проверить</x:v>
      </x:c>
      <x:c r="P1219" s="10" t="str">
        <x:v>Самостоятельное видео</x:v>
      </x:c>
      <x:c r="Q1219" s="9" t="str">
        <x:v>Нет</x:v>
      </x:c>
      <x:c r="R1219" s="9" t="str">
        <x:v>C070</x:v>
      </x:c>
      <x:c r="S1219" s="9" t="str">
        <x:v>C070</x:v>
      </x:c>
      <x:c r="T1219" s="10" t="str">
        <x:v>בית אבי חי</x:v>
      </x:c>
      <x:c r="U1219" s="11" t="str">
        <x:v>https://www.youtube.com/watch?v=vasZGiVhFFQ</x:v>
      </x:c>
      <x:c r="V1219" s="16" t="n">
        <x:v>46308</x:v>
      </x:c>
      <x:c r="W1219" s="16"/>
      <x:c r="X1219" s="10" t="str">
        <x:v>Иврит предполагается по заголовку и источнику</x:v>
      </x:c>
      <x:c r="Y1219" s="10" t="str">
        <x:v>Не проверено</x:v>
      </x:c>
      <x:c r="Z1219" s="10" t="str">
        <x:v>Не проверено</x:v>
      </x:c>
      <x:c r="AA1219" s="10" t="str">
        <x:v>Метаданные списка; видео не просмотрено</x:v>
      </x:c>
      <x:c r="AB1219" s="13" t="str">
        <x:f>IF(AND(ISNUMBER(H1219),ISNUMBER(W1219)),H1219/MAX(1,'Обзор'!$B$4-W1219),"")</x:f>
      </x:c>
      <x:c r="AC1219" s="17" t="str">
        <x:v>Не решено</x:v>
      </x:c>
      <x:c r="AD1219" s="17" t="str">
        <x:v>Не проверено</x:v>
      </x:c>
      <x:c r="AE1219" s="17" t="str">
        <x:v>Не проверено</x:v>
      </x:c>
      <x:c r="AF1219" s="17" t="str">
        <x:v>Не проверено</x:v>
      </x:c>
      <x:c r="AG1219" s="17" t="str">
        <x:v>Не решено</x:v>
      </x:c>
      <x:c r="AH1219" s="17" t="str">
        <x:v>Не проверено</x:v>
      </x:c>
      <x:c r="AI1219" s="10" t="str">
        <x:f>IF(AC1219="Отклонить","Отклонено",IF(AND(AC1219="Взять",COUNTIFS(AD1219:AH1219,"Да")=5),"Готово","Нужна редактура"))</x:f>
        <x:v>Нужна редактура</x:v>
      </x:c>
      <x:c r="AJ1219" s="17" t="str"/>
      <x:c r="AK1219" s="9" t="str">
        <x:v>https://www.youtube.com/playlist?list=PLv2rnAORLiVA1vCBCi3p0FgxeG4i8EoJ0</x:v>
      </x:c>
      <x:c r="AL1219" s="9" t="n">
        <x:v>1</x:v>
      </x:c>
      <x:c r="AM1219" s="9"/>
      <x:c r="AN1219" s="9"/>
    </x:row>
    <x:row r="1220" ht="60" customHeight="1">
      <x:c r="A1220" s="9" t="str">
        <x:v>-A6WhYz6h24</x:v>
      </x:c>
      <x:c r="B1220" s="10" t="str">
        <x:v>כתובות מימי המקרא | שיעור 4 - כתובת בלעם מדיר-עלא | פרופ' חגי משגב</x:v>
      </x:c>
      <x:c r="C1220" s="10" t="str">
        <x:v>Древняя история</x:v>
      </x:c>
      <x:c r="D1220" s="9" t="str">
        <x:v>История</x:v>
      </x:c>
      <x:c r="E1220" s="10" t="str">
        <x:v>История; культура; еврейское наследие; продвинутые</x:v>
      </x:c>
      <x:c r="F1220" s="10" t="str">
        <x:v>B2–C1 (гипотеза)</x:v>
      </x:c>
      <x:c r="G1220" s="12" t="n">
        <x:v>39.8</x:v>
      </x:c>
      <x:c r="H1220" s="14" t="n">
        <x:v>9699</x:v>
      </x:c>
      <x:c r="I1220" s="15" t="str">
        <x:v>Точный счётчик метаданных видео</x:v>
      </x:c>
      <x:c r="J1220" s="14" t="n">
        <x:v>9600</x:v>
      </x:c>
      <x:c r="K1220" s="14"/>
      <x:c r="L1220" s="12" t="str">
        <x:f>IF(COUNT(J1220:K1220)=2,IF(K1220=0,"",J1220/K1220),"")</x:f>
      </x:c>
      <x:c r="M1220" s="10" t="str">
        <x:v>Тема: כתובות מימי המקרא | שיעור 4 - כתובת בלעם מדיר-עלא | פרופ' חגי משגב. Эпиграфика связывает историю языка с материальными источниками.</x:v>
      </x:c>
      <x:c r="N1220" s="10" t="str">
        <x:v>Разделить чтение надписи, реконструкцию и интерпретацию.</x:v>
      </x:c>
      <x:c r="O1220" s="10" t="str">
        <x:v>Лекции могут включать арамейский, ладино и цитаты; основной язык проверить</x:v>
      </x:c>
      <x:c r="P1220" s="10" t="str">
        <x:v>Самостоятельное видео</x:v>
      </x:c>
      <x:c r="Q1220" s="9" t="str">
        <x:v>Нет</x:v>
      </x:c>
      <x:c r="R1220" s="9" t="str">
        <x:v>C070</x:v>
      </x:c>
      <x:c r="S1220" s="9" t="str">
        <x:v>C070</x:v>
      </x:c>
      <x:c r="T1220" s="10" t="str">
        <x:v>בית אבי חי</x:v>
      </x:c>
      <x:c r="U1220" s="11" t="str">
        <x:v>https://www.youtube.com/watch?v=-A6WhYz6h24</x:v>
      </x:c>
      <x:c r="V1220" s="16" t="n">
        <x:v>46308</x:v>
      </x:c>
      <x:c r="W1220" s="16" t="n">
        <x:v>45532</x:v>
      </x:c>
      <x:c r="X1220" s="10" t="str">
        <x:v>iw</x:v>
      </x:c>
      <x:c r="Y1220" s="10" t="str">
        <x:v>Автоматическая дорожка HE по метаданным</x:v>
      </x:c>
      <x:c r="Z1220" s="10" t="str">
        <x:v>Разрешено по метаданным</x:v>
      </x:c>
      <x:c r="AA1220" s="10" t="str">
        <x:v>Метаданные видео; воспроизведение и содержание не проверены</x:v>
      </x:c>
      <x:c r="AB1220" s="13" t="n">
        <x:f>IF(AND(ISNUMBER(H1220),ISNUMBER(W1220)),H1220/MAX(1,'Обзор'!$B$4-W1220),"")</x:f>
        <x:v>12.498711340206185</x:v>
      </x:c>
      <x:c r="AC1220" s="17" t="str">
        <x:v>Не решено</x:v>
      </x:c>
      <x:c r="AD1220" s="17" t="str">
        <x:v>Не проверено</x:v>
      </x:c>
      <x:c r="AE1220" s="17" t="str">
        <x:v>Не проверено</x:v>
      </x:c>
      <x:c r="AF1220" s="17" t="str">
        <x:v>Не проверено</x:v>
      </x:c>
      <x:c r="AG1220" s="17" t="str">
        <x:v>Не решено</x:v>
      </x:c>
      <x:c r="AH1220" s="17" t="str">
        <x:v>Не проверено</x:v>
      </x:c>
      <x:c r="AI1220" s="10" t="str">
        <x:f>IF(AC1220="Отклонить","Отклонено",IF(AND(AC1220="Взять",COUNTIFS(AD1220:AH1220,"Да")=5),"Готово","Нужна редактура"))</x:f>
        <x:v>Нужна редактура</x:v>
      </x:c>
      <x:c r="AJ1220" s="17" t="str"/>
      <x:c r="AK1220" s="9" t="str">
        <x:v>https://www.youtube.com/playlist?list=PLv2rnAORLiVA1vCBCi3p0FgxeG4i8EoJ0</x:v>
      </x:c>
      <x:c r="AL1220" s="9" t="n">
        <x:v>2</x:v>
      </x:c>
      <x:c r="AM1220" s="9"/>
      <x:c r="AN1220" s="9" t="n">
        <x:v>0</x:v>
      </x:c>
    </x:row>
    <x:row r="1221" ht="60" customHeight="1">
      <x:c r="A1221" s="9" t="str">
        <x:v>tfLLOYlq_h4</x:v>
      </x:c>
      <x:c r="B1221" s="10" t="str">
        <x:v>כתובות מימי המקרא | שיעור 2 - כתובת מישע | פרופ' חגי משגב</x:v>
      </x:c>
      <x:c r="C1221" s="10" t="str">
        <x:v>Древняя история</x:v>
      </x:c>
      <x:c r="D1221" s="9" t="str">
        <x:v>История</x:v>
      </x:c>
      <x:c r="E1221" s="10" t="str">
        <x:v>История; культура; еврейское наследие; продвинутые</x:v>
      </x:c>
      <x:c r="F1221" s="10" t="str">
        <x:v>B2–C1 (гипотеза)</x:v>
      </x:c>
      <x:c r="G1221" s="12" t="n">
        <x:v>38</x:v>
      </x:c>
      <x:c r="H1221" s="14" t="n">
        <x:v>9400</x:v>
      </x:c>
      <x:c r="I1221" s="15" t="str">
        <x:v>Округлённый счётчик в списке YouTube</x:v>
      </x:c>
      <x:c r="J1221" s="14" t="n">
        <x:v>9400</x:v>
      </x:c>
      <x:c r="K1221" s="14"/>
      <x:c r="L1221" s="12" t="str">
        <x:f>IF(COUNT(J1221:K1221)=2,IF(K1221=0,"",J1221/K1221),"")</x:f>
      </x:c>
      <x:c r="M1221" s="10" t="str">
        <x:v>Тема: כתובות מימי המקרא | שיעור 2 - כתובת מישע | פרופ' חגי משגב. Эпиграфика связывает историю языка с материальными источниками.</x:v>
      </x:c>
      <x:c r="N1221" s="10" t="str">
        <x:v>Разделить чтение надписи, реконструкцию и интерпретацию.</x:v>
      </x:c>
      <x:c r="O1221" s="10" t="str">
        <x:v>Лекции могут включать арамейский, ладино и цитаты; основной язык проверить</x:v>
      </x:c>
      <x:c r="P1221" s="10" t="str">
        <x:v>Самостоятельное видео</x:v>
      </x:c>
      <x:c r="Q1221" s="9" t="str">
        <x:v>Нет</x:v>
      </x:c>
      <x:c r="R1221" s="9" t="str">
        <x:v>C070</x:v>
      </x:c>
      <x:c r="S1221" s="9" t="str">
        <x:v>C070</x:v>
      </x:c>
      <x:c r="T1221" s="10" t="str">
        <x:v>בית אבי חי</x:v>
      </x:c>
      <x:c r="U1221" s="11" t="str">
        <x:v>https://www.youtube.com/watch?v=tfLLOYlq_h4</x:v>
      </x:c>
      <x:c r="V1221" s="16" t="n">
        <x:v>46308</x:v>
      </x:c>
      <x:c r="W1221" s="16"/>
      <x:c r="X1221" s="10" t="str">
        <x:v>Иврит предполагается по заголовку и источнику</x:v>
      </x:c>
      <x:c r="Y1221" s="10" t="str">
        <x:v>Не проверено</x:v>
      </x:c>
      <x:c r="Z1221" s="10" t="str">
        <x:v>Не проверено</x:v>
      </x:c>
      <x:c r="AA1221" s="10" t="str">
        <x:v>Метаданные списка; видео не просмотрено</x:v>
      </x:c>
      <x:c r="AB1221" s="13" t="str">
        <x:f>IF(AND(ISNUMBER(H1221),ISNUMBER(W1221)),H1221/MAX(1,'Обзор'!$B$4-W1221),"")</x:f>
      </x:c>
      <x:c r="AC1221" s="17" t="str">
        <x:v>Не решено</x:v>
      </x:c>
      <x:c r="AD1221" s="17" t="str">
        <x:v>Не проверено</x:v>
      </x:c>
      <x:c r="AE1221" s="17" t="str">
        <x:v>Не проверено</x:v>
      </x:c>
      <x:c r="AF1221" s="17" t="str">
        <x:v>Не проверено</x:v>
      </x:c>
      <x:c r="AG1221" s="17" t="str">
        <x:v>Не решено</x:v>
      </x:c>
      <x:c r="AH1221" s="17" t="str">
        <x:v>Не проверено</x:v>
      </x:c>
      <x:c r="AI1221" s="10" t="str">
        <x:f>IF(AC1221="Отклонить","Отклонено",IF(AND(AC1221="Взять",COUNTIFS(AD1221:AH1221,"Да")=5),"Готово","Нужна редактура"))</x:f>
        <x:v>Нужна редактура</x:v>
      </x:c>
      <x:c r="AJ1221" s="17" t="str"/>
      <x:c r="AK1221" s="9" t="str">
        <x:v>https://www.youtube.com/playlist?list=PLv2rnAORLiVA1vCBCi3p0FgxeG4i8EoJ0</x:v>
      </x:c>
      <x:c r="AL1221" s="9" t="n">
        <x:v>3</x:v>
      </x:c>
      <x:c r="AM1221" s="9"/>
      <x:c r="AN1221" s="9"/>
    </x:row>
    <x:row r="1222" ht="60" customHeight="1">
      <x:c r="A1222" s="9" t="str">
        <x:v>tAX3vFKLkHE</x:v>
      </x:c>
      <x:c r="B1222" s="10" t="str">
        <x:v>כתובות מימי המקרא | שיעור 1 - הכתובת מחורבת קיאפה | פרופ' חגי משגב</x:v>
      </x:c>
      <x:c r="C1222" s="10" t="str">
        <x:v>Древняя история</x:v>
      </x:c>
      <x:c r="D1222" s="9" t="str">
        <x:v>История</x:v>
      </x:c>
      <x:c r="E1222" s="10" t="str">
        <x:v>История; культура; еврейское наследие; продвинутые</x:v>
      </x:c>
      <x:c r="F1222" s="10" t="str">
        <x:v>B2–C1 (гипотеза)</x:v>
      </x:c>
      <x:c r="G1222" s="12" t="n">
        <x:v>37.6</x:v>
      </x:c>
      <x:c r="H1222" s="14" t="n">
        <x:v>13873</x:v>
      </x:c>
      <x:c r="I1222" s="15" t="str">
        <x:v>Точный счётчик метаданных видео</x:v>
      </x:c>
      <x:c r="J1222" s="14" t="n">
        <x:v>13000</x:v>
      </x:c>
      <x:c r="K1222" s="14"/>
      <x:c r="L1222" s="12" t="str">
        <x:f>IF(COUNT(J1222:K1222)=2,IF(K1222=0,"",J1222/K1222),"")</x:f>
      </x:c>
      <x:c r="M1222" s="10" t="str">
        <x:v>Тема: כתובות מימי המקרא | שיעור 1 - הכתובת מחורבת קיאפה | פרופ' חגי משגב. Эпиграфика связывает историю языка с материальными источниками.</x:v>
      </x:c>
      <x:c r="N1222" s="10" t="str">
        <x:v>Разделить чтение надписи, реконструкцию и интерпретацию.</x:v>
      </x:c>
      <x:c r="O1222" s="10" t="str">
        <x:v>Лекции могут включать арамейский, ладино и цитаты; основной язык проверить</x:v>
      </x:c>
      <x:c r="P1222" s="10" t="str">
        <x:v>Самостоятельное видео</x:v>
      </x:c>
      <x:c r="Q1222" s="9" t="str">
        <x:v>Нет</x:v>
      </x:c>
      <x:c r="R1222" s="9" t="str">
        <x:v>C070</x:v>
      </x:c>
      <x:c r="S1222" s="9" t="str">
        <x:v>C070</x:v>
      </x:c>
      <x:c r="T1222" s="10" t="str">
        <x:v>בית אבי חי</x:v>
      </x:c>
      <x:c r="U1222" s="11" t="str">
        <x:v>https://www.youtube.com/watch?v=tAX3vFKLkHE</x:v>
      </x:c>
      <x:c r="V1222" s="16" t="n">
        <x:v>46308</x:v>
      </x:c>
      <x:c r="W1222" s="16" t="n">
        <x:v>45529</x:v>
      </x:c>
      <x:c r="X1222" s="10" t="str">
        <x:v>Иврит предполагается по заголовку и источнику</x:v>
      </x:c>
      <x:c r="Y1222" s="10" t="str">
        <x:v>Автоматическая дорожка HE по метаданным</x:v>
      </x:c>
      <x:c r="Z1222" s="10" t="str">
        <x:v>Разрешено по метаданным</x:v>
      </x:c>
      <x:c r="AA1222" s="10" t="str">
        <x:v>Метаданные видео; воспроизведение и содержание не проверены</x:v>
      </x:c>
      <x:c r="AB1222" s="13" t="n">
        <x:f>IF(AND(ISNUMBER(H1222),ISNUMBER(W1222)),H1222/MAX(1,'Обзор'!$B$4-W1222),"")</x:f>
        <x:v>17.808729139922978</x:v>
      </x:c>
      <x:c r="AC1222" s="17" t="str">
        <x:v>Не решено</x:v>
      </x:c>
      <x:c r="AD1222" s="17" t="str">
        <x:v>Не проверено</x:v>
      </x:c>
      <x:c r="AE1222" s="17" t="str">
        <x:v>Не проверено</x:v>
      </x:c>
      <x:c r="AF1222" s="17" t="str">
        <x:v>Не проверено</x:v>
      </x:c>
      <x:c r="AG1222" s="17" t="str">
        <x:v>Не решено</x:v>
      </x:c>
      <x:c r="AH1222" s="17" t="str">
        <x:v>Не проверено</x:v>
      </x:c>
      <x:c r="AI1222" s="10" t="str">
        <x:f>IF(AC1222="Отклонить","Отклонено",IF(AND(AC1222="Взять",COUNTIFS(AD1222:AH1222,"Да")=5),"Готово","Нужна редактура"))</x:f>
        <x:v>Нужна редактура</x:v>
      </x:c>
      <x:c r="AJ1222" s="17" t="str"/>
      <x:c r="AK1222" s="9" t="str">
        <x:v>https://www.youtube.com/playlist?list=PLv2rnAORLiVA1vCBCi3p0FgxeG4i8EoJ0</x:v>
      </x:c>
      <x:c r="AL1222" s="9" t="n">
        <x:v>4</x:v>
      </x:c>
      <x:c r="AM1222" s="9"/>
      <x:c r="AN1222" s="9" t="n">
        <x:v>0</x:v>
      </x:c>
    </x:row>
    <x:row r="1223" ht="60" customHeight="1">
      <x:c r="A1223" s="9" t="str">
        <x:v>J7PEmotnHYQ</x:v>
      </x:c>
      <x:c r="B1223" s="10" t="str">
        <x:v>תלמודו של עגנון | שיעור 5 - מעשה עזריאל משה | פרופ' חיים וייס</x:v>
      </x:c>
      <x:c r="C1223" s="10" t="str">
        <x:v>Литература и язык</x:v>
      </x:c>
      <x:c r="D1223" s="9" t="str">
        <x:v>История</x:v>
      </x:c>
      <x:c r="E1223" s="10" t="str">
        <x:v>История; культура; еврейское наследие; продвинутые</x:v>
      </x:c>
      <x:c r="F1223" s="10" t="str">
        <x:v>B2–C1 (гипотеза)</x:v>
      </x:c>
      <x:c r="G1223" s="12" t="n">
        <x:v>43.9</x:v>
      </x:c>
      <x:c r="H1223" s="14" t="n">
        <x:v>2900</x:v>
      </x:c>
      <x:c r="I1223" s="15" t="str">
        <x:v>Округлённый счётчик в списке YouTube</x:v>
      </x:c>
      <x:c r="J1223" s="14" t="n">
        <x:v>2900</x:v>
      </x:c>
      <x:c r="K1223" s="14" t="n">
        <x:v>3400</x:v>
      </x:c>
      <x:c r="L1223" s="12" t="n">
        <x:f>IF(COUNT(J1223:K1223)=2,IF(K1223=0,"",J1223/K1223),"")</x:f>
        <x:v>0.8529411764705882</x:v>
      </x:c>
      <x:c r="M1223" s="10" t="str">
        <x:v>Тема: תלמודו של עגנון | שיעור 5 - מעשה עזריאל משה | פרופ' חיים וייס. Агнон связывает классическую литературу и еврейскую текстовую традицию.</x:v>
      </x:c>
      <x:c r="N1223" s="10" t="str">
        <x:v>Разобрать один термин и объяснить литературную отсылку.</x:v>
      </x:c>
      <x:c r="O1223" s="10" t="str">
        <x:v>Лекции могут включать арамейский, ладино и цитаты; основной язык проверить</x:v>
      </x:c>
      <x:c r="P1223" s="10" t="str">
        <x:v>Самостоятельное видео</x:v>
      </x:c>
      <x:c r="Q1223" s="9" t="str">
        <x:v>Нет</x:v>
      </x:c>
      <x:c r="R1223" s="9" t="str">
        <x:v>C071</x:v>
      </x:c>
      <x:c r="S1223" s="9" t="str">
        <x:v>C071</x:v>
      </x:c>
      <x:c r="T1223" s="10" t="str">
        <x:v>בית אבי חי</x:v>
      </x:c>
      <x:c r="U1223" s="11" t="str">
        <x:v>https://www.youtube.com/watch?v=J7PEmotnHYQ</x:v>
      </x:c>
      <x:c r="V1223" s="16" t="n">
        <x:v>46308</x:v>
      </x:c>
      <x:c r="W1223" s="16"/>
      <x:c r="X1223" s="10" t="str">
        <x:v>Иврит предполагается по заголовку и источнику</x:v>
      </x:c>
      <x:c r="Y1223" s="10" t="str">
        <x:v>Не проверено</x:v>
      </x:c>
      <x:c r="Z1223" s="10" t="str">
        <x:v>Не проверено</x:v>
      </x:c>
      <x:c r="AA1223" s="10" t="str">
        <x:v>Метаданные списка; видео не просмотрено</x:v>
      </x:c>
      <x:c r="AB1223" s="13" t="str">
        <x:f>IF(AND(ISNUMBER(H1223),ISNUMBER(W1223)),H1223/MAX(1,'Обзор'!$B$4-W1223),"")</x:f>
      </x:c>
      <x:c r="AC1223" s="17" t="str">
        <x:v>Не решено</x:v>
      </x:c>
      <x:c r="AD1223" s="17" t="str">
        <x:v>Не проверено</x:v>
      </x:c>
      <x:c r="AE1223" s="17" t="str">
        <x:v>Не проверено</x:v>
      </x:c>
      <x:c r="AF1223" s="17" t="str">
        <x:v>Не проверено</x:v>
      </x:c>
      <x:c r="AG1223" s="17" t="str">
        <x:v>Не решено</x:v>
      </x:c>
      <x:c r="AH1223" s="17" t="str">
        <x:v>Не проверено</x:v>
      </x:c>
      <x:c r="AI1223" s="10" t="str">
        <x:f>IF(AC1223="Отклонить","Отклонено",IF(AND(AC1223="Взять",COUNTIFS(AD1223:AH1223,"Да")=5),"Готово","Нужна редактура"))</x:f>
        <x:v>Нужна редактура</x:v>
      </x:c>
      <x:c r="AJ1223" s="17" t="str"/>
      <x:c r="AK1223" s="9" t="str">
        <x:v>https://www.youtube.com/playlist?list=PLv2rnAORLiVC-N2yV0vvgHgjCRVt5GQdp</x:v>
      </x:c>
      <x:c r="AL1223" s="9" t="n">
        <x:v>1</x:v>
      </x:c>
      <x:c r="AM1223" s="9"/>
      <x:c r="AN1223" s="9"/>
    </x:row>
    <x:row r="1224" ht="60" customHeight="1">
      <x:c r="A1224" s="9" t="str">
        <x:v>onW3_LNmfxc</x:v>
      </x:c>
      <x:c r="B1224" s="10" t="str">
        <x:v>תלמודו של עגנון | שיעור 4 - מדירה לדירה | פרופ' חיים וייס</x:v>
      </x:c>
      <x:c r="C1224" s="10" t="str">
        <x:v>Литература и язык</x:v>
      </x:c>
      <x:c r="D1224" s="9" t="str">
        <x:v>История</x:v>
      </x:c>
      <x:c r="E1224" s="10" t="str">
        <x:v>История; культура; еврейское наследие; продвинутые</x:v>
      </x:c>
      <x:c r="F1224" s="10" t="str">
        <x:v>B2–C1 (гипотеза)</x:v>
      </x:c>
      <x:c r="G1224" s="12" t="n">
        <x:v>39.7</x:v>
      </x:c>
      <x:c r="H1224" s="14" t="n">
        <x:v>3388</x:v>
      </x:c>
      <x:c r="I1224" s="15" t="str">
        <x:v>Точный счётчик метаданных видео</x:v>
      </x:c>
      <x:c r="J1224" s="14" t="n">
        <x:v>3300</x:v>
      </x:c>
      <x:c r="K1224" s="14" t="n">
        <x:v>3400</x:v>
      </x:c>
      <x:c r="L1224" s="12" t="n">
        <x:f>IF(COUNT(J1224:K1224)=2,IF(K1224=0,"",J1224/K1224),"")</x:f>
        <x:v>0.9705882352941176</x:v>
      </x:c>
      <x:c r="M1224" s="10" t="str">
        <x:v>Тема: תלמודו של עגנון | שיעור 4 - מדירה לדירה | פרופ' חיים וייס. Агнон связывает классическую литературу и еврейскую текстовую традицию.</x:v>
      </x:c>
      <x:c r="N1224" s="10" t="str">
        <x:v>Разобрать один термин и объяснить литературную отсылку.</x:v>
      </x:c>
      <x:c r="O1224" s="10" t="str">
        <x:v>Лекции могут включать арамейский, ладино и цитаты; основной язык проверить</x:v>
      </x:c>
      <x:c r="P1224" s="10" t="str">
        <x:v>Самостоятельное видео</x:v>
      </x:c>
      <x:c r="Q1224" s="9" t="str">
        <x:v>Нет</x:v>
      </x:c>
      <x:c r="R1224" s="9" t="str">
        <x:v>C071</x:v>
      </x:c>
      <x:c r="S1224" s="9" t="str">
        <x:v>C071</x:v>
      </x:c>
      <x:c r="T1224" s="10" t="str">
        <x:v>בית אבי חי</x:v>
      </x:c>
      <x:c r="U1224" s="11" t="str">
        <x:v>https://www.youtube.com/watch?v=onW3_LNmfxc</x:v>
      </x:c>
      <x:c r="V1224" s="16" t="n">
        <x:v>46308</x:v>
      </x:c>
      <x:c r="W1224" s="16" t="n">
        <x:v>45840</x:v>
      </x:c>
      <x:c r="X1224" s="10" t="str">
        <x:v>Иврит предполагается по заголовку и источнику</x:v>
      </x:c>
      <x:c r="Y1224" s="10" t="str">
        <x:v>Автоматическая дорожка HE по метаданным</x:v>
      </x:c>
      <x:c r="Z1224" s="10" t="str">
        <x:v>Разрешено по метаданным</x:v>
      </x:c>
      <x:c r="AA1224" s="10" t="str">
        <x:v>Метаданные видео; воспроизведение и содержание не проверены</x:v>
      </x:c>
      <x:c r="AB1224" s="13" t="n">
        <x:f>IF(AND(ISNUMBER(H1224),ISNUMBER(W1224)),H1224/MAX(1,'Обзор'!$B$4-W1224),"")</x:f>
        <x:v>7.239316239316239</x:v>
      </x:c>
      <x:c r="AC1224" s="17" t="str">
        <x:v>Не решено</x:v>
      </x:c>
      <x:c r="AD1224" s="17" t="str">
        <x:v>Не проверено</x:v>
      </x:c>
      <x:c r="AE1224" s="17" t="str">
        <x:v>Не проверено</x:v>
      </x:c>
      <x:c r="AF1224" s="17" t="str">
        <x:v>Не проверено</x:v>
      </x:c>
      <x:c r="AG1224" s="17" t="str">
        <x:v>Не решено</x:v>
      </x:c>
      <x:c r="AH1224" s="17" t="str">
        <x:v>Не проверено</x:v>
      </x:c>
      <x:c r="AI1224" s="10" t="str">
        <x:f>IF(AC1224="Отклонить","Отклонено",IF(AND(AC1224="Взять",COUNTIFS(AD1224:AH1224,"Да")=5),"Готово","Нужна редактура"))</x:f>
        <x:v>Нужна редактура</x:v>
      </x:c>
      <x:c r="AJ1224" s="17" t="str"/>
      <x:c r="AK1224" s="9" t="str">
        <x:v>https://www.youtube.com/playlist?list=PLv2rnAORLiVC-N2yV0vvgHgjCRVt5GQdp</x:v>
      </x:c>
      <x:c r="AL1224" s="9" t="n">
        <x:v>2</x:v>
      </x:c>
      <x:c r="AM1224" s="9"/>
      <x:c r="AN1224" s="9" t="n">
        <x:v>0</x:v>
      </x:c>
    </x:row>
    <x:row r="1225" ht="60" customHeight="1">
      <x:c r="A1225" s="9" t="str">
        <x:v>fS-DGJl59VM</x:v>
      </x:c>
      <x:c r="B1225" s="10" t="str">
        <x:v>תלמודו של עגנון | שיעור 3 - עובדיה בעל מום | פרופ' חיים וייס</x:v>
      </x:c>
      <x:c r="C1225" s="10" t="str">
        <x:v>Литература и язык</x:v>
      </x:c>
      <x:c r="D1225" s="9" t="str">
        <x:v>История</x:v>
      </x:c>
      <x:c r="E1225" s="10" t="str">
        <x:v>История; культура; еврейское наследие; продвинутые</x:v>
      </x:c>
      <x:c r="F1225" s="10" t="str">
        <x:v>B2–C1 (гипотеза)</x:v>
      </x:c>
      <x:c r="G1225" s="12" t="n">
        <x:v>40.2</x:v>
      </x:c>
      <x:c r="H1225" s="14" t="n">
        <x:v>3420</x:v>
      </x:c>
      <x:c r="I1225" s="15" t="str">
        <x:v>Точный счётчик метаданных видео</x:v>
      </x:c>
      <x:c r="J1225" s="14" t="n">
        <x:v>3400</x:v>
      </x:c>
      <x:c r="K1225" s="14" t="n">
        <x:v>3400</x:v>
      </x:c>
      <x:c r="L1225" s="12" t="n">
        <x:f>IF(COUNT(J1225:K1225)=2,IF(K1225=0,"",J1225/K1225),"")</x:f>
        <x:v>1</x:v>
      </x:c>
      <x:c r="M1225" s="10" t="str">
        <x:v>Тема: תלמודו של עגנון | שיעור 3 - עובדיה בעל מום | פרופ' חיים וייס. Агнон связывает классическую литературу и еврейскую текстовую традицию.</x:v>
      </x:c>
      <x:c r="N1225" s="10" t="str">
        <x:v>Разобрать один термин и объяснить литературную отсылку.</x:v>
      </x:c>
      <x:c r="O1225" s="10" t="str">
        <x:v>Лекции могут включать арамейский, ладино и цитаты; основной язык проверить</x:v>
      </x:c>
      <x:c r="P1225" s="10" t="str">
        <x:v>Самостоятельное видео</x:v>
      </x:c>
      <x:c r="Q1225" s="9" t="str">
        <x:v>Нет</x:v>
      </x:c>
      <x:c r="R1225" s="9" t="str">
        <x:v>C071</x:v>
      </x:c>
      <x:c r="S1225" s="9" t="str">
        <x:v>C071</x:v>
      </x:c>
      <x:c r="T1225" s="10" t="str">
        <x:v>בית אבי חי</x:v>
      </x:c>
      <x:c r="U1225" s="11" t="str">
        <x:v>https://www.youtube.com/watch?v=fS-DGJl59VM</x:v>
      </x:c>
      <x:c r="V1225" s="16" t="n">
        <x:v>46308</x:v>
      </x:c>
      <x:c r="W1225" s="16" t="n">
        <x:v>45839</x:v>
      </x:c>
      <x:c r="X1225" s="10" t="str">
        <x:v>Иврит предполагается по заголовку и источнику</x:v>
      </x:c>
      <x:c r="Y1225" s="10" t="str">
        <x:v>Автоматическая дорожка HE по метаданным</x:v>
      </x:c>
      <x:c r="Z1225" s="10" t="str">
        <x:v>Разрешено по метаданным</x:v>
      </x:c>
      <x:c r="AA1225" s="10" t="str">
        <x:v>Метаданные видео; воспроизведение и содержание не проверены</x:v>
      </x:c>
      <x:c r="AB1225" s="13" t="n">
        <x:f>IF(AND(ISNUMBER(H1225),ISNUMBER(W1225)),H1225/MAX(1,'Обзор'!$B$4-W1225),"")</x:f>
        <x:v>7.292110874200427</x:v>
      </x:c>
      <x:c r="AC1225" s="17" t="str">
        <x:v>Не решено</x:v>
      </x:c>
      <x:c r="AD1225" s="17" t="str">
        <x:v>Не проверено</x:v>
      </x:c>
      <x:c r="AE1225" s="17" t="str">
        <x:v>Не проверено</x:v>
      </x:c>
      <x:c r="AF1225" s="17" t="str">
        <x:v>Не проверено</x:v>
      </x:c>
      <x:c r="AG1225" s="17" t="str">
        <x:v>Не решено</x:v>
      </x:c>
      <x:c r="AH1225" s="17" t="str">
        <x:v>Не проверено</x:v>
      </x:c>
      <x:c r="AI1225" s="10" t="str">
        <x:f>IF(AC1225="Отклонить","Отклонено",IF(AND(AC1225="Взять",COUNTIFS(AD1225:AH1225,"Да")=5),"Готово","Нужна редактура"))</x:f>
        <x:v>Нужна редактура</x:v>
      </x:c>
      <x:c r="AJ1225" s="17" t="str"/>
      <x:c r="AK1225" s="9" t="str">
        <x:v>https://www.youtube.com/playlist?list=PLv2rnAORLiVC-N2yV0vvgHgjCRVt5GQdp</x:v>
      </x:c>
      <x:c r="AL1225" s="9" t="n">
        <x:v>3</x:v>
      </x:c>
      <x:c r="AM1225" s="9"/>
      <x:c r="AN1225" s="9" t="n">
        <x:v>0</x:v>
      </x:c>
    </x:row>
    <x:row r="1226" ht="60" customHeight="1">
      <x:c r="A1226" s="9" t="str">
        <x:v>VasSTIEP8Tk</x:v>
      </x:c>
      <x:c r="B1226" s="10" t="str">
        <x:v>תלמודו של עגנון | שיעור 2 - שני תלמידי חכמים | פרופ' חיים וייס</x:v>
      </x:c>
      <x:c r="C1226" s="10" t="str">
        <x:v>Литература и язык</x:v>
      </x:c>
      <x:c r="D1226" s="9" t="str">
        <x:v>История</x:v>
      </x:c>
      <x:c r="E1226" s="10" t="str">
        <x:v>История; культура; еврейское наследие; продвинутые</x:v>
      </x:c>
      <x:c r="F1226" s="10" t="str">
        <x:v>B2–C1 (гипотеза)</x:v>
      </x:c>
      <x:c r="G1226" s="12" t="n">
        <x:v>42.8</x:v>
      </x:c>
      <x:c r="H1226" s="14" t="n">
        <x:v>4706</x:v>
      </x:c>
      <x:c r="I1226" s="15" t="str">
        <x:v>Точный счётчик метаданных видео</x:v>
      </x:c>
      <x:c r="J1226" s="14" t="n">
        <x:v>4700</x:v>
      </x:c>
      <x:c r="K1226" s="14" t="n">
        <x:v>3400</x:v>
      </x:c>
      <x:c r="L1226" s="12" t="n">
        <x:f>IF(COUNT(J1226:K1226)=2,IF(K1226=0,"",J1226/K1226),"")</x:f>
        <x:v>1.3823529411764706</x:v>
      </x:c>
      <x:c r="M1226" s="10" t="str">
        <x:v>Тема: תלמודו של עגנון | שיעור 2 - שני תלמידי חכמים | פרופ' חיים וייס. Агнон связывает классическую литературу и еврейскую текстовую традицию.</x:v>
      </x:c>
      <x:c r="N1226" s="10" t="str">
        <x:v>Разобрать один термин и объяснить литературную отсылку.</x:v>
      </x:c>
      <x:c r="O1226" s="10" t="str">
        <x:v>Лекции могут включать арамейский, ладино и цитаты; основной язык проверить</x:v>
      </x:c>
      <x:c r="P1226" s="10" t="str">
        <x:v>Самостоятельное видео</x:v>
      </x:c>
      <x:c r="Q1226" s="9" t="str">
        <x:v>Нет</x:v>
      </x:c>
      <x:c r="R1226" s="9" t="str">
        <x:v>C071</x:v>
      </x:c>
      <x:c r="S1226" s="9" t="str">
        <x:v>C071</x:v>
      </x:c>
      <x:c r="T1226" s="10" t="str">
        <x:v>בית אבי חי</x:v>
      </x:c>
      <x:c r="U1226" s="11" t="str">
        <x:v>https://www.youtube.com/watch?v=VasSTIEP8Tk</x:v>
      </x:c>
      <x:c r="V1226" s="16" t="n">
        <x:v>46308</x:v>
      </x:c>
      <x:c r="W1226" s="16" t="n">
        <x:v>45838</x:v>
      </x:c>
      <x:c r="X1226" s="10" t="str">
        <x:v>Иврит предполагается по заголовку и источнику</x:v>
      </x:c>
      <x:c r="Y1226" s="10" t="str">
        <x:v>Автоматическая дорожка HE по метаданным</x:v>
      </x:c>
      <x:c r="Z1226" s="10" t="str">
        <x:v>Разрешено по метаданным</x:v>
      </x:c>
      <x:c r="AA1226" s="10" t="str">
        <x:v>Метаданные видео; воспроизведение и содержание не проверены</x:v>
      </x:c>
      <x:c r="AB1226" s="13" t="n">
        <x:f>IF(AND(ISNUMBER(H1226),ISNUMBER(W1226)),H1226/MAX(1,'Обзор'!$B$4-W1226),"")</x:f>
        <x:v>10.012765957446808</x:v>
      </x:c>
      <x:c r="AC1226" s="17" t="str">
        <x:v>Не решено</x:v>
      </x:c>
      <x:c r="AD1226" s="17" t="str">
        <x:v>Не проверено</x:v>
      </x:c>
      <x:c r="AE1226" s="17" t="str">
        <x:v>Не проверено</x:v>
      </x:c>
      <x:c r="AF1226" s="17" t="str">
        <x:v>Не проверено</x:v>
      </x:c>
      <x:c r="AG1226" s="17" t="str">
        <x:v>Не решено</x:v>
      </x:c>
      <x:c r="AH1226" s="17" t="str">
        <x:v>Не проверено</x:v>
      </x:c>
      <x:c r="AI1226" s="10" t="str">
        <x:f>IF(AC1226="Отклонить","Отклонено",IF(AND(AC1226="Взять",COUNTIFS(AD1226:AH1226,"Да")=5),"Готово","Нужна редактура"))</x:f>
        <x:v>Нужна редактура</x:v>
      </x:c>
      <x:c r="AJ1226" s="17" t="str"/>
      <x:c r="AK1226" s="9" t="str">
        <x:v>https://www.youtube.com/playlist?list=PLv2rnAORLiVC-N2yV0vvgHgjCRVt5GQdp</x:v>
      </x:c>
      <x:c r="AL1226" s="9" t="n">
        <x:v>4</x:v>
      </x:c>
      <x:c r="AM1226" s="9"/>
      <x:c r="AN1226" s="9" t="n">
        <x:v>0</x:v>
      </x:c>
    </x:row>
    <x:row r="1227" ht="60" customHeight="1">
      <x:c r="A1227" s="9" t="str">
        <x:v>GsgVDb0VJd4</x:v>
      </x:c>
      <x:c r="B1227" s="10" t="str">
        <x:v>תלמודו של עגנון | שיעור 1 - עגנון כגאון טקסטואלי | פרופ' חיים וייס</x:v>
      </x:c>
      <x:c r="C1227" s="10" t="str">
        <x:v>Литература и язык</x:v>
      </x:c>
      <x:c r="D1227" s="9" t="str">
        <x:v>История</x:v>
      </x:c>
      <x:c r="E1227" s="10" t="str">
        <x:v>История; культура; еврейское наследие; продвинутые</x:v>
      </x:c>
      <x:c r="F1227" s="10" t="str">
        <x:v>B2–C1 (гипотеза)</x:v>
      </x:c>
      <x:c r="G1227" s="12" t="n">
        <x:v>41</x:v>
      </x:c>
      <x:c r="H1227" s="14" t="n">
        <x:v>7090</x:v>
      </x:c>
      <x:c r="I1227" s="15" t="str">
        <x:v>Точный счётчик метаданных видео</x:v>
      </x:c>
      <x:c r="J1227" s="14" t="n">
        <x:v>7000</x:v>
      </x:c>
      <x:c r="K1227" s="14" t="n">
        <x:v>3400</x:v>
      </x:c>
      <x:c r="L1227" s="12" t="n">
        <x:f>IF(COUNT(J1227:K1227)=2,IF(K1227=0,"",J1227/K1227),"")</x:f>
        <x:v>2.0588235294117645</x:v>
      </x:c>
      <x:c r="M1227" s="10" t="str">
        <x:v>Тема: תלמודו של עגנון | שיעור 1 - עגנון כגאון טקסטואלי | פרופ' חיים וייס. Просмотры в списке выше медианы выборки этого цикла в 2.06 раза. Агнон связывает классическую литературу и еврейскую текстовую традицию.</x:v>
      </x:c>
      <x:c r="N1227" s="10" t="str">
        <x:v>Разобрать один термин и объяснить литературную отсылку.</x:v>
      </x:c>
      <x:c r="O1227" s="10" t="str">
        <x:v>Лекции могут включать арамейский, ладино и цитаты; основной язык проверить</x:v>
      </x:c>
      <x:c r="P1227" s="10" t="str">
        <x:v>Самостоятельное видео</x:v>
      </x:c>
      <x:c r="Q1227" s="9" t="str">
        <x:v>Нет</x:v>
      </x:c>
      <x:c r="R1227" s="9" t="str">
        <x:v>C071</x:v>
      </x:c>
      <x:c r="S1227" s="9" t="str">
        <x:v>C071</x:v>
      </x:c>
      <x:c r="T1227" s="10" t="str">
        <x:v>בית אבי חי</x:v>
      </x:c>
      <x:c r="U1227" s="11" t="str">
        <x:v>https://www.youtube.com/watch?v=GsgVDb0VJd4</x:v>
      </x:c>
      <x:c r="V1227" s="16" t="n">
        <x:v>46308</x:v>
      </x:c>
      <x:c r="W1227" s="16" t="n">
        <x:v>45837</x:v>
      </x:c>
      <x:c r="X1227" s="10" t="str">
        <x:v>iw</x:v>
      </x:c>
      <x:c r="Y1227" s="10" t="str">
        <x:v>Автоматическая дорожка HE по метаданным</x:v>
      </x:c>
      <x:c r="Z1227" s="10" t="str">
        <x:v>Разрешено по метаданным</x:v>
      </x:c>
      <x:c r="AA1227" s="10" t="str">
        <x:v>Метаданные видео; воспроизведение и содержание не проверены</x:v>
      </x:c>
      <x:c r="AB1227" s="13" t="n">
        <x:f>IF(AND(ISNUMBER(H1227),ISNUMBER(W1227)),H1227/MAX(1,'Обзор'!$B$4-W1227),"")</x:f>
        <x:v>15.05307855626327</x:v>
      </x:c>
      <x:c r="AC1227" s="17" t="str">
        <x:v>Не решено</x:v>
      </x:c>
      <x:c r="AD1227" s="17" t="str">
        <x:v>Не проверено</x:v>
      </x:c>
      <x:c r="AE1227" s="17" t="str">
        <x:v>Не проверено</x:v>
      </x:c>
      <x:c r="AF1227" s="17" t="str">
        <x:v>Не проверено</x:v>
      </x:c>
      <x:c r="AG1227" s="17" t="str">
        <x:v>Не решено</x:v>
      </x:c>
      <x:c r="AH1227" s="17" t="str">
        <x:v>Не проверено</x:v>
      </x:c>
      <x:c r="AI1227" s="10" t="str">
        <x:f>IF(AC1227="Отклонить","Отклонено",IF(AND(AC1227="Взять",COUNTIFS(AD1227:AH1227,"Да")=5),"Готово","Нужна редактура"))</x:f>
        <x:v>Нужна редактура</x:v>
      </x:c>
      <x:c r="AJ1227" s="17" t="str"/>
      <x:c r="AK1227" s="9" t="str">
        <x:v>https://www.youtube.com/playlist?list=PLv2rnAORLiVC-N2yV0vvgHgjCRVt5GQdp</x:v>
      </x:c>
      <x:c r="AL1227" s="9" t="n">
        <x:v>5</x:v>
      </x:c>
      <x:c r="AM1227" s="9"/>
      <x:c r="AN1227" s="9" t="n">
        <x:v>0</x:v>
      </x:c>
    </x:row>
    <x:row r="1228" ht="60" customHeight="1">
      <x:c r="A1228" s="9" t="str">
        <x:v>sudlUlkVlWk</x:v>
      </x:c>
      <x:c r="B1228" s="10" t="str">
        <x:v>המסות של ח"נ ביאליק | שיעור 5 - חידוש הזמן הקדוש | ד"ר רני יגר</x:v>
      </x:c>
      <x:c r="C1228" s="10" t="str">
        <x:v>Литература и язык</x:v>
      </x:c>
      <x:c r="D1228" s="9" t="str">
        <x:v>История</x:v>
      </x:c>
      <x:c r="E1228" s="10" t="str">
        <x:v>История; культура; еврейское наследие; продвинутые</x:v>
      </x:c>
      <x:c r="F1228" s="10" t="str">
        <x:v>B2–C1 (гипотеза)</x:v>
      </x:c>
      <x:c r="G1228" s="12" t="n">
        <x:v>40.5</x:v>
      </x:c>
      <x:c r="H1228" s="14" t="n">
        <x:v>1200</x:v>
      </x:c>
      <x:c r="I1228" s="15" t="str">
        <x:v>Округлённый счётчик в списке YouTube</x:v>
      </x:c>
      <x:c r="J1228" s="14" t="n">
        <x:v>1200</x:v>
      </x:c>
      <x:c r="K1228" s="14" t="n">
        <x:v>1900</x:v>
      </x:c>
      <x:c r="L1228" s="12" t="n">
        <x:f>IF(COUNT(J1228:K1228)=2,IF(K1228=0,"",J1228/K1228),"")</x:f>
        <x:v>0.631578947368421</x:v>
      </x:c>
      <x:c r="M1228" s="10" t="str">
        <x:v>Тема: המסות של ח"נ ביאליק | שיעור 5 - חידוש הזמן הקדוש | ד"ר רני יגר. Бялик даёт устойчивую культурную тему для аудитории книг и истории иврита.</x:v>
      </x:c>
      <x:c r="N1228" s="10" t="str">
        <x:v>Короткий фрагмент лекции и аргументированный пересказ.</x:v>
      </x:c>
      <x:c r="O1228" s="10" t="str">
        <x:v>Лекции могут включать арамейский, ладино и цитаты; основной язык проверить</x:v>
      </x:c>
      <x:c r="P1228" s="10" t="str">
        <x:v>Самостоятельное видео</x:v>
      </x:c>
      <x:c r="Q1228" s="9" t="str">
        <x:v>Нет</x:v>
      </x:c>
      <x:c r="R1228" s="9" t="str">
        <x:v>C072</x:v>
      </x:c>
      <x:c r="S1228" s="9" t="str">
        <x:v>C072</x:v>
      </x:c>
      <x:c r="T1228" s="10" t="str">
        <x:v>בית אבי חי</x:v>
      </x:c>
      <x:c r="U1228" s="11" t="str">
        <x:v>https://www.youtube.com/watch?v=sudlUlkVlWk</x:v>
      </x:c>
      <x:c r="V1228" s="16" t="n">
        <x:v>46308</x:v>
      </x:c>
      <x:c r="W1228" s="16"/>
      <x:c r="X1228" s="10" t="str">
        <x:v>Иврит предполагается по заголовку и источнику</x:v>
      </x:c>
      <x:c r="Y1228" s="10" t="str">
        <x:v>Не проверено</x:v>
      </x:c>
      <x:c r="Z1228" s="10" t="str">
        <x:v>Не проверено</x:v>
      </x:c>
      <x:c r="AA1228" s="10" t="str">
        <x:v>Метаданные списка; видео не просмотрено</x:v>
      </x:c>
      <x:c r="AB1228" s="13" t="str">
        <x:f>IF(AND(ISNUMBER(H1228),ISNUMBER(W1228)),H1228/MAX(1,'Обзор'!$B$4-W1228),"")</x:f>
      </x:c>
      <x:c r="AC1228" s="17" t="str">
        <x:v>Не решено</x:v>
      </x:c>
      <x:c r="AD1228" s="17" t="str">
        <x:v>Не проверено</x:v>
      </x:c>
      <x:c r="AE1228" s="17" t="str">
        <x:v>Не проверено</x:v>
      </x:c>
      <x:c r="AF1228" s="17" t="str">
        <x:v>Не проверено</x:v>
      </x:c>
      <x:c r="AG1228" s="17" t="str">
        <x:v>Не решено</x:v>
      </x:c>
      <x:c r="AH1228" s="17" t="str">
        <x:v>Не проверено</x:v>
      </x:c>
      <x:c r="AI1228" s="10" t="str">
        <x:f>IF(AC1228="Отклонить","Отклонено",IF(AND(AC1228="Взять",COUNTIFS(AD1228:AH1228,"Да")=5),"Готово","Нужна редактура"))</x:f>
        <x:v>Нужна редактура</x:v>
      </x:c>
      <x:c r="AJ1228" s="17" t="str"/>
      <x:c r="AK1228" s="9" t="str">
        <x:v>https://www.youtube.com/playlist?list=PLv2rnAORLiVDvMG419TbLa2GPGo1P_xp8</x:v>
      </x:c>
      <x:c r="AL1228" s="9" t="n">
        <x:v>1</x:v>
      </x:c>
      <x:c r="AM1228" s="9"/>
      <x:c r="AN1228" s="9"/>
    </x:row>
    <x:row r="1229" ht="60" customHeight="1">
      <x:c r="A1229" s="9" t="str">
        <x:v>8XAoi2sGkLI</x:v>
      </x:c>
      <x:c r="B1229" s="10" t="str">
        <x:v>המסות של ח"נ ביאליק | שיעור 4 - חילוניות יהודית | ד"ר רני יגר</x:v>
      </x:c>
      <x:c r="C1229" s="10" t="str">
        <x:v>Литература и язык</x:v>
      </x:c>
      <x:c r="D1229" s="9" t="str">
        <x:v>История</x:v>
      </x:c>
      <x:c r="E1229" s="10" t="str">
        <x:v>История; культура; еврейское наследие; продвинутые</x:v>
      </x:c>
      <x:c r="F1229" s="10" t="str">
        <x:v>B2–C1 (гипотеза)</x:v>
      </x:c>
      <x:c r="G1229" s="12" t="n">
        <x:v>43.9</x:v>
      </x:c>
      <x:c r="H1229" s="14" t="n">
        <x:v>1500</x:v>
      </x:c>
      <x:c r="I1229" s="15" t="str">
        <x:v>Округлённый счётчик в списке YouTube</x:v>
      </x:c>
      <x:c r="J1229" s="14" t="n">
        <x:v>1500</x:v>
      </x:c>
      <x:c r="K1229" s="14" t="n">
        <x:v>1900</x:v>
      </x:c>
      <x:c r="L1229" s="12" t="n">
        <x:f>IF(COUNT(J1229:K1229)=2,IF(K1229=0,"",J1229/K1229),"")</x:f>
        <x:v>0.7894736842105263</x:v>
      </x:c>
      <x:c r="M1229" s="10" t="str">
        <x:v>Тема: המסות של ח"נ ביאליק | שיעור 4 - חילוניות יהודית | ד"ר רני יגר. Бялик даёт устойчивую культурную тему для аудитории книг и истории иврита.</x:v>
      </x:c>
      <x:c r="N1229" s="10" t="str">
        <x:v>Короткий фрагмент лекции и аргументированный пересказ.</x:v>
      </x:c>
      <x:c r="O1229" s="10" t="str">
        <x:v>Лекции могут включать арамейский, ладино и цитаты; основной язык проверить</x:v>
      </x:c>
      <x:c r="P1229" s="10" t="str">
        <x:v>Самостоятельное видео</x:v>
      </x:c>
      <x:c r="Q1229" s="9" t="str">
        <x:v>Нет</x:v>
      </x:c>
      <x:c r="R1229" s="9" t="str">
        <x:v>C072</x:v>
      </x:c>
      <x:c r="S1229" s="9" t="str">
        <x:v>C072</x:v>
      </x:c>
      <x:c r="T1229" s="10" t="str">
        <x:v>בית אבי חי</x:v>
      </x:c>
      <x:c r="U1229" s="11" t="str">
        <x:v>https://www.youtube.com/watch?v=8XAoi2sGkLI</x:v>
      </x:c>
      <x:c r="V1229" s="16" t="n">
        <x:v>46308</x:v>
      </x:c>
      <x:c r="W1229" s="16"/>
      <x:c r="X1229" s="10" t="str">
        <x:v>Иврит предполагается по заголовку и источнику</x:v>
      </x:c>
      <x:c r="Y1229" s="10" t="str">
        <x:v>Не проверено</x:v>
      </x:c>
      <x:c r="Z1229" s="10" t="str">
        <x:v>Не проверено</x:v>
      </x:c>
      <x:c r="AA1229" s="10" t="str">
        <x:v>Метаданные списка; видео не просмотрено</x:v>
      </x:c>
      <x:c r="AB1229" s="13" t="str">
        <x:f>IF(AND(ISNUMBER(H1229),ISNUMBER(W1229)),H1229/MAX(1,'Обзор'!$B$4-W1229),"")</x:f>
      </x:c>
      <x:c r="AC1229" s="17" t="str">
        <x:v>Не решено</x:v>
      </x:c>
      <x:c r="AD1229" s="17" t="str">
        <x:v>Не проверено</x:v>
      </x:c>
      <x:c r="AE1229" s="17" t="str">
        <x:v>Не проверено</x:v>
      </x:c>
      <x:c r="AF1229" s="17" t="str">
        <x:v>Не проверено</x:v>
      </x:c>
      <x:c r="AG1229" s="17" t="str">
        <x:v>Не решено</x:v>
      </x:c>
      <x:c r="AH1229" s="17" t="str">
        <x:v>Не проверено</x:v>
      </x:c>
      <x:c r="AI1229" s="10" t="str">
        <x:f>IF(AC1229="Отклонить","Отклонено",IF(AND(AC1229="Взять",COUNTIFS(AD1229:AH1229,"Да")=5),"Готово","Нужна редактура"))</x:f>
        <x:v>Нужна редактура</x:v>
      </x:c>
      <x:c r="AJ1229" s="17" t="str"/>
      <x:c r="AK1229" s="9" t="str">
        <x:v>https://www.youtube.com/playlist?list=PLv2rnAORLiVDvMG419TbLa2GPGo1P_xp8</x:v>
      </x:c>
      <x:c r="AL1229" s="9" t="n">
        <x:v>2</x:v>
      </x:c>
      <x:c r="AM1229" s="9"/>
      <x:c r="AN1229" s="9"/>
    </x:row>
    <x:row r="1230" ht="60" customHeight="1">
      <x:c r="A1230" s="9" t="str">
        <x:v>N-qwsA1gsEk</x:v>
      </x:c>
      <x:c r="B1230" s="10" t="str">
        <x:v>המסות של ח"נ ביאליק | שיעור 3 - השפה העברית | ד"ר רני יגר</x:v>
      </x:c>
      <x:c r="C1230" s="10" t="str">
        <x:v>Литература и язык</x:v>
      </x:c>
      <x:c r="D1230" s="9" t="str">
        <x:v>История</x:v>
      </x:c>
      <x:c r="E1230" s="10" t="str">
        <x:v>История; культура; еврейское наследие; продвинутые</x:v>
      </x:c>
      <x:c r="F1230" s="10" t="str">
        <x:v>B2–C1 (гипотеза)</x:v>
      </x:c>
      <x:c r="G1230" s="12" t="n">
        <x:v>39.1</x:v>
      </x:c>
      <x:c r="H1230" s="14" t="n">
        <x:v>1989</x:v>
      </x:c>
      <x:c r="I1230" s="15" t="str">
        <x:v>Точный счётчик метаданных видео</x:v>
      </x:c>
      <x:c r="J1230" s="14" t="n">
        <x:v>1900</x:v>
      </x:c>
      <x:c r="K1230" s="14" t="n">
        <x:v>1900</x:v>
      </x:c>
      <x:c r="L1230" s="12" t="n">
        <x:f>IF(COUNT(J1230:K1230)=2,IF(K1230=0,"",J1230/K1230),"")</x:f>
        <x:v>1</x:v>
      </x:c>
      <x:c r="M1230" s="10" t="str">
        <x:v>Тема: המסות של ח"נ ביאליק | שיעור 3 - השפה העברית | ד"ר רני יגר. Бялик даёт устойчивую культурную тему для аудитории книг и истории иврита.</x:v>
      </x:c>
      <x:c r="N1230" s="10" t="str">
        <x:v>Короткий фрагмент лекции и аргументированный пересказ.</x:v>
      </x:c>
      <x:c r="O1230" s="10" t="str">
        <x:v>Лекции могут включать арамейский, ладино и цитаты; основной язык проверить</x:v>
      </x:c>
      <x:c r="P1230" s="10" t="str">
        <x:v>Самостоятельное видео</x:v>
      </x:c>
      <x:c r="Q1230" s="9" t="str">
        <x:v>Нет</x:v>
      </x:c>
      <x:c r="R1230" s="9" t="str">
        <x:v>C072</x:v>
      </x:c>
      <x:c r="S1230" s="9" t="str">
        <x:v>C072</x:v>
      </x:c>
      <x:c r="T1230" s="10" t="str">
        <x:v>בית אבי חי</x:v>
      </x:c>
      <x:c r="U1230" s="11" t="str">
        <x:v>https://www.youtube.com/watch?v=N-qwsA1gsEk</x:v>
      </x:c>
      <x:c r="V1230" s="16" t="n">
        <x:v>46308</x:v>
      </x:c>
      <x:c r="W1230" s="16" t="n">
        <x:v>45594</x:v>
      </x:c>
      <x:c r="X1230" s="10" t="str">
        <x:v>Иврит предполагается по заголовку и источнику</x:v>
      </x:c>
      <x:c r="Y1230" s="10" t="str">
        <x:v>Автоматическая дорожка HE по метаданным</x:v>
      </x:c>
      <x:c r="Z1230" s="10" t="str">
        <x:v>Разрешено по метаданным</x:v>
      </x:c>
      <x:c r="AA1230" s="10" t="str">
        <x:v>Метаданные видео; воспроизведение и содержание не проверены</x:v>
      </x:c>
      <x:c r="AB1230" s="13" t="n">
        <x:f>IF(AND(ISNUMBER(H1230),ISNUMBER(W1230)),H1230/MAX(1,'Обзор'!$B$4-W1230),"")</x:f>
        <x:v>2.7857142857142856</x:v>
      </x:c>
      <x:c r="AC1230" s="17" t="str">
        <x:v>Не решено</x:v>
      </x:c>
      <x:c r="AD1230" s="17" t="str">
        <x:v>Не проверено</x:v>
      </x:c>
      <x:c r="AE1230" s="17" t="str">
        <x:v>Не проверено</x:v>
      </x:c>
      <x:c r="AF1230" s="17" t="str">
        <x:v>Не проверено</x:v>
      </x:c>
      <x:c r="AG1230" s="17" t="str">
        <x:v>Не решено</x:v>
      </x:c>
      <x:c r="AH1230" s="17" t="str">
        <x:v>Не проверено</x:v>
      </x:c>
      <x:c r="AI1230" s="10" t="str">
        <x:f>IF(AC1230="Отклонить","Отклонено",IF(AND(AC1230="Взять",COUNTIFS(AD1230:AH1230,"Да")=5),"Готово","Нужна редактура"))</x:f>
        <x:v>Нужна редактура</x:v>
      </x:c>
      <x:c r="AJ1230" s="17" t="str"/>
      <x:c r="AK1230" s="9" t="str">
        <x:v>https://www.youtube.com/playlist?list=PLv2rnAORLiVDvMG419TbLa2GPGo1P_xp8</x:v>
      </x:c>
      <x:c r="AL1230" s="9" t="n">
        <x:v>3</x:v>
      </x:c>
      <x:c r="AM1230" s="9"/>
      <x:c r="AN1230" s="9" t="n">
        <x:v>0</x:v>
      </x:c>
    </x:row>
    <x:row r="1231" ht="60" customHeight="1">
      <x:c r="A1231" s="9" t="str">
        <x:v>bvpfpOSuCgM</x:v>
      </x:c>
      <x:c r="B1231" s="10" t="str">
        <x:v>המסות של ח"נ ביאליק | שיעור 2 - הלכה ואגדה ב | ד"ר רני יגר</x:v>
      </x:c>
      <x:c r="C1231" s="10" t="str">
        <x:v>Литература и язык</x:v>
      </x:c>
      <x:c r="D1231" s="9" t="str">
        <x:v>История</x:v>
      </x:c>
      <x:c r="E1231" s="10" t="str">
        <x:v>История; культура; еврейское наследие; продвинутые</x:v>
      </x:c>
      <x:c r="F1231" s="10" t="str">
        <x:v>B2–C1 (гипотеза)</x:v>
      </x:c>
      <x:c r="G1231" s="12" t="n">
        <x:v>44.3</x:v>
      </x:c>
      <x:c r="H1231" s="14" t="n">
        <x:v>2437</x:v>
      </x:c>
      <x:c r="I1231" s="15" t="str">
        <x:v>Точный счётчик метаданных видео</x:v>
      </x:c>
      <x:c r="J1231" s="14" t="n">
        <x:v>2400</x:v>
      </x:c>
      <x:c r="K1231" s="14" t="n">
        <x:v>1900</x:v>
      </x:c>
      <x:c r="L1231" s="12" t="n">
        <x:f>IF(COUNT(J1231:K1231)=2,IF(K1231=0,"",J1231/K1231),"")</x:f>
        <x:v>1.263157894736842</x:v>
      </x:c>
      <x:c r="M1231" s="10" t="str">
        <x:v>Тема: המסות של ח"נ ביאליק | שיעור 2 - הלכה ואגדה ב | ד"ר רני יגר. Бялик даёт устойчивую культурную тему для аудитории книг и истории иврита.</x:v>
      </x:c>
      <x:c r="N1231" s="10" t="str">
        <x:v>Короткий фрагмент лекции и аргументированный пересказ.</x:v>
      </x:c>
      <x:c r="O1231" s="10" t="str">
        <x:v>Лекции могут включать арамейский, ладино и цитаты; основной язык проверить</x:v>
      </x:c>
      <x:c r="P1231" s="10" t="str">
        <x:v>Самостоятельное видео</x:v>
      </x:c>
      <x:c r="Q1231" s="9" t="str">
        <x:v>Нет</x:v>
      </x:c>
      <x:c r="R1231" s="9" t="str">
        <x:v>C072</x:v>
      </x:c>
      <x:c r="S1231" s="9" t="str">
        <x:v>C072</x:v>
      </x:c>
      <x:c r="T1231" s="10" t="str">
        <x:v>בית אבי חי</x:v>
      </x:c>
      <x:c r="U1231" s="11" t="str">
        <x:v>https://www.youtube.com/watch?v=bvpfpOSuCgM</x:v>
      </x:c>
      <x:c r="V1231" s="16" t="n">
        <x:v>46308</x:v>
      </x:c>
      <x:c r="W1231" s="16" t="n">
        <x:v>45593</x:v>
      </x:c>
      <x:c r="X1231" s="10" t="str">
        <x:v>Иврит предполагается по заголовку и источнику</x:v>
      </x:c>
      <x:c r="Y1231" s="10" t="str">
        <x:v>Автоматическая дорожка HE по метаданным</x:v>
      </x:c>
      <x:c r="Z1231" s="10" t="str">
        <x:v>Разрешено по метаданным</x:v>
      </x:c>
      <x:c r="AA1231" s="10" t="str">
        <x:v>Метаданные видео; воспроизведение и содержание не проверены</x:v>
      </x:c>
      <x:c r="AB1231" s="13" t="n">
        <x:f>IF(AND(ISNUMBER(H1231),ISNUMBER(W1231)),H1231/MAX(1,'Обзор'!$B$4-W1231),"")</x:f>
        <x:v>3.4083916083916086</x:v>
      </x:c>
      <x:c r="AC1231" s="17" t="str">
        <x:v>Не решено</x:v>
      </x:c>
      <x:c r="AD1231" s="17" t="str">
        <x:v>Не проверено</x:v>
      </x:c>
      <x:c r="AE1231" s="17" t="str">
        <x:v>Не проверено</x:v>
      </x:c>
      <x:c r="AF1231" s="17" t="str">
        <x:v>Не проверено</x:v>
      </x:c>
      <x:c r="AG1231" s="17" t="str">
        <x:v>Не решено</x:v>
      </x:c>
      <x:c r="AH1231" s="17" t="str">
        <x:v>Не проверено</x:v>
      </x:c>
      <x:c r="AI1231" s="10" t="str">
        <x:f>IF(AC1231="Отклонить","Отклонено",IF(AND(AC1231="Взять",COUNTIFS(AD1231:AH1231,"Да")=5),"Готово","Нужна редактура"))</x:f>
        <x:v>Нужна редактура</x:v>
      </x:c>
      <x:c r="AJ1231" s="17" t="str"/>
      <x:c r="AK1231" s="9" t="str">
        <x:v>https://www.youtube.com/playlist?list=PLv2rnAORLiVDvMG419TbLa2GPGo1P_xp8</x:v>
      </x:c>
      <x:c r="AL1231" s="9" t="n">
        <x:v>4</x:v>
      </x:c>
      <x:c r="AM1231" s="9"/>
      <x:c r="AN1231" s="9" t="n">
        <x:v>0</x:v>
      </x:c>
    </x:row>
    <x:row r="1232" ht="60" customHeight="1">
      <x:c r="A1232" s="9" t="str">
        <x:v>E8FCzGODLPk</x:v>
      </x:c>
      <x:c r="B1232" s="10" t="str">
        <x:v>המסות של ח"נ ביאליק | שיעור 1 - הלכה ואגדה א | ד"ר רני יגר</x:v>
      </x:c>
      <x:c r="C1232" s="10" t="str">
        <x:v>Литература и язык</x:v>
      </x:c>
      <x:c r="D1232" s="9" t="str">
        <x:v>История</x:v>
      </x:c>
      <x:c r="E1232" s="10" t="str">
        <x:v>История; культура; еврейское наследие; продвинутые</x:v>
      </x:c>
      <x:c r="F1232" s="10" t="str">
        <x:v>B2–C1 (гипотеза)</x:v>
      </x:c>
      <x:c r="G1232" s="12" t="n">
        <x:v>43</x:v>
      </x:c>
      <x:c r="H1232" s="14" t="n">
        <x:v>4874</x:v>
      </x:c>
      <x:c r="I1232" s="15" t="str">
        <x:v>Точный счётчик метаданных видео</x:v>
      </x:c>
      <x:c r="J1232" s="14" t="n">
        <x:v>4800</x:v>
      </x:c>
      <x:c r="K1232" s="14" t="n">
        <x:v>1900</x:v>
      </x:c>
      <x:c r="L1232" s="12" t="n">
        <x:f>IF(COUNT(J1232:K1232)=2,IF(K1232=0,"",J1232/K1232),"")</x:f>
        <x:v>2.526315789473684</x:v>
      </x:c>
      <x:c r="M1232" s="10" t="str">
        <x:v>Тема: המסות של ח"נ ביאליק | שיעור 1 - הלכה ואגדה א | ד"ר רני יגר. Просмотры в списке выше медианы выборки этого цикла в 2.53 раза. Бялик даёт устойчивую культурную тему для аудитории книг и истории иврита.</x:v>
      </x:c>
      <x:c r="N1232" s="10" t="str">
        <x:v>Короткий фрагмент лекции и аргументированный пересказ.</x:v>
      </x:c>
      <x:c r="O1232" s="10" t="str">
        <x:v>Лекции могут включать арамейский, ладино и цитаты; основной язык проверить</x:v>
      </x:c>
      <x:c r="P1232" s="10" t="str">
        <x:v>Самостоятельное видео</x:v>
      </x:c>
      <x:c r="Q1232" s="9" t="str">
        <x:v>Нет</x:v>
      </x:c>
      <x:c r="R1232" s="9" t="str">
        <x:v>C072</x:v>
      </x:c>
      <x:c r="S1232" s="9" t="str">
        <x:v>C072</x:v>
      </x:c>
      <x:c r="T1232" s="10" t="str">
        <x:v>בית אבי חי</x:v>
      </x:c>
      <x:c r="U1232" s="11" t="str">
        <x:v>https://www.youtube.com/watch?v=E8FCzGODLPk</x:v>
      </x:c>
      <x:c r="V1232" s="16" t="n">
        <x:v>46308</x:v>
      </x:c>
      <x:c r="W1232" s="16" t="n">
        <x:v>45592</x:v>
      </x:c>
      <x:c r="X1232" s="10" t="str">
        <x:v>iw</x:v>
      </x:c>
      <x:c r="Y1232" s="10" t="str">
        <x:v>Автоматическая дорожка HE по метаданным</x:v>
      </x:c>
      <x:c r="Z1232" s="10" t="str">
        <x:v>Разрешено по метаданным</x:v>
      </x:c>
      <x:c r="AA1232" s="10" t="str">
        <x:v>Метаданные видео; воспроизведение и содержание не проверены</x:v>
      </x:c>
      <x:c r="AB1232" s="13" t="n">
        <x:f>IF(AND(ISNUMBER(H1232),ISNUMBER(W1232)),H1232/MAX(1,'Обзор'!$B$4-W1232),"")</x:f>
        <x:v>6.807262569832402</x:v>
      </x:c>
      <x:c r="AC1232" s="17" t="str">
        <x:v>Не решено</x:v>
      </x:c>
      <x:c r="AD1232" s="17" t="str">
        <x:v>Не проверено</x:v>
      </x:c>
      <x:c r="AE1232" s="17" t="str">
        <x:v>Не проверено</x:v>
      </x:c>
      <x:c r="AF1232" s="17" t="str">
        <x:v>Не проверено</x:v>
      </x:c>
      <x:c r="AG1232" s="17" t="str">
        <x:v>Не решено</x:v>
      </x:c>
      <x:c r="AH1232" s="17" t="str">
        <x:v>Не проверено</x:v>
      </x:c>
      <x:c r="AI1232" s="10" t="str">
        <x:f>IF(AC1232="Отклонить","Отклонено",IF(AND(AC1232="Взять",COUNTIFS(AD1232:AH1232,"Да")=5),"Готово","Нужна редактура"))</x:f>
        <x:v>Нужна редактура</x:v>
      </x:c>
      <x:c r="AJ1232" s="17" t="str"/>
      <x:c r="AK1232" s="9" t="str">
        <x:v>https://www.youtube.com/playlist?list=PLv2rnAORLiVDvMG419TbLa2GPGo1P_xp8</x:v>
      </x:c>
      <x:c r="AL1232" s="9" t="n">
        <x:v>5</x:v>
      </x:c>
      <x:c r="AM1232" s="9"/>
      <x:c r="AN1232" s="9" t="n">
        <x:v>0</x:v>
      </x:c>
    </x:row>
    <x:row r="1233" ht="60" customHeight="1">
      <x:c r="A1233" s="9" t="str">
        <x:v>s5nsbR1rscM</x:v>
      </x:c>
      <x:c r="B1233" s="10" t="str">
        <x:v>היסטוריה קצרה של חסידות ברסלב | שיעור 5 - חסידות ברסלב במחצית השניה של המאה ה-20 | פרופ' יונתן מאיר</x:v>
      </x:c>
      <x:c r="C1233" s="10" t="str">
        <x:v>Религия и история</x:v>
      </x:c>
      <x:c r="D1233" s="9" t="str">
        <x:v>История</x:v>
      </x:c>
      <x:c r="E1233" s="10" t="str">
        <x:v>История; культура; еврейское наследие; продвинутые</x:v>
      </x:c>
      <x:c r="F1233" s="10" t="str">
        <x:v>B2–C1 (гипотеза)</x:v>
      </x:c>
      <x:c r="G1233" s="12" t="n">
        <x:v>42.7</x:v>
      </x:c>
      <x:c r="H1233" s="14" t="n">
        <x:v>2854</x:v>
      </x:c>
      <x:c r="I1233" s="15" t="str">
        <x:v>Точный счётчик метаданных видео</x:v>
      </x:c>
      <x:c r="J1233" s="14" t="n">
        <x:v>2800</x:v>
      </x:c>
      <x:c r="K1233" s="14" t="n">
        <x:v>2900</x:v>
      </x:c>
      <x:c r="L1233" s="12" t="n">
        <x:f>IF(COUNT(J1233:K1233)=2,IF(K1233=0,"",J1233/K1233),"")</x:f>
        <x:v>0.9655172413793104</x:v>
      </x:c>
      <x:c r="M1233" s="10" t="str">
        <x:v>Тема: היסטוריה קצרה של חסידות ברסלב | שיעור 5 - חסידות ברסלב במחצית השניה של המאה ה-20 | פרופ' יונתן מאיר. История движения помогает понять современную религиозную среду без ежедневной политики.</x:v>
      </x:c>
      <x:c r="N1233" s="10" t="str">
        <x:v>Составить хронологию движения и карту терминов.</x:v>
      </x:c>
      <x:c r="O1233" s="10" t="str">
        <x:v>Лекции могут включать арамейский, ладино и цитаты; основной язык проверить</x:v>
      </x:c>
      <x:c r="P1233" s="10" t="str">
        <x:v>Самостоятельное видео</x:v>
      </x:c>
      <x:c r="Q1233" s="9" t="str">
        <x:v>Нет</x:v>
      </x:c>
      <x:c r="R1233" s="9" t="str">
        <x:v>C073</x:v>
      </x:c>
      <x:c r="S1233" s="9" t="str">
        <x:v>C073</x:v>
      </x:c>
      <x:c r="T1233" s="10" t="str">
        <x:v>בית אבי חי</x:v>
      </x:c>
      <x:c r="U1233" s="11" t="str">
        <x:v>https://www.youtube.com/watch?v=s5nsbR1rscM</x:v>
      </x:c>
      <x:c r="V1233" s="16" t="n">
        <x:v>46308</x:v>
      </x:c>
      <x:c r="W1233" s="16" t="n">
        <x:v>45911</x:v>
      </x:c>
      <x:c r="X1233" s="10" t="str">
        <x:v>Иврит предполагается по заголовку и источнику</x:v>
      </x:c>
      <x:c r="Y1233" s="10" t="str">
        <x:v>Автоматическая дорожка HE по метаданным</x:v>
      </x:c>
      <x:c r="Z1233" s="10" t="str">
        <x:v>Разрешено по метаданным</x:v>
      </x:c>
      <x:c r="AA1233" s="10" t="str">
        <x:v>Метаданные видео; воспроизведение и содержание не проверены</x:v>
      </x:c>
      <x:c r="AB1233" s="13" t="n">
        <x:f>IF(AND(ISNUMBER(H1233),ISNUMBER(W1233)),H1233/MAX(1,'Обзор'!$B$4-W1233),"")</x:f>
        <x:v>7.188916876574307</x:v>
      </x:c>
      <x:c r="AC1233" s="17" t="str">
        <x:v>Не решено</x:v>
      </x:c>
      <x:c r="AD1233" s="17" t="str">
        <x:v>Не проверено</x:v>
      </x:c>
      <x:c r="AE1233" s="17" t="str">
        <x:v>Не проверено</x:v>
      </x:c>
      <x:c r="AF1233" s="17" t="str">
        <x:v>Не проверено</x:v>
      </x:c>
      <x:c r="AG1233" s="17" t="str">
        <x:v>Не решено</x:v>
      </x:c>
      <x:c r="AH1233" s="17" t="str">
        <x:v>Не проверено</x:v>
      </x:c>
      <x:c r="AI1233" s="10" t="str">
        <x:f>IF(AC1233="Отклонить","Отклонено",IF(AND(AC1233="Взять",COUNTIFS(AD1233:AH1233,"Да")=5),"Готово","Нужна редактура"))</x:f>
        <x:v>Нужна редактура</x:v>
      </x:c>
      <x:c r="AJ1233" s="17" t="str"/>
      <x:c r="AK1233" s="9" t="str">
        <x:v>https://www.youtube.com/playlist?list=PLv2rnAORLiVDeZwq2XPrutCsOJ20l2KEk</x:v>
      </x:c>
      <x:c r="AL1233" s="9" t="n">
        <x:v>1</x:v>
      </x:c>
      <x:c r="AM1233" s="9"/>
      <x:c r="AN1233" s="9" t="n">
        <x:v>0</x:v>
      </x:c>
    </x:row>
    <x:row r="1234" ht="60" customHeight="1">
      <x:c r="A1234" s="9" t="str">
        <x:v>PBP5W0Q5xyQ</x:v>
      </x:c>
      <x:c r="B1234" s="10" t="str">
        <x:v>היסטוריה קצרה של חסידות ברסלב | שיעור 4 - הרנסנס של חסידות ברסלב בפולין | פרופ' יונתן מאיר</x:v>
      </x:c>
      <x:c r="C1234" s="10" t="str">
        <x:v>Религия и история</x:v>
      </x:c>
      <x:c r="D1234" s="9" t="str">
        <x:v>История</x:v>
      </x:c>
      <x:c r="E1234" s="10" t="str">
        <x:v>История; культура; еврейское наследие; продвинутые</x:v>
      </x:c>
      <x:c r="F1234" s="10" t="str">
        <x:v>B2–C1 (гипотеза)</x:v>
      </x:c>
      <x:c r="G1234" s="12" t="n">
        <x:v>40.6</x:v>
      </x:c>
      <x:c r="H1234" s="14" t="n">
        <x:v>2711</x:v>
      </x:c>
      <x:c r="I1234" s="15" t="str">
        <x:v>Точный счётчик метаданных видео</x:v>
      </x:c>
      <x:c r="J1234" s="14" t="n">
        <x:v>2700</x:v>
      </x:c>
      <x:c r="K1234" s="14" t="n">
        <x:v>2900</x:v>
      </x:c>
      <x:c r="L1234" s="12" t="n">
        <x:f>IF(COUNT(J1234:K1234)=2,IF(K1234=0,"",J1234/K1234),"")</x:f>
        <x:v>0.9310344827586207</x:v>
      </x:c>
      <x:c r="M1234" s="10" t="str">
        <x:v>Тема: היסטוריה קצרה של חסידות ברסלב | שיעור 4 - הרנסנס של חסידות ברסלב בפולין | פרופ' יונתן מאיר. История движения помогает понять современную религиозную среду без ежедневной политики.</x:v>
      </x:c>
      <x:c r="N1234" s="10" t="str">
        <x:v>Составить хронологию движения и карту терминов.</x:v>
      </x:c>
      <x:c r="O1234" s="10" t="str">
        <x:v>Лекции могут включать арамейский, ладино и цитаты; основной язык проверить</x:v>
      </x:c>
      <x:c r="P1234" s="10" t="str">
        <x:v>Самостоятельное видео</x:v>
      </x:c>
      <x:c r="Q1234" s="9" t="str">
        <x:v>Нет</x:v>
      </x:c>
      <x:c r="R1234" s="9" t="str">
        <x:v>C073</x:v>
      </x:c>
      <x:c r="S1234" s="9" t="str">
        <x:v>C073</x:v>
      </x:c>
      <x:c r="T1234" s="10" t="str">
        <x:v>בית אבי חי</x:v>
      </x:c>
      <x:c r="U1234" s="11" t="str">
        <x:v>https://www.youtube.com/watch?v=PBP5W0Q5xyQ</x:v>
      </x:c>
      <x:c r="V1234" s="16" t="n">
        <x:v>46308</x:v>
      </x:c>
      <x:c r="W1234" s="16" t="n">
        <x:v>45910</x:v>
      </x:c>
      <x:c r="X1234" s="10" t="str">
        <x:v>Иврит предполагается по заголовку и источнику</x:v>
      </x:c>
      <x:c r="Y1234" s="10" t="str">
        <x:v>Автоматическая дорожка HE по метаданным</x:v>
      </x:c>
      <x:c r="Z1234" s="10" t="str">
        <x:v>Разрешено по метаданным</x:v>
      </x:c>
      <x:c r="AA1234" s="10" t="str">
        <x:v>Метаданные видео; воспроизведение и содержание не проверены</x:v>
      </x:c>
      <x:c r="AB1234" s="13" t="n">
        <x:f>IF(AND(ISNUMBER(H1234),ISNUMBER(W1234)),H1234/MAX(1,'Обзор'!$B$4-W1234),"")</x:f>
        <x:v>6.811557788944723</x:v>
      </x:c>
      <x:c r="AC1234" s="17" t="str">
        <x:v>Не решено</x:v>
      </x:c>
      <x:c r="AD1234" s="17" t="str">
        <x:v>Не проверено</x:v>
      </x:c>
      <x:c r="AE1234" s="17" t="str">
        <x:v>Не проверено</x:v>
      </x:c>
      <x:c r="AF1234" s="17" t="str">
        <x:v>Не проверено</x:v>
      </x:c>
      <x:c r="AG1234" s="17" t="str">
        <x:v>Не решено</x:v>
      </x:c>
      <x:c r="AH1234" s="17" t="str">
        <x:v>Не проверено</x:v>
      </x:c>
      <x:c r="AI1234" s="10" t="str">
        <x:f>IF(AC1234="Отклонить","Отклонено",IF(AND(AC1234="Взять",COUNTIFS(AD1234:AH1234,"Да")=5),"Готово","Нужна редактура"))</x:f>
        <x:v>Нужна редактура</x:v>
      </x:c>
      <x:c r="AJ1234" s="17" t="str"/>
      <x:c r="AK1234" s="9" t="str">
        <x:v>https://www.youtube.com/playlist?list=PLv2rnAORLiVDeZwq2XPrutCsOJ20l2KEk</x:v>
      </x:c>
      <x:c r="AL1234" s="9" t="n">
        <x:v>2</x:v>
      </x:c>
      <x:c r="AM1234" s="9"/>
      <x:c r="AN1234" s="9" t="n">
        <x:v>0</x:v>
      </x:c>
    </x:row>
    <x:row r="1235" ht="60" customHeight="1">
      <x:c r="A1235" s="9" t="str">
        <x:v>bJAInrOzuXc</x:v>
      </x:c>
      <x:c r="B1235" s="10" t="str">
        <x:v>היסטוריה קצרה של חסידות ברסלב | שיעור 3 - ר' נתן מנמירוב וחסידות ברסלב במאה ה-19 | פרופ' יונתן מאיר</x:v>
      </x:c>
      <x:c r="C1235" s="10" t="str">
        <x:v>Религия и история</x:v>
      </x:c>
      <x:c r="D1235" s="9" t="str">
        <x:v>История</x:v>
      </x:c>
      <x:c r="E1235" s="10" t="str">
        <x:v>История; культура; еврейское наследие; продвинутые</x:v>
      </x:c>
      <x:c r="F1235" s="10" t="str">
        <x:v>B2–C1 (гипотеза)</x:v>
      </x:c>
      <x:c r="G1235" s="12" t="n">
        <x:v>43</x:v>
      </x:c>
      <x:c r="H1235" s="14" t="n">
        <x:v>2910</x:v>
      </x:c>
      <x:c r="I1235" s="15" t="str">
        <x:v>Точный счётчик метаданных видео</x:v>
      </x:c>
      <x:c r="J1235" s="14" t="n">
        <x:v>2900</x:v>
      </x:c>
      <x:c r="K1235" s="14" t="n">
        <x:v>2900</x:v>
      </x:c>
      <x:c r="L1235" s="12" t="n">
        <x:f>IF(COUNT(J1235:K1235)=2,IF(K1235=0,"",J1235/K1235),"")</x:f>
        <x:v>1</x:v>
      </x:c>
      <x:c r="M1235" s="10" t="str">
        <x:v>Тема: היסטוריה קצרה של חסידות ברסלב | שיעור 3 - ר' נתן מנמירוב וחסידות ברסלב במאה ה-19 | פרופ' יונתן מאיר. История движения помогает понять современную религиозную среду без ежедневной политики.</x:v>
      </x:c>
      <x:c r="N1235" s="10" t="str">
        <x:v>Составить хронологию движения и карту терминов.</x:v>
      </x:c>
      <x:c r="O1235" s="10" t="str">
        <x:v>Лекции могут включать арамейский, ладино и цитаты; основной язык проверить</x:v>
      </x:c>
      <x:c r="P1235" s="10" t="str">
        <x:v>Самостоятельное видео</x:v>
      </x:c>
      <x:c r="Q1235" s="9" t="str">
        <x:v>Нет</x:v>
      </x:c>
      <x:c r="R1235" s="9" t="str">
        <x:v>C073</x:v>
      </x:c>
      <x:c r="S1235" s="9" t="str">
        <x:v>C073</x:v>
      </x:c>
      <x:c r="T1235" s="10" t="str">
        <x:v>בית אבי חי</x:v>
      </x:c>
      <x:c r="U1235" s="11" t="str">
        <x:v>https://www.youtube.com/watch?v=bJAInrOzuXc</x:v>
      </x:c>
      <x:c r="V1235" s="16" t="n">
        <x:v>46308</x:v>
      </x:c>
      <x:c r="W1235" s="16" t="n">
        <x:v>45909</x:v>
      </x:c>
      <x:c r="X1235" s="10" t="str">
        <x:v>Иврит предполагается по заголовку и источнику</x:v>
      </x:c>
      <x:c r="Y1235" s="10" t="str">
        <x:v>Автоматическая дорожка HE по метаданным</x:v>
      </x:c>
      <x:c r="Z1235" s="10" t="str">
        <x:v>Разрешено по метаданным</x:v>
      </x:c>
      <x:c r="AA1235" s="10" t="str">
        <x:v>Метаданные видео; воспроизведение и содержание не проверены</x:v>
      </x:c>
      <x:c r="AB1235" s="13" t="n">
        <x:f>IF(AND(ISNUMBER(H1235),ISNUMBER(W1235)),H1235/MAX(1,'Обзор'!$B$4-W1235),"")</x:f>
        <x:v>7.293233082706767</x:v>
      </x:c>
      <x:c r="AC1235" s="17" t="str">
        <x:v>Не решено</x:v>
      </x:c>
      <x:c r="AD1235" s="17" t="str">
        <x:v>Не проверено</x:v>
      </x:c>
      <x:c r="AE1235" s="17" t="str">
        <x:v>Не проверено</x:v>
      </x:c>
      <x:c r="AF1235" s="17" t="str">
        <x:v>Не проверено</x:v>
      </x:c>
      <x:c r="AG1235" s="17" t="str">
        <x:v>Не решено</x:v>
      </x:c>
      <x:c r="AH1235" s="17" t="str">
        <x:v>Не проверено</x:v>
      </x:c>
      <x:c r="AI1235" s="10" t="str">
        <x:f>IF(AC1235="Отклонить","Отклонено",IF(AND(AC1235="Взять",COUNTIFS(AD1235:AH1235,"Да")=5),"Готово","Нужна редактура"))</x:f>
        <x:v>Нужна редактура</x:v>
      </x:c>
      <x:c r="AJ1235" s="17" t="str"/>
      <x:c r="AK1235" s="9" t="str">
        <x:v>https://www.youtube.com/playlist?list=PLv2rnAORLiVDeZwq2XPrutCsOJ20l2KEk</x:v>
      </x:c>
      <x:c r="AL1235" s="9" t="n">
        <x:v>3</x:v>
      </x:c>
      <x:c r="AM1235" s="9"/>
      <x:c r="AN1235" s="9" t="n">
        <x:v>0</x:v>
      </x:c>
    </x:row>
    <x:row r="1236" ht="60" customHeight="1">
      <x:c r="A1236" s="9" t="str">
        <x:v>K8mBCU2UVU4</x:v>
      </x:c>
      <x:c r="B1236" s="10" t="str">
        <x:v>היסטוריה קצרה של חסידות ברסלב | שיעור 2 - חזיונותיו של ר' נחמן מברסלב | פרופ' יונתן מאיר</x:v>
      </x:c>
      <x:c r="C1236" s="10" t="str">
        <x:v>Религия и история</x:v>
      </x:c>
      <x:c r="D1236" s="9" t="str">
        <x:v>История</x:v>
      </x:c>
      <x:c r="E1236" s="10" t="str">
        <x:v>История; культура; еврейское наследие; продвинутые</x:v>
      </x:c>
      <x:c r="F1236" s="10" t="str">
        <x:v>B2–C1 (гипотеза)</x:v>
      </x:c>
      <x:c r="G1236" s="12" t="n">
        <x:v>44.1</x:v>
      </x:c>
      <x:c r="H1236" s="14" t="n">
        <x:v>4065</x:v>
      </x:c>
      <x:c r="I1236" s="15" t="str">
        <x:v>Точный счётчик метаданных видео</x:v>
      </x:c>
      <x:c r="J1236" s="14" t="n">
        <x:v>4000</x:v>
      </x:c>
      <x:c r="K1236" s="14" t="n">
        <x:v>2900</x:v>
      </x:c>
      <x:c r="L1236" s="12" t="n">
        <x:f>IF(COUNT(J1236:K1236)=2,IF(K1236=0,"",J1236/K1236),"")</x:f>
        <x:v>1.3793103448275863</x:v>
      </x:c>
      <x:c r="M1236" s="10" t="str">
        <x:v>Тема: היסטוריה קצרה של חסידות ברסלב | שיעור 2 - חזיונותיו של ר' נחמן מברסלב | פרופ' יונתן מאיר. История движения помогает понять современную религиозную среду без ежедневной политики.</x:v>
      </x:c>
      <x:c r="N1236" s="10" t="str">
        <x:v>Составить хронологию движения и карту терминов.</x:v>
      </x:c>
      <x:c r="O1236" s="10" t="str">
        <x:v>Лекции могут включать арамейский, ладино и цитаты; основной язык проверить</x:v>
      </x:c>
      <x:c r="P1236" s="10" t="str">
        <x:v>Самостоятельное видео</x:v>
      </x:c>
      <x:c r="Q1236" s="9" t="str">
        <x:v>Нет</x:v>
      </x:c>
      <x:c r="R1236" s="9" t="str">
        <x:v>C073</x:v>
      </x:c>
      <x:c r="S1236" s="9" t="str">
        <x:v>C073</x:v>
      </x:c>
      <x:c r="T1236" s="10" t="str">
        <x:v>בית אבי חי</x:v>
      </x:c>
      <x:c r="U1236" s="11" t="str">
        <x:v>https://www.youtube.com/watch?v=K8mBCU2UVU4</x:v>
      </x:c>
      <x:c r="V1236" s="16" t="n">
        <x:v>46308</x:v>
      </x:c>
      <x:c r="W1236" s="16" t="n">
        <x:v>45908</x:v>
      </x:c>
      <x:c r="X1236" s="10" t="str">
        <x:v>Иврит предполагается по заголовку и источнику</x:v>
      </x:c>
      <x:c r="Y1236" s="10" t="str">
        <x:v>Автоматическая дорожка HE по метаданным</x:v>
      </x:c>
      <x:c r="Z1236" s="10" t="str">
        <x:v>Разрешено по метаданным</x:v>
      </x:c>
      <x:c r="AA1236" s="10" t="str">
        <x:v>Метаданные видео; воспроизведение и содержание не проверены</x:v>
      </x:c>
      <x:c r="AB1236" s="13" t="n">
        <x:f>IF(AND(ISNUMBER(H1236),ISNUMBER(W1236)),H1236/MAX(1,'Обзор'!$B$4-W1236),"")</x:f>
        <x:v>10.1625</x:v>
      </x:c>
      <x:c r="AC1236" s="17" t="str">
        <x:v>Не решено</x:v>
      </x:c>
      <x:c r="AD1236" s="17" t="str">
        <x:v>Не проверено</x:v>
      </x:c>
      <x:c r="AE1236" s="17" t="str">
        <x:v>Не проверено</x:v>
      </x:c>
      <x:c r="AF1236" s="17" t="str">
        <x:v>Не проверено</x:v>
      </x:c>
      <x:c r="AG1236" s="17" t="str">
        <x:v>Не решено</x:v>
      </x:c>
      <x:c r="AH1236" s="17" t="str">
        <x:v>Не проверено</x:v>
      </x:c>
      <x:c r="AI1236" s="10" t="str">
        <x:f>IF(AC1236="Отклонить","Отклонено",IF(AND(AC1236="Взять",COUNTIFS(AD1236:AH1236,"Да")=5),"Готово","Нужна редактура"))</x:f>
        <x:v>Нужна редактура</x:v>
      </x:c>
      <x:c r="AJ1236" s="17" t="str"/>
      <x:c r="AK1236" s="9" t="str">
        <x:v>https://www.youtube.com/playlist?list=PLv2rnAORLiVDeZwq2XPrutCsOJ20l2KEk</x:v>
      </x:c>
      <x:c r="AL1236" s="9" t="n">
        <x:v>4</x:v>
      </x:c>
      <x:c r="AM1236" s="9"/>
      <x:c r="AN1236" s="9" t="n">
        <x:v>0</x:v>
      </x:c>
    </x:row>
    <x:row r="1237" ht="60" customHeight="1">
      <x:c r="A1237" s="9" t="str">
        <x:v>cVb4zye2zNE</x:v>
      </x:c>
      <x:c r="B1237" s="10" t="str">
        <x:v>היסטוריה קצרה של חסידות ברסלב | שיעור 1 - האור הנעלם: היסטוריה, שבחים וצנזורה | פרופ' יונתן מאיר</x:v>
      </x:c>
      <x:c r="C1237" s="10" t="str">
        <x:v>Религия и история</x:v>
      </x:c>
      <x:c r="D1237" s="9" t="str">
        <x:v>История</x:v>
      </x:c>
      <x:c r="E1237" s="10" t="str">
        <x:v>История; культура; еврейское наследие; продвинутые</x:v>
      </x:c>
      <x:c r="F1237" s="10" t="str">
        <x:v>B2–C1 (гипотеза)</x:v>
      </x:c>
      <x:c r="G1237" s="12" t="n">
        <x:v>34.8</x:v>
      </x:c>
      <x:c r="H1237" s="14" t="n">
        <x:v>6200</x:v>
      </x:c>
      <x:c r="I1237" s="15" t="str">
        <x:v>Точный счётчик метаданных видео</x:v>
      </x:c>
      <x:c r="J1237" s="14" t="n">
        <x:v>6200</x:v>
      </x:c>
      <x:c r="K1237" s="14" t="n">
        <x:v>2900</x:v>
      </x:c>
      <x:c r="L1237" s="12" t="n">
        <x:f>IF(COUNT(J1237:K1237)=2,IF(K1237=0,"",J1237/K1237),"")</x:f>
        <x:v>2.1379310344827585</x:v>
      </x:c>
      <x:c r="M1237" s="10" t="str">
        <x:v>Тема: היסטוריה קצרה של חסידות ברסלב | שיעור 1 - האור הנעלם: היסטוריה, שבחים וצנזורה | פרופ' יונתן מאיר. Просмотры в списке выше медианы выборки этого цикла в 2.14 раза. История движения помогает понять современную религиозную среду без ежедневной политики.</x:v>
      </x:c>
      <x:c r="N1237" s="10" t="str">
        <x:v>Составить хронологию движения и карту терминов.</x:v>
      </x:c>
      <x:c r="O1237" s="10" t="str">
        <x:v>Лекции могут включать арамейский, ладино и цитаты; основной язык проверить</x:v>
      </x:c>
      <x:c r="P1237" s="10" t="str">
        <x:v>Самостоятельное видео</x:v>
      </x:c>
      <x:c r="Q1237" s="9" t="str">
        <x:v>Нет</x:v>
      </x:c>
      <x:c r="R1237" s="9" t="str">
        <x:v>C073</x:v>
      </x:c>
      <x:c r="S1237" s="9" t="str">
        <x:v>C073</x:v>
      </x:c>
      <x:c r="T1237" s="10" t="str">
        <x:v>בית אבי חי</x:v>
      </x:c>
      <x:c r="U1237" s="11" t="str">
        <x:v>https://www.youtube.com/watch?v=cVb4zye2zNE</x:v>
      </x:c>
      <x:c r="V1237" s="16" t="n">
        <x:v>46308</x:v>
      </x:c>
      <x:c r="W1237" s="16" t="n">
        <x:v>45907</x:v>
      </x:c>
      <x:c r="X1237" s="10" t="str">
        <x:v>Иврит предполагается по заголовку и источнику</x:v>
      </x:c>
      <x:c r="Y1237" s="10" t="str">
        <x:v>Автоматическая дорожка HE по метаданным</x:v>
      </x:c>
      <x:c r="Z1237" s="10" t="str">
        <x:v>Разрешено по метаданным</x:v>
      </x:c>
      <x:c r="AA1237" s="10" t="str">
        <x:v>Метаданные видео; воспроизведение и содержание не проверены</x:v>
      </x:c>
      <x:c r="AB1237" s="13" t="n">
        <x:f>IF(AND(ISNUMBER(H1237),ISNUMBER(W1237)),H1237/MAX(1,'Обзор'!$B$4-W1237),"")</x:f>
        <x:v>15.46134663341646</x:v>
      </x:c>
      <x:c r="AC1237" s="17" t="str">
        <x:v>Не решено</x:v>
      </x:c>
      <x:c r="AD1237" s="17" t="str">
        <x:v>Не проверено</x:v>
      </x:c>
      <x:c r="AE1237" s="17" t="str">
        <x:v>Не проверено</x:v>
      </x:c>
      <x:c r="AF1237" s="17" t="str">
        <x:v>Не проверено</x:v>
      </x:c>
      <x:c r="AG1237" s="17" t="str">
        <x:v>Не решено</x:v>
      </x:c>
      <x:c r="AH1237" s="17" t="str">
        <x:v>Не проверено</x:v>
      </x:c>
      <x:c r="AI1237" s="10" t="str">
        <x:f>IF(AC1237="Отклонить","Отклонено",IF(AND(AC1237="Взять",COUNTIFS(AD1237:AH1237,"Да")=5),"Готово","Нужна редактура"))</x:f>
        <x:v>Нужна редактура</x:v>
      </x:c>
      <x:c r="AJ1237" s="17" t="str"/>
      <x:c r="AK1237" s="9" t="str">
        <x:v>https://www.youtube.com/playlist?list=PLv2rnAORLiVDeZwq2XPrutCsOJ20l2KEk</x:v>
      </x:c>
      <x:c r="AL1237" s="9" t="n">
        <x:v>5</x:v>
      </x:c>
      <x:c r="AM1237" s="9"/>
      <x:c r="AN1237" s="9" t="n">
        <x:v>0</x:v>
      </x:c>
    </x:row>
    <x:row r="1238" ht="60" customHeight="1">
      <x:c r="A1238" s="9" t="str">
        <x:v>ncmFSBQhs6s</x:v>
      </x:c>
      <x:c r="B1238" s="10" t="str">
        <x:v>בארץ לא להם | שיעור 5 – על סף הארץ המובטחת | ד"ר יפעת טהרני</x:v>
      </x:c>
      <x:c r="C1238" s="10" t="str">
        <x:v>Древняя история</x:v>
      </x:c>
      <x:c r="D1238" s="9" t="str">
        <x:v>История</x:v>
      </x:c>
      <x:c r="E1238" s="10" t="str">
        <x:v>История; культура; еврейское наследие; продвинутые</x:v>
      </x:c>
      <x:c r="F1238" s="10" t="str">
        <x:v>B2–C1 (гипотеза)</x:v>
      </x:c>
      <x:c r="G1238" s="12" t="n">
        <x:v>40.6</x:v>
      </x:c>
      <x:c r="H1238" s="14" t="n">
        <x:v>1500</x:v>
      </x:c>
      <x:c r="I1238" s="15" t="str">
        <x:v>Округлённый счётчик в списке YouTube</x:v>
      </x:c>
      <x:c r="J1238" s="14" t="n">
        <x:v>1500</x:v>
      </x:c>
      <x:c r="K1238" s="14" t="n">
        <x:v>2000</x:v>
      </x:c>
      <x:c r="L1238" s="12" t="n">
        <x:f>IF(COUNT(J1238:K1238)=2,IF(K1238=0,"",J1238/K1238),"")</x:f>
        <x:v>0.75</x:v>
      </x:c>
      <x:c r="M1238" s="10" t="str">
        <x:v>Тема: בארץ לא להם | שיעור 5 – על סף הארץ המובטחת | ד"ר יפעת טהרני. Археологический и исторический взгляд на исход предлагает содержательный разговор об источниках.</x:v>
      </x:c>
      <x:c r="N1238" s="10" t="str">
        <x:v>Различить традицию, свидетельство и исследовательскую гипотезу.</x:v>
      </x:c>
      <x:c r="O1238" s="10" t="str">
        <x:v>Лекции могут включать арамейский, ладино и цитаты; основной язык проверить</x:v>
      </x:c>
      <x:c r="P1238" s="10" t="str">
        <x:v>Самостоятельное видео</x:v>
      </x:c>
      <x:c r="Q1238" s="9" t="str">
        <x:v>Нет</x:v>
      </x:c>
      <x:c r="R1238" s="9" t="str">
        <x:v>C074</x:v>
      </x:c>
      <x:c r="S1238" s="9" t="str">
        <x:v>C074</x:v>
      </x:c>
      <x:c r="T1238" s="10" t="str">
        <x:v>בית אבי חי</x:v>
      </x:c>
      <x:c r="U1238" s="11" t="str">
        <x:v>https://www.youtube.com/watch?v=ncmFSBQhs6s</x:v>
      </x:c>
      <x:c r="V1238" s="16" t="n">
        <x:v>46308</x:v>
      </x:c>
      <x:c r="W1238" s="16"/>
      <x:c r="X1238" s="10" t="str">
        <x:v>Иврит предполагается по заголовку и источнику</x:v>
      </x:c>
      <x:c r="Y1238" s="10" t="str">
        <x:v>Не проверено</x:v>
      </x:c>
      <x:c r="Z1238" s="10" t="str">
        <x:v>Не проверено</x:v>
      </x:c>
      <x:c r="AA1238" s="10" t="str">
        <x:v>Метаданные списка; видео не просмотрено</x:v>
      </x:c>
      <x:c r="AB1238" s="13" t="str">
        <x:f>IF(AND(ISNUMBER(H1238),ISNUMBER(W1238)),H1238/MAX(1,'Обзор'!$B$4-W1238),"")</x:f>
      </x:c>
      <x:c r="AC1238" s="17" t="str">
        <x:v>Не решено</x:v>
      </x:c>
      <x:c r="AD1238" s="17" t="str">
        <x:v>Не проверено</x:v>
      </x:c>
      <x:c r="AE1238" s="17" t="str">
        <x:v>Не проверено</x:v>
      </x:c>
      <x:c r="AF1238" s="17" t="str">
        <x:v>Не проверено</x:v>
      </x:c>
      <x:c r="AG1238" s="17" t="str">
        <x:v>Не решено</x:v>
      </x:c>
      <x:c r="AH1238" s="17" t="str">
        <x:v>Не проверено</x:v>
      </x:c>
      <x:c r="AI1238" s="10" t="str">
        <x:f>IF(AC1238="Отклонить","Отклонено",IF(AND(AC1238="Взять",COUNTIFS(AD1238:AH1238,"Да")=5),"Готово","Нужна редактура"))</x:f>
        <x:v>Нужна редактура</x:v>
      </x:c>
      <x:c r="AJ1238" s="17" t="str"/>
      <x:c r="AK1238" s="9" t="str">
        <x:v>https://www.youtube.com/playlist?list=PLv2rnAORLiVBoOup0Lwjbk9EIZnhzQ_VW</x:v>
      </x:c>
      <x:c r="AL1238" s="9" t="n">
        <x:v>1</x:v>
      </x:c>
      <x:c r="AM1238" s="9"/>
      <x:c r="AN1238" s="9"/>
    </x:row>
    <x:row r="1239" ht="60" customHeight="1">
      <x:c r="A1239" s="9" t="str">
        <x:v>aesrrTnNbIo</x:v>
      </x:c>
      <x:c r="B1239" s="10" t="str">
        <x:v>בארץ לא להם | שיעור 4 –  הולדת האמונה | ד"ר יפעת טהרני</x:v>
      </x:c>
      <x:c r="C1239" s="10" t="str">
        <x:v>Древняя история</x:v>
      </x:c>
      <x:c r="D1239" s="9" t="str">
        <x:v>История</x:v>
      </x:c>
      <x:c r="E1239" s="10" t="str">
        <x:v>История; культура; еврейское наследие; продвинутые</x:v>
      </x:c>
      <x:c r="F1239" s="10" t="str">
        <x:v>B2–C1 (гипотеза)</x:v>
      </x:c>
      <x:c r="G1239" s="12" t="n">
        <x:v>31.4</x:v>
      </x:c>
      <x:c r="H1239" s="14" t="n">
        <x:v>1400</x:v>
      </x:c>
      <x:c r="I1239" s="15" t="str">
        <x:v>Округлённый счётчик в списке YouTube</x:v>
      </x:c>
      <x:c r="J1239" s="14" t="n">
        <x:v>1400</x:v>
      </x:c>
      <x:c r="K1239" s="14" t="n">
        <x:v>2000</x:v>
      </x:c>
      <x:c r="L1239" s="12" t="n">
        <x:f>IF(COUNT(J1239:K1239)=2,IF(K1239=0,"",J1239/K1239),"")</x:f>
        <x:v>0.7</x:v>
      </x:c>
      <x:c r="M1239" s="10" t="str">
        <x:v>Тема: בארץ לא להם | שיעור 4 –  הולדת האמונה | ד"ר יפעת טהרני. Археологический и исторический взгляд на исход предлагает содержательный разговор об источниках.</x:v>
      </x:c>
      <x:c r="N1239" s="10" t="str">
        <x:v>Различить традицию, свидетельство и исследовательскую гипотезу.</x:v>
      </x:c>
      <x:c r="O1239" s="10" t="str">
        <x:v>Лекции могут включать арамейский, ладино и цитаты; основной язык проверить</x:v>
      </x:c>
      <x:c r="P1239" s="10" t="str">
        <x:v>Самостоятельное видео</x:v>
      </x:c>
      <x:c r="Q1239" s="9" t="str">
        <x:v>Нет</x:v>
      </x:c>
      <x:c r="R1239" s="9" t="str">
        <x:v>C074</x:v>
      </x:c>
      <x:c r="S1239" s="9" t="str">
        <x:v>C074</x:v>
      </x:c>
      <x:c r="T1239" s="10" t="str">
        <x:v>בית אבי חי</x:v>
      </x:c>
      <x:c r="U1239" s="11" t="str">
        <x:v>https://www.youtube.com/watch?v=aesrrTnNbIo</x:v>
      </x:c>
      <x:c r="V1239" s="16" t="n">
        <x:v>46308</x:v>
      </x:c>
      <x:c r="W1239" s="16"/>
      <x:c r="X1239" s="10" t="str">
        <x:v>Иврит предполагается по заголовку и источнику</x:v>
      </x:c>
      <x:c r="Y1239" s="10" t="str">
        <x:v>Не проверено</x:v>
      </x:c>
      <x:c r="Z1239" s="10" t="str">
        <x:v>Не проверено</x:v>
      </x:c>
      <x:c r="AA1239" s="10" t="str">
        <x:v>Метаданные списка; видео не просмотрено</x:v>
      </x:c>
      <x:c r="AB1239" s="13" t="str">
        <x:f>IF(AND(ISNUMBER(H1239),ISNUMBER(W1239)),H1239/MAX(1,'Обзор'!$B$4-W1239),"")</x:f>
      </x:c>
      <x:c r="AC1239" s="17" t="str">
        <x:v>Не решено</x:v>
      </x:c>
      <x:c r="AD1239" s="17" t="str">
        <x:v>Не проверено</x:v>
      </x:c>
      <x:c r="AE1239" s="17" t="str">
        <x:v>Не проверено</x:v>
      </x:c>
      <x:c r="AF1239" s="17" t="str">
        <x:v>Не проверено</x:v>
      </x:c>
      <x:c r="AG1239" s="17" t="str">
        <x:v>Не решено</x:v>
      </x:c>
      <x:c r="AH1239" s="17" t="str">
        <x:v>Не проверено</x:v>
      </x:c>
      <x:c r="AI1239" s="10" t="str">
        <x:f>IF(AC1239="Отклонить","Отклонено",IF(AND(AC1239="Взять",COUNTIFS(AD1239:AH1239,"Да")=5),"Готово","Нужна редактура"))</x:f>
        <x:v>Нужна редактура</x:v>
      </x:c>
      <x:c r="AJ1239" s="17" t="str"/>
      <x:c r="AK1239" s="9" t="str">
        <x:v>https://www.youtube.com/playlist?list=PLv2rnAORLiVBoOup0Lwjbk9EIZnhzQ_VW</x:v>
      </x:c>
      <x:c r="AL1239" s="9" t="n">
        <x:v>2</x:v>
      </x:c>
      <x:c r="AM1239" s="9"/>
      <x:c r="AN1239" s="9"/>
    </x:row>
    <x:row r="1240" ht="60" customHeight="1">
      <x:c r="A1240" s="9" t="str">
        <x:v>t_HobiZQwgY</x:v>
      </x:c>
      <x:c r="B1240" s="10" t="str">
        <x:v>בארץ לא להם | שיעור 3 –  חצי האי סיני בזכרון ההיסטורי ובמציאות הארכיאולוגית | ד"ר יפעת טהרני</x:v>
      </x:c>
      <x:c r="C1240" s="10" t="str">
        <x:v>Древняя история</x:v>
      </x:c>
      <x:c r="D1240" s="9" t="str">
        <x:v>История</x:v>
      </x:c>
      <x:c r="E1240" s="10" t="str">
        <x:v>История; культура; еврейское наследие; продвинутые</x:v>
      </x:c>
      <x:c r="F1240" s="10" t="str">
        <x:v>B2–C1 (гипотеза)</x:v>
      </x:c>
      <x:c r="G1240" s="12" t="n">
        <x:v>37.3</x:v>
      </x:c>
      <x:c r="H1240" s="14" t="n">
        <x:v>2064</x:v>
      </x:c>
      <x:c r="I1240" s="15" t="str">
        <x:v>Точный счётчик метаданных видео</x:v>
      </x:c>
      <x:c r="J1240" s="14" t="n">
        <x:v>2000</x:v>
      </x:c>
      <x:c r="K1240" s="14" t="n">
        <x:v>2000</x:v>
      </x:c>
      <x:c r="L1240" s="12" t="n">
        <x:f>IF(COUNT(J1240:K1240)=2,IF(K1240=0,"",J1240/K1240),"")</x:f>
        <x:v>1</x:v>
      </x:c>
      <x:c r="M1240" s="10" t="str">
        <x:v>Тема: בארץ לא להם | שיעור 3 –  חצי האי סיני בזכרון ההיסטורי ובמציאות הארכיאולוגית | ד"ר יפעת טהרני. Археологический и исторический взгляд на исход предлагает содержательный разговор об источниках.</x:v>
      </x:c>
      <x:c r="N1240" s="10" t="str">
        <x:v>Различить традицию, свидетельство и исследовательскую гипотезу.</x:v>
      </x:c>
      <x:c r="O1240" s="10" t="str">
        <x:v>Лекции могут включать арамейский, ладино и цитаты; основной язык проверить</x:v>
      </x:c>
      <x:c r="P1240" s="10" t="str">
        <x:v>Самостоятельное видео</x:v>
      </x:c>
      <x:c r="Q1240" s="9" t="str">
        <x:v>Нет</x:v>
      </x:c>
      <x:c r="R1240" s="9" t="str">
        <x:v>C074</x:v>
      </x:c>
      <x:c r="S1240" s="9" t="str">
        <x:v>C074</x:v>
      </x:c>
      <x:c r="T1240" s="10" t="str">
        <x:v>בית אבי חי</x:v>
      </x:c>
      <x:c r="U1240" s="11" t="str">
        <x:v>https://www.youtube.com/watch?v=t_HobiZQwgY</x:v>
      </x:c>
      <x:c r="V1240" s="16" t="n">
        <x:v>46308</x:v>
      </x:c>
      <x:c r="W1240" s="16" t="n">
        <x:v>46105</x:v>
      </x:c>
      <x:c r="X1240" s="10" t="str">
        <x:v>Иврит предполагается по заголовку и источнику</x:v>
      </x:c>
      <x:c r="Y1240" s="10" t="str">
        <x:v>Автоматическая дорожка HE по метаданным</x:v>
      </x:c>
      <x:c r="Z1240" s="10" t="str">
        <x:v>Разрешено по метаданным</x:v>
      </x:c>
      <x:c r="AA1240" s="10" t="str">
        <x:v>Метаданные видео; воспроизведение и содержание не проверены</x:v>
      </x:c>
      <x:c r="AB1240" s="13" t="n">
        <x:f>IF(AND(ISNUMBER(H1240),ISNUMBER(W1240)),H1240/MAX(1,'Обзор'!$B$4-W1240),"")</x:f>
        <x:v>10.167487684729064</x:v>
      </x:c>
      <x:c r="AC1240" s="17" t="str">
        <x:v>Не решено</x:v>
      </x:c>
      <x:c r="AD1240" s="17" t="str">
        <x:v>Не проверено</x:v>
      </x:c>
      <x:c r="AE1240" s="17" t="str">
        <x:v>Не проверено</x:v>
      </x:c>
      <x:c r="AF1240" s="17" t="str">
        <x:v>Не проверено</x:v>
      </x:c>
      <x:c r="AG1240" s="17" t="str">
        <x:v>Не решено</x:v>
      </x:c>
      <x:c r="AH1240" s="17" t="str">
        <x:v>Не проверено</x:v>
      </x:c>
      <x:c r="AI1240" s="10" t="str">
        <x:f>IF(AC1240="Отклонить","Отклонено",IF(AND(AC1240="Взять",COUNTIFS(AD1240:AH1240,"Да")=5),"Готово","Нужна редактура"))</x:f>
        <x:v>Нужна редактура</x:v>
      </x:c>
      <x:c r="AJ1240" s="17" t="str"/>
      <x:c r="AK1240" s="9" t="str">
        <x:v>https://www.youtube.com/playlist?list=PLv2rnAORLiVBoOup0Lwjbk9EIZnhzQ_VW</x:v>
      </x:c>
      <x:c r="AL1240" s="9" t="n">
        <x:v>3</x:v>
      </x:c>
      <x:c r="AM1240" s="9"/>
      <x:c r="AN1240" s="9" t="n">
        <x:v>0</x:v>
      </x:c>
    </x:row>
    <x:row r="1241" ht="60" customHeight="1">
      <x:c r="A1241" s="9" t="str">
        <x:v>R7zVt8XbYXc</x:v>
      </x:c>
      <x:c r="B1241" s="10" t="str">
        <x:v>בארץ לא להם | שיעור 2 – היה או לא היה? | ד"ר יפעת טהרני</x:v>
      </x:c>
      <x:c r="C1241" s="10" t="str">
        <x:v>Древняя история</x:v>
      </x:c>
      <x:c r="D1241" s="9" t="str">
        <x:v>История</x:v>
      </x:c>
      <x:c r="E1241" s="10" t="str">
        <x:v>История; культура; еврейское наследие; продвинутые</x:v>
      </x:c>
      <x:c r="F1241" s="10" t="str">
        <x:v>B2–C1 (гипотеза)</x:v>
      </x:c>
      <x:c r="G1241" s="12" t="n">
        <x:v>39.4</x:v>
      </x:c>
      <x:c r="H1241" s="14" t="n">
        <x:v>2911</x:v>
      </x:c>
      <x:c r="I1241" s="15" t="str">
        <x:v>Точный счётчик метаданных видео</x:v>
      </x:c>
      <x:c r="J1241" s="14" t="n">
        <x:v>2900</x:v>
      </x:c>
      <x:c r="K1241" s="14" t="n">
        <x:v>2000</x:v>
      </x:c>
      <x:c r="L1241" s="12" t="n">
        <x:f>IF(COUNT(J1241:K1241)=2,IF(K1241=0,"",J1241/K1241),"")</x:f>
        <x:v>1.45</x:v>
      </x:c>
      <x:c r="M1241" s="10" t="str">
        <x:v>Тема: בארץ לא להם | שיעור 2 – היה או לא היה? | ד"ר יפעת טהרני. Археологический и исторический взгляд на исход предлагает содержательный разговор об источниках.</x:v>
      </x:c>
      <x:c r="N1241" s="10" t="str">
        <x:v>Различить традицию, свидетельство и исследовательскую гипотезу.</x:v>
      </x:c>
      <x:c r="O1241" s="10" t="str">
        <x:v>Лекции могут включать арамейский, ладино и цитаты; основной язык проверить</x:v>
      </x:c>
      <x:c r="P1241" s="10" t="str">
        <x:v>Самостоятельное видео</x:v>
      </x:c>
      <x:c r="Q1241" s="9" t="str">
        <x:v>Нет</x:v>
      </x:c>
      <x:c r="R1241" s="9" t="str">
        <x:v>C074</x:v>
      </x:c>
      <x:c r="S1241" s="9" t="str">
        <x:v>C074</x:v>
      </x:c>
      <x:c r="T1241" s="10" t="str">
        <x:v>בית אבי חי</x:v>
      </x:c>
      <x:c r="U1241" s="11" t="str">
        <x:v>https://www.youtube.com/watch?v=R7zVt8XbYXc</x:v>
      </x:c>
      <x:c r="V1241" s="16" t="n">
        <x:v>46308</x:v>
      </x:c>
      <x:c r="W1241" s="16" t="n">
        <x:v>46104</x:v>
      </x:c>
      <x:c r="X1241" s="10" t="str">
        <x:v>Иврит предполагается по заголовку и источнику</x:v>
      </x:c>
      <x:c r="Y1241" s="10" t="str">
        <x:v>Автоматическая дорожка HE по метаданным</x:v>
      </x:c>
      <x:c r="Z1241" s="10" t="str">
        <x:v>Разрешено по метаданным</x:v>
      </x:c>
      <x:c r="AA1241" s="10" t="str">
        <x:v>Метаданные видео; воспроизведение и содержание не проверены</x:v>
      </x:c>
      <x:c r="AB1241" s="13" t="n">
        <x:f>IF(AND(ISNUMBER(H1241),ISNUMBER(W1241)),H1241/MAX(1,'Обзор'!$B$4-W1241),"")</x:f>
        <x:v>14.269607843137255</x:v>
      </x:c>
      <x:c r="AC1241" s="17" t="str">
        <x:v>Не решено</x:v>
      </x:c>
      <x:c r="AD1241" s="17" t="str">
        <x:v>Не проверено</x:v>
      </x:c>
      <x:c r="AE1241" s="17" t="str">
        <x:v>Не проверено</x:v>
      </x:c>
      <x:c r="AF1241" s="17" t="str">
        <x:v>Не проверено</x:v>
      </x:c>
      <x:c r="AG1241" s="17" t="str">
        <x:v>Не решено</x:v>
      </x:c>
      <x:c r="AH1241" s="17" t="str">
        <x:v>Не проверено</x:v>
      </x:c>
      <x:c r="AI1241" s="10" t="str">
        <x:f>IF(AC1241="Отклонить","Отклонено",IF(AND(AC1241="Взять",COUNTIFS(AD1241:AH1241,"Да")=5),"Готово","Нужна редактура"))</x:f>
        <x:v>Нужна редактура</x:v>
      </x:c>
      <x:c r="AJ1241" s="17" t="str"/>
      <x:c r="AK1241" s="9" t="str">
        <x:v>https://www.youtube.com/playlist?list=PLv2rnAORLiVBoOup0Lwjbk9EIZnhzQ_VW</x:v>
      </x:c>
      <x:c r="AL1241" s="9" t="n">
        <x:v>4</x:v>
      </x:c>
      <x:c r="AM1241" s="9"/>
      <x:c r="AN1241" s="9" t="n">
        <x:v>0</x:v>
      </x:c>
    </x:row>
    <x:row r="1242" ht="60" customHeight="1">
      <x:c r="A1242" s="9" t="str">
        <x:v>plGPD2bburg</x:v>
      </x:c>
      <x:c r="B1242" s="10" t="str">
        <x:v>בארץ לא להם | שיעור 1 – "כי גרים הייתם בארץ מצרים" | ד"ר יפעת טהרני</x:v>
      </x:c>
      <x:c r="C1242" s="10" t="str">
        <x:v>Древняя история</x:v>
      </x:c>
      <x:c r="D1242" s="9" t="str">
        <x:v>История</x:v>
      </x:c>
      <x:c r="E1242" s="10" t="str">
        <x:v>История; культура; еврейское наследие; продвинутые</x:v>
      </x:c>
      <x:c r="F1242" s="10" t="str">
        <x:v>B2–C1 (гипотеза)</x:v>
      </x:c>
      <x:c r="G1242" s="12" t="n">
        <x:v>36.1</x:v>
      </x:c>
      <x:c r="H1242" s="14" t="n">
        <x:v>4284</x:v>
      </x:c>
      <x:c r="I1242" s="15" t="str">
        <x:v>Точный счётчик метаданных видео</x:v>
      </x:c>
      <x:c r="J1242" s="14" t="n">
        <x:v>4200</x:v>
      </x:c>
      <x:c r="K1242" s="14" t="n">
        <x:v>2000</x:v>
      </x:c>
      <x:c r="L1242" s="12" t="n">
        <x:f>IF(COUNT(J1242:K1242)=2,IF(K1242=0,"",J1242/K1242),"")</x:f>
        <x:v>2.1</x:v>
      </x:c>
      <x:c r="M1242" s="10" t="str">
        <x:v>Тема: בארץ לא להם | שיעור 1 – "כי גרים הייתם בארץ מצרים" | ד"ר יפעת טהרני. Просмотры в списке выше медианы выборки этого цикла в 2.1 раза. Археологический и исторический взгляд на исход предлагает содержательный разговор об источниках.</x:v>
      </x:c>
      <x:c r="N1242" s="10" t="str">
        <x:v>Различить традицию, свидетельство и исследовательскую гипотезу.</x:v>
      </x:c>
      <x:c r="O1242" s="10" t="str">
        <x:v>Лекции могут включать арамейский, ладино и цитаты; основной язык проверить</x:v>
      </x:c>
      <x:c r="P1242" s="10" t="str">
        <x:v>Самостоятельное видео</x:v>
      </x:c>
      <x:c r="Q1242" s="9" t="str">
        <x:v>Нет</x:v>
      </x:c>
      <x:c r="R1242" s="9" t="str">
        <x:v>C074</x:v>
      </x:c>
      <x:c r="S1242" s="9" t="str">
        <x:v>C074</x:v>
      </x:c>
      <x:c r="T1242" s="10" t="str">
        <x:v>בית אבי חי</x:v>
      </x:c>
      <x:c r="U1242" s="11" t="str">
        <x:v>https://www.youtube.com/watch?v=plGPD2bburg</x:v>
      </x:c>
      <x:c r="V1242" s="16" t="n">
        <x:v>46308</x:v>
      </x:c>
      <x:c r="W1242" s="16" t="n">
        <x:v>46103</x:v>
      </x:c>
      <x:c r="X1242" s="10" t="str">
        <x:v>Иврит предполагается по заголовку и источнику</x:v>
      </x:c>
      <x:c r="Y1242" s="10" t="str">
        <x:v>Автоматическая дорожка HE по метаданным</x:v>
      </x:c>
      <x:c r="Z1242" s="10" t="str">
        <x:v>Разрешено по метаданным</x:v>
      </x:c>
      <x:c r="AA1242" s="10" t="str">
        <x:v>Метаданные видео; воспроизведение и содержание не проверены</x:v>
      </x:c>
      <x:c r="AB1242" s="13" t="n">
        <x:f>IF(AND(ISNUMBER(H1242),ISNUMBER(W1242)),H1242/MAX(1,'Обзор'!$B$4-W1242),"")</x:f>
        <x:v>20.897560975609757</x:v>
      </x:c>
      <x:c r="AC1242" s="17" t="str">
        <x:v>Не решено</x:v>
      </x:c>
      <x:c r="AD1242" s="17" t="str">
        <x:v>Не проверено</x:v>
      </x:c>
      <x:c r="AE1242" s="17" t="str">
        <x:v>Не проверено</x:v>
      </x:c>
      <x:c r="AF1242" s="17" t="str">
        <x:v>Не проверено</x:v>
      </x:c>
      <x:c r="AG1242" s="17" t="str">
        <x:v>Не решено</x:v>
      </x:c>
      <x:c r="AH1242" s="17" t="str">
        <x:v>Не проверено</x:v>
      </x:c>
      <x:c r="AI1242" s="10" t="str">
        <x:f>IF(AC1242="Отклонить","Отклонено",IF(AND(AC1242="Взять",COUNTIFS(AD1242:AH1242,"Да")=5),"Готово","Нужна редактура"))</x:f>
        <x:v>Нужна редактура</x:v>
      </x:c>
      <x:c r="AJ1242" s="17" t="str"/>
      <x:c r="AK1242" s="9" t="str">
        <x:v>https://www.youtube.com/playlist?list=PLv2rnAORLiVBoOup0Lwjbk9EIZnhzQ_VW</x:v>
      </x:c>
      <x:c r="AL1242" s="9" t="n">
        <x:v>5</x:v>
      </x:c>
      <x:c r="AM1242" s="9"/>
      <x:c r="AN1242" s="9" t="n">
        <x:v>0</x:v>
      </x:c>
    </x:row>
    <x:row r="1243" ht="60" customHeight="1">
      <x:c r="A1243" s="9" t="str">
        <x:v>z42XPXNP52M</x:v>
      </x:c>
      <x:c r="B1243" s="10" t="str">
        <x:v>עלמה גוב - אפר ואבק (לייב על בימת בית אבי חי)</x:v>
      </x:c>
      <x:c r="C1243" s="10" t="str">
        <x:v>Музыка и память</x:v>
      </x:c>
      <x:c r="D1243" s="9" t="str">
        <x:v>Культура</x:v>
      </x:c>
      <x:c r="E1243" s="10" t="str">
        <x:v>История; культура; еврейское наследие; продвинутые</x:v>
      </x:c>
      <x:c r="F1243" s="10" t="str">
        <x:v>B2–C1 (гипотеза)</x:v>
      </x:c>
      <x:c r="G1243" s="12" t="n">
        <x:v>4.4</x:v>
      </x:c>
      <x:c r="H1243" s="14" t="n">
        <x:v>287</x:v>
      </x:c>
      <x:c r="I1243" s="15" t="str">
        <x:v>Точный счётчик метаданных видео</x:v>
      </x:c>
      <x:c r="J1243" s="14" t="n">
        <x:v>287</x:v>
      </x:c>
      <x:c r="K1243" s="14" t="n">
        <x:v>224</x:v>
      </x:c>
      <x:c r="L1243" s="12" t="n">
        <x:f>IF(COUNT(J1243:K1243)=2,IF(K1243=0,"",J1243/K1243),"")</x:f>
        <x:v>1.28125</x:v>
      </x:c>
      <x:c r="M1243" s="10" t="str">
        <x:v>Завершённый короткий просмотр около 4 мин. Разговор о музыке и детстве создаёт вход через культурную близость и биографию.</x:v>
      </x:c>
      <x:c r="N1243" s="10" t="str">
        <x:v>Выбрать разговорный фрагмент; пересказать память участника.</x:v>
      </x:c>
      <x:c r="O1243" s="10" t="str">
        <x:v>Лекции могут включать арамейский, ладино и цитаты; основной язык проверить</x:v>
      </x:c>
      <x:c r="P1243" s="10" t="str">
        <x:v>Самостоятельное видео</x:v>
      </x:c>
      <x:c r="Q1243" s="9" t="str">
        <x:v>Нет</x:v>
      </x:c>
      <x:c r="R1243" s="9" t="str">
        <x:v>C075</x:v>
      </x:c>
      <x:c r="S1243" s="9" t="str">
        <x:v>C075</x:v>
      </x:c>
      <x:c r="T1243" s="10" t="str">
        <x:v>בית אבי חי</x:v>
      </x:c>
      <x:c r="U1243" s="11" t="str">
        <x:v>https://www.youtube.com/watch?v=z42XPXNP52M</x:v>
      </x:c>
      <x:c r="V1243" s="16" t="n">
        <x:v>46308</x:v>
      </x:c>
      <x:c r="W1243" s="16" t="n">
        <x:v>46215</x:v>
      </x:c>
      <x:c r="X1243" s="10" t="str">
        <x:v>Иврит предполагается по заголовку и источнику</x:v>
      </x:c>
      <x:c r="Y1243" s="10" t="str">
        <x:v>Автоматическая дорожка HE по метаданным</x:v>
      </x:c>
      <x:c r="Z1243" s="10" t="str">
        <x:v>Разрешено по метаданным</x:v>
      </x:c>
      <x:c r="AA1243" s="10" t="str">
        <x:v>Метаданные видео; воспроизведение и содержание не проверены</x:v>
      </x:c>
      <x:c r="AB1243" s="13" t="n">
        <x:f>IF(AND(ISNUMBER(H1243),ISNUMBER(W1243)),H1243/MAX(1,'Обзор'!$B$4-W1243),"")</x:f>
        <x:v>3.086021505376344</x:v>
      </x:c>
      <x:c r="AC1243" s="17" t="str">
        <x:v>Не решено</x:v>
      </x:c>
      <x:c r="AD1243" s="17" t="str">
        <x:v>Не проверено</x:v>
      </x:c>
      <x:c r="AE1243" s="17" t="str">
        <x:v>Не проверено</x:v>
      </x:c>
      <x:c r="AF1243" s="17" t="str">
        <x:v>Не проверено</x:v>
      </x:c>
      <x:c r="AG1243" s="17" t="str">
        <x:v>Не решено</x:v>
      </x:c>
      <x:c r="AH1243" s="17" t="str">
        <x:v>Не проверено</x:v>
      </x:c>
      <x:c r="AI1243" s="10" t="str">
        <x:f>IF(AC1243="Отклонить","Отклонено",IF(AND(AC1243="Взять",COUNTIFS(AD1243:AH1243,"Да")=5),"Готово","Нужна редактура"))</x:f>
        <x:v>Нужна редактура</x:v>
      </x:c>
      <x:c r="AJ1243" s="17" t="str"/>
      <x:c r="AK1243" s="9" t="str">
        <x:v>https://www.youtube.com/playlist?list=PLv2rnAORLiVAs1Icrlj7A103fsXqAZsd5</x:v>
      </x:c>
      <x:c r="AL1243" s="9" t="n">
        <x:v>1</x:v>
      </x:c>
      <x:c r="AM1243" s="9"/>
      <x:c r="AN1243" s="9" t="n">
        <x:v>0</x:v>
      </x:c>
    </x:row>
    <x:row r="1244" ht="60" customHeight="1">
      <x:c r="A1244" s="9" t="str">
        <x:v>q3gxzdLkT5I</x:v>
      </x:c>
      <x:c r="B1244" s="10" t="str">
        <x:v>עלמה גוב - התחלה חדשה (לייב על בימת בית אבי חי)</x:v>
      </x:c>
      <x:c r="C1244" s="10" t="str">
        <x:v>Музыка и память</x:v>
      </x:c>
      <x:c r="D1244" s="9" t="str">
        <x:v>Культура</x:v>
      </x:c>
      <x:c r="E1244" s="10" t="str">
        <x:v>История; культура; еврейское наследие; продвинутые</x:v>
      </x:c>
      <x:c r="F1244" s="10" t="str">
        <x:v>B2–C1 (гипотеза)</x:v>
      </x:c>
      <x:c r="G1244" s="12" t="n">
        <x:v>4.6</x:v>
      </x:c>
      <x:c r="H1244" s="14" t="n">
        <x:v>137</x:v>
      </x:c>
      <x:c r="I1244" s="15" t="str">
        <x:v>Округлённый счётчик в списке YouTube</x:v>
      </x:c>
      <x:c r="J1244" s="14" t="n">
        <x:v>137</x:v>
      </x:c>
      <x:c r="K1244" s="14" t="n">
        <x:v>224</x:v>
      </x:c>
      <x:c r="L1244" s="12" t="n">
        <x:f>IF(COUNT(J1244:K1244)=2,IF(K1244=0,"",J1244/K1244),"")</x:f>
        <x:v>0.6116071428571429</x:v>
      </x:c>
      <x:c r="M1244" s="10" t="str">
        <x:v>Завершённый короткий просмотр около 5 мин. Разговор о музыке и детстве создаёт вход через культурную близость и биографию.</x:v>
      </x:c>
      <x:c r="N1244" s="10" t="str">
        <x:v>Выбрать разговорный фрагмент; пересказать память участника.</x:v>
      </x:c>
      <x:c r="O1244" s="10" t="str">
        <x:v>Лекции могут включать арамейский, ладино и цитаты; основной язык проверить</x:v>
      </x:c>
      <x:c r="P1244" s="10" t="str">
        <x:v>Самостоятельное видео</x:v>
      </x:c>
      <x:c r="Q1244" s="9" t="str">
        <x:v>Нет</x:v>
      </x:c>
      <x:c r="R1244" s="9" t="str">
        <x:v>C075</x:v>
      </x:c>
      <x:c r="S1244" s="9" t="str">
        <x:v>C075</x:v>
      </x:c>
      <x:c r="T1244" s="10" t="str">
        <x:v>בית אבי חי</x:v>
      </x:c>
      <x:c r="U1244" s="11" t="str">
        <x:v>https://www.youtube.com/watch?v=q3gxzdLkT5I</x:v>
      </x:c>
      <x:c r="V1244" s="16" t="n">
        <x:v>46308</x:v>
      </x:c>
      <x:c r="W1244" s="16"/>
      <x:c r="X1244" s="10" t="str">
        <x:v>Иврит предполагается по заголовку и источнику</x:v>
      </x:c>
      <x:c r="Y1244" s="10" t="str">
        <x:v>Не проверено</x:v>
      </x:c>
      <x:c r="Z1244" s="10" t="str">
        <x:v>Не проверено</x:v>
      </x:c>
      <x:c r="AA1244" s="10" t="str">
        <x:v>Метаданные списка; видео не просмотрено</x:v>
      </x:c>
      <x:c r="AB1244" s="13" t="str">
        <x:f>IF(AND(ISNUMBER(H1244),ISNUMBER(W1244)),H1244/MAX(1,'Обзор'!$B$4-W1244),"")</x:f>
      </x:c>
      <x:c r="AC1244" s="17" t="str">
        <x:v>Не решено</x:v>
      </x:c>
      <x:c r="AD1244" s="17" t="str">
        <x:v>Не проверено</x:v>
      </x:c>
      <x:c r="AE1244" s="17" t="str">
        <x:v>Не проверено</x:v>
      </x:c>
      <x:c r="AF1244" s="17" t="str">
        <x:v>Не проверено</x:v>
      </x:c>
      <x:c r="AG1244" s="17" t="str">
        <x:v>Не решено</x:v>
      </x:c>
      <x:c r="AH1244" s="17" t="str">
        <x:v>Не проверено</x:v>
      </x:c>
      <x:c r="AI1244" s="10" t="str">
        <x:f>IF(AC1244="Отклонить","Отклонено",IF(AND(AC1244="Взять",COUNTIFS(AD1244:AH1244,"Да")=5),"Готово","Нужна редактура"))</x:f>
        <x:v>Нужна редактура</x:v>
      </x:c>
      <x:c r="AJ1244" s="17" t="str"/>
      <x:c r="AK1244" s="9" t="str">
        <x:v>https://www.youtube.com/playlist?list=PLv2rnAORLiVAs1Icrlj7A103fsXqAZsd5</x:v>
      </x:c>
      <x:c r="AL1244" s="9" t="n">
        <x:v>2</x:v>
      </x:c>
      <x:c r="AM1244" s="9"/>
      <x:c r="AN1244" s="9"/>
    </x:row>
    <x:row r="1245" ht="60" customHeight="1">
      <x:c r="A1245" s="9" t="str">
        <x:v>7S4YK1UQkVk</x:v>
      </x:c>
      <x:c r="B1245" s="10" t="str">
        <x:v>עלמה גוב - האור בקצה (לייב על בימת בית אבי חי)</x:v>
      </x:c>
      <x:c r="C1245" s="10" t="str">
        <x:v>Музыка и память</x:v>
      </x:c>
      <x:c r="D1245" s="9" t="str">
        <x:v>Культура</x:v>
      </x:c>
      <x:c r="E1245" s="10" t="str">
        <x:v>История; культура; еврейское наследие; продвинутые</x:v>
      </x:c>
      <x:c r="F1245" s="10" t="str">
        <x:v>B2–C1 (гипотеза)</x:v>
      </x:c>
      <x:c r="G1245" s="12" t="n">
        <x:v>3.1</x:v>
      </x:c>
      <x:c r="H1245" s="14" t="n">
        <x:v>172</x:v>
      </x:c>
      <x:c r="I1245" s="15" t="str">
        <x:v>Округлённый счётчик в списке YouTube</x:v>
      </x:c>
      <x:c r="J1245" s="14" t="n">
        <x:v>172</x:v>
      </x:c>
      <x:c r="K1245" s="14" t="n">
        <x:v>224</x:v>
      </x:c>
      <x:c r="L1245" s="12" t="n">
        <x:f>IF(COUNT(J1245:K1245)=2,IF(K1245=0,"",J1245/K1245),"")</x:f>
        <x:v>0.7678571428571429</x:v>
      </x:c>
      <x:c r="M1245" s="10" t="str">
        <x:v>Завершённый короткий просмотр около 3 мин. Разговор о музыке и детстве создаёт вход через культурную близость и биографию.</x:v>
      </x:c>
      <x:c r="N1245" s="10" t="str">
        <x:v>Выбрать разговорный фрагмент; пересказать память участника.</x:v>
      </x:c>
      <x:c r="O1245" s="10" t="str">
        <x:v>Лекции могут включать арамейский, ладино и цитаты; основной язык проверить</x:v>
      </x:c>
      <x:c r="P1245" s="10" t="str">
        <x:v>Самостоятельное видео</x:v>
      </x:c>
      <x:c r="Q1245" s="9" t="str">
        <x:v>Нет</x:v>
      </x:c>
      <x:c r="R1245" s="9" t="str">
        <x:v>C075</x:v>
      </x:c>
      <x:c r="S1245" s="9" t="str">
        <x:v>C075</x:v>
      </x:c>
      <x:c r="T1245" s="10" t="str">
        <x:v>בית אבי חי</x:v>
      </x:c>
      <x:c r="U1245" s="11" t="str">
        <x:v>https://www.youtube.com/watch?v=7S4YK1UQkVk</x:v>
      </x:c>
      <x:c r="V1245" s="16" t="n">
        <x:v>46308</x:v>
      </x:c>
      <x:c r="W1245" s="16"/>
      <x:c r="X1245" s="10" t="str">
        <x:v>Иврит предполагается по заголовку и источнику</x:v>
      </x:c>
      <x:c r="Y1245" s="10" t="str">
        <x:v>Не проверено</x:v>
      </x:c>
      <x:c r="Z1245" s="10" t="str">
        <x:v>Не проверено</x:v>
      </x:c>
      <x:c r="AA1245" s="10" t="str">
        <x:v>Метаданные списка; видео не просмотрено</x:v>
      </x:c>
      <x:c r="AB1245" s="13" t="str">
        <x:f>IF(AND(ISNUMBER(H1245),ISNUMBER(W1245)),H1245/MAX(1,'Обзор'!$B$4-W1245),"")</x:f>
      </x:c>
      <x:c r="AC1245" s="17" t="str">
        <x:v>Не решено</x:v>
      </x:c>
      <x:c r="AD1245" s="17" t="str">
        <x:v>Не проверено</x:v>
      </x:c>
      <x:c r="AE1245" s="17" t="str">
        <x:v>Не проверено</x:v>
      </x:c>
      <x:c r="AF1245" s="17" t="str">
        <x:v>Не проверено</x:v>
      </x:c>
      <x:c r="AG1245" s="17" t="str">
        <x:v>Не решено</x:v>
      </x:c>
      <x:c r="AH1245" s="17" t="str">
        <x:v>Не проверено</x:v>
      </x:c>
      <x:c r="AI1245" s="10" t="str">
        <x:f>IF(AC1245="Отклонить","Отклонено",IF(AND(AC1245="Взять",COUNTIFS(AD1245:AH1245,"Да")=5),"Готово","Нужна редактура"))</x:f>
        <x:v>Нужна редактура</x:v>
      </x:c>
      <x:c r="AJ1245" s="17" t="str"/>
      <x:c r="AK1245" s="9" t="str">
        <x:v>https://www.youtube.com/playlist?list=PLv2rnAORLiVAs1Icrlj7A103fsXqAZsd5</x:v>
      </x:c>
      <x:c r="AL1245" s="9" t="n">
        <x:v>3</x:v>
      </x:c>
      <x:c r="AM1245" s="9"/>
      <x:c r="AN1245" s="9"/>
    </x:row>
    <x:row r="1246" ht="60" customHeight="1">
      <x:c r="A1246" s="9" t="str">
        <x:v>a2PY_xfKNp0</x:v>
      </x:c>
      <x:c r="B1246" s="10" t="str">
        <x:v>עלמה גוב - חלון לים התיכון (לייב על בימת בית אבי חי)</x:v>
      </x:c>
      <x:c r="C1246" s="10" t="str">
        <x:v>Музыка и память</x:v>
      </x:c>
      <x:c r="D1246" s="9" t="str">
        <x:v>Культура</x:v>
      </x:c>
      <x:c r="E1246" s="10" t="str">
        <x:v>История; культура; еврейское наследие; продвинутые</x:v>
      </x:c>
      <x:c r="F1246" s="10" t="str">
        <x:v>B2–C1 (гипотеза)</x:v>
      </x:c>
      <x:c r="G1246" s="12" t="n">
        <x:v>3.7</x:v>
      </x:c>
      <x:c r="H1246" s="14" t="n">
        <x:v>150</x:v>
      </x:c>
      <x:c r="I1246" s="15" t="str">
        <x:v>Округлённый счётчик в списке YouTube</x:v>
      </x:c>
      <x:c r="J1246" s="14" t="n">
        <x:v>150</x:v>
      </x:c>
      <x:c r="K1246" s="14" t="n">
        <x:v>224</x:v>
      </x:c>
      <x:c r="L1246" s="12" t="n">
        <x:f>IF(COUNT(J1246:K1246)=2,IF(K1246=0,"",J1246/K1246),"")</x:f>
        <x:v>0.6696428571428571</x:v>
      </x:c>
      <x:c r="M1246" s="10" t="str">
        <x:v>Завершённый короткий просмотр около 4 мин. Разговор о музыке и детстве создаёт вход через культурную близость и биографию.</x:v>
      </x:c>
      <x:c r="N1246" s="10" t="str">
        <x:v>Выбрать разговорный фрагмент; пересказать память участника.</x:v>
      </x:c>
      <x:c r="O1246" s="10" t="str">
        <x:v>Лекции могут включать арамейский, ладино и цитаты; основной язык проверить</x:v>
      </x:c>
      <x:c r="P1246" s="10" t="str">
        <x:v>Самостоятельное видео</x:v>
      </x:c>
      <x:c r="Q1246" s="9" t="str">
        <x:v>Нет</x:v>
      </x:c>
      <x:c r="R1246" s="9" t="str">
        <x:v>C075</x:v>
      </x:c>
      <x:c r="S1246" s="9" t="str">
        <x:v>C075</x:v>
      </x:c>
      <x:c r="T1246" s="10" t="str">
        <x:v>בית אבי חי</x:v>
      </x:c>
      <x:c r="U1246" s="11" t="str">
        <x:v>https://www.youtube.com/watch?v=a2PY_xfKNp0</x:v>
      </x:c>
      <x:c r="V1246" s="16" t="n">
        <x:v>46308</x:v>
      </x:c>
      <x:c r="W1246" s="16"/>
      <x:c r="X1246" s="10" t="str">
        <x:v>Иврит предполагается по заголовку и источнику</x:v>
      </x:c>
      <x:c r="Y1246" s="10" t="str">
        <x:v>Не проверено</x:v>
      </x:c>
      <x:c r="Z1246" s="10" t="str">
        <x:v>Не проверено</x:v>
      </x:c>
      <x:c r="AA1246" s="10" t="str">
        <x:v>Метаданные списка; видео не просмотрено</x:v>
      </x:c>
      <x:c r="AB1246" s="13" t="str">
        <x:f>IF(AND(ISNUMBER(H1246),ISNUMBER(W1246)),H1246/MAX(1,'Обзор'!$B$4-W1246),"")</x:f>
      </x:c>
      <x:c r="AC1246" s="17" t="str">
        <x:v>Не решено</x:v>
      </x:c>
      <x:c r="AD1246" s="17" t="str">
        <x:v>Не проверено</x:v>
      </x:c>
      <x:c r="AE1246" s="17" t="str">
        <x:v>Не проверено</x:v>
      </x:c>
      <x:c r="AF1246" s="17" t="str">
        <x:v>Не проверено</x:v>
      </x:c>
      <x:c r="AG1246" s="17" t="str">
        <x:v>Не решено</x:v>
      </x:c>
      <x:c r="AH1246" s="17" t="str">
        <x:v>Не проверено</x:v>
      </x:c>
      <x:c r="AI1246" s="10" t="str">
        <x:f>IF(AC1246="Отклонить","Отклонено",IF(AND(AC1246="Взять",COUNTIFS(AD1246:AH1246,"Да")=5),"Готово","Нужна редактура"))</x:f>
        <x:v>Нужна редактура</x:v>
      </x:c>
      <x:c r="AJ1246" s="17" t="str"/>
      <x:c r="AK1246" s="9" t="str">
        <x:v>https://www.youtube.com/playlist?list=PLv2rnAORLiVAs1Icrlj7A103fsXqAZsd5</x:v>
      </x:c>
      <x:c r="AL1246" s="9" t="n">
        <x:v>4</x:v>
      </x:c>
      <x:c r="AM1246" s="9"/>
      <x:c r="AN1246" s="9"/>
    </x:row>
    <x:row r="1247" ht="60" customHeight="1">
      <x:c r="A1247" s="9" t="str">
        <x:v>Vnihc9NVuis</x:v>
      </x:c>
      <x:c r="B1247" s="10" t="str">
        <x:v>עלמה גוב - ילדות נשכחת (לייב על בימת בית אבי חי)</x:v>
      </x:c>
      <x:c r="C1247" s="10" t="str">
        <x:v>Музыка и память</x:v>
      </x:c>
      <x:c r="D1247" s="9" t="str">
        <x:v>Культура</x:v>
      </x:c>
      <x:c r="E1247" s="10" t="str">
        <x:v>История; культура; еврейское наследие; продвинутые</x:v>
      </x:c>
      <x:c r="F1247" s="10" t="str">
        <x:v>B2–C1 (гипотеза)</x:v>
      </x:c>
      <x:c r="G1247" s="12" t="n">
        <x:v>3.2</x:v>
      </x:c>
      <x:c r="H1247" s="14" t="n">
        <x:v>161</x:v>
      </x:c>
      <x:c r="I1247" s="15" t="str">
        <x:v>Округлённый счётчик в списке YouTube</x:v>
      </x:c>
      <x:c r="J1247" s="14" t="n">
        <x:v>161</x:v>
      </x:c>
      <x:c r="K1247" s="14" t="n">
        <x:v>224</x:v>
      </x:c>
      <x:c r="L1247" s="12" t="n">
        <x:f>IF(COUNT(J1247:K1247)=2,IF(K1247=0,"",J1247/K1247),"")</x:f>
        <x:v>0.71875</x:v>
      </x:c>
      <x:c r="M1247" s="10" t="str">
        <x:v>Завершённый короткий просмотр около 3 мин. Разговор о музыке и детстве создаёт вход через культурную близость и биографию.</x:v>
      </x:c>
      <x:c r="N1247" s="10" t="str">
        <x:v>Выбрать разговорный фрагмент; пересказать память участника.</x:v>
      </x:c>
      <x:c r="O1247" s="10" t="str">
        <x:v>Лекции могут включать арамейский, ладино и цитаты; основной язык проверить</x:v>
      </x:c>
      <x:c r="P1247" s="10" t="str">
        <x:v>Самостоятельное видео</x:v>
      </x:c>
      <x:c r="Q1247" s="9" t="str">
        <x:v>Нет</x:v>
      </x:c>
      <x:c r="R1247" s="9" t="str">
        <x:v>C075</x:v>
      </x:c>
      <x:c r="S1247" s="9" t="str">
        <x:v>C075</x:v>
      </x:c>
      <x:c r="T1247" s="10" t="str">
        <x:v>בית אבי חי</x:v>
      </x:c>
      <x:c r="U1247" s="11" t="str">
        <x:v>https://www.youtube.com/watch?v=Vnihc9NVuis</x:v>
      </x:c>
      <x:c r="V1247" s="16" t="n">
        <x:v>46308</x:v>
      </x:c>
      <x:c r="W1247" s="16"/>
      <x:c r="X1247" s="10" t="str">
        <x:v>Иврит предполагается по заголовку и источнику</x:v>
      </x:c>
      <x:c r="Y1247" s="10" t="str">
        <x:v>Не проверено</x:v>
      </x:c>
      <x:c r="Z1247" s="10" t="str">
        <x:v>Не проверено</x:v>
      </x:c>
      <x:c r="AA1247" s="10" t="str">
        <x:v>Метаданные списка; видео не просмотрено</x:v>
      </x:c>
      <x:c r="AB1247" s="13" t="str">
        <x:f>IF(AND(ISNUMBER(H1247),ISNUMBER(W1247)),H1247/MAX(1,'Обзор'!$B$4-W1247),"")</x:f>
      </x:c>
      <x:c r="AC1247" s="17" t="str">
        <x:v>Не решено</x:v>
      </x:c>
      <x:c r="AD1247" s="17" t="str">
        <x:v>Не проверено</x:v>
      </x:c>
      <x:c r="AE1247" s="17" t="str">
        <x:v>Не проверено</x:v>
      </x:c>
      <x:c r="AF1247" s="17" t="str">
        <x:v>Не проверено</x:v>
      </x:c>
      <x:c r="AG1247" s="17" t="str">
        <x:v>Не решено</x:v>
      </x:c>
      <x:c r="AH1247" s="17" t="str">
        <x:v>Не проверено</x:v>
      </x:c>
      <x:c r="AI1247" s="10" t="str">
        <x:f>IF(AC1247="Отклонить","Отклонено",IF(AND(AC1247="Взять",COUNTIFS(AD1247:AH1247,"Да")=5),"Готово","Нужна редактура"))</x:f>
        <x:v>Нужна редактура</x:v>
      </x:c>
      <x:c r="AJ1247" s="17" t="str"/>
      <x:c r="AK1247" s="9" t="str">
        <x:v>https://www.youtube.com/playlist?list=PLv2rnAORLiVAs1Icrlj7A103fsXqAZsd5</x:v>
      </x:c>
      <x:c r="AL1247" s="9" t="n">
        <x:v>5</x:v>
      </x:c>
      <x:c r="AM1247" s="9"/>
      <x:c r="AN1247" s="9"/>
    </x:row>
    <x:row r="1248" ht="60" customHeight="1">
      <x:c r="A1248" s="9" t="str">
        <x:v>hEvMsiY0dfI</x:v>
      </x:c>
      <x:c r="B1248" s="10" t="str">
        <x:v>יעקב גלעד, עלמה גוב - נמס בגשם (לייב על בימת בית אבי חי)</x:v>
      </x:c>
      <x:c r="C1248" s="10" t="str">
        <x:v>Музыка и память</x:v>
      </x:c>
      <x:c r="D1248" s="9" t="str">
        <x:v>Культура</x:v>
      </x:c>
      <x:c r="E1248" s="10" t="str">
        <x:v>История; культура; еврейское наследие; продвинутые</x:v>
      </x:c>
      <x:c r="F1248" s="10" t="str">
        <x:v>B2–C1 (гипотеза)</x:v>
      </x:c>
      <x:c r="G1248" s="12" t="n">
        <x:v>4.2</x:v>
      </x:c>
      <x:c r="H1248" s="14" t="n">
        <x:v>224</x:v>
      </x:c>
      <x:c r="I1248" s="15" t="str">
        <x:v>Точный счётчик метаданных видео</x:v>
      </x:c>
      <x:c r="J1248" s="14" t="n">
        <x:v>224</x:v>
      </x:c>
      <x:c r="K1248" s="14" t="n">
        <x:v>224</x:v>
      </x:c>
      <x:c r="L1248" s="12" t="n">
        <x:f>IF(COUNT(J1248:K1248)=2,IF(K1248=0,"",J1248/K1248),"")</x:f>
        <x:v>1</x:v>
      </x:c>
      <x:c r="M1248" s="10" t="str">
        <x:v>Завершённый короткий просмотр около 4 мин. Разговор о музыке и детстве создаёт вход через культурную близость и биографию.</x:v>
      </x:c>
      <x:c r="N1248" s="10" t="str">
        <x:v>Выбрать разговорный фрагмент; пересказать память участника.</x:v>
      </x:c>
      <x:c r="O1248" s="10" t="str">
        <x:v>Лекции могут включать арамейский, ладино и цитаты; основной язык проверить</x:v>
      </x:c>
      <x:c r="P1248" s="10" t="str">
        <x:v>Самостоятельное видео</x:v>
      </x:c>
      <x:c r="Q1248" s="9" t="str">
        <x:v>Нет</x:v>
      </x:c>
      <x:c r="R1248" s="9" t="str">
        <x:v>C075</x:v>
      </x:c>
      <x:c r="S1248" s="9" t="str">
        <x:v>C075</x:v>
      </x:c>
      <x:c r="T1248" s="10" t="str">
        <x:v>בית אבי חי</x:v>
      </x:c>
      <x:c r="U1248" s="11" t="str">
        <x:v>https://www.youtube.com/watch?v=hEvMsiY0dfI</x:v>
      </x:c>
      <x:c r="V1248" s="16" t="n">
        <x:v>46308</x:v>
      </x:c>
      <x:c r="W1248" s="16" t="n">
        <x:v>46215</x:v>
      </x:c>
      <x:c r="X1248" s="10" t="str">
        <x:v>Иврит предполагается по заголовку и источнику</x:v>
      </x:c>
      <x:c r="Y1248" s="10" t="str">
        <x:v>Автоматическая дорожка HE по метаданным</x:v>
      </x:c>
      <x:c r="Z1248" s="10" t="str">
        <x:v>Разрешено по метаданным</x:v>
      </x:c>
      <x:c r="AA1248" s="10" t="str">
        <x:v>Метаданные видео; воспроизведение и содержание не проверены</x:v>
      </x:c>
      <x:c r="AB1248" s="13" t="n">
        <x:f>IF(AND(ISNUMBER(H1248),ISNUMBER(W1248)),H1248/MAX(1,'Обзор'!$B$4-W1248),"")</x:f>
        <x:v>2.4086021505376345</x:v>
      </x:c>
      <x:c r="AC1248" s="17" t="str">
        <x:v>Не решено</x:v>
      </x:c>
      <x:c r="AD1248" s="17" t="str">
        <x:v>Не проверено</x:v>
      </x:c>
      <x:c r="AE1248" s="17" t="str">
        <x:v>Не проверено</x:v>
      </x:c>
      <x:c r="AF1248" s="17" t="str">
        <x:v>Не проверено</x:v>
      </x:c>
      <x:c r="AG1248" s="17" t="str">
        <x:v>Не решено</x:v>
      </x:c>
      <x:c r="AH1248" s="17" t="str">
        <x:v>Не проверено</x:v>
      </x:c>
      <x:c r="AI1248" s="10" t="str">
        <x:f>IF(AC1248="Отклонить","Отклонено",IF(AND(AC1248="Взять",COUNTIFS(AD1248:AH1248,"Да")=5),"Готово","Нужна редактура"))</x:f>
        <x:v>Нужна редактура</x:v>
      </x:c>
      <x:c r="AJ1248" s="17" t="str"/>
      <x:c r="AK1248" s="9" t="str">
        <x:v>https://www.youtube.com/playlist?list=PLv2rnAORLiVAs1Icrlj7A103fsXqAZsd5</x:v>
      </x:c>
      <x:c r="AL1248" s="9" t="n">
        <x:v>6</x:v>
      </x:c>
      <x:c r="AM1248" s="9"/>
      <x:c r="AN1248" s="9" t="n">
        <x:v>0</x:v>
      </x:c>
    </x:row>
    <x:row r="1249" ht="60" customHeight="1">
      <x:c r="A1249" s="9" t="str">
        <x:v>2HUvjv15h4Y</x:v>
      </x:c>
      <x:c r="B1249" s="10" t="str">
        <x:v>ירדנה ארזי - אתה לי ארץ (לייב על בימת בית אבי חי)</x:v>
      </x:c>
      <x:c r="C1249" s="10" t="str">
        <x:v>Музыка и память</x:v>
      </x:c>
      <x:c r="D1249" s="9" t="str">
        <x:v>Культура</x:v>
      </x:c>
      <x:c r="E1249" s="10" t="str">
        <x:v>История; культура; еврейское наследие; продвинутые</x:v>
      </x:c>
      <x:c r="F1249" s="10" t="str">
        <x:v>B2–C1 (гипотеза)</x:v>
      </x:c>
      <x:c r="G1249" s="12" t="n">
        <x:v>3.4</x:v>
      </x:c>
      <x:c r="H1249" s="14" t="n">
        <x:v>177</x:v>
      </x:c>
      <x:c r="I1249" s="15" t="str">
        <x:v>Округлённый счётчик в списке YouTube</x:v>
      </x:c>
      <x:c r="J1249" s="14" t="n">
        <x:v>177</x:v>
      </x:c>
      <x:c r="K1249" s="14" t="n">
        <x:v>224</x:v>
      </x:c>
      <x:c r="L1249" s="12" t="n">
        <x:f>IF(COUNT(J1249:K1249)=2,IF(K1249=0,"",J1249/K1249),"")</x:f>
        <x:v>0.7901785714285714</x:v>
      </x:c>
      <x:c r="M1249" s="10" t="str">
        <x:v>Завершённый короткий просмотр около 3 мин. Разговор о музыке и детстве создаёт вход через культурную близость и биографию.</x:v>
      </x:c>
      <x:c r="N1249" s="10" t="str">
        <x:v>Выбрать разговорный фрагмент; пересказать память участника.</x:v>
      </x:c>
      <x:c r="O1249" s="10" t="str">
        <x:v>Лекции могут включать арамейский, ладино и цитаты; основной язык проверить</x:v>
      </x:c>
      <x:c r="P1249" s="10" t="str">
        <x:v>Самостоятельное видео</x:v>
      </x:c>
      <x:c r="Q1249" s="9" t="str">
        <x:v>Нет</x:v>
      </x:c>
      <x:c r="R1249" s="9" t="str">
        <x:v>C075</x:v>
      </x:c>
      <x:c r="S1249" s="9" t="str">
        <x:v>C075</x:v>
      </x:c>
      <x:c r="T1249" s="10" t="str">
        <x:v>בית אבי חי</x:v>
      </x:c>
      <x:c r="U1249" s="11" t="str">
        <x:v>https://www.youtube.com/watch?v=2HUvjv15h4Y</x:v>
      </x:c>
      <x:c r="V1249" s="16" t="n">
        <x:v>46308</x:v>
      </x:c>
      <x:c r="W1249" s="16"/>
      <x:c r="X1249" s="10" t="str">
        <x:v>Иврит предполагается по заголовку и источнику</x:v>
      </x:c>
      <x:c r="Y1249" s="10" t="str">
        <x:v>Не проверено</x:v>
      </x:c>
      <x:c r="Z1249" s="10" t="str">
        <x:v>Не проверено</x:v>
      </x:c>
      <x:c r="AA1249" s="10" t="str">
        <x:v>Метаданные списка; видео не просмотрено</x:v>
      </x:c>
      <x:c r="AB1249" s="13" t="str">
        <x:f>IF(AND(ISNUMBER(H1249),ISNUMBER(W1249)),H1249/MAX(1,'Обзор'!$B$4-W1249),"")</x:f>
      </x:c>
      <x:c r="AC1249" s="17" t="str">
        <x:v>Не решено</x:v>
      </x:c>
      <x:c r="AD1249" s="17" t="str">
        <x:v>Не проверено</x:v>
      </x:c>
      <x:c r="AE1249" s="17" t="str">
        <x:v>Не проверено</x:v>
      </x:c>
      <x:c r="AF1249" s="17" t="str">
        <x:v>Не проверено</x:v>
      </x:c>
      <x:c r="AG1249" s="17" t="str">
        <x:v>Не решено</x:v>
      </x:c>
      <x:c r="AH1249" s="17" t="str">
        <x:v>Не проверено</x:v>
      </x:c>
      <x:c r="AI1249" s="10" t="str">
        <x:f>IF(AC1249="Отклонить","Отклонено",IF(AND(AC1249="Взять",COUNTIFS(AD1249:AH1249,"Да")=5),"Готово","Нужна редактура"))</x:f>
        <x:v>Нужна редактура</x:v>
      </x:c>
      <x:c r="AJ1249" s="17" t="str"/>
      <x:c r="AK1249" s="9" t="str">
        <x:v>https://www.youtube.com/playlist?list=PLv2rnAORLiVAs1Icrlj7A103fsXqAZsd5</x:v>
      </x:c>
      <x:c r="AL1249" s="9" t="n">
        <x:v>7</x:v>
      </x:c>
      <x:c r="AM1249" s="9"/>
      <x:c r="AN1249" s="9"/>
    </x:row>
    <x:row r="1250" ht="60" customHeight="1">
      <x:c r="A1250" s="9" t="str">
        <x:v>7s0WngHcKuw</x:v>
      </x:c>
      <x:c r="B1250" s="10" t="str">
        <x:v>ירדנה ארזי - בואי אימא (לייב על בימת בית אבי חי)</x:v>
      </x:c>
      <x:c r="C1250" s="10" t="str">
        <x:v>Музыка и память</x:v>
      </x:c>
      <x:c r="D1250" s="9" t="str">
        <x:v>Культура</x:v>
      </x:c>
      <x:c r="E1250" s="10" t="str">
        <x:v>История; культура; еврейское наследие; продвинутые</x:v>
      </x:c>
      <x:c r="F1250" s="10" t="str">
        <x:v>B2–C1 (гипотеза)</x:v>
      </x:c>
      <x:c r="G1250" s="12" t="n">
        <x:v>2.7</x:v>
      </x:c>
      <x:c r="H1250" s="14" t="n">
        <x:v>216</x:v>
      </x:c>
      <x:c r="I1250" s="15" t="str">
        <x:v>Точный счётчик метаданных видео</x:v>
      </x:c>
      <x:c r="J1250" s="14" t="n">
        <x:v>216</x:v>
      </x:c>
      <x:c r="K1250" s="14" t="n">
        <x:v>224</x:v>
      </x:c>
      <x:c r="L1250" s="12" t="n">
        <x:f>IF(COUNT(J1250:K1250)=2,IF(K1250=0,"",J1250/K1250),"")</x:f>
        <x:v>0.9642857142857143</x:v>
      </x:c>
      <x:c r="M1250" s="10" t="str">
        <x:v>Завершённый короткий просмотр около 3 мин. Разговор о музыке и детстве создаёт вход через культурную близость и биографию.</x:v>
      </x:c>
      <x:c r="N1250" s="10" t="str">
        <x:v>Выбрать разговорный фрагмент; пересказать память участника.</x:v>
      </x:c>
      <x:c r="O1250" s="10" t="str">
        <x:v>Лекции могут включать арамейский, ладино и цитаты; основной язык проверить</x:v>
      </x:c>
      <x:c r="P1250" s="10" t="str">
        <x:v>Самостоятельное видео</x:v>
      </x:c>
      <x:c r="Q1250" s="9" t="str">
        <x:v>Нет</x:v>
      </x:c>
      <x:c r="R1250" s="9" t="str">
        <x:v>C075</x:v>
      </x:c>
      <x:c r="S1250" s="9" t="str">
        <x:v>C075</x:v>
      </x:c>
      <x:c r="T1250" s="10" t="str">
        <x:v>בית אבי חי</x:v>
      </x:c>
      <x:c r="U1250" s="11" t="str">
        <x:v>https://www.youtube.com/watch?v=7s0WngHcKuw</x:v>
      </x:c>
      <x:c r="V1250" s="16" t="n">
        <x:v>46308</x:v>
      </x:c>
      <x:c r="W1250" s="16" t="n">
        <x:v>46161</x:v>
      </x:c>
      <x:c r="X1250" s="10" t="str">
        <x:v>iw</x:v>
      </x:c>
      <x:c r="Y1250" s="10" t="str">
        <x:v>Автоматическая дорожка HE по метаданным</x:v>
      </x:c>
      <x:c r="Z1250" s="10" t="str">
        <x:v>Разрешено по метаданным</x:v>
      </x:c>
      <x:c r="AA1250" s="10" t="str">
        <x:v>Метаданные видео; воспроизведение и содержание не проверены</x:v>
      </x:c>
      <x:c r="AB1250" s="13" t="n">
        <x:f>IF(AND(ISNUMBER(H1250),ISNUMBER(W1250)),H1250/MAX(1,'Обзор'!$B$4-W1250),"")</x:f>
        <x:v>1.469387755102041</x:v>
      </x:c>
      <x:c r="AC1250" s="17" t="str">
        <x:v>Не решено</x:v>
      </x:c>
      <x:c r="AD1250" s="17" t="str">
        <x:v>Не проверено</x:v>
      </x:c>
      <x:c r="AE1250" s="17" t="str">
        <x:v>Не проверено</x:v>
      </x:c>
      <x:c r="AF1250" s="17" t="str">
        <x:v>Не проверено</x:v>
      </x:c>
      <x:c r="AG1250" s="17" t="str">
        <x:v>Не решено</x:v>
      </x:c>
      <x:c r="AH1250" s="17" t="str">
        <x:v>Не проверено</x:v>
      </x:c>
      <x:c r="AI1250" s="10" t="str">
        <x:f>IF(AC1250="Отклонить","Отклонено",IF(AND(AC1250="Взять",COUNTIFS(AD1250:AH1250,"Да")=5),"Готово","Нужна редактура"))</x:f>
        <x:v>Нужна редактура</x:v>
      </x:c>
      <x:c r="AJ1250" s="17" t="str"/>
      <x:c r="AK1250" s="9" t="str">
        <x:v>https://www.youtube.com/playlist?list=PLv2rnAORLiVAs1Icrlj7A103fsXqAZsd5</x:v>
      </x:c>
      <x:c r="AL1250" s="9" t="n">
        <x:v>8</x:v>
      </x:c>
      <x:c r="AM1250" s="9"/>
      <x:c r="AN1250" s="9" t="n">
        <x:v>0</x:v>
      </x:c>
    </x:row>
    <x:row r="1251" ht="60" customHeight="1">
      <x:c r="A1251" s="9" t="str">
        <x:v>6GO3uo9JcL0</x:v>
      </x:c>
      <x:c r="B1251" s="10" t="str">
        <x:v>ירדנה ארזי - הביתה (לייב על בימת בית אבי חי)</x:v>
      </x:c>
      <x:c r="C1251" s="10" t="str">
        <x:v>Музыка и память</x:v>
      </x:c>
      <x:c r="D1251" s="9" t="str">
        <x:v>Культура</x:v>
      </x:c>
      <x:c r="E1251" s="10" t="str">
        <x:v>История; культура; еврейское наследие; продвинутые</x:v>
      </x:c>
      <x:c r="F1251" s="10" t="str">
        <x:v>B2–C1 (гипотеза)</x:v>
      </x:c>
      <x:c r="G1251" s="12" t="n">
        <x:v>3.5</x:v>
      </x:c>
      <x:c r="H1251" s="14" t="n">
        <x:v>280</x:v>
      </x:c>
      <x:c r="I1251" s="15" t="str">
        <x:v>Точный счётчик метаданных видео</x:v>
      </x:c>
      <x:c r="J1251" s="14" t="n">
        <x:v>280</x:v>
      </x:c>
      <x:c r="K1251" s="14" t="n">
        <x:v>224</x:v>
      </x:c>
      <x:c r="L1251" s="12" t="n">
        <x:f>IF(COUNT(J1251:K1251)=2,IF(K1251=0,"",J1251/K1251),"")</x:f>
        <x:v>1.25</x:v>
      </x:c>
      <x:c r="M1251" s="10" t="str">
        <x:v>Завершённый короткий просмотр около 4 мин. Разговор о музыке и детстве создаёт вход через культурную близость и биографию.</x:v>
      </x:c>
      <x:c r="N1251" s="10" t="str">
        <x:v>Выбрать разговорный фрагмент; пересказать память участника.</x:v>
      </x:c>
      <x:c r="O1251" s="10" t="str">
        <x:v>Лекции могут включать арамейский, ладино и цитаты; основной язык проверить</x:v>
      </x:c>
      <x:c r="P1251" s="10" t="str">
        <x:v>Самостоятельное видео</x:v>
      </x:c>
      <x:c r="Q1251" s="9" t="str">
        <x:v>Нет</x:v>
      </x:c>
      <x:c r="R1251" s="9" t="str">
        <x:v>C075</x:v>
      </x:c>
      <x:c r="S1251" s="9" t="str">
        <x:v>C075</x:v>
      </x:c>
      <x:c r="T1251" s="10" t="str">
        <x:v>בית אבי חי</x:v>
      </x:c>
      <x:c r="U1251" s="11" t="str">
        <x:v>https://www.youtube.com/watch?v=6GO3uo9JcL0</x:v>
      </x:c>
      <x:c r="V1251" s="16" t="n">
        <x:v>46308</x:v>
      </x:c>
      <x:c r="W1251" s="16" t="n">
        <x:v>46161</x:v>
      </x:c>
      <x:c r="X1251" s="10" t="str">
        <x:v>iw</x:v>
      </x:c>
      <x:c r="Y1251" s="10" t="str">
        <x:v>Автоматическая дорожка HE по метаданным</x:v>
      </x:c>
      <x:c r="Z1251" s="10" t="str">
        <x:v>Разрешено по метаданным</x:v>
      </x:c>
      <x:c r="AA1251" s="10" t="str">
        <x:v>Метаданные видео; воспроизведение и содержание не проверены</x:v>
      </x:c>
      <x:c r="AB1251" s="13" t="n">
        <x:f>IF(AND(ISNUMBER(H1251),ISNUMBER(W1251)),H1251/MAX(1,'Обзор'!$B$4-W1251),"")</x:f>
        <x:v>1.9047619047619047</x:v>
      </x:c>
      <x:c r="AC1251" s="17" t="str">
        <x:v>Не решено</x:v>
      </x:c>
      <x:c r="AD1251" s="17" t="str">
        <x:v>Не проверено</x:v>
      </x:c>
      <x:c r="AE1251" s="17" t="str">
        <x:v>Не проверено</x:v>
      </x:c>
      <x:c r="AF1251" s="17" t="str">
        <x:v>Не проверено</x:v>
      </x:c>
      <x:c r="AG1251" s="17" t="str">
        <x:v>Не решено</x:v>
      </x:c>
      <x:c r="AH1251" s="17" t="str">
        <x:v>Не проверено</x:v>
      </x:c>
      <x:c r="AI1251" s="10" t="str">
        <x:f>IF(AC1251="Отклонить","Отклонено",IF(AND(AC1251="Взять",COUNTIFS(AD1251:AH1251,"Да")=5),"Готово","Нужна редактура"))</x:f>
        <x:v>Нужна редактура</x:v>
      </x:c>
      <x:c r="AJ1251" s="17" t="str"/>
      <x:c r="AK1251" s="9" t="str">
        <x:v>https://www.youtube.com/playlist?list=PLv2rnAORLiVAs1Icrlj7A103fsXqAZsd5</x:v>
      </x:c>
      <x:c r="AL1251" s="9" t="n">
        <x:v>9</x:v>
      </x:c>
      <x:c r="AM1251" s="9"/>
      <x:c r="AN1251" s="9" t="n">
        <x:v>0</x:v>
      </x:c>
    </x:row>
    <x:row r="1252" ht="60" customHeight="1">
      <x:c r="A1252" s="9" t="str">
        <x:v>twqG44SS1xk</x:v>
      </x:c>
      <x:c r="B1252" s="10" t="str">
        <x:v>אלון אולארצ'יק - נערה במשקפיים (לייב על בימת בית אבי חי)</x:v>
      </x:c>
      <x:c r="C1252" s="10" t="str">
        <x:v>Музыка и память</x:v>
      </x:c>
      <x:c r="D1252" s="9" t="str">
        <x:v>Культура</x:v>
      </x:c>
      <x:c r="E1252" s="10" t="str">
        <x:v>История; культура; еврейское наследие; продвинутые</x:v>
      </x:c>
      <x:c r="F1252" s="10" t="str">
        <x:v>B2–C1 (гипотеза)</x:v>
      </x:c>
      <x:c r="G1252" s="12" t="n">
        <x:v>2.5</x:v>
      </x:c>
      <x:c r="H1252" s="14" t="n">
        <x:v>126</x:v>
      </x:c>
      <x:c r="I1252" s="15" t="str">
        <x:v>Округлённый счётчик в списке YouTube</x:v>
      </x:c>
      <x:c r="J1252" s="14" t="n">
        <x:v>126</x:v>
      </x:c>
      <x:c r="K1252" s="14" t="n">
        <x:v>224</x:v>
      </x:c>
      <x:c r="L1252" s="12" t="n">
        <x:f>IF(COUNT(J1252:K1252)=2,IF(K1252=0,"",J1252/K1252),"")</x:f>
        <x:v>0.5625</x:v>
      </x:c>
      <x:c r="M1252" s="10" t="str">
        <x:v>Завершённый короткий просмотр около 2 мин. Разговор о музыке и детстве создаёт вход через культурную близость и биографию.</x:v>
      </x:c>
      <x:c r="N1252" s="10" t="str">
        <x:v>Выбрать разговорный фрагмент; пересказать память участника.</x:v>
      </x:c>
      <x:c r="O1252" s="10" t="str">
        <x:v>Лекции могут включать арамейский, ладино и цитаты; основной язык проверить</x:v>
      </x:c>
      <x:c r="P1252" s="10" t="str">
        <x:v>Самостоятельное видео</x:v>
      </x:c>
      <x:c r="Q1252" s="9" t="str">
        <x:v>Нет</x:v>
      </x:c>
      <x:c r="R1252" s="9" t="str">
        <x:v>C075</x:v>
      </x:c>
      <x:c r="S1252" s="9" t="str">
        <x:v>C075</x:v>
      </x:c>
      <x:c r="T1252" s="10" t="str">
        <x:v>בית אבי חי</x:v>
      </x:c>
      <x:c r="U1252" s="11" t="str">
        <x:v>https://www.youtube.com/watch?v=twqG44SS1xk</x:v>
      </x:c>
      <x:c r="V1252" s="16" t="n">
        <x:v>46308</x:v>
      </x:c>
      <x:c r="W1252" s="16"/>
      <x:c r="X1252" s="10" t="str">
        <x:v>Иврит предполагается по заголовку и источнику</x:v>
      </x:c>
      <x:c r="Y1252" s="10" t="str">
        <x:v>Не проверено</x:v>
      </x:c>
      <x:c r="Z1252" s="10" t="str">
        <x:v>Не проверено</x:v>
      </x:c>
      <x:c r="AA1252" s="10" t="str">
        <x:v>Метаданные списка; видео не просмотрено</x:v>
      </x:c>
      <x:c r="AB1252" s="13" t="str">
        <x:f>IF(AND(ISNUMBER(H1252),ISNUMBER(W1252)),H1252/MAX(1,'Обзор'!$B$4-W1252),"")</x:f>
      </x:c>
      <x:c r="AC1252" s="17" t="str">
        <x:v>Не решено</x:v>
      </x:c>
      <x:c r="AD1252" s="17" t="str">
        <x:v>Не проверено</x:v>
      </x:c>
      <x:c r="AE1252" s="17" t="str">
        <x:v>Не проверено</x:v>
      </x:c>
      <x:c r="AF1252" s="17" t="str">
        <x:v>Не проверено</x:v>
      </x:c>
      <x:c r="AG1252" s="17" t="str">
        <x:v>Не решено</x:v>
      </x:c>
      <x:c r="AH1252" s="17" t="str">
        <x:v>Не проверено</x:v>
      </x:c>
      <x:c r="AI1252" s="10" t="str">
        <x:f>IF(AC1252="Отклонить","Отклонено",IF(AND(AC1252="Взять",COUNTIFS(AD1252:AH1252,"Да")=5),"Готово","Нужна редактура"))</x:f>
        <x:v>Нужна редактура</x:v>
      </x:c>
      <x:c r="AJ1252" s="17" t="str"/>
      <x:c r="AK1252" s="9" t="str">
        <x:v>https://www.youtube.com/playlist?list=PLv2rnAORLiVAs1Icrlj7A103fsXqAZsd5</x:v>
      </x:c>
      <x:c r="AL1252" s="9" t="n">
        <x:v>10</x:v>
      </x:c>
      <x:c r="AM1252" s="9"/>
      <x:c r="AN1252" s="9"/>
    </x:row>
    <x:row r="1253" ht="60" customHeight="1">
      <x:c r="A1253" s="9" t="str">
        <x:v>uPIx2vip80Y</x:v>
      </x:c>
      <x:c r="B1253" s="10" t="str">
        <x:v>אלון אולארצ'יק - בואי נגיד (לייב על בימת בית אבי חי)</x:v>
      </x:c>
      <x:c r="C1253" s="10" t="str">
        <x:v>Музыка и память</x:v>
      </x:c>
      <x:c r="D1253" s="9" t="str">
        <x:v>Культура</x:v>
      </x:c>
      <x:c r="E1253" s="10" t="str">
        <x:v>История; культура; еврейское наследие; продвинутые</x:v>
      </x:c>
      <x:c r="F1253" s="10" t="str">
        <x:v>B2–C1 (гипотеза)</x:v>
      </x:c>
      <x:c r="G1253" s="12" t="n">
        <x:v>3.9</x:v>
      </x:c>
      <x:c r="H1253" s="14" t="n">
        <x:v>364</x:v>
      </x:c>
      <x:c r="I1253" s="15" t="str">
        <x:v>Точный счётчик метаданных видео</x:v>
      </x:c>
      <x:c r="J1253" s="14" t="n">
        <x:v>364</x:v>
      </x:c>
      <x:c r="K1253" s="14" t="n">
        <x:v>224</x:v>
      </x:c>
      <x:c r="L1253" s="12" t="n">
        <x:f>IF(COUNT(J1253:K1253)=2,IF(K1253=0,"",J1253/K1253),"")</x:f>
        <x:v>1.625</x:v>
      </x:c>
      <x:c r="M1253" s="10" t="str">
        <x:v>Завершённый короткий просмотр около 4 мин. Просмотры в списке выше медианы выборки этого цикла в 1.62 раза. Разговор о музыке и детстве создаёт вход через культурную близость и биографию.</x:v>
      </x:c>
      <x:c r="N1253" s="10" t="str">
        <x:v>Выбрать разговорный фрагмент; пересказать память участника.</x:v>
      </x:c>
      <x:c r="O1253" s="10" t="str">
        <x:v>Лекции могут включать арамейский, ладино и цитаты; основной язык проверить</x:v>
      </x:c>
      <x:c r="P1253" s="10" t="str">
        <x:v>Самостоятельное видео</x:v>
      </x:c>
      <x:c r="Q1253" s="9" t="str">
        <x:v>Нет</x:v>
      </x:c>
      <x:c r="R1253" s="9" t="str">
        <x:v>C075</x:v>
      </x:c>
      <x:c r="S1253" s="9" t="str">
        <x:v>C075</x:v>
      </x:c>
      <x:c r="T1253" s="10" t="str">
        <x:v>בית אבי חי</x:v>
      </x:c>
      <x:c r="U1253" s="11" t="str">
        <x:v>https://www.youtube.com/watch?v=uPIx2vip80Y</x:v>
      </x:c>
      <x:c r="V1253" s="16" t="n">
        <x:v>46308</x:v>
      </x:c>
      <x:c r="W1253" s="16" t="n">
        <x:v>46026</x:v>
      </x:c>
      <x:c r="X1253" s="10" t="str">
        <x:v>Иврит предполагается по заголовку и источнику</x:v>
      </x:c>
      <x:c r="Y1253" s="10" t="str">
        <x:v>Автоматическая дорожка HE по метаданным</x:v>
      </x:c>
      <x:c r="Z1253" s="10" t="str">
        <x:v>Разрешено по метаданным</x:v>
      </x:c>
      <x:c r="AA1253" s="10" t="str">
        <x:v>Метаданные видео; воспроизведение и содержание не проверены</x:v>
      </x:c>
      <x:c r="AB1253" s="13" t="n">
        <x:f>IF(AND(ISNUMBER(H1253),ISNUMBER(W1253)),H1253/MAX(1,'Обзор'!$B$4-W1253),"")</x:f>
        <x:v>1.2907801418439717</x:v>
      </x:c>
      <x:c r="AC1253" s="17" t="str">
        <x:v>Не решено</x:v>
      </x:c>
      <x:c r="AD1253" s="17" t="str">
        <x:v>Не проверено</x:v>
      </x:c>
      <x:c r="AE1253" s="17" t="str">
        <x:v>Не проверено</x:v>
      </x:c>
      <x:c r="AF1253" s="17" t="str">
        <x:v>Не проверено</x:v>
      </x:c>
      <x:c r="AG1253" s="17" t="str">
        <x:v>Не решено</x:v>
      </x:c>
      <x:c r="AH1253" s="17" t="str">
        <x:v>Не проверено</x:v>
      </x:c>
      <x:c r="AI1253" s="10" t="str">
        <x:f>IF(AC1253="Отклонить","Отклонено",IF(AND(AC1253="Взять",COUNTIFS(AD1253:AH1253,"Да")=5),"Готово","Нужна редактура"))</x:f>
        <x:v>Нужна редактура</x:v>
      </x:c>
      <x:c r="AJ1253" s="17" t="str"/>
      <x:c r="AK1253" s="9" t="str">
        <x:v>https://www.youtube.com/playlist?list=PLv2rnAORLiVAs1Icrlj7A103fsXqAZsd5</x:v>
      </x:c>
      <x:c r="AL1253" s="9" t="n">
        <x:v>11</x:v>
      </x:c>
      <x:c r="AM1253" s="9"/>
      <x:c r="AN1253" s="9" t="n">
        <x:v>0</x:v>
      </x:c>
    </x:row>
    <x:row r="1254" ht="60" customHeight="1">
      <x:c r="A1254" s="9" t="str">
        <x:v>lzugn7Sqzus</x:v>
      </x:c>
      <x:c r="B1254" s="10" t="str">
        <x:v>דני רובס - פנים ושמות (לייב על בימת בית אבי חי)</x:v>
      </x:c>
      <x:c r="C1254" s="10" t="str">
        <x:v>Музыка и память</x:v>
      </x:c>
      <x:c r="D1254" s="9" t="str">
        <x:v>Культура</x:v>
      </x:c>
      <x:c r="E1254" s="10" t="str">
        <x:v>История; культура; еврейское наследие; продвинутые</x:v>
      </x:c>
      <x:c r="F1254" s="10" t="str">
        <x:v>B2–C1 (гипотеза)</x:v>
      </x:c>
      <x:c r="G1254" s="12" t="n">
        <x:v>3.4</x:v>
      </x:c>
      <x:c r="H1254" s="14" t="n">
        <x:v>347</x:v>
      </x:c>
      <x:c r="I1254" s="15" t="str">
        <x:v>Точный счётчик метаданных видео</x:v>
      </x:c>
      <x:c r="J1254" s="14" t="n">
        <x:v>347</x:v>
      </x:c>
      <x:c r="K1254" s="14" t="n">
        <x:v>224</x:v>
      </x:c>
      <x:c r="L1254" s="12" t="n">
        <x:f>IF(COUNT(J1254:K1254)=2,IF(K1254=0,"",J1254/K1254),"")</x:f>
        <x:v>1.5491071428571428</x:v>
      </x:c>
      <x:c r="M1254" s="10" t="str">
        <x:v>Завершённый короткий просмотр около 3 мин. Просмотры в списке выше медианы выборки этого цикла в 1.55 раза. Разговор о музыке и детстве создаёт вход через культурную близость и биографию.</x:v>
      </x:c>
      <x:c r="N1254" s="10" t="str">
        <x:v>Выбрать разговорный фрагмент; пересказать память участника.</x:v>
      </x:c>
      <x:c r="O1254" s="10" t="str">
        <x:v>Лекции могут включать арамейский, ладино и цитаты; основной язык проверить</x:v>
      </x:c>
      <x:c r="P1254" s="10" t="str">
        <x:v>Самостоятельное видео</x:v>
      </x:c>
      <x:c r="Q1254" s="9" t="str">
        <x:v>Нет</x:v>
      </x:c>
      <x:c r="R1254" s="9" t="str">
        <x:v>C075</x:v>
      </x:c>
      <x:c r="S1254" s="9" t="str">
        <x:v>C075</x:v>
      </x:c>
      <x:c r="T1254" s="10" t="str">
        <x:v>בית אבי חי</x:v>
      </x:c>
      <x:c r="U1254" s="11" t="str">
        <x:v>https://www.youtube.com/watch?v=lzugn7Sqzus</x:v>
      </x:c>
      <x:c r="V1254" s="16" t="n">
        <x:v>46308</x:v>
      </x:c>
      <x:c r="W1254" s="16" t="n">
        <x:v>45957</x:v>
      </x:c>
      <x:c r="X1254" s="10" t="str">
        <x:v>Иврит предполагается по заголовку и источнику</x:v>
      </x:c>
      <x:c r="Y1254" s="10" t="str">
        <x:v>Автоматическая дорожка HE по метаданным</x:v>
      </x:c>
      <x:c r="Z1254" s="10" t="str">
        <x:v>Разрешено по метаданным</x:v>
      </x:c>
      <x:c r="AA1254" s="10" t="str">
        <x:v>Метаданные видео; воспроизведение и содержание не проверены</x:v>
      </x:c>
      <x:c r="AB1254" s="13" t="n">
        <x:f>IF(AND(ISNUMBER(H1254),ISNUMBER(W1254)),H1254/MAX(1,'Обзор'!$B$4-W1254),"")</x:f>
        <x:v>0.9886039886039886</x:v>
      </x:c>
      <x:c r="AC1254" s="17" t="str">
        <x:v>Не решено</x:v>
      </x:c>
      <x:c r="AD1254" s="17" t="str">
        <x:v>Не проверено</x:v>
      </x:c>
      <x:c r="AE1254" s="17" t="str">
        <x:v>Не проверено</x:v>
      </x:c>
      <x:c r="AF1254" s="17" t="str">
        <x:v>Не проверено</x:v>
      </x:c>
      <x:c r="AG1254" s="17" t="str">
        <x:v>Не решено</x:v>
      </x:c>
      <x:c r="AH1254" s="17" t="str">
        <x:v>Не проверено</x:v>
      </x:c>
      <x:c r="AI1254" s="10" t="str">
        <x:f>IF(AC1254="Отклонить","Отклонено",IF(AND(AC1254="Взять",COUNTIFS(AD1254:AH1254,"Да")=5),"Готово","Нужна редактура"))</x:f>
        <x:v>Нужна редактура</x:v>
      </x:c>
      <x:c r="AJ1254" s="17" t="str"/>
      <x:c r="AK1254" s="9" t="str">
        <x:v>https://www.youtube.com/playlist?list=PLv2rnAORLiVAs1Icrlj7A103fsXqAZsd5</x:v>
      </x:c>
      <x:c r="AL1254" s="9" t="n">
        <x:v>12</x:v>
      </x:c>
      <x:c r="AM1254" s="9"/>
      <x:c r="AN1254" s="9" t="n">
        <x:v>0</x:v>
      </x:c>
    </x:row>
    <x:row r="1255" ht="60" customHeight="1">
      <x:c r="A1255" s="9" t="str">
        <x:v>yBEEXCS4oLQ</x:v>
      </x:c>
      <x:c r="B1255" s="10" t="str">
        <x:v>דני רובס -משהו חדש מתחיל (לייב על בימת בית אבי חי)</x:v>
      </x:c>
      <x:c r="C1255" s="10" t="str">
        <x:v>Музыка и память</x:v>
      </x:c>
      <x:c r="D1255" s="9" t="str">
        <x:v>Культура</x:v>
      </x:c>
      <x:c r="E1255" s="10" t="str">
        <x:v>История; культура; еврейское наследие; продвинутые</x:v>
      </x:c>
      <x:c r="F1255" s="10" t="str">
        <x:v>B2–C1 (гипотеза)</x:v>
      </x:c>
      <x:c r="G1255" s="12" t="n">
        <x:v>2.9</x:v>
      </x:c>
      <x:c r="H1255" s="14" t="n">
        <x:v>227</x:v>
      </x:c>
      <x:c r="I1255" s="15" t="str">
        <x:v>Точный счётчик метаданных видео</x:v>
      </x:c>
      <x:c r="J1255" s="14" t="n">
        <x:v>227</x:v>
      </x:c>
      <x:c r="K1255" s="14" t="n">
        <x:v>224</x:v>
      </x:c>
      <x:c r="L1255" s="12" t="n">
        <x:f>IF(COUNT(J1255:K1255)=2,IF(K1255=0,"",J1255/K1255),"")</x:f>
        <x:v>1.0133928571428572</x:v>
      </x:c>
      <x:c r="M1255" s="10" t="str">
        <x:v>Завершённый короткий просмотр около 3 мин. Разговор о музыке и детстве создаёт вход через культурную близость и биографию.</x:v>
      </x:c>
      <x:c r="N1255" s="10" t="str">
        <x:v>Выбрать разговорный фрагмент; пересказать память участника.</x:v>
      </x:c>
      <x:c r="O1255" s="10" t="str">
        <x:v>Лекции могут включать арамейский, ладино и цитаты; основной язык проверить</x:v>
      </x:c>
      <x:c r="P1255" s="10" t="str">
        <x:v>Самостоятельное видео</x:v>
      </x:c>
      <x:c r="Q1255" s="9" t="str">
        <x:v>Нет</x:v>
      </x:c>
      <x:c r="R1255" s="9" t="str">
        <x:v>C075</x:v>
      </x:c>
      <x:c r="S1255" s="9" t="str">
        <x:v>C075</x:v>
      </x:c>
      <x:c r="T1255" s="10" t="str">
        <x:v>בית אבי חי</x:v>
      </x:c>
      <x:c r="U1255" s="11" t="str">
        <x:v>https://www.youtube.com/watch?v=yBEEXCS4oLQ</x:v>
      </x:c>
      <x:c r="V1255" s="16" t="n">
        <x:v>46308</x:v>
      </x:c>
      <x:c r="W1255" s="16" t="n">
        <x:v>45957</x:v>
      </x:c>
      <x:c r="X1255" s="10" t="str">
        <x:v>Иврит предполагается по заголовку и источнику</x:v>
      </x:c>
      <x:c r="Y1255" s="10" t="str">
        <x:v>Автоматическая дорожка HE по метаданным</x:v>
      </x:c>
      <x:c r="Z1255" s="10" t="str">
        <x:v>Разрешено по метаданным</x:v>
      </x:c>
      <x:c r="AA1255" s="10" t="str">
        <x:v>Метаданные видео; воспроизведение и содержание не проверены</x:v>
      </x:c>
      <x:c r="AB1255" s="13" t="n">
        <x:f>IF(AND(ISNUMBER(H1255),ISNUMBER(W1255)),H1255/MAX(1,'Обзор'!$B$4-W1255),"")</x:f>
        <x:v>0.6467236467236467</x:v>
      </x:c>
      <x:c r="AC1255" s="17" t="str">
        <x:v>Не решено</x:v>
      </x:c>
      <x:c r="AD1255" s="17" t="str">
        <x:v>Не проверено</x:v>
      </x:c>
      <x:c r="AE1255" s="17" t="str">
        <x:v>Не проверено</x:v>
      </x:c>
      <x:c r="AF1255" s="17" t="str">
        <x:v>Не проверено</x:v>
      </x:c>
      <x:c r="AG1255" s="17" t="str">
        <x:v>Не решено</x:v>
      </x:c>
      <x:c r="AH1255" s="17" t="str">
        <x:v>Не проверено</x:v>
      </x:c>
      <x:c r="AI1255" s="10" t="str">
        <x:f>IF(AC1255="Отклонить","Отклонено",IF(AND(AC1255="Взять",COUNTIFS(AD1255:AH1255,"Да")=5),"Готово","Нужна редактура"))</x:f>
        <x:v>Нужна редактура</x:v>
      </x:c>
      <x:c r="AJ1255" s="17" t="str"/>
      <x:c r="AK1255" s="9" t="str">
        <x:v>https://www.youtube.com/playlist?list=PLv2rnAORLiVAs1Icrlj7A103fsXqAZsd5</x:v>
      </x:c>
      <x:c r="AL1255" s="9" t="n">
        <x:v>13</x:v>
      </x:c>
      <x:c r="AM1255" s="9"/>
      <x:c r="AN1255" s="9" t="n">
        <x:v>0</x:v>
      </x:c>
    </x:row>
    <x:row r="1256" ht="60" customHeight="1">
      <x:c r="A1256" s="9" t="str">
        <x:v>2DFD-BiqyWw</x:v>
      </x:c>
      <x:c r="B1256" s="10" t="str">
        <x:v>דני רובס - בדרך אל האושר (לייב על בימת בית אבי חי)</x:v>
      </x:c>
      <x:c r="C1256" s="10" t="str">
        <x:v>Музыка и память</x:v>
      </x:c>
      <x:c r="D1256" s="9" t="str">
        <x:v>Культура</x:v>
      </x:c>
      <x:c r="E1256" s="10" t="str">
        <x:v>История; культура; еврейское наследие; продвинутые</x:v>
      </x:c>
      <x:c r="F1256" s="10" t="str">
        <x:v>B2–C1 (гипотеза)</x:v>
      </x:c>
      <x:c r="G1256" s="12" t="n">
        <x:v>3.6</x:v>
      </x:c>
      <x:c r="H1256" s="14" t="n">
        <x:v>442</x:v>
      </x:c>
      <x:c r="I1256" s="15" t="str">
        <x:v>Точный счётчик метаданных видео</x:v>
      </x:c>
      <x:c r="J1256" s="14" t="n">
        <x:v>442</x:v>
      </x:c>
      <x:c r="K1256" s="14" t="n">
        <x:v>224</x:v>
      </x:c>
      <x:c r="L1256" s="12" t="n">
        <x:f>IF(COUNT(J1256:K1256)=2,IF(K1256=0,"",J1256/K1256),"")</x:f>
        <x:v>1.9732142857142858</x:v>
      </x:c>
      <x:c r="M1256" s="10" t="str">
        <x:v>Завершённый короткий просмотр около 4 мин. Просмотры в списке выше медианы выборки этого цикла в 1.97 раза. Разговор о музыке и детстве создаёт вход через культурную близость и биографию.</x:v>
      </x:c>
      <x:c r="N1256" s="10" t="str">
        <x:v>Выбрать разговорный фрагмент; пересказать память участника.</x:v>
      </x:c>
      <x:c r="O1256" s="10" t="str">
        <x:v>Лекции могут включать арамейский, ладино и цитаты; основной язык проверить</x:v>
      </x:c>
      <x:c r="P1256" s="10" t="str">
        <x:v>Самостоятельное видео</x:v>
      </x:c>
      <x:c r="Q1256" s="9" t="str">
        <x:v>Нет</x:v>
      </x:c>
      <x:c r="R1256" s="9" t="str">
        <x:v>C075</x:v>
      </x:c>
      <x:c r="S1256" s="9" t="str">
        <x:v>C075</x:v>
      </x:c>
      <x:c r="T1256" s="10" t="str">
        <x:v>בית אבי חי</x:v>
      </x:c>
      <x:c r="U1256" s="11" t="str">
        <x:v>https://www.youtube.com/watch?v=2DFD-BiqyWw</x:v>
      </x:c>
      <x:c r="V1256" s="16" t="n">
        <x:v>46308</x:v>
      </x:c>
      <x:c r="W1256" s="16" t="n">
        <x:v>45957</x:v>
      </x:c>
      <x:c r="X1256" s="10" t="str">
        <x:v>iw</x:v>
      </x:c>
      <x:c r="Y1256" s="10" t="str">
        <x:v>Автоматическая дорожка HE по метаданным</x:v>
      </x:c>
      <x:c r="Z1256" s="10" t="str">
        <x:v>Разрешено по метаданным</x:v>
      </x:c>
      <x:c r="AA1256" s="10" t="str">
        <x:v>Метаданные видео; воспроизведение и содержание не проверены</x:v>
      </x:c>
      <x:c r="AB1256" s="13" t="n">
        <x:f>IF(AND(ISNUMBER(H1256),ISNUMBER(W1256)),H1256/MAX(1,'Обзор'!$B$4-W1256),"")</x:f>
        <x:v>1.2592592592592593</x:v>
      </x:c>
      <x:c r="AC1256" s="17" t="str">
        <x:v>Не решено</x:v>
      </x:c>
      <x:c r="AD1256" s="17" t="str">
        <x:v>Не проверено</x:v>
      </x:c>
      <x:c r="AE1256" s="17" t="str">
        <x:v>Не проверено</x:v>
      </x:c>
      <x:c r="AF1256" s="17" t="str">
        <x:v>Не проверено</x:v>
      </x:c>
      <x:c r="AG1256" s="17" t="str">
        <x:v>Не решено</x:v>
      </x:c>
      <x:c r="AH1256" s="17" t="str">
        <x:v>Не проверено</x:v>
      </x:c>
      <x:c r="AI1256" s="10" t="str">
        <x:f>IF(AC1256="Отклонить","Отклонено",IF(AND(AC1256="Взять",COUNTIFS(AD1256:AH1256,"Да")=5),"Готово","Нужна редактура"))</x:f>
        <x:v>Нужна редактура</x:v>
      </x:c>
      <x:c r="AJ1256" s="17" t="str"/>
      <x:c r="AK1256" s="9" t="str">
        <x:v>https://www.youtube.com/playlist?list=PLv2rnAORLiVAs1Icrlj7A103fsXqAZsd5</x:v>
      </x:c>
      <x:c r="AL1256" s="9" t="n">
        <x:v>14</x:v>
      </x:c>
      <x:c r="AM1256" s="9"/>
      <x:c r="AN1256" s="9" t="n">
        <x:v>0</x:v>
      </x:c>
    </x:row>
    <x:row r="1257" ht="60" customHeight="1">
      <x:c r="A1257" s="9" t="str">
        <x:v>scex8aIHQRo</x:v>
      </x:c>
      <x:c r="B1257" s="10" t="str">
        <x:v>עלמה זהר - מיגל (לייב על בימת בית אבי חי)</x:v>
      </x:c>
      <x:c r="C1257" s="10" t="str">
        <x:v>Музыка и память</x:v>
      </x:c>
      <x:c r="D1257" s="9" t="str">
        <x:v>Культура</x:v>
      </x:c>
      <x:c r="E1257" s="10" t="str">
        <x:v>История; культура; еврейское наследие; продвинутые</x:v>
      </x:c>
      <x:c r="F1257" s="10" t="str">
        <x:v>B2–C1 (гипотеза)</x:v>
      </x:c>
      <x:c r="G1257" s="12" t="n">
        <x:v>4.9</x:v>
      </x:c>
      <x:c r="H1257" s="14" t="n">
        <x:v>126057</x:v>
      </x:c>
      <x:c r="I1257" s="15" t="str">
        <x:v>Точный счётчик метаданных видео</x:v>
      </x:c>
      <x:c r="J1257" s="14" t="n">
        <x:v>126000</x:v>
      </x:c>
      <x:c r="K1257" s="14" t="n">
        <x:v>224</x:v>
      </x:c>
      <x:c r="L1257" s="12" t="n">
        <x:f>IF(COUNT(J1257:K1257)=2,IF(K1257=0,"",J1257/K1257),"")</x:f>
        <x:v>562.5</x:v>
      </x:c>
      <x:c r="M1257" s="10" t="str">
        <x:v>Завершённый короткий просмотр около 5 мин. Просмотры в списке выше медианы выборки этого цикла в 562.5 раза. Разговор о музыке и детстве создаёт вход через культурную близость и биографию.</x:v>
      </x:c>
      <x:c r="N1257" s="10" t="str">
        <x:v>Выбрать разговорный фрагмент; пересказать память участника.</x:v>
      </x:c>
      <x:c r="O1257" s="10" t="str">
        <x:v>Лекции могут включать арамейский, ладино и цитаты; основной язык проверить</x:v>
      </x:c>
      <x:c r="P1257" s="10" t="str">
        <x:v>Самостоятельное видео</x:v>
      </x:c>
      <x:c r="Q1257" s="9" t="str">
        <x:v>Нет</x:v>
      </x:c>
      <x:c r="R1257" s="9" t="str">
        <x:v>C075</x:v>
      </x:c>
      <x:c r="S1257" s="9" t="str">
        <x:v>C075</x:v>
      </x:c>
      <x:c r="T1257" s="10" t="str">
        <x:v>בית אבי חי</x:v>
      </x:c>
      <x:c r="U1257" s="11" t="str">
        <x:v>https://www.youtube.com/watch?v=scex8aIHQRo</x:v>
      </x:c>
      <x:c r="V1257" s="16" t="n">
        <x:v>46308</x:v>
      </x:c>
      <x:c r="W1257" s="16" t="n">
        <x:v>45929</x:v>
      </x:c>
      <x:c r="X1257" s="10" t="str">
        <x:v>Иврит предполагается по заголовку и источнику</x:v>
      </x:c>
      <x:c r="Y1257" s="10" t="str">
        <x:v>Автоматическая дорожка HE по метаданным</x:v>
      </x:c>
      <x:c r="Z1257" s="10" t="str">
        <x:v>Разрешено по метаданным</x:v>
      </x:c>
      <x:c r="AA1257" s="10" t="str">
        <x:v>Метаданные видео; воспроизведение и содержание не проверены</x:v>
      </x:c>
      <x:c r="AB1257" s="13" t="n">
        <x:f>IF(AND(ISNUMBER(H1257),ISNUMBER(W1257)),H1257/MAX(1,'Обзор'!$B$4-W1257),"")</x:f>
        <x:v>332.6042216358839</x:v>
      </x:c>
      <x:c r="AC1257" s="17" t="str">
        <x:v>Не решено</x:v>
      </x:c>
      <x:c r="AD1257" s="17" t="str">
        <x:v>Не проверено</x:v>
      </x:c>
      <x:c r="AE1257" s="17" t="str">
        <x:v>Не проверено</x:v>
      </x:c>
      <x:c r="AF1257" s="17" t="str">
        <x:v>Не проверено</x:v>
      </x:c>
      <x:c r="AG1257" s="17" t="str">
        <x:v>Не решено</x:v>
      </x:c>
      <x:c r="AH1257" s="17" t="str">
        <x:v>Не проверено</x:v>
      </x:c>
      <x:c r="AI1257" s="10" t="str">
        <x:f>IF(AC1257="Отклонить","Отклонено",IF(AND(AC1257="Взять",COUNTIFS(AD1257:AH1257,"Да")=5),"Готово","Нужна редактура"))</x:f>
        <x:v>Нужна редактура</x:v>
      </x:c>
      <x:c r="AJ1257" s="17" t="str"/>
      <x:c r="AK1257" s="9" t="str">
        <x:v>https://www.youtube.com/playlist?list=PLv2rnAORLiVAs1Icrlj7A103fsXqAZsd5</x:v>
      </x:c>
      <x:c r="AL1257" s="9" t="n">
        <x:v>15</x:v>
      </x:c>
      <x:c r="AM1257" s="9"/>
      <x:c r="AN1257" s="9" t="n">
        <x:v>0</x:v>
      </x:c>
    </x:row>
    <x:row r="1258" ht="60" customHeight="1">
      <x:c r="A1258" s="9" t="str">
        <x:v>WfxpxC2-wyY</x:v>
      </x:c>
      <x:c r="B1258" s="10" t="str">
        <x:v>בעקבות 'התחנה הקטנה טרבלינקה' – מתוך 'עושים זיכרון' : הפודקאסט של יד ושם</x:v>
      </x:c>
      <x:c r="C1258" s="10" t="str">
        <x:v>Шоа и память</x:v>
      </x:c>
      <x:c r="D1258" s="9" t="str">
        <x:v>Память</x:v>
      </x:c>
      <x:c r="E1258" s="10" t="str">
        <x:v>История; память; взрослые</x:v>
      </x:c>
      <x:c r="F1258" s="10" t="str">
        <x:v>B2–C1 (гипотеза)</x:v>
      </x:c>
      <x:c r="G1258" s="12" t="n">
        <x:v>37.2</x:v>
      </x:c>
      <x:c r="H1258" s="14" t="n">
        <x:v>1007</x:v>
      </x:c>
      <x:c r="I1258" s="15" t="str">
        <x:v>Точный счётчик метаданных видео</x:v>
      </x:c>
      <x:c r="J1258" s="14" t="n">
        <x:v>1000</x:v>
      </x:c>
      <x:c r="K1258" s="14"/>
      <x:c r="L1258" s="12" t="str">
        <x:f>IF(COUNT(J1258:K1258)=2,IF(K1258=0,"",J1258/K1258),"")</x:f>
      </x:c>
      <x:c r="M1258" s="10" t="str">
        <x:v>Тема: בעקבות 'התחנה הקטנה טרבלינקה' – מתוך 'עושים זיכרון' : הפודקאסט של יד ושם. Музейный подкаст соединяет историческую тему и связную речь. Аудиоформат полезен любителям длинного слушания.</x:v>
      </x:c>
      <x:c r="N1258" s="10" t="str">
        <x:v>Короткий отрывок: кто говорит, на какой источник опирается, что известно.</x:v>
      </x:c>
      <x:c r="O1258" s="10" t="str">
        <x:v>Шоа; тяжёлый контент; это аудио с видеообложкой</x:v>
      </x:c>
      <x:c r="P1258" s="10" t="str">
        <x:v>Аудио в YouTube</x:v>
      </x:c>
      <x:c r="Q1258" s="9" t="str">
        <x:v>Нет</x:v>
      </x:c>
      <x:c r="R1258" s="9" t="str">
        <x:v>C076</x:v>
      </x:c>
      <x:c r="S1258" s="9" t="str">
        <x:v>C076</x:v>
      </x:c>
      <x:c r="T1258" s="10" t="str">
        <x:v>YadVashem יד ושם</x:v>
      </x:c>
      <x:c r="U1258" s="11" t="str">
        <x:v>https://www.youtube.com/watch?v=WfxpxC2-wyY</x:v>
      </x:c>
      <x:c r="V1258" s="16" t="n">
        <x:v>46308</x:v>
      </x:c>
      <x:c r="W1258" s="16" t="n">
        <x:v>45831</x:v>
      </x:c>
      <x:c r="X1258" s="10" t="str">
        <x:v>Иврит предполагается по заголовку и источнику</x:v>
      </x:c>
      <x:c r="Y1258" s="10" t="str">
        <x:v>Дорожка HE не найдена в метаданных; вшитые титры не проверены</x:v>
      </x:c>
      <x:c r="Z1258" s="10" t="str">
        <x:v>Разрешено по метаданным</x:v>
      </x:c>
      <x:c r="AA1258" s="10" t="str">
        <x:v>Метаданные видео; воспроизведение и содержание не проверены</x:v>
      </x:c>
      <x:c r="AB1258" s="13" t="n">
        <x:f>IF(AND(ISNUMBER(H1258),ISNUMBER(W1258)),H1258/MAX(1,'Обзор'!$B$4-W1258),"")</x:f>
        <x:v>2.111111111111111</x:v>
      </x:c>
      <x:c r="AC1258" s="17" t="str">
        <x:v>Не решено</x:v>
      </x:c>
      <x:c r="AD1258" s="17" t="str">
        <x:v>Не проверено</x:v>
      </x:c>
      <x:c r="AE1258" s="17" t="str">
        <x:v>Не проверено</x:v>
      </x:c>
      <x:c r="AF1258" s="17" t="str">
        <x:v>Не проверено</x:v>
      </x:c>
      <x:c r="AG1258" s="17" t="str">
        <x:v>Не решено</x:v>
      </x:c>
      <x:c r="AH1258" s="17" t="str">
        <x:v>Не проверено</x:v>
      </x:c>
      <x:c r="AI1258" s="10" t="str">
        <x:f>IF(AC1258="Отклонить","Отклонено",IF(AND(AC1258="Взять",COUNTIFS(AD1258:AH1258,"Да")=5),"Готово","Нужна редактура"))</x:f>
        <x:v>Нужна редактура</x:v>
      </x:c>
      <x:c r="AJ1258" s="17" t="str"/>
      <x:c r="AK1258" s="9" t="str">
        <x:v>https://www.youtube.com/playlist?list=PLVA6iCeBK_XLs41Wb9AA99aPWOZrIC-ZV</x:v>
      </x:c>
      <x:c r="AL1258" s="9" t="n">
        <x:v>1</x:v>
      </x:c>
      <x:c r="AM1258" s="9"/>
      <x:c r="AN1258" s="9" t="n">
        <x:v>0</x:v>
      </x:c>
    </x:row>
    <x:row r="1259" ht="60" customHeight="1">
      <x:c r="A1259" s="9" t="str">
        <x:v>JKWLr97en9w</x:v>
      </x:c>
      <x:c r="B1259" s="10" t="str">
        <x:v>שאלות שרצינו לשאול – שיחות עם ניצולי שואה. פרק ראשון: תקופת המלחמה</x:v>
      </x:c>
      <x:c r="C1259" s="10" t="str">
        <x:v>Шоа и свидетельства</x:v>
      </x:c>
      <x:c r="D1259" s="9" t="str">
        <x:v>Память</x:v>
      </x:c>
      <x:c r="E1259" s="10" t="str">
        <x:v>История; память; взрослые</x:v>
      </x:c>
      <x:c r="F1259" s="10" t="str">
        <x:v>B1–B2 (гипотеза)</x:v>
      </x:c>
      <x:c r="G1259" s="12" t="n">
        <x:v>12</x:v>
      </x:c>
      <x:c r="H1259" s="14" t="n">
        <x:v>61731</x:v>
      </x:c>
      <x:c r="I1259" s="15" t="str">
        <x:v>Точный счётчик метаданных видео</x:v>
      </x:c>
      <x:c r="J1259" s="14" t="n">
        <x:v>61000</x:v>
      </x:c>
      <x:c r="K1259" s="14" t="n">
        <x:v>9200</x:v>
      </x:c>
      <x:c r="L1259" s="12" t="n">
        <x:f>IF(COUNT(J1259:K1259)=2,IF(K1259=0,"",J1259/K1259),"")</x:f>
        <x:v>6.630434782608695</x:v>
      </x:c>
      <x:c r="M1259" s="10" t="str">
        <x:v>Тема: שאלות שרצינו לשאול – שיחות עם ניצולי שואה. פרק ראשון: תקופת המלחמה. Просмотры в списке выше медианы выборки этого цикла в 6.63 раза. Короткие интервью позволяют услышать личную речь свидетеля и выбирать посильный объём.</x:v>
      </x:c>
      <x:c r="N1259" s="10" t="str">
        <x:v>Контекст свидетеля и бережный пересказ; проверка субтитров особенно важна.</x:v>
      </x:c>
      <x:c r="O1259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59" s="10" t="str">
        <x:v>Самостоятельное видео</x:v>
      </x:c>
      <x:c r="Q1259" s="9" t="str">
        <x:v>Нет</x:v>
      </x:c>
      <x:c r="R1259" s="9" t="str">
        <x:v>C077</x:v>
      </x:c>
      <x:c r="S1259" s="9" t="str">
        <x:v>C077</x:v>
      </x:c>
      <x:c r="T1259" s="10" t="str">
        <x:v>YadVashem יד ושם</x:v>
      </x:c>
      <x:c r="U1259" s="11" t="str">
        <x:v>https://www.youtube.com/watch?v=JKWLr97en9w</x:v>
      </x:c>
      <x:c r="V1259" s="16" t="n">
        <x:v>46308</x:v>
      </x:c>
      <x:c r="W1259" s="16" t="n">
        <x:v>44293</x:v>
      </x:c>
      <x:c r="X1259" s="10" t="str">
        <x:v>Иврит предполагается по заголовку и источнику</x:v>
      </x:c>
      <x:c r="Y1259" s="10" t="str">
        <x:v>Дорожка HE не найдена в метаданных; вшитые титры не проверены</x:v>
      </x:c>
      <x:c r="Z1259" s="10" t="str">
        <x:v>Разрешено по метаданным</x:v>
      </x:c>
      <x:c r="AA1259" s="10" t="str">
        <x:v>Метаданные видео; воспроизведение и содержание не проверены</x:v>
      </x:c>
      <x:c r="AB1259" s="13" t="n">
        <x:f>IF(AND(ISNUMBER(H1259),ISNUMBER(W1259)),H1259/MAX(1,'Обзор'!$B$4-W1259),"")</x:f>
        <x:v>30.635732009925558</x:v>
      </x:c>
      <x:c r="AC1259" s="17" t="str">
        <x:v>Не решено</x:v>
      </x:c>
      <x:c r="AD1259" s="17" t="str">
        <x:v>Не проверено</x:v>
      </x:c>
      <x:c r="AE1259" s="17" t="str">
        <x:v>Не проверено</x:v>
      </x:c>
      <x:c r="AF1259" s="17" t="str">
        <x:v>Не проверено</x:v>
      </x:c>
      <x:c r="AG1259" s="17" t="str">
        <x:v>Не решено</x:v>
      </x:c>
      <x:c r="AH1259" s="17" t="str">
        <x:v>Не проверено</x:v>
      </x:c>
      <x:c r="AI1259" s="10" t="str">
        <x:f>IF(AC1259="Отклонить","Отклонено",IF(AND(AC1259="Взять",COUNTIFS(AD1259:AH1259,"Да")=5),"Готово","Нужна редактура"))</x:f>
        <x:v>Нужна редактура</x:v>
      </x:c>
      <x:c r="AJ1259" s="17" t="str"/>
      <x:c r="AK1259" s="9" t="str">
        <x:v>https://www.youtube.com/playlist?list=PLVA6iCeBK_XL87-NERrJ746L6r1MOO7Ib</x:v>
      </x:c>
      <x:c r="AL1259" s="9" t="n">
        <x:v>1</x:v>
      </x:c>
      <x:c r="AM1259" s="9"/>
      <x:c r="AN1259" s="9" t="n">
        <x:v>0</x:v>
      </x:c>
    </x:row>
    <x:row r="1260" ht="60" customHeight="1">
      <x:c r="A1260" s="9" t="str">
        <x:v>woIx3hAYVOQ</x:v>
      </x:c>
      <x:c r="B1260" s="10" t="str">
        <x:v>שאלות שרצינו לשאול – שיחות עם ניצולי שואה. פרק שני: בין עבר להווה</x:v>
      </x:c>
      <x:c r="C1260" s="10" t="str">
        <x:v>Шоа и свидетельства</x:v>
      </x:c>
      <x:c r="D1260" s="9" t="str">
        <x:v>Память</x:v>
      </x:c>
      <x:c r="E1260" s="10" t="str">
        <x:v>История; память; взрослые</x:v>
      </x:c>
      <x:c r="F1260" s="10" t="str">
        <x:v>B1–B2 (гипотеза)</x:v>
      </x:c>
      <x:c r="G1260" s="12" t="n">
        <x:v>6.7</x:v>
      </x:c>
      <x:c r="H1260" s="14" t="n">
        <x:v>14410</x:v>
      </x:c>
      <x:c r="I1260" s="15" t="str">
        <x:v>Точный счётчик метаданных видео</x:v>
      </x:c>
      <x:c r="J1260" s="14" t="n">
        <x:v>14000</x:v>
      </x:c>
      <x:c r="K1260" s="14" t="n">
        <x:v>9200</x:v>
      </x:c>
      <x:c r="L1260" s="12" t="n">
        <x:f>IF(COUNT(J1260:K1260)=2,IF(K1260=0,"",J1260/K1260),"")</x:f>
        <x:v>1.5217391304347827</x:v>
      </x:c>
      <x:c r="M1260" s="10" t="str">
        <x:v>Завершённый короткий просмотр около 7 мин. Просмотры в списке выше медианы выборки этого цикла в 1.52 раза. Короткие интервью позволяют услышать личную речь свидетеля и выбирать посильный объём.</x:v>
      </x:c>
      <x:c r="N1260" s="10" t="str">
        <x:v>Контекст свидетеля и бережный пересказ; проверка субтитров особенно важна.</x:v>
      </x:c>
      <x:c r="O1260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60" s="10" t="str">
        <x:v>Самостоятельное видео</x:v>
      </x:c>
      <x:c r="Q1260" s="9" t="str">
        <x:v>Нет</x:v>
      </x:c>
      <x:c r="R1260" s="9" t="str">
        <x:v>C077</x:v>
      </x:c>
      <x:c r="S1260" s="9" t="str">
        <x:v>C077</x:v>
      </x:c>
      <x:c r="T1260" s="10" t="str">
        <x:v>YadVashem יד ושם</x:v>
      </x:c>
      <x:c r="U1260" s="11" t="str">
        <x:v>https://www.youtube.com/watch?v=woIx3hAYVOQ</x:v>
      </x:c>
      <x:c r="V1260" s="16" t="n">
        <x:v>46308</x:v>
      </x:c>
      <x:c r="W1260" s="16" t="n">
        <x:v>44293</x:v>
      </x:c>
      <x:c r="X1260" s="10" t="str">
        <x:v>Иврит предполагается по заголовку и источнику</x:v>
      </x:c>
      <x:c r="Y1260" s="10" t="str">
        <x:v>Дорожка HE не найдена в метаданных; вшитые титры не проверены</x:v>
      </x:c>
      <x:c r="Z1260" s="10" t="str">
        <x:v>Разрешено по метаданным</x:v>
      </x:c>
      <x:c r="AA1260" s="10" t="str">
        <x:v>Метаданные видео; воспроизведение и содержание не проверены</x:v>
      </x:c>
      <x:c r="AB1260" s="13" t="n">
        <x:f>IF(AND(ISNUMBER(H1260),ISNUMBER(W1260)),H1260/MAX(1,'Обзор'!$B$4-W1260),"")</x:f>
        <x:v>7.15136476426799</x:v>
      </x:c>
      <x:c r="AC1260" s="17" t="str">
        <x:v>Не решено</x:v>
      </x:c>
      <x:c r="AD1260" s="17" t="str">
        <x:v>Не проверено</x:v>
      </x:c>
      <x:c r="AE1260" s="17" t="str">
        <x:v>Не проверено</x:v>
      </x:c>
      <x:c r="AF1260" s="17" t="str">
        <x:v>Не проверено</x:v>
      </x:c>
      <x:c r="AG1260" s="17" t="str">
        <x:v>Не решено</x:v>
      </x:c>
      <x:c r="AH1260" s="17" t="str">
        <x:v>Не проверено</x:v>
      </x:c>
      <x:c r="AI1260" s="10" t="str">
        <x:f>IF(AC1260="Отклонить","Отклонено",IF(AND(AC1260="Взять",COUNTIFS(AD1260:AH1260,"Да")=5),"Готово","Нужна редактура"))</x:f>
        <x:v>Нужна редактура</x:v>
      </x:c>
      <x:c r="AJ1260" s="17" t="str"/>
      <x:c r="AK1260" s="9" t="str">
        <x:v>https://www.youtube.com/playlist?list=PLVA6iCeBK_XL87-NERrJ746L6r1MOO7Ib</x:v>
      </x:c>
      <x:c r="AL1260" s="9" t="n">
        <x:v>2</x:v>
      </x:c>
      <x:c r="AM1260" s="9"/>
      <x:c r="AN1260" s="9" t="n">
        <x:v>0</x:v>
      </x:c>
    </x:row>
    <x:row r="1261" ht="60" customHeight="1">
      <x:c r="A1261" s="9" t="str">
        <x:v>DdOCWNZFnkU</x:v>
      </x:c>
      <x:c r="B1261" s="10" t="str">
        <x:v>שאלות שרצינו לשאול – שיחות עם ניצולי שואה. פרק שלישי: חיים חדשים</x:v>
      </x:c>
      <x:c r="C1261" s="10" t="str">
        <x:v>Шоа и свидетельства</x:v>
      </x:c>
      <x:c r="D1261" s="9" t="str">
        <x:v>Память</x:v>
      </x:c>
      <x:c r="E1261" s="10" t="str">
        <x:v>История; память; взрослые</x:v>
      </x:c>
      <x:c r="F1261" s="10" t="str">
        <x:v>B1–B2 (гипотеза)</x:v>
      </x:c>
      <x:c r="G1261" s="12" t="n">
        <x:v>9.6</x:v>
      </x:c>
      <x:c r="H1261" s="14" t="n">
        <x:v>6244</x:v>
      </x:c>
      <x:c r="I1261" s="15" t="str">
        <x:v>Точный счётчик метаданных видео</x:v>
      </x:c>
      <x:c r="J1261" s="14" t="n">
        <x:v>6200</x:v>
      </x:c>
      <x:c r="K1261" s="14" t="n">
        <x:v>9200</x:v>
      </x:c>
      <x:c r="L1261" s="12" t="n">
        <x:f>IF(COUNT(J1261:K1261)=2,IF(K1261=0,"",J1261/K1261),"")</x:f>
        <x:v>0.6739130434782609</x:v>
      </x:c>
      <x:c r="M1261" s="10" t="str">
        <x:v>Завершённый короткий просмотр около 10 мин. Короткие интервью позволяют услышать личную речь свидетеля и выбирать посильный объём.</x:v>
      </x:c>
      <x:c r="N1261" s="10" t="str">
        <x:v>Контекст свидетеля и бережный пересказ; проверка субтитров особенно важна.</x:v>
      </x:c>
      <x:c r="O1261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61" s="10" t="str">
        <x:v>Самостоятельное видео</x:v>
      </x:c>
      <x:c r="Q1261" s="9" t="str">
        <x:v>Нет</x:v>
      </x:c>
      <x:c r="R1261" s="9" t="str">
        <x:v>C077</x:v>
      </x:c>
      <x:c r="S1261" s="9" t="str">
        <x:v>C077</x:v>
      </x:c>
      <x:c r="T1261" s="10" t="str">
        <x:v>YadVashem יד ושם</x:v>
      </x:c>
      <x:c r="U1261" s="11" t="str">
        <x:v>https://www.youtube.com/watch?v=DdOCWNZFnkU</x:v>
      </x:c>
      <x:c r="V1261" s="16" t="n">
        <x:v>46308</x:v>
      </x:c>
      <x:c r="W1261" s="16" t="n">
        <x:v>44339</x:v>
      </x:c>
      <x:c r="X1261" s="10" t="str">
        <x:v>Иврит предполагается по заголовку и источнику</x:v>
      </x:c>
      <x:c r="Y1261" s="10" t="str">
        <x:v>Ручная дорожка HE по метаданным</x:v>
      </x:c>
      <x:c r="Z1261" s="10" t="str">
        <x:v>Разрешено по метаданным</x:v>
      </x:c>
      <x:c r="AA1261" s="10" t="str">
        <x:v>Метаданные видео; воспроизведение и содержание не проверены</x:v>
      </x:c>
      <x:c r="AB1261" s="13" t="n">
        <x:f>IF(AND(ISNUMBER(H1261),ISNUMBER(W1261)),H1261/MAX(1,'Обзор'!$B$4-W1261),"")</x:f>
        <x:v>3.171152869476892</x:v>
      </x:c>
      <x:c r="AC1261" s="17" t="str">
        <x:v>Не решено</x:v>
      </x:c>
      <x:c r="AD1261" s="17" t="str">
        <x:v>Не проверено</x:v>
      </x:c>
      <x:c r="AE1261" s="17" t="str">
        <x:v>Не проверено</x:v>
      </x:c>
      <x:c r="AF1261" s="17" t="str">
        <x:v>Не проверено</x:v>
      </x:c>
      <x:c r="AG1261" s="17" t="str">
        <x:v>Не решено</x:v>
      </x:c>
      <x:c r="AH1261" s="17" t="str">
        <x:v>Не проверено</x:v>
      </x:c>
      <x:c r="AI1261" s="10" t="str">
        <x:f>IF(AC1261="Отклонить","Отклонено",IF(AND(AC1261="Взять",COUNTIFS(AD1261:AH1261,"Да")=5),"Готово","Нужна редактура"))</x:f>
        <x:v>Нужна редактура</x:v>
      </x:c>
      <x:c r="AJ1261" s="17" t="str"/>
      <x:c r="AK1261" s="9" t="str">
        <x:v>https://www.youtube.com/playlist?list=PLVA6iCeBK_XL87-NERrJ746L6r1MOO7Ib</x:v>
      </x:c>
      <x:c r="AL1261" s="9" t="n">
        <x:v>3</x:v>
      </x:c>
      <x:c r="AM1261" s="9"/>
      <x:c r="AN1261" s="9" t="n">
        <x:v>0</x:v>
      </x:c>
    </x:row>
    <x:row r="1262" ht="60" customHeight="1">
      <x:c r="A1262" s="9" t="str">
        <x:v>Py9d_aB8cxc</x:v>
      </x:c>
      <x:c r="B1262" s="10" t="str">
        <x:v>שאלות שרצינו לשאול – שיחות עם ניצולי שואה. פרק רביעי: ילדים בשואה</x:v>
      </x:c>
      <x:c r="C1262" s="10" t="str">
        <x:v>Шоа и свидетельства</x:v>
      </x:c>
      <x:c r="D1262" s="9" t="str">
        <x:v>Память</x:v>
      </x:c>
      <x:c r="E1262" s="10" t="str">
        <x:v>История; память; взрослые</x:v>
      </x:c>
      <x:c r="F1262" s="10" t="str">
        <x:v>B1–B2 (гипотеза)</x:v>
      </x:c>
      <x:c r="G1262" s="12" t="n">
        <x:v>11.9</x:v>
      </x:c>
      <x:c r="H1262" s="14" t="n">
        <x:v>21574</x:v>
      </x:c>
      <x:c r="I1262" s="15" t="str">
        <x:v>Точный счётчик метаданных видео</x:v>
      </x:c>
      <x:c r="J1262" s="14" t="n">
        <x:v>21000</x:v>
      </x:c>
      <x:c r="K1262" s="14" t="n">
        <x:v>9200</x:v>
      </x:c>
      <x:c r="L1262" s="12" t="n">
        <x:f>IF(COUNT(J1262:K1262)=2,IF(K1262=0,"",J1262/K1262),"")</x:f>
        <x:v>2.282608695652174</x:v>
      </x:c>
      <x:c r="M1262" s="10" t="str">
        <x:v>Тема: שאלות שרצינו לשאול – שיחות עם ניצולי שואה. פרק רביעי: ילדים בשואה. Просмотры в списке выше медианы выборки этого цикла в 2.28 раза. Короткие интервью позволяют услышать личную речь свидетеля и выбирать посильный объём.</x:v>
      </x:c>
      <x:c r="N1262" s="10" t="str">
        <x:v>Контекст свидетеля и бережный пересказ; проверка субтитров особенно важна.</x:v>
      </x:c>
      <x:c r="O1262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62" s="10" t="str">
        <x:v>Самостоятельное видео</x:v>
      </x:c>
      <x:c r="Q1262" s="9" t="str">
        <x:v>Нет</x:v>
      </x:c>
      <x:c r="R1262" s="9" t="str">
        <x:v>C077</x:v>
      </x:c>
      <x:c r="S1262" s="9" t="str">
        <x:v>C077</x:v>
      </x:c>
      <x:c r="T1262" s="10" t="str">
        <x:v>YadVashem יד ושם</x:v>
      </x:c>
      <x:c r="U1262" s="11" t="str">
        <x:v>https://www.youtube.com/watch?v=Py9d_aB8cxc</x:v>
      </x:c>
      <x:c r="V1262" s="16" t="n">
        <x:v>46308</x:v>
      </x:c>
      <x:c r="W1262" s="16" t="n">
        <x:v>44500</x:v>
      </x:c>
      <x:c r="X1262" s="10" t="str">
        <x:v>Иврит предполагается по заголовку и источнику</x:v>
      </x:c>
      <x:c r="Y1262" s="10" t="str">
        <x:v>Дорожка HE не найдена в метаданных; вшитые титры не проверены</x:v>
      </x:c>
      <x:c r="Z1262" s="10" t="str">
        <x:v>Разрешено по метаданным</x:v>
      </x:c>
      <x:c r="AA1262" s="10" t="str">
        <x:v>Метаданные видео; воспроизведение и содержание не проверены</x:v>
      </x:c>
      <x:c r="AB1262" s="13" t="n">
        <x:f>IF(AND(ISNUMBER(H1262),ISNUMBER(W1262)),H1262/MAX(1,'Обзор'!$B$4-W1262),"")</x:f>
        <x:v>11.932522123893806</x:v>
      </x:c>
      <x:c r="AC1262" s="17" t="str">
        <x:v>Не решено</x:v>
      </x:c>
      <x:c r="AD1262" s="17" t="str">
        <x:v>Не проверено</x:v>
      </x:c>
      <x:c r="AE1262" s="17" t="str">
        <x:v>Не проверено</x:v>
      </x:c>
      <x:c r="AF1262" s="17" t="str">
        <x:v>Не проверено</x:v>
      </x:c>
      <x:c r="AG1262" s="17" t="str">
        <x:v>Не решено</x:v>
      </x:c>
      <x:c r="AH1262" s="17" t="str">
        <x:v>Не проверено</x:v>
      </x:c>
      <x:c r="AI1262" s="10" t="str">
        <x:f>IF(AC1262="Отклонить","Отклонено",IF(AND(AC1262="Взять",COUNTIFS(AD1262:AH1262,"Да")=5),"Готово","Нужна редактура"))</x:f>
        <x:v>Нужна редактура</x:v>
      </x:c>
      <x:c r="AJ1262" s="17" t="str"/>
      <x:c r="AK1262" s="9" t="str">
        <x:v>https://www.youtube.com/playlist?list=PLVA6iCeBK_XL87-NERrJ746L6r1MOO7Ib</x:v>
      </x:c>
      <x:c r="AL1262" s="9" t="n">
        <x:v>4</x:v>
      </x:c>
      <x:c r="AM1262" s="9"/>
      <x:c r="AN1262" s="9" t="n">
        <x:v>0</x:v>
      </x:c>
    </x:row>
    <x:row r="1263" ht="60" customHeight="1">
      <x:c r="A1263" s="9" t="str">
        <x:v>kgIzSt6qUHs</x:v>
      </x:c>
      <x:c r="B1263" s="10" t="str">
        <x:v>שאלות שרצינו לשאול – שיחות עם ניצולי שואה. פרק חמישי: השואה והחיים שאחרי</x:v>
      </x:c>
      <x:c r="C1263" s="10" t="str">
        <x:v>Шоа и свидетельства</x:v>
      </x:c>
      <x:c r="D1263" s="9" t="str">
        <x:v>Память</x:v>
      </x:c>
      <x:c r="E1263" s="10" t="str">
        <x:v>История; память; взрослые</x:v>
      </x:c>
      <x:c r="F1263" s="10" t="str">
        <x:v>B1–B2 (гипотеза)</x:v>
      </x:c>
      <x:c r="G1263" s="12" t="n">
        <x:v>15</x:v>
      </x:c>
      <x:c r="H1263" s="14" t="n">
        <x:v>10637</x:v>
      </x:c>
      <x:c r="I1263" s="15" t="str">
        <x:v>Точный счётчик метаданных видео</x:v>
      </x:c>
      <x:c r="J1263" s="14" t="n">
        <x:v>10000</x:v>
      </x:c>
      <x:c r="K1263" s="14" t="n">
        <x:v>9200</x:v>
      </x:c>
      <x:c r="L1263" s="12" t="n">
        <x:f>IF(COUNT(J1263:K1263)=2,IF(K1263=0,"",J1263/K1263),"")</x:f>
        <x:v>1.0869565217391304</x:v>
      </x:c>
      <x:c r="M1263" s="10" t="str">
        <x:v>Тема: שאלות שרצינו לשאול – שיחות עם ניצולי שואה. פרק חמישי: השואה והחיים שאחרי. Короткие интервью позволяют услышать личную речь свидетеля и выбирать посильный объём.</x:v>
      </x:c>
      <x:c r="N1263" s="10" t="str">
        <x:v>Контекст свидетеля и бережный пересказ; проверка субтитров особенно важна.</x:v>
      </x:c>
      <x:c r="O1263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63" s="10" t="str">
        <x:v>Самостоятельное видео</x:v>
      </x:c>
      <x:c r="Q1263" s="9" t="str">
        <x:v>Нет</x:v>
      </x:c>
      <x:c r="R1263" s="9" t="str">
        <x:v>C077</x:v>
      </x:c>
      <x:c r="S1263" s="9" t="str">
        <x:v>C077</x:v>
      </x:c>
      <x:c r="T1263" s="10" t="str">
        <x:v>YadVashem יד ושם</x:v>
      </x:c>
      <x:c r="U1263" s="11" t="str">
        <x:v>https://www.youtube.com/watch?v=kgIzSt6qUHs</x:v>
      </x:c>
      <x:c r="V1263" s="16" t="n">
        <x:v>46308</x:v>
      </x:c>
      <x:c r="W1263" s="16" t="n">
        <x:v>44500</x:v>
      </x:c>
      <x:c r="X1263" s="10" t="str">
        <x:v>Иврит предполагается по заголовку и источнику</x:v>
      </x:c>
      <x:c r="Y1263" s="10" t="str">
        <x:v>Дорожка HE не найдена в метаданных; вшитые титры не проверены</x:v>
      </x:c>
      <x:c r="Z1263" s="10" t="str">
        <x:v>Разрешено по метаданным</x:v>
      </x:c>
      <x:c r="AA1263" s="10" t="str">
        <x:v>Метаданные видео; воспроизведение и содержание не проверены</x:v>
      </x:c>
      <x:c r="AB1263" s="13" t="n">
        <x:f>IF(AND(ISNUMBER(H1263),ISNUMBER(W1263)),H1263/MAX(1,'Обзор'!$B$4-W1263),"")</x:f>
        <x:v>5.883296460176991</x:v>
      </x:c>
      <x:c r="AC1263" s="17" t="str">
        <x:v>Не решено</x:v>
      </x:c>
      <x:c r="AD1263" s="17" t="str">
        <x:v>Не проверено</x:v>
      </x:c>
      <x:c r="AE1263" s="17" t="str">
        <x:v>Не проверено</x:v>
      </x:c>
      <x:c r="AF1263" s="17" t="str">
        <x:v>Не проверено</x:v>
      </x:c>
      <x:c r="AG1263" s="17" t="str">
        <x:v>Не решено</x:v>
      </x:c>
      <x:c r="AH1263" s="17" t="str">
        <x:v>Не проверено</x:v>
      </x:c>
      <x:c r="AI1263" s="10" t="str">
        <x:f>IF(AC1263="Отклонить","Отклонено",IF(AND(AC1263="Взять",COUNTIFS(AD1263:AH1263,"Да")=5),"Готово","Нужна редактура"))</x:f>
        <x:v>Нужна редактура</x:v>
      </x:c>
      <x:c r="AJ1263" s="17" t="str"/>
      <x:c r="AK1263" s="9" t="str">
        <x:v>https://www.youtube.com/playlist?list=PLVA6iCeBK_XL87-NERrJ746L6r1MOO7Ib</x:v>
      </x:c>
      <x:c r="AL1263" s="9" t="n">
        <x:v>5</x:v>
      </x:c>
      <x:c r="AM1263" s="9"/>
      <x:c r="AN1263" s="9" t="n">
        <x:v>0</x:v>
      </x:c>
    </x:row>
    <x:row r="1264" ht="60" customHeight="1">
      <x:c r="A1264" s="9" t="str">
        <x:v>siso5qAVkyU</x:v>
      </x:c>
      <x:c r="B1264" s="10" t="str">
        <x:v>שאלות שרצינו לשאול – שיחות עם ניצולי שואה. פרק שישי: להיות באושוויץ</x:v>
      </x:c>
      <x:c r="C1264" s="10" t="str">
        <x:v>Шоа и свидетельства</x:v>
      </x:c>
      <x:c r="D1264" s="9" t="str">
        <x:v>Память</x:v>
      </x:c>
      <x:c r="E1264" s="10" t="str">
        <x:v>История; память; взрослые</x:v>
      </x:c>
      <x:c r="F1264" s="10" t="str">
        <x:v>B1–B2 (гипотеза)</x:v>
      </x:c>
      <x:c r="G1264" s="12" t="n">
        <x:v>10.3</x:v>
      </x:c>
      <x:c r="H1264" s="14" t="n">
        <x:v>13645</x:v>
      </x:c>
      <x:c r="I1264" s="15" t="str">
        <x:v>Точный счётчик метаданных видео</x:v>
      </x:c>
      <x:c r="J1264" s="14" t="n">
        <x:v>13000</x:v>
      </x:c>
      <x:c r="K1264" s="14" t="n">
        <x:v>9200</x:v>
      </x:c>
      <x:c r="L1264" s="12" t="n">
        <x:f>IF(COUNT(J1264:K1264)=2,IF(K1264=0,"",J1264/K1264),"")</x:f>
        <x:v>1.4130434782608696</x:v>
      </x:c>
      <x:c r="M1264" s="10" t="str">
        <x:v>Тема: שאלות שרצינו לשאול – שיחות עם ניצולי שואה. פרק שישי: להיות באושוויץ. Короткие интервью позволяют услышать личную речь свидетеля и выбирать посильный объём.</x:v>
      </x:c>
      <x:c r="N1264" s="10" t="str">
        <x:v>Контекст свидетеля и бережный пересказ; проверка субтитров особенно важна.</x:v>
      </x:c>
      <x:c r="O1264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64" s="10" t="str">
        <x:v>Самостоятельное видео</x:v>
      </x:c>
      <x:c r="Q1264" s="9" t="str">
        <x:v>Нет</x:v>
      </x:c>
      <x:c r="R1264" s="9" t="str">
        <x:v>C077</x:v>
      </x:c>
      <x:c r="S1264" s="9" t="str">
        <x:v>C077</x:v>
      </x:c>
      <x:c r="T1264" s="10" t="str">
        <x:v>YadVashem יד ושם</x:v>
      </x:c>
      <x:c r="U1264" s="11" t="str">
        <x:v>https://www.youtube.com/watch?v=siso5qAVkyU</x:v>
      </x:c>
      <x:c r="V1264" s="16" t="n">
        <x:v>46308</x:v>
      </x:c>
      <x:c r="W1264" s="16" t="n">
        <x:v>44577</x:v>
      </x:c>
      <x:c r="X1264" s="10" t="str">
        <x:v>Иврит предполагается по заголовку и источнику</x:v>
      </x:c>
      <x:c r="Y1264" s="10" t="str">
        <x:v>Дорожка HE не найдена в метаданных; вшитые титры не проверены</x:v>
      </x:c>
      <x:c r="Z1264" s="10" t="str">
        <x:v>Разрешено по метаданным</x:v>
      </x:c>
      <x:c r="AA1264" s="10" t="str">
        <x:v>Метаданные видео; воспроизведение и содержание не проверены</x:v>
      </x:c>
      <x:c r="AB1264" s="13" t="n">
        <x:f>IF(AND(ISNUMBER(H1264),ISNUMBER(W1264)),H1264/MAX(1,'Обзор'!$B$4-W1264),"")</x:f>
        <x:v>7.882726747544772</x:v>
      </x:c>
      <x:c r="AC1264" s="17" t="str">
        <x:v>Не решено</x:v>
      </x:c>
      <x:c r="AD1264" s="17" t="str">
        <x:v>Не проверено</x:v>
      </x:c>
      <x:c r="AE1264" s="17" t="str">
        <x:v>Не проверено</x:v>
      </x:c>
      <x:c r="AF1264" s="17" t="str">
        <x:v>Не проверено</x:v>
      </x:c>
      <x:c r="AG1264" s="17" t="str">
        <x:v>Не решено</x:v>
      </x:c>
      <x:c r="AH1264" s="17" t="str">
        <x:v>Не проверено</x:v>
      </x:c>
      <x:c r="AI1264" s="10" t="str">
        <x:f>IF(AC1264="Отклонить","Отклонено",IF(AND(AC1264="Взять",COUNTIFS(AD1264:AH1264,"Да")=5),"Готово","Нужна редактура"))</x:f>
        <x:v>Нужна редактура</x:v>
      </x:c>
      <x:c r="AJ1264" s="17" t="str"/>
      <x:c r="AK1264" s="9" t="str">
        <x:v>https://www.youtube.com/playlist?list=PLVA6iCeBK_XL87-NERrJ746L6r1MOO7Ib</x:v>
      </x:c>
      <x:c r="AL1264" s="9" t="n">
        <x:v>6</x:v>
      </x:c>
      <x:c r="AM1264" s="9"/>
      <x:c r="AN1264" s="9" t="n">
        <x:v>0</x:v>
      </x:c>
    </x:row>
    <x:row r="1265" ht="60" customHeight="1">
      <x:c r="A1265" s="9" t="str">
        <x:v>8sMM_8DDxis</x:v>
      </x:c>
      <x:c r="B1265" s="10" t="str">
        <x:v>שאלות שרצינו לשאול – שיחות עם ניצולי שואה. פרק שביעי: האם אפשר להשתחרר מאושוויץ?</x:v>
      </x:c>
      <x:c r="C1265" s="10" t="str">
        <x:v>Шоа и свидетельства</x:v>
      </x:c>
      <x:c r="D1265" s="9" t="str">
        <x:v>Память</x:v>
      </x:c>
      <x:c r="E1265" s="10" t="str">
        <x:v>История; память; взрослые</x:v>
      </x:c>
      <x:c r="F1265" s="10" t="str">
        <x:v>B1–B2 (гипотеза)</x:v>
      </x:c>
      <x:c r="G1265" s="12" t="n">
        <x:v>15</x:v>
      </x:c>
      <x:c r="H1265" s="14" t="n">
        <x:v>17676</x:v>
      </x:c>
      <x:c r="I1265" s="15" t="str">
        <x:v>Точный счётчик метаданных видео</x:v>
      </x:c>
      <x:c r="J1265" s="14" t="n">
        <x:v>17000</x:v>
      </x:c>
      <x:c r="K1265" s="14" t="n">
        <x:v>9200</x:v>
      </x:c>
      <x:c r="L1265" s="12" t="n">
        <x:f>IF(COUNT(J1265:K1265)=2,IF(K1265=0,"",J1265/K1265),"")</x:f>
        <x:v>1.8478260869565217</x:v>
      </x:c>
      <x:c r="M1265" s="10" t="str">
        <x:v>Тема: שאלות שרצינו לשאול – שיחות עם ניצולי שואה. פרק שביעי: האם אפשר להשתחרר מאושוויץ?. Просмотры в списке выше медианы выборки этого цикла в 1.85 раза. Короткие интервью позволяют услышать личную речь свидетеля и выбирать посильный объём.</x:v>
      </x:c>
      <x:c r="N1265" s="10" t="str">
        <x:v>Контекст свидетеля и бережный пересказ; проверка субтитров особенно важна.</x:v>
      </x:c>
      <x:c r="O1265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65" s="10" t="str">
        <x:v>Самостоятельное видео</x:v>
      </x:c>
      <x:c r="Q1265" s="9" t="str">
        <x:v>Нет</x:v>
      </x:c>
      <x:c r="R1265" s="9" t="str">
        <x:v>C077</x:v>
      </x:c>
      <x:c r="S1265" s="9" t="str">
        <x:v>C077</x:v>
      </x:c>
      <x:c r="T1265" s="10" t="str">
        <x:v>YadVashem יד ושם</x:v>
      </x:c>
      <x:c r="U1265" s="11" t="str">
        <x:v>https://www.youtube.com/watch?v=8sMM_8DDxis</x:v>
      </x:c>
      <x:c r="V1265" s="16" t="n">
        <x:v>46308</x:v>
      </x:c>
      <x:c r="W1265" s="16" t="n">
        <x:v>44577</x:v>
      </x:c>
      <x:c r="X1265" s="10" t="str">
        <x:v>Иврит предполагается по заголовку и источнику</x:v>
      </x:c>
      <x:c r="Y1265" s="10" t="str">
        <x:v>Дорожка HE не найдена в метаданных; вшитые титры не проверены</x:v>
      </x:c>
      <x:c r="Z1265" s="10" t="str">
        <x:v>Разрешено по метаданным</x:v>
      </x:c>
      <x:c r="AA1265" s="10" t="str">
        <x:v>Метаданные видео; воспроизведение и содержание не проверены</x:v>
      </x:c>
      <x:c r="AB1265" s="13" t="n">
        <x:f>IF(AND(ISNUMBER(H1265),ISNUMBER(W1265)),H1265/MAX(1,'Обзор'!$B$4-W1265),"")</x:f>
        <x:v>10.211438474870018</x:v>
      </x:c>
      <x:c r="AC1265" s="17" t="str">
        <x:v>Не решено</x:v>
      </x:c>
      <x:c r="AD1265" s="17" t="str">
        <x:v>Не проверено</x:v>
      </x:c>
      <x:c r="AE1265" s="17" t="str">
        <x:v>Не проверено</x:v>
      </x:c>
      <x:c r="AF1265" s="17" t="str">
        <x:v>Не проверено</x:v>
      </x:c>
      <x:c r="AG1265" s="17" t="str">
        <x:v>Не решено</x:v>
      </x:c>
      <x:c r="AH1265" s="17" t="str">
        <x:v>Не проверено</x:v>
      </x:c>
      <x:c r="AI1265" s="10" t="str">
        <x:f>IF(AC1265="Отклонить","Отклонено",IF(AND(AC1265="Взять",COUNTIFS(AD1265:AH1265,"Да")=5),"Готово","Нужна редактура"))</x:f>
        <x:v>Нужна редактура</x:v>
      </x:c>
      <x:c r="AJ1265" s="17" t="str"/>
      <x:c r="AK1265" s="9" t="str">
        <x:v>https://www.youtube.com/playlist?list=PLVA6iCeBK_XL87-NERrJ746L6r1MOO7Ib</x:v>
      </x:c>
      <x:c r="AL1265" s="9" t="n">
        <x:v>7</x:v>
      </x:c>
      <x:c r="AM1265" s="9"/>
      <x:c r="AN1265" s="9" t="n">
        <x:v>0</x:v>
      </x:c>
    </x:row>
    <x:row r="1266" ht="60" customHeight="1">
      <x:c r="A1266" s="9" t="str">
        <x:v>jsotBDnapMs</x:v>
      </x:c>
      <x:c r="B1266" s="10" t="str">
        <x:v>שאלות שרצינו לשאול – שיחות עם ניצולי שואה. פרק שמיני: הגירוש מהבית</x:v>
      </x:c>
      <x:c r="C1266" s="10" t="str">
        <x:v>Шоа и свидетельства</x:v>
      </x:c>
      <x:c r="D1266" s="9" t="str">
        <x:v>Память</x:v>
      </x:c>
      <x:c r="E1266" s="10" t="str">
        <x:v>История; память; взрослые</x:v>
      </x:c>
      <x:c r="F1266" s="10" t="str">
        <x:v>B1–B2 (гипотеза)</x:v>
      </x:c>
      <x:c r="G1266" s="12" t="n">
        <x:v>14</x:v>
      </x:c>
      <x:c r="H1266" s="14" t="n">
        <x:v>8453</x:v>
      </x:c>
      <x:c r="I1266" s="15" t="str">
        <x:v>Точный счётчик метаданных видео</x:v>
      </x:c>
      <x:c r="J1266" s="14" t="n">
        <x:v>8400</x:v>
      </x:c>
      <x:c r="K1266" s="14" t="n">
        <x:v>9200</x:v>
      </x:c>
      <x:c r="L1266" s="12" t="n">
        <x:f>IF(COUNT(J1266:K1266)=2,IF(K1266=0,"",J1266/K1266),"")</x:f>
        <x:v>0.9130434782608695</x:v>
      </x:c>
      <x:c r="M1266" s="10" t="str">
        <x:v>Тема: שאלות שרצינו לשאול – שיחות עם ניצולי שואה. פרק שמיני: הגירוש מהבית. Короткие интервью позволяют услышать личную речь свидетеля и выбирать посильный объём.</x:v>
      </x:c>
      <x:c r="N1266" s="10" t="str">
        <x:v>Контекст свидетеля и бережный пересказ; проверка субтитров особенно важна.</x:v>
      </x:c>
      <x:c r="O1266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66" s="10" t="str">
        <x:v>Самостоятельное видео</x:v>
      </x:c>
      <x:c r="Q1266" s="9" t="str">
        <x:v>Нет</x:v>
      </x:c>
      <x:c r="R1266" s="9" t="str">
        <x:v>C077</x:v>
      </x:c>
      <x:c r="S1266" s="9" t="str">
        <x:v>C077</x:v>
      </x:c>
      <x:c r="T1266" s="10" t="str">
        <x:v>YadVashem יד ושם</x:v>
      </x:c>
      <x:c r="U1266" s="11" t="str">
        <x:v>https://www.youtube.com/watch?v=jsotBDnapMs</x:v>
      </x:c>
      <x:c r="V1266" s="16" t="n">
        <x:v>46308</x:v>
      </x:c>
      <x:c r="W1266" s="16" t="n">
        <x:v>44626</x:v>
      </x:c>
      <x:c r="X1266" s="10" t="str">
        <x:v>Иврит предполагается по заголовку и источнику</x:v>
      </x:c>
      <x:c r="Y1266" s="10" t="str">
        <x:v>Дорожка HE не найдена в метаданных; вшитые титры не проверены</x:v>
      </x:c>
      <x:c r="Z1266" s="10" t="str">
        <x:v>Разрешено по метаданным</x:v>
      </x:c>
      <x:c r="AA1266" s="10" t="str">
        <x:v>Метаданные видео; воспроизведение и содержание не проверены</x:v>
      </x:c>
      <x:c r="AB1266" s="13" t="n">
        <x:f>IF(AND(ISNUMBER(H1266),ISNUMBER(W1266)),H1266/MAX(1,'Обзор'!$B$4-W1266),"")</x:f>
        <x:v>5.025564803804994</x:v>
      </x:c>
      <x:c r="AC1266" s="17" t="str">
        <x:v>Не решено</x:v>
      </x:c>
      <x:c r="AD1266" s="17" t="str">
        <x:v>Не проверено</x:v>
      </x:c>
      <x:c r="AE1266" s="17" t="str">
        <x:v>Не проверено</x:v>
      </x:c>
      <x:c r="AF1266" s="17" t="str">
        <x:v>Не проверено</x:v>
      </x:c>
      <x:c r="AG1266" s="17" t="str">
        <x:v>Не решено</x:v>
      </x:c>
      <x:c r="AH1266" s="17" t="str">
        <x:v>Не проверено</x:v>
      </x:c>
      <x:c r="AI1266" s="10" t="str">
        <x:f>IF(AC1266="Отклонить","Отклонено",IF(AND(AC1266="Взять",COUNTIFS(AD1266:AH1266,"Да")=5),"Готово","Нужна редактура"))</x:f>
        <x:v>Нужна редактура</x:v>
      </x:c>
      <x:c r="AJ1266" s="17" t="str"/>
      <x:c r="AK1266" s="9" t="str">
        <x:v>https://www.youtube.com/playlist?list=PLVA6iCeBK_XL87-NERrJ746L6r1MOO7Ib</x:v>
      </x:c>
      <x:c r="AL1266" s="9" t="n">
        <x:v>8</x:v>
      </x:c>
      <x:c r="AM1266" s="9"/>
      <x:c r="AN1266" s="9" t="n">
        <x:v>0</x:v>
      </x:c>
    </x:row>
    <x:row r="1267" ht="60" customHeight="1">
      <x:c r="A1267" s="9" t="str">
        <x:v>8884iTJLOGE</x:v>
      </x:c>
      <x:c r="B1267" s="10" t="str">
        <x:v>שאלות שרצינו לשאול – שיחות עם ניצולי שואה. פרק תשיעי: הגירוש לגטאות ולמחנות</x:v>
      </x:c>
      <x:c r="C1267" s="10" t="str">
        <x:v>Шоа и свидетельства</x:v>
      </x:c>
      <x:c r="D1267" s="9" t="str">
        <x:v>Память</x:v>
      </x:c>
      <x:c r="E1267" s="10" t="str">
        <x:v>История; память; взрослые</x:v>
      </x:c>
      <x:c r="F1267" s="10" t="str">
        <x:v>B1–B2 (гипотеза)</x:v>
      </x:c>
      <x:c r="G1267" s="12" t="n">
        <x:v>10.5</x:v>
      </x:c>
      <x:c r="H1267" s="14" t="n">
        <x:v>7975</x:v>
      </x:c>
      <x:c r="I1267" s="15" t="str">
        <x:v>Точный счётчик метаданных видео</x:v>
      </x:c>
      <x:c r="J1267" s="14" t="n">
        <x:v>7900</x:v>
      </x:c>
      <x:c r="K1267" s="14" t="n">
        <x:v>9200</x:v>
      </x:c>
      <x:c r="L1267" s="12" t="n">
        <x:f>IF(COUNT(J1267:K1267)=2,IF(K1267=0,"",J1267/K1267),"")</x:f>
        <x:v>0.8586956521739131</x:v>
      </x:c>
      <x:c r="M1267" s="10" t="str">
        <x:v>Тема: שאלות שרצינו לשאול – שיחות עם ניצולי שואה. פרק תשיעי: הגירוש לגטאות ולמחנות. Короткие интервью позволяют услышать личную речь свидетеля и выбирать посильный объём.</x:v>
      </x:c>
      <x:c r="N1267" s="10" t="str">
        <x:v>Контекст свидетеля и бережный пересказ; проверка субтитров особенно важна.</x:v>
      </x:c>
      <x:c r="O1267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67" s="10" t="str">
        <x:v>Самостоятельное видео</x:v>
      </x:c>
      <x:c r="Q1267" s="9" t="str">
        <x:v>Нет</x:v>
      </x:c>
      <x:c r="R1267" s="9" t="str">
        <x:v>C077</x:v>
      </x:c>
      <x:c r="S1267" s="9" t="str">
        <x:v>C077</x:v>
      </x:c>
      <x:c r="T1267" s="10" t="str">
        <x:v>YadVashem יד ושם</x:v>
      </x:c>
      <x:c r="U1267" s="11" t="str">
        <x:v>https://www.youtube.com/watch?v=8884iTJLOGE</x:v>
      </x:c>
      <x:c r="V1267" s="16" t="n">
        <x:v>46308</x:v>
      </x:c>
      <x:c r="W1267" s="16" t="n">
        <x:v>44626</x:v>
      </x:c>
      <x:c r="X1267" s="10" t="str">
        <x:v>Иврит предполагается по заголовку и источнику</x:v>
      </x:c>
      <x:c r="Y1267" s="10" t="str">
        <x:v>Дорожка HE не найдена в метаданных; вшитые титры не проверены</x:v>
      </x:c>
      <x:c r="Z1267" s="10" t="str">
        <x:v>Разрешено по метаданным</x:v>
      </x:c>
      <x:c r="AA1267" s="10" t="str">
        <x:v>Метаданные видео; воспроизведение и содержание не проверены</x:v>
      </x:c>
      <x:c r="AB1267" s="13" t="n">
        <x:f>IF(AND(ISNUMBER(H1267),ISNUMBER(W1267)),H1267/MAX(1,'Обзор'!$B$4-W1267),"")</x:f>
        <x:v>4.741379310344827</x:v>
      </x:c>
      <x:c r="AC1267" s="17" t="str">
        <x:v>Не решено</x:v>
      </x:c>
      <x:c r="AD1267" s="17" t="str">
        <x:v>Не проверено</x:v>
      </x:c>
      <x:c r="AE1267" s="17" t="str">
        <x:v>Не проверено</x:v>
      </x:c>
      <x:c r="AF1267" s="17" t="str">
        <x:v>Не проверено</x:v>
      </x:c>
      <x:c r="AG1267" s="17" t="str">
        <x:v>Не решено</x:v>
      </x:c>
      <x:c r="AH1267" s="17" t="str">
        <x:v>Не проверено</x:v>
      </x:c>
      <x:c r="AI1267" s="10" t="str">
        <x:f>IF(AC1267="Отклонить","Отклонено",IF(AND(AC1267="Взять",COUNTIFS(AD1267:AH1267,"Да")=5),"Готово","Нужна редактура"))</x:f>
        <x:v>Нужна редактура</x:v>
      </x:c>
      <x:c r="AJ1267" s="17" t="str"/>
      <x:c r="AK1267" s="9" t="str">
        <x:v>https://www.youtube.com/playlist?list=PLVA6iCeBK_XL87-NERrJ746L6r1MOO7Ib</x:v>
      </x:c>
      <x:c r="AL1267" s="9" t="n">
        <x:v>9</x:v>
      </x:c>
      <x:c r="AM1267" s="9"/>
      <x:c r="AN1267" s="9" t="n">
        <x:v>0</x:v>
      </x:c>
    </x:row>
    <x:row r="1268" ht="60" customHeight="1">
      <x:c r="A1268" s="9" t="str">
        <x:v>-CVv0yCnPYk</x:v>
      </x:c>
      <x:c r="B1268" s="10" t="str">
        <x:v>שאלות שרצינו לשאול – שיחות עם ניצולי שואה. פרק עשירי: "תמונות שנחרטו בזיכרון"</x:v>
      </x:c>
      <x:c r="C1268" s="10" t="str">
        <x:v>Шоа и свидетельства</x:v>
      </x:c>
      <x:c r="D1268" s="9" t="str">
        <x:v>Память</x:v>
      </x:c>
      <x:c r="E1268" s="10" t="str">
        <x:v>История; память; взрослые</x:v>
      </x:c>
      <x:c r="F1268" s="10" t="str">
        <x:v>B1–B2 (гипотеза)</x:v>
      </x:c>
      <x:c r="G1268" s="12" t="n">
        <x:v>13.3</x:v>
      </x:c>
      <x:c r="H1268" s="14" t="n">
        <x:v>5618</x:v>
      </x:c>
      <x:c r="I1268" s="15" t="str">
        <x:v>Точный счётчик метаданных видео</x:v>
      </x:c>
      <x:c r="J1268" s="14" t="n">
        <x:v>5600</x:v>
      </x:c>
      <x:c r="K1268" s="14" t="n">
        <x:v>9200</x:v>
      </x:c>
      <x:c r="L1268" s="12" t="n">
        <x:f>IF(COUNT(J1268:K1268)=2,IF(K1268=0,"",J1268/K1268),"")</x:f>
        <x:v>0.6086956521739131</x:v>
      </x:c>
      <x:c r="M1268" s="10" t="str">
        <x:v>Тема: שאלות שרצינו לשאול – שיחות עם ניצולי שואה. פרק עשירי: "תמונות שנחרטו בזיכרון". Короткие интервью позволяют услышать личную речь свидетеля и выбирать посильный объём.</x:v>
      </x:c>
      <x:c r="N1268" s="10" t="str">
        <x:v>Контекст свидетеля и бережный пересказ; проверка субтитров особенно важна.</x:v>
      </x:c>
      <x:c r="O1268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68" s="10" t="str">
        <x:v>Самостоятельное видео</x:v>
      </x:c>
      <x:c r="Q1268" s="9" t="str">
        <x:v>Нет</x:v>
      </x:c>
      <x:c r="R1268" s="9" t="str">
        <x:v>C077</x:v>
      </x:c>
      <x:c r="S1268" s="9" t="str">
        <x:v>C077</x:v>
      </x:c>
      <x:c r="T1268" s="10" t="str">
        <x:v>YadVashem יד ושם</x:v>
      </x:c>
      <x:c r="U1268" s="11" t="str">
        <x:v>https://www.youtube.com/watch?v=-CVv0yCnPYk</x:v>
      </x:c>
      <x:c r="V1268" s="16" t="n">
        <x:v>46308</x:v>
      </x:c>
      <x:c r="W1268" s="16" t="n">
        <x:v>44654</x:v>
      </x:c>
      <x:c r="X1268" s="10" t="str">
        <x:v>Иврит предполагается по заголовку и источнику</x:v>
      </x:c>
      <x:c r="Y1268" s="10" t="str">
        <x:v>Дорожка HE не найдена в метаданных; вшитые титры не проверены</x:v>
      </x:c>
      <x:c r="Z1268" s="10" t="str">
        <x:v>Разрешено по метаданным</x:v>
      </x:c>
      <x:c r="AA1268" s="10" t="str">
        <x:v>Метаданные видео; воспроизведение и содержание не проверены</x:v>
      </x:c>
      <x:c r="AB1268" s="13" t="n">
        <x:f>IF(AND(ISNUMBER(H1268),ISNUMBER(W1268)),H1268/MAX(1,'Обзор'!$B$4-W1268),"")</x:f>
        <x:v>3.3966142684401452</x:v>
      </x:c>
      <x:c r="AC1268" s="17" t="str">
        <x:v>Не решено</x:v>
      </x:c>
      <x:c r="AD1268" s="17" t="str">
        <x:v>Не проверено</x:v>
      </x:c>
      <x:c r="AE1268" s="17" t="str">
        <x:v>Не проверено</x:v>
      </x:c>
      <x:c r="AF1268" s="17" t="str">
        <x:v>Не проверено</x:v>
      </x:c>
      <x:c r="AG1268" s="17" t="str">
        <x:v>Не решено</x:v>
      </x:c>
      <x:c r="AH1268" s="17" t="str">
        <x:v>Не проверено</x:v>
      </x:c>
      <x:c r="AI1268" s="10" t="str">
        <x:f>IF(AC1268="Отклонить","Отклонено",IF(AND(AC1268="Взять",COUNTIFS(AD1268:AH1268,"Да")=5),"Готово","Нужна редактура"))</x:f>
        <x:v>Нужна редактура</x:v>
      </x:c>
      <x:c r="AJ1268" s="17" t="str"/>
      <x:c r="AK1268" s="9" t="str">
        <x:v>https://www.youtube.com/playlist?list=PLVA6iCeBK_XL87-NERrJ746L6r1MOO7Ib</x:v>
      </x:c>
      <x:c r="AL1268" s="9" t="n">
        <x:v>10</x:v>
      </x:c>
      <x:c r="AM1268" s="9"/>
      <x:c r="AN1268" s="9" t="n">
        <x:v>0</x:v>
      </x:c>
    </x:row>
    <x:row r="1269" ht="60" customHeight="1">
      <x:c r="A1269" s="9" t="str">
        <x:v>yBTmrGSRdQ4</x:v>
      </x:c>
      <x:c r="B1269" s="10" t="str">
        <x:v>שאלות שרצינו לשאול – שיחות עם ניצולי שואה. פרק 11: "השאיפה לחופש"</x:v>
      </x:c>
      <x:c r="C1269" s="10" t="str">
        <x:v>Шоа и свидетельства</x:v>
      </x:c>
      <x:c r="D1269" s="9" t="str">
        <x:v>Память</x:v>
      </x:c>
      <x:c r="E1269" s="10" t="str">
        <x:v>История; память; взрослые</x:v>
      </x:c>
      <x:c r="F1269" s="10" t="str">
        <x:v>B1–B2 (гипотеза)</x:v>
      </x:c>
      <x:c r="G1269" s="12" t="n">
        <x:v>9.8</x:v>
      </x:c>
      <x:c r="H1269" s="14" t="n">
        <x:v>1700</x:v>
      </x:c>
      <x:c r="I1269" s="15" t="str">
        <x:v>Округлённый счётчик в списке YouTube</x:v>
      </x:c>
      <x:c r="J1269" s="14" t="n">
        <x:v>1700</x:v>
      </x:c>
      <x:c r="K1269" s="14" t="n">
        <x:v>9200</x:v>
      </x:c>
      <x:c r="L1269" s="12" t="n">
        <x:f>IF(COUNT(J1269:K1269)=2,IF(K1269=0,"",J1269/K1269),"")</x:f>
        <x:v>0.18478260869565216</x:v>
      </x:c>
      <x:c r="M1269" s="10" t="str">
        <x:v>Завершённый короткий просмотр около 10 мин. Просмотры ниже медианы цикла; выбирать за нишевую ценность, а не за массовый охват. Короткие интервью позволяют услышать личную речь свидетеля и выбирать посильный объём.</x:v>
      </x:c>
      <x:c r="N1269" s="10" t="str">
        <x:v>Контекст свидетеля и бережный пересказ; проверка субтитров особенно важна.</x:v>
      </x:c>
      <x:c r="O1269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69" s="10" t="str">
        <x:v>Самостоятельное видео</x:v>
      </x:c>
      <x:c r="Q1269" s="9" t="str">
        <x:v>Нет</x:v>
      </x:c>
      <x:c r="R1269" s="9" t="str">
        <x:v>C077</x:v>
      </x:c>
      <x:c r="S1269" s="9" t="str">
        <x:v>C077</x:v>
      </x:c>
      <x:c r="T1269" s="10" t="str">
        <x:v>YadVashem יד ושם</x:v>
      </x:c>
      <x:c r="U1269" s="11" t="str">
        <x:v>https://www.youtube.com/watch?v=yBTmrGSRdQ4</x:v>
      </x:c>
      <x:c r="V1269" s="16" t="n">
        <x:v>46308</x:v>
      </x:c>
      <x:c r="W1269" s="16"/>
      <x:c r="X1269" s="10" t="str">
        <x:v>Иврит предполагается по заголовку и источнику</x:v>
      </x:c>
      <x:c r="Y1269" s="10" t="str">
        <x:v>Не проверено</x:v>
      </x:c>
      <x:c r="Z1269" s="10" t="str">
        <x:v>Не проверено</x:v>
      </x:c>
      <x:c r="AA1269" s="10" t="str">
        <x:v>Метаданные списка; видео не просмотрено</x:v>
      </x:c>
      <x:c r="AB1269" s="13" t="str">
        <x:f>IF(AND(ISNUMBER(H1269),ISNUMBER(W1269)),H1269/MAX(1,'Обзор'!$B$4-W1269),"")</x:f>
      </x:c>
      <x:c r="AC1269" s="17" t="str">
        <x:v>Не решено</x:v>
      </x:c>
      <x:c r="AD1269" s="17" t="str">
        <x:v>Не проверено</x:v>
      </x:c>
      <x:c r="AE1269" s="17" t="str">
        <x:v>Не проверено</x:v>
      </x:c>
      <x:c r="AF1269" s="17" t="str">
        <x:v>Не проверено</x:v>
      </x:c>
      <x:c r="AG1269" s="17" t="str">
        <x:v>Не решено</x:v>
      </x:c>
      <x:c r="AH1269" s="17" t="str">
        <x:v>Не проверено</x:v>
      </x:c>
      <x:c r="AI1269" s="10" t="str">
        <x:f>IF(AC1269="Отклонить","Отклонено",IF(AND(AC1269="Взять",COUNTIFS(AD1269:AH1269,"Да")=5),"Готово","Нужна редактура"))</x:f>
        <x:v>Нужна редактура</x:v>
      </x:c>
      <x:c r="AJ1269" s="17" t="str"/>
      <x:c r="AK1269" s="9" t="str">
        <x:v>https://www.youtube.com/playlist?list=PLVA6iCeBK_XL87-NERrJ746L6r1MOO7Ib</x:v>
      </x:c>
      <x:c r="AL1269" s="9" t="n">
        <x:v>11</x:v>
      </x:c>
      <x:c r="AM1269" s="9" t="n">
        <x:v>11</x:v>
      </x:c>
      <x:c r="AN1269" s="9"/>
    </x:row>
    <x:row r="1270" ht="60" customHeight="1">
      <x:c r="A1270" s="9" t="str">
        <x:v>7vx8i6th7_k</x:v>
      </x:c>
      <x:c r="B1270" s="10" t="str">
        <x:v>שאלות שרצינו לשאול – שיחות עם ניצולי שואה. פרק 12: "אתה תספר עלינו"</x:v>
      </x:c>
      <x:c r="C1270" s="10" t="str">
        <x:v>Шоа и свидетельства</x:v>
      </x:c>
      <x:c r="D1270" s="9" t="str">
        <x:v>Память</x:v>
      </x:c>
      <x:c r="E1270" s="10" t="str">
        <x:v>История; память; взрослые</x:v>
      </x:c>
      <x:c r="F1270" s="10" t="str">
        <x:v>B1–B2 (гипотеза)</x:v>
      </x:c>
      <x:c r="G1270" s="12" t="n">
        <x:v>11.4</x:v>
      </x:c>
      <x:c r="H1270" s="14" t="n">
        <x:v>4111</x:v>
      </x:c>
      <x:c r="I1270" s="15" t="str">
        <x:v>Точный счётчик метаданных видео</x:v>
      </x:c>
      <x:c r="J1270" s="14" t="n">
        <x:v>4100</x:v>
      </x:c>
      <x:c r="K1270" s="14" t="n">
        <x:v>9200</x:v>
      </x:c>
      <x:c r="L1270" s="12" t="n">
        <x:f>IF(COUNT(J1270:K1270)=2,IF(K1270=0,"",J1270/K1270),"")</x:f>
        <x:v>0.44565217391304346</x:v>
      </x:c>
      <x:c r="M1270" s="10" t="str">
        <x:v>Тема: שאלות שרצינו לשאול – שיחות עם ניצולי שואה. פרק 12: "אתה תספר עלינו". Просмотры ниже медианы цикла; выбирать за нишевую ценность, а не за массовый охват. Короткие интервью позволяют услышать личную речь свидетеля и выбирать посильный объём.</x:v>
      </x:c>
      <x:c r="N1270" s="10" t="str">
        <x:v>Контекст свидетеля и бережный пересказ; проверка субтитров особенно важна.</x:v>
      </x:c>
      <x:c r="O1270" s="10" t="str">
        <x:v>В заголовке есть чувствительная тема: предварительный просмотр и добровольный выбор. Шоа, утрата; предупреждение и добровольный выбор</x:v>
      </x:c>
      <x:c r="P1270" s="10" t="str">
        <x:v>Самостоятельное видео</x:v>
      </x:c>
      <x:c r="Q1270" s="9" t="str">
        <x:v>Нет</x:v>
      </x:c>
      <x:c r="R1270" s="9" t="str">
        <x:v>C077</x:v>
      </x:c>
      <x:c r="S1270" s="9" t="str">
        <x:v>C077</x:v>
      </x:c>
      <x:c r="T1270" s="10" t="str">
        <x:v>YadVashem יד ושם</x:v>
      </x:c>
      <x:c r="U1270" s="11" t="str">
        <x:v>https://www.youtube.com/watch?v=7vx8i6th7_k</x:v>
      </x:c>
      <x:c r="V1270" s="16" t="n">
        <x:v>46308</x:v>
      </x:c>
      <x:c r="W1270" s="16" t="n">
        <x:v>44656</x:v>
      </x:c>
      <x:c r="X1270" s="10" t="str">
        <x:v>Иврит предполагается по заголовку и источнику</x:v>
      </x:c>
      <x:c r="Y1270" s="10" t="str">
        <x:v>Дорожка HE не найдена в метаданных; вшитые титры не проверены</x:v>
      </x:c>
      <x:c r="Z1270" s="10" t="str">
        <x:v>Разрешено по метаданным</x:v>
      </x:c>
      <x:c r="AA1270" s="10" t="str">
        <x:v>Метаданные видео; воспроизведение и содержание не проверены</x:v>
      </x:c>
      <x:c r="AB1270" s="13" t="n">
        <x:f>IF(AND(ISNUMBER(H1270),ISNUMBER(W1270)),H1270/MAX(1,'Обзор'!$B$4-W1270),"")</x:f>
        <x:v>2.488498789346247</x:v>
      </x:c>
      <x:c r="AC1270" s="17" t="str">
        <x:v>Не решено</x:v>
      </x:c>
      <x:c r="AD1270" s="17" t="str">
        <x:v>Не проверено</x:v>
      </x:c>
      <x:c r="AE1270" s="17" t="str">
        <x:v>Не проверено</x:v>
      </x:c>
      <x:c r="AF1270" s="17" t="str">
        <x:v>Не проверено</x:v>
      </x:c>
      <x:c r="AG1270" s="17" t="str">
        <x:v>Не решено</x:v>
      </x:c>
      <x:c r="AH1270" s="17" t="str">
        <x:v>Не проверено</x:v>
      </x:c>
      <x:c r="AI1270" s="10" t="str">
        <x:f>IF(AC1270="Отклонить","Отклонено",IF(AND(AC1270="Взять",COUNTIFS(AD1270:AH1270,"Да")=5),"Готово","Нужна редактура"))</x:f>
        <x:v>Нужна редактура</x:v>
      </x:c>
      <x:c r="AJ1270" s="17" t="str"/>
      <x:c r="AK1270" s="9" t="str">
        <x:v>https://www.youtube.com/playlist?list=PLVA6iCeBK_XL87-NERrJ746L6r1MOO7Ib</x:v>
      </x:c>
      <x:c r="AL1270" s="9" t="n">
        <x:v>12</x:v>
      </x:c>
      <x:c r="AM1270" s="9" t="n">
        <x:v>12</x:v>
      </x:c>
      <x:c r="AN1270" s="9" t="n">
        <x:v>0</x:v>
      </x:c>
    </x:row>
    <x:row r="1271" ht="60" customHeight="1">
      <x:c r="A1271" s="9" t="str">
        <x:v>9kMLPQOfDWg</x:v>
      </x:c>
      <x:c r="B1271" s="10" t="str">
        <x:v>הקולוניאליזם בצפון אפריקה | גורלן של קהילות יהודיות בשואה</x:v>
      </x:c>
      <x:c r="C1271" s="10" t="str">
        <x:v>История общин и Шоа</x:v>
      </x:c>
      <x:c r="D1271" s="9" t="str">
        <x:v>Память</x:v>
      </x:c>
      <x:c r="E1271" s="10" t="str">
        <x:v>История; общины; взрослые</x:v>
      </x:c>
      <x:c r="F1271" s="10" t="str">
        <x:v>B2–C1 (гипотеза)</x:v>
      </x:c>
      <x:c r="G1271" s="12" t="n">
        <x:v>3.9</x:v>
      </x:c>
      <x:c r="H1271" s="14" t="n">
        <x:v>1683</x:v>
      </x:c>
      <x:c r="I1271" s="15" t="str">
        <x:v>Точный счётчик метаданных видео</x:v>
      </x:c>
      <x:c r="J1271" s="14" t="n">
        <x:v>1600</x:v>
      </x:c>
      <x:c r="K1271" s="14" t="n">
        <x:v>1650</x:v>
      </x:c>
      <x:c r="L1271" s="12" t="n">
        <x:f>IF(COUNT(J1271:K1271)=2,IF(K1271=0,"",J1271/K1271),"")</x:f>
        <x:v>0.9696969696969697</x:v>
      </x:c>
      <x:c r="M1271" s="10" t="str">
        <x:v>Завершённый короткий просмотр около 4 мин. Североафриканский опыт расширяет географию исторической памяти.</x:v>
      </x:c>
      <x:c r="N1271" s="10" t="str">
        <x:v>Построить карту стран и хронологию; отделить свидетельство и комментарий.</x:v>
      </x:c>
      <x:c r="O1271" s="10" t="str">
        <x:v>В заголовке есть чувствительная тема: предварительный просмотр и добровольный выбор. Шоа; тяжёлый контент</x:v>
      </x:c>
      <x:c r="P1271" s="10" t="str">
        <x:v>Самостоятельное видео</x:v>
      </x:c>
      <x:c r="Q1271" s="9" t="str">
        <x:v>Нет</x:v>
      </x:c>
      <x:c r="R1271" s="9" t="str">
        <x:v>C078</x:v>
      </x:c>
      <x:c r="S1271" s="9" t="str">
        <x:v>C078</x:v>
      </x:c>
      <x:c r="T1271" s="10" t="str">
        <x:v>YadVashem יד ושם</x:v>
      </x:c>
      <x:c r="U1271" s="11" t="str">
        <x:v>https://www.youtube.com/watch?v=9kMLPQOfDWg</x:v>
      </x:c>
      <x:c r="V1271" s="16" t="n">
        <x:v>46308</x:v>
      </x:c>
      <x:c r="W1271" s="16" t="n">
        <x:v>44508</x:v>
      </x:c>
      <x:c r="X1271" s="10" t="str">
        <x:v>Иврит предполагается по заголовку и источнику</x:v>
      </x:c>
      <x:c r="Y1271" s="10" t="str">
        <x:v>Ручная дорожка HE по метаданным</x:v>
      </x:c>
      <x:c r="Z1271" s="10" t="str">
        <x:v>Разрешено по метаданным</x:v>
      </x:c>
      <x:c r="AA1271" s="10" t="str">
        <x:v>Метаданные видео; воспроизведение и содержание не проверены</x:v>
      </x:c>
      <x:c r="AB1271" s="13" t="n">
        <x:f>IF(AND(ISNUMBER(H1271),ISNUMBER(W1271)),H1271/MAX(1,'Обзор'!$B$4-W1271),"")</x:f>
        <x:v>0.935</x:v>
      </x:c>
      <x:c r="AC1271" s="17" t="str">
        <x:v>Не решено</x:v>
      </x:c>
      <x:c r="AD1271" s="17" t="str">
        <x:v>Не проверено</x:v>
      </x:c>
      <x:c r="AE1271" s="17" t="str">
        <x:v>Не проверено</x:v>
      </x:c>
      <x:c r="AF1271" s="17" t="str">
        <x:v>Не проверено</x:v>
      </x:c>
      <x:c r="AG1271" s="17" t="str">
        <x:v>Не решено</x:v>
      </x:c>
      <x:c r="AH1271" s="17" t="str">
        <x:v>Не проверено</x:v>
      </x:c>
      <x:c r="AI1271" s="10" t="str">
        <x:f>IF(AC1271="Отклонить","Отклонено",IF(AND(AC1271="Взять",COUNTIFS(AD1271:AH1271,"Да")=5),"Готово","Нужна редактура"))</x:f>
        <x:v>Нужна редактура</x:v>
      </x:c>
      <x:c r="AJ1271" s="17" t="str"/>
      <x:c r="AK1271" s="9" t="str">
        <x:v>https://www.youtube.com/playlist?list=PLVA6iCeBK_XJoNxxDmjtCCtMS5MtB_2dA</x:v>
      </x:c>
      <x:c r="AL1271" s="9" t="n">
        <x:v>1</x:v>
      </x:c>
      <x:c r="AM1271" s="9"/>
      <x:c r="AN1271" s="9" t="n">
        <x:v>0</x:v>
      </x:c>
    </x:row>
    <x:row r="1272" ht="60" customHeight="1">
      <x:c r="A1272" s="9" t="str">
        <x:v>iqVzU2GXLTI</x:v>
      </x:c>
      <x:c r="B1272" s="10" t="str">
        <x:v>יהודי צפון אפריקה תחת משטר וישי |גורלן של קהילות יהודיות בשואה</x:v>
      </x:c>
      <x:c r="C1272" s="10" t="str">
        <x:v>История общин и Шоа</x:v>
      </x:c>
      <x:c r="D1272" s="9" t="str">
        <x:v>Память</x:v>
      </x:c>
      <x:c r="E1272" s="10" t="str">
        <x:v>История; общины; взрослые</x:v>
      </x:c>
      <x:c r="F1272" s="10" t="str">
        <x:v>B2–C1 (гипотеза)</x:v>
      </x:c>
      <x:c r="G1272" s="12" t="n">
        <x:v>6</x:v>
      </x:c>
      <x:c r="H1272" s="14" t="n">
        <x:v>3530</x:v>
      </x:c>
      <x:c r="I1272" s="15" t="str">
        <x:v>Точный счётчик метаданных видео</x:v>
      </x:c>
      <x:c r="J1272" s="14" t="n">
        <x:v>3500</x:v>
      </x:c>
      <x:c r="K1272" s="14" t="n">
        <x:v>1650</x:v>
      </x:c>
      <x:c r="L1272" s="12" t="n">
        <x:f>IF(COUNT(J1272:K1272)=2,IF(K1272=0,"",J1272/K1272),"")</x:f>
        <x:v>2.121212121212121</x:v>
      </x:c>
      <x:c r="M1272" s="10" t="str">
        <x:v>Завершённый короткий просмотр около 6 мин. Просмотры в списке выше медианы выборки этого цикла в 2.12 раза. Североафриканский опыт расширяет географию исторической памяти.</x:v>
      </x:c>
      <x:c r="N1272" s="10" t="str">
        <x:v>Построить карту стран и хронологию; отделить свидетельство и комментарий.</x:v>
      </x:c>
      <x:c r="O1272" s="10" t="str">
        <x:v>В заголовке есть чувствительная тема: предварительный просмотр и добровольный выбор. Шоа; тяжёлый контент</x:v>
      </x:c>
      <x:c r="P1272" s="10" t="str">
        <x:v>Самостоятельное видео</x:v>
      </x:c>
      <x:c r="Q1272" s="9" t="str">
        <x:v>Нет</x:v>
      </x:c>
      <x:c r="R1272" s="9" t="str">
        <x:v>C078</x:v>
      </x:c>
      <x:c r="S1272" s="9" t="str">
        <x:v>C078</x:v>
      </x:c>
      <x:c r="T1272" s="10" t="str">
        <x:v>YadVashem יד ושם</x:v>
      </x:c>
      <x:c r="U1272" s="11" t="str">
        <x:v>https://www.youtube.com/watch?v=iqVzU2GXLTI</x:v>
      </x:c>
      <x:c r="V1272" s="16" t="n">
        <x:v>46308</x:v>
      </x:c>
      <x:c r="W1272" s="16" t="n">
        <x:v>44508</x:v>
      </x:c>
      <x:c r="X1272" s="10" t="str">
        <x:v>Иврит предполагается по заголовку и источнику</x:v>
      </x:c>
      <x:c r="Y1272" s="10" t="str">
        <x:v>Ручная дорожка HE по метаданным</x:v>
      </x:c>
      <x:c r="Z1272" s="10" t="str">
        <x:v>Разрешено по метаданным</x:v>
      </x:c>
      <x:c r="AA1272" s="10" t="str">
        <x:v>Метаданные видео; воспроизведение и содержание не проверены</x:v>
      </x:c>
      <x:c r="AB1272" s="13" t="n">
        <x:f>IF(AND(ISNUMBER(H1272),ISNUMBER(W1272)),H1272/MAX(1,'Обзор'!$B$4-W1272),"")</x:f>
        <x:v>1.961111111111111</x:v>
      </x:c>
      <x:c r="AC1272" s="17" t="str">
        <x:v>Не решено</x:v>
      </x:c>
      <x:c r="AD1272" s="17" t="str">
        <x:v>Не проверено</x:v>
      </x:c>
      <x:c r="AE1272" s="17" t="str">
        <x:v>Не проверено</x:v>
      </x:c>
      <x:c r="AF1272" s="17" t="str">
        <x:v>Не проверено</x:v>
      </x:c>
      <x:c r="AG1272" s="17" t="str">
        <x:v>Не решено</x:v>
      </x:c>
      <x:c r="AH1272" s="17" t="str">
        <x:v>Не проверено</x:v>
      </x:c>
      <x:c r="AI1272" s="10" t="str">
        <x:f>IF(AC1272="Отклонить","Отклонено",IF(AND(AC1272="Взять",COUNTIFS(AD1272:AH1272,"Да")=5),"Готово","Нужна редактура"))</x:f>
        <x:v>Нужна редактура</x:v>
      </x:c>
      <x:c r="AJ1272" s="17" t="str"/>
      <x:c r="AK1272" s="9" t="str">
        <x:v>https://www.youtube.com/playlist?list=PLVA6iCeBK_XJoNxxDmjtCCtMS5MtB_2dA</x:v>
      </x:c>
      <x:c r="AL1272" s="9" t="n">
        <x:v>2</x:v>
      </x:c>
      <x:c r="AM1272" s="9"/>
      <x:c r="AN1272" s="9" t="n">
        <x:v>0</x:v>
      </x:c>
    </x:row>
    <x:row r="1273" ht="60" customHeight="1">
      <x:c r="A1273" s="9" t="str">
        <x:v>wezOCqP29O4</x:v>
      </x:c>
      <x:c r="B1273" s="10" t="str">
        <x:v>יהודים תחת שלטון צרפתי קולוניאלי | גורלן של קהילות יהודיות בשואה</x:v>
      </x:c>
      <x:c r="C1273" s="10" t="str">
        <x:v>История общин и Шоа</x:v>
      </x:c>
      <x:c r="D1273" s="9" t="str">
        <x:v>Память</x:v>
      </x:c>
      <x:c r="E1273" s="10" t="str">
        <x:v>История; общины; взрослые</x:v>
      </x:c>
      <x:c r="F1273" s="10" t="str">
        <x:v>B2–C1 (гипотеза)</x:v>
      </x:c>
      <x:c r="G1273" s="12" t="n">
        <x:v>5.4</x:v>
      </x:c>
      <x:c r="H1273" s="14" t="n">
        <x:v>1213</x:v>
      </x:c>
      <x:c r="I1273" s="15" t="str">
        <x:v>Точный счётчик метаданных видео</x:v>
      </x:c>
      <x:c r="J1273" s="14" t="n">
        <x:v>1200</x:v>
      </x:c>
      <x:c r="K1273" s="14" t="n">
        <x:v>1650</x:v>
      </x:c>
      <x:c r="L1273" s="12" t="n">
        <x:f>IF(COUNT(J1273:K1273)=2,IF(K1273=0,"",J1273/K1273),"")</x:f>
        <x:v>0.7272727272727273</x:v>
      </x:c>
      <x:c r="M1273" s="10" t="str">
        <x:v>Завершённый короткий просмотр около 5 мин. Североафриканский опыт расширяет географию исторической памяти.</x:v>
      </x:c>
      <x:c r="N1273" s="10" t="str">
        <x:v>Построить карту стран и хронологию; отделить свидетельство и комментарий.</x:v>
      </x:c>
      <x:c r="O1273" s="10" t="str">
        <x:v>В заголовке есть чувствительная тема: предварительный просмотр и добровольный выбор. Шоа; тяжёлый контент</x:v>
      </x:c>
      <x:c r="P1273" s="10" t="str">
        <x:v>Самостоятельное видео</x:v>
      </x:c>
      <x:c r="Q1273" s="9" t="str">
        <x:v>Нет</x:v>
      </x:c>
      <x:c r="R1273" s="9" t="str">
        <x:v>C078</x:v>
      </x:c>
      <x:c r="S1273" s="9" t="str">
        <x:v>C078</x:v>
      </x:c>
      <x:c r="T1273" s="10" t="str">
        <x:v>YadVashem יד ושם</x:v>
      </x:c>
      <x:c r="U1273" s="11" t="str">
        <x:v>https://www.youtube.com/watch?v=wezOCqP29O4</x:v>
      </x:c>
      <x:c r="V1273" s="16" t="n">
        <x:v>46308</x:v>
      </x:c>
      <x:c r="W1273" s="16" t="n">
        <x:v>44508</x:v>
      </x:c>
      <x:c r="X1273" s="10" t="str">
        <x:v>Иврит предполагается по заголовку и источнику</x:v>
      </x:c>
      <x:c r="Y1273" s="10" t="str">
        <x:v>Ручная дорожка HE по метаданным</x:v>
      </x:c>
      <x:c r="Z1273" s="10" t="str">
        <x:v>Разрешено по метаданным</x:v>
      </x:c>
      <x:c r="AA1273" s="10" t="str">
        <x:v>Метаданные видео; воспроизведение и содержание не проверены</x:v>
      </x:c>
      <x:c r="AB1273" s="13" t="n">
        <x:f>IF(AND(ISNUMBER(H1273),ISNUMBER(W1273)),H1273/MAX(1,'Обзор'!$B$4-W1273),"")</x:f>
        <x:v>0.6738888888888889</x:v>
      </x:c>
      <x:c r="AC1273" s="17" t="str">
        <x:v>Не решено</x:v>
      </x:c>
      <x:c r="AD1273" s="17" t="str">
        <x:v>Не проверено</x:v>
      </x:c>
      <x:c r="AE1273" s="17" t="str">
        <x:v>Не проверено</x:v>
      </x:c>
      <x:c r="AF1273" s="17" t="str">
        <x:v>Не проверено</x:v>
      </x:c>
      <x:c r="AG1273" s="17" t="str">
        <x:v>Не решено</x:v>
      </x:c>
      <x:c r="AH1273" s="17" t="str">
        <x:v>Не проверено</x:v>
      </x:c>
      <x:c r="AI1273" s="10" t="str">
        <x:f>IF(AC1273="Отклонить","Отклонено",IF(AND(AC1273="Взять",COUNTIFS(AD1273:AH1273,"Да")=5),"Готово","Нужна редактура"))</x:f>
        <x:v>Нужна редактура</x:v>
      </x:c>
      <x:c r="AJ1273" s="17" t="str"/>
      <x:c r="AK1273" s="9" t="str">
        <x:v>https://www.youtube.com/playlist?list=PLVA6iCeBK_XJoNxxDmjtCCtMS5MtB_2dA</x:v>
      </x:c>
      <x:c r="AL1273" s="9" t="n">
        <x:v>3</x:v>
      </x:c>
      <x:c r="AM1273" s="9"/>
      <x:c r="AN1273" s="9" t="n">
        <x:v>0</x:v>
      </x:c>
    </x:row>
    <x:row r="1274" ht="60" customHeight="1">
      <x:c r="A1274" s="9" t="str">
        <x:v>weslgrSzVho</x:v>
      </x:c>
      <x:c r="B1274" s="10" t="str">
        <x:v>מחנה סיימישטה שבסרביה | גורלן של קהילות יהודיות בשואה</x:v>
      </x:c>
      <x:c r="C1274" s="10" t="str">
        <x:v>История общин и Шоа</x:v>
      </x:c>
      <x:c r="D1274" s="9" t="str">
        <x:v>Память</x:v>
      </x:c>
      <x:c r="E1274" s="10" t="str">
        <x:v>История; общины; взрослые</x:v>
      </x:c>
      <x:c r="F1274" s="10" t="str">
        <x:v>B2–C1 (гипотеза)</x:v>
      </x:c>
      <x:c r="G1274" s="12" t="n">
        <x:v>8.2</x:v>
      </x:c>
      <x:c r="H1274" s="14" t="n">
        <x:v>1960</x:v>
      </x:c>
      <x:c r="I1274" s="15" t="str">
        <x:v>Точный счётчик метаданных видео</x:v>
      </x:c>
      <x:c r="J1274" s="14" t="n">
        <x:v>1900</x:v>
      </x:c>
      <x:c r="K1274" s="14" t="n">
        <x:v>1650</x:v>
      </x:c>
      <x:c r="L1274" s="12" t="n">
        <x:f>IF(COUNT(J1274:K1274)=2,IF(K1274=0,"",J1274/K1274),"")</x:f>
        <x:v>1.1515151515151516</x:v>
      </x:c>
      <x:c r="M1274" s="10" t="str">
        <x:v>Завершённый короткий просмотр около 8 мин. Североафриканский опыт расширяет географию исторической памяти.</x:v>
      </x:c>
      <x:c r="N1274" s="10" t="str">
        <x:v>Построить карту стран и хронологию; отделить свидетельство и комментарий.</x:v>
      </x:c>
      <x:c r="O1274" s="10" t="str">
        <x:v>В заголовке есть чувствительная тема: предварительный просмотр и добровольный выбор. Шоа; тяжёлый контент</x:v>
      </x:c>
      <x:c r="P1274" s="10" t="str">
        <x:v>Самостоятельное видео</x:v>
      </x:c>
      <x:c r="Q1274" s="9" t="str">
        <x:v>Нет</x:v>
      </x:c>
      <x:c r="R1274" s="9" t="str">
        <x:v>C078</x:v>
      </x:c>
      <x:c r="S1274" s="9" t="str">
        <x:v>C078</x:v>
      </x:c>
      <x:c r="T1274" s="10" t="str">
        <x:v>YadVashem יד ושם</x:v>
      </x:c>
      <x:c r="U1274" s="11" t="str">
        <x:v>https://www.youtube.com/watch?v=weslgrSzVho</x:v>
      </x:c>
      <x:c r="V1274" s="16" t="n">
        <x:v>46308</x:v>
      </x:c>
      <x:c r="W1274" s="16" t="n">
        <x:v>44515</x:v>
      </x:c>
      <x:c r="X1274" s="10" t="str">
        <x:v>Иврит предполагается по заголовку и источнику</x:v>
      </x:c>
      <x:c r="Y1274" s="10" t="str">
        <x:v>Ручная дорожка HE по метаданным</x:v>
      </x:c>
      <x:c r="Z1274" s="10" t="str">
        <x:v>Разрешено по метаданным</x:v>
      </x:c>
      <x:c r="AA1274" s="10" t="str">
        <x:v>Метаданные видео; воспроизведение и содержание не проверены</x:v>
      </x:c>
      <x:c r="AB1274" s="13" t="n">
        <x:f>IF(AND(ISNUMBER(H1274),ISNUMBER(W1274)),H1274/MAX(1,'Обзор'!$B$4-W1274),"")</x:f>
        <x:v>1.0931399888455102</x:v>
      </x:c>
      <x:c r="AC1274" s="17" t="str">
        <x:v>Не решено</x:v>
      </x:c>
      <x:c r="AD1274" s="17" t="str">
        <x:v>Не проверено</x:v>
      </x:c>
      <x:c r="AE1274" s="17" t="str">
        <x:v>Не проверено</x:v>
      </x:c>
      <x:c r="AF1274" s="17" t="str">
        <x:v>Не проверено</x:v>
      </x:c>
      <x:c r="AG1274" s="17" t="str">
        <x:v>Не решено</x:v>
      </x:c>
      <x:c r="AH1274" s="17" t="str">
        <x:v>Не проверено</x:v>
      </x:c>
      <x:c r="AI1274" s="10" t="str">
        <x:f>IF(AC1274="Отклонить","Отклонено",IF(AND(AC1274="Взять",COUNTIFS(AD1274:AH1274,"Да")=5),"Готово","Нужна редактура"))</x:f>
        <x:v>Нужна редактура</x:v>
      </x:c>
      <x:c r="AJ1274" s="17" t="str"/>
      <x:c r="AK1274" s="9" t="str">
        <x:v>https://www.youtube.com/playlist?list=PLVA6iCeBK_XJoNxxDmjtCCtMS5MtB_2dA</x:v>
      </x:c>
      <x:c r="AL1274" s="9" t="n">
        <x:v>4</x:v>
      </x:c>
      <x:c r="AM1274" s="9"/>
      <x:c r="AN1274" s="9" t="n">
        <x:v>0</x:v>
      </x:c>
    </x:row>
    <x:row r="1275" ht="60" customHeight="1">
      <x:c r="A1275" s="9" t="str">
        <x:v>2roICu4NY1A</x:v>
      </x:c>
      <x:c r="B1275" s="10" t="str">
        <x:v>השלטון האיטלקי הקולוניאלי בלוב | גורלן של קהילות יהודיות בשואה</x:v>
      </x:c>
      <x:c r="C1275" s="10" t="str">
        <x:v>История общин и Шоа</x:v>
      </x:c>
      <x:c r="D1275" s="9" t="str">
        <x:v>Память</x:v>
      </x:c>
      <x:c r="E1275" s="10" t="str">
        <x:v>История; общины; взрослые</x:v>
      </x:c>
      <x:c r="F1275" s="10" t="str">
        <x:v>B2–C1 (гипотеза)</x:v>
      </x:c>
      <x:c r="G1275" s="12" t="n">
        <x:v>7.9</x:v>
      </x:c>
      <x:c r="H1275" s="14" t="n">
        <x:v>964</x:v>
      </x:c>
      <x:c r="I1275" s="15" t="str">
        <x:v>Точный счётчик метаданных видео</x:v>
      </x:c>
      <x:c r="J1275" s="14" t="n">
        <x:v>964</x:v>
      </x:c>
      <x:c r="K1275" s="14" t="n">
        <x:v>1650</x:v>
      </x:c>
      <x:c r="L1275" s="12" t="n">
        <x:f>IF(COUNT(J1275:K1275)=2,IF(K1275=0,"",J1275/K1275),"")</x:f>
        <x:v>0.5842424242424242</x:v>
      </x:c>
      <x:c r="M1275" s="10" t="str">
        <x:v>Завершённый короткий просмотр около 8 мин. Североафриканский опыт расширяет географию исторической памяти.</x:v>
      </x:c>
      <x:c r="N1275" s="10" t="str">
        <x:v>Построить карту стран и хронологию; отделить свидетельство и комментарий.</x:v>
      </x:c>
      <x:c r="O1275" s="10" t="str">
        <x:v>В заголовке есть чувствительная тема: предварительный просмотр и добровольный выбор. Шоа; тяжёлый контент</x:v>
      </x:c>
      <x:c r="P1275" s="10" t="str">
        <x:v>Самостоятельное видео</x:v>
      </x:c>
      <x:c r="Q1275" s="9" t="str">
        <x:v>Нет</x:v>
      </x:c>
      <x:c r="R1275" s="9" t="str">
        <x:v>C078</x:v>
      </x:c>
      <x:c r="S1275" s="9" t="str">
        <x:v>C078</x:v>
      </x:c>
      <x:c r="T1275" s="10" t="str">
        <x:v>YadVashem יד ושם</x:v>
      </x:c>
      <x:c r="U1275" s="11" t="str">
        <x:v>https://www.youtube.com/watch?v=2roICu4NY1A</x:v>
      </x:c>
      <x:c r="V1275" s="16" t="n">
        <x:v>46308</x:v>
      </x:c>
      <x:c r="W1275" s="16" t="n">
        <x:v>44508</x:v>
      </x:c>
      <x:c r="X1275" s="10" t="str">
        <x:v>Иврит предполагается по заголовку и источнику</x:v>
      </x:c>
      <x:c r="Y1275" s="10" t="str">
        <x:v>Ручная дорожка HE по метаданным</x:v>
      </x:c>
      <x:c r="Z1275" s="10" t="str">
        <x:v>Разрешено по метаданным</x:v>
      </x:c>
      <x:c r="AA1275" s="10" t="str">
        <x:v>Метаданные видео; воспроизведение и содержание не проверены</x:v>
      </x:c>
      <x:c r="AB1275" s="13" t="n">
        <x:f>IF(AND(ISNUMBER(H1275),ISNUMBER(W1275)),H1275/MAX(1,'Обзор'!$B$4-W1275),"")</x:f>
        <x:v>0.5355555555555556</x:v>
      </x:c>
      <x:c r="AC1275" s="17" t="str">
        <x:v>Не решено</x:v>
      </x:c>
      <x:c r="AD1275" s="17" t="str">
        <x:v>Не проверено</x:v>
      </x:c>
      <x:c r="AE1275" s="17" t="str">
        <x:v>Не проверено</x:v>
      </x:c>
      <x:c r="AF1275" s="17" t="str">
        <x:v>Не проверено</x:v>
      </x:c>
      <x:c r="AG1275" s="17" t="str">
        <x:v>Не решено</x:v>
      </x:c>
      <x:c r="AH1275" s="17" t="str">
        <x:v>Не проверено</x:v>
      </x:c>
      <x:c r="AI1275" s="10" t="str">
        <x:f>IF(AC1275="Отклонить","Отклонено",IF(AND(AC1275="Взять",COUNTIFS(AD1275:AH1275,"Да")=5),"Готово","Нужна редактура"))</x:f>
        <x:v>Нужна редактура</x:v>
      </x:c>
      <x:c r="AJ1275" s="17" t="str"/>
      <x:c r="AK1275" s="9" t="str">
        <x:v>https://www.youtube.com/playlist?list=PLVA6iCeBK_XJoNxxDmjtCCtMS5MtB_2dA</x:v>
      </x:c>
      <x:c r="AL1275" s="9" t="n">
        <x:v>5</x:v>
      </x:c>
      <x:c r="AM1275" s="9"/>
      <x:c r="AN1275" s="9" t="n">
        <x:v>0</x:v>
      </x:c>
    </x:row>
    <x:row r="1276" ht="60" customHeight="1">
      <x:c r="A1276" s="9" t="str">
        <x:v>tHN26V9cRRs</x:v>
      </x:c>
      <x:c r="B1276" s="10" t="str">
        <x:v>פריחה יהודית בקולוניות הצרפתיות בצפון אפריקה | גורלן של קהילות יהודיות בשואה</x:v>
      </x:c>
      <x:c r="C1276" s="10" t="str">
        <x:v>История общин и Шоа</x:v>
      </x:c>
      <x:c r="D1276" s="9" t="str">
        <x:v>Память</x:v>
      </x:c>
      <x:c r="E1276" s="10" t="str">
        <x:v>История; общины; взрослые</x:v>
      </x:c>
      <x:c r="F1276" s="10" t="str">
        <x:v>B2–C1 (гипотеза)</x:v>
      </x:c>
      <x:c r="G1276" s="12" t="n">
        <x:v>4.5</x:v>
      </x:c>
      <x:c r="H1276" s="14" t="n">
        <x:v>777</x:v>
      </x:c>
      <x:c r="I1276" s="15" t="str">
        <x:v>Точный счётчик метаданных видео</x:v>
      </x:c>
      <x:c r="J1276" s="14" t="n">
        <x:v>777</x:v>
      </x:c>
      <x:c r="K1276" s="14" t="n">
        <x:v>1650</x:v>
      </x:c>
      <x:c r="L1276" s="12" t="n">
        <x:f>IF(COUNT(J1276:K1276)=2,IF(K1276=0,"",J1276/K1276),"")</x:f>
        <x:v>0.4709090909090909</x:v>
      </x:c>
      <x:c r="M1276" s="10" t="str">
        <x:v>Завершённый короткий просмотр около 5 мин. Просмотры ниже медианы цикла; выбирать за нишевую ценность, а не за массовый охват. Североафриканский опыт расширяет географию исторической памяти.</x:v>
      </x:c>
      <x:c r="N1276" s="10" t="str">
        <x:v>Построить карту стран и хронологию; отделить свидетельство и комментарий.</x:v>
      </x:c>
      <x:c r="O1276" s="10" t="str">
        <x:v>В заголовке есть чувствительная тема: предварительный просмотр и добровольный выбор. Шоа; тяжёлый контент</x:v>
      </x:c>
      <x:c r="P1276" s="10" t="str">
        <x:v>Самостоятельное видео</x:v>
      </x:c>
      <x:c r="Q1276" s="9" t="str">
        <x:v>Нет</x:v>
      </x:c>
      <x:c r="R1276" s="9" t="str">
        <x:v>C078</x:v>
      </x:c>
      <x:c r="S1276" s="9" t="str">
        <x:v>C078</x:v>
      </x:c>
      <x:c r="T1276" s="10" t="str">
        <x:v>YadVashem יד ושם</x:v>
      </x:c>
      <x:c r="U1276" s="11" t="str">
        <x:v>https://www.youtube.com/watch?v=tHN26V9cRRs</x:v>
      </x:c>
      <x:c r="V1276" s="16" t="n">
        <x:v>46308</x:v>
      </x:c>
      <x:c r="W1276" s="16" t="n">
        <x:v>44508</x:v>
      </x:c>
      <x:c r="X1276" s="10" t="str">
        <x:v>Иврит предполагается по заголовку и источнику</x:v>
      </x:c>
      <x:c r="Y1276" s="10" t="str">
        <x:v>Ручная дорожка HE по метаданным</x:v>
      </x:c>
      <x:c r="Z1276" s="10" t="str">
        <x:v>Разрешено по метаданным</x:v>
      </x:c>
      <x:c r="AA1276" s="10" t="str">
        <x:v>Метаданные видео; воспроизведение и содержание не проверены</x:v>
      </x:c>
      <x:c r="AB1276" s="13" t="n">
        <x:f>IF(AND(ISNUMBER(H1276),ISNUMBER(W1276)),H1276/MAX(1,'Обзор'!$B$4-W1276),"")</x:f>
        <x:v>0.43166666666666664</x:v>
      </x:c>
      <x:c r="AC1276" s="17" t="str">
        <x:v>Не решено</x:v>
      </x:c>
      <x:c r="AD1276" s="17" t="str">
        <x:v>Не проверено</x:v>
      </x:c>
      <x:c r="AE1276" s="17" t="str">
        <x:v>Не проверено</x:v>
      </x:c>
      <x:c r="AF1276" s="17" t="str">
        <x:v>Не проверено</x:v>
      </x:c>
      <x:c r="AG1276" s="17" t="str">
        <x:v>Не решено</x:v>
      </x:c>
      <x:c r="AH1276" s="17" t="str">
        <x:v>Не проверено</x:v>
      </x:c>
      <x:c r="AI1276" s="10" t="str">
        <x:f>IF(AC1276="Отклонить","Отклонено",IF(AND(AC1276="Взять",COUNTIFS(AD1276:AH1276,"Да")=5),"Готово","Нужна редактура"))</x:f>
        <x:v>Нужна редактура</x:v>
      </x:c>
      <x:c r="AJ1276" s="17" t="str"/>
      <x:c r="AK1276" s="9" t="str">
        <x:v>https://www.youtube.com/playlist?list=PLVA6iCeBK_XJoNxxDmjtCCtMS5MtB_2dA</x:v>
      </x:c>
      <x:c r="AL1276" s="9" t="n">
        <x:v>6</x:v>
      </x:c>
      <x:c r="AM1276" s="9"/>
      <x:c r="AN1276" s="9" t="n">
        <x:v>0</x:v>
      </x:c>
    </x:row>
    <x:row r="1277" ht="60" customHeight="1">
      <x:c r="A1277" s="9" t="str">
        <x:v>pOVDYbj4vJg</x:v>
      </x:c>
      <x:c r="B1277" s="10" t="str">
        <x:v>היהודים בלוב במלחמת העולם השנייה | גורלן של קהילות יהודיות בשואה</x:v>
      </x:c>
      <x:c r="C1277" s="10" t="str">
        <x:v>История общин и Шоа</x:v>
      </x:c>
      <x:c r="D1277" s="9" t="str">
        <x:v>Память</x:v>
      </x:c>
      <x:c r="E1277" s="10" t="str">
        <x:v>История; общины; взрослые</x:v>
      </x:c>
      <x:c r="F1277" s="10" t="str">
        <x:v>B2–C1 (гипотеза)</x:v>
      </x:c>
      <x:c r="G1277" s="12" t="n">
        <x:v>4.4</x:v>
      </x:c>
      <x:c r="H1277" s="14" t="n">
        <x:v>1746</x:v>
      </x:c>
      <x:c r="I1277" s="15" t="str">
        <x:v>Точный счётчик метаданных видео</x:v>
      </x:c>
      <x:c r="J1277" s="14" t="n">
        <x:v>1700</x:v>
      </x:c>
      <x:c r="K1277" s="14" t="n">
        <x:v>1650</x:v>
      </x:c>
      <x:c r="L1277" s="12" t="n">
        <x:f>IF(COUNT(J1277:K1277)=2,IF(K1277=0,"",J1277/K1277),"")</x:f>
        <x:v>1.0303030303030303</x:v>
      </x:c>
      <x:c r="M1277" s="10" t="str">
        <x:v>Завершённый короткий просмотр около 4 мин. Североафриканский опыт расширяет географию исторической памяти.</x:v>
      </x:c>
      <x:c r="N1277" s="10" t="str">
        <x:v>Построить карту стран и хронологию; отделить свидетельство и комментарий.</x:v>
      </x:c>
      <x:c r="O1277" s="10" t="str">
        <x:v>В заголовке есть чувствительная тема: предварительный просмотр и добровольный выбор. Шоа; тяжёлый контент</x:v>
      </x:c>
      <x:c r="P1277" s="10" t="str">
        <x:v>Самостоятельное видео</x:v>
      </x:c>
      <x:c r="Q1277" s="9" t="str">
        <x:v>Нет</x:v>
      </x:c>
      <x:c r="R1277" s="9" t="str">
        <x:v>C078</x:v>
      </x:c>
      <x:c r="S1277" s="9" t="str">
        <x:v>C078</x:v>
      </x:c>
      <x:c r="T1277" s="10" t="str">
        <x:v>YadVashem יד ושם</x:v>
      </x:c>
      <x:c r="U1277" s="11" t="str">
        <x:v>https://www.youtube.com/watch?v=pOVDYbj4vJg</x:v>
      </x:c>
      <x:c r="V1277" s="16" t="n">
        <x:v>46308</x:v>
      </x:c>
      <x:c r="W1277" s="16" t="n">
        <x:v>44508</x:v>
      </x:c>
      <x:c r="X1277" s="10" t="str">
        <x:v>Иврит предполагается по заголовку и источнику</x:v>
      </x:c>
      <x:c r="Y1277" s="10" t="str">
        <x:v>Ручная дорожка HE по метаданным</x:v>
      </x:c>
      <x:c r="Z1277" s="10" t="str">
        <x:v>Разрешено по метаданным</x:v>
      </x:c>
      <x:c r="AA1277" s="10" t="str">
        <x:v>Метаданные видео; воспроизведение и содержание не проверены</x:v>
      </x:c>
      <x:c r="AB1277" s="13" t="n">
        <x:f>IF(AND(ISNUMBER(H1277),ISNUMBER(W1277)),H1277/MAX(1,'Обзор'!$B$4-W1277),"")</x:f>
        <x:v>0.97</x:v>
      </x:c>
      <x:c r="AC1277" s="17" t="str">
        <x:v>Не решено</x:v>
      </x:c>
      <x:c r="AD1277" s="17" t="str">
        <x:v>Не проверено</x:v>
      </x:c>
      <x:c r="AE1277" s="17" t="str">
        <x:v>Не проверено</x:v>
      </x:c>
      <x:c r="AF1277" s="17" t="str">
        <x:v>Не проверено</x:v>
      </x:c>
      <x:c r="AG1277" s="17" t="str">
        <x:v>Не решено</x:v>
      </x:c>
      <x:c r="AH1277" s="17" t="str">
        <x:v>Не проверено</x:v>
      </x:c>
      <x:c r="AI1277" s="10" t="str">
        <x:f>IF(AC1277="Отклонить","Отклонено",IF(AND(AC1277="Взять",COUNTIFS(AD1277:AH1277,"Да")=5),"Готово","Нужна редактура"))</x:f>
        <x:v>Нужна редактура</x:v>
      </x:c>
      <x:c r="AJ1277" s="17" t="str"/>
      <x:c r="AK1277" s="9" t="str">
        <x:v>https://www.youtube.com/playlist?list=PLVA6iCeBK_XJoNxxDmjtCCtMS5MtB_2dA</x:v>
      </x:c>
      <x:c r="AL1277" s="9" t="n">
        <x:v>7</x:v>
      </x:c>
      <x:c r="AM1277" s="9"/>
      <x:c r="AN1277" s="9" t="n">
        <x:v>0</x:v>
      </x:c>
    </x:row>
    <x:row r="1278" ht="60" customHeight="1">
      <x:c r="A1278" s="9" t="str">
        <x:v>0-WDEbclEqM</x:v>
      </x:c>
      <x:c r="B1278" s="10" t="str">
        <x:v>אנטישמיות בקולוניות הצרפתיות במאה ה 19| גורלן של קהילות יהודיות  בשואה</x:v>
      </x:c>
      <x:c r="C1278" s="10" t="str">
        <x:v>История общин и Шоа</x:v>
      </x:c>
      <x:c r="D1278" s="9" t="str">
        <x:v>Память</x:v>
      </x:c>
      <x:c r="E1278" s="10" t="str">
        <x:v>История; общины; взрослые</x:v>
      </x:c>
      <x:c r="F1278" s="10" t="str">
        <x:v>B2–C1 (гипотеза)</x:v>
      </x:c>
      <x:c r="G1278" s="12" t="n">
        <x:v>6</x:v>
      </x:c>
      <x:c r="H1278" s="14" t="n">
        <x:v>1372</x:v>
      </x:c>
      <x:c r="I1278" s="15" t="str">
        <x:v>Точный счётчик метаданных видео</x:v>
      </x:c>
      <x:c r="J1278" s="14" t="n">
        <x:v>1300</x:v>
      </x:c>
      <x:c r="K1278" s="14" t="n">
        <x:v>1650</x:v>
      </x:c>
      <x:c r="L1278" s="12" t="n">
        <x:f>IF(COUNT(J1278:K1278)=2,IF(K1278=0,"",J1278/K1278),"")</x:f>
        <x:v>0.7878787878787878</x:v>
      </x:c>
      <x:c r="M1278" s="10" t="str">
        <x:v>Завершённый короткий просмотр около 6 мин. Североафриканский опыт расширяет географию исторической памяти.</x:v>
      </x:c>
      <x:c r="N1278" s="10" t="str">
        <x:v>Построить карту стран и хронологию; отделить свидетельство и комментарий.</x:v>
      </x:c>
      <x:c r="O1278" s="10" t="str">
        <x:v>В заголовке есть чувствительная тема: предварительный просмотр и добровольный выбор. Шоа; тяжёлый контент</x:v>
      </x:c>
      <x:c r="P1278" s="10" t="str">
        <x:v>Самостоятельное видео</x:v>
      </x:c>
      <x:c r="Q1278" s="9" t="str">
        <x:v>Нет</x:v>
      </x:c>
      <x:c r="R1278" s="9" t="str">
        <x:v>C078</x:v>
      </x:c>
      <x:c r="S1278" s="9" t="str">
        <x:v>C078</x:v>
      </x:c>
      <x:c r="T1278" s="10" t="str">
        <x:v>YadVashem יד ושם</x:v>
      </x:c>
      <x:c r="U1278" s="11" t="str">
        <x:v>https://www.youtube.com/watch?v=0-WDEbclEqM</x:v>
      </x:c>
      <x:c r="V1278" s="16" t="n">
        <x:v>46308</x:v>
      </x:c>
      <x:c r="W1278" s="16" t="n">
        <x:v>44508</x:v>
      </x:c>
      <x:c r="X1278" s="10" t="str">
        <x:v>Иврит предполагается по заголовку и источнику</x:v>
      </x:c>
      <x:c r="Y1278" s="10" t="str">
        <x:v>Ручная дорожка HE по метаданным</x:v>
      </x:c>
      <x:c r="Z1278" s="10" t="str">
        <x:v>Разрешено по метаданным</x:v>
      </x:c>
      <x:c r="AA1278" s="10" t="str">
        <x:v>Метаданные видео; воспроизведение и содержание не проверены</x:v>
      </x:c>
      <x:c r="AB1278" s="13" t="n">
        <x:f>IF(AND(ISNUMBER(H1278),ISNUMBER(W1278)),H1278/MAX(1,'Обзор'!$B$4-W1278),"")</x:f>
        <x:v>0.7622222222222222</x:v>
      </x:c>
      <x:c r="AC1278" s="17" t="str">
        <x:v>Не решено</x:v>
      </x:c>
      <x:c r="AD1278" s="17" t="str">
        <x:v>Не проверено</x:v>
      </x:c>
      <x:c r="AE1278" s="17" t="str">
        <x:v>Не проверено</x:v>
      </x:c>
      <x:c r="AF1278" s="17" t="str">
        <x:v>Не проверено</x:v>
      </x:c>
      <x:c r="AG1278" s="17" t="str">
        <x:v>Не решено</x:v>
      </x:c>
      <x:c r="AH1278" s="17" t="str">
        <x:v>Не проверено</x:v>
      </x:c>
      <x:c r="AI1278" s="10" t="str">
        <x:f>IF(AC1278="Отклонить","Отклонено",IF(AND(AC1278="Взять",COUNTIFS(AD1278:AH1278,"Да")=5),"Готово","Нужна редактура"))</x:f>
        <x:v>Нужна редактура</x:v>
      </x:c>
      <x:c r="AJ1278" s="17" t="str"/>
      <x:c r="AK1278" s="9" t="str">
        <x:v>https://www.youtube.com/playlist?list=PLVA6iCeBK_XJoNxxDmjtCCtMS5MtB_2dA</x:v>
      </x:c>
      <x:c r="AL1278" s="9" t="n">
        <x:v>8</x:v>
      </x:c>
      <x:c r="AM1278" s="9"/>
      <x:c r="AN1278" s="9" t="n">
        <x:v>0</x:v>
      </x:c>
    </x:row>
    <x:row r="1279" ht="60" customHeight="1">
      <x:c r="A1279" s="9" t="str">
        <x:v>QtCJwKHXrws</x:v>
      </x:c>
      <x:c r="B1279" s="10" t="str">
        <x:v>הקהילה היהודית בתוניסיה תחת הכיבוש הגרמני | גורלן של קהילות יהודיות בשואה</x:v>
      </x:c>
      <x:c r="C1279" s="10" t="str">
        <x:v>История общин и Шоа</x:v>
      </x:c>
      <x:c r="D1279" s="9" t="str">
        <x:v>Память</x:v>
      </x:c>
      <x:c r="E1279" s="10" t="str">
        <x:v>История; общины; взрослые</x:v>
      </x:c>
      <x:c r="F1279" s="10" t="str">
        <x:v>B2–C1 (гипотеза)</x:v>
      </x:c>
      <x:c r="G1279" s="12" t="n">
        <x:v>9.6</x:v>
      </x:c>
      <x:c r="H1279" s="14" t="n">
        <x:v>9331</x:v>
      </x:c>
      <x:c r="I1279" s="15" t="str">
        <x:v>Точный счётчик метаданных видео</x:v>
      </x:c>
      <x:c r="J1279" s="14" t="n">
        <x:v>9300</x:v>
      </x:c>
      <x:c r="K1279" s="14" t="n">
        <x:v>1650</x:v>
      </x:c>
      <x:c r="L1279" s="12" t="n">
        <x:f>IF(COUNT(J1279:K1279)=2,IF(K1279=0,"",J1279/K1279),"")</x:f>
        <x:v>5.636363636363637</x:v>
      </x:c>
      <x:c r="M1279" s="10" t="str">
        <x:v>Завершённый короткий просмотр около 10 мин. Просмотры в списке выше медианы выборки этого цикла в 5.64 раза. Североафриканский опыт расширяет географию исторической памяти.</x:v>
      </x:c>
      <x:c r="N1279" s="10" t="str">
        <x:v>Построить карту стран и хронологию; отделить свидетельство и комментарий.</x:v>
      </x:c>
      <x:c r="O1279" s="10" t="str">
        <x:v>В заголовке есть чувствительная тема: предварительный просмотр и добровольный выбор. Шоа; тяжёлый контент</x:v>
      </x:c>
      <x:c r="P1279" s="10" t="str">
        <x:v>Самостоятельное видео</x:v>
      </x:c>
      <x:c r="Q1279" s="9" t="str">
        <x:v>Нет</x:v>
      </x:c>
      <x:c r="R1279" s="9" t="str">
        <x:v>C078</x:v>
      </x:c>
      <x:c r="S1279" s="9" t="str">
        <x:v>C078</x:v>
      </x:c>
      <x:c r="T1279" s="10" t="str">
        <x:v>YadVashem יד ושם</x:v>
      </x:c>
      <x:c r="U1279" s="11" t="str">
        <x:v>https://www.youtube.com/watch?v=QtCJwKHXrws</x:v>
      </x:c>
      <x:c r="V1279" s="16" t="n">
        <x:v>46308</x:v>
      </x:c>
      <x:c r="W1279" s="16" t="n">
        <x:v>44508</x:v>
      </x:c>
      <x:c r="X1279" s="10" t="str">
        <x:v>Иврит предполагается по заголовку и источнику</x:v>
      </x:c>
      <x:c r="Y1279" s="10" t="str">
        <x:v>Ручная дорожка HE по метаданным</x:v>
      </x:c>
      <x:c r="Z1279" s="10" t="str">
        <x:v>Разрешено по метаданным</x:v>
      </x:c>
      <x:c r="AA1279" s="10" t="str">
        <x:v>Метаданные видео; воспроизведение и содержание не проверены</x:v>
      </x:c>
      <x:c r="AB1279" s="13" t="n">
        <x:f>IF(AND(ISNUMBER(H1279),ISNUMBER(W1279)),H1279/MAX(1,'Обзор'!$B$4-W1279),"")</x:f>
        <x:v>5.183888888888889</x:v>
      </x:c>
      <x:c r="AC1279" s="17" t="str">
        <x:v>Не решено</x:v>
      </x:c>
      <x:c r="AD1279" s="17" t="str">
        <x:v>Не проверено</x:v>
      </x:c>
      <x:c r="AE1279" s="17" t="str">
        <x:v>Не проверено</x:v>
      </x:c>
      <x:c r="AF1279" s="17" t="str">
        <x:v>Не проверено</x:v>
      </x:c>
      <x:c r="AG1279" s="17" t="str">
        <x:v>Не решено</x:v>
      </x:c>
      <x:c r="AH1279" s="17" t="str">
        <x:v>Не проверено</x:v>
      </x:c>
      <x:c r="AI1279" s="10" t="str">
        <x:f>IF(AC1279="Отклонить","Отклонено",IF(AND(AC1279="Взять",COUNTIFS(AD1279:AH1279,"Да")=5),"Готово","Нужна редактура"))</x:f>
        <x:v>Нужна редактура</x:v>
      </x:c>
      <x:c r="AJ1279" s="17" t="str"/>
      <x:c r="AK1279" s="9" t="str">
        <x:v>https://www.youtube.com/playlist?list=PLVA6iCeBK_XJoNxxDmjtCCtMS5MtB_2dA</x:v>
      </x:c>
      <x:c r="AL1279" s="9" t="n">
        <x:v>9</x:v>
      </x:c>
      <x:c r="AM1279" s="9"/>
      <x:c r="AN1279" s="9" t="n">
        <x:v>0</x:v>
      </x:c>
    </x:row>
    <x:row r="1280" ht="60" customHeight="1">
      <x:c r="A1280" s="9" t="str">
        <x:v>MIkkWHEQQA0</x:v>
      </x:c>
      <x:c r="B1280" s="10" t="str">
        <x:v>המחתרת היהודית בצפון אפריקה במלחמת העולם השנייה | גורלן של קהילות יהודיות בשואה</x:v>
      </x:c>
      <x:c r="C1280" s="10" t="str">
        <x:v>История общин и Шоа</x:v>
      </x:c>
      <x:c r="D1280" s="9" t="str">
        <x:v>Память</x:v>
      </x:c>
      <x:c r="E1280" s="10" t="str">
        <x:v>История; общины; взрослые</x:v>
      </x:c>
      <x:c r="F1280" s="10" t="str">
        <x:v>B2–C1 (гипотеза)</x:v>
      </x:c>
      <x:c r="G1280" s="12" t="n">
        <x:v>5.5</x:v>
      </x:c>
      <x:c r="H1280" s="14" t="n">
        <x:v>2362</x:v>
      </x:c>
      <x:c r="I1280" s="15" t="str">
        <x:v>Точный счётчик метаданных видео</x:v>
      </x:c>
      <x:c r="J1280" s="14" t="n">
        <x:v>2300</x:v>
      </x:c>
      <x:c r="K1280" s="14" t="n">
        <x:v>1650</x:v>
      </x:c>
      <x:c r="L1280" s="12" t="n">
        <x:f>IF(COUNT(J1280:K1280)=2,IF(K1280=0,"",J1280/K1280),"")</x:f>
        <x:v>1.393939393939394</x:v>
      </x:c>
      <x:c r="M1280" s="10" t="str">
        <x:v>Завершённый короткий просмотр около 6 мин. Североафриканский опыт расширяет географию исторической памяти.</x:v>
      </x:c>
      <x:c r="N1280" s="10" t="str">
        <x:v>Построить карту стран и хронологию; отделить свидетельство и комментарий.</x:v>
      </x:c>
      <x:c r="O1280" s="10" t="str">
        <x:v>В заголовке есть чувствительная тема: предварительный просмотр и добровольный выбор. Шоа; тяжёлый контент</x:v>
      </x:c>
      <x:c r="P1280" s="10" t="str">
        <x:v>Самостоятельное видео</x:v>
      </x:c>
      <x:c r="Q1280" s="9" t="str">
        <x:v>Нет</x:v>
      </x:c>
      <x:c r="R1280" s="9" t="str">
        <x:v>C078</x:v>
      </x:c>
      <x:c r="S1280" s="9" t="str">
        <x:v>C078</x:v>
      </x:c>
      <x:c r="T1280" s="10" t="str">
        <x:v>YadVashem יד ושם</x:v>
      </x:c>
      <x:c r="U1280" s="11" t="str">
        <x:v>https://www.youtube.com/watch?v=MIkkWHEQQA0</x:v>
      </x:c>
      <x:c r="V1280" s="16" t="n">
        <x:v>46308</x:v>
      </x:c>
      <x:c r="W1280" s="16" t="n">
        <x:v>44508</x:v>
      </x:c>
      <x:c r="X1280" s="10" t="str">
        <x:v>Иврит предполагается по заголовку и источнику</x:v>
      </x:c>
      <x:c r="Y1280" s="10" t="str">
        <x:v>Ручная дорожка HE по метаданным</x:v>
      </x:c>
      <x:c r="Z1280" s="10" t="str">
        <x:v>Разрешено по метаданным</x:v>
      </x:c>
      <x:c r="AA1280" s="10" t="str">
        <x:v>Метаданные видео; воспроизведение и содержание не проверены</x:v>
      </x:c>
      <x:c r="AB1280" s="13" t="n">
        <x:f>IF(AND(ISNUMBER(H1280),ISNUMBER(W1280)),H1280/MAX(1,'Обзор'!$B$4-W1280),"")</x:f>
        <x:v>1.3122222222222222</x:v>
      </x:c>
      <x:c r="AC1280" s="17" t="str">
        <x:v>Не решено</x:v>
      </x:c>
      <x:c r="AD1280" s="17" t="str">
        <x:v>Не проверено</x:v>
      </x:c>
      <x:c r="AE1280" s="17" t="str">
        <x:v>Не проверено</x:v>
      </x:c>
      <x:c r="AF1280" s="17" t="str">
        <x:v>Не проверено</x:v>
      </x:c>
      <x:c r="AG1280" s="17" t="str">
        <x:v>Не решено</x:v>
      </x:c>
      <x:c r="AH1280" s="17" t="str">
        <x:v>Не проверено</x:v>
      </x:c>
      <x:c r="AI1280" s="10" t="str">
        <x:f>IF(AC1280="Отклонить","Отклонено",IF(AND(AC1280="Взять",COUNTIFS(AD1280:AH1280,"Да")=5),"Готово","Нужна редактура"))</x:f>
        <x:v>Нужна редактура</x:v>
      </x:c>
      <x:c r="AJ1280" s="17" t="str"/>
      <x:c r="AK1280" s="9" t="str">
        <x:v>https://www.youtube.com/playlist?list=PLVA6iCeBK_XJoNxxDmjtCCtMS5MtB_2dA</x:v>
      </x:c>
      <x:c r="AL1280" s="9" t="n">
        <x:v>10</x:v>
      </x:c>
      <x:c r="AM1280" s="9"/>
      <x:c r="AN1280" s="9" t="n">
        <x:v>0</x:v>
      </x:c>
    </x:row>
    <x:row r="1281" ht="60" customHeight="1">
      <x:c r="A1281" s="9" t="str">
        <x:v>RPN0UmdeKB0</x:v>
      </x:c>
      <x:c r="B1281" s="10" t="str">
        <x:v>שנות ה-80 | מתגעגע: כוכבי שנות ה-80 בביצוע ספונטני לשיר של אייל גולן</x:v>
      </x:c>
      <x:c r="C1281" s="10" t="str">
        <x:v>Семья и культурная память</x:v>
      </x:c>
      <x:c r="D1281" s="9" t="str">
        <x:v>Сериал</x:v>
      </x:c>
      <x:c r="E1281" s="10" t="str">
        <x:v>Сериалы; мизрахи-культура; ностальгия</x:v>
      </x:c>
      <x:c r="F1281" s="10" t="str">
        <x:v>B2–C1 (гипотеза)</x:v>
      </x:c>
      <x:c r="G1281" s="12" t="n">
        <x:v>1</x:v>
      </x:c>
      <x:c r="H1281" s="14" t="n">
        <x:v>119000</x:v>
      </x:c>
      <x:c r="I1281" s="15" t="str">
        <x:v>Округлённый счётчик в списке YouTube</x:v>
      </x:c>
      <x:c r="J1281" s="14" t="n">
        <x:v>119000</x:v>
      </x:c>
      <x:c r="K1281" s="14" t="n">
        <x:v>198000</x:v>
      </x:c>
      <x:c r="L1281" s="12" t="n">
        <x:f>IF(COUNT(J1281:K1281)=2,IF(K1281=0,"",J1281/K1281),"")</x:f>
        <x:v>0.601010101010101</x:v>
      </x:c>
      <x:c r="M1281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81" s="10" t="str">
        <x:v>Выбрать диалог; объяснить бытовую отсылку и шутку.</x:v>
      </x:c>
      <x:c r="O1281" s="10" t="str">
        <x:v>Плейлист может содержать только фрагменты; полный выпуск проверяется отдельно</x:v>
      </x:c>
      <x:c r="P1281" s="10" t="str">
        <x:v>Фрагмент сериала</x:v>
      </x:c>
      <x:c r="Q1281" s="9" t="str">
        <x:v>Нет</x:v>
      </x:c>
      <x:c r="R1281" s="9" t="str">
        <x:v>C079</x:v>
      </x:c>
      <x:c r="S1281" s="9" t="str">
        <x:v>C079</x:v>
      </x:c>
      <x:c r="T1281" s="10" t="str">
        <x:v>רשת 13</x:v>
      </x:c>
      <x:c r="U1281" s="11" t="str">
        <x:v>https://www.youtube.com/watch?v=RPN0UmdeKB0</x:v>
      </x:c>
      <x:c r="V1281" s="16" t="n">
        <x:v>46308</x:v>
      </x:c>
      <x:c r="W1281" s="16"/>
      <x:c r="X1281" s="10" t="str">
        <x:v>Иврит предполагается по заголовку и источнику</x:v>
      </x:c>
      <x:c r="Y1281" s="10" t="str">
        <x:v>Не проверено</x:v>
      </x:c>
      <x:c r="Z1281" s="10" t="str">
        <x:v>Не проверено</x:v>
      </x:c>
      <x:c r="AA1281" s="10" t="str">
        <x:v>Метаданные списка; видео не просмотрено</x:v>
      </x:c>
      <x:c r="AB1281" s="13" t="str">
        <x:f>IF(AND(ISNUMBER(H1281),ISNUMBER(W1281)),H1281/MAX(1,'Обзор'!$B$4-W1281),"")</x:f>
      </x:c>
      <x:c r="AC1281" s="17" t="str">
        <x:v>Не решено</x:v>
      </x:c>
      <x:c r="AD1281" s="17" t="str">
        <x:v>Не проверено</x:v>
      </x:c>
      <x:c r="AE1281" s="17" t="str">
        <x:v>Не проверено</x:v>
      </x:c>
      <x:c r="AF1281" s="17" t="str">
        <x:v>Не проверено</x:v>
      </x:c>
      <x:c r="AG1281" s="17" t="str">
        <x:v>Не решено</x:v>
      </x:c>
      <x:c r="AH1281" s="17" t="str">
        <x:v>Не проверено</x:v>
      </x:c>
      <x:c r="AI1281" s="10" t="str">
        <x:f>IF(AC1281="Отклонить","Отклонено",IF(AND(AC1281="Взять",COUNTIFS(AD1281:AH1281,"Да")=5),"Готово","Нужна редактура"))</x:f>
        <x:v>Нужна редактура</x:v>
      </x:c>
      <x:c r="AJ1281" s="17" t="str"/>
      <x:c r="AK1281" s="9" t="str">
        <x:v>https://www.youtube.com/playlist?list=PL5tTMlIkxhYclnhSKHgM3iDpxmLjyasMp</x:v>
      </x:c>
      <x:c r="AL1281" s="9" t="n">
        <x:v>2</x:v>
      </x:c>
      <x:c r="AM1281" s="9"/>
      <x:c r="AN1281" s="9"/>
    </x:row>
    <x:row r="1282" ht="60" customHeight="1">
      <x:c r="A1282" s="9" t="str">
        <x:v>Beit8NxZh0o</x:v>
      </x:c>
      <x:c r="B1282" s="10" t="str">
        <x:v>שנות ה-80 | "ממוקה לא הולכת בעמוקה!"</x:v>
      </x:c>
      <x:c r="C1282" s="10" t="str">
        <x:v>Семья и культурная память</x:v>
      </x:c>
      <x:c r="D1282" s="9" t="str">
        <x:v>Сериал</x:v>
      </x:c>
      <x:c r="E1282" s="10" t="str">
        <x:v>Сериалы; мизрахи-культура; ностальгия</x:v>
      </x:c>
      <x:c r="F1282" s="10" t="str">
        <x:v>B2–C1 (гипотеза)</x:v>
      </x:c>
      <x:c r="G1282" s="12" t="n">
        <x:v>1.5</x:v>
      </x:c>
      <x:c r="H1282" s="14" t="n">
        <x:v>323000</x:v>
      </x:c>
      <x:c r="I1282" s="15" t="str">
        <x:v>Округлённый счётчик в списке YouTube</x:v>
      </x:c>
      <x:c r="J1282" s="14" t="n">
        <x:v>323000</x:v>
      </x:c>
      <x:c r="K1282" s="14" t="n">
        <x:v>198000</x:v>
      </x:c>
      <x:c r="L1282" s="12" t="n">
        <x:f>IF(COUNT(J1282:K1282)=2,IF(K1282=0,"",J1282/K1282),"")</x:f>
        <x:v>1.6313131313131313</x:v>
      </x:c>
      <x:c r="M1282" s="10" t="str">
        <x:v>Сценка из сериала; полезна для короткого разбора, не заменяет полную серию. Просмотры в списке выше медианы выборки этого цикла в 1.63 раза. Семейная комедия добавляет ностальгию и культурный контекст мизрахи. Важная альтернатива сериалам Kan.</x:v>
      </x:c>
      <x:c r="N1282" s="10" t="str">
        <x:v>Выбрать диалог; объяснить бытовую отсылку и шутку.</x:v>
      </x:c>
      <x:c r="O1282" s="10" t="str">
        <x:v>Плейлист может содержать только фрагменты; полный выпуск проверяется отдельно</x:v>
      </x:c>
      <x:c r="P1282" s="10" t="str">
        <x:v>Фрагмент сериала</x:v>
      </x:c>
      <x:c r="Q1282" s="9" t="str">
        <x:v>Нет</x:v>
      </x:c>
      <x:c r="R1282" s="9" t="str">
        <x:v>C079</x:v>
      </x:c>
      <x:c r="S1282" s="9" t="str">
        <x:v>C079</x:v>
      </x:c>
      <x:c r="T1282" s="10" t="str">
        <x:v>רשת 13</x:v>
      </x:c>
      <x:c r="U1282" s="11" t="str">
        <x:v>https://www.youtube.com/watch?v=Beit8NxZh0o</x:v>
      </x:c>
      <x:c r="V1282" s="16" t="n">
        <x:v>46308</x:v>
      </x:c>
      <x:c r="W1282" s="16"/>
      <x:c r="X1282" s="10" t="str">
        <x:v>Иврит предполагается по заголовку и источнику</x:v>
      </x:c>
      <x:c r="Y1282" s="10" t="str">
        <x:v>Не проверено</x:v>
      </x:c>
      <x:c r="Z1282" s="10" t="str">
        <x:v>Не проверено</x:v>
      </x:c>
      <x:c r="AA1282" s="10" t="str">
        <x:v>Метаданные списка; видео не просмотрено</x:v>
      </x:c>
      <x:c r="AB1282" s="13" t="str">
        <x:f>IF(AND(ISNUMBER(H1282),ISNUMBER(W1282)),H1282/MAX(1,'Обзор'!$B$4-W1282),"")</x:f>
      </x:c>
      <x:c r="AC1282" s="17" t="str">
        <x:v>Не решено</x:v>
      </x:c>
      <x:c r="AD1282" s="17" t="str">
        <x:v>Не проверено</x:v>
      </x:c>
      <x:c r="AE1282" s="17" t="str">
        <x:v>Не проверено</x:v>
      </x:c>
      <x:c r="AF1282" s="17" t="str">
        <x:v>Не проверено</x:v>
      </x:c>
      <x:c r="AG1282" s="17" t="str">
        <x:v>Не решено</x:v>
      </x:c>
      <x:c r="AH1282" s="17" t="str">
        <x:v>Не проверено</x:v>
      </x:c>
      <x:c r="AI1282" s="10" t="str">
        <x:f>IF(AC1282="Отклонить","Отклонено",IF(AND(AC1282="Взять",COUNTIFS(AD1282:AH1282,"Да")=5),"Готово","Нужна редактура"))</x:f>
        <x:v>Нужна редактура</x:v>
      </x:c>
      <x:c r="AJ1282" s="17" t="str"/>
      <x:c r="AK1282" s="9" t="str">
        <x:v>https://www.youtube.com/playlist?list=PL5tTMlIkxhYclnhSKHgM3iDpxmLjyasMp</x:v>
      </x:c>
      <x:c r="AL1282" s="9" t="n">
        <x:v>3</x:v>
      </x:c>
      <x:c r="AM1282" s="9"/>
      <x:c r="AN1282" s="9"/>
    </x:row>
    <x:row r="1283" ht="60" customHeight="1">
      <x:c r="A1283" s="9" t="str">
        <x:v>uU4YfZ--9_Y</x:v>
      </x:c>
      <x:c r="B1283" s="10" t="str">
        <x:v>שנות ה-80 | זה מה שקורה כשמפירים נדר במרוקו</x:v>
      </x:c>
      <x:c r="C1283" s="10" t="str">
        <x:v>Семья и культурная память</x:v>
      </x:c>
      <x:c r="D1283" s="9" t="str">
        <x:v>Сериал</x:v>
      </x:c>
      <x:c r="E1283" s="10" t="str">
        <x:v>Сериалы; мизрахи-культура; ностальгия</x:v>
      </x:c>
      <x:c r="F1283" s="10" t="str">
        <x:v>B2–C1 (гипотеза)</x:v>
      </x:c>
      <x:c r="G1283" s="12" t="n">
        <x:v>1.1</x:v>
      </x:c>
      <x:c r="H1283" s="14" t="n">
        <x:v>126000</x:v>
      </x:c>
      <x:c r="I1283" s="15" t="str">
        <x:v>Округлённый счётчик в списке YouTube</x:v>
      </x:c>
      <x:c r="J1283" s="14" t="n">
        <x:v>126000</x:v>
      </x:c>
      <x:c r="K1283" s="14" t="n">
        <x:v>198000</x:v>
      </x:c>
      <x:c r="L1283" s="12" t="n">
        <x:f>IF(COUNT(J1283:K1283)=2,IF(K1283=0,"",J1283/K1283),"")</x:f>
        <x:v>0.6363636363636364</x:v>
      </x:c>
      <x:c r="M1283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83" s="10" t="str">
        <x:v>Выбрать диалог; объяснить бытовую отсылку и шутку.</x:v>
      </x:c>
      <x:c r="O1283" s="10" t="str">
        <x:v>Плейлист может содержать только фрагменты; полный выпуск проверяется отдельно</x:v>
      </x:c>
      <x:c r="P1283" s="10" t="str">
        <x:v>Фрагмент сериала</x:v>
      </x:c>
      <x:c r="Q1283" s="9" t="str">
        <x:v>Нет</x:v>
      </x:c>
      <x:c r="R1283" s="9" t="str">
        <x:v>C079</x:v>
      </x:c>
      <x:c r="S1283" s="9" t="str">
        <x:v>C079</x:v>
      </x:c>
      <x:c r="T1283" s="10" t="str">
        <x:v>רשת 13</x:v>
      </x:c>
      <x:c r="U1283" s="11" t="str">
        <x:v>https://www.youtube.com/watch?v=uU4YfZ--9_Y</x:v>
      </x:c>
      <x:c r="V1283" s="16" t="n">
        <x:v>46308</x:v>
      </x:c>
      <x:c r="W1283" s="16"/>
      <x:c r="X1283" s="10" t="str">
        <x:v>Иврит предполагается по заголовку и источнику</x:v>
      </x:c>
      <x:c r="Y1283" s="10" t="str">
        <x:v>Не проверено</x:v>
      </x:c>
      <x:c r="Z1283" s="10" t="str">
        <x:v>Не проверено</x:v>
      </x:c>
      <x:c r="AA1283" s="10" t="str">
        <x:v>Метаданные списка; видео не просмотрено</x:v>
      </x:c>
      <x:c r="AB1283" s="13" t="str">
        <x:f>IF(AND(ISNUMBER(H1283),ISNUMBER(W1283)),H1283/MAX(1,'Обзор'!$B$4-W1283),"")</x:f>
      </x:c>
      <x:c r="AC1283" s="17" t="str">
        <x:v>Не решено</x:v>
      </x:c>
      <x:c r="AD1283" s="17" t="str">
        <x:v>Не проверено</x:v>
      </x:c>
      <x:c r="AE1283" s="17" t="str">
        <x:v>Не проверено</x:v>
      </x:c>
      <x:c r="AF1283" s="17" t="str">
        <x:v>Не проверено</x:v>
      </x:c>
      <x:c r="AG1283" s="17" t="str">
        <x:v>Не решено</x:v>
      </x:c>
      <x:c r="AH1283" s="17" t="str">
        <x:v>Не проверено</x:v>
      </x:c>
      <x:c r="AI1283" s="10" t="str">
        <x:f>IF(AC1283="Отклонить","Отклонено",IF(AND(AC1283="Взять",COUNTIFS(AD1283:AH1283,"Да")=5),"Готово","Нужна редактура"))</x:f>
        <x:v>Нужна редактура</x:v>
      </x:c>
      <x:c r="AJ1283" s="17" t="str"/>
      <x:c r="AK1283" s="9" t="str">
        <x:v>https://www.youtube.com/playlist?list=PL5tTMlIkxhYclnhSKHgM3iDpxmLjyasMp</x:v>
      </x:c>
      <x:c r="AL1283" s="9" t="n">
        <x:v>4</x:v>
      </x:c>
      <x:c r="AM1283" s="9"/>
      <x:c r="AN1283" s="9"/>
    </x:row>
    <x:row r="1284" ht="60" customHeight="1">
      <x:c r="A1284" s="9" t="str">
        <x:v>noJgxqUBlzw</x:v>
      </x:c>
      <x:c r="B1284" s="10" t="str">
        <x:v>שנות ה-80 | "למה אתה מפריע לנו לשחק חגורת הזבל כלב בן כלב?"</x:v>
      </x:c>
      <x:c r="C1284" s="10" t="str">
        <x:v>Семья и культурная память</x:v>
      </x:c>
      <x:c r="D1284" s="9" t="str">
        <x:v>Сериал</x:v>
      </x:c>
      <x:c r="E1284" s="10" t="str">
        <x:v>Сериалы; мизрахи-культура; ностальгия</x:v>
      </x:c>
      <x:c r="F1284" s="10" t="str">
        <x:v>B2–C1 (гипотеза)</x:v>
      </x:c>
      <x:c r="G1284" s="12" t="n">
        <x:v>2</x:v>
      </x:c>
      <x:c r="H1284" s="14" t="n">
        <x:v>357000</x:v>
      </x:c>
      <x:c r="I1284" s="15" t="str">
        <x:v>Округлённый счётчик в списке YouTube</x:v>
      </x:c>
      <x:c r="J1284" s="14" t="n">
        <x:v>357000</x:v>
      </x:c>
      <x:c r="K1284" s="14" t="n">
        <x:v>198000</x:v>
      </x:c>
      <x:c r="L1284" s="12" t="n">
        <x:f>IF(COUNT(J1284:K1284)=2,IF(K1284=0,"",J1284/K1284),"")</x:f>
        <x:v>1.803030303030303</x:v>
      </x:c>
      <x:c r="M1284" s="10" t="str">
        <x:v>Сценка из сериала; полезна для короткого разбора, не заменяет полную серию. Просмотры в списке выше медианы выборки этого цикла в 1.8 раза. Семейная комедия добавляет ностальгию и культурный контекст мизрахи. Важная альтернатива сериалам Kan.</x:v>
      </x:c>
      <x:c r="N1284" s="10" t="str">
        <x:v>Выбрать диалог; объяснить бытовую отсылку и шутку.</x:v>
      </x:c>
      <x:c r="O1284" s="10" t="str">
        <x:v>Плейлист может содержать только фрагменты; полный выпуск проверяется отдельно</x:v>
      </x:c>
      <x:c r="P1284" s="10" t="str">
        <x:v>Фрагмент сериала</x:v>
      </x:c>
      <x:c r="Q1284" s="9" t="str">
        <x:v>Нет</x:v>
      </x:c>
      <x:c r="R1284" s="9" t="str">
        <x:v>C079</x:v>
      </x:c>
      <x:c r="S1284" s="9" t="str">
        <x:v>C079</x:v>
      </x:c>
      <x:c r="T1284" s="10" t="str">
        <x:v>רשת 13</x:v>
      </x:c>
      <x:c r="U1284" s="11" t="str">
        <x:v>https://www.youtube.com/watch?v=noJgxqUBlzw</x:v>
      </x:c>
      <x:c r="V1284" s="16" t="n">
        <x:v>46308</x:v>
      </x:c>
      <x:c r="W1284" s="16"/>
      <x:c r="X1284" s="10" t="str">
        <x:v>Иврит предполагается по заголовку и источнику</x:v>
      </x:c>
      <x:c r="Y1284" s="10" t="str">
        <x:v>Не проверено</x:v>
      </x:c>
      <x:c r="Z1284" s="10" t="str">
        <x:v>Не проверено</x:v>
      </x:c>
      <x:c r="AA1284" s="10" t="str">
        <x:v>Метаданные списка; видео не просмотрено</x:v>
      </x:c>
      <x:c r="AB1284" s="13" t="str">
        <x:f>IF(AND(ISNUMBER(H1284),ISNUMBER(W1284)),H1284/MAX(1,'Обзор'!$B$4-W1284),"")</x:f>
      </x:c>
      <x:c r="AC1284" s="17" t="str">
        <x:v>Не решено</x:v>
      </x:c>
      <x:c r="AD1284" s="17" t="str">
        <x:v>Не проверено</x:v>
      </x:c>
      <x:c r="AE1284" s="17" t="str">
        <x:v>Не проверено</x:v>
      </x:c>
      <x:c r="AF1284" s="17" t="str">
        <x:v>Не проверено</x:v>
      </x:c>
      <x:c r="AG1284" s="17" t="str">
        <x:v>Не решено</x:v>
      </x:c>
      <x:c r="AH1284" s="17" t="str">
        <x:v>Не проверено</x:v>
      </x:c>
      <x:c r="AI1284" s="10" t="str">
        <x:f>IF(AC1284="Отклонить","Отклонено",IF(AND(AC1284="Взять",COUNTIFS(AD1284:AH1284,"Да")=5),"Готово","Нужна редактура"))</x:f>
        <x:v>Нужна редактура</x:v>
      </x:c>
      <x:c r="AJ1284" s="17" t="str"/>
      <x:c r="AK1284" s="9" t="str">
        <x:v>https://www.youtube.com/playlist?list=PL5tTMlIkxhYclnhSKHgM3iDpxmLjyasMp</x:v>
      </x:c>
      <x:c r="AL1284" s="9" t="n">
        <x:v>5</x:v>
      </x:c>
      <x:c r="AM1284" s="9"/>
      <x:c r="AN1284" s="9"/>
    </x:row>
    <x:row r="1285" ht="60" customHeight="1">
      <x:c r="A1285" s="9" t="str">
        <x:v>ZnXQpZGVJOA</x:v>
      </x:c>
      <x:c r="B1285" s="10" t="str">
        <x:v>שנות ה-80 | מורדי: "ברור שזה הכיסא של הסנדק, מה חשבת שזה כיסא מפלט?"</x:v>
      </x:c>
      <x:c r="C1285" s="10" t="str">
        <x:v>Семья и культурная память</x:v>
      </x:c>
      <x:c r="D1285" s="9" t="str">
        <x:v>Сериал</x:v>
      </x:c>
      <x:c r="E1285" s="10" t="str">
        <x:v>Сериалы; мизрахи-культура; ностальгия</x:v>
      </x:c>
      <x:c r="F1285" s="10" t="str">
        <x:v>B2–C1 (гипотеза)</x:v>
      </x:c>
      <x:c r="G1285" s="12" t="n">
        <x:v>1.4</x:v>
      </x:c>
      <x:c r="H1285" s="14" t="n">
        <x:v>300000</x:v>
      </x:c>
      <x:c r="I1285" s="15" t="str">
        <x:v>Округлённый счётчик в списке YouTube</x:v>
      </x:c>
      <x:c r="J1285" s="14" t="n">
        <x:v>300000</x:v>
      </x:c>
      <x:c r="K1285" s="14" t="n">
        <x:v>198000</x:v>
      </x:c>
      <x:c r="L1285" s="12" t="n">
        <x:f>IF(COUNT(J1285:K1285)=2,IF(K1285=0,"",J1285/K1285),"")</x:f>
        <x:v>1.5151515151515151</x:v>
      </x:c>
      <x:c r="M1285" s="10" t="str">
        <x:v>Сценка из сериала; полезна для короткого разбора, не заменяет полную серию. Просмотры в списке выше медианы выборки этого цикла в 1.52 раза. Семейная комедия добавляет ностальгию и культурный контекст мизрахи. Важная альтернатива сериалам Kan.</x:v>
      </x:c>
      <x:c r="N1285" s="10" t="str">
        <x:v>Выбрать диалог; объяснить бытовую отсылку и шутку.</x:v>
      </x:c>
      <x:c r="O1285" s="10" t="str">
        <x:v>Плейлист может содержать только фрагменты; полный выпуск проверяется отдельно</x:v>
      </x:c>
      <x:c r="P1285" s="10" t="str">
        <x:v>Фрагмент сериала</x:v>
      </x:c>
      <x:c r="Q1285" s="9" t="str">
        <x:v>Нет</x:v>
      </x:c>
      <x:c r="R1285" s="9" t="str">
        <x:v>C079</x:v>
      </x:c>
      <x:c r="S1285" s="9" t="str">
        <x:v>C079</x:v>
      </x:c>
      <x:c r="T1285" s="10" t="str">
        <x:v>רשת 13</x:v>
      </x:c>
      <x:c r="U1285" s="11" t="str">
        <x:v>https://www.youtube.com/watch?v=ZnXQpZGVJOA</x:v>
      </x:c>
      <x:c r="V1285" s="16" t="n">
        <x:v>46308</x:v>
      </x:c>
      <x:c r="W1285" s="16"/>
      <x:c r="X1285" s="10" t="str">
        <x:v>Иврит предполагается по заголовку и источнику</x:v>
      </x:c>
      <x:c r="Y1285" s="10" t="str">
        <x:v>Не проверено</x:v>
      </x:c>
      <x:c r="Z1285" s="10" t="str">
        <x:v>Не проверено</x:v>
      </x:c>
      <x:c r="AA1285" s="10" t="str">
        <x:v>Метаданные списка; видео не просмотрено</x:v>
      </x:c>
      <x:c r="AB1285" s="13" t="str">
        <x:f>IF(AND(ISNUMBER(H1285),ISNUMBER(W1285)),H1285/MAX(1,'Обзор'!$B$4-W1285),"")</x:f>
      </x:c>
      <x:c r="AC1285" s="17" t="str">
        <x:v>Не решено</x:v>
      </x:c>
      <x:c r="AD1285" s="17" t="str">
        <x:v>Не проверено</x:v>
      </x:c>
      <x:c r="AE1285" s="17" t="str">
        <x:v>Не проверено</x:v>
      </x:c>
      <x:c r="AF1285" s="17" t="str">
        <x:v>Не проверено</x:v>
      </x:c>
      <x:c r="AG1285" s="17" t="str">
        <x:v>Не решено</x:v>
      </x:c>
      <x:c r="AH1285" s="17" t="str">
        <x:v>Не проверено</x:v>
      </x:c>
      <x:c r="AI1285" s="10" t="str">
        <x:f>IF(AC1285="Отклонить","Отклонено",IF(AND(AC1285="Взять",COUNTIFS(AD1285:AH1285,"Да")=5),"Готово","Нужна редактура"))</x:f>
        <x:v>Нужна редактура</x:v>
      </x:c>
      <x:c r="AJ1285" s="17" t="str"/>
      <x:c r="AK1285" s="9" t="str">
        <x:v>https://www.youtube.com/playlist?list=PL5tTMlIkxhYclnhSKHgM3iDpxmLjyasMp</x:v>
      </x:c>
      <x:c r="AL1285" s="9" t="n">
        <x:v>6</x:v>
      </x:c>
      <x:c r="AM1285" s="9"/>
      <x:c r="AN1285" s="9"/>
    </x:row>
    <x:row r="1286" ht="60" customHeight="1">
      <x:c r="A1286" s="9" t="str">
        <x:v>szOGfRppz6c</x:v>
      </x:c>
      <x:c r="B1286" s="10" t="str">
        <x:v>איפה הלכת סבתא מיזולדה? לסבתא מיזולדה שהיה לה שכפץ בלב</x:v>
      </x:c>
      <x:c r="C1286" s="10" t="str">
        <x:v>Семья и культурная память</x:v>
      </x:c>
      <x:c r="D1286" s="9" t="str">
        <x:v>Сериал</x:v>
      </x:c>
      <x:c r="E1286" s="10" t="str">
        <x:v>Сериалы; мизрахи-культура; ностальгия</x:v>
      </x:c>
      <x:c r="F1286" s="10" t="str">
        <x:v>B2–C1 (гипотеза)</x:v>
      </x:c>
      <x:c r="G1286" s="12" t="n">
        <x:v>1.1</x:v>
      </x:c>
      <x:c r="H1286" s="14" t="n">
        <x:v>144000</x:v>
      </x:c>
      <x:c r="I1286" s="15" t="str">
        <x:v>Округлённый счётчик в списке YouTube</x:v>
      </x:c>
      <x:c r="J1286" s="14" t="n">
        <x:v>144000</x:v>
      </x:c>
      <x:c r="K1286" s="14" t="n">
        <x:v>198000</x:v>
      </x:c>
      <x:c r="L1286" s="12" t="n">
        <x:f>IF(COUNT(J1286:K1286)=2,IF(K1286=0,"",J1286/K1286),"")</x:f>
        <x:v>0.7272727272727273</x:v>
      </x:c>
      <x:c r="M1286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86" s="10" t="str">
        <x:v>Выбрать диалог; объяснить бытовую отсылку и шутку.</x:v>
      </x:c>
      <x:c r="O1286" s="10" t="str">
        <x:v>Плейлист может содержать только фрагменты; полный выпуск проверяется отдельно</x:v>
      </x:c>
      <x:c r="P1286" s="10" t="str">
        <x:v>Фрагмент сериала</x:v>
      </x:c>
      <x:c r="Q1286" s="9" t="str">
        <x:v>Нет</x:v>
      </x:c>
      <x:c r="R1286" s="9" t="str">
        <x:v>C079</x:v>
      </x:c>
      <x:c r="S1286" s="9" t="str">
        <x:v>C079</x:v>
      </x:c>
      <x:c r="T1286" s="10" t="str">
        <x:v>רשת 13</x:v>
      </x:c>
      <x:c r="U1286" s="11" t="str">
        <x:v>https://www.youtube.com/watch?v=szOGfRppz6c</x:v>
      </x:c>
      <x:c r="V1286" s="16" t="n">
        <x:v>46308</x:v>
      </x:c>
      <x:c r="W1286" s="16"/>
      <x:c r="X1286" s="10" t="str">
        <x:v>Иврит предполагается по заголовку и источнику</x:v>
      </x:c>
      <x:c r="Y1286" s="10" t="str">
        <x:v>Не проверено</x:v>
      </x:c>
      <x:c r="Z1286" s="10" t="str">
        <x:v>Не проверено</x:v>
      </x:c>
      <x:c r="AA1286" s="10" t="str">
        <x:v>Метаданные списка; видео не просмотрено</x:v>
      </x:c>
      <x:c r="AB1286" s="13" t="str">
        <x:f>IF(AND(ISNUMBER(H1286),ISNUMBER(W1286)),H1286/MAX(1,'Обзор'!$B$4-W1286),"")</x:f>
      </x:c>
      <x:c r="AC1286" s="17" t="str">
        <x:v>Не решено</x:v>
      </x:c>
      <x:c r="AD1286" s="17" t="str">
        <x:v>Не проверено</x:v>
      </x:c>
      <x:c r="AE1286" s="17" t="str">
        <x:v>Не проверено</x:v>
      </x:c>
      <x:c r="AF1286" s="17" t="str">
        <x:v>Не проверено</x:v>
      </x:c>
      <x:c r="AG1286" s="17" t="str">
        <x:v>Не решено</x:v>
      </x:c>
      <x:c r="AH1286" s="17" t="str">
        <x:v>Не проверено</x:v>
      </x:c>
      <x:c r="AI1286" s="10" t="str">
        <x:f>IF(AC1286="Отклонить","Отклонено",IF(AND(AC1286="Взять",COUNTIFS(AD1286:AH1286,"Да")=5),"Готово","Нужна редактура"))</x:f>
        <x:v>Нужна редактура</x:v>
      </x:c>
      <x:c r="AJ1286" s="17" t="str"/>
      <x:c r="AK1286" s="9" t="str">
        <x:v>https://www.youtube.com/playlist?list=PL5tTMlIkxhYclnhSKHgM3iDpxmLjyasMp</x:v>
      </x:c>
      <x:c r="AL1286" s="9" t="n">
        <x:v>7</x:v>
      </x:c>
      <x:c r="AM1286" s="9"/>
      <x:c r="AN1286" s="9"/>
    </x:row>
    <x:row r="1287" ht="60" customHeight="1">
      <x:c r="A1287" s="9" t="str">
        <x:v>llEEnZ6GeE8</x:v>
      </x:c>
      <x:c r="B1287" s="10" t="str">
        <x:v>שנות ה-80 | "הייתי בהלוויה ואף אחת לא הרביצה לעצמה או הציעה לאלוהים שיקח אותה במקומה"</x:v>
      </x:c>
      <x:c r="C1287" s="10" t="str">
        <x:v>Семья и культурная память</x:v>
      </x:c>
      <x:c r="D1287" s="9" t="str">
        <x:v>Сериал</x:v>
      </x:c>
      <x:c r="E1287" s="10" t="str">
        <x:v>Сериалы; мизрахи-культура; ностальгия</x:v>
      </x:c>
      <x:c r="F1287" s="10" t="str">
        <x:v>B2–C1 (гипотеза)</x:v>
      </x:c>
      <x:c r="G1287" s="12" t="n">
        <x:v>1.2</x:v>
      </x:c>
      <x:c r="H1287" s="14" t="n">
        <x:v>97000</x:v>
      </x:c>
      <x:c r="I1287" s="15" t="str">
        <x:v>Округлённый счётчик в списке YouTube</x:v>
      </x:c>
      <x:c r="J1287" s="14" t="n">
        <x:v>97000</x:v>
      </x:c>
      <x:c r="K1287" s="14" t="n">
        <x:v>198000</x:v>
      </x:c>
      <x:c r="L1287" s="12" t="n">
        <x:f>IF(COUNT(J1287:K1287)=2,IF(K1287=0,"",J1287/K1287),"")</x:f>
        <x:v>0.4898989898989899</x:v>
      </x:c>
      <x:c r="M1287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Семейная комедия добавляет ностальгию и культурный контекст мизрахи. Важная альтернатива сериалам Kan.</x:v>
      </x:c>
      <x:c r="N1287" s="10" t="str">
        <x:v>Выбрать диалог; объяснить бытовую отсылку и шутку.</x:v>
      </x:c>
      <x:c r="O1287" s="10" t="str">
        <x:v>Плейлист может содержать только фрагменты; полный выпуск проверяется отдельно</x:v>
      </x:c>
      <x:c r="P1287" s="10" t="str">
        <x:v>Фрагмент сериала</x:v>
      </x:c>
      <x:c r="Q1287" s="9" t="str">
        <x:v>Нет</x:v>
      </x:c>
      <x:c r="R1287" s="9" t="str">
        <x:v>C079</x:v>
      </x:c>
      <x:c r="S1287" s="9" t="str">
        <x:v>C079</x:v>
      </x:c>
      <x:c r="T1287" s="10" t="str">
        <x:v>רשת 13</x:v>
      </x:c>
      <x:c r="U1287" s="11" t="str">
        <x:v>https://www.youtube.com/watch?v=llEEnZ6GeE8</x:v>
      </x:c>
      <x:c r="V1287" s="16" t="n">
        <x:v>46308</x:v>
      </x:c>
      <x:c r="W1287" s="16"/>
      <x:c r="X1287" s="10" t="str">
        <x:v>Иврит предполагается по заголовку и источнику</x:v>
      </x:c>
      <x:c r="Y1287" s="10" t="str">
        <x:v>Не проверено</x:v>
      </x:c>
      <x:c r="Z1287" s="10" t="str">
        <x:v>Не проверено</x:v>
      </x:c>
      <x:c r="AA1287" s="10" t="str">
        <x:v>Метаданные списка; видео не просмотрено</x:v>
      </x:c>
      <x:c r="AB1287" s="13" t="str">
        <x:f>IF(AND(ISNUMBER(H1287),ISNUMBER(W1287)),H1287/MAX(1,'Обзор'!$B$4-W1287),"")</x:f>
      </x:c>
      <x:c r="AC1287" s="17" t="str">
        <x:v>Не решено</x:v>
      </x:c>
      <x:c r="AD1287" s="17" t="str">
        <x:v>Не проверено</x:v>
      </x:c>
      <x:c r="AE1287" s="17" t="str">
        <x:v>Не проверено</x:v>
      </x:c>
      <x:c r="AF1287" s="17" t="str">
        <x:v>Не проверено</x:v>
      </x:c>
      <x:c r="AG1287" s="17" t="str">
        <x:v>Не решено</x:v>
      </x:c>
      <x:c r="AH1287" s="17" t="str">
        <x:v>Не проверено</x:v>
      </x:c>
      <x:c r="AI1287" s="10" t="str">
        <x:f>IF(AC1287="Отклонить","Отклонено",IF(AND(AC1287="Взять",COUNTIFS(AD1287:AH1287,"Да")=5),"Готово","Нужна редактура"))</x:f>
        <x:v>Нужна редактура</x:v>
      </x:c>
      <x:c r="AJ1287" s="17" t="str"/>
      <x:c r="AK1287" s="9" t="str">
        <x:v>https://www.youtube.com/playlist?list=PL5tTMlIkxhYclnhSKHgM3iDpxmLjyasMp</x:v>
      </x:c>
      <x:c r="AL1287" s="9" t="n">
        <x:v>8</x:v>
      </x:c>
      <x:c r="AM1287" s="9"/>
      <x:c r="AN1287" s="9"/>
    </x:row>
    <x:row r="1288" ht="60" customHeight="1">
      <x:c r="A1288" s="9" t="str">
        <x:v>zWq34abm0A8</x:v>
      </x:c>
      <x:c r="B1288" s="10" t="str">
        <x:v>שנות ה-80 | "אין על הזמרת הזאת סמנתה פוקס בעולם! מי ישמע מדונה, זמרת בלי שם משפחה"</x:v>
      </x:c>
      <x:c r="C1288" s="10" t="str">
        <x:v>Семья и культурная память</x:v>
      </x:c>
      <x:c r="D1288" s="9" t="str">
        <x:v>Сериал</x:v>
      </x:c>
      <x:c r="E1288" s="10" t="str">
        <x:v>Сериалы; мизрахи-культура; ностальгия</x:v>
      </x:c>
      <x:c r="F1288" s="10" t="str">
        <x:v>B2–C1 (гипотеза)</x:v>
      </x:c>
      <x:c r="G1288" s="12" t="n">
        <x:v>1</x:v>
      </x:c>
      <x:c r="H1288" s="14" t="n">
        <x:v>177000</x:v>
      </x:c>
      <x:c r="I1288" s="15" t="str">
        <x:v>Округлённый счётчик в списке YouTube</x:v>
      </x:c>
      <x:c r="J1288" s="14" t="n">
        <x:v>177000</x:v>
      </x:c>
      <x:c r="K1288" s="14" t="n">
        <x:v>198000</x:v>
      </x:c>
      <x:c r="L1288" s="12" t="n">
        <x:f>IF(COUNT(J1288:K1288)=2,IF(K1288=0,"",J1288/K1288),"")</x:f>
        <x:v>0.8939393939393939</x:v>
      </x:c>
      <x:c r="M1288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88" s="10" t="str">
        <x:v>Выбрать диалог; объяснить бытовую отсылку и шутку.</x:v>
      </x:c>
      <x:c r="O1288" s="10" t="str">
        <x:v>Плейлист может содержать только фрагменты; полный выпуск проверяется отдельно</x:v>
      </x:c>
      <x:c r="P1288" s="10" t="str">
        <x:v>Фрагмент сериала</x:v>
      </x:c>
      <x:c r="Q1288" s="9" t="str">
        <x:v>Нет</x:v>
      </x:c>
      <x:c r="R1288" s="9" t="str">
        <x:v>C079</x:v>
      </x:c>
      <x:c r="S1288" s="9" t="str">
        <x:v>C079</x:v>
      </x:c>
      <x:c r="T1288" s="10" t="str">
        <x:v>רשת 13</x:v>
      </x:c>
      <x:c r="U1288" s="11" t="str">
        <x:v>https://www.youtube.com/watch?v=zWq34abm0A8</x:v>
      </x:c>
      <x:c r="V1288" s="16" t="n">
        <x:v>46308</x:v>
      </x:c>
      <x:c r="W1288" s="16"/>
      <x:c r="X1288" s="10" t="str">
        <x:v>Иврит предполагается по заголовку и источнику</x:v>
      </x:c>
      <x:c r="Y1288" s="10" t="str">
        <x:v>Не проверено</x:v>
      </x:c>
      <x:c r="Z1288" s="10" t="str">
        <x:v>Не проверено</x:v>
      </x:c>
      <x:c r="AA1288" s="10" t="str">
        <x:v>Метаданные списка; видео не просмотрено</x:v>
      </x:c>
      <x:c r="AB1288" s="13" t="str">
        <x:f>IF(AND(ISNUMBER(H1288),ISNUMBER(W1288)),H1288/MAX(1,'Обзор'!$B$4-W1288),"")</x:f>
      </x:c>
      <x:c r="AC1288" s="17" t="str">
        <x:v>Не решено</x:v>
      </x:c>
      <x:c r="AD1288" s="17" t="str">
        <x:v>Не проверено</x:v>
      </x:c>
      <x:c r="AE1288" s="17" t="str">
        <x:v>Не проверено</x:v>
      </x:c>
      <x:c r="AF1288" s="17" t="str">
        <x:v>Не проверено</x:v>
      </x:c>
      <x:c r="AG1288" s="17" t="str">
        <x:v>Не решено</x:v>
      </x:c>
      <x:c r="AH1288" s="17" t="str">
        <x:v>Не проверено</x:v>
      </x:c>
      <x:c r="AI1288" s="10" t="str">
        <x:f>IF(AC1288="Отклонить","Отклонено",IF(AND(AC1288="Взять",COUNTIFS(AD1288:AH1288,"Да")=5),"Готово","Нужна редактура"))</x:f>
        <x:v>Нужна редактура</x:v>
      </x:c>
      <x:c r="AJ1288" s="17" t="str"/>
      <x:c r="AK1288" s="9" t="str">
        <x:v>https://www.youtube.com/playlist?list=PL5tTMlIkxhYclnhSKHgM3iDpxmLjyasMp</x:v>
      </x:c>
      <x:c r="AL1288" s="9" t="n">
        <x:v>9</x:v>
      </x:c>
      <x:c r="AM1288" s="9"/>
      <x:c r="AN1288" s="9"/>
    </x:row>
    <x:row r="1289" ht="60" customHeight="1">
      <x:c r="A1289" s="9" t="str">
        <x:v>_x3xujhtrd8</x:v>
      </x:c>
      <x:c r="B1289" s="10" t="str">
        <x:v>שנות ה-80 | "אתם יודעים מה היה לנו במרוקו? הכל היה!"</x:v>
      </x:c>
      <x:c r="C1289" s="10" t="str">
        <x:v>Семья и культурная память</x:v>
      </x:c>
      <x:c r="D1289" s="9" t="str">
        <x:v>Сериал</x:v>
      </x:c>
      <x:c r="E1289" s="10" t="str">
        <x:v>Сериалы; мизрахи-культура; ностальгия</x:v>
      </x:c>
      <x:c r="F1289" s="10" t="str">
        <x:v>B2–C1 (гипотеза)</x:v>
      </x:c>
      <x:c r="G1289" s="12" t="n">
        <x:v>1.8</x:v>
      </x:c>
      <x:c r="H1289" s="14" t="n">
        <x:v>158000</x:v>
      </x:c>
      <x:c r="I1289" s="15" t="str">
        <x:v>Округлённый счётчик в списке YouTube</x:v>
      </x:c>
      <x:c r="J1289" s="14" t="n">
        <x:v>158000</x:v>
      </x:c>
      <x:c r="K1289" s="14" t="n">
        <x:v>198000</x:v>
      </x:c>
      <x:c r="L1289" s="12" t="n">
        <x:f>IF(COUNT(J1289:K1289)=2,IF(K1289=0,"",J1289/K1289),"")</x:f>
        <x:v>0.797979797979798</x:v>
      </x:c>
      <x:c r="M1289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89" s="10" t="str">
        <x:v>Выбрать диалог; объяснить бытовую отсылку и шутку.</x:v>
      </x:c>
      <x:c r="O1289" s="10" t="str">
        <x:v>Плейлист может содержать только фрагменты; полный выпуск проверяется отдельно</x:v>
      </x:c>
      <x:c r="P1289" s="10" t="str">
        <x:v>Фрагмент сериала</x:v>
      </x:c>
      <x:c r="Q1289" s="9" t="str">
        <x:v>Нет</x:v>
      </x:c>
      <x:c r="R1289" s="9" t="str">
        <x:v>C079</x:v>
      </x:c>
      <x:c r="S1289" s="9" t="str">
        <x:v>C079, C079</x:v>
      </x:c>
      <x:c r="T1289" s="10" t="str">
        <x:v>רשת 13</x:v>
      </x:c>
      <x:c r="U1289" s="11" t="str">
        <x:v>https://www.youtube.com/watch?v=_x3xujhtrd8</x:v>
      </x:c>
      <x:c r="V1289" s="16" t="n">
        <x:v>46308</x:v>
      </x:c>
      <x:c r="W1289" s="16"/>
      <x:c r="X1289" s="10" t="str">
        <x:v>Иврит предполагается по заголовку и источнику</x:v>
      </x:c>
      <x:c r="Y1289" s="10" t="str">
        <x:v>Не проверено</x:v>
      </x:c>
      <x:c r="Z1289" s="10" t="str">
        <x:v>Не проверено</x:v>
      </x:c>
      <x:c r="AA1289" s="10" t="str">
        <x:v>Метаданные списка; видео не просмотрено</x:v>
      </x:c>
      <x:c r="AB1289" s="13" t="str">
        <x:f>IF(AND(ISNUMBER(H1289),ISNUMBER(W1289)),H1289/MAX(1,'Обзор'!$B$4-W1289),"")</x:f>
      </x:c>
      <x:c r="AC1289" s="17" t="str">
        <x:v>Не решено</x:v>
      </x:c>
      <x:c r="AD1289" s="17" t="str">
        <x:v>Не проверено</x:v>
      </x:c>
      <x:c r="AE1289" s="17" t="str">
        <x:v>Не проверено</x:v>
      </x:c>
      <x:c r="AF1289" s="17" t="str">
        <x:v>Не проверено</x:v>
      </x:c>
      <x:c r="AG1289" s="17" t="str">
        <x:v>Не решено</x:v>
      </x:c>
      <x:c r="AH1289" s="17" t="str">
        <x:v>Не проверено</x:v>
      </x:c>
      <x:c r="AI1289" s="10" t="str">
        <x:f>IF(AC1289="Отклонить","Отклонено",IF(AND(AC1289="Взять",COUNTIFS(AD1289:AH1289,"Да")=5),"Готово","Нужна редактура"))</x:f>
        <x:v>Нужна редактура</x:v>
      </x:c>
      <x:c r="AJ1289" s="17" t="str"/>
      <x:c r="AK1289" s="9" t="str">
        <x:v>https://www.youtube.com/playlist?list=PL5tTMlIkxhYclnhSKHgM3iDpxmLjyasMp</x:v>
      </x:c>
      <x:c r="AL1289" s="9" t="n">
        <x:v>10</x:v>
      </x:c>
      <x:c r="AM1289" s="9"/>
      <x:c r="AN1289" s="9"/>
    </x:row>
    <x:row r="1290" ht="60" customHeight="1">
      <x:c r="A1290" s="9" t="str">
        <x:v>Le53wv93vU0</x:v>
      </x:c>
      <x:c r="B1290" s="10" t="str">
        <x:v>שנות ה-80 | "זה בקבוק ערק שמי ששותה אותו עף כמו ספיידרמן!"</x:v>
      </x:c>
      <x:c r="C1290" s="10" t="str">
        <x:v>Семья и культурная память</x:v>
      </x:c>
      <x:c r="D1290" s="9" t="str">
        <x:v>Сериал</x:v>
      </x:c>
      <x:c r="E1290" s="10" t="str">
        <x:v>Сериалы; мизрахи-культура; ностальгия</x:v>
      </x:c>
      <x:c r="F1290" s="10" t="str">
        <x:v>B2–C1 (гипотеза)</x:v>
      </x:c>
      <x:c r="G1290" s="12" t="n">
        <x:v>1.4</x:v>
      </x:c>
      <x:c r="H1290" s="14" t="n">
        <x:v>197000</x:v>
      </x:c>
      <x:c r="I1290" s="15" t="str">
        <x:v>Округлённый счётчик в списке YouTube</x:v>
      </x:c>
      <x:c r="J1290" s="14" t="n">
        <x:v>197000</x:v>
      </x:c>
      <x:c r="K1290" s="14" t="n">
        <x:v>198000</x:v>
      </x:c>
      <x:c r="L1290" s="12" t="n">
        <x:f>IF(COUNT(J1290:K1290)=2,IF(K1290=0,"",J1290/K1290),"")</x:f>
        <x:v>0.9949494949494949</x:v>
      </x:c>
      <x:c r="M1290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90" s="10" t="str">
        <x:v>Выбрать диалог; объяснить бытовую отсылку и шутку.</x:v>
      </x:c>
      <x:c r="O1290" s="10" t="str">
        <x:v>Плейлист может содержать только фрагменты; полный выпуск проверяется отдельно</x:v>
      </x:c>
      <x:c r="P1290" s="10" t="str">
        <x:v>Фрагмент сериала</x:v>
      </x:c>
      <x:c r="Q1290" s="9" t="str">
        <x:v>Нет</x:v>
      </x:c>
      <x:c r="R1290" s="9" t="str">
        <x:v>C079</x:v>
      </x:c>
      <x:c r="S1290" s="9" t="str">
        <x:v>C079</x:v>
      </x:c>
      <x:c r="T1290" s="10" t="str">
        <x:v>רשת 13</x:v>
      </x:c>
      <x:c r="U1290" s="11" t="str">
        <x:v>https://www.youtube.com/watch?v=Le53wv93vU0</x:v>
      </x:c>
      <x:c r="V1290" s="16" t="n">
        <x:v>46308</x:v>
      </x:c>
      <x:c r="W1290" s="16"/>
      <x:c r="X1290" s="10" t="str">
        <x:v>Иврит предполагается по заголовку и источнику</x:v>
      </x:c>
      <x:c r="Y1290" s="10" t="str">
        <x:v>Не проверено</x:v>
      </x:c>
      <x:c r="Z1290" s="10" t="str">
        <x:v>Не проверено</x:v>
      </x:c>
      <x:c r="AA1290" s="10" t="str">
        <x:v>Метаданные списка; видео не просмотрено</x:v>
      </x:c>
      <x:c r="AB1290" s="13" t="str">
        <x:f>IF(AND(ISNUMBER(H1290),ISNUMBER(W1290)),H1290/MAX(1,'Обзор'!$B$4-W1290),"")</x:f>
      </x:c>
      <x:c r="AC1290" s="17" t="str">
        <x:v>Не решено</x:v>
      </x:c>
      <x:c r="AD1290" s="17" t="str">
        <x:v>Не проверено</x:v>
      </x:c>
      <x:c r="AE1290" s="17" t="str">
        <x:v>Не проверено</x:v>
      </x:c>
      <x:c r="AF1290" s="17" t="str">
        <x:v>Не проверено</x:v>
      </x:c>
      <x:c r="AG1290" s="17" t="str">
        <x:v>Не решено</x:v>
      </x:c>
      <x:c r="AH1290" s="17" t="str">
        <x:v>Не проверено</x:v>
      </x:c>
      <x:c r="AI1290" s="10" t="str">
        <x:f>IF(AC1290="Отклонить","Отклонено",IF(AND(AC1290="Взять",COUNTIFS(AD1290:AH1290,"Да")=5),"Готово","Нужна редактура"))</x:f>
        <x:v>Нужна редактура</x:v>
      </x:c>
      <x:c r="AJ1290" s="17" t="str"/>
      <x:c r="AK1290" s="9" t="str">
        <x:v>https://www.youtube.com/playlist?list=PL5tTMlIkxhYclnhSKHgM3iDpxmLjyasMp</x:v>
      </x:c>
      <x:c r="AL1290" s="9" t="n">
        <x:v>12</x:v>
      </x:c>
      <x:c r="AM1290" s="9"/>
      <x:c r="AN1290" s="9"/>
    </x:row>
    <x:row r="1291" ht="60" customHeight="1">
      <x:c r="A1291" s="9" t="str">
        <x:v>6dkZ_faxagQ</x:v>
      </x:c>
      <x:c r="B1291" s="10" t="str">
        <x:v>שנות ה-80 | "שלום אותך מר אמזורי קרקושווילי, מה יכול בקשתך הוד מחלתך?"</x:v>
      </x:c>
      <x:c r="C1291" s="10" t="str">
        <x:v>Семья и культурная память</x:v>
      </x:c>
      <x:c r="D1291" s="9" t="str">
        <x:v>Сериал</x:v>
      </x:c>
      <x:c r="E1291" s="10" t="str">
        <x:v>Сериалы; мизрахи-культура; ностальгия</x:v>
      </x:c>
      <x:c r="F1291" s="10" t="str">
        <x:v>B2–C1 (гипотеза)</x:v>
      </x:c>
      <x:c r="G1291" s="12" t="n">
        <x:v>1.7</x:v>
      </x:c>
      <x:c r="H1291" s="14" t="n">
        <x:v>370000</x:v>
      </x:c>
      <x:c r="I1291" s="15" t="str">
        <x:v>Округлённый счётчик в списке YouTube</x:v>
      </x:c>
      <x:c r="J1291" s="14" t="n">
        <x:v>370000</x:v>
      </x:c>
      <x:c r="K1291" s="14" t="n">
        <x:v>198000</x:v>
      </x:c>
      <x:c r="L1291" s="12" t="n">
        <x:f>IF(COUNT(J1291:K1291)=2,IF(K1291=0,"",J1291/K1291),"")</x:f>
        <x:v>1.8686868686868687</x:v>
      </x:c>
      <x:c r="M1291" s="10" t="str">
        <x:v>Сценка из сериала; полезна для короткого разбора, не заменяет полную серию. Просмотры в списке выше медианы выборки этого цикла в 1.87 раза. Семейная комедия добавляет ностальгию и культурный контекст мизрахи. Важная альтернатива сериалам Kan.</x:v>
      </x:c>
      <x:c r="N1291" s="10" t="str">
        <x:v>Выбрать диалог; объяснить бытовую отсылку и шутку.</x:v>
      </x:c>
      <x:c r="O1291" s="10" t="str">
        <x:v>Плейлист может содержать только фрагменты; полный выпуск проверяется отдельно</x:v>
      </x:c>
      <x:c r="P1291" s="10" t="str">
        <x:v>Фрагмент сериала</x:v>
      </x:c>
      <x:c r="Q1291" s="9" t="str">
        <x:v>Нет</x:v>
      </x:c>
      <x:c r="R1291" s="9" t="str">
        <x:v>C079</x:v>
      </x:c>
      <x:c r="S1291" s="9" t="str">
        <x:v>C079</x:v>
      </x:c>
      <x:c r="T1291" s="10" t="str">
        <x:v>רשת 13</x:v>
      </x:c>
      <x:c r="U1291" s="11" t="str">
        <x:v>https://www.youtube.com/watch?v=6dkZ_faxagQ</x:v>
      </x:c>
      <x:c r="V1291" s="16" t="n">
        <x:v>46308</x:v>
      </x:c>
      <x:c r="W1291" s="16"/>
      <x:c r="X1291" s="10" t="str">
        <x:v>Иврит предполагается по заголовку и источнику</x:v>
      </x:c>
      <x:c r="Y1291" s="10" t="str">
        <x:v>Не проверено</x:v>
      </x:c>
      <x:c r="Z1291" s="10" t="str">
        <x:v>Не проверено</x:v>
      </x:c>
      <x:c r="AA1291" s="10" t="str">
        <x:v>Метаданные списка; видео не просмотрено</x:v>
      </x:c>
      <x:c r="AB1291" s="13" t="str">
        <x:f>IF(AND(ISNUMBER(H1291),ISNUMBER(W1291)),H1291/MAX(1,'Обзор'!$B$4-W1291),"")</x:f>
      </x:c>
      <x:c r="AC1291" s="17" t="str">
        <x:v>Не решено</x:v>
      </x:c>
      <x:c r="AD1291" s="17" t="str">
        <x:v>Не проверено</x:v>
      </x:c>
      <x:c r="AE1291" s="17" t="str">
        <x:v>Не проверено</x:v>
      </x:c>
      <x:c r="AF1291" s="17" t="str">
        <x:v>Не проверено</x:v>
      </x:c>
      <x:c r="AG1291" s="17" t="str">
        <x:v>Не решено</x:v>
      </x:c>
      <x:c r="AH1291" s="17" t="str">
        <x:v>Не проверено</x:v>
      </x:c>
      <x:c r="AI1291" s="10" t="str">
        <x:f>IF(AC1291="Отклонить","Отклонено",IF(AND(AC1291="Взять",COUNTIFS(AD1291:AH1291,"Да")=5),"Готово","Нужна редактура"))</x:f>
        <x:v>Нужна редактура</x:v>
      </x:c>
      <x:c r="AJ1291" s="17" t="str"/>
      <x:c r="AK1291" s="9" t="str">
        <x:v>https://www.youtube.com/playlist?list=PL5tTMlIkxhYclnhSKHgM3iDpxmLjyasMp</x:v>
      </x:c>
      <x:c r="AL1291" s="9" t="n">
        <x:v>13</x:v>
      </x:c>
      <x:c r="AM1291" s="9"/>
      <x:c r="AN1291" s="9"/>
    </x:row>
    <x:row r="1292" ht="60" customHeight="1">
      <x:c r="A1292" s="9" t="str">
        <x:v>qKsAve0k9S0</x:v>
      </x:c>
      <x:c r="B1292" s="10" t="str">
        <x:v>שנות ה-80 | "המזרוב הזה הפריע לי אתמול באמצע שליחות קטלנית"</x:v>
      </x:c>
      <x:c r="C1292" s="10" t="str">
        <x:v>Семья и культурная память</x:v>
      </x:c>
      <x:c r="D1292" s="9" t="str">
        <x:v>Сериал</x:v>
      </x:c>
      <x:c r="E1292" s="10" t="str">
        <x:v>Сериалы; мизрахи-культура; ностальгия</x:v>
      </x:c>
      <x:c r="F1292" s="10" t="str">
        <x:v>B2–C1 (гипотеза)</x:v>
      </x:c>
      <x:c r="G1292" s="12" t="n">
        <x:v>0.7</x:v>
      </x:c>
      <x:c r="H1292" s="14" t="n">
        <x:v>106000</x:v>
      </x:c>
      <x:c r="I1292" s="15" t="str">
        <x:v>Округлённый счётчик в списке YouTube</x:v>
      </x:c>
      <x:c r="J1292" s="14" t="n">
        <x:v>106000</x:v>
      </x:c>
      <x:c r="K1292" s="14" t="n">
        <x:v>198000</x:v>
      </x:c>
      <x:c r="L1292" s="12" t="n">
        <x:f>IF(COUNT(J1292:K1292)=2,IF(K1292=0,"",J1292/K1292),"")</x:f>
        <x:v>0.5353535353535354</x:v>
      </x:c>
      <x:c r="M1292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92" s="10" t="str">
        <x:v>Выбрать диалог; объяснить бытовую отсылку и шутку.</x:v>
      </x:c>
      <x:c r="O1292" s="10" t="str">
        <x:v>Плейлист может содержать только фрагменты; полный выпуск проверяется отдельно</x:v>
      </x:c>
      <x:c r="P1292" s="10" t="str">
        <x:v>Фрагмент сериала</x:v>
      </x:c>
      <x:c r="Q1292" s="9" t="str">
        <x:v>Нет</x:v>
      </x:c>
      <x:c r="R1292" s="9" t="str">
        <x:v>C079</x:v>
      </x:c>
      <x:c r="S1292" s="9" t="str">
        <x:v>C079</x:v>
      </x:c>
      <x:c r="T1292" s="10" t="str">
        <x:v>רשת 13</x:v>
      </x:c>
      <x:c r="U1292" s="11" t="str">
        <x:v>https://www.youtube.com/watch?v=qKsAve0k9S0</x:v>
      </x:c>
      <x:c r="V1292" s="16" t="n">
        <x:v>46308</x:v>
      </x:c>
      <x:c r="W1292" s="16"/>
      <x:c r="X1292" s="10" t="str">
        <x:v>Иврит предполагается по заголовку и источнику</x:v>
      </x:c>
      <x:c r="Y1292" s="10" t="str">
        <x:v>Не проверено</x:v>
      </x:c>
      <x:c r="Z1292" s="10" t="str">
        <x:v>Не проверено</x:v>
      </x:c>
      <x:c r="AA1292" s="10" t="str">
        <x:v>Метаданные списка; видео не просмотрено</x:v>
      </x:c>
      <x:c r="AB1292" s="13" t="str">
        <x:f>IF(AND(ISNUMBER(H1292),ISNUMBER(W1292)),H1292/MAX(1,'Обзор'!$B$4-W1292),"")</x:f>
      </x:c>
      <x:c r="AC1292" s="17" t="str">
        <x:v>Не решено</x:v>
      </x:c>
      <x:c r="AD1292" s="17" t="str">
        <x:v>Не проверено</x:v>
      </x:c>
      <x:c r="AE1292" s="17" t="str">
        <x:v>Не проверено</x:v>
      </x:c>
      <x:c r="AF1292" s="17" t="str">
        <x:v>Не проверено</x:v>
      </x:c>
      <x:c r="AG1292" s="17" t="str">
        <x:v>Не решено</x:v>
      </x:c>
      <x:c r="AH1292" s="17" t="str">
        <x:v>Не проверено</x:v>
      </x:c>
      <x:c r="AI1292" s="10" t="str">
        <x:f>IF(AC1292="Отклонить","Отклонено",IF(AND(AC1292="Взять",COUNTIFS(AD1292:AH1292,"Да")=5),"Готово","Нужна редактура"))</x:f>
        <x:v>Нужна редактура</x:v>
      </x:c>
      <x:c r="AJ1292" s="17" t="str"/>
      <x:c r="AK1292" s="9" t="str">
        <x:v>https://www.youtube.com/playlist?list=PL5tTMlIkxhYclnhSKHgM3iDpxmLjyasMp</x:v>
      </x:c>
      <x:c r="AL1292" s="9" t="n">
        <x:v>14</x:v>
      </x:c>
      <x:c r="AM1292" s="9"/>
      <x:c r="AN1292" s="9"/>
    </x:row>
    <x:row r="1293" ht="60" customHeight="1">
      <x:c r="A1293" s="9" t="str">
        <x:v>dlSpp9PkbP8</x:v>
      </x:c>
      <x:c r="B1293" s="10" t="str">
        <x:v>שנות ה-80 | "מי מבטל רגע לפני שהוא בא למימונה? שמיר לא היה מבטל!"</x:v>
      </x:c>
      <x:c r="C1293" s="10" t="str">
        <x:v>Семья и культурная память</x:v>
      </x:c>
      <x:c r="D1293" s="9" t="str">
        <x:v>Сериал</x:v>
      </x:c>
      <x:c r="E1293" s="10" t="str">
        <x:v>Сериалы; мизрахи-культура; ностальгия</x:v>
      </x:c>
      <x:c r="F1293" s="10" t="str">
        <x:v>B2–C1 (гипотеза)</x:v>
      </x:c>
      <x:c r="G1293" s="12" t="n">
        <x:v>0.9</x:v>
      </x:c>
      <x:c r="H1293" s="14" t="n">
        <x:v>152000</x:v>
      </x:c>
      <x:c r="I1293" s="15" t="str">
        <x:v>Округлённый счётчик в списке YouTube</x:v>
      </x:c>
      <x:c r="J1293" s="14" t="n">
        <x:v>152000</x:v>
      </x:c>
      <x:c r="K1293" s="14" t="n">
        <x:v>198000</x:v>
      </x:c>
      <x:c r="L1293" s="12" t="n">
        <x:f>IF(COUNT(J1293:K1293)=2,IF(K1293=0,"",J1293/K1293),"")</x:f>
        <x:v>0.7676767676767676</x:v>
      </x:c>
      <x:c r="M1293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93" s="10" t="str">
        <x:v>Выбрать диалог; объяснить бытовую отсылку и шутку.</x:v>
      </x:c>
      <x:c r="O1293" s="10" t="str">
        <x:v>Плейлист может содержать только фрагменты; полный выпуск проверяется отдельно</x:v>
      </x:c>
      <x:c r="P1293" s="10" t="str">
        <x:v>Фрагмент сериала</x:v>
      </x:c>
      <x:c r="Q1293" s="9" t="str">
        <x:v>Нет</x:v>
      </x:c>
      <x:c r="R1293" s="9" t="str">
        <x:v>C079</x:v>
      </x:c>
      <x:c r="S1293" s="9" t="str">
        <x:v>C079</x:v>
      </x:c>
      <x:c r="T1293" s="10" t="str">
        <x:v>רשת 13</x:v>
      </x:c>
      <x:c r="U1293" s="11" t="str">
        <x:v>https://www.youtube.com/watch?v=dlSpp9PkbP8</x:v>
      </x:c>
      <x:c r="V1293" s="16" t="n">
        <x:v>46308</x:v>
      </x:c>
      <x:c r="W1293" s="16"/>
      <x:c r="X1293" s="10" t="str">
        <x:v>Иврит предполагается по заголовку и источнику</x:v>
      </x:c>
      <x:c r="Y1293" s="10" t="str">
        <x:v>Не проверено</x:v>
      </x:c>
      <x:c r="Z1293" s="10" t="str">
        <x:v>Не проверено</x:v>
      </x:c>
      <x:c r="AA1293" s="10" t="str">
        <x:v>Метаданные списка; видео не просмотрено</x:v>
      </x:c>
      <x:c r="AB1293" s="13" t="str">
        <x:f>IF(AND(ISNUMBER(H1293),ISNUMBER(W1293)),H1293/MAX(1,'Обзор'!$B$4-W1293),"")</x:f>
      </x:c>
      <x:c r="AC1293" s="17" t="str">
        <x:v>Не решено</x:v>
      </x:c>
      <x:c r="AD1293" s="17" t="str">
        <x:v>Не проверено</x:v>
      </x:c>
      <x:c r="AE1293" s="17" t="str">
        <x:v>Не проверено</x:v>
      </x:c>
      <x:c r="AF1293" s="17" t="str">
        <x:v>Не проверено</x:v>
      </x:c>
      <x:c r="AG1293" s="17" t="str">
        <x:v>Не решено</x:v>
      </x:c>
      <x:c r="AH1293" s="17" t="str">
        <x:v>Не проверено</x:v>
      </x:c>
      <x:c r="AI1293" s="10" t="str">
        <x:f>IF(AC1293="Отклонить","Отклонено",IF(AND(AC1293="Взять",COUNTIFS(AD1293:AH1293,"Да")=5),"Готово","Нужна редактура"))</x:f>
        <x:v>Нужна редактура</x:v>
      </x:c>
      <x:c r="AJ1293" s="17" t="str"/>
      <x:c r="AK1293" s="9" t="str">
        <x:v>https://www.youtube.com/playlist?list=PL5tTMlIkxhYclnhSKHgM3iDpxmLjyasMp</x:v>
      </x:c>
      <x:c r="AL1293" s="9" t="n">
        <x:v>15</x:v>
      </x:c>
      <x:c r="AM1293" s="9"/>
      <x:c r="AN1293" s="9"/>
    </x:row>
    <x:row r="1294" ht="60" customHeight="1">
      <x:c r="A1294" s="9" t="str">
        <x:v>0zJwlAduAVo</x:v>
      </x:c>
      <x:c r="B1294" s="10" t="str">
        <x:v>"שנות ה-80 | "שורף טוסיק ניהיה אדום כמו טוסיק בבון</x:v>
      </x:c>
      <x:c r="C1294" s="10" t="str">
        <x:v>Семья и культурная память</x:v>
      </x:c>
      <x:c r="D1294" s="9" t="str">
        <x:v>Сериал</x:v>
      </x:c>
      <x:c r="E1294" s="10" t="str">
        <x:v>Сериалы; мизрахи-культура; ностальгия</x:v>
      </x:c>
      <x:c r="F1294" s="10" t="str">
        <x:v>B2–C1 (гипотеза)</x:v>
      </x:c>
      <x:c r="G1294" s="12" t="n">
        <x:v>1.3</x:v>
      </x:c>
      <x:c r="H1294" s="14" t="n">
        <x:v>198000</x:v>
      </x:c>
      <x:c r="I1294" s="15" t="str">
        <x:v>Округлённый счётчик в списке YouTube</x:v>
      </x:c>
      <x:c r="J1294" s="14" t="n">
        <x:v>198000</x:v>
      </x:c>
      <x:c r="K1294" s="14" t="n">
        <x:v>198000</x:v>
      </x:c>
      <x:c r="L1294" s="12" t="n">
        <x:f>IF(COUNT(J1294:K1294)=2,IF(K1294=0,"",J1294/K1294),"")</x:f>
        <x:v>1</x:v>
      </x:c>
      <x:c r="M1294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94" s="10" t="str">
        <x:v>Выбрать диалог; объяснить бытовую отсылку и шутку.</x:v>
      </x:c>
      <x:c r="O1294" s="10" t="str">
        <x:v>Плейлист может содержать только фрагменты; полный выпуск проверяется отдельно</x:v>
      </x:c>
      <x:c r="P1294" s="10" t="str">
        <x:v>Фрагмент сериала</x:v>
      </x:c>
      <x:c r="Q1294" s="9" t="str">
        <x:v>Нет</x:v>
      </x:c>
      <x:c r="R1294" s="9" t="str">
        <x:v>C079</x:v>
      </x:c>
      <x:c r="S1294" s="9" t="str">
        <x:v>C079</x:v>
      </x:c>
      <x:c r="T1294" s="10" t="str">
        <x:v>רשת 13</x:v>
      </x:c>
      <x:c r="U1294" s="11" t="str">
        <x:v>https://www.youtube.com/watch?v=0zJwlAduAVo</x:v>
      </x:c>
      <x:c r="V1294" s="16" t="n">
        <x:v>46308</x:v>
      </x:c>
      <x:c r="W1294" s="16"/>
      <x:c r="X1294" s="10" t="str">
        <x:v>Иврит предполагается по заголовку и источнику</x:v>
      </x:c>
      <x:c r="Y1294" s="10" t="str">
        <x:v>Не проверено</x:v>
      </x:c>
      <x:c r="Z1294" s="10" t="str">
        <x:v>Не проверено</x:v>
      </x:c>
      <x:c r="AA1294" s="10" t="str">
        <x:v>Метаданные списка; видео не просмотрено</x:v>
      </x:c>
      <x:c r="AB1294" s="13" t="str">
        <x:f>IF(AND(ISNUMBER(H1294),ISNUMBER(W1294)),H1294/MAX(1,'Обзор'!$B$4-W1294),"")</x:f>
      </x:c>
      <x:c r="AC1294" s="17" t="str">
        <x:v>Не решено</x:v>
      </x:c>
      <x:c r="AD1294" s="17" t="str">
        <x:v>Не проверено</x:v>
      </x:c>
      <x:c r="AE1294" s="17" t="str">
        <x:v>Не проверено</x:v>
      </x:c>
      <x:c r="AF1294" s="17" t="str">
        <x:v>Не проверено</x:v>
      </x:c>
      <x:c r="AG1294" s="17" t="str">
        <x:v>Не решено</x:v>
      </x:c>
      <x:c r="AH1294" s="17" t="str">
        <x:v>Не проверено</x:v>
      </x:c>
      <x:c r="AI1294" s="10" t="str">
        <x:f>IF(AC1294="Отклонить","Отклонено",IF(AND(AC1294="Взять",COUNTIFS(AD1294:AH1294,"Да")=5),"Готово","Нужна редактура"))</x:f>
        <x:v>Нужна редактура</x:v>
      </x:c>
      <x:c r="AJ1294" s="17" t="str"/>
      <x:c r="AK1294" s="9" t="str">
        <x:v>https://www.youtube.com/playlist?list=PL5tTMlIkxhYclnhSKHgM3iDpxmLjyasMp</x:v>
      </x:c>
      <x:c r="AL1294" s="9" t="n">
        <x:v>16</x:v>
      </x:c>
      <x:c r="AM1294" s="9"/>
      <x:c r="AN1294" s="9"/>
    </x:row>
    <x:row r="1295" ht="60" customHeight="1">
      <x:c r="A1295" s="9" t="str">
        <x:v>UUBrjzZzmdM</x:v>
      </x:c>
      <x:c r="B1295" s="10" t="str">
        <x:v>שנות ה-80 | המשפט שאף מרוקאית לא רוצה לשמוע: "זה לא פלפל חריף, זה מתוק כמו עוגייה"</x:v>
      </x:c>
      <x:c r="C1295" s="10" t="str">
        <x:v>Семья и культурная память</x:v>
      </x:c>
      <x:c r="D1295" s="9" t="str">
        <x:v>Сериал</x:v>
      </x:c>
      <x:c r="E1295" s="10" t="str">
        <x:v>Сериалы; мизрахи-культура; ностальгия</x:v>
      </x:c>
      <x:c r="F1295" s="10" t="str">
        <x:v>B2–C1 (гипотеза)</x:v>
      </x:c>
      <x:c r="G1295" s="12" t="n">
        <x:v>1.3</x:v>
      </x:c>
      <x:c r="H1295" s="14" t="n">
        <x:v>258000</x:v>
      </x:c>
      <x:c r="I1295" s="15" t="str">
        <x:v>Округлённый счётчик в списке YouTube</x:v>
      </x:c>
      <x:c r="J1295" s="14" t="n">
        <x:v>258000</x:v>
      </x:c>
      <x:c r="K1295" s="14" t="n">
        <x:v>198000</x:v>
      </x:c>
      <x:c r="L1295" s="12" t="n">
        <x:f>IF(COUNT(J1295:K1295)=2,IF(K1295=0,"",J1295/K1295),"")</x:f>
        <x:v>1.303030303030303</x:v>
      </x:c>
      <x:c r="M1295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95" s="10" t="str">
        <x:v>Выбрать диалог; объяснить бытовую отсылку и шутку.</x:v>
      </x:c>
      <x:c r="O1295" s="10" t="str">
        <x:v>Плейлист может содержать только фрагменты; полный выпуск проверяется отдельно</x:v>
      </x:c>
      <x:c r="P1295" s="10" t="str">
        <x:v>Фрагмент сериала</x:v>
      </x:c>
      <x:c r="Q1295" s="9" t="str">
        <x:v>Нет</x:v>
      </x:c>
      <x:c r="R1295" s="9" t="str">
        <x:v>C079</x:v>
      </x:c>
      <x:c r="S1295" s="9" t="str">
        <x:v>C079</x:v>
      </x:c>
      <x:c r="T1295" s="10" t="str">
        <x:v>רשת 13</x:v>
      </x:c>
      <x:c r="U1295" s="11" t="str">
        <x:v>https://www.youtube.com/watch?v=UUBrjzZzmdM</x:v>
      </x:c>
      <x:c r="V1295" s="16" t="n">
        <x:v>46308</x:v>
      </x:c>
      <x:c r="W1295" s="16"/>
      <x:c r="X1295" s="10" t="str">
        <x:v>Иврит предполагается по заголовку и источнику</x:v>
      </x:c>
      <x:c r="Y1295" s="10" t="str">
        <x:v>Не проверено</x:v>
      </x:c>
      <x:c r="Z1295" s="10" t="str">
        <x:v>Не проверено</x:v>
      </x:c>
      <x:c r="AA1295" s="10" t="str">
        <x:v>Метаданные списка; видео не просмотрено</x:v>
      </x:c>
      <x:c r="AB1295" s="13" t="str">
        <x:f>IF(AND(ISNUMBER(H1295),ISNUMBER(W1295)),H1295/MAX(1,'Обзор'!$B$4-W1295),"")</x:f>
      </x:c>
      <x:c r="AC1295" s="17" t="str">
        <x:v>Не решено</x:v>
      </x:c>
      <x:c r="AD1295" s="17" t="str">
        <x:v>Не проверено</x:v>
      </x:c>
      <x:c r="AE1295" s="17" t="str">
        <x:v>Не проверено</x:v>
      </x:c>
      <x:c r="AF1295" s="17" t="str">
        <x:v>Не проверено</x:v>
      </x:c>
      <x:c r="AG1295" s="17" t="str">
        <x:v>Не решено</x:v>
      </x:c>
      <x:c r="AH1295" s="17" t="str">
        <x:v>Не проверено</x:v>
      </x:c>
      <x:c r="AI1295" s="10" t="str">
        <x:f>IF(AC1295="Отклонить","Отклонено",IF(AND(AC1295="Взять",COUNTIFS(AD1295:AH1295,"Да")=5),"Готово","Нужна редактура"))</x:f>
        <x:v>Нужна редактура</x:v>
      </x:c>
      <x:c r="AJ1295" s="17" t="str"/>
      <x:c r="AK1295" s="9" t="str">
        <x:v>https://www.youtube.com/playlist?list=PL5tTMlIkxhYclnhSKHgM3iDpxmLjyasMp</x:v>
      </x:c>
      <x:c r="AL1295" s="9" t="n">
        <x:v>17</x:v>
      </x:c>
      <x:c r="AM1295" s="9"/>
      <x:c r="AN1295" s="9"/>
    </x:row>
    <x:row r="1296" ht="60" customHeight="1">
      <x:c r="A1296" s="9" t="str">
        <x:v>VRne2D3dl7k</x:v>
      </x:c>
      <x:c r="B1296" s="10" t="str">
        <x:v>שנות ה-80 | "אם אבא שלך לא בבית הוא מת במסיבות טרגיות!"</x:v>
      </x:c>
      <x:c r="C1296" s="10" t="str">
        <x:v>Семья и культурная память</x:v>
      </x:c>
      <x:c r="D1296" s="9" t="str">
        <x:v>Сериал</x:v>
      </x:c>
      <x:c r="E1296" s="10" t="str">
        <x:v>Сериалы; мизрахи-культура; ностальгия</x:v>
      </x:c>
      <x:c r="F1296" s="10" t="str">
        <x:v>B2–C1 (гипотеза)</x:v>
      </x:c>
      <x:c r="G1296" s="12" t="n">
        <x:v>1.3</x:v>
      </x:c>
      <x:c r="H1296" s="14" t="n">
        <x:v>310000</x:v>
      </x:c>
      <x:c r="I1296" s="15" t="str">
        <x:v>Округлённый счётчик в списке YouTube</x:v>
      </x:c>
      <x:c r="J1296" s="14" t="n">
        <x:v>310000</x:v>
      </x:c>
      <x:c r="K1296" s="14" t="n">
        <x:v>198000</x:v>
      </x:c>
      <x:c r="L1296" s="12" t="n">
        <x:f>IF(COUNT(J1296:K1296)=2,IF(K1296=0,"",J1296/K1296),"")</x:f>
        <x:v>1.5656565656565657</x:v>
      </x:c>
      <x:c r="M1296" s="10" t="str">
        <x:v>Сценка из сериала; полезна для короткого разбора, не заменяет полную серию. Просмотры в списке выше медианы выборки этого цикла в 1.57 раза. Семейная комедия добавляет ностальгию и культурный контекст мизрахи. Важная альтернатива сериалам Kan.</x:v>
      </x:c>
      <x:c r="N1296" s="10" t="str">
        <x:v>Выбрать диалог; объяснить бытовую отсылку и шутку.</x:v>
      </x:c>
      <x:c r="O1296" s="10" t="str">
        <x:v>Плейлист может содержать только фрагменты; полный выпуск проверяется отдельно</x:v>
      </x:c>
      <x:c r="P1296" s="10" t="str">
        <x:v>Фрагмент сериала</x:v>
      </x:c>
      <x:c r="Q1296" s="9" t="str">
        <x:v>Нет</x:v>
      </x:c>
      <x:c r="R1296" s="9" t="str">
        <x:v>C079</x:v>
      </x:c>
      <x:c r="S1296" s="9" t="str">
        <x:v>C079</x:v>
      </x:c>
      <x:c r="T1296" s="10" t="str">
        <x:v>רשת 13</x:v>
      </x:c>
      <x:c r="U1296" s="11" t="str">
        <x:v>https://www.youtube.com/watch?v=VRne2D3dl7k</x:v>
      </x:c>
      <x:c r="V1296" s="16" t="n">
        <x:v>46308</x:v>
      </x:c>
      <x:c r="W1296" s="16"/>
      <x:c r="X1296" s="10" t="str">
        <x:v>Иврит предполагается по заголовку и источнику</x:v>
      </x:c>
      <x:c r="Y1296" s="10" t="str">
        <x:v>Не проверено</x:v>
      </x:c>
      <x:c r="Z1296" s="10" t="str">
        <x:v>Не проверено</x:v>
      </x:c>
      <x:c r="AA1296" s="10" t="str">
        <x:v>Метаданные списка; видео не просмотрено</x:v>
      </x:c>
      <x:c r="AB1296" s="13" t="str">
        <x:f>IF(AND(ISNUMBER(H1296),ISNUMBER(W1296)),H1296/MAX(1,'Обзор'!$B$4-W1296),"")</x:f>
      </x:c>
      <x:c r="AC1296" s="17" t="str">
        <x:v>Не решено</x:v>
      </x:c>
      <x:c r="AD1296" s="17" t="str">
        <x:v>Не проверено</x:v>
      </x:c>
      <x:c r="AE1296" s="17" t="str">
        <x:v>Не проверено</x:v>
      </x:c>
      <x:c r="AF1296" s="17" t="str">
        <x:v>Не проверено</x:v>
      </x:c>
      <x:c r="AG1296" s="17" t="str">
        <x:v>Не решено</x:v>
      </x:c>
      <x:c r="AH1296" s="17" t="str">
        <x:v>Не проверено</x:v>
      </x:c>
      <x:c r="AI1296" s="10" t="str">
        <x:f>IF(AC1296="Отклонить","Отклонено",IF(AND(AC1296="Взять",COUNTIFS(AD1296:AH1296,"Да")=5),"Готово","Нужна редактура"))</x:f>
        <x:v>Нужна редактура</x:v>
      </x:c>
      <x:c r="AJ1296" s="17" t="str"/>
      <x:c r="AK1296" s="9" t="str">
        <x:v>https://www.youtube.com/playlist?list=PL5tTMlIkxhYclnhSKHgM3iDpxmLjyasMp</x:v>
      </x:c>
      <x:c r="AL1296" s="9" t="n">
        <x:v>18</x:v>
      </x:c>
      <x:c r="AM1296" s="9"/>
      <x:c r="AN1296" s="9"/>
    </x:row>
    <x:row r="1297" ht="60" customHeight="1">
      <x:c r="A1297" s="9" t="str">
        <x:v>bMaY98baivo</x:v>
      </x:c>
      <x:c r="B1297" s="10" t="str">
        <x:v>שנות ה-80 | הרבה אהבה יש בשכונה</x:v>
      </x:c>
      <x:c r="C1297" s="10" t="str">
        <x:v>Семья и культурная память</x:v>
      </x:c>
      <x:c r="D1297" s="9" t="str">
        <x:v>Сериал</x:v>
      </x:c>
      <x:c r="E1297" s="10" t="str">
        <x:v>Сериалы; мизрахи-культура; ностальгия</x:v>
      </x:c>
      <x:c r="F1297" s="10" t="str">
        <x:v>B2–C1 (гипотеза)</x:v>
      </x:c>
      <x:c r="G1297" s="12" t="n">
        <x:v>1.3</x:v>
      </x:c>
      <x:c r="H1297" s="14" t="n">
        <x:v>224000</x:v>
      </x:c>
      <x:c r="I1297" s="15" t="str">
        <x:v>Округлённый счётчик в списке YouTube</x:v>
      </x:c>
      <x:c r="J1297" s="14" t="n">
        <x:v>224000</x:v>
      </x:c>
      <x:c r="K1297" s="14" t="n">
        <x:v>198000</x:v>
      </x:c>
      <x:c r="L1297" s="12" t="n">
        <x:f>IF(COUNT(J1297:K1297)=2,IF(K1297=0,"",J1297/K1297),"")</x:f>
        <x:v>1.1313131313131313</x:v>
      </x:c>
      <x:c r="M1297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97" s="10" t="str">
        <x:v>Выбрать диалог; объяснить бытовую отсылку и шутку.</x:v>
      </x:c>
      <x:c r="O1297" s="10" t="str">
        <x:v>Плейлист может содержать только фрагменты; полный выпуск проверяется отдельно</x:v>
      </x:c>
      <x:c r="P1297" s="10" t="str">
        <x:v>Фрагмент сериала</x:v>
      </x:c>
      <x:c r="Q1297" s="9" t="str">
        <x:v>Нет</x:v>
      </x:c>
      <x:c r="R1297" s="9" t="str">
        <x:v>C079</x:v>
      </x:c>
      <x:c r="S1297" s="9" t="str">
        <x:v>C079</x:v>
      </x:c>
      <x:c r="T1297" s="10" t="str">
        <x:v>רשת 13</x:v>
      </x:c>
      <x:c r="U1297" s="11" t="str">
        <x:v>https://www.youtube.com/watch?v=bMaY98baivo</x:v>
      </x:c>
      <x:c r="V1297" s="16" t="n">
        <x:v>46308</x:v>
      </x:c>
      <x:c r="W1297" s="16"/>
      <x:c r="X1297" s="10" t="str">
        <x:v>Иврит предполагается по заголовку и источнику</x:v>
      </x:c>
      <x:c r="Y1297" s="10" t="str">
        <x:v>Не проверено</x:v>
      </x:c>
      <x:c r="Z1297" s="10" t="str">
        <x:v>Не проверено</x:v>
      </x:c>
      <x:c r="AA1297" s="10" t="str">
        <x:v>Метаданные списка; видео не просмотрено</x:v>
      </x:c>
      <x:c r="AB1297" s="13" t="str">
        <x:f>IF(AND(ISNUMBER(H1297),ISNUMBER(W1297)),H1297/MAX(1,'Обзор'!$B$4-W1297),"")</x:f>
      </x:c>
      <x:c r="AC1297" s="17" t="str">
        <x:v>Не решено</x:v>
      </x:c>
      <x:c r="AD1297" s="17" t="str">
        <x:v>Не проверено</x:v>
      </x:c>
      <x:c r="AE1297" s="17" t="str">
        <x:v>Не проверено</x:v>
      </x:c>
      <x:c r="AF1297" s="17" t="str">
        <x:v>Не проверено</x:v>
      </x:c>
      <x:c r="AG1297" s="17" t="str">
        <x:v>Не решено</x:v>
      </x:c>
      <x:c r="AH1297" s="17" t="str">
        <x:v>Не проверено</x:v>
      </x:c>
      <x:c r="AI1297" s="10" t="str">
        <x:f>IF(AC1297="Отклонить","Отклонено",IF(AND(AC1297="Взять",COUNTIFS(AD1297:AH1297,"Да")=5),"Готово","Нужна редактура"))</x:f>
        <x:v>Нужна редактура</x:v>
      </x:c>
      <x:c r="AJ1297" s="17" t="str"/>
      <x:c r="AK1297" s="9" t="str">
        <x:v>https://www.youtube.com/playlist?list=PL5tTMlIkxhYclnhSKHgM3iDpxmLjyasMp</x:v>
      </x:c>
      <x:c r="AL1297" s="9" t="n">
        <x:v>19</x:v>
      </x:c>
      <x:c r="AM1297" s="9"/>
      <x:c r="AN1297" s="9"/>
    </x:row>
    <x:row r="1298" ht="60" customHeight="1">
      <x:c r="A1298" s="9" t="str">
        <x:v>wwJvyuG-Nvg</x:v>
      </x:c>
      <x:c r="B1298" s="10" t="str">
        <x:v>שנות ה-80 | "כלב שלי, הו כלב, כלב אותך אוהב"</x:v>
      </x:c>
      <x:c r="C1298" s="10" t="str">
        <x:v>Семья и культурная память</x:v>
      </x:c>
      <x:c r="D1298" s="9" t="str">
        <x:v>Сериал</x:v>
      </x:c>
      <x:c r="E1298" s="10" t="str">
        <x:v>Сериалы; мизрахи-культура; ностальгия</x:v>
      </x:c>
      <x:c r="F1298" s="10" t="str">
        <x:v>B2–C1 (гипотеза)</x:v>
      </x:c>
      <x:c r="G1298" s="12" t="n">
        <x:v>1.6</x:v>
      </x:c>
      <x:c r="H1298" s="14" t="n">
        <x:v>224000</x:v>
      </x:c>
      <x:c r="I1298" s="15" t="str">
        <x:v>Округлённый счётчик в списке YouTube</x:v>
      </x:c>
      <x:c r="J1298" s="14" t="n">
        <x:v>224000</x:v>
      </x:c>
      <x:c r="K1298" s="14" t="n">
        <x:v>198000</x:v>
      </x:c>
      <x:c r="L1298" s="12" t="n">
        <x:f>IF(COUNT(J1298:K1298)=2,IF(K1298=0,"",J1298/K1298),"")</x:f>
        <x:v>1.1313131313131313</x:v>
      </x:c>
      <x:c r="M1298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98" s="10" t="str">
        <x:v>Выбрать диалог; объяснить бытовую отсылку и шутку.</x:v>
      </x:c>
      <x:c r="O1298" s="10" t="str">
        <x:v>Плейлист может содержать только фрагменты; полный выпуск проверяется отдельно</x:v>
      </x:c>
      <x:c r="P1298" s="10" t="str">
        <x:v>Фрагмент сериала</x:v>
      </x:c>
      <x:c r="Q1298" s="9" t="str">
        <x:v>Нет</x:v>
      </x:c>
      <x:c r="R1298" s="9" t="str">
        <x:v>C079</x:v>
      </x:c>
      <x:c r="S1298" s="9" t="str">
        <x:v>C079</x:v>
      </x:c>
      <x:c r="T1298" s="10" t="str">
        <x:v>רשת 13</x:v>
      </x:c>
      <x:c r="U1298" s="11" t="str">
        <x:v>https://www.youtube.com/watch?v=wwJvyuG-Nvg</x:v>
      </x:c>
      <x:c r="V1298" s="16" t="n">
        <x:v>46308</x:v>
      </x:c>
      <x:c r="W1298" s="16"/>
      <x:c r="X1298" s="10" t="str">
        <x:v>Иврит предполагается по заголовку и источнику</x:v>
      </x:c>
      <x:c r="Y1298" s="10" t="str">
        <x:v>Не проверено</x:v>
      </x:c>
      <x:c r="Z1298" s="10" t="str">
        <x:v>Не проверено</x:v>
      </x:c>
      <x:c r="AA1298" s="10" t="str">
        <x:v>Метаданные списка; видео не просмотрено</x:v>
      </x:c>
      <x:c r="AB1298" s="13" t="str">
        <x:f>IF(AND(ISNUMBER(H1298),ISNUMBER(W1298)),H1298/MAX(1,'Обзор'!$B$4-W1298),"")</x:f>
      </x:c>
      <x:c r="AC1298" s="17" t="str">
        <x:v>Не решено</x:v>
      </x:c>
      <x:c r="AD1298" s="17" t="str">
        <x:v>Не проверено</x:v>
      </x:c>
      <x:c r="AE1298" s="17" t="str">
        <x:v>Не проверено</x:v>
      </x:c>
      <x:c r="AF1298" s="17" t="str">
        <x:v>Не проверено</x:v>
      </x:c>
      <x:c r="AG1298" s="17" t="str">
        <x:v>Не решено</x:v>
      </x:c>
      <x:c r="AH1298" s="17" t="str">
        <x:v>Не проверено</x:v>
      </x:c>
      <x:c r="AI1298" s="10" t="str">
        <x:f>IF(AC1298="Отклонить","Отклонено",IF(AND(AC1298="Взять",COUNTIFS(AD1298:AH1298,"Да")=5),"Готово","Нужна редактура"))</x:f>
        <x:v>Нужна редактура</x:v>
      </x:c>
      <x:c r="AJ1298" s="17" t="str"/>
      <x:c r="AK1298" s="9" t="str">
        <x:v>https://www.youtube.com/playlist?list=PL5tTMlIkxhYclnhSKHgM3iDpxmLjyasMp</x:v>
      </x:c>
      <x:c r="AL1298" s="9" t="n">
        <x:v>20</x:v>
      </x:c>
      <x:c r="AM1298" s="9"/>
      <x:c r="AN1298" s="9"/>
    </x:row>
    <x:row r="1299" ht="60" customHeight="1">
      <x:c r="A1299" s="9" t="str">
        <x:v>NDoQzsW9XZE</x:v>
      </x:c>
      <x:c r="B1299" s="10" t="str">
        <x:v>שנות ה-80 | המופע של רבי מאיר</x:v>
      </x:c>
      <x:c r="C1299" s="10" t="str">
        <x:v>Семья и культурная память</x:v>
      </x:c>
      <x:c r="D1299" s="9" t="str">
        <x:v>Сериал</x:v>
      </x:c>
      <x:c r="E1299" s="10" t="str">
        <x:v>Сериалы; мизрахи-культура; ностальгия</x:v>
      </x:c>
      <x:c r="F1299" s="10" t="str">
        <x:v>B2–C1 (гипотеза)</x:v>
      </x:c>
      <x:c r="G1299" s="12" t="n">
        <x:v>1.2</x:v>
      </x:c>
      <x:c r="H1299" s="14" t="n">
        <x:v>130000</x:v>
      </x:c>
      <x:c r="I1299" s="15" t="str">
        <x:v>Округлённый счётчик в списке YouTube</x:v>
      </x:c>
      <x:c r="J1299" s="14" t="n">
        <x:v>130000</x:v>
      </x:c>
      <x:c r="K1299" s="14" t="n">
        <x:v>198000</x:v>
      </x:c>
      <x:c r="L1299" s="12" t="n">
        <x:f>IF(COUNT(J1299:K1299)=2,IF(K1299=0,"",J1299/K1299),"")</x:f>
        <x:v>0.6565656565656566</x:v>
      </x:c>
      <x:c r="M1299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299" s="10" t="str">
        <x:v>Выбрать диалог; объяснить бытовую отсылку и шутку.</x:v>
      </x:c>
      <x:c r="O1299" s="10" t="str">
        <x:v>Плейлист может содержать только фрагменты; полный выпуск проверяется отдельно</x:v>
      </x:c>
      <x:c r="P1299" s="10" t="str">
        <x:v>Фрагмент сериала</x:v>
      </x:c>
      <x:c r="Q1299" s="9" t="str">
        <x:v>Нет</x:v>
      </x:c>
      <x:c r="R1299" s="9" t="str">
        <x:v>C079</x:v>
      </x:c>
      <x:c r="S1299" s="9" t="str">
        <x:v>C079</x:v>
      </x:c>
      <x:c r="T1299" s="10" t="str">
        <x:v>רשת 13</x:v>
      </x:c>
      <x:c r="U1299" s="11" t="str">
        <x:v>https://www.youtube.com/watch?v=NDoQzsW9XZE</x:v>
      </x:c>
      <x:c r="V1299" s="16" t="n">
        <x:v>46308</x:v>
      </x:c>
      <x:c r="W1299" s="16"/>
      <x:c r="X1299" s="10" t="str">
        <x:v>Иврит предполагается по заголовку и источнику</x:v>
      </x:c>
      <x:c r="Y1299" s="10" t="str">
        <x:v>Не проверено</x:v>
      </x:c>
      <x:c r="Z1299" s="10" t="str">
        <x:v>Не проверено</x:v>
      </x:c>
      <x:c r="AA1299" s="10" t="str">
        <x:v>Метаданные списка; видео не просмотрено</x:v>
      </x:c>
      <x:c r="AB1299" s="13" t="str">
        <x:f>IF(AND(ISNUMBER(H1299),ISNUMBER(W1299)),H1299/MAX(1,'Обзор'!$B$4-W1299),"")</x:f>
      </x:c>
      <x:c r="AC1299" s="17" t="str">
        <x:v>Не решено</x:v>
      </x:c>
      <x:c r="AD1299" s="17" t="str">
        <x:v>Не проверено</x:v>
      </x:c>
      <x:c r="AE1299" s="17" t="str">
        <x:v>Не проверено</x:v>
      </x:c>
      <x:c r="AF1299" s="17" t="str">
        <x:v>Не проверено</x:v>
      </x:c>
      <x:c r="AG1299" s="17" t="str">
        <x:v>Не решено</x:v>
      </x:c>
      <x:c r="AH1299" s="17" t="str">
        <x:v>Не проверено</x:v>
      </x:c>
      <x:c r="AI1299" s="10" t="str">
        <x:f>IF(AC1299="Отклонить","Отклонено",IF(AND(AC1299="Взять",COUNTIFS(AD1299:AH1299,"Да")=5),"Готово","Нужна редактура"))</x:f>
        <x:v>Нужна редактура</x:v>
      </x:c>
      <x:c r="AJ1299" s="17" t="str"/>
      <x:c r="AK1299" s="9" t="str">
        <x:v>https://www.youtube.com/playlist?list=PL5tTMlIkxhYclnhSKHgM3iDpxmLjyasMp</x:v>
      </x:c>
      <x:c r="AL1299" s="9" t="n">
        <x:v>21</x:v>
      </x:c>
      <x:c r="AM1299" s="9"/>
      <x:c r="AN1299" s="9"/>
    </x:row>
    <x:row r="1300" ht="60" customHeight="1">
      <x:c r="A1300" s="9" t="str">
        <x:v>8fXEqyTzXCQ</x:v>
      </x:c>
      <x:c r="B1300" s="10" t="str">
        <x:v>שנות ה-80 | "נותן אותך במתנה כבשה בקופסא"</x:v>
      </x:c>
      <x:c r="C1300" s="10" t="str">
        <x:v>Семья и культурная память</x:v>
      </x:c>
      <x:c r="D1300" s="9" t="str">
        <x:v>Сериал</x:v>
      </x:c>
      <x:c r="E1300" s="10" t="str">
        <x:v>Сериалы; мизрахи-культура; ностальгия</x:v>
      </x:c>
      <x:c r="F1300" s="10" t="str">
        <x:v>B2–C1 (гипотеза)</x:v>
      </x:c>
      <x:c r="G1300" s="12" t="n">
        <x:v>0.7</x:v>
      </x:c>
      <x:c r="H1300" s="14" t="n">
        <x:v>134000</x:v>
      </x:c>
      <x:c r="I1300" s="15" t="str">
        <x:v>Округлённый счётчик в списке YouTube</x:v>
      </x:c>
      <x:c r="J1300" s="14" t="n">
        <x:v>134000</x:v>
      </x:c>
      <x:c r="K1300" s="14" t="n">
        <x:v>198000</x:v>
      </x:c>
      <x:c r="L1300" s="12" t="n">
        <x:f>IF(COUNT(J1300:K1300)=2,IF(K1300=0,"",J1300/K1300),"")</x:f>
        <x:v>0.6767676767676768</x:v>
      </x:c>
      <x:c r="M1300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300" s="10" t="str">
        <x:v>Выбрать диалог; объяснить бытовую отсылку и шутку.</x:v>
      </x:c>
      <x:c r="O1300" s="10" t="str">
        <x:v>Плейлист может содержать только фрагменты; полный выпуск проверяется отдельно</x:v>
      </x:c>
      <x:c r="P1300" s="10" t="str">
        <x:v>Фрагмент сериала</x:v>
      </x:c>
      <x:c r="Q1300" s="9" t="str">
        <x:v>Нет</x:v>
      </x:c>
      <x:c r="R1300" s="9" t="str">
        <x:v>C079</x:v>
      </x:c>
      <x:c r="S1300" s="9" t="str">
        <x:v>C079</x:v>
      </x:c>
      <x:c r="T1300" s="10" t="str">
        <x:v>רשת 13</x:v>
      </x:c>
      <x:c r="U1300" s="11" t="str">
        <x:v>https://www.youtube.com/watch?v=8fXEqyTzXCQ</x:v>
      </x:c>
      <x:c r="V1300" s="16" t="n">
        <x:v>46308</x:v>
      </x:c>
      <x:c r="W1300" s="16"/>
      <x:c r="X1300" s="10" t="str">
        <x:v>Иврит предполагается по заголовку и источнику</x:v>
      </x:c>
      <x:c r="Y1300" s="10" t="str">
        <x:v>Не проверено</x:v>
      </x:c>
      <x:c r="Z1300" s="10" t="str">
        <x:v>Не проверено</x:v>
      </x:c>
      <x:c r="AA1300" s="10" t="str">
        <x:v>Метаданные списка; видео не просмотрено</x:v>
      </x:c>
      <x:c r="AB1300" s="13" t="str">
        <x:f>IF(AND(ISNUMBER(H1300),ISNUMBER(W1300)),H1300/MAX(1,'Обзор'!$B$4-W1300),"")</x:f>
      </x:c>
      <x:c r="AC1300" s="17" t="str">
        <x:v>Не решено</x:v>
      </x:c>
      <x:c r="AD1300" s="17" t="str">
        <x:v>Не проверено</x:v>
      </x:c>
      <x:c r="AE1300" s="17" t="str">
        <x:v>Не проверено</x:v>
      </x:c>
      <x:c r="AF1300" s="17" t="str">
        <x:v>Не проверено</x:v>
      </x:c>
      <x:c r="AG1300" s="17" t="str">
        <x:v>Не решено</x:v>
      </x:c>
      <x:c r="AH1300" s="17" t="str">
        <x:v>Не проверено</x:v>
      </x:c>
      <x:c r="AI1300" s="10" t="str">
        <x:f>IF(AC1300="Отклонить","Отклонено",IF(AND(AC1300="Взять",COUNTIFS(AD1300:AH1300,"Да")=5),"Готово","Нужна редактура"))</x:f>
        <x:v>Нужна редактура</x:v>
      </x:c>
      <x:c r="AJ1300" s="17" t="str"/>
      <x:c r="AK1300" s="9" t="str">
        <x:v>https://www.youtube.com/playlist?list=PL5tTMlIkxhYclnhSKHgM3iDpxmLjyasMp</x:v>
      </x:c>
      <x:c r="AL1300" s="9" t="n">
        <x:v>22</x:v>
      </x:c>
      <x:c r="AM1300" s="9"/>
      <x:c r="AN1300" s="9"/>
    </x:row>
    <x:row r="1301" ht="60" customHeight="1">
      <x:c r="A1301" s="9" t="str">
        <x:v>ujO1sc9NcGU</x:v>
      </x:c>
      <x:c r="B1301" s="10" t="str">
        <x:v>שנות ה-80 | "זה גוזל של כלבלב בן כלב"</x:v>
      </x:c>
      <x:c r="C1301" s="10" t="str">
        <x:v>Семья и культурная память</x:v>
      </x:c>
      <x:c r="D1301" s="9" t="str">
        <x:v>Сериал</x:v>
      </x:c>
      <x:c r="E1301" s="10" t="str">
        <x:v>Сериалы; мизрахи-культура; ностальгия</x:v>
      </x:c>
      <x:c r="F1301" s="10" t="str">
        <x:v>B2–C1 (гипотеза)</x:v>
      </x:c>
      <x:c r="G1301" s="12" t="n">
        <x:v>1.1</x:v>
      </x:c>
      <x:c r="H1301" s="14" t="n">
        <x:v>176000</x:v>
      </x:c>
      <x:c r="I1301" s="15" t="str">
        <x:v>Округлённый счётчик в списке YouTube</x:v>
      </x:c>
      <x:c r="J1301" s="14" t="n">
        <x:v>176000</x:v>
      </x:c>
      <x:c r="K1301" s="14" t="n">
        <x:v>198000</x:v>
      </x:c>
      <x:c r="L1301" s="12" t="n">
        <x:f>IF(COUNT(J1301:K1301)=2,IF(K1301=0,"",J1301/K1301),"")</x:f>
        <x:v>0.8888888888888888</x:v>
      </x:c>
      <x:c r="M1301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301" s="10" t="str">
        <x:v>Выбрать диалог; объяснить бытовую отсылку и шутку.</x:v>
      </x:c>
      <x:c r="O1301" s="10" t="str">
        <x:v>Плейлист может содержать только фрагменты; полный выпуск проверяется отдельно</x:v>
      </x:c>
      <x:c r="P1301" s="10" t="str">
        <x:v>Фрагмент сериала</x:v>
      </x:c>
      <x:c r="Q1301" s="9" t="str">
        <x:v>Нет</x:v>
      </x:c>
      <x:c r="R1301" s="9" t="str">
        <x:v>C079</x:v>
      </x:c>
      <x:c r="S1301" s="9" t="str">
        <x:v>C079</x:v>
      </x:c>
      <x:c r="T1301" s="10" t="str">
        <x:v>רשת 13</x:v>
      </x:c>
      <x:c r="U1301" s="11" t="str">
        <x:v>https://www.youtube.com/watch?v=ujO1sc9NcGU</x:v>
      </x:c>
      <x:c r="V1301" s="16" t="n">
        <x:v>46308</x:v>
      </x:c>
      <x:c r="W1301" s="16"/>
      <x:c r="X1301" s="10" t="str">
        <x:v>Иврит предполагается по заголовку и источнику</x:v>
      </x:c>
      <x:c r="Y1301" s="10" t="str">
        <x:v>Не проверено</x:v>
      </x:c>
      <x:c r="Z1301" s="10" t="str">
        <x:v>Не проверено</x:v>
      </x:c>
      <x:c r="AA1301" s="10" t="str">
        <x:v>Метаданные списка; видео не просмотрено</x:v>
      </x:c>
      <x:c r="AB1301" s="13" t="str">
        <x:f>IF(AND(ISNUMBER(H1301),ISNUMBER(W1301)),H1301/MAX(1,'Обзор'!$B$4-W1301),"")</x:f>
      </x:c>
      <x:c r="AC1301" s="17" t="str">
        <x:v>Не решено</x:v>
      </x:c>
      <x:c r="AD1301" s="17" t="str">
        <x:v>Не проверено</x:v>
      </x:c>
      <x:c r="AE1301" s="17" t="str">
        <x:v>Не проверено</x:v>
      </x:c>
      <x:c r="AF1301" s="17" t="str">
        <x:v>Не проверено</x:v>
      </x:c>
      <x:c r="AG1301" s="17" t="str">
        <x:v>Не решено</x:v>
      </x:c>
      <x:c r="AH1301" s="17" t="str">
        <x:v>Не проверено</x:v>
      </x:c>
      <x:c r="AI1301" s="10" t="str">
        <x:f>IF(AC1301="Отклонить","Отклонено",IF(AND(AC1301="Взять",COUNTIFS(AD1301:AH1301,"Да")=5),"Готово","Нужна редактура"))</x:f>
        <x:v>Нужна редактура</x:v>
      </x:c>
      <x:c r="AJ1301" s="17" t="str"/>
      <x:c r="AK1301" s="9" t="str">
        <x:v>https://www.youtube.com/playlist?list=PL5tTMlIkxhYclnhSKHgM3iDpxmLjyasMp</x:v>
      </x:c>
      <x:c r="AL1301" s="9" t="n">
        <x:v>23</x:v>
      </x:c>
      <x:c r="AM1301" s="9"/>
      <x:c r="AN1301" s="9"/>
    </x:row>
    <x:row r="1302" ht="60" customHeight="1">
      <x:c r="A1302" s="9" t="str">
        <x:v>wlHJiTOHFqU</x:v>
      </x:c>
      <x:c r="B1302" s="10" t="str">
        <x:v>שנות ה-80 | שיעור תורה מס' 5 עם רבי מאיר</x:v>
      </x:c>
      <x:c r="C1302" s="10" t="str">
        <x:v>Семья и культурная память</x:v>
      </x:c>
      <x:c r="D1302" s="9" t="str">
        <x:v>Сериал</x:v>
      </x:c>
      <x:c r="E1302" s="10" t="str">
        <x:v>Сериалы; мизрахи-культура; ностальгия</x:v>
      </x:c>
      <x:c r="F1302" s="10" t="str">
        <x:v>B2–C1 (гипотеза)</x:v>
      </x:c>
      <x:c r="G1302" s="12" t="n">
        <x:v>1.5</x:v>
      </x:c>
      <x:c r="H1302" s="14" t="n">
        <x:v>116000</x:v>
      </x:c>
      <x:c r="I1302" s="15" t="str">
        <x:v>Округлённый счётчик в списке YouTube</x:v>
      </x:c>
      <x:c r="J1302" s="14" t="n">
        <x:v>116000</x:v>
      </x:c>
      <x:c r="K1302" s="14" t="n">
        <x:v>198000</x:v>
      </x:c>
      <x:c r="L1302" s="12" t="n">
        <x:f>IF(COUNT(J1302:K1302)=2,IF(K1302=0,"",J1302/K1302),"")</x:f>
        <x:v>0.5858585858585859</x:v>
      </x:c>
      <x:c r="M1302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302" s="10" t="str">
        <x:v>Выбрать диалог; объяснить бытовую отсылку и шутку.</x:v>
      </x:c>
      <x:c r="O1302" s="10" t="str">
        <x:v>Плейлист может содержать только фрагменты; полный выпуск проверяется отдельно</x:v>
      </x:c>
      <x:c r="P1302" s="10" t="str">
        <x:v>Фрагмент сериала</x:v>
      </x:c>
      <x:c r="Q1302" s="9" t="str">
        <x:v>Нет</x:v>
      </x:c>
      <x:c r="R1302" s="9" t="str">
        <x:v>C079</x:v>
      </x:c>
      <x:c r="S1302" s="9" t="str">
        <x:v>C079</x:v>
      </x:c>
      <x:c r="T1302" s="10" t="str">
        <x:v>רשת 13</x:v>
      </x:c>
      <x:c r="U1302" s="11" t="str">
        <x:v>https://www.youtube.com/watch?v=wlHJiTOHFqU</x:v>
      </x:c>
      <x:c r="V1302" s="16" t="n">
        <x:v>46308</x:v>
      </x:c>
      <x:c r="W1302" s="16"/>
      <x:c r="X1302" s="10" t="str">
        <x:v>Иврит предполагается по заголовку и источнику</x:v>
      </x:c>
      <x:c r="Y1302" s="10" t="str">
        <x:v>Не проверено</x:v>
      </x:c>
      <x:c r="Z1302" s="10" t="str">
        <x:v>Не проверено</x:v>
      </x:c>
      <x:c r="AA1302" s="10" t="str">
        <x:v>Метаданные списка; видео не просмотрено</x:v>
      </x:c>
      <x:c r="AB1302" s="13" t="str">
        <x:f>IF(AND(ISNUMBER(H1302),ISNUMBER(W1302)),H1302/MAX(1,'Обзор'!$B$4-W1302),"")</x:f>
      </x:c>
      <x:c r="AC1302" s="17" t="str">
        <x:v>Не решено</x:v>
      </x:c>
      <x:c r="AD1302" s="17" t="str">
        <x:v>Не проверено</x:v>
      </x:c>
      <x:c r="AE1302" s="17" t="str">
        <x:v>Не проверено</x:v>
      </x:c>
      <x:c r="AF1302" s="17" t="str">
        <x:v>Не проверено</x:v>
      </x:c>
      <x:c r="AG1302" s="17" t="str">
        <x:v>Не решено</x:v>
      </x:c>
      <x:c r="AH1302" s="17" t="str">
        <x:v>Не проверено</x:v>
      </x:c>
      <x:c r="AI1302" s="10" t="str">
        <x:f>IF(AC1302="Отклонить","Отклонено",IF(AND(AC1302="Взять",COUNTIFS(AD1302:AH1302,"Да")=5),"Готово","Нужна редактура"))</x:f>
        <x:v>Нужна редактура</x:v>
      </x:c>
      <x:c r="AJ1302" s="17" t="str"/>
      <x:c r="AK1302" s="9" t="str">
        <x:v>https://www.youtube.com/playlist?list=PL5tTMlIkxhYclnhSKHgM3iDpxmLjyasMp</x:v>
      </x:c>
      <x:c r="AL1302" s="9" t="n">
        <x:v>26</x:v>
      </x:c>
      <x:c r="AM1302" s="9"/>
      <x:c r="AN1302" s="9"/>
    </x:row>
    <x:row r="1303" ht="60" customHeight="1">
      <x:c r="A1303" s="9" t="str">
        <x:v>XOn4Q2WsYlw</x:v>
      </x:c>
      <x:c r="B1303" s="10" t="str">
        <x:v>שנות ה-80 | שיעור תורה מס' 4 עם רבי מאיר</x:v>
      </x:c>
      <x:c r="C1303" s="10" t="str">
        <x:v>Семья и культурная память</x:v>
      </x:c>
      <x:c r="D1303" s="9" t="str">
        <x:v>Сериал</x:v>
      </x:c>
      <x:c r="E1303" s="10" t="str">
        <x:v>Сериалы; мизрахи-культура; ностальгия</x:v>
      </x:c>
      <x:c r="F1303" s="10" t="str">
        <x:v>B2–C1 (гипотеза)</x:v>
      </x:c>
      <x:c r="G1303" s="12" t="n">
        <x:v>2</x:v>
      </x:c>
      <x:c r="H1303" s="14" t="n">
        <x:v>160000</x:v>
      </x:c>
      <x:c r="I1303" s="15" t="str">
        <x:v>Округлённый счётчик в списке YouTube</x:v>
      </x:c>
      <x:c r="J1303" s="14" t="n">
        <x:v>160000</x:v>
      </x:c>
      <x:c r="K1303" s="14" t="n">
        <x:v>198000</x:v>
      </x:c>
      <x:c r="L1303" s="12" t="n">
        <x:f>IF(COUNT(J1303:K1303)=2,IF(K1303=0,"",J1303/K1303),"")</x:f>
        <x:v>0.8080808080808081</x:v>
      </x:c>
      <x:c r="M1303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303" s="10" t="str">
        <x:v>Выбрать диалог; объяснить бытовую отсылку и шутку.</x:v>
      </x:c>
      <x:c r="O1303" s="10" t="str">
        <x:v>Плейлист может содержать только фрагменты; полный выпуск проверяется отдельно</x:v>
      </x:c>
      <x:c r="P1303" s="10" t="str">
        <x:v>Фрагмент сериала</x:v>
      </x:c>
      <x:c r="Q1303" s="9" t="str">
        <x:v>Нет</x:v>
      </x:c>
      <x:c r="R1303" s="9" t="str">
        <x:v>C079</x:v>
      </x:c>
      <x:c r="S1303" s="9" t="str">
        <x:v>C079</x:v>
      </x:c>
      <x:c r="T1303" s="10" t="str">
        <x:v>רשת 13</x:v>
      </x:c>
      <x:c r="U1303" s="11" t="str">
        <x:v>https://www.youtube.com/watch?v=XOn4Q2WsYlw</x:v>
      </x:c>
      <x:c r="V1303" s="16" t="n">
        <x:v>46308</x:v>
      </x:c>
      <x:c r="W1303" s="16"/>
      <x:c r="X1303" s="10" t="str">
        <x:v>Иврит предполагается по заголовку и источнику</x:v>
      </x:c>
      <x:c r="Y1303" s="10" t="str">
        <x:v>Не проверено</x:v>
      </x:c>
      <x:c r="Z1303" s="10" t="str">
        <x:v>Не проверено</x:v>
      </x:c>
      <x:c r="AA1303" s="10" t="str">
        <x:v>Метаданные списка; видео не просмотрено</x:v>
      </x:c>
      <x:c r="AB1303" s="13" t="str">
        <x:f>IF(AND(ISNUMBER(H1303),ISNUMBER(W1303)),H1303/MAX(1,'Обзор'!$B$4-W1303),"")</x:f>
      </x:c>
      <x:c r="AC1303" s="17" t="str">
        <x:v>Не решено</x:v>
      </x:c>
      <x:c r="AD1303" s="17" t="str">
        <x:v>Не проверено</x:v>
      </x:c>
      <x:c r="AE1303" s="17" t="str">
        <x:v>Не проверено</x:v>
      </x:c>
      <x:c r="AF1303" s="17" t="str">
        <x:v>Не проверено</x:v>
      </x:c>
      <x:c r="AG1303" s="17" t="str">
        <x:v>Не решено</x:v>
      </x:c>
      <x:c r="AH1303" s="17" t="str">
        <x:v>Не проверено</x:v>
      </x:c>
      <x:c r="AI1303" s="10" t="str">
        <x:f>IF(AC1303="Отклонить","Отклонено",IF(AND(AC1303="Взять",COUNTIFS(AD1303:AH1303,"Да")=5),"Готово","Нужна редактура"))</x:f>
        <x:v>Нужна редактура</x:v>
      </x:c>
      <x:c r="AJ1303" s="17" t="str"/>
      <x:c r="AK1303" s="9" t="str">
        <x:v>https://www.youtube.com/playlist?list=PL5tTMlIkxhYclnhSKHgM3iDpxmLjyasMp</x:v>
      </x:c>
      <x:c r="AL1303" s="9" t="n">
        <x:v>27</x:v>
      </x:c>
      <x:c r="AM1303" s="9"/>
      <x:c r="AN1303" s="9"/>
    </x:row>
    <x:row r="1304" ht="60" customHeight="1">
      <x:c r="A1304" s="9" t="str">
        <x:v>qEWGYdFwiWI</x:v>
      </x:c>
      <x:c r="B1304" s="10" t="str">
        <x:v>למי קראת מגעילה? מיטב הקללות של מורדי</x:v>
      </x:c>
      <x:c r="C1304" s="10" t="str">
        <x:v>Семья и культурная память</x:v>
      </x:c>
      <x:c r="D1304" s="9" t="str">
        <x:v>Сериал</x:v>
      </x:c>
      <x:c r="E1304" s="10" t="str">
        <x:v>Сериалы; мизрахи-культура; ностальгия</x:v>
      </x:c>
      <x:c r="F1304" s="10" t="str">
        <x:v>B2–C1 (гипотеза)</x:v>
      </x:c>
      <x:c r="G1304" s="12" t="n">
        <x:v>1.3</x:v>
      </x:c>
      <x:c r="H1304" s="14" t="n">
        <x:v>537000</x:v>
      </x:c>
      <x:c r="I1304" s="15" t="str">
        <x:v>Округлённый счётчик в списке YouTube</x:v>
      </x:c>
      <x:c r="J1304" s="14" t="n">
        <x:v>537000</x:v>
      </x:c>
      <x:c r="K1304" s="14" t="n">
        <x:v>198000</x:v>
      </x:c>
      <x:c r="L1304" s="12" t="n">
        <x:f>IF(COUNT(J1304:K1304)=2,IF(K1304=0,"",J1304/K1304),"")</x:f>
        <x:v>2.712121212121212</x:v>
      </x:c>
      <x:c r="M1304" s="10" t="str">
        <x:v>Сценка из сериала; полезна для короткого разбора, не заменяет полную серию. Просмотры в списке выше медианы выборки этого цикла в 2.71 раза. Семейная комедия добавляет ностальгию и культурный контекст мизрахи. Важная альтернатива сериалам Kan.</x:v>
      </x:c>
      <x:c r="N1304" s="10" t="str">
        <x:v>Выбрать диалог; объяснить бытовую отсылку и шутку.</x:v>
      </x:c>
      <x:c r="O1304" s="10" t="str">
        <x:v>Плейлист может содержать только фрагменты; полный выпуск проверяется отдельно</x:v>
      </x:c>
      <x:c r="P1304" s="10" t="str">
        <x:v>Фрагмент сериала</x:v>
      </x:c>
      <x:c r="Q1304" s="9" t="str">
        <x:v>Нет</x:v>
      </x:c>
      <x:c r="R1304" s="9" t="str">
        <x:v>C079</x:v>
      </x:c>
      <x:c r="S1304" s="9" t="str">
        <x:v>C079</x:v>
      </x:c>
      <x:c r="T1304" s="10" t="str">
        <x:v>רשת 13</x:v>
      </x:c>
      <x:c r="U1304" s="11" t="str">
        <x:v>https://www.youtube.com/watch?v=qEWGYdFwiWI</x:v>
      </x:c>
      <x:c r="V1304" s="16" t="n">
        <x:v>46308</x:v>
      </x:c>
      <x:c r="W1304" s="16"/>
      <x:c r="X1304" s="10" t="str">
        <x:v>Иврит предполагается по заголовку и источнику</x:v>
      </x:c>
      <x:c r="Y1304" s="10" t="str">
        <x:v>Не проверено</x:v>
      </x:c>
      <x:c r="Z1304" s="10" t="str">
        <x:v>Не проверено</x:v>
      </x:c>
      <x:c r="AA1304" s="10" t="str">
        <x:v>Метаданные списка; видео не просмотрено</x:v>
      </x:c>
      <x:c r="AB1304" s="13" t="str">
        <x:f>IF(AND(ISNUMBER(H1304),ISNUMBER(W1304)),H1304/MAX(1,'Обзор'!$B$4-W1304),"")</x:f>
      </x:c>
      <x:c r="AC1304" s="17" t="str">
        <x:v>Не решено</x:v>
      </x:c>
      <x:c r="AD1304" s="17" t="str">
        <x:v>Не проверено</x:v>
      </x:c>
      <x:c r="AE1304" s="17" t="str">
        <x:v>Не проверено</x:v>
      </x:c>
      <x:c r="AF1304" s="17" t="str">
        <x:v>Не проверено</x:v>
      </x:c>
      <x:c r="AG1304" s="17" t="str">
        <x:v>Не решено</x:v>
      </x:c>
      <x:c r="AH1304" s="17" t="str">
        <x:v>Не проверено</x:v>
      </x:c>
      <x:c r="AI1304" s="10" t="str">
        <x:f>IF(AC1304="Отклонить","Отклонено",IF(AND(AC1304="Взять",COUNTIFS(AD1304:AH1304,"Да")=5),"Готово","Нужна редактура"))</x:f>
        <x:v>Нужна редактура</x:v>
      </x:c>
      <x:c r="AJ1304" s="17" t="str"/>
      <x:c r="AK1304" s="9" t="str">
        <x:v>https://www.youtube.com/playlist?list=PL5tTMlIkxhYclnhSKHgM3iDpxmLjyasMp</x:v>
      </x:c>
      <x:c r="AL1304" s="9" t="n">
        <x:v>28</x:v>
      </x:c>
      <x:c r="AM1304" s="9"/>
      <x:c r="AN1304" s="9"/>
    </x:row>
    <x:row r="1305" ht="60" customHeight="1">
      <x:c r="A1305" s="9" t="str">
        <x:v>Kli6ySOkuV4</x:v>
      </x:c>
      <x:c r="B1305" s="10" t="str">
        <x:v>מ"בדד" ועד "רוצי שמוליק": מיטב השירים של ממוקה</x:v>
      </x:c>
      <x:c r="C1305" s="10" t="str">
        <x:v>Семья и культурная память</x:v>
      </x:c>
      <x:c r="D1305" s="9" t="str">
        <x:v>Сериал</x:v>
      </x:c>
      <x:c r="E1305" s="10" t="str">
        <x:v>Сериалы; мизрахи-культура; ностальгия</x:v>
      </x:c>
      <x:c r="F1305" s="10" t="str">
        <x:v>B2–C1 (гипотеза)</x:v>
      </x:c>
      <x:c r="G1305" s="12" t="n">
        <x:v>1.2</x:v>
      </x:c>
      <x:c r="H1305" s="14" t="n">
        <x:v>198000</x:v>
      </x:c>
      <x:c r="I1305" s="15" t="str">
        <x:v>Округлённый счётчик в списке YouTube</x:v>
      </x:c>
      <x:c r="J1305" s="14" t="n">
        <x:v>198000</x:v>
      </x:c>
      <x:c r="K1305" s="14" t="n">
        <x:v>198000</x:v>
      </x:c>
      <x:c r="L1305" s="12" t="n">
        <x:f>IF(COUNT(J1305:K1305)=2,IF(K1305=0,"",J1305/K1305),"")</x:f>
        <x:v>1</x:v>
      </x:c>
      <x:c r="M1305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305" s="10" t="str">
        <x:v>Выбрать диалог; объяснить бытовую отсылку и шутку.</x:v>
      </x:c>
      <x:c r="O1305" s="10" t="str">
        <x:v>Плейлист может содержать только фрагменты; полный выпуск проверяется отдельно</x:v>
      </x:c>
      <x:c r="P1305" s="10" t="str">
        <x:v>Фрагмент сериала</x:v>
      </x:c>
      <x:c r="Q1305" s="9" t="str">
        <x:v>Нет</x:v>
      </x:c>
      <x:c r="R1305" s="9" t="str">
        <x:v>C079</x:v>
      </x:c>
      <x:c r="S1305" s="9" t="str">
        <x:v>C079</x:v>
      </x:c>
      <x:c r="T1305" s="10" t="str">
        <x:v>רשת 13</x:v>
      </x:c>
      <x:c r="U1305" s="11" t="str">
        <x:v>https://www.youtube.com/watch?v=Kli6ySOkuV4</x:v>
      </x:c>
      <x:c r="V1305" s="16" t="n">
        <x:v>46308</x:v>
      </x:c>
      <x:c r="W1305" s="16"/>
      <x:c r="X1305" s="10" t="str">
        <x:v>Иврит предполагается по заголовку и источнику</x:v>
      </x:c>
      <x:c r="Y1305" s="10" t="str">
        <x:v>Не проверено</x:v>
      </x:c>
      <x:c r="Z1305" s="10" t="str">
        <x:v>Не проверено</x:v>
      </x:c>
      <x:c r="AA1305" s="10" t="str">
        <x:v>Метаданные списка; видео не просмотрено</x:v>
      </x:c>
      <x:c r="AB1305" s="13" t="str">
        <x:f>IF(AND(ISNUMBER(H1305),ISNUMBER(W1305)),H1305/MAX(1,'Обзор'!$B$4-W1305),"")</x:f>
      </x:c>
      <x:c r="AC1305" s="17" t="str">
        <x:v>Не решено</x:v>
      </x:c>
      <x:c r="AD1305" s="17" t="str">
        <x:v>Не проверено</x:v>
      </x:c>
      <x:c r="AE1305" s="17" t="str">
        <x:v>Не проверено</x:v>
      </x:c>
      <x:c r="AF1305" s="17" t="str">
        <x:v>Не проверено</x:v>
      </x:c>
      <x:c r="AG1305" s="17" t="str">
        <x:v>Не решено</x:v>
      </x:c>
      <x:c r="AH1305" s="17" t="str">
        <x:v>Не проверено</x:v>
      </x:c>
      <x:c r="AI1305" s="10" t="str">
        <x:f>IF(AC1305="Отклонить","Отклонено",IF(AND(AC1305="Взять",COUNTIFS(AD1305:AH1305,"Да")=5),"Готово","Нужна редактура"))</x:f>
        <x:v>Нужна редактура</x:v>
      </x:c>
      <x:c r="AJ1305" s="17" t="str"/>
      <x:c r="AK1305" s="9" t="str">
        <x:v>https://www.youtube.com/playlist?list=PL5tTMlIkxhYclnhSKHgM3iDpxmLjyasMp</x:v>
      </x:c>
      <x:c r="AL1305" s="9" t="n">
        <x:v>29</x:v>
      </x:c>
      <x:c r="AM1305" s="9"/>
      <x:c r="AN1305" s="9"/>
    </x:row>
    <x:row r="1306" ht="60" customHeight="1">
      <x:c r="A1306" s="9" t="str">
        <x:v>iOLRRjT42ds</x:v>
      </x:c>
      <x:c r="B1306" s="10" t="str">
        <x:v>שנות ה-80 | חלבי מנסה לחשב מתי חיה תלד</x:v>
      </x:c>
      <x:c r="C1306" s="10" t="str">
        <x:v>Семья и культурная память</x:v>
      </x:c>
      <x:c r="D1306" s="9" t="str">
        <x:v>Сериал</x:v>
      </x:c>
      <x:c r="E1306" s="10" t="str">
        <x:v>Сериалы; мизрахи-культура; ностальгия</x:v>
      </x:c>
      <x:c r="F1306" s="10" t="str">
        <x:v>B2–C1 (гипотеза)</x:v>
      </x:c>
      <x:c r="G1306" s="12" t="n">
        <x:v>1.3</x:v>
      </x:c>
      <x:c r="H1306" s="14" t="n">
        <x:v>453000</x:v>
      </x:c>
      <x:c r="I1306" s="15" t="str">
        <x:v>Округлённый счётчик в списке YouTube</x:v>
      </x:c>
      <x:c r="J1306" s="14" t="n">
        <x:v>453000</x:v>
      </x:c>
      <x:c r="K1306" s="14" t="n">
        <x:v>198000</x:v>
      </x:c>
      <x:c r="L1306" s="12" t="n">
        <x:f>IF(COUNT(J1306:K1306)=2,IF(K1306=0,"",J1306/K1306),"")</x:f>
        <x:v>2.287878787878788</x:v>
      </x:c>
      <x:c r="M1306" s="10" t="str">
        <x:v>Сценка из сериала; полезна для короткого разбора, не заменяет полную серию. Просмотры в списке выше медианы выборки этого цикла в 2.29 раза. Семейная комедия добавляет ностальгию и культурный контекст мизрахи. Важная альтернатива сериалам Kan.</x:v>
      </x:c>
      <x:c r="N1306" s="10" t="str">
        <x:v>Выбрать диалог; объяснить бытовую отсылку и шутку.</x:v>
      </x:c>
      <x:c r="O1306" s="10" t="str">
        <x:v>Плейлист может содержать только фрагменты; полный выпуск проверяется отдельно</x:v>
      </x:c>
      <x:c r="P1306" s="10" t="str">
        <x:v>Фрагмент сериала</x:v>
      </x:c>
      <x:c r="Q1306" s="9" t="str">
        <x:v>Нет</x:v>
      </x:c>
      <x:c r="R1306" s="9" t="str">
        <x:v>C079</x:v>
      </x:c>
      <x:c r="S1306" s="9" t="str">
        <x:v>C079</x:v>
      </x:c>
      <x:c r="T1306" s="10" t="str">
        <x:v>רשת 13</x:v>
      </x:c>
      <x:c r="U1306" s="11" t="str">
        <x:v>https://www.youtube.com/watch?v=iOLRRjT42ds</x:v>
      </x:c>
      <x:c r="V1306" s="16" t="n">
        <x:v>46308</x:v>
      </x:c>
      <x:c r="W1306" s="16"/>
      <x:c r="X1306" s="10" t="str">
        <x:v>Иврит предполагается по заголовку и источнику</x:v>
      </x:c>
      <x:c r="Y1306" s="10" t="str">
        <x:v>Не проверено</x:v>
      </x:c>
      <x:c r="Z1306" s="10" t="str">
        <x:v>Не проверено</x:v>
      </x:c>
      <x:c r="AA1306" s="10" t="str">
        <x:v>Метаданные списка; видео не просмотрено</x:v>
      </x:c>
      <x:c r="AB1306" s="13" t="str">
        <x:f>IF(AND(ISNUMBER(H1306),ISNUMBER(W1306)),H1306/MAX(1,'Обзор'!$B$4-W1306),"")</x:f>
      </x:c>
      <x:c r="AC1306" s="17" t="str">
        <x:v>Не решено</x:v>
      </x:c>
      <x:c r="AD1306" s="17" t="str">
        <x:v>Не проверено</x:v>
      </x:c>
      <x:c r="AE1306" s="17" t="str">
        <x:v>Не проверено</x:v>
      </x:c>
      <x:c r="AF1306" s="17" t="str">
        <x:v>Не проверено</x:v>
      </x:c>
      <x:c r="AG1306" s="17" t="str">
        <x:v>Не решено</x:v>
      </x:c>
      <x:c r="AH1306" s="17" t="str">
        <x:v>Не проверено</x:v>
      </x:c>
      <x:c r="AI1306" s="10" t="str">
        <x:f>IF(AC1306="Отклонить","Отклонено",IF(AND(AC1306="Взять",COUNTIFS(AD1306:AH1306,"Да")=5),"Готово","Нужна редактура"))</x:f>
        <x:v>Нужна редактура</x:v>
      </x:c>
      <x:c r="AJ1306" s="17" t="str"/>
      <x:c r="AK1306" s="9" t="str">
        <x:v>https://www.youtube.com/playlist?list=PL5tTMlIkxhYclnhSKHgM3iDpxmLjyasMp</x:v>
      </x:c>
      <x:c r="AL1306" s="9" t="n">
        <x:v>30</x:v>
      </x:c>
      <x:c r="AM1306" s="9"/>
      <x:c r="AN1306" s="9"/>
    </x:row>
    <x:row r="1307" ht="60" customHeight="1">
      <x:c r="A1307" s="9" t="str">
        <x:v>o-liZiZoIm0</x:v>
      </x:c>
      <x:c r="B1307" s="10" t="str">
        <x:v>שנות ה-80 | עד העוגיות של ליליאן!</x:v>
      </x:c>
      <x:c r="C1307" s="10" t="str">
        <x:v>Семья и культурная память</x:v>
      </x:c>
      <x:c r="D1307" s="9" t="str">
        <x:v>Сериал</x:v>
      </x:c>
      <x:c r="E1307" s="10" t="str">
        <x:v>Сериалы; мизрахи-культура; ностальгия</x:v>
      </x:c>
      <x:c r="F1307" s="10" t="str">
        <x:v>B2–C1 (гипотеза)</x:v>
      </x:c>
      <x:c r="G1307" s="12" t="n">
        <x:v>0.7</x:v>
      </x:c>
      <x:c r="H1307" s="14" t="n">
        <x:v>138000</x:v>
      </x:c>
      <x:c r="I1307" s="15" t="str">
        <x:v>Округлённый счётчик в списке YouTube</x:v>
      </x:c>
      <x:c r="J1307" s="14" t="n">
        <x:v>138000</x:v>
      </x:c>
      <x:c r="K1307" s="14" t="n">
        <x:v>198000</x:v>
      </x:c>
      <x:c r="L1307" s="12" t="n">
        <x:f>IF(COUNT(J1307:K1307)=2,IF(K1307=0,"",J1307/K1307),"")</x:f>
        <x:v>0.696969696969697</x:v>
      </x:c>
      <x:c r="M1307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307" s="10" t="str">
        <x:v>Выбрать диалог; объяснить бытовую отсылку и шутку.</x:v>
      </x:c>
      <x:c r="O1307" s="10" t="str">
        <x:v>Плейлист может содержать только фрагменты; полный выпуск проверяется отдельно</x:v>
      </x:c>
      <x:c r="P1307" s="10" t="str">
        <x:v>Фрагмент сериала</x:v>
      </x:c>
      <x:c r="Q1307" s="9" t="str">
        <x:v>Нет</x:v>
      </x:c>
      <x:c r="R1307" s="9" t="str">
        <x:v>C079</x:v>
      </x:c>
      <x:c r="S1307" s="9" t="str">
        <x:v>C079</x:v>
      </x:c>
      <x:c r="T1307" s="10" t="str">
        <x:v>רשת 13</x:v>
      </x:c>
      <x:c r="U1307" s="11" t="str">
        <x:v>https://www.youtube.com/watch?v=o-liZiZoIm0</x:v>
      </x:c>
      <x:c r="V1307" s="16" t="n">
        <x:v>46308</x:v>
      </x:c>
      <x:c r="W1307" s="16"/>
      <x:c r="X1307" s="10" t="str">
        <x:v>Иврит предполагается по заголовку и источнику</x:v>
      </x:c>
      <x:c r="Y1307" s="10" t="str">
        <x:v>Не проверено</x:v>
      </x:c>
      <x:c r="Z1307" s="10" t="str">
        <x:v>Не проверено</x:v>
      </x:c>
      <x:c r="AA1307" s="10" t="str">
        <x:v>Метаданные списка; видео не просмотрено</x:v>
      </x:c>
      <x:c r="AB1307" s="13" t="str">
        <x:f>IF(AND(ISNUMBER(H1307),ISNUMBER(W1307)),H1307/MAX(1,'Обзор'!$B$4-W1307),"")</x:f>
      </x:c>
      <x:c r="AC1307" s="17" t="str">
        <x:v>Не решено</x:v>
      </x:c>
      <x:c r="AD1307" s="17" t="str">
        <x:v>Не проверено</x:v>
      </x:c>
      <x:c r="AE1307" s="17" t="str">
        <x:v>Не проверено</x:v>
      </x:c>
      <x:c r="AF1307" s="17" t="str">
        <x:v>Не проверено</x:v>
      </x:c>
      <x:c r="AG1307" s="17" t="str">
        <x:v>Не решено</x:v>
      </x:c>
      <x:c r="AH1307" s="17" t="str">
        <x:v>Не проверено</x:v>
      </x:c>
      <x:c r="AI1307" s="10" t="str">
        <x:f>IF(AC1307="Отклонить","Отклонено",IF(AND(AC1307="Взять",COUNTIFS(AD1307:AH1307,"Да")=5),"Готово","Нужна редактура"))</x:f>
        <x:v>Нужна редактура</x:v>
      </x:c>
      <x:c r="AJ1307" s="17" t="str"/>
      <x:c r="AK1307" s="9" t="str">
        <x:v>https://www.youtube.com/playlist?list=PL5tTMlIkxhYclnhSKHgM3iDpxmLjyasMp</x:v>
      </x:c>
      <x:c r="AL1307" s="9" t="n">
        <x:v>31</x:v>
      </x:c>
      <x:c r="AM1307" s="9"/>
      <x:c r="AN1307" s="9"/>
    </x:row>
    <x:row r="1308" ht="60" customHeight="1">
      <x:c r="A1308" s="9" t="str">
        <x:v>6aHE2q23d6I</x:v>
      </x:c>
      <x:c r="B1308" s="10" t="str">
        <x:v>שנות ה-80 | איך אומרים "בית ספר" בשפת הגימ"ל?</x:v>
      </x:c>
      <x:c r="C1308" s="10" t="str">
        <x:v>Семья и культурная память</x:v>
      </x:c>
      <x:c r="D1308" s="9" t="str">
        <x:v>Сериал</x:v>
      </x:c>
      <x:c r="E1308" s="10" t="str">
        <x:v>Сериалы; мизрахи-культура; ностальгия</x:v>
      </x:c>
      <x:c r="F1308" s="10" t="str">
        <x:v>B2–C1 (гипотеза)</x:v>
      </x:c>
      <x:c r="G1308" s="12" t="n">
        <x:v>1.1</x:v>
      </x:c>
      <x:c r="H1308" s="14" t="n">
        <x:v>262000</x:v>
      </x:c>
      <x:c r="I1308" s="15" t="str">
        <x:v>Округлённый счётчик в списке YouTube</x:v>
      </x:c>
      <x:c r="J1308" s="14" t="n">
        <x:v>262000</x:v>
      </x:c>
      <x:c r="K1308" s="14" t="n">
        <x:v>198000</x:v>
      </x:c>
      <x:c r="L1308" s="12" t="n">
        <x:f>IF(COUNT(J1308:K1308)=2,IF(K1308=0,"",J1308/K1308),"")</x:f>
        <x:v>1.3232323232323233</x:v>
      </x:c>
      <x:c r="M1308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308" s="10" t="str">
        <x:v>Выбрать диалог; объяснить бытовую отсылку и шутку.</x:v>
      </x:c>
      <x:c r="O1308" s="10" t="str">
        <x:v>Плейлист может содержать только фрагменты; полный выпуск проверяется отдельно</x:v>
      </x:c>
      <x:c r="P1308" s="10" t="str">
        <x:v>Фрагмент сериала</x:v>
      </x:c>
      <x:c r="Q1308" s="9" t="str">
        <x:v>Нет</x:v>
      </x:c>
      <x:c r="R1308" s="9" t="str">
        <x:v>C079</x:v>
      </x:c>
      <x:c r="S1308" s="9" t="str">
        <x:v>C079</x:v>
      </x:c>
      <x:c r="T1308" s="10" t="str">
        <x:v>רשת 13</x:v>
      </x:c>
      <x:c r="U1308" s="11" t="str">
        <x:v>https://www.youtube.com/watch?v=6aHE2q23d6I</x:v>
      </x:c>
      <x:c r="V1308" s="16" t="n">
        <x:v>46308</x:v>
      </x:c>
      <x:c r="W1308" s="16"/>
      <x:c r="X1308" s="10" t="str">
        <x:v>Иврит предполагается по заголовку и источнику</x:v>
      </x:c>
      <x:c r="Y1308" s="10" t="str">
        <x:v>Не проверено</x:v>
      </x:c>
      <x:c r="Z1308" s="10" t="str">
        <x:v>Не проверено</x:v>
      </x:c>
      <x:c r="AA1308" s="10" t="str">
        <x:v>Метаданные списка; видео не просмотрено</x:v>
      </x:c>
      <x:c r="AB1308" s="13" t="str">
        <x:f>IF(AND(ISNUMBER(H1308),ISNUMBER(W1308)),H1308/MAX(1,'Обзор'!$B$4-W1308),"")</x:f>
      </x:c>
      <x:c r="AC1308" s="17" t="str">
        <x:v>Не решено</x:v>
      </x:c>
      <x:c r="AD1308" s="17" t="str">
        <x:v>Не проверено</x:v>
      </x:c>
      <x:c r="AE1308" s="17" t="str">
        <x:v>Не проверено</x:v>
      </x:c>
      <x:c r="AF1308" s="17" t="str">
        <x:v>Не проверено</x:v>
      </x:c>
      <x:c r="AG1308" s="17" t="str">
        <x:v>Не решено</x:v>
      </x:c>
      <x:c r="AH1308" s="17" t="str">
        <x:v>Не проверено</x:v>
      </x:c>
      <x:c r="AI1308" s="10" t="str">
        <x:f>IF(AC1308="Отклонить","Отклонено",IF(AND(AC1308="Взять",COUNTIFS(AD1308:AH1308,"Да")=5),"Готово","Нужна редактура"))</x:f>
        <x:v>Нужна редактура</x:v>
      </x:c>
      <x:c r="AJ1308" s="17" t="str"/>
      <x:c r="AK1308" s="9" t="str">
        <x:v>https://www.youtube.com/playlist?list=PL5tTMlIkxhYclnhSKHgM3iDpxmLjyasMp</x:v>
      </x:c>
      <x:c r="AL1308" s="9" t="n">
        <x:v>32</x:v>
      </x:c>
      <x:c r="AM1308" s="9"/>
      <x:c r="AN1308" s="9"/>
    </x:row>
    <x:row r="1309" ht="60" customHeight="1">
      <x:c r="A1309" s="9" t="str">
        <x:v>qet--DDSVWU</x:v>
      </x:c>
      <x:c r="B1309" s="10" t="str">
        <x:v>שנות ה-80 | "אנחנו נהיה עשיר כמו פלטו שלגון"</x:v>
      </x:c>
      <x:c r="C1309" s="10" t="str">
        <x:v>Семья и культурная память</x:v>
      </x:c>
      <x:c r="D1309" s="9" t="str">
        <x:v>Сериал</x:v>
      </x:c>
      <x:c r="E1309" s="10" t="str">
        <x:v>Сериалы; мизрахи-культура; ностальгия</x:v>
      </x:c>
      <x:c r="F1309" s="10" t="str">
        <x:v>B2–C1 (гипотеза)</x:v>
      </x:c>
      <x:c r="G1309" s="12" t="n">
        <x:v>1.5</x:v>
      </x:c>
      <x:c r="H1309" s="14" t="n">
        <x:v>298000</x:v>
      </x:c>
      <x:c r="I1309" s="15" t="str">
        <x:v>Округлённый счётчик в списке YouTube</x:v>
      </x:c>
      <x:c r="J1309" s="14" t="n">
        <x:v>298000</x:v>
      </x:c>
      <x:c r="K1309" s="14" t="n">
        <x:v>198000</x:v>
      </x:c>
      <x:c r="L1309" s="12" t="n">
        <x:f>IF(COUNT(J1309:K1309)=2,IF(K1309=0,"",J1309/K1309),"")</x:f>
        <x:v>1.505050505050505</x:v>
      </x:c>
      <x:c r="M1309" s="10" t="str">
        <x:v>Сценка из сериала; полезна для короткого разбора, не заменяет полную серию. Просмотры в списке выше медианы выборки этого цикла в 1.51 раза. Семейная комедия добавляет ностальгию и культурный контекст мизрахи. Важная альтернатива сериалам Kan.</x:v>
      </x:c>
      <x:c r="N1309" s="10" t="str">
        <x:v>Выбрать диалог; объяснить бытовую отсылку и шутку.</x:v>
      </x:c>
      <x:c r="O1309" s="10" t="str">
        <x:v>Плейлист может содержать только фрагменты; полный выпуск проверяется отдельно</x:v>
      </x:c>
      <x:c r="P1309" s="10" t="str">
        <x:v>Фрагмент сериала</x:v>
      </x:c>
      <x:c r="Q1309" s="9" t="str">
        <x:v>Нет</x:v>
      </x:c>
      <x:c r="R1309" s="9" t="str">
        <x:v>C079</x:v>
      </x:c>
      <x:c r="S1309" s="9" t="str">
        <x:v>C079</x:v>
      </x:c>
      <x:c r="T1309" s="10" t="str">
        <x:v>רשת 13</x:v>
      </x:c>
      <x:c r="U1309" s="11" t="str">
        <x:v>https://www.youtube.com/watch?v=qet--DDSVWU</x:v>
      </x:c>
      <x:c r="V1309" s="16" t="n">
        <x:v>46308</x:v>
      </x:c>
      <x:c r="W1309" s="16"/>
      <x:c r="X1309" s="10" t="str">
        <x:v>Иврит предполагается по заголовку и источнику</x:v>
      </x:c>
      <x:c r="Y1309" s="10" t="str">
        <x:v>Не проверено</x:v>
      </x:c>
      <x:c r="Z1309" s="10" t="str">
        <x:v>Не проверено</x:v>
      </x:c>
      <x:c r="AA1309" s="10" t="str">
        <x:v>Метаданные списка; видео не просмотрено</x:v>
      </x:c>
      <x:c r="AB1309" s="13" t="str">
        <x:f>IF(AND(ISNUMBER(H1309),ISNUMBER(W1309)),H1309/MAX(1,'Обзор'!$B$4-W1309),"")</x:f>
      </x:c>
      <x:c r="AC1309" s="17" t="str">
        <x:v>Не решено</x:v>
      </x:c>
      <x:c r="AD1309" s="17" t="str">
        <x:v>Не проверено</x:v>
      </x:c>
      <x:c r="AE1309" s="17" t="str">
        <x:v>Не проверено</x:v>
      </x:c>
      <x:c r="AF1309" s="17" t="str">
        <x:v>Не проверено</x:v>
      </x:c>
      <x:c r="AG1309" s="17" t="str">
        <x:v>Не решено</x:v>
      </x:c>
      <x:c r="AH1309" s="17" t="str">
        <x:v>Не проверено</x:v>
      </x:c>
      <x:c r="AI1309" s="10" t="str">
        <x:f>IF(AC1309="Отклонить","Отклонено",IF(AND(AC1309="Взять",COUNTIFS(AD1309:AH1309,"Да")=5),"Готово","Нужна редактура"))</x:f>
        <x:v>Нужна редактура</x:v>
      </x:c>
      <x:c r="AJ1309" s="17" t="str"/>
      <x:c r="AK1309" s="9" t="str">
        <x:v>https://www.youtube.com/playlist?list=PL5tTMlIkxhYclnhSKHgM3iDpxmLjyasMp</x:v>
      </x:c>
      <x:c r="AL1309" s="9" t="n">
        <x:v>33</x:v>
      </x:c>
      <x:c r="AM1309" s="9"/>
      <x:c r="AN1309" s="9"/>
    </x:row>
    <x:row r="1310" ht="60" customHeight="1">
      <x:c r="A1310" s="9" t="str">
        <x:v>Fq4eGusFhXY</x:v>
      </x:c>
      <x:c r="B1310" s="10" t="str">
        <x:v>שנות ה-80 | "יותר קל למרוח לק על ציפורניים של טיגריסה"</x:v>
      </x:c>
      <x:c r="C1310" s="10" t="str">
        <x:v>Семья и культурная память</x:v>
      </x:c>
      <x:c r="D1310" s="9" t="str">
        <x:v>Сериал</x:v>
      </x:c>
      <x:c r="E1310" s="10" t="str">
        <x:v>Сериалы; мизрахи-культура; ностальгия</x:v>
      </x:c>
      <x:c r="F1310" s="10" t="str">
        <x:v>B2–C1 (гипотеза)</x:v>
      </x:c>
      <x:c r="G1310" s="12" t="n">
        <x:v>1.2</x:v>
      </x:c>
      <x:c r="H1310" s="14" t="n">
        <x:v>389000</x:v>
      </x:c>
      <x:c r="I1310" s="15" t="str">
        <x:v>Округлённый счётчик в списке YouTube</x:v>
      </x:c>
      <x:c r="J1310" s="14" t="n">
        <x:v>389000</x:v>
      </x:c>
      <x:c r="K1310" s="14" t="n">
        <x:v>198000</x:v>
      </x:c>
      <x:c r="L1310" s="12" t="n">
        <x:f>IF(COUNT(J1310:K1310)=2,IF(K1310=0,"",J1310/K1310),"")</x:f>
        <x:v>1.9646464646464648</x:v>
      </x:c>
      <x:c r="M1310" s="10" t="str">
        <x:v>Сценка из сериала; полезна для короткого разбора, не заменяет полную серию. Просмотры в списке выше медианы выборки этого цикла в 1.96 раза. Семейная комедия добавляет ностальгию и культурный контекст мизрахи. Важная альтернатива сериалам Kan.</x:v>
      </x:c>
      <x:c r="N1310" s="10" t="str">
        <x:v>Выбрать диалог; объяснить бытовую отсылку и шутку.</x:v>
      </x:c>
      <x:c r="O1310" s="10" t="str">
        <x:v>Плейлист может содержать только фрагменты; полный выпуск проверяется отдельно</x:v>
      </x:c>
      <x:c r="P1310" s="10" t="str">
        <x:v>Фрагмент сериала</x:v>
      </x:c>
      <x:c r="Q1310" s="9" t="str">
        <x:v>Нет</x:v>
      </x:c>
      <x:c r="R1310" s="9" t="str">
        <x:v>C079</x:v>
      </x:c>
      <x:c r="S1310" s="9" t="str">
        <x:v>C079</x:v>
      </x:c>
      <x:c r="T1310" s="10" t="str">
        <x:v>רשת 13</x:v>
      </x:c>
      <x:c r="U1310" s="11" t="str">
        <x:v>https://www.youtube.com/watch?v=Fq4eGusFhXY</x:v>
      </x:c>
      <x:c r="V1310" s="16" t="n">
        <x:v>46308</x:v>
      </x:c>
      <x:c r="W1310" s="16"/>
      <x:c r="X1310" s="10" t="str">
        <x:v>Иврит предполагается по заголовку и источнику</x:v>
      </x:c>
      <x:c r="Y1310" s="10" t="str">
        <x:v>Не проверено</x:v>
      </x:c>
      <x:c r="Z1310" s="10" t="str">
        <x:v>Не проверено</x:v>
      </x:c>
      <x:c r="AA1310" s="10" t="str">
        <x:v>Метаданные списка; видео не просмотрено</x:v>
      </x:c>
      <x:c r="AB1310" s="13" t="str">
        <x:f>IF(AND(ISNUMBER(H1310),ISNUMBER(W1310)),H1310/MAX(1,'Обзор'!$B$4-W1310),"")</x:f>
      </x:c>
      <x:c r="AC1310" s="17" t="str">
        <x:v>Не решено</x:v>
      </x:c>
      <x:c r="AD1310" s="17" t="str">
        <x:v>Не проверено</x:v>
      </x:c>
      <x:c r="AE1310" s="17" t="str">
        <x:v>Не проверено</x:v>
      </x:c>
      <x:c r="AF1310" s="17" t="str">
        <x:v>Не проверено</x:v>
      </x:c>
      <x:c r="AG1310" s="17" t="str">
        <x:v>Не решено</x:v>
      </x:c>
      <x:c r="AH1310" s="17" t="str">
        <x:v>Не проверено</x:v>
      </x:c>
      <x:c r="AI1310" s="10" t="str">
        <x:f>IF(AC1310="Отклонить","Отклонено",IF(AND(AC1310="Взять",COUNTIFS(AD1310:AH1310,"Да")=5),"Готово","Нужна редактура"))</x:f>
        <x:v>Нужна редактура</x:v>
      </x:c>
      <x:c r="AJ1310" s="17" t="str"/>
      <x:c r="AK1310" s="9" t="str">
        <x:v>https://www.youtube.com/playlist?list=PL5tTMlIkxhYclnhSKHgM3iDpxmLjyasMp</x:v>
      </x:c>
      <x:c r="AL1310" s="9" t="n">
        <x:v>34</x:v>
      </x:c>
      <x:c r="AM1310" s="9"/>
      <x:c r="AN1310" s="9"/>
    </x:row>
    <x:row r="1311" ht="60" customHeight="1">
      <x:c r="A1311" s="9" t="str">
        <x:v>cKrfiYsTWTE</x:v>
      </x:c>
      <x:c r="B1311" s="10" t="str">
        <x:v>שנות ה-80 | "זה לא אדם, זה חווה"</x:v>
      </x:c>
      <x:c r="C1311" s="10" t="str">
        <x:v>Семья и культурная память</x:v>
      </x:c>
      <x:c r="D1311" s="9" t="str">
        <x:v>Сериал</x:v>
      </x:c>
      <x:c r="E1311" s="10" t="str">
        <x:v>Сериалы; мизрахи-культура; ностальгия</x:v>
      </x:c>
      <x:c r="F1311" s="10" t="str">
        <x:v>B2–C1 (гипотеза)</x:v>
      </x:c>
      <x:c r="G1311" s="12" t="n">
        <x:v>1.6</x:v>
      </x:c>
      <x:c r="H1311" s="14" t="n">
        <x:v>382000</x:v>
      </x:c>
      <x:c r="I1311" s="15" t="str">
        <x:v>Округлённый счётчик в списке YouTube</x:v>
      </x:c>
      <x:c r="J1311" s="14" t="n">
        <x:v>382000</x:v>
      </x:c>
      <x:c r="K1311" s="14" t="n">
        <x:v>198000</x:v>
      </x:c>
      <x:c r="L1311" s="12" t="n">
        <x:f>IF(COUNT(J1311:K1311)=2,IF(K1311=0,"",J1311/K1311),"")</x:f>
        <x:v>1.9292929292929293</x:v>
      </x:c>
      <x:c r="M1311" s="10" t="str">
        <x:v>Сценка из сериала; полезна для короткого разбора, не заменяет полную серию. Просмотры в списке выше медианы выборки этого цикла в 1.93 раза. Семейная комедия добавляет ностальгию и культурный контекст мизрахи. Важная альтернатива сериалам Kan.</x:v>
      </x:c>
      <x:c r="N1311" s="10" t="str">
        <x:v>Выбрать диалог; объяснить бытовую отсылку и шутку.</x:v>
      </x:c>
      <x:c r="O1311" s="10" t="str">
        <x:v>Плейлист может содержать только фрагменты; полный выпуск проверяется отдельно</x:v>
      </x:c>
      <x:c r="P1311" s="10" t="str">
        <x:v>Фрагмент сериала</x:v>
      </x:c>
      <x:c r="Q1311" s="9" t="str">
        <x:v>Нет</x:v>
      </x:c>
      <x:c r="R1311" s="9" t="str">
        <x:v>C079</x:v>
      </x:c>
      <x:c r="S1311" s="9" t="str">
        <x:v>C079</x:v>
      </x:c>
      <x:c r="T1311" s="10" t="str">
        <x:v>רשת 13</x:v>
      </x:c>
      <x:c r="U1311" s="11" t="str">
        <x:v>https://www.youtube.com/watch?v=cKrfiYsTWTE</x:v>
      </x:c>
      <x:c r="V1311" s="16" t="n">
        <x:v>46308</x:v>
      </x:c>
      <x:c r="W1311" s="16"/>
      <x:c r="X1311" s="10" t="str">
        <x:v>Иврит предполагается по заголовку и источнику</x:v>
      </x:c>
      <x:c r="Y1311" s="10" t="str">
        <x:v>Не проверено</x:v>
      </x:c>
      <x:c r="Z1311" s="10" t="str">
        <x:v>Не проверено</x:v>
      </x:c>
      <x:c r="AA1311" s="10" t="str">
        <x:v>Метаданные списка; видео не просмотрено</x:v>
      </x:c>
      <x:c r="AB1311" s="13" t="str">
        <x:f>IF(AND(ISNUMBER(H1311),ISNUMBER(W1311)),H1311/MAX(1,'Обзор'!$B$4-W1311),"")</x:f>
      </x:c>
      <x:c r="AC1311" s="17" t="str">
        <x:v>Не решено</x:v>
      </x:c>
      <x:c r="AD1311" s="17" t="str">
        <x:v>Не проверено</x:v>
      </x:c>
      <x:c r="AE1311" s="17" t="str">
        <x:v>Не проверено</x:v>
      </x:c>
      <x:c r="AF1311" s="17" t="str">
        <x:v>Не проверено</x:v>
      </x:c>
      <x:c r="AG1311" s="17" t="str">
        <x:v>Не решено</x:v>
      </x:c>
      <x:c r="AH1311" s="17" t="str">
        <x:v>Не проверено</x:v>
      </x:c>
      <x:c r="AI1311" s="10" t="str">
        <x:f>IF(AC1311="Отклонить","Отклонено",IF(AND(AC1311="Взять",COUNTIFS(AD1311:AH1311,"Да")=5),"Готово","Нужна редактура"))</x:f>
        <x:v>Нужна редактура</x:v>
      </x:c>
      <x:c r="AJ1311" s="17" t="str"/>
      <x:c r="AK1311" s="9" t="str">
        <x:v>https://www.youtube.com/playlist?list=PL5tTMlIkxhYclnhSKHgM3iDpxmLjyasMp</x:v>
      </x:c>
      <x:c r="AL1311" s="9" t="n">
        <x:v>35</x:v>
      </x:c>
      <x:c r="AM1311" s="9"/>
      <x:c r="AN1311" s="9"/>
    </x:row>
    <x:row r="1312" ht="60" customHeight="1">
      <x:c r="A1312" s="9" t="str">
        <x:v>OK1bIbicr3k</x:v>
      </x:c>
      <x:c r="B1312" s="10" t="str">
        <x:v>שנות ה-80 | "אומר אתה הוא, גיסים"</x:v>
      </x:c>
      <x:c r="C1312" s="10" t="str">
        <x:v>Семья и культурная память</x:v>
      </x:c>
      <x:c r="D1312" s="9" t="str">
        <x:v>Сериал</x:v>
      </x:c>
      <x:c r="E1312" s="10" t="str">
        <x:v>Сериалы; мизрахи-культура; ностальгия</x:v>
      </x:c>
      <x:c r="F1312" s="10" t="str">
        <x:v>B2–C1 (гипотеза)</x:v>
      </x:c>
      <x:c r="G1312" s="12" t="n">
        <x:v>1.4</x:v>
      </x:c>
      <x:c r="H1312" s="14" t="n">
        <x:v>567827</x:v>
      </x:c>
      <x:c r="I1312" s="15" t="str">
        <x:v>Точный счётчик метаданных видео</x:v>
      </x:c>
      <x:c r="J1312" s="14" t="n">
        <x:v>567000</x:v>
      </x:c>
      <x:c r="K1312" s="14" t="n">
        <x:v>198000</x:v>
      </x:c>
      <x:c r="L1312" s="12" t="n">
        <x:f>IF(COUNT(J1312:K1312)=2,IF(K1312=0,"",J1312/K1312),"")</x:f>
        <x:v>2.8636363636363638</x:v>
      </x:c>
      <x:c r="M1312" s="10" t="str">
        <x:v>Сценка из сериала; полезна для короткого разбора, не заменяет полную серию. Просмотры в списке выше медианы выборки этого цикла в 2.86 раза. Семейная комедия добавляет ностальгию и культурный контекст мизрахи. Важная альтернатива сериалам Kan.</x:v>
      </x:c>
      <x:c r="N1312" s="10" t="str">
        <x:v>Выбрать диалог; объяснить бытовую отсылку и шутку.</x:v>
      </x:c>
      <x:c r="O1312" s="10" t="str">
        <x:v>Плейлист может содержать только фрагменты; полный выпуск проверяется отдельно</x:v>
      </x:c>
      <x:c r="P1312" s="10" t="str">
        <x:v>Фрагмент сериала</x:v>
      </x:c>
      <x:c r="Q1312" s="9" t="str">
        <x:v>Нет</x:v>
      </x:c>
      <x:c r="R1312" s="9" t="str">
        <x:v>C079</x:v>
      </x:c>
      <x:c r="S1312" s="9" t="str">
        <x:v>C079</x:v>
      </x:c>
      <x:c r="T1312" s="10" t="str">
        <x:v>רשת 13</x:v>
      </x:c>
      <x:c r="U1312" s="11" t="str">
        <x:v>https://www.youtube.com/watch?v=OK1bIbicr3k</x:v>
      </x:c>
      <x:c r="V1312" s="16" t="n">
        <x:v>46308</x:v>
      </x:c>
      <x:c r="W1312" s="16" t="n">
        <x:v>43444</x:v>
      </x:c>
      <x:c r="X1312" s="10" t="str">
        <x:v>Иврит предполагается по заголовку и источнику</x:v>
      </x:c>
      <x:c r="Y1312" s="10" t="str">
        <x:v>Дорожка HE не найдена в метаданных; вшитые титры не проверены</x:v>
      </x:c>
      <x:c r="Z1312" s="10" t="str">
        <x:v>Разрешено по метаданным</x:v>
      </x:c>
      <x:c r="AA1312" s="10" t="str">
        <x:v>Метаданные видео; воспроизведение и содержание не проверены</x:v>
      </x:c>
      <x:c r="AB1312" s="13" t="n">
        <x:f>IF(AND(ISNUMBER(H1312),ISNUMBER(W1312)),H1312/MAX(1,'Обзор'!$B$4-W1312),"")</x:f>
        <x:v>198.26361731843576</x:v>
      </x:c>
      <x:c r="AC1312" s="17" t="str">
        <x:v>Не решено</x:v>
      </x:c>
      <x:c r="AD1312" s="17" t="str">
        <x:v>Не проверено</x:v>
      </x:c>
      <x:c r="AE1312" s="17" t="str">
        <x:v>Не проверено</x:v>
      </x:c>
      <x:c r="AF1312" s="17" t="str">
        <x:v>Не проверено</x:v>
      </x:c>
      <x:c r="AG1312" s="17" t="str">
        <x:v>Не решено</x:v>
      </x:c>
      <x:c r="AH1312" s="17" t="str">
        <x:v>Не проверено</x:v>
      </x:c>
      <x:c r="AI1312" s="10" t="str">
        <x:f>IF(AC1312="Отклонить","Отклонено",IF(AND(AC1312="Взять",COUNTIFS(AD1312:AH1312,"Да")=5),"Готово","Нужна редактура"))</x:f>
        <x:v>Нужна редактура</x:v>
      </x:c>
      <x:c r="AJ1312" s="17" t="str"/>
      <x:c r="AK1312" s="9" t="str">
        <x:v>https://www.youtube.com/playlist?list=PL5tTMlIkxhYclnhSKHgM3iDpxmLjyasMp</x:v>
      </x:c>
      <x:c r="AL1312" s="9" t="n">
        <x:v>36</x:v>
      </x:c>
      <x:c r="AM1312" s="9"/>
      <x:c r="AN1312" s="9" t="n">
        <x:v>0</x:v>
      </x:c>
    </x:row>
    <x:row r="1313" ht="60" customHeight="1">
      <x:c r="A1313" s="9" t="str">
        <x:v>k1icPs5Pfzg</x:v>
      </x:c>
      <x:c r="B1313" s="10" t="str">
        <x:v>שנות ה-80 | חאלס עם הקונילמל</x:v>
      </x:c>
      <x:c r="C1313" s="10" t="str">
        <x:v>Семья и культурная память</x:v>
      </x:c>
      <x:c r="D1313" s="9" t="str">
        <x:v>Сериал</x:v>
      </x:c>
      <x:c r="E1313" s="10" t="str">
        <x:v>Сериалы; мизрахи-культура; ностальгия</x:v>
      </x:c>
      <x:c r="F1313" s="10" t="str">
        <x:v>B2–C1 (гипотеза)</x:v>
      </x:c>
      <x:c r="G1313" s="12" t="n">
        <x:v>1.5</x:v>
      </x:c>
      <x:c r="H1313" s="14" t="n">
        <x:v>516000</x:v>
      </x:c>
      <x:c r="I1313" s="15" t="str">
        <x:v>Округлённый счётчик в списке YouTube</x:v>
      </x:c>
      <x:c r="J1313" s="14" t="n">
        <x:v>516000</x:v>
      </x:c>
      <x:c r="K1313" s="14" t="n">
        <x:v>198000</x:v>
      </x:c>
      <x:c r="L1313" s="12" t="n">
        <x:f>IF(COUNT(J1313:K1313)=2,IF(K1313=0,"",J1313/K1313),"")</x:f>
        <x:v>2.606060606060606</x:v>
      </x:c>
      <x:c r="M1313" s="10" t="str">
        <x:v>Сценка из сериала; полезна для короткого разбора, не заменяет полную серию. Просмотры в списке выше медианы выборки этого цикла в 2.61 раза. Семейная комедия добавляет ностальгию и культурный контекст мизрахи. Важная альтернатива сериалам Kan.</x:v>
      </x:c>
      <x:c r="N1313" s="10" t="str">
        <x:v>Выбрать диалог; объяснить бытовую отсылку и шутку.</x:v>
      </x:c>
      <x:c r="O1313" s="10" t="str">
        <x:v>Плейлист может содержать только фрагменты; полный выпуск проверяется отдельно</x:v>
      </x:c>
      <x:c r="P1313" s="10" t="str">
        <x:v>Фрагмент сериала</x:v>
      </x:c>
      <x:c r="Q1313" s="9" t="str">
        <x:v>Нет</x:v>
      </x:c>
      <x:c r="R1313" s="9" t="str">
        <x:v>C079</x:v>
      </x:c>
      <x:c r="S1313" s="9" t="str">
        <x:v>C079</x:v>
      </x:c>
      <x:c r="T1313" s="10" t="str">
        <x:v>רשת 13</x:v>
      </x:c>
      <x:c r="U1313" s="11" t="str">
        <x:v>https://www.youtube.com/watch?v=k1icPs5Pfzg</x:v>
      </x:c>
      <x:c r="V1313" s="16" t="n">
        <x:v>46308</x:v>
      </x:c>
      <x:c r="W1313" s="16"/>
      <x:c r="X1313" s="10" t="str">
        <x:v>Иврит предполагается по заголовку и источнику</x:v>
      </x:c>
      <x:c r="Y1313" s="10" t="str">
        <x:v>Не проверено</x:v>
      </x:c>
      <x:c r="Z1313" s="10" t="str">
        <x:v>Не проверено</x:v>
      </x:c>
      <x:c r="AA1313" s="10" t="str">
        <x:v>Метаданные списка; видео не просмотрено</x:v>
      </x:c>
      <x:c r="AB1313" s="13" t="str">
        <x:f>IF(AND(ISNUMBER(H1313),ISNUMBER(W1313)),H1313/MAX(1,'Обзор'!$B$4-W1313),"")</x:f>
      </x:c>
      <x:c r="AC1313" s="17" t="str">
        <x:v>Не решено</x:v>
      </x:c>
      <x:c r="AD1313" s="17" t="str">
        <x:v>Не проверено</x:v>
      </x:c>
      <x:c r="AE1313" s="17" t="str">
        <x:v>Не проверено</x:v>
      </x:c>
      <x:c r="AF1313" s="17" t="str">
        <x:v>Не проверено</x:v>
      </x:c>
      <x:c r="AG1313" s="17" t="str">
        <x:v>Не решено</x:v>
      </x:c>
      <x:c r="AH1313" s="17" t="str">
        <x:v>Не проверено</x:v>
      </x:c>
      <x:c r="AI1313" s="10" t="str">
        <x:f>IF(AC1313="Отклонить","Отклонено",IF(AND(AC1313="Взять",COUNTIFS(AD1313:AH1313,"Да")=5),"Готово","Нужна редактура"))</x:f>
        <x:v>Нужна редактура</x:v>
      </x:c>
      <x:c r="AJ1313" s="17" t="str"/>
      <x:c r="AK1313" s="9" t="str">
        <x:v>https://www.youtube.com/playlist?list=PL5tTMlIkxhYclnhSKHgM3iDpxmLjyasMp</x:v>
      </x:c>
      <x:c r="AL1313" s="9" t="n">
        <x:v>37</x:v>
      </x:c>
      <x:c r="AM1313" s="9"/>
      <x:c r="AN1313" s="9"/>
    </x:row>
    <x:row r="1314" ht="60" customHeight="1">
      <x:c r="A1314" s="9" t="str">
        <x:v>lFuXynui9fQ</x:v>
      </x:c>
      <x:c r="B1314" s="10" t="str">
        <x:v>שנות ה-80 | מוצר השבוע: טייפ קאסט</x:v>
      </x:c>
      <x:c r="C1314" s="10" t="str">
        <x:v>Семья и культурная память</x:v>
      </x:c>
      <x:c r="D1314" s="9" t="str">
        <x:v>Сериал</x:v>
      </x:c>
      <x:c r="E1314" s="10" t="str">
        <x:v>Сериалы; мизрахи-культура; ностальгия</x:v>
      </x:c>
      <x:c r="F1314" s="10" t="str">
        <x:v>B2–C1 (гипотеза)</x:v>
      </x:c>
      <x:c r="G1314" s="12" t="n">
        <x:v>2</x:v>
      </x:c>
      <x:c r="H1314" s="14" t="n">
        <x:v>123000</x:v>
      </x:c>
      <x:c r="I1314" s="15" t="str">
        <x:v>Округлённый счётчик в списке YouTube</x:v>
      </x:c>
      <x:c r="J1314" s="14" t="n">
        <x:v>123000</x:v>
      </x:c>
      <x:c r="K1314" s="14" t="n">
        <x:v>198000</x:v>
      </x:c>
      <x:c r="L1314" s="12" t="n">
        <x:f>IF(COUNT(J1314:K1314)=2,IF(K1314=0,"",J1314/K1314),"")</x:f>
        <x:v>0.6212121212121212</x:v>
      </x:c>
      <x:c r="M1314" s="10" t="str">
        <x:v>Сценка из сериала; полезна для короткого разбора, не заменяет полную серию. Семейная комедия добавляет ностальгию и культурный контекст мизрахи. Важная альтернатива сериалам Kan.</x:v>
      </x:c>
      <x:c r="N1314" s="10" t="str">
        <x:v>Выбрать диалог; объяснить бытовую отсылку и шутку.</x:v>
      </x:c>
      <x:c r="O1314" s="10" t="str">
        <x:v>Плейлист может содержать только фрагменты; полный выпуск проверяется отдельно</x:v>
      </x:c>
      <x:c r="P1314" s="10" t="str">
        <x:v>Фрагмент сериала</x:v>
      </x:c>
      <x:c r="Q1314" s="9" t="str">
        <x:v>Нет</x:v>
      </x:c>
      <x:c r="R1314" s="9" t="str">
        <x:v>C079</x:v>
      </x:c>
      <x:c r="S1314" s="9" t="str">
        <x:v>C079</x:v>
      </x:c>
      <x:c r="T1314" s="10" t="str">
        <x:v>רשת 13</x:v>
      </x:c>
      <x:c r="U1314" s="11" t="str">
        <x:v>https://www.youtube.com/watch?v=lFuXynui9fQ</x:v>
      </x:c>
      <x:c r="V1314" s="16" t="n">
        <x:v>46308</x:v>
      </x:c>
      <x:c r="W1314" s="16"/>
      <x:c r="X1314" s="10" t="str">
        <x:v>Иврит предполагается по заголовку и источнику</x:v>
      </x:c>
      <x:c r="Y1314" s="10" t="str">
        <x:v>Не проверено</x:v>
      </x:c>
      <x:c r="Z1314" s="10" t="str">
        <x:v>Не проверено</x:v>
      </x:c>
      <x:c r="AA1314" s="10" t="str">
        <x:v>Метаданные списка; видео не просмотрено</x:v>
      </x:c>
      <x:c r="AB1314" s="13" t="str">
        <x:f>IF(AND(ISNUMBER(H1314),ISNUMBER(W1314)),H1314/MAX(1,'Обзор'!$B$4-W1314),"")</x:f>
      </x:c>
      <x:c r="AC1314" s="17" t="str">
        <x:v>Не решено</x:v>
      </x:c>
      <x:c r="AD1314" s="17" t="str">
        <x:v>Не проверено</x:v>
      </x:c>
      <x:c r="AE1314" s="17" t="str">
        <x:v>Не проверено</x:v>
      </x:c>
      <x:c r="AF1314" s="17" t="str">
        <x:v>Не проверено</x:v>
      </x:c>
      <x:c r="AG1314" s="17" t="str">
        <x:v>Не решено</x:v>
      </x:c>
      <x:c r="AH1314" s="17" t="str">
        <x:v>Не проверено</x:v>
      </x:c>
      <x:c r="AI1314" s="10" t="str">
        <x:f>IF(AC1314="Отклонить","Отклонено",IF(AND(AC1314="Взять",COUNTIFS(AD1314:AH1314,"Да")=5),"Готово","Нужна редактура"))</x:f>
        <x:v>Нужна редактура</x:v>
      </x:c>
      <x:c r="AJ1314" s="17" t="str"/>
      <x:c r="AK1314" s="9" t="str">
        <x:v>https://www.youtube.com/playlist?list=PL5tTMlIkxhYclnhSKHgM3iDpxmLjyasMp</x:v>
      </x:c>
      <x:c r="AL1314" s="9" t="n">
        <x:v>38</x:v>
      </x:c>
      <x:c r="AM1314" s="9"/>
      <x:c r="AN1314" s="9"/>
    </x:row>
    <x:row r="1315" ht="60" customHeight="1">
      <x:c r="A1315" s="9" t="str">
        <x:v>sFvqLcgGbMk</x:v>
      </x:c>
      <x:c r="B1315" s="10" t="str">
        <x:v>שנות ה-80 | ממוקה מתאהב</x:v>
      </x:c>
      <x:c r="C1315" s="10" t="str">
        <x:v>Семья и культурная память</x:v>
      </x:c>
      <x:c r="D1315" s="9" t="str">
        <x:v>Сериал</x:v>
      </x:c>
      <x:c r="E1315" s="10" t="str">
        <x:v>Сериалы; мизрахи-культура; ностальгия</x:v>
      </x:c>
      <x:c r="F1315" s="10" t="str">
        <x:v>B2–C1 (гипотеза)</x:v>
      </x:c>
      <x:c r="G1315" s="12" t="n">
        <x:v>2.1</x:v>
      </x:c>
      <x:c r="H1315" s="14" t="n">
        <x:v>782439</x:v>
      </x:c>
      <x:c r="I1315" s="15" t="str">
        <x:v>Точный счётчик метаданных видео</x:v>
      </x:c>
      <x:c r="J1315" s="14" t="n">
        <x:v>782000</x:v>
      </x:c>
      <x:c r="K1315" s="14" t="n">
        <x:v>198000</x:v>
      </x:c>
      <x:c r="L1315" s="12" t="n">
        <x:f>IF(COUNT(J1315:K1315)=2,IF(K1315=0,"",J1315/K1315),"")</x:f>
        <x:v>3.9494949494949494</x:v>
      </x:c>
      <x:c r="M1315" s="10" t="str">
        <x:v>Сценка из сериала; полезна для короткого разбора, не заменяет полную серию. Просмотры в списке выше медианы выборки этого цикла в 3.95 раза. Семейная комедия добавляет ностальгию и культурный контекст мизрахи. Важная альтернатива сериалам Kan.</x:v>
      </x:c>
      <x:c r="N1315" s="10" t="str">
        <x:v>Выбрать диалог; объяснить бытовую отсылку и шутку.</x:v>
      </x:c>
      <x:c r="O1315" s="10" t="str">
        <x:v>Плейлист может содержать только фрагменты; полный выпуск проверяется отдельно</x:v>
      </x:c>
      <x:c r="P1315" s="10" t="str">
        <x:v>Фрагмент сериала</x:v>
      </x:c>
      <x:c r="Q1315" s="9" t="str">
        <x:v>Нет</x:v>
      </x:c>
      <x:c r="R1315" s="9" t="str">
        <x:v>C079</x:v>
      </x:c>
      <x:c r="S1315" s="9" t="str">
        <x:v>C079</x:v>
      </x:c>
      <x:c r="T1315" s="10" t="str">
        <x:v>רשת 13</x:v>
      </x:c>
      <x:c r="U1315" s="11" t="str">
        <x:v>https://www.youtube.com/watch?v=sFvqLcgGbMk</x:v>
      </x:c>
      <x:c r="V1315" s="16" t="n">
        <x:v>46308</x:v>
      </x:c>
      <x:c r="W1315" s="16" t="n">
        <x:v>43426</x:v>
      </x:c>
      <x:c r="X1315" s="10" t="str">
        <x:v>Иврит предполагается по заголовку и источнику</x:v>
      </x:c>
      <x:c r="Y1315" s="10" t="str">
        <x:v>Дорожка HE не найдена в метаданных; вшитые титры не проверены</x:v>
      </x:c>
      <x:c r="Z1315" s="10" t="str">
        <x:v>Разрешено по метаданным</x:v>
      </x:c>
      <x:c r="AA1315" s="10" t="str">
        <x:v>Метаданные видео; воспроизведение и содержание не проверены</x:v>
      </x:c>
      <x:c r="AB1315" s="13" t="n">
        <x:f>IF(AND(ISNUMBER(H1315),ISNUMBER(W1315)),H1315/MAX(1,'Обзор'!$B$4-W1315),"")</x:f>
        <x:v>271.4916724496877</x:v>
      </x:c>
      <x:c r="AC1315" s="17" t="str">
        <x:v>Не решено</x:v>
      </x:c>
      <x:c r="AD1315" s="17" t="str">
        <x:v>Не проверено</x:v>
      </x:c>
      <x:c r="AE1315" s="17" t="str">
        <x:v>Не проверено</x:v>
      </x:c>
      <x:c r="AF1315" s="17" t="str">
        <x:v>Не проверено</x:v>
      </x:c>
      <x:c r="AG1315" s="17" t="str">
        <x:v>Не решено</x:v>
      </x:c>
      <x:c r="AH1315" s="17" t="str">
        <x:v>Не проверено</x:v>
      </x:c>
      <x:c r="AI1315" s="10" t="str">
        <x:f>IF(AC1315="Отклонить","Отклонено",IF(AND(AC1315="Взять",COUNTIFS(AD1315:AH1315,"Да")=5),"Готово","Нужна редактура"))</x:f>
        <x:v>Нужна редактура</x:v>
      </x:c>
      <x:c r="AJ1315" s="17" t="str"/>
      <x:c r="AK1315" s="9" t="str">
        <x:v>https://www.youtube.com/playlist?list=PL5tTMlIkxhYclnhSKHgM3iDpxmLjyasMp</x:v>
      </x:c>
      <x:c r="AL1315" s="9" t="n">
        <x:v>39</x:v>
      </x:c>
      <x:c r="AM1315" s="9"/>
      <x:c r="AN1315" s="9" t="n">
        <x:v>0</x:v>
      </x:c>
    </x:row>
    <x:row r="1316" ht="60" customHeight="1">
      <x:c r="A1316" s="9" t="str">
        <x:v>rBnVtbjC9Rs</x:v>
      </x:c>
      <x:c r="B1316" s="10" t="str">
        <x:v>שלום פוגש בפעם הראשונה את ההורים של אלינה</x:v>
      </x:c>
      <x:c r="C1316" s="10" t="str">
        <x:v>Семья и культурная память</x:v>
      </x:c>
      <x:c r="D1316" s="9" t="str">
        <x:v>Сериал</x:v>
      </x:c>
      <x:c r="E1316" s="10" t="str">
        <x:v>Сериалы; ностальгия; взрослые</x:v>
      </x:c>
      <x:c r="F1316" s="10" t="str">
        <x:v>B2–C1 (гипотеза)</x:v>
      </x:c>
      <x:c r="G1316" s="12" t="n">
        <x:v>5.5</x:v>
      </x:c>
      <x:c r="H1316" s="14" t="n">
        <x:v>190000</x:v>
      </x:c>
      <x:c r="I1316" s="15" t="str">
        <x:v>Округлённый счётчик в списке YouTube</x:v>
      </x:c>
      <x:c r="J1316" s="14" t="n">
        <x:v>190000</x:v>
      </x:c>
      <x:c r="K1316" s="14" t="n">
        <x:v>138000</x:v>
      </x:c>
      <x:c r="L1316" s="12" t="n">
        <x:f>IF(COUNT(J1316:K1316)=2,IF(K1316=0,"",J1316/K1316),"")</x:f>
        <x:v>1.3768115942028984</x:v>
      </x:c>
      <x:c r="M1316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16" s="10" t="str">
        <x:v>Сравнить две бытовые нормы прошлого и настоящего.</x:v>
      </x:c>
      <x:c r="O1316" s="10" t="str">
        <x:v>Могут быть фрагменты, а не полные серии</x:v>
      </x:c>
      <x:c r="P1316" s="10" t="str">
        <x:v>Фрагмент сериала</x:v>
      </x:c>
      <x:c r="Q1316" s="9" t="str">
        <x:v>Нет</x:v>
      </x:c>
      <x:c r="R1316" s="9" t="str">
        <x:v>C080</x:v>
      </x:c>
      <x:c r="S1316" s="9" t="str">
        <x:v>C080</x:v>
      </x:c>
      <x:c r="T1316" s="10" t="str">
        <x:v>רשת 13</x:v>
      </x:c>
      <x:c r="U1316" s="11" t="str">
        <x:v>https://www.youtube.com/watch?v=rBnVtbjC9Rs</x:v>
      </x:c>
      <x:c r="V1316" s="16" t="n">
        <x:v>46308</x:v>
      </x:c>
      <x:c r="W1316" s="16"/>
      <x:c r="X1316" s="10" t="str">
        <x:v>Иврит предполагается по заголовку и источнику</x:v>
      </x:c>
      <x:c r="Y1316" s="10" t="str">
        <x:v>Не проверено</x:v>
      </x:c>
      <x:c r="Z1316" s="10" t="str">
        <x:v>Не проверено</x:v>
      </x:c>
      <x:c r="AA1316" s="10" t="str">
        <x:v>Метаданные списка; видео не просмотрено</x:v>
      </x:c>
      <x:c r="AB1316" s="13" t="str">
        <x:f>IF(AND(ISNUMBER(H1316),ISNUMBER(W1316)),H1316/MAX(1,'Обзор'!$B$4-W1316),"")</x:f>
      </x:c>
      <x:c r="AC1316" s="17" t="str">
        <x:v>Не решено</x:v>
      </x:c>
      <x:c r="AD1316" s="17" t="str">
        <x:v>Не проверено</x:v>
      </x:c>
      <x:c r="AE1316" s="17" t="str">
        <x:v>Не проверено</x:v>
      </x:c>
      <x:c r="AF1316" s="17" t="str">
        <x:v>Не проверено</x:v>
      </x:c>
      <x:c r="AG1316" s="17" t="str">
        <x:v>Не решено</x:v>
      </x:c>
      <x:c r="AH1316" s="17" t="str">
        <x:v>Не проверено</x:v>
      </x:c>
      <x:c r="AI1316" s="10" t="str">
        <x:f>IF(AC1316="Отклонить","Отклонено",IF(AND(AC1316="Взять",COUNTIFS(AD1316:AH1316,"Да")=5),"Готово","Нужна редактура"))</x:f>
        <x:v>Нужна редактура</x:v>
      </x:c>
      <x:c r="AJ1316" s="17" t="str"/>
      <x:c r="AK1316" s="9" t="str">
        <x:v>https://www.youtube.com/playlist?list=PL5tTMlIkxhYd6PYfo74-EPVyT88pmzMpZ</x:v>
      </x:c>
      <x:c r="AL1316" s="9" t="n">
        <x:v>1</x:v>
      </x:c>
      <x:c r="AM1316" s="9"/>
      <x:c r="AN1316" s="9"/>
    </x:row>
    <x:row r="1317" ht="60" customHeight="1">
      <x:c r="A1317" s="9" t="str">
        <x:v>_rJj909_x78</x:v>
      </x:c>
      <x:c r="B1317" s="10" t="str">
        <x:v>מרסל מוצא אישה קמצנית אפילו יותר ממנו - מי יהיה זה שישלם על הדייט?</x:v>
      </x:c>
      <x:c r="C1317" s="10" t="str">
        <x:v>Семья и культурная память</x:v>
      </x:c>
      <x:c r="D1317" s="9" t="str">
        <x:v>Сериал</x:v>
      </x:c>
      <x:c r="E1317" s="10" t="str">
        <x:v>Сериалы; ностальгия; взрослые</x:v>
      </x:c>
      <x:c r="F1317" s="10" t="str">
        <x:v>B2–C1 (гипотеза)</x:v>
      </x:c>
      <x:c r="G1317" s="12" t="n">
        <x:v>5.2</x:v>
      </x:c>
      <x:c r="H1317" s="14" t="n">
        <x:v>240000</x:v>
      </x:c>
      <x:c r="I1317" s="15" t="str">
        <x:v>Округлённый счётчик в списке YouTube</x:v>
      </x:c>
      <x:c r="J1317" s="14" t="n">
        <x:v>240000</x:v>
      </x:c>
      <x:c r="K1317" s="14" t="n">
        <x:v>138000</x:v>
      </x:c>
      <x:c r="L1317" s="12" t="n">
        <x:f>IF(COUNT(J1317:K1317)=2,IF(K1317=0,"",J1317/K1317),"")</x:f>
        <x:v>1.7391304347826086</x:v>
      </x:c>
      <x:c r="M1317" s="10" t="str">
        <x:v>Сценка из сериала; полезна для короткого разбора, не заменяет полную серию. Просмотры в списке выше медианы выборки этого цикла в 1.74 раза. Продолжает семейную и социальную тему в другой эпохе. Подходит любителям привычных персонажей.</x:v>
      </x:c>
      <x:c r="N1317" s="10" t="str">
        <x:v>Сравнить две бытовые нормы прошлого и настоящего.</x:v>
      </x:c>
      <x:c r="O1317" s="10" t="str">
        <x:v>Могут быть фрагменты, а не полные серии</x:v>
      </x:c>
      <x:c r="P1317" s="10" t="str">
        <x:v>Фрагмент сериала</x:v>
      </x:c>
      <x:c r="Q1317" s="9" t="str">
        <x:v>Нет</x:v>
      </x:c>
      <x:c r="R1317" s="9" t="str">
        <x:v>C080</x:v>
      </x:c>
      <x:c r="S1317" s="9" t="str">
        <x:v>C080</x:v>
      </x:c>
      <x:c r="T1317" s="10" t="str">
        <x:v>רשת 13</x:v>
      </x:c>
      <x:c r="U1317" s="11" t="str">
        <x:v>https://www.youtube.com/watch?v=_rJj909_x78</x:v>
      </x:c>
      <x:c r="V1317" s="16" t="n">
        <x:v>46308</x:v>
      </x:c>
      <x:c r="W1317" s="16"/>
      <x:c r="X1317" s="10" t="str">
        <x:v>Иврит предполагается по заголовку и источнику</x:v>
      </x:c>
      <x:c r="Y1317" s="10" t="str">
        <x:v>Не проверено</x:v>
      </x:c>
      <x:c r="Z1317" s="10" t="str">
        <x:v>Не проверено</x:v>
      </x:c>
      <x:c r="AA1317" s="10" t="str">
        <x:v>Метаданные списка; видео не просмотрено</x:v>
      </x:c>
      <x:c r="AB1317" s="13" t="str">
        <x:f>IF(AND(ISNUMBER(H1317),ISNUMBER(W1317)),H1317/MAX(1,'Обзор'!$B$4-W1317),"")</x:f>
      </x:c>
      <x:c r="AC1317" s="17" t="str">
        <x:v>Не решено</x:v>
      </x:c>
      <x:c r="AD1317" s="17" t="str">
        <x:v>Не проверено</x:v>
      </x:c>
      <x:c r="AE1317" s="17" t="str">
        <x:v>Не проверено</x:v>
      </x:c>
      <x:c r="AF1317" s="17" t="str">
        <x:v>Не проверено</x:v>
      </x:c>
      <x:c r="AG1317" s="17" t="str">
        <x:v>Не решено</x:v>
      </x:c>
      <x:c r="AH1317" s="17" t="str">
        <x:v>Не проверено</x:v>
      </x:c>
      <x:c r="AI1317" s="10" t="str">
        <x:f>IF(AC1317="Отклонить","Отклонено",IF(AND(AC1317="Взять",COUNTIFS(AD1317:AH1317,"Да")=5),"Готово","Нужна редактура"))</x:f>
        <x:v>Нужна редактура</x:v>
      </x:c>
      <x:c r="AJ1317" s="17" t="str"/>
      <x:c r="AK1317" s="9" t="str">
        <x:v>https://www.youtube.com/playlist?list=PL5tTMlIkxhYd6PYfo74-EPVyT88pmzMpZ</x:v>
      </x:c>
      <x:c r="AL1317" s="9" t="n">
        <x:v>2</x:v>
      </x:c>
      <x:c r="AM1317" s="9"/>
      <x:c r="AN1317" s="9"/>
    </x:row>
    <x:row r="1318" ht="60" customHeight="1">
      <x:c r="A1318" s="9" t="str">
        <x:v>O461OtEXCfs</x:v>
      </x:c>
      <x:c r="B1318" s="10" t="str">
        <x:v>מורדי הופך לרב הראשי של סלון הכלות</x:v>
      </x:c>
      <x:c r="C1318" s="10" t="str">
        <x:v>Семья и культурная память</x:v>
      </x:c>
      <x:c r="D1318" s="9" t="str">
        <x:v>Сериал</x:v>
      </x:c>
      <x:c r="E1318" s="10" t="str">
        <x:v>Сериалы; ностальгия; взрослые</x:v>
      </x:c>
      <x:c r="F1318" s="10" t="str">
        <x:v>B2–C1 (гипотеза)</x:v>
      </x:c>
      <x:c r="G1318" s="12" t="n">
        <x:v>8.8</x:v>
      </x:c>
      <x:c r="H1318" s="14" t="n">
        <x:v>231000</x:v>
      </x:c>
      <x:c r="I1318" s="15" t="str">
        <x:v>Округлённый счётчик в списке YouTube</x:v>
      </x:c>
      <x:c r="J1318" s="14" t="n">
        <x:v>231000</x:v>
      </x:c>
      <x:c r="K1318" s="14" t="n">
        <x:v>138000</x:v>
      </x:c>
      <x:c r="L1318" s="12" t="n">
        <x:f>IF(COUNT(J1318:K1318)=2,IF(K1318=0,"",J1318/K1318),"")</x:f>
        <x:v>1.673913043478261</x:v>
      </x:c>
      <x:c r="M1318" s="10" t="str">
        <x:v>Сценка из сериала; полезна для короткого разбора, не заменяет полную серию. Просмотры в списке выше медианы выборки этого цикла в 1.67 раза. Продолжает семейную и социальную тему в другой эпохе. Подходит любителям привычных персонажей.</x:v>
      </x:c>
      <x:c r="N1318" s="10" t="str">
        <x:v>Сравнить две бытовые нормы прошлого и настоящего.</x:v>
      </x:c>
      <x:c r="O1318" s="10" t="str">
        <x:v>Могут быть фрагменты, а не полные серии</x:v>
      </x:c>
      <x:c r="P1318" s="10" t="str">
        <x:v>Фрагмент сериала</x:v>
      </x:c>
      <x:c r="Q1318" s="9" t="str">
        <x:v>Нет</x:v>
      </x:c>
      <x:c r="R1318" s="9" t="str">
        <x:v>C080</x:v>
      </x:c>
      <x:c r="S1318" s="9" t="str">
        <x:v>C080</x:v>
      </x:c>
      <x:c r="T1318" s="10" t="str">
        <x:v>רשת 13</x:v>
      </x:c>
      <x:c r="U1318" s="11" t="str">
        <x:v>https://www.youtube.com/watch?v=O461OtEXCfs</x:v>
      </x:c>
      <x:c r="V1318" s="16" t="n">
        <x:v>46308</x:v>
      </x:c>
      <x:c r="W1318" s="16"/>
      <x:c r="X1318" s="10" t="str">
        <x:v>Иврит предполагается по заголовку и источнику</x:v>
      </x:c>
      <x:c r="Y1318" s="10" t="str">
        <x:v>Не проверено</x:v>
      </x:c>
      <x:c r="Z1318" s="10" t="str">
        <x:v>Не проверено</x:v>
      </x:c>
      <x:c r="AA1318" s="10" t="str">
        <x:v>Метаданные списка; видео не просмотрено</x:v>
      </x:c>
      <x:c r="AB1318" s="13" t="str">
        <x:f>IF(AND(ISNUMBER(H1318),ISNUMBER(W1318)),H1318/MAX(1,'Обзор'!$B$4-W1318),"")</x:f>
      </x:c>
      <x:c r="AC1318" s="17" t="str">
        <x:v>Не решено</x:v>
      </x:c>
      <x:c r="AD1318" s="17" t="str">
        <x:v>Не проверено</x:v>
      </x:c>
      <x:c r="AE1318" s="17" t="str">
        <x:v>Не проверено</x:v>
      </x:c>
      <x:c r="AF1318" s="17" t="str">
        <x:v>Не проверено</x:v>
      </x:c>
      <x:c r="AG1318" s="17" t="str">
        <x:v>Не решено</x:v>
      </x:c>
      <x:c r="AH1318" s="17" t="str">
        <x:v>Не проверено</x:v>
      </x:c>
      <x:c r="AI1318" s="10" t="str">
        <x:f>IF(AC1318="Отклонить","Отклонено",IF(AND(AC1318="Взять",COUNTIFS(AD1318:AH1318,"Да")=5),"Готово","Нужна редактура"))</x:f>
        <x:v>Нужна редактура</x:v>
      </x:c>
      <x:c r="AJ1318" s="17" t="str"/>
      <x:c r="AK1318" s="9" t="str">
        <x:v>https://www.youtube.com/playlist?list=PL5tTMlIkxhYd6PYfo74-EPVyT88pmzMpZ</x:v>
      </x:c>
      <x:c r="AL1318" s="9" t="n">
        <x:v>3</x:v>
      </x:c>
      <x:c r="AM1318" s="9"/>
      <x:c r="AN1318" s="9"/>
    </x:row>
    <x:row r="1319" ht="60" customHeight="1">
      <x:c r="A1319" s="9" t="str">
        <x:v>EEt3zRrY2xg</x:v>
      </x:c>
      <x:c r="B1319" s="10" t="str">
        <x:v>גידי מנסה לאכול פסטרמה בבית של פרוספר - בתקופת בין המצרים</x:v>
      </x:c>
      <x:c r="C1319" s="10" t="str">
        <x:v>Семья и культурная память</x:v>
      </x:c>
      <x:c r="D1319" s="9" t="str">
        <x:v>Сериал</x:v>
      </x:c>
      <x:c r="E1319" s="10" t="str">
        <x:v>Сериалы; ностальгия; взрослые</x:v>
      </x:c>
      <x:c r="F1319" s="10" t="str">
        <x:v>B2–C1 (гипотеза)</x:v>
      </x:c>
      <x:c r="G1319" s="12" t="n">
        <x:v>3.4</x:v>
      </x:c>
      <x:c r="H1319" s="14" t="n">
        <x:v>145000</x:v>
      </x:c>
      <x:c r="I1319" s="15" t="str">
        <x:v>Округлённый счётчик в списке YouTube</x:v>
      </x:c>
      <x:c r="J1319" s="14" t="n">
        <x:v>145000</x:v>
      </x:c>
      <x:c r="K1319" s="14" t="n">
        <x:v>138000</x:v>
      </x:c>
      <x:c r="L1319" s="12" t="n">
        <x:f>IF(COUNT(J1319:K1319)=2,IF(K1319=0,"",J1319/K1319),"")</x:f>
        <x:v>1.0507246376811594</x:v>
      </x:c>
      <x:c r="M1319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19" s="10" t="str">
        <x:v>Сравнить две бытовые нормы прошлого и настоящего.</x:v>
      </x:c>
      <x:c r="O1319" s="10" t="str">
        <x:v>Могут быть фрагменты, а не полные серии</x:v>
      </x:c>
      <x:c r="P1319" s="10" t="str">
        <x:v>Фрагмент сериала</x:v>
      </x:c>
      <x:c r="Q1319" s="9" t="str">
        <x:v>Нет</x:v>
      </x:c>
      <x:c r="R1319" s="9" t="str">
        <x:v>C080</x:v>
      </x:c>
      <x:c r="S1319" s="9" t="str">
        <x:v>C080</x:v>
      </x:c>
      <x:c r="T1319" s="10" t="str">
        <x:v>רשת 13</x:v>
      </x:c>
      <x:c r="U1319" s="11" t="str">
        <x:v>https://www.youtube.com/watch?v=EEt3zRrY2xg</x:v>
      </x:c>
      <x:c r="V1319" s="16" t="n">
        <x:v>46308</x:v>
      </x:c>
      <x:c r="W1319" s="16"/>
      <x:c r="X1319" s="10" t="str">
        <x:v>Иврит предполагается по заголовку и источнику</x:v>
      </x:c>
      <x:c r="Y1319" s="10" t="str">
        <x:v>Не проверено</x:v>
      </x:c>
      <x:c r="Z1319" s="10" t="str">
        <x:v>Не проверено</x:v>
      </x:c>
      <x:c r="AA1319" s="10" t="str">
        <x:v>Метаданные списка; видео не просмотрено</x:v>
      </x:c>
      <x:c r="AB1319" s="13" t="str">
        <x:f>IF(AND(ISNUMBER(H1319),ISNUMBER(W1319)),H1319/MAX(1,'Обзор'!$B$4-W1319),"")</x:f>
      </x:c>
      <x:c r="AC1319" s="17" t="str">
        <x:v>Не решено</x:v>
      </x:c>
      <x:c r="AD1319" s="17" t="str">
        <x:v>Не проверено</x:v>
      </x:c>
      <x:c r="AE1319" s="17" t="str">
        <x:v>Не проверено</x:v>
      </x:c>
      <x:c r="AF1319" s="17" t="str">
        <x:v>Не проверено</x:v>
      </x:c>
      <x:c r="AG1319" s="17" t="str">
        <x:v>Не решено</x:v>
      </x:c>
      <x:c r="AH1319" s="17" t="str">
        <x:v>Не проверено</x:v>
      </x:c>
      <x:c r="AI1319" s="10" t="str">
        <x:f>IF(AC1319="Отклонить","Отклонено",IF(AND(AC1319="Взять",COUNTIFS(AD1319:AH1319,"Да")=5),"Готово","Нужна редактура"))</x:f>
        <x:v>Нужна редактура</x:v>
      </x:c>
      <x:c r="AJ1319" s="17" t="str"/>
      <x:c r="AK1319" s="9" t="str">
        <x:v>https://www.youtube.com/playlist?list=PL5tTMlIkxhYd6PYfo74-EPVyT88pmzMpZ</x:v>
      </x:c>
      <x:c r="AL1319" s="9" t="n">
        <x:v>4</x:v>
      </x:c>
      <x:c r="AM1319" s="9"/>
      <x:c r="AN1319" s="9"/>
    </x:row>
    <x:row r="1320" ht="60" customHeight="1">
      <x:c r="A1320" s="9" t="str">
        <x:v>G-YQzCEsaNc</x:v>
      </x:c>
      <x:c r="B1320" s="10" t="str">
        <x:v>מהיציאה של מורדי מהארון ועד המופע הראשון של שלום: הרגעים הבלתי נשכחים של הסדרה</x:v>
      </x:c>
      <x:c r="C1320" s="10" t="str">
        <x:v>Семья и культурная память</x:v>
      </x:c>
      <x:c r="D1320" s="9" t="str">
        <x:v>Сериал</x:v>
      </x:c>
      <x:c r="E1320" s="10" t="str">
        <x:v>Сериалы; ностальгия; взрослые</x:v>
      </x:c>
      <x:c r="F1320" s="10" t="str">
        <x:v>B2–C1 (гипотеза)</x:v>
      </x:c>
      <x:c r="G1320" s="12" t="n">
        <x:v>8.3</x:v>
      </x:c>
      <x:c r="H1320" s="14" t="n">
        <x:v>128000</x:v>
      </x:c>
      <x:c r="I1320" s="15" t="str">
        <x:v>Округлённый счётчик в списке YouTube</x:v>
      </x:c>
      <x:c r="J1320" s="14" t="n">
        <x:v>128000</x:v>
      </x:c>
      <x:c r="K1320" s="14" t="n">
        <x:v>138000</x:v>
      </x:c>
      <x:c r="L1320" s="12" t="n">
        <x:f>IF(COUNT(J1320:K1320)=2,IF(K1320=0,"",J1320/K1320),"")</x:f>
        <x:v>0.927536231884058</x:v>
      </x:c>
      <x:c r="M1320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20" s="10" t="str">
        <x:v>Сравнить две бытовые нормы прошлого и настоящего.</x:v>
      </x:c>
      <x:c r="O1320" s="10" t="str">
        <x:v>Могут быть фрагменты, а не полные серии</x:v>
      </x:c>
      <x:c r="P1320" s="10" t="str">
        <x:v>Фрагмент сериала</x:v>
      </x:c>
      <x:c r="Q1320" s="9" t="str">
        <x:v>Нет</x:v>
      </x:c>
      <x:c r="R1320" s="9" t="str">
        <x:v>C080</x:v>
      </x:c>
      <x:c r="S1320" s="9" t="str">
        <x:v>C080</x:v>
      </x:c>
      <x:c r="T1320" s="10" t="str">
        <x:v>רשת 13</x:v>
      </x:c>
      <x:c r="U1320" s="11" t="str">
        <x:v>https://www.youtube.com/watch?v=G-YQzCEsaNc</x:v>
      </x:c>
      <x:c r="V1320" s="16" t="n">
        <x:v>46308</x:v>
      </x:c>
      <x:c r="W1320" s="16"/>
      <x:c r="X1320" s="10" t="str">
        <x:v>Иврит предполагается по заголовку и источнику</x:v>
      </x:c>
      <x:c r="Y1320" s="10" t="str">
        <x:v>Не проверено</x:v>
      </x:c>
      <x:c r="Z1320" s="10" t="str">
        <x:v>Не проверено</x:v>
      </x:c>
      <x:c r="AA1320" s="10" t="str">
        <x:v>Метаданные списка; видео не просмотрено</x:v>
      </x:c>
      <x:c r="AB1320" s="13" t="str">
        <x:f>IF(AND(ISNUMBER(H1320),ISNUMBER(W1320)),H1320/MAX(1,'Обзор'!$B$4-W1320),"")</x:f>
      </x:c>
      <x:c r="AC1320" s="17" t="str">
        <x:v>Не решено</x:v>
      </x:c>
      <x:c r="AD1320" s="17" t="str">
        <x:v>Не проверено</x:v>
      </x:c>
      <x:c r="AE1320" s="17" t="str">
        <x:v>Не проверено</x:v>
      </x:c>
      <x:c r="AF1320" s="17" t="str">
        <x:v>Не проверено</x:v>
      </x:c>
      <x:c r="AG1320" s="17" t="str">
        <x:v>Не решено</x:v>
      </x:c>
      <x:c r="AH1320" s="17" t="str">
        <x:v>Не проверено</x:v>
      </x:c>
      <x:c r="AI1320" s="10" t="str">
        <x:f>IF(AC1320="Отклонить","Отклонено",IF(AND(AC1320="Взять",COUNTIFS(AD1320:AH1320,"Да")=5),"Готово","Нужна редактура"))</x:f>
        <x:v>Нужна редактура</x:v>
      </x:c>
      <x:c r="AJ1320" s="17" t="str"/>
      <x:c r="AK1320" s="9" t="str">
        <x:v>https://www.youtube.com/playlist?list=PL5tTMlIkxhYd6PYfo74-EPVyT88pmzMpZ</x:v>
      </x:c>
      <x:c r="AL1320" s="9" t="n">
        <x:v>5</x:v>
      </x:c>
      <x:c r="AM1320" s="9"/>
      <x:c r="AN1320" s="9"/>
    </x:row>
    <x:row r="1321" ht="60" customHeight="1">
      <x:c r="A1321" s="9" t="str">
        <x:v>KgjWt2QhwbA</x:v>
      </x:c>
      <x:c r="B1321" s="10" t="str">
        <x:v>"תבוא מחר בעוד יומיים": אלו הביטויים שעשו לנו את שנות ה-80 וה-90</x:v>
      </x:c>
      <x:c r="C1321" s="10" t="str">
        <x:v>Семья и культурная память</x:v>
      </x:c>
      <x:c r="D1321" s="9" t="str">
        <x:v>Сериал</x:v>
      </x:c>
      <x:c r="E1321" s="10" t="str">
        <x:v>Сериалы; ностальгия; взрослые</x:v>
      </x:c>
      <x:c r="F1321" s="10" t="str">
        <x:v>B2–C1 (гипотеза)</x:v>
      </x:c>
      <x:c r="G1321" s="12" t="n">
        <x:v>3.1</x:v>
      </x:c>
      <x:c r="H1321" s="14" t="n">
        <x:v>98000</x:v>
      </x:c>
      <x:c r="I1321" s="15" t="str">
        <x:v>Округлённый счётчик в списке YouTube</x:v>
      </x:c>
      <x:c r="J1321" s="14" t="n">
        <x:v>98000</x:v>
      </x:c>
      <x:c r="K1321" s="14" t="n">
        <x:v>138000</x:v>
      </x:c>
      <x:c r="L1321" s="12" t="n">
        <x:f>IF(COUNT(J1321:K1321)=2,IF(K1321=0,"",J1321/K1321),"")</x:f>
        <x:v>0.7101449275362319</x:v>
      </x:c>
      <x:c r="M1321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21" s="10" t="str">
        <x:v>Сравнить две бытовые нормы прошлого и настоящего.</x:v>
      </x:c>
      <x:c r="O1321" s="10" t="str">
        <x:v>Могут быть фрагменты, а не полные серии</x:v>
      </x:c>
      <x:c r="P1321" s="10" t="str">
        <x:v>Фрагмент сериала</x:v>
      </x:c>
      <x:c r="Q1321" s="9" t="str">
        <x:v>Нет</x:v>
      </x:c>
      <x:c r="R1321" s="9" t="str">
        <x:v>C080</x:v>
      </x:c>
      <x:c r="S1321" s="9" t="str">
        <x:v>C080</x:v>
      </x:c>
      <x:c r="T1321" s="10" t="str">
        <x:v>רשת 13</x:v>
      </x:c>
      <x:c r="U1321" s="11" t="str">
        <x:v>https://www.youtube.com/watch?v=KgjWt2QhwbA</x:v>
      </x:c>
      <x:c r="V1321" s="16" t="n">
        <x:v>46308</x:v>
      </x:c>
      <x:c r="W1321" s="16"/>
      <x:c r="X1321" s="10" t="str">
        <x:v>Иврит предполагается по заголовку и источнику</x:v>
      </x:c>
      <x:c r="Y1321" s="10" t="str">
        <x:v>Не проверено</x:v>
      </x:c>
      <x:c r="Z1321" s="10" t="str">
        <x:v>Не проверено</x:v>
      </x:c>
      <x:c r="AA1321" s="10" t="str">
        <x:v>Метаданные списка; видео не просмотрено</x:v>
      </x:c>
      <x:c r="AB1321" s="13" t="str">
        <x:f>IF(AND(ISNUMBER(H1321),ISNUMBER(W1321)),H1321/MAX(1,'Обзор'!$B$4-W1321),"")</x:f>
      </x:c>
      <x:c r="AC1321" s="17" t="str">
        <x:v>Не решено</x:v>
      </x:c>
      <x:c r="AD1321" s="17" t="str">
        <x:v>Не проверено</x:v>
      </x:c>
      <x:c r="AE1321" s="17" t="str">
        <x:v>Не проверено</x:v>
      </x:c>
      <x:c r="AF1321" s="17" t="str">
        <x:v>Не проверено</x:v>
      </x:c>
      <x:c r="AG1321" s="17" t="str">
        <x:v>Не решено</x:v>
      </x:c>
      <x:c r="AH1321" s="17" t="str">
        <x:v>Не проверено</x:v>
      </x:c>
      <x:c r="AI1321" s="10" t="str">
        <x:f>IF(AC1321="Отклонить","Отклонено",IF(AND(AC1321="Взять",COUNTIFS(AD1321:AH1321,"Да")=5),"Готово","Нужна редактура"))</x:f>
        <x:v>Нужна редактура</x:v>
      </x:c>
      <x:c r="AJ1321" s="17" t="str"/>
      <x:c r="AK1321" s="9" t="str">
        <x:v>https://www.youtube.com/playlist?list=PL5tTMlIkxhYd6PYfo74-EPVyT88pmzMpZ</x:v>
      </x:c>
      <x:c r="AL1321" s="9" t="n">
        <x:v>6</x:v>
      </x:c>
      <x:c r="AM1321" s="9"/>
      <x:c r="AN1321" s="9"/>
    </x:row>
    <x:row r="1322" ht="60" customHeight="1">
      <x:c r="A1322" s="9" t="str">
        <x:v>5QPZUZuM_cw</x:v>
      </x:c>
      <x:c r="B1322" s="10" t="str">
        <x:v>לכבוד סיום הסדרה - הרגעים הכי מצחיקים של שנות ה-80 וה-90</x:v>
      </x:c>
      <x:c r="C1322" s="10" t="str">
        <x:v>Семья и культурная память</x:v>
      </x:c>
      <x:c r="D1322" s="9" t="str">
        <x:v>Сериал</x:v>
      </x:c>
      <x:c r="E1322" s="10" t="str">
        <x:v>Сериалы; ностальгия; взрослые</x:v>
      </x:c>
      <x:c r="F1322" s="10" t="str">
        <x:v>B2–C1 (гипотеза)</x:v>
      </x:c>
      <x:c r="G1322" s="12" t="n">
        <x:v>7</x:v>
      </x:c>
      <x:c r="H1322" s="14" t="n">
        <x:v>138000</x:v>
      </x:c>
      <x:c r="I1322" s="15" t="str">
        <x:v>Округлённый счётчик в списке YouTube</x:v>
      </x:c>
      <x:c r="J1322" s="14" t="n">
        <x:v>138000</x:v>
      </x:c>
      <x:c r="K1322" s="14" t="n">
        <x:v>138000</x:v>
      </x:c>
      <x:c r="L1322" s="12" t="n">
        <x:f>IF(COUNT(J1322:K1322)=2,IF(K1322=0,"",J1322/K1322),"")</x:f>
        <x:v>1</x:v>
      </x:c>
      <x:c r="M1322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22" s="10" t="str">
        <x:v>Сравнить две бытовые нормы прошлого и настоящего.</x:v>
      </x:c>
      <x:c r="O1322" s="10" t="str">
        <x:v>Могут быть фрагменты, а не полные серии</x:v>
      </x:c>
      <x:c r="P1322" s="10" t="str">
        <x:v>Фрагмент сериала</x:v>
      </x:c>
      <x:c r="Q1322" s="9" t="str">
        <x:v>Нет</x:v>
      </x:c>
      <x:c r="R1322" s="9" t="str">
        <x:v>C080</x:v>
      </x:c>
      <x:c r="S1322" s="9" t="str">
        <x:v>C080</x:v>
      </x:c>
      <x:c r="T1322" s="10" t="str">
        <x:v>רשת 13</x:v>
      </x:c>
      <x:c r="U1322" s="11" t="str">
        <x:v>https://www.youtube.com/watch?v=5QPZUZuM_cw</x:v>
      </x:c>
      <x:c r="V1322" s="16" t="n">
        <x:v>46308</x:v>
      </x:c>
      <x:c r="W1322" s="16"/>
      <x:c r="X1322" s="10" t="str">
        <x:v>Иврит предполагается по заголовку и источнику</x:v>
      </x:c>
      <x:c r="Y1322" s="10" t="str">
        <x:v>Не проверено</x:v>
      </x:c>
      <x:c r="Z1322" s="10" t="str">
        <x:v>Не проверено</x:v>
      </x:c>
      <x:c r="AA1322" s="10" t="str">
        <x:v>Метаданные списка; видео не просмотрено</x:v>
      </x:c>
      <x:c r="AB1322" s="13" t="str">
        <x:f>IF(AND(ISNUMBER(H1322),ISNUMBER(W1322)),H1322/MAX(1,'Обзор'!$B$4-W1322),"")</x:f>
      </x:c>
      <x:c r="AC1322" s="17" t="str">
        <x:v>Не решено</x:v>
      </x:c>
      <x:c r="AD1322" s="17" t="str">
        <x:v>Не проверено</x:v>
      </x:c>
      <x:c r="AE1322" s="17" t="str">
        <x:v>Не проверено</x:v>
      </x:c>
      <x:c r="AF1322" s="17" t="str">
        <x:v>Не проверено</x:v>
      </x:c>
      <x:c r="AG1322" s="17" t="str">
        <x:v>Не решено</x:v>
      </x:c>
      <x:c r="AH1322" s="17" t="str">
        <x:v>Не проверено</x:v>
      </x:c>
      <x:c r="AI1322" s="10" t="str">
        <x:f>IF(AC1322="Отклонить","Отклонено",IF(AND(AC1322="Взять",COUNTIFS(AD1322:AH1322,"Да")=5),"Готово","Нужна редактура"))</x:f>
        <x:v>Нужна редактура</x:v>
      </x:c>
      <x:c r="AJ1322" s="17" t="str"/>
      <x:c r="AK1322" s="9" t="str">
        <x:v>https://www.youtube.com/playlist?list=PL5tTMlIkxhYd6PYfo74-EPVyT88pmzMpZ</x:v>
      </x:c>
      <x:c r="AL1322" s="9" t="n">
        <x:v>7</x:v>
      </x:c>
      <x:c r="AM1322" s="9"/>
      <x:c r="AN1322" s="9"/>
    </x:row>
    <x:row r="1323" ht="60" customHeight="1">
      <x:c r="A1323" s="9" t="str">
        <x:v>MGJad6OXJ54</x:v>
      </x:c>
      <x:c r="B1323" s="10" t="str">
        <x:v>חלבי חוגג יום הולדת 4 לעצמו ומורדי מתעסק עם האורחים הלא נכונים</x:v>
      </x:c>
      <x:c r="C1323" s="10" t="str">
        <x:v>Семья и культурная память</x:v>
      </x:c>
      <x:c r="D1323" s="9" t="str">
        <x:v>Сериал</x:v>
      </x:c>
      <x:c r="E1323" s="10" t="str">
        <x:v>Сериалы; ностальгия; взрослые</x:v>
      </x:c>
      <x:c r="F1323" s="10" t="str">
        <x:v>B2–C1 (гипотеза)</x:v>
      </x:c>
      <x:c r="G1323" s="12" t="n">
        <x:v>5.3</x:v>
      </x:c>
      <x:c r="H1323" s="14" t="n">
        <x:v>270417</x:v>
      </x:c>
      <x:c r="I1323" s="15" t="str">
        <x:v>Точный счётчик метаданных видео</x:v>
      </x:c>
      <x:c r="J1323" s="14" t="n">
        <x:v>270000</x:v>
      </x:c>
      <x:c r="K1323" s="14" t="n">
        <x:v>138000</x:v>
      </x:c>
      <x:c r="L1323" s="12" t="n">
        <x:f>IF(COUNT(J1323:K1323)=2,IF(K1323=0,"",J1323/K1323),"")</x:f>
        <x:v>1.9565217391304348</x:v>
      </x:c>
      <x:c r="M1323" s="10" t="str">
        <x:v>Сценка из сериала; полезна для короткого разбора, не заменяет полную серию. Просмотры в списке выше медианы выборки этого цикла в 1.96 раза. Продолжает семейную и социальную тему в другой эпохе. Подходит любителям привычных персонажей.</x:v>
      </x:c>
      <x:c r="N1323" s="10" t="str">
        <x:v>Сравнить две бытовые нормы прошлого и настоящего.</x:v>
      </x:c>
      <x:c r="O1323" s="10" t="str">
        <x:v>Могут быть фрагменты, а не полные серии</x:v>
      </x:c>
      <x:c r="P1323" s="10" t="str">
        <x:v>Фрагмент сериала</x:v>
      </x:c>
      <x:c r="Q1323" s="9" t="str">
        <x:v>Нет</x:v>
      </x:c>
      <x:c r="R1323" s="9" t="str">
        <x:v>C080</x:v>
      </x:c>
      <x:c r="S1323" s="9" t="str">
        <x:v>C080</x:v>
      </x:c>
      <x:c r="T1323" s="10" t="str">
        <x:v>רשת 13</x:v>
      </x:c>
      <x:c r="U1323" s="11" t="str">
        <x:v>https://www.youtube.com/watch?v=MGJad6OXJ54</x:v>
      </x:c>
      <x:c r="V1323" s="16" t="n">
        <x:v>46308</x:v>
      </x:c>
      <x:c r="W1323" s="16" t="n">
        <x:v>45380</x:v>
      </x:c>
      <x:c r="X1323" s="10" t="str">
        <x:v>Иврит предполагается по заголовку и источнику</x:v>
      </x:c>
      <x:c r="Y1323" s="10" t="str">
        <x:v>Автоматическая дорожка HE по метаданным</x:v>
      </x:c>
      <x:c r="Z1323" s="10" t="str">
        <x:v>Разрешено по метаданным</x:v>
      </x:c>
      <x:c r="AA1323" s="10" t="str">
        <x:v>Метаданные видео; воспроизведение и содержание не проверены</x:v>
      </x:c>
      <x:c r="AB1323" s="13" t="n">
        <x:f>IF(AND(ISNUMBER(H1323),ISNUMBER(W1323)),H1323/MAX(1,'Обзор'!$B$4-W1323),"")</x:f>
        <x:v>291.3976293103448</x:v>
      </x:c>
      <x:c r="AC1323" s="17" t="str">
        <x:v>Не решено</x:v>
      </x:c>
      <x:c r="AD1323" s="17" t="str">
        <x:v>Не проверено</x:v>
      </x:c>
      <x:c r="AE1323" s="17" t="str">
        <x:v>Не проверено</x:v>
      </x:c>
      <x:c r="AF1323" s="17" t="str">
        <x:v>Не проверено</x:v>
      </x:c>
      <x:c r="AG1323" s="17" t="str">
        <x:v>Не решено</x:v>
      </x:c>
      <x:c r="AH1323" s="17" t="str">
        <x:v>Не проверено</x:v>
      </x:c>
      <x:c r="AI1323" s="10" t="str">
        <x:f>IF(AC1323="Отклонить","Отклонено",IF(AND(AC1323="Взять",COUNTIFS(AD1323:AH1323,"Да")=5),"Готово","Нужна редактура"))</x:f>
        <x:v>Нужна редактура</x:v>
      </x:c>
      <x:c r="AJ1323" s="17" t="str"/>
      <x:c r="AK1323" s="9" t="str">
        <x:v>https://www.youtube.com/playlist?list=PL5tTMlIkxhYd6PYfo74-EPVyT88pmzMpZ</x:v>
      </x:c>
      <x:c r="AL1323" s="9" t="n">
        <x:v>8</x:v>
      </x:c>
      <x:c r="AM1323" s="9"/>
      <x:c r="AN1323" s="9" t="n">
        <x:v>0</x:v>
      </x:c>
    </x:row>
    <x:row r="1324" ht="60" customHeight="1">
      <x:c r="A1324" s="9" t="str">
        <x:v>brsgsuumToM</x:v>
      </x:c>
      <x:c r="B1324" s="10" t="str">
        <x:v>איך יגיב פריזר לבקשה להעלאה במשכורת?</x:v>
      </x:c>
      <x:c r="C1324" s="10" t="str">
        <x:v>Семья и культурная память</x:v>
      </x:c>
      <x:c r="D1324" s="9" t="str">
        <x:v>Сериал</x:v>
      </x:c>
      <x:c r="E1324" s="10" t="str">
        <x:v>Сериалы; ностальгия; взрослые</x:v>
      </x:c>
      <x:c r="F1324" s="10" t="str">
        <x:v>B2–C1 (гипотеза)</x:v>
      </x:c>
      <x:c r="G1324" s="12" t="n">
        <x:v>2.4</x:v>
      </x:c>
      <x:c r="H1324" s="14" t="n">
        <x:v>77000</x:v>
      </x:c>
      <x:c r="I1324" s="15" t="str">
        <x:v>Округлённый счётчик в списке YouTube</x:v>
      </x:c>
      <x:c r="J1324" s="14" t="n">
        <x:v>77000</x:v>
      </x:c>
      <x:c r="K1324" s="14" t="n">
        <x:v>138000</x:v>
      </x:c>
      <x:c r="L1324" s="12" t="n">
        <x:f>IF(COUNT(J1324:K1324)=2,IF(K1324=0,"",J1324/K1324),"")</x:f>
        <x:v>0.5579710144927537</x:v>
      </x:c>
      <x:c r="M1324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24" s="10" t="str">
        <x:v>Сравнить две бытовые нормы прошлого и настоящего.</x:v>
      </x:c>
      <x:c r="O1324" s="10" t="str">
        <x:v>Могут быть фрагменты, а не полные серии</x:v>
      </x:c>
      <x:c r="P1324" s="10" t="str">
        <x:v>Фрагмент сериала</x:v>
      </x:c>
      <x:c r="Q1324" s="9" t="str">
        <x:v>Нет</x:v>
      </x:c>
      <x:c r="R1324" s="9" t="str">
        <x:v>C080</x:v>
      </x:c>
      <x:c r="S1324" s="9" t="str">
        <x:v>C080</x:v>
      </x:c>
      <x:c r="T1324" s="10" t="str">
        <x:v>רשת 13</x:v>
      </x:c>
      <x:c r="U1324" s="11" t="str">
        <x:v>https://www.youtube.com/watch?v=brsgsuumToM</x:v>
      </x:c>
      <x:c r="V1324" s="16" t="n">
        <x:v>46308</x:v>
      </x:c>
      <x:c r="W1324" s="16"/>
      <x:c r="X1324" s="10" t="str">
        <x:v>Иврит предполагается по заголовку и источнику</x:v>
      </x:c>
      <x:c r="Y1324" s="10" t="str">
        <x:v>Не проверено</x:v>
      </x:c>
      <x:c r="Z1324" s="10" t="str">
        <x:v>Не проверено</x:v>
      </x:c>
      <x:c r="AA1324" s="10" t="str">
        <x:v>Метаданные списка; видео не просмотрено</x:v>
      </x:c>
      <x:c r="AB1324" s="13" t="str">
        <x:f>IF(AND(ISNUMBER(H1324),ISNUMBER(W1324)),H1324/MAX(1,'Обзор'!$B$4-W1324),"")</x:f>
      </x:c>
      <x:c r="AC1324" s="17" t="str">
        <x:v>Не решено</x:v>
      </x:c>
      <x:c r="AD1324" s="17" t="str">
        <x:v>Не проверено</x:v>
      </x:c>
      <x:c r="AE1324" s="17" t="str">
        <x:v>Не проверено</x:v>
      </x:c>
      <x:c r="AF1324" s="17" t="str">
        <x:v>Не проверено</x:v>
      </x:c>
      <x:c r="AG1324" s="17" t="str">
        <x:v>Не решено</x:v>
      </x:c>
      <x:c r="AH1324" s="17" t="str">
        <x:v>Не проверено</x:v>
      </x:c>
      <x:c r="AI1324" s="10" t="str">
        <x:f>IF(AC1324="Отклонить","Отклонено",IF(AND(AC1324="Взять",COUNTIFS(AD1324:AH1324,"Да")=5),"Готово","Нужна редактура"))</x:f>
        <x:v>Нужна редактура</x:v>
      </x:c>
      <x:c r="AJ1324" s="17" t="str"/>
      <x:c r="AK1324" s="9" t="str">
        <x:v>https://www.youtube.com/playlist?list=PL5tTMlIkxhYd6PYfo74-EPVyT88pmzMpZ</x:v>
      </x:c>
      <x:c r="AL1324" s="9" t="n">
        <x:v>9</x:v>
      </x:c>
      <x:c r="AM1324" s="9"/>
      <x:c r="AN1324" s="9"/>
    </x:row>
    <x:row r="1325" ht="60" customHeight="1">
      <x:c r="A1325" s="9" t="str">
        <x:v>SXwj_hp20R0</x:v>
      </x:c>
      <x:c r="B1325" s="10" t="str">
        <x:v>"מה היא חתול?" ממוקה עושה לארזו "פסס פסס" ומעצבן את כולם</x:v>
      </x:c>
      <x:c r="C1325" s="10" t="str">
        <x:v>Семья и культурная память</x:v>
      </x:c>
      <x:c r="D1325" s="9" t="str">
        <x:v>Сериал</x:v>
      </x:c>
      <x:c r="E1325" s="10" t="str">
        <x:v>Сериалы; ностальгия; взрослые</x:v>
      </x:c>
      <x:c r="F1325" s="10" t="str">
        <x:v>B2–C1 (гипотеза)</x:v>
      </x:c>
      <x:c r="G1325" s="12" t="n">
        <x:v>3.1</x:v>
      </x:c>
      <x:c r="H1325" s="14" t="n">
        <x:v>127000</x:v>
      </x:c>
      <x:c r="I1325" s="15" t="str">
        <x:v>Округлённый счётчик в списке YouTube</x:v>
      </x:c>
      <x:c r="J1325" s="14" t="n">
        <x:v>127000</x:v>
      </x:c>
      <x:c r="K1325" s="14" t="n">
        <x:v>138000</x:v>
      </x:c>
      <x:c r="L1325" s="12" t="n">
        <x:f>IF(COUNT(J1325:K1325)=2,IF(K1325=0,"",J1325/K1325),"")</x:f>
        <x:v>0.9202898550724637</x:v>
      </x:c>
      <x:c r="M1325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25" s="10" t="str">
        <x:v>Сравнить две бытовые нормы прошлого и настоящего.</x:v>
      </x:c>
      <x:c r="O1325" s="10" t="str">
        <x:v>Могут быть фрагменты, а не полные серии</x:v>
      </x:c>
      <x:c r="P1325" s="10" t="str">
        <x:v>Фрагмент сериала</x:v>
      </x:c>
      <x:c r="Q1325" s="9" t="str">
        <x:v>Нет</x:v>
      </x:c>
      <x:c r="R1325" s="9" t="str">
        <x:v>C080</x:v>
      </x:c>
      <x:c r="S1325" s="9" t="str">
        <x:v>C080</x:v>
      </x:c>
      <x:c r="T1325" s="10" t="str">
        <x:v>רשת 13</x:v>
      </x:c>
      <x:c r="U1325" s="11" t="str">
        <x:v>https://www.youtube.com/watch?v=SXwj_hp20R0</x:v>
      </x:c>
      <x:c r="V1325" s="16" t="n">
        <x:v>46308</x:v>
      </x:c>
      <x:c r="W1325" s="16"/>
      <x:c r="X1325" s="10" t="str">
        <x:v>Иврит предполагается по заголовку и источнику</x:v>
      </x:c>
      <x:c r="Y1325" s="10" t="str">
        <x:v>Не проверено</x:v>
      </x:c>
      <x:c r="Z1325" s="10" t="str">
        <x:v>Не проверено</x:v>
      </x:c>
      <x:c r="AA1325" s="10" t="str">
        <x:v>Метаданные списка; видео не просмотрено</x:v>
      </x:c>
      <x:c r="AB1325" s="13" t="str">
        <x:f>IF(AND(ISNUMBER(H1325),ISNUMBER(W1325)),H1325/MAX(1,'Обзор'!$B$4-W1325),"")</x:f>
      </x:c>
      <x:c r="AC1325" s="17" t="str">
        <x:v>Не решено</x:v>
      </x:c>
      <x:c r="AD1325" s="17" t="str">
        <x:v>Не проверено</x:v>
      </x:c>
      <x:c r="AE1325" s="17" t="str">
        <x:v>Не проверено</x:v>
      </x:c>
      <x:c r="AF1325" s="17" t="str">
        <x:v>Не проверено</x:v>
      </x:c>
      <x:c r="AG1325" s="17" t="str">
        <x:v>Не решено</x:v>
      </x:c>
      <x:c r="AH1325" s="17" t="str">
        <x:v>Не проверено</x:v>
      </x:c>
      <x:c r="AI1325" s="10" t="str">
        <x:f>IF(AC1325="Отклонить","Отклонено",IF(AND(AC1325="Взять",COUNTIFS(AD1325:AH1325,"Да")=5),"Готово","Нужна редактура"))</x:f>
        <x:v>Нужна редактура</x:v>
      </x:c>
      <x:c r="AJ1325" s="17" t="str"/>
      <x:c r="AK1325" s="9" t="str">
        <x:v>https://www.youtube.com/playlist?list=PL5tTMlIkxhYd6PYfo74-EPVyT88pmzMpZ</x:v>
      </x:c>
      <x:c r="AL1325" s="9" t="n">
        <x:v>10</x:v>
      </x:c>
      <x:c r="AM1325" s="9"/>
      <x:c r="AN1325" s="9"/>
    </x:row>
    <x:row r="1326" ht="60" customHeight="1">
      <x:c r="A1326" s="9" t="str">
        <x:v>uMzyVaKA3QQ</x:v>
      </x:c>
      <x:c r="B1326" s="10" t="str">
        <x:v>פרוספר מספר על המצאת אופני הכושר במרוקו: "סבא שלי החזיק מלמטה"</x:v>
      </x:c>
      <x:c r="C1326" s="10" t="str">
        <x:v>Семья и культурная память</x:v>
      </x:c>
      <x:c r="D1326" s="9" t="str">
        <x:v>Сериал</x:v>
      </x:c>
      <x:c r="E1326" s="10" t="str">
        <x:v>Сериалы; ностальгия; взрослые</x:v>
      </x:c>
      <x:c r="F1326" s="10" t="str">
        <x:v>B2–C1 (гипотеза)</x:v>
      </x:c>
      <x:c r="G1326" s="12" t="n">
        <x:v>2.3</x:v>
      </x:c>
      <x:c r="H1326" s="14" t="n">
        <x:v>69000</x:v>
      </x:c>
      <x:c r="I1326" s="15" t="str">
        <x:v>Округлённый счётчик в списке YouTube</x:v>
      </x:c>
      <x:c r="J1326" s="14" t="n">
        <x:v>69000</x:v>
      </x:c>
      <x:c r="K1326" s="14" t="n">
        <x:v>138000</x:v>
      </x:c>
      <x:c r="L1326" s="12" t="n">
        <x:f>IF(COUNT(J1326:K1326)=2,IF(K1326=0,"",J1326/K1326),"")</x:f>
        <x:v>0.5</x:v>
      </x:c>
      <x:c r="M1326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26" s="10" t="str">
        <x:v>Сравнить две бытовые нормы прошлого и настоящего.</x:v>
      </x:c>
      <x:c r="O1326" s="10" t="str">
        <x:v>Могут быть фрагменты, а не полные серии</x:v>
      </x:c>
      <x:c r="P1326" s="10" t="str">
        <x:v>Фрагмент сериала</x:v>
      </x:c>
      <x:c r="Q1326" s="9" t="str">
        <x:v>Нет</x:v>
      </x:c>
      <x:c r="R1326" s="9" t="str">
        <x:v>C080</x:v>
      </x:c>
      <x:c r="S1326" s="9" t="str">
        <x:v>C080</x:v>
      </x:c>
      <x:c r="T1326" s="10" t="str">
        <x:v>רשת 13</x:v>
      </x:c>
      <x:c r="U1326" s="11" t="str">
        <x:v>https://www.youtube.com/watch?v=uMzyVaKA3QQ</x:v>
      </x:c>
      <x:c r="V1326" s="16" t="n">
        <x:v>46308</x:v>
      </x:c>
      <x:c r="W1326" s="16"/>
      <x:c r="X1326" s="10" t="str">
        <x:v>Иврит предполагается по заголовку и источнику</x:v>
      </x:c>
      <x:c r="Y1326" s="10" t="str">
        <x:v>Не проверено</x:v>
      </x:c>
      <x:c r="Z1326" s="10" t="str">
        <x:v>Не проверено</x:v>
      </x:c>
      <x:c r="AA1326" s="10" t="str">
        <x:v>Метаданные списка; видео не просмотрено</x:v>
      </x:c>
      <x:c r="AB1326" s="13" t="str">
        <x:f>IF(AND(ISNUMBER(H1326),ISNUMBER(W1326)),H1326/MAX(1,'Обзор'!$B$4-W1326),"")</x:f>
      </x:c>
      <x:c r="AC1326" s="17" t="str">
        <x:v>Не решено</x:v>
      </x:c>
      <x:c r="AD1326" s="17" t="str">
        <x:v>Не проверено</x:v>
      </x:c>
      <x:c r="AE1326" s="17" t="str">
        <x:v>Не проверено</x:v>
      </x:c>
      <x:c r="AF1326" s="17" t="str">
        <x:v>Не проверено</x:v>
      </x:c>
      <x:c r="AG1326" s="17" t="str">
        <x:v>Не решено</x:v>
      </x:c>
      <x:c r="AH1326" s="17" t="str">
        <x:v>Не проверено</x:v>
      </x:c>
      <x:c r="AI1326" s="10" t="str">
        <x:f>IF(AC1326="Отклонить","Отклонено",IF(AND(AC1326="Взять",COUNTIFS(AD1326:AH1326,"Да")=5),"Готово","Нужна редактура"))</x:f>
        <x:v>Нужна редактура</x:v>
      </x:c>
      <x:c r="AJ1326" s="17" t="str"/>
      <x:c r="AK1326" s="9" t="str">
        <x:v>https://www.youtube.com/playlist?list=PL5tTMlIkxhYd6PYfo74-EPVyT88pmzMpZ</x:v>
      </x:c>
      <x:c r="AL1326" s="9" t="n">
        <x:v>11</x:v>
      </x:c>
      <x:c r="AM1326" s="9"/>
      <x:c r="AN1326" s="9"/>
    </x:row>
    <x:row r="1327" ht="60" customHeight="1">
      <x:c r="A1327" s="9" t="str">
        <x:v>R84DwqJcg9E</x:v>
      </x:c>
      <x:c r="B1327" s="10" t="str">
        <x:v>ממוקה מנסה להוכיח לדדה מירבי שהוא יכול להפוך לאיש עסקים כמוהו</x:v>
      </x:c>
      <x:c r="C1327" s="10" t="str">
        <x:v>Семья и культурная память</x:v>
      </x:c>
      <x:c r="D1327" s="9" t="str">
        <x:v>Сериал</x:v>
      </x:c>
      <x:c r="E1327" s="10" t="str">
        <x:v>Сериалы; ностальгия; взрослые</x:v>
      </x:c>
      <x:c r="F1327" s="10" t="str">
        <x:v>B2–C1 (гипотеза)</x:v>
      </x:c>
      <x:c r="G1327" s="12" t="n">
        <x:v>9.7</x:v>
      </x:c>
      <x:c r="H1327" s="14" t="n">
        <x:v>287006</x:v>
      </x:c>
      <x:c r="I1327" s="15" t="str">
        <x:v>Точный счётчик метаданных видео</x:v>
      </x:c>
      <x:c r="J1327" s="14" t="n">
        <x:v>287000</x:v>
      </x:c>
      <x:c r="K1327" s="14" t="n">
        <x:v>138000</x:v>
      </x:c>
      <x:c r="L1327" s="12" t="n">
        <x:f>IF(COUNT(J1327:K1327)=2,IF(K1327=0,"",J1327/K1327),"")</x:f>
        <x:v>2.079710144927536</x:v>
      </x:c>
      <x:c r="M1327" s="10" t="str">
        <x:v>Сценка из сериала; полезна для короткого разбора, не заменяет полную серию. Просмотры в списке выше медианы выборки этого цикла в 2.08 раза. Продолжает семейную и социальную тему в другой эпохе. Подходит любителям привычных персонажей.</x:v>
      </x:c>
      <x:c r="N1327" s="10" t="str">
        <x:v>Сравнить две бытовые нормы прошлого и настоящего.</x:v>
      </x:c>
      <x:c r="O1327" s="10" t="str">
        <x:v>Могут быть фрагменты, а не полные серии</x:v>
      </x:c>
      <x:c r="P1327" s="10" t="str">
        <x:v>Фрагмент сериала</x:v>
      </x:c>
      <x:c r="Q1327" s="9" t="str">
        <x:v>Нет</x:v>
      </x:c>
      <x:c r="R1327" s="9" t="str">
        <x:v>C080</x:v>
      </x:c>
      <x:c r="S1327" s="9" t="str">
        <x:v>C080</x:v>
      </x:c>
      <x:c r="T1327" s="10" t="str">
        <x:v>רשת 13</x:v>
      </x:c>
      <x:c r="U1327" s="11" t="str">
        <x:v>https://www.youtube.com/watch?v=R84DwqJcg9E</x:v>
      </x:c>
      <x:c r="V1327" s="16" t="n">
        <x:v>46308</x:v>
      </x:c>
      <x:c r="W1327" s="16" t="n">
        <x:v>45372</x:v>
      </x:c>
      <x:c r="X1327" s="10" t="str">
        <x:v>Иврит предполагается по заголовку и источнику</x:v>
      </x:c>
      <x:c r="Y1327" s="10" t="str">
        <x:v>Автоматическая дорожка HE по метаданным</x:v>
      </x:c>
      <x:c r="Z1327" s="10" t="str">
        <x:v>Разрешено по метаданным</x:v>
      </x:c>
      <x:c r="AA1327" s="10" t="str">
        <x:v>Метаданные видео; воспроизведение и содержание не проверены</x:v>
      </x:c>
      <x:c r="AB1327" s="13" t="n">
        <x:f>IF(AND(ISNUMBER(H1327),ISNUMBER(W1327)),H1327/MAX(1,'Обзор'!$B$4-W1327),"")</x:f>
        <x:v>306.63034188034186</x:v>
      </x:c>
      <x:c r="AC1327" s="17" t="str">
        <x:v>Не решено</x:v>
      </x:c>
      <x:c r="AD1327" s="17" t="str">
        <x:v>Не проверено</x:v>
      </x:c>
      <x:c r="AE1327" s="17" t="str">
        <x:v>Не проверено</x:v>
      </x:c>
      <x:c r="AF1327" s="17" t="str">
        <x:v>Не проверено</x:v>
      </x:c>
      <x:c r="AG1327" s="17" t="str">
        <x:v>Не решено</x:v>
      </x:c>
      <x:c r="AH1327" s="17" t="str">
        <x:v>Не проверено</x:v>
      </x:c>
      <x:c r="AI1327" s="10" t="str">
        <x:f>IF(AC1327="Отклонить","Отклонено",IF(AND(AC1327="Взять",COUNTIFS(AD1327:AH1327,"Да")=5),"Готово","Нужна редактура"))</x:f>
        <x:v>Нужна редактура</x:v>
      </x:c>
      <x:c r="AJ1327" s="17" t="str"/>
      <x:c r="AK1327" s="9" t="str">
        <x:v>https://www.youtube.com/playlist?list=PL5tTMlIkxhYd6PYfo74-EPVyT88pmzMpZ</x:v>
      </x:c>
      <x:c r="AL1327" s="9" t="n">
        <x:v>12</x:v>
      </x:c>
      <x:c r="AM1327" s="9"/>
      <x:c r="AN1327" s="9" t="n">
        <x:v>0</x:v>
      </x:c>
    </x:row>
    <x:row r="1328" ht="60" customHeight="1">
      <x:c r="A1328" s="9" t="str">
        <x:v>Uzkz54XOV2s</x:v>
      </x:c>
      <x:c r="B1328" s="10" t="str">
        <x:v>פרוספר פוגש את האקס של ליליאן ממרוקו</x:v>
      </x:c>
      <x:c r="C1328" s="10" t="str">
        <x:v>Семья и культурная память</x:v>
      </x:c>
      <x:c r="D1328" s="9" t="str">
        <x:v>Сериал</x:v>
      </x:c>
      <x:c r="E1328" s="10" t="str">
        <x:v>Сериалы; ностальгия; взрослые</x:v>
      </x:c>
      <x:c r="F1328" s="10" t="str">
        <x:v>B2–C1 (гипотеза)</x:v>
      </x:c>
      <x:c r="G1328" s="12" t="n">
        <x:v>8.3</x:v>
      </x:c>
      <x:c r="H1328" s="14" t="n">
        <x:v>217000</x:v>
      </x:c>
      <x:c r="I1328" s="15" t="str">
        <x:v>Округлённый счётчик в списке YouTube</x:v>
      </x:c>
      <x:c r="J1328" s="14" t="n">
        <x:v>217000</x:v>
      </x:c>
      <x:c r="K1328" s="14" t="n">
        <x:v>138000</x:v>
      </x:c>
      <x:c r="L1328" s="12" t="n">
        <x:f>IF(COUNT(J1328:K1328)=2,IF(K1328=0,"",J1328/K1328),"")</x:f>
        <x:v>1.5724637681159421</x:v>
      </x:c>
      <x:c r="M1328" s="10" t="str">
        <x:v>Сценка из сериала; полезна для короткого разбора, не заменяет полную серию. Просмотры в списке выше медианы выборки этого цикла в 1.57 раза. Продолжает семейную и социальную тему в другой эпохе. Подходит любителям привычных персонажей.</x:v>
      </x:c>
      <x:c r="N1328" s="10" t="str">
        <x:v>Сравнить две бытовые нормы прошлого и настоящего.</x:v>
      </x:c>
      <x:c r="O1328" s="10" t="str">
        <x:v>Могут быть фрагменты, а не полные серии</x:v>
      </x:c>
      <x:c r="P1328" s="10" t="str">
        <x:v>Фрагмент сериала</x:v>
      </x:c>
      <x:c r="Q1328" s="9" t="str">
        <x:v>Нет</x:v>
      </x:c>
      <x:c r="R1328" s="9" t="str">
        <x:v>C080</x:v>
      </x:c>
      <x:c r="S1328" s="9" t="str">
        <x:v>C080</x:v>
      </x:c>
      <x:c r="T1328" s="10" t="str">
        <x:v>רשת 13</x:v>
      </x:c>
      <x:c r="U1328" s="11" t="str">
        <x:v>https://www.youtube.com/watch?v=Uzkz54XOV2s</x:v>
      </x:c>
      <x:c r="V1328" s="16" t="n">
        <x:v>46308</x:v>
      </x:c>
      <x:c r="W1328" s="16"/>
      <x:c r="X1328" s="10" t="str">
        <x:v>Иврит предполагается по заголовку и источнику</x:v>
      </x:c>
      <x:c r="Y1328" s="10" t="str">
        <x:v>Не проверено</x:v>
      </x:c>
      <x:c r="Z1328" s="10" t="str">
        <x:v>Не проверено</x:v>
      </x:c>
      <x:c r="AA1328" s="10" t="str">
        <x:v>Метаданные списка; видео не просмотрено</x:v>
      </x:c>
      <x:c r="AB1328" s="13" t="str">
        <x:f>IF(AND(ISNUMBER(H1328),ISNUMBER(W1328)),H1328/MAX(1,'Обзор'!$B$4-W1328),"")</x:f>
      </x:c>
      <x:c r="AC1328" s="17" t="str">
        <x:v>Не решено</x:v>
      </x:c>
      <x:c r="AD1328" s="17" t="str">
        <x:v>Не проверено</x:v>
      </x:c>
      <x:c r="AE1328" s="17" t="str">
        <x:v>Не проверено</x:v>
      </x:c>
      <x:c r="AF1328" s="17" t="str">
        <x:v>Не проверено</x:v>
      </x:c>
      <x:c r="AG1328" s="17" t="str">
        <x:v>Не решено</x:v>
      </x:c>
      <x:c r="AH1328" s="17" t="str">
        <x:v>Не проверено</x:v>
      </x:c>
      <x:c r="AI1328" s="10" t="str">
        <x:f>IF(AC1328="Отклонить","Отклонено",IF(AND(AC1328="Взять",COUNTIFS(AD1328:AH1328,"Да")=5),"Готово","Нужна редактура"))</x:f>
        <x:v>Нужна редактура</x:v>
      </x:c>
      <x:c r="AJ1328" s="17" t="str"/>
      <x:c r="AK1328" s="9" t="str">
        <x:v>https://www.youtube.com/playlist?list=PL5tTMlIkxhYd6PYfo74-EPVyT88pmzMpZ</x:v>
      </x:c>
      <x:c r="AL1328" s="9" t="n">
        <x:v>13</x:v>
      </x:c>
      <x:c r="AM1328" s="9"/>
      <x:c r="AN1328" s="9"/>
    </x:row>
    <x:row r="1329" ht="60" customHeight="1">
      <x:c r="A1329" s="9" t="str">
        <x:v>kW_lj2XrOS4</x:v>
      </x:c>
      <x:c r="B1329" s="10" t="str">
        <x:v>מורדי רוצה למכור לפרח פנסו את העסק  - האם מרסל יעבור על כך בשתיקה?</x:v>
      </x:c>
      <x:c r="C1329" s="10" t="str">
        <x:v>Семья и культурная память</x:v>
      </x:c>
      <x:c r="D1329" s="9" t="str">
        <x:v>Сериал</x:v>
      </x:c>
      <x:c r="E1329" s="10" t="str">
        <x:v>Сериалы; ностальгия; взрослые</x:v>
      </x:c>
      <x:c r="F1329" s="10" t="str">
        <x:v>B2–C1 (гипотеза)</x:v>
      </x:c>
      <x:c r="G1329" s="12" t="n">
        <x:v>7</x:v>
      </x:c>
      <x:c r="H1329" s="14" t="n">
        <x:v>217000</x:v>
      </x:c>
      <x:c r="I1329" s="15" t="str">
        <x:v>Округлённый счётчик в списке YouTube</x:v>
      </x:c>
      <x:c r="J1329" s="14" t="n">
        <x:v>217000</x:v>
      </x:c>
      <x:c r="K1329" s="14" t="n">
        <x:v>138000</x:v>
      </x:c>
      <x:c r="L1329" s="12" t="n">
        <x:f>IF(COUNT(J1329:K1329)=2,IF(K1329=0,"",J1329/K1329),"")</x:f>
        <x:v>1.5724637681159421</x:v>
      </x:c>
      <x:c r="M1329" s="10" t="str">
        <x:v>Сценка из сериала; полезна для короткого разбора, не заменяет полную серию. Просмотры в списке выше медианы выборки этого цикла в 1.57 раза. Продолжает семейную и социальную тему в другой эпохе. Подходит любителям привычных персонажей.</x:v>
      </x:c>
      <x:c r="N1329" s="10" t="str">
        <x:v>Сравнить две бытовые нормы прошлого и настоящего.</x:v>
      </x:c>
      <x:c r="O1329" s="10" t="str">
        <x:v>Могут быть фрагменты, а не полные серии</x:v>
      </x:c>
      <x:c r="P1329" s="10" t="str">
        <x:v>Фрагмент сериала</x:v>
      </x:c>
      <x:c r="Q1329" s="9" t="str">
        <x:v>Нет</x:v>
      </x:c>
      <x:c r="R1329" s="9" t="str">
        <x:v>C080</x:v>
      </x:c>
      <x:c r="S1329" s="9" t="str">
        <x:v>C080</x:v>
      </x:c>
      <x:c r="T1329" s="10" t="str">
        <x:v>רשת 13</x:v>
      </x:c>
      <x:c r="U1329" s="11" t="str">
        <x:v>https://www.youtube.com/watch?v=kW_lj2XrOS4</x:v>
      </x:c>
      <x:c r="V1329" s="16" t="n">
        <x:v>46308</x:v>
      </x:c>
      <x:c r="W1329" s="16"/>
      <x:c r="X1329" s="10" t="str">
        <x:v>Иврит предполагается по заголовку и источнику</x:v>
      </x:c>
      <x:c r="Y1329" s="10" t="str">
        <x:v>Не проверено</x:v>
      </x:c>
      <x:c r="Z1329" s="10" t="str">
        <x:v>Не проверено</x:v>
      </x:c>
      <x:c r="AA1329" s="10" t="str">
        <x:v>Метаданные списка; видео не просмотрено</x:v>
      </x:c>
      <x:c r="AB1329" s="13" t="str">
        <x:f>IF(AND(ISNUMBER(H1329),ISNUMBER(W1329)),H1329/MAX(1,'Обзор'!$B$4-W1329),"")</x:f>
      </x:c>
      <x:c r="AC1329" s="17" t="str">
        <x:v>Не решено</x:v>
      </x:c>
      <x:c r="AD1329" s="17" t="str">
        <x:v>Не проверено</x:v>
      </x:c>
      <x:c r="AE1329" s="17" t="str">
        <x:v>Не проверено</x:v>
      </x:c>
      <x:c r="AF1329" s="17" t="str">
        <x:v>Не проверено</x:v>
      </x:c>
      <x:c r="AG1329" s="17" t="str">
        <x:v>Не решено</x:v>
      </x:c>
      <x:c r="AH1329" s="17" t="str">
        <x:v>Не проверено</x:v>
      </x:c>
      <x:c r="AI1329" s="10" t="str">
        <x:f>IF(AC1329="Отклонить","Отклонено",IF(AND(AC1329="Взять",COUNTIFS(AD1329:AH1329,"Да")=5),"Готово","Нужна редактура"))</x:f>
        <x:v>Нужна редактура</x:v>
      </x:c>
      <x:c r="AJ1329" s="17" t="str"/>
      <x:c r="AK1329" s="9" t="str">
        <x:v>https://www.youtube.com/playlist?list=PL5tTMlIkxhYd6PYfo74-EPVyT88pmzMpZ</x:v>
      </x:c>
      <x:c r="AL1329" s="9" t="n">
        <x:v>14</x:v>
      </x:c>
      <x:c r="AM1329" s="9"/>
      <x:c r="AN1329" s="9"/>
    </x:row>
    <x:row r="1330" ht="60" customHeight="1">
      <x:c r="A1330" s="9" t="str">
        <x:v>9XAnUC6gV8w</x:v>
      </x:c>
      <x:c r="B1330" s="10" t="str">
        <x:v>"אני לא מצליחה לתפקד יותר": בקי נשברת ומביאה לשלום את הילד המשותף</x:v>
      </x:c>
      <x:c r="C1330" s="10" t="str">
        <x:v>Семья и культурная память</x:v>
      </x:c>
      <x:c r="D1330" s="9" t="str">
        <x:v>Сериал</x:v>
      </x:c>
      <x:c r="E1330" s="10" t="str">
        <x:v>Сериалы; ностальгия; взрослые</x:v>
      </x:c>
      <x:c r="F1330" s="10" t="str">
        <x:v>B2–C1 (гипотеза)</x:v>
      </x:c>
      <x:c r="G1330" s="12" t="n">
        <x:v>2.1</x:v>
      </x:c>
      <x:c r="H1330" s="14" t="n">
        <x:v>75000</x:v>
      </x:c>
      <x:c r="I1330" s="15" t="str">
        <x:v>Округлённый счётчик в списке YouTube</x:v>
      </x:c>
      <x:c r="J1330" s="14" t="n">
        <x:v>75000</x:v>
      </x:c>
      <x:c r="K1330" s="14" t="n">
        <x:v>138000</x:v>
      </x:c>
      <x:c r="L1330" s="12" t="n">
        <x:f>IF(COUNT(J1330:K1330)=2,IF(K1330=0,"",J1330/K1330),"")</x:f>
        <x:v>0.5434782608695652</x:v>
      </x:c>
      <x:c r="M1330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30" s="10" t="str">
        <x:v>Сравнить две бытовые нормы прошлого и настоящего.</x:v>
      </x:c>
      <x:c r="O1330" s="10" t="str">
        <x:v>Могут быть фрагменты, а не полные серии</x:v>
      </x:c>
      <x:c r="P1330" s="10" t="str">
        <x:v>Фрагмент сериала</x:v>
      </x:c>
      <x:c r="Q1330" s="9" t="str">
        <x:v>Нет</x:v>
      </x:c>
      <x:c r="R1330" s="9" t="str">
        <x:v>C080</x:v>
      </x:c>
      <x:c r="S1330" s="9" t="str">
        <x:v>C080</x:v>
      </x:c>
      <x:c r="T1330" s="10" t="str">
        <x:v>רשת 13</x:v>
      </x:c>
      <x:c r="U1330" s="11" t="str">
        <x:v>https://www.youtube.com/watch?v=9XAnUC6gV8w</x:v>
      </x:c>
      <x:c r="V1330" s="16" t="n">
        <x:v>46308</x:v>
      </x:c>
      <x:c r="W1330" s="16"/>
      <x:c r="X1330" s="10" t="str">
        <x:v>Иврит предполагается по заголовку и источнику</x:v>
      </x:c>
      <x:c r="Y1330" s="10" t="str">
        <x:v>Не проверено</x:v>
      </x:c>
      <x:c r="Z1330" s="10" t="str">
        <x:v>Не проверено</x:v>
      </x:c>
      <x:c r="AA1330" s="10" t="str">
        <x:v>Метаданные списка; видео не просмотрено</x:v>
      </x:c>
      <x:c r="AB1330" s="13" t="str">
        <x:f>IF(AND(ISNUMBER(H1330),ISNUMBER(W1330)),H1330/MAX(1,'Обзор'!$B$4-W1330),"")</x:f>
      </x:c>
      <x:c r="AC1330" s="17" t="str">
        <x:v>Не решено</x:v>
      </x:c>
      <x:c r="AD1330" s="17" t="str">
        <x:v>Не проверено</x:v>
      </x:c>
      <x:c r="AE1330" s="17" t="str">
        <x:v>Не проверено</x:v>
      </x:c>
      <x:c r="AF1330" s="17" t="str">
        <x:v>Не проверено</x:v>
      </x:c>
      <x:c r="AG1330" s="17" t="str">
        <x:v>Не решено</x:v>
      </x:c>
      <x:c r="AH1330" s="17" t="str">
        <x:v>Не проверено</x:v>
      </x:c>
      <x:c r="AI1330" s="10" t="str">
        <x:f>IF(AC1330="Отклонить","Отклонено",IF(AND(AC1330="Взять",COUNTIFS(AD1330:AH1330,"Да")=5),"Готово","Нужна редактура"))</x:f>
        <x:v>Нужна редактура</x:v>
      </x:c>
      <x:c r="AJ1330" s="17" t="str"/>
      <x:c r="AK1330" s="9" t="str">
        <x:v>https://www.youtube.com/playlist?list=PL5tTMlIkxhYd6PYfo74-EPVyT88pmzMpZ</x:v>
      </x:c>
      <x:c r="AL1330" s="9" t="n">
        <x:v>15</x:v>
      </x:c>
      <x:c r="AM1330" s="9"/>
      <x:c r="AN1330" s="9"/>
    </x:row>
    <x:row r="1331" ht="60" customHeight="1">
      <x:c r="A1331" s="9" t="str">
        <x:v>IDKZPQUkEEY</x:v>
      </x:c>
      <x:c r="B1331" s="10" t="str">
        <x:v>קוקו אוכל מרק והופך לשד טזמני מקומי</x:v>
      </x:c>
      <x:c r="C1331" s="10" t="str">
        <x:v>Семья и культурная память</x:v>
      </x:c>
      <x:c r="D1331" s="9" t="str">
        <x:v>Сериал</x:v>
      </x:c>
      <x:c r="E1331" s="10" t="str">
        <x:v>Сериалы; ностальгия; взрослые</x:v>
      </x:c>
      <x:c r="F1331" s="10" t="str">
        <x:v>B2–C1 (гипотеза)</x:v>
      </x:c>
      <x:c r="G1331" s="12" t="n">
        <x:v>2.4</x:v>
      </x:c>
      <x:c r="H1331" s="14" t="n">
        <x:v>84000</x:v>
      </x:c>
      <x:c r="I1331" s="15" t="str">
        <x:v>Округлённый счётчик в списке YouTube</x:v>
      </x:c>
      <x:c r="J1331" s="14" t="n">
        <x:v>84000</x:v>
      </x:c>
      <x:c r="K1331" s="14" t="n">
        <x:v>138000</x:v>
      </x:c>
      <x:c r="L1331" s="12" t="n">
        <x:f>IF(COUNT(J1331:K1331)=2,IF(K1331=0,"",J1331/K1331),"")</x:f>
        <x:v>0.6086956521739131</x:v>
      </x:c>
      <x:c r="M1331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31" s="10" t="str">
        <x:v>Сравнить две бытовые нормы прошлого и настоящего.</x:v>
      </x:c>
      <x:c r="O1331" s="10" t="str">
        <x:v>Могут быть фрагменты, а не полные серии</x:v>
      </x:c>
      <x:c r="P1331" s="10" t="str">
        <x:v>Фрагмент сериала</x:v>
      </x:c>
      <x:c r="Q1331" s="9" t="str">
        <x:v>Нет</x:v>
      </x:c>
      <x:c r="R1331" s="9" t="str">
        <x:v>C080</x:v>
      </x:c>
      <x:c r="S1331" s="9" t="str">
        <x:v>C080</x:v>
      </x:c>
      <x:c r="T1331" s="10" t="str">
        <x:v>רשת 13</x:v>
      </x:c>
      <x:c r="U1331" s="11" t="str">
        <x:v>https://www.youtube.com/watch?v=IDKZPQUkEEY</x:v>
      </x:c>
      <x:c r="V1331" s="16" t="n">
        <x:v>46308</x:v>
      </x:c>
      <x:c r="W1331" s="16"/>
      <x:c r="X1331" s="10" t="str">
        <x:v>Иврит предполагается по заголовку и источнику</x:v>
      </x:c>
      <x:c r="Y1331" s="10" t="str">
        <x:v>Не проверено</x:v>
      </x:c>
      <x:c r="Z1331" s="10" t="str">
        <x:v>Не проверено</x:v>
      </x:c>
      <x:c r="AA1331" s="10" t="str">
        <x:v>Метаданные списка; видео не просмотрено</x:v>
      </x:c>
      <x:c r="AB1331" s="13" t="str">
        <x:f>IF(AND(ISNUMBER(H1331),ISNUMBER(W1331)),H1331/MAX(1,'Обзор'!$B$4-W1331),"")</x:f>
      </x:c>
      <x:c r="AC1331" s="17" t="str">
        <x:v>Не решено</x:v>
      </x:c>
      <x:c r="AD1331" s="17" t="str">
        <x:v>Не проверено</x:v>
      </x:c>
      <x:c r="AE1331" s="17" t="str">
        <x:v>Не проверено</x:v>
      </x:c>
      <x:c r="AF1331" s="17" t="str">
        <x:v>Не проверено</x:v>
      </x:c>
      <x:c r="AG1331" s="17" t="str">
        <x:v>Не решено</x:v>
      </x:c>
      <x:c r="AH1331" s="17" t="str">
        <x:v>Не проверено</x:v>
      </x:c>
      <x:c r="AI1331" s="10" t="str">
        <x:f>IF(AC1331="Отклонить","Отклонено",IF(AND(AC1331="Взять",COUNTIFS(AD1331:AH1331,"Да")=5),"Готово","Нужна редактура"))</x:f>
        <x:v>Нужна редактура</x:v>
      </x:c>
      <x:c r="AJ1331" s="17" t="str"/>
      <x:c r="AK1331" s="9" t="str">
        <x:v>https://www.youtube.com/playlist?list=PL5tTMlIkxhYd6PYfo74-EPVyT88pmzMpZ</x:v>
      </x:c>
      <x:c r="AL1331" s="9" t="n">
        <x:v>16</x:v>
      </x:c>
      <x:c r="AM1331" s="9"/>
      <x:c r="AN1331" s="9"/>
    </x:row>
    <x:row r="1332" ht="60" customHeight="1">
      <x:c r="A1332" s="9" t="str">
        <x:v>OI1ExdX00s8</x:v>
      </x:c>
      <x:c r="B1332" s="10" t="str">
        <x:v>המונולוג המרגש של מורדי: "נמאס לי לוותר על החלומות של עצמי"</x:v>
      </x:c>
      <x:c r="C1332" s="10" t="str">
        <x:v>Семья и культурная память</x:v>
      </x:c>
      <x:c r="D1332" s="9" t="str">
        <x:v>Сериал</x:v>
      </x:c>
      <x:c r="E1332" s="10" t="str">
        <x:v>Сериалы; ностальгия; взрослые</x:v>
      </x:c>
      <x:c r="F1332" s="10" t="str">
        <x:v>B2–C1 (гипотеза)</x:v>
      </x:c>
      <x:c r="G1332" s="12" t="n">
        <x:v>1.5</x:v>
      </x:c>
      <x:c r="H1332" s="14" t="n">
        <x:v>31000</x:v>
      </x:c>
      <x:c r="I1332" s="15" t="str">
        <x:v>Округлённый счётчик в списке YouTube</x:v>
      </x:c>
      <x:c r="J1332" s="14" t="n">
        <x:v>31000</x:v>
      </x:c>
      <x:c r="K1332" s="14" t="n">
        <x:v>138000</x:v>
      </x:c>
      <x:c r="L1332" s="12" t="n">
        <x:f>IF(COUNT(J1332:K1332)=2,IF(K1332=0,"",J1332/K1332),"")</x:f>
        <x:v>0.2246376811594203</x:v>
      </x:c>
      <x:c r="M1332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Продолжает семейную и социальную тему в другой эпохе. Подходит любителям привычных персонажей.</x:v>
      </x:c>
      <x:c r="N1332" s="10" t="str">
        <x:v>Сравнить две бытовые нормы прошлого и настоящего.</x:v>
      </x:c>
      <x:c r="O1332" s="10" t="str">
        <x:v>Могут быть фрагменты, а не полные серии</x:v>
      </x:c>
      <x:c r="P1332" s="10" t="str">
        <x:v>Фрагмент сериала</x:v>
      </x:c>
      <x:c r="Q1332" s="9" t="str">
        <x:v>Нет</x:v>
      </x:c>
      <x:c r="R1332" s="9" t="str">
        <x:v>C080</x:v>
      </x:c>
      <x:c r="S1332" s="9" t="str">
        <x:v>C080</x:v>
      </x:c>
      <x:c r="T1332" s="10" t="str">
        <x:v>רשת 13</x:v>
      </x:c>
      <x:c r="U1332" s="11" t="str">
        <x:v>https://www.youtube.com/watch?v=OI1ExdX00s8</x:v>
      </x:c>
      <x:c r="V1332" s="16" t="n">
        <x:v>46308</x:v>
      </x:c>
      <x:c r="W1332" s="16"/>
      <x:c r="X1332" s="10" t="str">
        <x:v>Иврит предполагается по заголовку и источнику</x:v>
      </x:c>
      <x:c r="Y1332" s="10" t="str">
        <x:v>Не проверено</x:v>
      </x:c>
      <x:c r="Z1332" s="10" t="str">
        <x:v>Не проверено</x:v>
      </x:c>
      <x:c r="AA1332" s="10" t="str">
        <x:v>Метаданные списка; видео не просмотрено</x:v>
      </x:c>
      <x:c r="AB1332" s="13" t="str">
        <x:f>IF(AND(ISNUMBER(H1332),ISNUMBER(W1332)),H1332/MAX(1,'Обзор'!$B$4-W1332),"")</x:f>
      </x:c>
      <x:c r="AC1332" s="17" t="str">
        <x:v>Не решено</x:v>
      </x:c>
      <x:c r="AD1332" s="17" t="str">
        <x:v>Не проверено</x:v>
      </x:c>
      <x:c r="AE1332" s="17" t="str">
        <x:v>Не проверено</x:v>
      </x:c>
      <x:c r="AF1332" s="17" t="str">
        <x:v>Не проверено</x:v>
      </x:c>
      <x:c r="AG1332" s="17" t="str">
        <x:v>Не решено</x:v>
      </x:c>
      <x:c r="AH1332" s="17" t="str">
        <x:v>Не проверено</x:v>
      </x:c>
      <x:c r="AI1332" s="10" t="str">
        <x:f>IF(AC1332="Отклонить","Отклонено",IF(AND(AC1332="Взять",COUNTIFS(AD1332:AH1332,"Да")=5),"Готово","Нужна редактура"))</x:f>
        <x:v>Нужна редактура</x:v>
      </x:c>
      <x:c r="AJ1332" s="17" t="str"/>
      <x:c r="AK1332" s="9" t="str">
        <x:v>https://www.youtube.com/playlist?list=PL5tTMlIkxhYd6PYfo74-EPVyT88pmzMpZ</x:v>
      </x:c>
      <x:c r="AL1332" s="9" t="n">
        <x:v>17</x:v>
      </x:c>
      <x:c r="AM1332" s="9"/>
      <x:c r="AN1332" s="9"/>
    </x:row>
    <x:row r="1333" ht="60" customHeight="1">
      <x:c r="A1333" s="9" t="str">
        <x:v>Ik71MvsJ7PY</x:v>
      </x:c>
      <x:c r="B1333" s="10" t="str">
        <x:v>פרוספר מנסה לקחת את מקומה של ליליאן העצבנית במטבח</x:v>
      </x:c>
      <x:c r="C1333" s="10" t="str">
        <x:v>Семья и культурная память</x:v>
      </x:c>
      <x:c r="D1333" s="9" t="str">
        <x:v>Сериал</x:v>
      </x:c>
      <x:c r="E1333" s="10" t="str">
        <x:v>Сериалы; ностальгия; взрослые</x:v>
      </x:c>
      <x:c r="F1333" s="10" t="str">
        <x:v>B2–C1 (гипотеза)</x:v>
      </x:c>
      <x:c r="G1333" s="12" t="n">
        <x:v>7</x:v>
      </x:c>
      <x:c r="H1333" s="14" t="n">
        <x:v>182000</x:v>
      </x:c>
      <x:c r="I1333" s="15" t="str">
        <x:v>Округлённый счётчик в списке YouTube</x:v>
      </x:c>
      <x:c r="J1333" s="14" t="n">
        <x:v>182000</x:v>
      </x:c>
      <x:c r="K1333" s="14" t="n">
        <x:v>138000</x:v>
      </x:c>
      <x:c r="L1333" s="12" t="n">
        <x:f>IF(COUNT(J1333:K1333)=2,IF(K1333=0,"",J1333/K1333),"")</x:f>
        <x:v>1.318840579710145</x:v>
      </x:c>
      <x:c r="M1333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33" s="10" t="str">
        <x:v>Сравнить две бытовые нормы прошлого и настоящего.</x:v>
      </x:c>
      <x:c r="O1333" s="10" t="str">
        <x:v>В заголовке есть чувствительная тема: предварительный просмотр и добровольный выбор. Могут быть фрагменты, а не полные серии</x:v>
      </x:c>
      <x:c r="P1333" s="10" t="str">
        <x:v>Фрагмент сериала</x:v>
      </x:c>
      <x:c r="Q1333" s="9" t="str">
        <x:v>Нет</x:v>
      </x:c>
      <x:c r="R1333" s="9" t="str">
        <x:v>C080</x:v>
      </x:c>
      <x:c r="S1333" s="9" t="str">
        <x:v>C080</x:v>
      </x:c>
      <x:c r="T1333" s="10" t="str">
        <x:v>רשת 13</x:v>
      </x:c>
      <x:c r="U1333" s="11" t="str">
        <x:v>https://www.youtube.com/watch?v=Ik71MvsJ7PY</x:v>
      </x:c>
      <x:c r="V1333" s="16" t="n">
        <x:v>46308</x:v>
      </x:c>
      <x:c r="W1333" s="16"/>
      <x:c r="X1333" s="10" t="str">
        <x:v>Иврит предполагается по заголовку и источнику</x:v>
      </x:c>
      <x:c r="Y1333" s="10" t="str">
        <x:v>Не проверено</x:v>
      </x:c>
      <x:c r="Z1333" s="10" t="str">
        <x:v>Не проверено</x:v>
      </x:c>
      <x:c r="AA1333" s="10" t="str">
        <x:v>Метаданные списка; видео не просмотрено</x:v>
      </x:c>
      <x:c r="AB1333" s="13" t="str">
        <x:f>IF(AND(ISNUMBER(H1333),ISNUMBER(W1333)),H1333/MAX(1,'Обзор'!$B$4-W1333),"")</x:f>
      </x:c>
      <x:c r="AC1333" s="17" t="str">
        <x:v>Не решено</x:v>
      </x:c>
      <x:c r="AD1333" s="17" t="str">
        <x:v>Не проверено</x:v>
      </x:c>
      <x:c r="AE1333" s="17" t="str">
        <x:v>Не проверено</x:v>
      </x:c>
      <x:c r="AF1333" s="17" t="str">
        <x:v>Не проверено</x:v>
      </x:c>
      <x:c r="AG1333" s="17" t="str">
        <x:v>Не решено</x:v>
      </x:c>
      <x:c r="AH1333" s="17" t="str">
        <x:v>Не проверено</x:v>
      </x:c>
      <x:c r="AI1333" s="10" t="str">
        <x:f>IF(AC1333="Отклонить","Отклонено",IF(AND(AC1333="Взять",COUNTIFS(AD1333:AH1333,"Да")=5),"Готово","Нужна редактура"))</x:f>
        <x:v>Нужна редактура</x:v>
      </x:c>
      <x:c r="AJ1333" s="17" t="str"/>
      <x:c r="AK1333" s="9" t="str">
        <x:v>https://www.youtube.com/playlist?list=PL5tTMlIkxhYd6PYfo74-EPVyT88pmzMpZ</x:v>
      </x:c>
      <x:c r="AL1333" s="9" t="n">
        <x:v>18</x:v>
      </x:c>
      <x:c r="AM1333" s="9"/>
      <x:c r="AN1333" s="9"/>
    </x:row>
    <x:row r="1334" ht="60" customHeight="1">
      <x:c r="A1334" s="9" t="str">
        <x:v>HThFnbQ4U30</x:v>
      </x:c>
      <x:c r="B1334" s="10" t="str">
        <x:v>מורדי מגיע לתל אביב: "איזו עיר מדהימה, לא כמו הגועל נפש בטירה"</x:v>
      </x:c>
      <x:c r="C1334" s="10" t="str">
        <x:v>Семья и культурная память</x:v>
      </x:c>
      <x:c r="D1334" s="9" t="str">
        <x:v>Сериал</x:v>
      </x:c>
      <x:c r="E1334" s="10" t="str">
        <x:v>Сериалы; ностальгия; взрослые</x:v>
      </x:c>
      <x:c r="F1334" s="10" t="str">
        <x:v>B2–C1 (гипотеза)</x:v>
      </x:c>
      <x:c r="G1334" s="12" t="n">
        <x:v>5.9</x:v>
      </x:c>
      <x:c r="H1334" s="14" t="n">
        <x:v>201000</x:v>
      </x:c>
      <x:c r="I1334" s="15" t="str">
        <x:v>Округлённый счётчик в списке YouTube</x:v>
      </x:c>
      <x:c r="J1334" s="14" t="n">
        <x:v>201000</x:v>
      </x:c>
      <x:c r="K1334" s="14" t="n">
        <x:v>138000</x:v>
      </x:c>
      <x:c r="L1334" s="12" t="n">
        <x:f>IF(COUNT(J1334:K1334)=2,IF(K1334=0,"",J1334/K1334),"")</x:f>
        <x:v>1.4565217391304348</x:v>
      </x:c>
      <x:c r="M1334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34" s="10" t="str">
        <x:v>Сравнить две бытовые нормы прошлого и настоящего.</x:v>
      </x:c>
      <x:c r="O1334" s="10" t="str">
        <x:v>Могут быть фрагменты, а не полные серии</x:v>
      </x:c>
      <x:c r="P1334" s="10" t="str">
        <x:v>Фрагмент сериала</x:v>
      </x:c>
      <x:c r="Q1334" s="9" t="str">
        <x:v>Нет</x:v>
      </x:c>
      <x:c r="R1334" s="9" t="str">
        <x:v>C080</x:v>
      </x:c>
      <x:c r="S1334" s="9" t="str">
        <x:v>C080</x:v>
      </x:c>
      <x:c r="T1334" s="10" t="str">
        <x:v>רשת 13</x:v>
      </x:c>
      <x:c r="U1334" s="11" t="str">
        <x:v>https://www.youtube.com/watch?v=HThFnbQ4U30</x:v>
      </x:c>
      <x:c r="V1334" s="16" t="n">
        <x:v>46308</x:v>
      </x:c>
      <x:c r="W1334" s="16"/>
      <x:c r="X1334" s="10" t="str">
        <x:v>Иврит предполагается по заголовку и источнику</x:v>
      </x:c>
      <x:c r="Y1334" s="10" t="str">
        <x:v>Не проверено</x:v>
      </x:c>
      <x:c r="Z1334" s="10" t="str">
        <x:v>Не проверено</x:v>
      </x:c>
      <x:c r="AA1334" s="10" t="str">
        <x:v>Метаданные списка; видео не просмотрено</x:v>
      </x:c>
      <x:c r="AB1334" s="13" t="str">
        <x:f>IF(AND(ISNUMBER(H1334),ISNUMBER(W1334)),H1334/MAX(1,'Обзор'!$B$4-W1334),"")</x:f>
      </x:c>
      <x:c r="AC1334" s="17" t="str">
        <x:v>Не решено</x:v>
      </x:c>
      <x:c r="AD1334" s="17" t="str">
        <x:v>Не проверено</x:v>
      </x:c>
      <x:c r="AE1334" s="17" t="str">
        <x:v>Не проверено</x:v>
      </x:c>
      <x:c r="AF1334" s="17" t="str">
        <x:v>Не проверено</x:v>
      </x:c>
      <x:c r="AG1334" s="17" t="str">
        <x:v>Не решено</x:v>
      </x:c>
      <x:c r="AH1334" s="17" t="str">
        <x:v>Не проверено</x:v>
      </x:c>
      <x:c r="AI1334" s="10" t="str">
        <x:f>IF(AC1334="Отклонить","Отклонено",IF(AND(AC1334="Взять",COUNTIFS(AD1334:AH1334,"Да")=5),"Готово","Нужна редактура"))</x:f>
        <x:v>Нужна редактура</x:v>
      </x:c>
      <x:c r="AJ1334" s="17" t="str"/>
      <x:c r="AK1334" s="9" t="str">
        <x:v>https://www.youtube.com/playlist?list=PL5tTMlIkxhYd6PYfo74-EPVyT88pmzMpZ</x:v>
      </x:c>
      <x:c r="AL1334" s="9" t="n">
        <x:v>19</x:v>
      </x:c>
      <x:c r="AM1334" s="9"/>
      <x:c r="AN1334" s="9"/>
    </x:row>
    <x:row r="1335" ht="60" customHeight="1">
      <x:c r="A1335" s="9" t="str">
        <x:v>IsDUPFu9JTU</x:v>
      </x:c>
      <x:c r="B1335" s="10" t="str">
        <x:v>פריזר יוצא לקרב נגד הברסלב שהתמקם מחוץ למכולת</x:v>
      </x:c>
      <x:c r="C1335" s="10" t="str">
        <x:v>Семья и культурная память</x:v>
      </x:c>
      <x:c r="D1335" s="9" t="str">
        <x:v>Сериал</x:v>
      </x:c>
      <x:c r="E1335" s="10" t="str">
        <x:v>Сериалы; ностальгия; взрослые</x:v>
      </x:c>
      <x:c r="F1335" s="10" t="str">
        <x:v>B2–C1 (гипотеза)</x:v>
      </x:c>
      <x:c r="G1335" s="12" t="n">
        <x:v>4.4</x:v>
      </x:c>
      <x:c r="H1335" s="14" t="n">
        <x:v>206000</x:v>
      </x:c>
      <x:c r="I1335" s="15" t="str">
        <x:v>Округлённый счётчик в списке YouTube</x:v>
      </x:c>
      <x:c r="J1335" s="14" t="n">
        <x:v>206000</x:v>
      </x:c>
      <x:c r="K1335" s="14" t="n">
        <x:v>138000</x:v>
      </x:c>
      <x:c r="L1335" s="12" t="n">
        <x:f>IF(COUNT(J1335:K1335)=2,IF(K1335=0,"",J1335/K1335),"")</x:f>
        <x:v>1.4927536231884058</x:v>
      </x:c>
      <x:c r="M1335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35" s="10" t="str">
        <x:v>Сравнить две бытовые нормы прошлого и настоящего.</x:v>
      </x:c>
      <x:c r="O1335" s="10" t="str">
        <x:v>Могут быть фрагменты, а не полные серии</x:v>
      </x:c>
      <x:c r="P1335" s="10" t="str">
        <x:v>Фрагмент сериала</x:v>
      </x:c>
      <x:c r="Q1335" s="9" t="str">
        <x:v>Нет</x:v>
      </x:c>
      <x:c r="R1335" s="9" t="str">
        <x:v>C080</x:v>
      </x:c>
      <x:c r="S1335" s="9" t="str">
        <x:v>C080</x:v>
      </x:c>
      <x:c r="T1335" s="10" t="str">
        <x:v>רשת 13</x:v>
      </x:c>
      <x:c r="U1335" s="11" t="str">
        <x:v>https://www.youtube.com/watch?v=IsDUPFu9JTU</x:v>
      </x:c>
      <x:c r="V1335" s="16" t="n">
        <x:v>46308</x:v>
      </x:c>
      <x:c r="W1335" s="16"/>
      <x:c r="X1335" s="10" t="str">
        <x:v>Иврит предполагается по заголовку и источнику</x:v>
      </x:c>
      <x:c r="Y1335" s="10" t="str">
        <x:v>Не проверено</x:v>
      </x:c>
      <x:c r="Z1335" s="10" t="str">
        <x:v>Не проверено</x:v>
      </x:c>
      <x:c r="AA1335" s="10" t="str">
        <x:v>Метаданные списка; видео не просмотрено</x:v>
      </x:c>
      <x:c r="AB1335" s="13" t="str">
        <x:f>IF(AND(ISNUMBER(H1335),ISNUMBER(W1335)),H1335/MAX(1,'Обзор'!$B$4-W1335),"")</x:f>
      </x:c>
      <x:c r="AC1335" s="17" t="str">
        <x:v>Не решено</x:v>
      </x:c>
      <x:c r="AD1335" s="17" t="str">
        <x:v>Не проверено</x:v>
      </x:c>
      <x:c r="AE1335" s="17" t="str">
        <x:v>Не проверено</x:v>
      </x:c>
      <x:c r="AF1335" s="17" t="str">
        <x:v>Не проверено</x:v>
      </x:c>
      <x:c r="AG1335" s="17" t="str">
        <x:v>Не решено</x:v>
      </x:c>
      <x:c r="AH1335" s="17" t="str">
        <x:v>Не проверено</x:v>
      </x:c>
      <x:c r="AI1335" s="10" t="str">
        <x:f>IF(AC1335="Отклонить","Отклонено",IF(AND(AC1335="Взять",COUNTIFS(AD1335:AH1335,"Да")=5),"Готово","Нужна редактура"))</x:f>
        <x:v>Нужна редактура</x:v>
      </x:c>
      <x:c r="AJ1335" s="17" t="str"/>
      <x:c r="AK1335" s="9" t="str">
        <x:v>https://www.youtube.com/playlist?list=PL5tTMlIkxhYd6PYfo74-EPVyT88pmzMpZ</x:v>
      </x:c>
      <x:c r="AL1335" s="9" t="n">
        <x:v>20</x:v>
      </x:c>
      <x:c r="AM1335" s="9"/>
      <x:c r="AN1335" s="9"/>
    </x:row>
    <x:row r="1336" ht="60" customHeight="1">
      <x:c r="A1336" s="9" t="str">
        <x:v>jv910e7tDBM</x:v>
      </x:c>
      <x:c r="B1336" s="10" t="str">
        <x:v>שתי סטירות או בוקס לפנים? חלבי ופנסו מנסים להגיע לעסקה</x:v>
      </x:c>
      <x:c r="C1336" s="10" t="str">
        <x:v>Семья и культурная память</x:v>
      </x:c>
      <x:c r="D1336" s="9" t="str">
        <x:v>Сериал</x:v>
      </x:c>
      <x:c r="E1336" s="10" t="str">
        <x:v>Сериалы; ностальгия; взрослые</x:v>
      </x:c>
      <x:c r="F1336" s="10" t="str">
        <x:v>B2–C1 (гипотеза)</x:v>
      </x:c>
      <x:c r="G1336" s="12" t="n">
        <x:v>5.6</x:v>
      </x:c>
      <x:c r="H1336" s="14" t="n">
        <x:v>198000</x:v>
      </x:c>
      <x:c r="I1336" s="15" t="str">
        <x:v>Округлённый счётчик в списке YouTube</x:v>
      </x:c>
      <x:c r="J1336" s="14" t="n">
        <x:v>198000</x:v>
      </x:c>
      <x:c r="K1336" s="14" t="n">
        <x:v>138000</x:v>
      </x:c>
      <x:c r="L1336" s="12" t="n">
        <x:f>IF(COUNT(J1336:K1336)=2,IF(K1336=0,"",J1336/K1336),"")</x:f>
        <x:v>1.434782608695652</x:v>
      </x:c>
      <x:c r="M1336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36" s="10" t="str">
        <x:v>Сравнить две бытовые нормы прошлого и настоящего.</x:v>
      </x:c>
      <x:c r="O1336" s="10" t="str">
        <x:v>Могут быть фрагменты, а не полные серии</x:v>
      </x:c>
      <x:c r="P1336" s="10" t="str">
        <x:v>Фрагмент сериала</x:v>
      </x:c>
      <x:c r="Q1336" s="9" t="str">
        <x:v>Нет</x:v>
      </x:c>
      <x:c r="R1336" s="9" t="str">
        <x:v>C080</x:v>
      </x:c>
      <x:c r="S1336" s="9" t="str">
        <x:v>C080</x:v>
      </x:c>
      <x:c r="T1336" s="10" t="str">
        <x:v>רשת 13</x:v>
      </x:c>
      <x:c r="U1336" s="11" t="str">
        <x:v>https://www.youtube.com/watch?v=jv910e7tDBM</x:v>
      </x:c>
      <x:c r="V1336" s="16" t="n">
        <x:v>46308</x:v>
      </x:c>
      <x:c r="W1336" s="16"/>
      <x:c r="X1336" s="10" t="str">
        <x:v>Иврит предполагается по заголовку и источнику</x:v>
      </x:c>
      <x:c r="Y1336" s="10" t="str">
        <x:v>Не проверено</x:v>
      </x:c>
      <x:c r="Z1336" s="10" t="str">
        <x:v>Не проверено</x:v>
      </x:c>
      <x:c r="AA1336" s="10" t="str">
        <x:v>Метаданные списка; видео не просмотрено</x:v>
      </x:c>
      <x:c r="AB1336" s="13" t="str">
        <x:f>IF(AND(ISNUMBER(H1336),ISNUMBER(W1336)),H1336/MAX(1,'Обзор'!$B$4-W1336),"")</x:f>
      </x:c>
      <x:c r="AC1336" s="17" t="str">
        <x:v>Не решено</x:v>
      </x:c>
      <x:c r="AD1336" s="17" t="str">
        <x:v>Не проверено</x:v>
      </x:c>
      <x:c r="AE1336" s="17" t="str">
        <x:v>Не проверено</x:v>
      </x:c>
      <x:c r="AF1336" s="17" t="str">
        <x:v>Не проверено</x:v>
      </x:c>
      <x:c r="AG1336" s="17" t="str">
        <x:v>Не решено</x:v>
      </x:c>
      <x:c r="AH1336" s="17" t="str">
        <x:v>Не проверено</x:v>
      </x:c>
      <x:c r="AI1336" s="10" t="str">
        <x:f>IF(AC1336="Отклонить","Отклонено",IF(AND(AC1336="Взять",COUNTIFS(AD1336:AH1336,"Да")=5),"Готово","Нужна редактура"))</x:f>
        <x:v>Нужна редактура</x:v>
      </x:c>
      <x:c r="AJ1336" s="17" t="str"/>
      <x:c r="AK1336" s="9" t="str">
        <x:v>https://www.youtube.com/playlist?list=PL5tTMlIkxhYd6PYfo74-EPVyT88pmzMpZ</x:v>
      </x:c>
      <x:c r="AL1336" s="9" t="n">
        <x:v>21</x:v>
      </x:c>
      <x:c r="AM1336" s="9"/>
      <x:c r="AN1336" s="9"/>
    </x:row>
    <x:row r="1337" ht="60" customHeight="1">
      <x:c r="A1337" s="9" t="str">
        <x:v>tYQM3-MI9Wo</x:v>
      </x:c>
      <x:c r="B1337" s="10" t="str">
        <x:v>פגישה עם ביזנצמן: שלום ומני מנסים לשכנע את דדה מירבי להשקיע בהם</x:v>
      </x:c>
      <x:c r="C1337" s="10" t="str">
        <x:v>Семья и культурная память</x:v>
      </x:c>
      <x:c r="D1337" s="9" t="str">
        <x:v>Сериал</x:v>
      </x:c>
      <x:c r="E1337" s="10" t="str">
        <x:v>Сериалы; ностальгия; взрослые</x:v>
      </x:c>
      <x:c r="F1337" s="10" t="str">
        <x:v>B2–C1 (гипотеза)</x:v>
      </x:c>
      <x:c r="G1337" s="12" t="n">
        <x:v>3.8</x:v>
      </x:c>
      <x:c r="H1337" s="14" t="n">
        <x:v>94000</x:v>
      </x:c>
      <x:c r="I1337" s="15" t="str">
        <x:v>Округлённый счётчик в списке YouTube</x:v>
      </x:c>
      <x:c r="J1337" s="14" t="n">
        <x:v>94000</x:v>
      </x:c>
      <x:c r="K1337" s="14" t="n">
        <x:v>138000</x:v>
      </x:c>
      <x:c r="L1337" s="12" t="n">
        <x:f>IF(COUNT(J1337:K1337)=2,IF(K1337=0,"",J1337/K1337),"")</x:f>
        <x:v>0.6811594202898551</x:v>
      </x:c>
      <x:c r="M1337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37" s="10" t="str">
        <x:v>Сравнить две бытовые нормы прошлого и настоящего.</x:v>
      </x:c>
      <x:c r="O1337" s="10" t="str">
        <x:v>Могут быть фрагменты, а не полные серии</x:v>
      </x:c>
      <x:c r="P1337" s="10" t="str">
        <x:v>Фрагмент сериала</x:v>
      </x:c>
      <x:c r="Q1337" s="9" t="str">
        <x:v>Нет</x:v>
      </x:c>
      <x:c r="R1337" s="9" t="str">
        <x:v>C080</x:v>
      </x:c>
      <x:c r="S1337" s="9" t="str">
        <x:v>C080</x:v>
      </x:c>
      <x:c r="T1337" s="10" t="str">
        <x:v>רשת 13</x:v>
      </x:c>
      <x:c r="U1337" s="11" t="str">
        <x:v>https://www.youtube.com/watch?v=tYQM3-MI9Wo</x:v>
      </x:c>
      <x:c r="V1337" s="16" t="n">
        <x:v>46308</x:v>
      </x:c>
      <x:c r="W1337" s="16"/>
      <x:c r="X1337" s="10" t="str">
        <x:v>Иврит предполагается по заголовку и источнику</x:v>
      </x:c>
      <x:c r="Y1337" s="10" t="str">
        <x:v>Не проверено</x:v>
      </x:c>
      <x:c r="Z1337" s="10" t="str">
        <x:v>Не проверено</x:v>
      </x:c>
      <x:c r="AA1337" s="10" t="str">
        <x:v>Метаданные списка; видео не просмотрено</x:v>
      </x:c>
      <x:c r="AB1337" s="13" t="str">
        <x:f>IF(AND(ISNUMBER(H1337),ISNUMBER(W1337)),H1337/MAX(1,'Обзор'!$B$4-W1337),"")</x:f>
      </x:c>
      <x:c r="AC1337" s="17" t="str">
        <x:v>Не решено</x:v>
      </x:c>
      <x:c r="AD1337" s="17" t="str">
        <x:v>Не проверено</x:v>
      </x:c>
      <x:c r="AE1337" s="17" t="str">
        <x:v>Не проверено</x:v>
      </x:c>
      <x:c r="AF1337" s="17" t="str">
        <x:v>Не проверено</x:v>
      </x:c>
      <x:c r="AG1337" s="17" t="str">
        <x:v>Не решено</x:v>
      </x:c>
      <x:c r="AH1337" s="17" t="str">
        <x:v>Не проверено</x:v>
      </x:c>
      <x:c r="AI1337" s="10" t="str">
        <x:f>IF(AC1337="Отклонить","Отклонено",IF(AND(AC1337="Взять",COUNTIFS(AD1337:AH1337,"Да")=5),"Готово","Нужна редактура"))</x:f>
        <x:v>Нужна редактура</x:v>
      </x:c>
      <x:c r="AJ1337" s="17" t="str"/>
      <x:c r="AK1337" s="9" t="str">
        <x:v>https://www.youtube.com/playlist?list=PL5tTMlIkxhYd6PYfo74-EPVyT88pmzMpZ</x:v>
      </x:c>
      <x:c r="AL1337" s="9" t="n">
        <x:v>22</x:v>
      </x:c>
      <x:c r="AM1337" s="9"/>
      <x:c r="AN1337" s="9"/>
    </x:row>
    <x:row r="1338" ht="60" customHeight="1">
      <x:c r="A1338" s="9" t="str">
        <x:v>CryOPYZY1f4</x:v>
      </x:c>
      <x:c r="B1338" s="10" t="str">
        <x:v>יובל מעתוק מגיעה לשנות ה-90: "היא פותחת לנו עין הרע"</x:v>
      </x:c>
      <x:c r="C1338" s="10" t="str">
        <x:v>Семья и культурная память</x:v>
      </x:c>
      <x:c r="D1338" s="9" t="str">
        <x:v>Сериал</x:v>
      </x:c>
      <x:c r="E1338" s="10" t="str">
        <x:v>Сериалы; ностальгия; взрослые</x:v>
      </x:c>
      <x:c r="F1338" s="10" t="str">
        <x:v>B2–C1 (гипотеза)</x:v>
      </x:c>
      <x:c r="G1338" s="12" t="n">
        <x:v>3</x:v>
      </x:c>
      <x:c r="H1338" s="14" t="n">
        <x:v>164000</x:v>
      </x:c>
      <x:c r="I1338" s="15" t="str">
        <x:v>Округлённый счётчик в списке YouTube</x:v>
      </x:c>
      <x:c r="J1338" s="14" t="n">
        <x:v>164000</x:v>
      </x:c>
      <x:c r="K1338" s="14" t="n">
        <x:v>138000</x:v>
      </x:c>
      <x:c r="L1338" s="12" t="n">
        <x:f>IF(COUNT(J1338:K1338)=2,IF(K1338=0,"",J1338/K1338),"")</x:f>
        <x:v>1.1884057971014492</x:v>
      </x:c>
      <x:c r="M1338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38" s="10" t="str">
        <x:v>Сравнить две бытовые нормы прошлого и настоящего.</x:v>
      </x:c>
      <x:c r="O1338" s="10" t="str">
        <x:v>Могут быть фрагменты, а не полные серии</x:v>
      </x:c>
      <x:c r="P1338" s="10" t="str">
        <x:v>Фрагмент сериала</x:v>
      </x:c>
      <x:c r="Q1338" s="9" t="str">
        <x:v>Нет</x:v>
      </x:c>
      <x:c r="R1338" s="9" t="str">
        <x:v>C080</x:v>
      </x:c>
      <x:c r="S1338" s="9" t="str">
        <x:v>C080</x:v>
      </x:c>
      <x:c r="T1338" s="10" t="str">
        <x:v>רשת 13</x:v>
      </x:c>
      <x:c r="U1338" s="11" t="str">
        <x:v>https://www.youtube.com/watch?v=CryOPYZY1f4</x:v>
      </x:c>
      <x:c r="V1338" s="16" t="n">
        <x:v>46308</x:v>
      </x:c>
      <x:c r="W1338" s="16"/>
      <x:c r="X1338" s="10" t="str">
        <x:v>Иврит предполагается по заголовку и источнику</x:v>
      </x:c>
      <x:c r="Y1338" s="10" t="str">
        <x:v>Не проверено</x:v>
      </x:c>
      <x:c r="Z1338" s="10" t="str">
        <x:v>Не проверено</x:v>
      </x:c>
      <x:c r="AA1338" s="10" t="str">
        <x:v>Метаданные списка; видео не просмотрено</x:v>
      </x:c>
      <x:c r="AB1338" s="13" t="str">
        <x:f>IF(AND(ISNUMBER(H1338),ISNUMBER(W1338)),H1338/MAX(1,'Обзор'!$B$4-W1338),"")</x:f>
      </x:c>
      <x:c r="AC1338" s="17" t="str">
        <x:v>Не решено</x:v>
      </x:c>
      <x:c r="AD1338" s="17" t="str">
        <x:v>Не проверено</x:v>
      </x:c>
      <x:c r="AE1338" s="17" t="str">
        <x:v>Не проверено</x:v>
      </x:c>
      <x:c r="AF1338" s="17" t="str">
        <x:v>Не проверено</x:v>
      </x:c>
      <x:c r="AG1338" s="17" t="str">
        <x:v>Не решено</x:v>
      </x:c>
      <x:c r="AH1338" s="17" t="str">
        <x:v>Не проверено</x:v>
      </x:c>
      <x:c r="AI1338" s="10" t="str">
        <x:f>IF(AC1338="Отклонить","Отклонено",IF(AND(AC1338="Взять",COUNTIFS(AD1338:AH1338,"Да")=5),"Готово","Нужна редактура"))</x:f>
        <x:v>Нужна редактура</x:v>
      </x:c>
      <x:c r="AJ1338" s="17" t="str"/>
      <x:c r="AK1338" s="9" t="str">
        <x:v>https://www.youtube.com/playlist?list=PL5tTMlIkxhYd6PYfo74-EPVyT88pmzMpZ</x:v>
      </x:c>
      <x:c r="AL1338" s="9" t="n">
        <x:v>23</x:v>
      </x:c>
      <x:c r="AM1338" s="9"/>
      <x:c r="AN1338" s="9"/>
    </x:row>
    <x:row r="1339" ht="60" customHeight="1">
      <x:c r="A1339" s="9" t="str">
        <x:v>FrCqiHQ9xds</x:v>
      </x:c>
      <x:c r="B1339" s="10" t="str">
        <x:v>מי גרם לדוד העשיר של ממוקה להתמוטט באולם האירועים?</x:v>
      </x:c>
      <x:c r="C1339" s="10" t="str">
        <x:v>Семья и культурная память</x:v>
      </x:c>
      <x:c r="D1339" s="9" t="str">
        <x:v>Сериал</x:v>
      </x:c>
      <x:c r="E1339" s="10" t="str">
        <x:v>Сериалы; ностальгия; взрослые</x:v>
      </x:c>
      <x:c r="F1339" s="10" t="str">
        <x:v>B2–C1 (гипотеза)</x:v>
      </x:c>
      <x:c r="G1339" s="12" t="n">
        <x:v>4.9</x:v>
      </x:c>
      <x:c r="H1339" s="14" t="n">
        <x:v>154000</x:v>
      </x:c>
      <x:c r="I1339" s="15" t="str">
        <x:v>Округлённый счётчик в списке YouTube</x:v>
      </x:c>
      <x:c r="J1339" s="14" t="n">
        <x:v>154000</x:v>
      </x:c>
      <x:c r="K1339" s="14" t="n">
        <x:v>138000</x:v>
      </x:c>
      <x:c r="L1339" s="12" t="n">
        <x:f>IF(COUNT(J1339:K1339)=2,IF(K1339=0,"",J1339/K1339),"")</x:f>
        <x:v>1.1159420289855073</x:v>
      </x:c>
      <x:c r="M1339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39" s="10" t="str">
        <x:v>Сравнить две бытовые нормы прошлого и настоящего.</x:v>
      </x:c>
      <x:c r="O1339" s="10" t="str">
        <x:v>Могут быть фрагменты, а не полные серии</x:v>
      </x:c>
      <x:c r="P1339" s="10" t="str">
        <x:v>Фрагмент сериала</x:v>
      </x:c>
      <x:c r="Q1339" s="9" t="str">
        <x:v>Нет</x:v>
      </x:c>
      <x:c r="R1339" s="9" t="str">
        <x:v>C080</x:v>
      </x:c>
      <x:c r="S1339" s="9" t="str">
        <x:v>C080</x:v>
      </x:c>
      <x:c r="T1339" s="10" t="str">
        <x:v>רשת 13</x:v>
      </x:c>
      <x:c r="U1339" s="11" t="str">
        <x:v>https://www.youtube.com/watch?v=FrCqiHQ9xds</x:v>
      </x:c>
      <x:c r="V1339" s="16" t="n">
        <x:v>46308</x:v>
      </x:c>
      <x:c r="W1339" s="16"/>
      <x:c r="X1339" s="10" t="str">
        <x:v>Иврит предполагается по заголовку и источнику</x:v>
      </x:c>
      <x:c r="Y1339" s="10" t="str">
        <x:v>Не проверено</x:v>
      </x:c>
      <x:c r="Z1339" s="10" t="str">
        <x:v>Не проверено</x:v>
      </x:c>
      <x:c r="AA1339" s="10" t="str">
        <x:v>Метаданные списка; видео не просмотрено</x:v>
      </x:c>
      <x:c r="AB1339" s="13" t="str">
        <x:f>IF(AND(ISNUMBER(H1339),ISNUMBER(W1339)),H1339/MAX(1,'Обзор'!$B$4-W1339),"")</x:f>
      </x:c>
      <x:c r="AC1339" s="17" t="str">
        <x:v>Не решено</x:v>
      </x:c>
      <x:c r="AD1339" s="17" t="str">
        <x:v>Не проверено</x:v>
      </x:c>
      <x:c r="AE1339" s="17" t="str">
        <x:v>Не проверено</x:v>
      </x:c>
      <x:c r="AF1339" s="17" t="str">
        <x:v>Не проверено</x:v>
      </x:c>
      <x:c r="AG1339" s="17" t="str">
        <x:v>Не решено</x:v>
      </x:c>
      <x:c r="AH1339" s="17" t="str">
        <x:v>Не проверено</x:v>
      </x:c>
      <x:c r="AI1339" s="10" t="str">
        <x:f>IF(AC1339="Отклонить","Отклонено",IF(AND(AC1339="Взять",COUNTIFS(AD1339:AH1339,"Да")=5),"Готово","Нужна редактура"))</x:f>
        <x:v>Нужна редактура</x:v>
      </x:c>
      <x:c r="AJ1339" s="17" t="str"/>
      <x:c r="AK1339" s="9" t="str">
        <x:v>https://www.youtube.com/playlist?list=PL5tTMlIkxhYd6PYfo74-EPVyT88pmzMpZ</x:v>
      </x:c>
      <x:c r="AL1339" s="9" t="n">
        <x:v>24</x:v>
      </x:c>
      <x:c r="AM1339" s="9"/>
      <x:c r="AN1339" s="9"/>
    </x:row>
    <x:row r="1340" ht="60" customHeight="1">
      <x:c r="A1340" s="9" t="str">
        <x:v>ArvRyl-U_HM</x:v>
      </x:c>
      <x:c r="B1340" s="10" t="str">
        <x:v>משימה מאתגרת: ליליאן מנסה למצוא לציון שידוך</x:v>
      </x:c>
      <x:c r="C1340" s="10" t="str">
        <x:v>Семья и культурная память</x:v>
      </x:c>
      <x:c r="D1340" s="9" t="str">
        <x:v>Сериал</x:v>
      </x:c>
      <x:c r="E1340" s="10" t="str">
        <x:v>Сериалы; ностальгия; взрослые</x:v>
      </x:c>
      <x:c r="F1340" s="10" t="str">
        <x:v>B2–C1 (гипотеза)</x:v>
      </x:c>
      <x:c r="G1340" s="12" t="n">
        <x:v>3</x:v>
      </x:c>
      <x:c r="H1340" s="14" t="n">
        <x:v>136000</x:v>
      </x:c>
      <x:c r="I1340" s="15" t="str">
        <x:v>Округлённый счётчик в списке YouTube</x:v>
      </x:c>
      <x:c r="J1340" s="14" t="n">
        <x:v>136000</x:v>
      </x:c>
      <x:c r="K1340" s="14" t="n">
        <x:v>138000</x:v>
      </x:c>
      <x:c r="L1340" s="12" t="n">
        <x:f>IF(COUNT(J1340:K1340)=2,IF(K1340=0,"",J1340/K1340),"")</x:f>
        <x:v>0.9855072463768116</x:v>
      </x:c>
      <x:c r="M1340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40" s="10" t="str">
        <x:v>Сравнить две бытовые нормы прошлого и настоящего.</x:v>
      </x:c>
      <x:c r="O1340" s="10" t="str">
        <x:v>Могут быть фрагменты, а не полные серии</x:v>
      </x:c>
      <x:c r="P1340" s="10" t="str">
        <x:v>Фрагмент сериала</x:v>
      </x:c>
      <x:c r="Q1340" s="9" t="str">
        <x:v>Нет</x:v>
      </x:c>
      <x:c r="R1340" s="9" t="str">
        <x:v>C080</x:v>
      </x:c>
      <x:c r="S1340" s="9" t="str">
        <x:v>C080</x:v>
      </x:c>
      <x:c r="T1340" s="10" t="str">
        <x:v>רשת 13</x:v>
      </x:c>
      <x:c r="U1340" s="11" t="str">
        <x:v>https://www.youtube.com/watch?v=ArvRyl-U_HM</x:v>
      </x:c>
      <x:c r="V1340" s="16" t="n">
        <x:v>46308</x:v>
      </x:c>
      <x:c r="W1340" s="16"/>
      <x:c r="X1340" s="10" t="str">
        <x:v>Иврит предполагается по заголовку и источнику</x:v>
      </x:c>
      <x:c r="Y1340" s="10" t="str">
        <x:v>Не проверено</x:v>
      </x:c>
      <x:c r="Z1340" s="10" t="str">
        <x:v>Не проверено</x:v>
      </x:c>
      <x:c r="AA1340" s="10" t="str">
        <x:v>Метаданные списка; видео не просмотрено</x:v>
      </x:c>
      <x:c r="AB1340" s="13" t="str">
        <x:f>IF(AND(ISNUMBER(H1340),ISNUMBER(W1340)),H1340/MAX(1,'Обзор'!$B$4-W1340),"")</x:f>
      </x:c>
      <x:c r="AC1340" s="17" t="str">
        <x:v>Не решено</x:v>
      </x:c>
      <x:c r="AD1340" s="17" t="str">
        <x:v>Не проверено</x:v>
      </x:c>
      <x:c r="AE1340" s="17" t="str">
        <x:v>Не проверено</x:v>
      </x:c>
      <x:c r="AF1340" s="17" t="str">
        <x:v>Не проверено</x:v>
      </x:c>
      <x:c r="AG1340" s="17" t="str">
        <x:v>Не решено</x:v>
      </x:c>
      <x:c r="AH1340" s="17" t="str">
        <x:v>Не проверено</x:v>
      </x:c>
      <x:c r="AI1340" s="10" t="str">
        <x:f>IF(AC1340="Отклонить","Отклонено",IF(AND(AC1340="Взять",COUNTIFS(AD1340:AH1340,"Да")=5),"Готово","Нужна редактура"))</x:f>
        <x:v>Нужна редактура</x:v>
      </x:c>
      <x:c r="AJ1340" s="17" t="str"/>
      <x:c r="AK1340" s="9" t="str">
        <x:v>https://www.youtube.com/playlist?list=PL5tTMlIkxhYd6PYfo74-EPVyT88pmzMpZ</x:v>
      </x:c>
      <x:c r="AL1340" s="9" t="n">
        <x:v>25</x:v>
      </x:c>
      <x:c r="AM1340" s="9"/>
      <x:c r="AN1340" s="9"/>
    </x:row>
    <x:row r="1341" ht="60" customHeight="1">
      <x:c r="A1341" s="9" t="str">
        <x:v>x6LmI_H1Ceg</x:v>
      </x:c>
      <x:c r="B1341" s="10" t="str">
        <x:v>השם ישמור: איך הגיע ציון לאכול פיצה פפרוני?</x:v>
      </x:c>
      <x:c r="C1341" s="10" t="str">
        <x:v>Семья и культурная память</x:v>
      </x:c>
      <x:c r="D1341" s="9" t="str">
        <x:v>Сериал</x:v>
      </x:c>
      <x:c r="E1341" s="10" t="str">
        <x:v>Сериалы; ностальгия; взрослые</x:v>
      </x:c>
      <x:c r="F1341" s="10" t="str">
        <x:v>B2–C1 (гипотеза)</x:v>
      </x:c>
      <x:c r="G1341" s="12" t="n">
        <x:v>3.3</x:v>
      </x:c>
      <x:c r="H1341" s="14" t="n">
        <x:v>223000</x:v>
      </x:c>
      <x:c r="I1341" s="15" t="str">
        <x:v>Округлённый счётчик в списке YouTube</x:v>
      </x:c>
      <x:c r="J1341" s="14" t="n">
        <x:v>223000</x:v>
      </x:c>
      <x:c r="K1341" s="14" t="n">
        <x:v>138000</x:v>
      </x:c>
      <x:c r="L1341" s="12" t="n">
        <x:f>IF(COUNT(J1341:K1341)=2,IF(K1341=0,"",J1341/K1341),"")</x:f>
        <x:v>1.6159420289855073</x:v>
      </x:c>
      <x:c r="M1341" s="10" t="str">
        <x:v>Сценка из сериала; полезна для короткого разбора, не заменяет полную серию. Просмотры в списке выше медианы выборки этого цикла в 1.62 раза. Продолжает семейную и социальную тему в другой эпохе. Подходит любителям привычных персонажей.</x:v>
      </x:c>
      <x:c r="N1341" s="10" t="str">
        <x:v>Сравнить две бытовые нормы прошлого и настоящего.</x:v>
      </x:c>
      <x:c r="O1341" s="10" t="str">
        <x:v>Могут быть фрагменты, а не полные серии</x:v>
      </x:c>
      <x:c r="P1341" s="10" t="str">
        <x:v>Фрагмент сериала</x:v>
      </x:c>
      <x:c r="Q1341" s="9" t="str">
        <x:v>Нет</x:v>
      </x:c>
      <x:c r="R1341" s="9" t="str">
        <x:v>C080</x:v>
      </x:c>
      <x:c r="S1341" s="9" t="str">
        <x:v>C080</x:v>
      </x:c>
      <x:c r="T1341" s="10" t="str">
        <x:v>רשת 13</x:v>
      </x:c>
      <x:c r="U1341" s="11" t="str">
        <x:v>https://www.youtube.com/watch?v=x6LmI_H1Ceg</x:v>
      </x:c>
      <x:c r="V1341" s="16" t="n">
        <x:v>46308</x:v>
      </x:c>
      <x:c r="W1341" s="16"/>
      <x:c r="X1341" s="10" t="str">
        <x:v>Иврит предполагается по заголовку и источнику</x:v>
      </x:c>
      <x:c r="Y1341" s="10" t="str">
        <x:v>Не проверено</x:v>
      </x:c>
      <x:c r="Z1341" s="10" t="str">
        <x:v>Не проверено</x:v>
      </x:c>
      <x:c r="AA1341" s="10" t="str">
        <x:v>Метаданные списка; видео не просмотрено</x:v>
      </x:c>
      <x:c r="AB1341" s="13" t="str">
        <x:f>IF(AND(ISNUMBER(H1341),ISNUMBER(W1341)),H1341/MAX(1,'Обзор'!$B$4-W1341),"")</x:f>
      </x:c>
      <x:c r="AC1341" s="17" t="str">
        <x:v>Не решено</x:v>
      </x:c>
      <x:c r="AD1341" s="17" t="str">
        <x:v>Не проверено</x:v>
      </x:c>
      <x:c r="AE1341" s="17" t="str">
        <x:v>Не проверено</x:v>
      </x:c>
      <x:c r="AF1341" s="17" t="str">
        <x:v>Не проверено</x:v>
      </x:c>
      <x:c r="AG1341" s="17" t="str">
        <x:v>Не решено</x:v>
      </x:c>
      <x:c r="AH1341" s="17" t="str">
        <x:v>Не проверено</x:v>
      </x:c>
      <x:c r="AI1341" s="10" t="str">
        <x:f>IF(AC1341="Отклонить","Отклонено",IF(AND(AC1341="Взять",COUNTIFS(AD1341:AH1341,"Да")=5),"Готово","Нужна редактура"))</x:f>
        <x:v>Нужна редактура</x:v>
      </x:c>
      <x:c r="AJ1341" s="17" t="str"/>
      <x:c r="AK1341" s="9" t="str">
        <x:v>https://www.youtube.com/playlist?list=PL5tTMlIkxhYd6PYfo74-EPVyT88pmzMpZ</x:v>
      </x:c>
      <x:c r="AL1341" s="9" t="n">
        <x:v>26</x:v>
      </x:c>
      <x:c r="AM1341" s="9"/>
      <x:c r="AN1341" s="9"/>
    </x:row>
    <x:row r="1342" ht="60" customHeight="1">
      <x:c r="A1342" s="9" t="str">
        <x:v>CiNhbHrKS70</x:v>
      </x:c>
      <x:c r="B1342" s="10" t="str">
        <x:v>לא נגמר טוב: מורדי פוגש את נוכל החליפות של השכונה</x:v>
      </x:c>
      <x:c r="C1342" s="10" t="str">
        <x:v>Семья и культурная память</x:v>
      </x:c>
      <x:c r="D1342" s="9" t="str">
        <x:v>Сериал</x:v>
      </x:c>
      <x:c r="E1342" s="10" t="str">
        <x:v>Сериалы; ностальгия; взрослые</x:v>
      </x:c>
      <x:c r="F1342" s="10" t="str">
        <x:v>B2–C1 (гипотеза)</x:v>
      </x:c>
      <x:c r="G1342" s="12" t="n">
        <x:v>6.8</x:v>
      </x:c>
      <x:c r="H1342" s="14" t="n">
        <x:v>181000</x:v>
      </x:c>
      <x:c r="I1342" s="15" t="str">
        <x:v>Округлённый счётчик в списке YouTube</x:v>
      </x:c>
      <x:c r="J1342" s="14" t="n">
        <x:v>181000</x:v>
      </x:c>
      <x:c r="K1342" s="14" t="n">
        <x:v>138000</x:v>
      </x:c>
      <x:c r="L1342" s="12" t="n">
        <x:f>IF(COUNT(J1342:K1342)=2,IF(K1342=0,"",J1342/K1342),"")</x:f>
        <x:v>1.3115942028985508</x:v>
      </x:c>
      <x:c r="M1342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42" s="10" t="str">
        <x:v>Сравнить две бытовые нормы прошлого и настоящего.</x:v>
      </x:c>
      <x:c r="O1342" s="10" t="str">
        <x:v>Могут быть фрагменты, а не полные серии</x:v>
      </x:c>
      <x:c r="P1342" s="10" t="str">
        <x:v>Фрагмент сериала</x:v>
      </x:c>
      <x:c r="Q1342" s="9" t="str">
        <x:v>Нет</x:v>
      </x:c>
      <x:c r="R1342" s="9" t="str">
        <x:v>C080</x:v>
      </x:c>
      <x:c r="S1342" s="9" t="str">
        <x:v>C080</x:v>
      </x:c>
      <x:c r="T1342" s="10" t="str">
        <x:v>רשת 13</x:v>
      </x:c>
      <x:c r="U1342" s="11" t="str">
        <x:v>https://www.youtube.com/watch?v=CiNhbHrKS70</x:v>
      </x:c>
      <x:c r="V1342" s="16" t="n">
        <x:v>46308</x:v>
      </x:c>
      <x:c r="W1342" s="16"/>
      <x:c r="X1342" s="10" t="str">
        <x:v>Иврит предполагается по заголовку и источнику</x:v>
      </x:c>
      <x:c r="Y1342" s="10" t="str">
        <x:v>Не проверено</x:v>
      </x:c>
      <x:c r="Z1342" s="10" t="str">
        <x:v>Не проверено</x:v>
      </x:c>
      <x:c r="AA1342" s="10" t="str">
        <x:v>Метаданные списка; видео не просмотрено</x:v>
      </x:c>
      <x:c r="AB1342" s="13" t="str">
        <x:f>IF(AND(ISNUMBER(H1342),ISNUMBER(W1342)),H1342/MAX(1,'Обзор'!$B$4-W1342),"")</x:f>
      </x:c>
      <x:c r="AC1342" s="17" t="str">
        <x:v>Не решено</x:v>
      </x:c>
      <x:c r="AD1342" s="17" t="str">
        <x:v>Не проверено</x:v>
      </x:c>
      <x:c r="AE1342" s="17" t="str">
        <x:v>Не проверено</x:v>
      </x:c>
      <x:c r="AF1342" s="17" t="str">
        <x:v>Не проверено</x:v>
      </x:c>
      <x:c r="AG1342" s="17" t="str">
        <x:v>Не решено</x:v>
      </x:c>
      <x:c r="AH1342" s="17" t="str">
        <x:v>Не проверено</x:v>
      </x:c>
      <x:c r="AI1342" s="10" t="str">
        <x:f>IF(AC1342="Отклонить","Отклонено",IF(AND(AC1342="Взять",COUNTIFS(AD1342:AH1342,"Да")=5),"Готово","Нужна редактура"))</x:f>
        <x:v>Нужна редактура</x:v>
      </x:c>
      <x:c r="AJ1342" s="17" t="str"/>
      <x:c r="AK1342" s="9" t="str">
        <x:v>https://www.youtube.com/playlist?list=PL5tTMlIkxhYd6PYfo74-EPVyT88pmzMpZ</x:v>
      </x:c>
      <x:c r="AL1342" s="9" t="n">
        <x:v>27</x:v>
      </x:c>
      <x:c r="AM1342" s="9"/>
      <x:c r="AN1342" s="9"/>
    </x:row>
    <x:row r="1343" ht="60" customHeight="1">
      <x:c r="A1343" s="9" t="str">
        <x:v>UWYtq9tZDCc</x:v>
      </x:c>
      <x:c r="B1343" s="10" t="str">
        <x:v>פנסו מחפש את הרכב הכי מפואר בשכונה - ואף אחד לא יעצור אותו</x:v>
      </x:c>
      <x:c r="C1343" s="10" t="str">
        <x:v>Семья и культурная память</x:v>
      </x:c>
      <x:c r="D1343" s="9" t="str">
        <x:v>Сериал</x:v>
      </x:c>
      <x:c r="E1343" s="10" t="str">
        <x:v>Сериалы; ностальгия; взрослые</x:v>
      </x:c>
      <x:c r="F1343" s="10" t="str">
        <x:v>B2–C1 (гипотеза)</x:v>
      </x:c>
      <x:c r="G1343" s="12" t="n">
        <x:v>1.3</x:v>
      </x:c>
      <x:c r="H1343" s="14" t="n">
        <x:v>58000</x:v>
      </x:c>
      <x:c r="I1343" s="15" t="str">
        <x:v>Округлённый счётчик в списке YouTube</x:v>
      </x:c>
      <x:c r="J1343" s="14" t="n">
        <x:v>58000</x:v>
      </x:c>
      <x:c r="K1343" s="14" t="n">
        <x:v>138000</x:v>
      </x:c>
      <x:c r="L1343" s="12" t="n">
        <x:f>IF(COUNT(J1343:K1343)=2,IF(K1343=0,"",J1343/K1343),"")</x:f>
        <x:v>0.42028985507246375</x:v>
      </x:c>
      <x:c r="M1343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Продолжает семейную и социальную тему в другой эпохе. Подходит любителям привычных персонажей.</x:v>
      </x:c>
      <x:c r="N1343" s="10" t="str">
        <x:v>Сравнить две бытовые нормы прошлого и настоящего.</x:v>
      </x:c>
      <x:c r="O1343" s="10" t="str">
        <x:v>Могут быть фрагменты, а не полные серии</x:v>
      </x:c>
      <x:c r="P1343" s="10" t="str">
        <x:v>Фрагмент сериала</x:v>
      </x:c>
      <x:c r="Q1343" s="9" t="str">
        <x:v>Нет</x:v>
      </x:c>
      <x:c r="R1343" s="9" t="str">
        <x:v>C080</x:v>
      </x:c>
      <x:c r="S1343" s="9" t="str">
        <x:v>C080</x:v>
      </x:c>
      <x:c r="T1343" s="10" t="str">
        <x:v>רשת 13</x:v>
      </x:c>
      <x:c r="U1343" s="11" t="str">
        <x:v>https://www.youtube.com/watch?v=UWYtq9tZDCc</x:v>
      </x:c>
      <x:c r="V1343" s="16" t="n">
        <x:v>46308</x:v>
      </x:c>
      <x:c r="W1343" s="16"/>
      <x:c r="X1343" s="10" t="str">
        <x:v>Иврит предполагается по заголовку и источнику</x:v>
      </x:c>
      <x:c r="Y1343" s="10" t="str">
        <x:v>Не проверено</x:v>
      </x:c>
      <x:c r="Z1343" s="10" t="str">
        <x:v>Не проверено</x:v>
      </x:c>
      <x:c r="AA1343" s="10" t="str">
        <x:v>Метаданные списка; видео не просмотрено</x:v>
      </x:c>
      <x:c r="AB1343" s="13" t="str">
        <x:f>IF(AND(ISNUMBER(H1343),ISNUMBER(W1343)),H1343/MAX(1,'Обзор'!$B$4-W1343),"")</x:f>
      </x:c>
      <x:c r="AC1343" s="17" t="str">
        <x:v>Не решено</x:v>
      </x:c>
      <x:c r="AD1343" s="17" t="str">
        <x:v>Не проверено</x:v>
      </x:c>
      <x:c r="AE1343" s="17" t="str">
        <x:v>Не проверено</x:v>
      </x:c>
      <x:c r="AF1343" s="17" t="str">
        <x:v>Не проверено</x:v>
      </x:c>
      <x:c r="AG1343" s="17" t="str">
        <x:v>Не решено</x:v>
      </x:c>
      <x:c r="AH1343" s="17" t="str">
        <x:v>Не проверено</x:v>
      </x:c>
      <x:c r="AI1343" s="10" t="str">
        <x:f>IF(AC1343="Отклонить","Отклонено",IF(AND(AC1343="Взять",COUNTIFS(AD1343:AH1343,"Да")=5),"Готово","Нужна редактура"))</x:f>
        <x:v>Нужна редактура</x:v>
      </x:c>
      <x:c r="AJ1343" s="17" t="str"/>
      <x:c r="AK1343" s="9" t="str">
        <x:v>https://www.youtube.com/playlist?list=PL5tTMlIkxhYd6PYfo74-EPVyT88pmzMpZ</x:v>
      </x:c>
      <x:c r="AL1343" s="9" t="n">
        <x:v>28</x:v>
      </x:c>
      <x:c r="AM1343" s="9"/>
      <x:c r="AN1343" s="9"/>
    </x:row>
    <x:row r="1344" ht="60" customHeight="1">
      <x:c r="A1344" s="9" t="str">
        <x:v>Dw3-FGUMjhA</x:v>
      </x:c>
      <x:c r="B1344" s="10" t="str">
        <x:v>איך מתמודד פרוספר עם הדיאטה ובלי האוכל של ליליאן?</x:v>
      </x:c>
      <x:c r="C1344" s="10" t="str">
        <x:v>Семья и культурная память</x:v>
      </x:c>
      <x:c r="D1344" s="9" t="str">
        <x:v>Сериал</x:v>
      </x:c>
      <x:c r="E1344" s="10" t="str">
        <x:v>Сериалы; ностальгия; взрослые</x:v>
      </x:c>
      <x:c r="F1344" s="10" t="str">
        <x:v>B2–C1 (гипотеза)</x:v>
      </x:c>
      <x:c r="G1344" s="12" t="n">
        <x:v>1.4</x:v>
      </x:c>
      <x:c r="H1344" s="14" t="n">
        <x:v>43000</x:v>
      </x:c>
      <x:c r="I1344" s="15" t="str">
        <x:v>Округлённый счётчик в списке YouTube</x:v>
      </x:c>
      <x:c r="J1344" s="14" t="n">
        <x:v>43000</x:v>
      </x:c>
      <x:c r="K1344" s="14" t="n">
        <x:v>138000</x:v>
      </x:c>
      <x:c r="L1344" s="12" t="n">
        <x:f>IF(COUNT(J1344:K1344)=2,IF(K1344=0,"",J1344/K1344),"")</x:f>
        <x:v>0.3115942028985507</x:v>
      </x:c>
      <x:c r="M1344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Продолжает семейную и социальную тему в другой эпохе. Подходит любителям привычных персонажей.</x:v>
      </x:c>
      <x:c r="N1344" s="10" t="str">
        <x:v>Сравнить две бытовые нормы прошлого и настоящего.</x:v>
      </x:c>
      <x:c r="O1344" s="10" t="str">
        <x:v>Могут быть фрагменты, а не полные серии</x:v>
      </x:c>
      <x:c r="P1344" s="10" t="str">
        <x:v>Фрагмент сериала</x:v>
      </x:c>
      <x:c r="Q1344" s="9" t="str">
        <x:v>Нет</x:v>
      </x:c>
      <x:c r="R1344" s="9" t="str">
        <x:v>C080</x:v>
      </x:c>
      <x:c r="S1344" s="9" t="str">
        <x:v>C080</x:v>
      </x:c>
      <x:c r="T1344" s="10" t="str">
        <x:v>רשת 13</x:v>
      </x:c>
      <x:c r="U1344" s="11" t="str">
        <x:v>https://www.youtube.com/watch?v=Dw3-FGUMjhA</x:v>
      </x:c>
      <x:c r="V1344" s="16" t="n">
        <x:v>46308</x:v>
      </x:c>
      <x:c r="W1344" s="16"/>
      <x:c r="X1344" s="10" t="str">
        <x:v>Иврит предполагается по заголовку и источнику</x:v>
      </x:c>
      <x:c r="Y1344" s="10" t="str">
        <x:v>Не проверено</x:v>
      </x:c>
      <x:c r="Z1344" s="10" t="str">
        <x:v>Не проверено</x:v>
      </x:c>
      <x:c r="AA1344" s="10" t="str">
        <x:v>Метаданные списка; видео не просмотрено</x:v>
      </x:c>
      <x:c r="AB1344" s="13" t="str">
        <x:f>IF(AND(ISNUMBER(H1344),ISNUMBER(W1344)),H1344/MAX(1,'Обзор'!$B$4-W1344),"")</x:f>
      </x:c>
      <x:c r="AC1344" s="17" t="str">
        <x:v>Не решено</x:v>
      </x:c>
      <x:c r="AD1344" s="17" t="str">
        <x:v>Не проверено</x:v>
      </x:c>
      <x:c r="AE1344" s="17" t="str">
        <x:v>Не проверено</x:v>
      </x:c>
      <x:c r="AF1344" s="17" t="str">
        <x:v>Не проверено</x:v>
      </x:c>
      <x:c r="AG1344" s="17" t="str">
        <x:v>Не решено</x:v>
      </x:c>
      <x:c r="AH1344" s="17" t="str">
        <x:v>Не проверено</x:v>
      </x:c>
      <x:c r="AI1344" s="10" t="str">
        <x:f>IF(AC1344="Отклонить","Отклонено",IF(AND(AC1344="Взять",COUNTIFS(AD1344:AH1344,"Да")=5),"Готово","Нужна редактура"))</x:f>
        <x:v>Нужна редактура</x:v>
      </x:c>
      <x:c r="AJ1344" s="17" t="str"/>
      <x:c r="AK1344" s="9" t="str">
        <x:v>https://www.youtube.com/playlist?list=PL5tTMlIkxhYd6PYfo74-EPVyT88pmzMpZ</x:v>
      </x:c>
      <x:c r="AL1344" s="9" t="n">
        <x:v>29</x:v>
      </x:c>
      <x:c r="AM1344" s="9"/>
      <x:c r="AN1344" s="9"/>
    </x:row>
    <x:row r="1345" ht="60" customHeight="1">
      <x:c r="A1345" s="9" t="str">
        <x:v>9uBqkGn0wzE</x:v>
      </x:c>
      <x:c r="B1345" s="10" t="str">
        <x:v>ממוקה מגלה את האמת על הדוד העשיר שלו</x:v>
      </x:c>
      <x:c r="C1345" s="10" t="str">
        <x:v>Семья и культурная память</x:v>
      </x:c>
      <x:c r="D1345" s="9" t="str">
        <x:v>Сериал</x:v>
      </x:c>
      <x:c r="E1345" s="10" t="str">
        <x:v>Сериалы; ностальгия; взрослые</x:v>
      </x:c>
      <x:c r="F1345" s="10" t="str">
        <x:v>B2–C1 (гипотеза)</x:v>
      </x:c>
      <x:c r="G1345" s="12" t="n">
        <x:v>2.4</x:v>
      </x:c>
      <x:c r="H1345" s="14" t="n">
        <x:v>92000</x:v>
      </x:c>
      <x:c r="I1345" s="15" t="str">
        <x:v>Округлённый счётчик в списке YouTube</x:v>
      </x:c>
      <x:c r="J1345" s="14" t="n">
        <x:v>92000</x:v>
      </x:c>
      <x:c r="K1345" s="14" t="n">
        <x:v>138000</x:v>
      </x:c>
      <x:c r="L1345" s="12" t="n">
        <x:f>IF(COUNT(J1345:K1345)=2,IF(K1345=0,"",J1345/K1345),"")</x:f>
        <x:v>0.6666666666666666</x:v>
      </x:c>
      <x:c r="M1345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45" s="10" t="str">
        <x:v>Сравнить две бытовые нормы прошлого и настоящего.</x:v>
      </x:c>
      <x:c r="O1345" s="10" t="str">
        <x:v>Могут быть фрагменты, а не полные серии</x:v>
      </x:c>
      <x:c r="P1345" s="10" t="str">
        <x:v>Фрагмент сериала</x:v>
      </x:c>
      <x:c r="Q1345" s="9" t="str">
        <x:v>Нет</x:v>
      </x:c>
      <x:c r="R1345" s="9" t="str">
        <x:v>C080</x:v>
      </x:c>
      <x:c r="S1345" s="9" t="str">
        <x:v>C080</x:v>
      </x:c>
      <x:c r="T1345" s="10" t="str">
        <x:v>רשת 13</x:v>
      </x:c>
      <x:c r="U1345" s="11" t="str">
        <x:v>https://www.youtube.com/watch?v=9uBqkGn0wzE</x:v>
      </x:c>
      <x:c r="V1345" s="16" t="n">
        <x:v>46308</x:v>
      </x:c>
      <x:c r="W1345" s="16"/>
      <x:c r="X1345" s="10" t="str">
        <x:v>Иврит предполагается по заголовку и источнику</x:v>
      </x:c>
      <x:c r="Y1345" s="10" t="str">
        <x:v>Не проверено</x:v>
      </x:c>
      <x:c r="Z1345" s="10" t="str">
        <x:v>Не проверено</x:v>
      </x:c>
      <x:c r="AA1345" s="10" t="str">
        <x:v>Метаданные списка; видео не просмотрено</x:v>
      </x:c>
      <x:c r="AB1345" s="13" t="str">
        <x:f>IF(AND(ISNUMBER(H1345),ISNUMBER(W1345)),H1345/MAX(1,'Обзор'!$B$4-W1345),"")</x:f>
      </x:c>
      <x:c r="AC1345" s="17" t="str">
        <x:v>Не решено</x:v>
      </x:c>
      <x:c r="AD1345" s="17" t="str">
        <x:v>Не проверено</x:v>
      </x:c>
      <x:c r="AE1345" s="17" t="str">
        <x:v>Не проверено</x:v>
      </x:c>
      <x:c r="AF1345" s="17" t="str">
        <x:v>Не проверено</x:v>
      </x:c>
      <x:c r="AG1345" s="17" t="str">
        <x:v>Не решено</x:v>
      </x:c>
      <x:c r="AH1345" s="17" t="str">
        <x:v>Не проверено</x:v>
      </x:c>
      <x:c r="AI1345" s="10" t="str">
        <x:f>IF(AC1345="Отклонить","Отклонено",IF(AND(AC1345="Взять",COUNTIFS(AD1345:AH1345,"Да")=5),"Готово","Нужна редактура"))</x:f>
        <x:v>Нужна редактура</x:v>
      </x:c>
      <x:c r="AJ1345" s="17" t="str"/>
      <x:c r="AK1345" s="9" t="str">
        <x:v>https://www.youtube.com/playlist?list=PL5tTMlIkxhYd6PYfo74-EPVyT88pmzMpZ</x:v>
      </x:c>
      <x:c r="AL1345" s="9" t="n">
        <x:v>30</x:v>
      </x:c>
      <x:c r="AM1345" s="9"/>
      <x:c r="AN1345" s="9"/>
    </x:row>
    <x:row r="1346" ht="60" customHeight="1">
      <x:c r="A1346" s="9" t="str">
        <x:v>aEGygZjr8kQ</x:v>
      </x:c>
      <x:c r="B1346" s="10" t="str">
        <x:v>חלבי מתנסה בסדנה לשליטת כעסים - והתוצאות מבטיחות</x:v>
      </x:c>
      <x:c r="C1346" s="10" t="str">
        <x:v>Семья и культурная память</x:v>
      </x:c>
      <x:c r="D1346" s="9" t="str">
        <x:v>Сериал</x:v>
      </x:c>
      <x:c r="E1346" s="10" t="str">
        <x:v>Сериалы; ностальгия; взрослые</x:v>
      </x:c>
      <x:c r="F1346" s="10" t="str">
        <x:v>B2–C1 (гипотеза)</x:v>
      </x:c>
      <x:c r="G1346" s="12" t="n">
        <x:v>1.7</x:v>
      </x:c>
      <x:c r="H1346" s="14" t="n">
        <x:v>108000</x:v>
      </x:c>
      <x:c r="I1346" s="15" t="str">
        <x:v>Округлённый счётчик в списке YouTube</x:v>
      </x:c>
      <x:c r="J1346" s="14" t="n">
        <x:v>108000</x:v>
      </x:c>
      <x:c r="K1346" s="14" t="n">
        <x:v>138000</x:v>
      </x:c>
      <x:c r="L1346" s="12" t="n">
        <x:f>IF(COUNT(J1346:K1346)=2,IF(K1346=0,"",J1346/K1346),"")</x:f>
        <x:v>0.782608695652174</x:v>
      </x:c>
      <x:c r="M1346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46" s="10" t="str">
        <x:v>Сравнить две бытовые нормы прошлого и настоящего.</x:v>
      </x:c>
      <x:c r="O1346" s="10" t="str">
        <x:v>Могут быть фрагменты, а не полные серии</x:v>
      </x:c>
      <x:c r="P1346" s="10" t="str">
        <x:v>Фрагмент сериала</x:v>
      </x:c>
      <x:c r="Q1346" s="9" t="str">
        <x:v>Нет</x:v>
      </x:c>
      <x:c r="R1346" s="9" t="str">
        <x:v>C080</x:v>
      </x:c>
      <x:c r="S1346" s="9" t="str">
        <x:v>C080</x:v>
      </x:c>
      <x:c r="T1346" s="10" t="str">
        <x:v>רשת 13</x:v>
      </x:c>
      <x:c r="U1346" s="11" t="str">
        <x:v>https://www.youtube.com/watch?v=aEGygZjr8kQ</x:v>
      </x:c>
      <x:c r="V1346" s="16" t="n">
        <x:v>46308</x:v>
      </x:c>
      <x:c r="W1346" s="16"/>
      <x:c r="X1346" s="10" t="str">
        <x:v>Иврит предполагается по заголовку и источнику</x:v>
      </x:c>
      <x:c r="Y1346" s="10" t="str">
        <x:v>Не проверено</x:v>
      </x:c>
      <x:c r="Z1346" s="10" t="str">
        <x:v>Не проверено</x:v>
      </x:c>
      <x:c r="AA1346" s="10" t="str">
        <x:v>Метаданные списка; видео не просмотрено</x:v>
      </x:c>
      <x:c r="AB1346" s="13" t="str">
        <x:f>IF(AND(ISNUMBER(H1346),ISNUMBER(W1346)),H1346/MAX(1,'Обзор'!$B$4-W1346),"")</x:f>
      </x:c>
      <x:c r="AC1346" s="17" t="str">
        <x:v>Не решено</x:v>
      </x:c>
      <x:c r="AD1346" s="17" t="str">
        <x:v>Не проверено</x:v>
      </x:c>
      <x:c r="AE1346" s="17" t="str">
        <x:v>Не проверено</x:v>
      </x:c>
      <x:c r="AF1346" s="17" t="str">
        <x:v>Не проверено</x:v>
      </x:c>
      <x:c r="AG1346" s="17" t="str">
        <x:v>Не решено</x:v>
      </x:c>
      <x:c r="AH1346" s="17" t="str">
        <x:v>Не проверено</x:v>
      </x:c>
      <x:c r="AI1346" s="10" t="str">
        <x:f>IF(AC1346="Отклонить","Отклонено",IF(AND(AC1346="Взять",COUNTIFS(AD1346:AH1346,"Да")=5),"Готово","Нужна редактура"))</x:f>
        <x:v>Нужна редактура</x:v>
      </x:c>
      <x:c r="AJ1346" s="17" t="str"/>
      <x:c r="AK1346" s="9" t="str">
        <x:v>https://www.youtube.com/playlist?list=PL5tTMlIkxhYd6PYfo74-EPVyT88pmzMpZ</x:v>
      </x:c>
      <x:c r="AL1346" s="9" t="n">
        <x:v>31</x:v>
      </x:c>
      <x:c r="AM1346" s="9"/>
      <x:c r="AN1346" s="9"/>
    </x:row>
    <x:row r="1347" ht="60" customHeight="1">
      <x:c r="A1347" s="9" t="str">
        <x:v>yjLdrryjiCU</x:v>
      </x:c>
      <x:c r="B1347" s="10" t="str">
        <x:v>הסיוט של שלום התממש: איך העיר התמלאה בקלטות מזויפות של המופע שלו?</x:v>
      </x:c>
      <x:c r="C1347" s="10" t="str">
        <x:v>Семья и культурная память</x:v>
      </x:c>
      <x:c r="D1347" s="9" t="str">
        <x:v>Сериал</x:v>
      </x:c>
      <x:c r="E1347" s="10" t="str">
        <x:v>Сериалы; ностальгия; взрослые</x:v>
      </x:c>
      <x:c r="F1347" s="10" t="str">
        <x:v>B2–C1 (гипотеза)</x:v>
      </x:c>
      <x:c r="G1347" s="12" t="n">
        <x:v>2</x:v>
      </x:c>
      <x:c r="H1347" s="14" t="n">
        <x:v>54000</x:v>
      </x:c>
      <x:c r="I1347" s="15" t="str">
        <x:v>Округлённый счётчик в списке YouTube</x:v>
      </x:c>
      <x:c r="J1347" s="14" t="n">
        <x:v>54000</x:v>
      </x:c>
      <x:c r="K1347" s="14" t="n">
        <x:v>138000</x:v>
      </x:c>
      <x:c r="L1347" s="12" t="n">
        <x:f>IF(COUNT(J1347:K1347)=2,IF(K1347=0,"",J1347/K1347),"")</x:f>
        <x:v>0.391304347826087</x:v>
      </x:c>
      <x:c r="M1347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Продолжает семейную и социальную тему в другой эпохе. Подходит любителям привычных персонажей.</x:v>
      </x:c>
      <x:c r="N1347" s="10" t="str">
        <x:v>Сравнить две бытовые нормы прошлого и настоящего.</x:v>
      </x:c>
      <x:c r="O1347" s="10" t="str">
        <x:v>Могут быть фрагменты, а не полные серии</x:v>
      </x:c>
      <x:c r="P1347" s="10" t="str">
        <x:v>Фрагмент сериала</x:v>
      </x:c>
      <x:c r="Q1347" s="9" t="str">
        <x:v>Нет</x:v>
      </x:c>
      <x:c r="R1347" s="9" t="str">
        <x:v>C080</x:v>
      </x:c>
      <x:c r="S1347" s="9" t="str">
        <x:v>C080</x:v>
      </x:c>
      <x:c r="T1347" s="10" t="str">
        <x:v>רשת 13</x:v>
      </x:c>
      <x:c r="U1347" s="11" t="str">
        <x:v>https://www.youtube.com/watch?v=yjLdrryjiCU</x:v>
      </x:c>
      <x:c r="V1347" s="16" t="n">
        <x:v>46308</x:v>
      </x:c>
      <x:c r="W1347" s="16"/>
      <x:c r="X1347" s="10" t="str">
        <x:v>Иврит предполагается по заголовку и источнику</x:v>
      </x:c>
      <x:c r="Y1347" s="10" t="str">
        <x:v>Не проверено</x:v>
      </x:c>
      <x:c r="Z1347" s="10" t="str">
        <x:v>Не проверено</x:v>
      </x:c>
      <x:c r="AA1347" s="10" t="str">
        <x:v>Метаданные списка; видео не просмотрено</x:v>
      </x:c>
      <x:c r="AB1347" s="13" t="str">
        <x:f>IF(AND(ISNUMBER(H1347),ISNUMBER(W1347)),H1347/MAX(1,'Обзор'!$B$4-W1347),"")</x:f>
      </x:c>
      <x:c r="AC1347" s="17" t="str">
        <x:v>Не решено</x:v>
      </x:c>
      <x:c r="AD1347" s="17" t="str">
        <x:v>Не проверено</x:v>
      </x:c>
      <x:c r="AE1347" s="17" t="str">
        <x:v>Не проверено</x:v>
      </x:c>
      <x:c r="AF1347" s="17" t="str">
        <x:v>Не проверено</x:v>
      </x:c>
      <x:c r="AG1347" s="17" t="str">
        <x:v>Не решено</x:v>
      </x:c>
      <x:c r="AH1347" s="17" t="str">
        <x:v>Не проверено</x:v>
      </x:c>
      <x:c r="AI1347" s="10" t="str">
        <x:f>IF(AC1347="Отклонить","Отклонено",IF(AND(AC1347="Взять",COUNTIFS(AD1347:AH1347,"Да")=5),"Готово","Нужна редактура"))</x:f>
        <x:v>Нужна редактура</x:v>
      </x:c>
      <x:c r="AJ1347" s="17" t="str"/>
      <x:c r="AK1347" s="9" t="str">
        <x:v>https://www.youtube.com/playlist?list=PL5tTMlIkxhYd6PYfo74-EPVyT88pmzMpZ</x:v>
      </x:c>
      <x:c r="AL1347" s="9" t="n">
        <x:v>32</x:v>
      </x:c>
      <x:c r="AM1347" s="9"/>
      <x:c r="AN1347" s="9"/>
    </x:row>
    <x:row r="1348" ht="60" customHeight="1">
      <x:c r="A1348" s="9" t="str">
        <x:v>PPy77eNvwMU</x:v>
      </x:c>
      <x:c r="B1348" s="10" t="str">
        <x:v>"הלב שלך קר וקטן": מה גרם לממוקה לפרוץ בבכי?</x:v>
      </x:c>
      <x:c r="C1348" s="10" t="str">
        <x:v>Семья и культурная память</x:v>
      </x:c>
      <x:c r="D1348" s="9" t="str">
        <x:v>Сериал</x:v>
      </x:c>
      <x:c r="E1348" s="10" t="str">
        <x:v>Сериалы; ностальгия; взрослые</x:v>
      </x:c>
      <x:c r="F1348" s="10" t="str">
        <x:v>B2–C1 (гипотеза)</x:v>
      </x:c>
      <x:c r="G1348" s="12" t="n">
        <x:v>1.4</x:v>
      </x:c>
      <x:c r="H1348" s="14" t="n">
        <x:v>38000</x:v>
      </x:c>
      <x:c r="I1348" s="15" t="str">
        <x:v>Округлённый счётчик в списке YouTube</x:v>
      </x:c>
      <x:c r="J1348" s="14" t="n">
        <x:v>38000</x:v>
      </x:c>
      <x:c r="K1348" s="14" t="n">
        <x:v>138000</x:v>
      </x:c>
      <x:c r="L1348" s="12" t="n">
        <x:f>IF(COUNT(J1348:K1348)=2,IF(K1348=0,"",J1348/K1348),"")</x:f>
        <x:v>0.2753623188405797</x:v>
      </x:c>
      <x:c r="M1348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Продолжает семейную и социальную тему в другой эпохе. Подходит любителям привычных персонажей.</x:v>
      </x:c>
      <x:c r="N1348" s="10" t="str">
        <x:v>Сравнить две бытовые нормы прошлого и настоящего.</x:v>
      </x:c>
      <x:c r="O1348" s="10" t="str">
        <x:v>Могут быть фрагменты, а не полные серии</x:v>
      </x:c>
      <x:c r="P1348" s="10" t="str">
        <x:v>Фрагмент сериала</x:v>
      </x:c>
      <x:c r="Q1348" s="9" t="str">
        <x:v>Нет</x:v>
      </x:c>
      <x:c r="R1348" s="9" t="str">
        <x:v>C080</x:v>
      </x:c>
      <x:c r="S1348" s="9" t="str">
        <x:v>C080</x:v>
      </x:c>
      <x:c r="T1348" s="10" t="str">
        <x:v>רשת 13</x:v>
      </x:c>
      <x:c r="U1348" s="11" t="str">
        <x:v>https://www.youtube.com/watch?v=PPy77eNvwMU</x:v>
      </x:c>
      <x:c r="V1348" s="16" t="n">
        <x:v>46308</x:v>
      </x:c>
      <x:c r="W1348" s="16"/>
      <x:c r="X1348" s="10" t="str">
        <x:v>Иврит предполагается по заголовку и источнику</x:v>
      </x:c>
      <x:c r="Y1348" s="10" t="str">
        <x:v>Не проверено</x:v>
      </x:c>
      <x:c r="Z1348" s="10" t="str">
        <x:v>Не проверено</x:v>
      </x:c>
      <x:c r="AA1348" s="10" t="str">
        <x:v>Метаданные списка; видео не просмотрено</x:v>
      </x:c>
      <x:c r="AB1348" s="13" t="str">
        <x:f>IF(AND(ISNUMBER(H1348),ISNUMBER(W1348)),H1348/MAX(1,'Обзор'!$B$4-W1348),"")</x:f>
      </x:c>
      <x:c r="AC1348" s="17" t="str">
        <x:v>Не решено</x:v>
      </x:c>
      <x:c r="AD1348" s="17" t="str">
        <x:v>Не проверено</x:v>
      </x:c>
      <x:c r="AE1348" s="17" t="str">
        <x:v>Не проверено</x:v>
      </x:c>
      <x:c r="AF1348" s="17" t="str">
        <x:v>Не проверено</x:v>
      </x:c>
      <x:c r="AG1348" s="17" t="str">
        <x:v>Не решено</x:v>
      </x:c>
      <x:c r="AH1348" s="17" t="str">
        <x:v>Не проверено</x:v>
      </x:c>
      <x:c r="AI1348" s="10" t="str">
        <x:f>IF(AC1348="Отклонить","Отклонено",IF(AND(AC1348="Взять",COUNTIFS(AD1348:AH1348,"Да")=5),"Готово","Нужна редактура"))</x:f>
        <x:v>Нужна редактура</x:v>
      </x:c>
      <x:c r="AJ1348" s="17" t="str"/>
      <x:c r="AK1348" s="9" t="str">
        <x:v>https://www.youtube.com/playlist?list=PL5tTMlIkxhYd6PYfo74-EPVyT88pmzMpZ</x:v>
      </x:c>
      <x:c r="AL1348" s="9" t="n">
        <x:v>33</x:v>
      </x:c>
      <x:c r="AM1348" s="9"/>
      <x:c r="AN1348" s="9"/>
    </x:row>
    <x:row r="1349" ht="60" customHeight="1">
      <x:c r="A1349" s="9" t="str">
        <x:v>TptZ4ytaz_U</x:v>
      </x:c>
      <x:c r="B1349" s="10" t="str">
        <x:v>הביצוע של הצמד הכי חם מאז סטטיק ובן-אל, פרוספר והפייטן העיוור מיכאל עמר</x:v>
      </x:c>
      <x:c r="C1349" s="10" t="str">
        <x:v>Семья и культурная память</x:v>
      </x:c>
      <x:c r="D1349" s="9" t="str">
        <x:v>Сериал</x:v>
      </x:c>
      <x:c r="E1349" s="10" t="str">
        <x:v>Сериалы; ностальгия; взрослые</x:v>
      </x:c>
      <x:c r="F1349" s="10" t="str">
        <x:v>B2–C1 (гипотеза)</x:v>
      </x:c>
      <x:c r="G1349" s="12" t="n">
        <x:v>1</x:v>
      </x:c>
      <x:c r="H1349" s="14" t="n">
        <x:v>40000</x:v>
      </x:c>
      <x:c r="I1349" s="15" t="str">
        <x:v>Округлённый счётчик в списке YouTube</x:v>
      </x:c>
      <x:c r="J1349" s="14" t="n">
        <x:v>40000</x:v>
      </x:c>
      <x:c r="K1349" s="14" t="n">
        <x:v>138000</x:v>
      </x:c>
      <x:c r="L1349" s="12" t="n">
        <x:f>IF(COUNT(J1349:K1349)=2,IF(K1349=0,"",J1349/K1349),"")</x:f>
        <x:v>0.2898550724637681</x:v>
      </x:c>
      <x:c r="M1349" s="10" t="str">
        <x:v>Сценка из сериала; полезна для короткого разбора, не заменяет полную серию. Просмотры ниже медианы цикла; выбирать за нишевую ценность, а не за массовый охват. Продолжает семейную и социальную тему в другой эпохе. Подходит любителям привычных персонажей.</x:v>
      </x:c>
      <x:c r="N1349" s="10" t="str">
        <x:v>Сравнить две бытовые нормы прошлого и настоящего.</x:v>
      </x:c>
      <x:c r="O1349" s="10" t="str">
        <x:v>Могут быть фрагменты, а не полные серии</x:v>
      </x:c>
      <x:c r="P1349" s="10" t="str">
        <x:v>Фрагмент сериала</x:v>
      </x:c>
      <x:c r="Q1349" s="9" t="str">
        <x:v>Нет</x:v>
      </x:c>
      <x:c r="R1349" s="9" t="str">
        <x:v>C080</x:v>
      </x:c>
      <x:c r="S1349" s="9" t="str">
        <x:v>C080</x:v>
      </x:c>
      <x:c r="T1349" s="10" t="str">
        <x:v>רשת 13</x:v>
      </x:c>
      <x:c r="U1349" s="11" t="str">
        <x:v>https://www.youtube.com/watch?v=TptZ4ytaz_U</x:v>
      </x:c>
      <x:c r="V1349" s="16" t="n">
        <x:v>46308</x:v>
      </x:c>
      <x:c r="W1349" s="16"/>
      <x:c r="X1349" s="10" t="str">
        <x:v>Иврит предполагается по заголовку и источнику</x:v>
      </x:c>
      <x:c r="Y1349" s="10" t="str">
        <x:v>Не проверено</x:v>
      </x:c>
      <x:c r="Z1349" s="10" t="str">
        <x:v>Не проверено</x:v>
      </x:c>
      <x:c r="AA1349" s="10" t="str">
        <x:v>Метаданные списка; видео не просмотрено</x:v>
      </x:c>
      <x:c r="AB1349" s="13" t="str">
        <x:f>IF(AND(ISNUMBER(H1349),ISNUMBER(W1349)),H1349/MAX(1,'Обзор'!$B$4-W1349),"")</x:f>
      </x:c>
      <x:c r="AC1349" s="17" t="str">
        <x:v>Не решено</x:v>
      </x:c>
      <x:c r="AD1349" s="17" t="str">
        <x:v>Не проверено</x:v>
      </x:c>
      <x:c r="AE1349" s="17" t="str">
        <x:v>Не проверено</x:v>
      </x:c>
      <x:c r="AF1349" s="17" t="str">
        <x:v>Не проверено</x:v>
      </x:c>
      <x:c r="AG1349" s="17" t="str">
        <x:v>Не решено</x:v>
      </x:c>
      <x:c r="AH1349" s="17" t="str">
        <x:v>Не проверено</x:v>
      </x:c>
      <x:c r="AI1349" s="10" t="str">
        <x:f>IF(AC1349="Отклонить","Отклонено",IF(AND(AC1349="Взять",COUNTIFS(AD1349:AH1349,"Да")=5),"Готово","Нужна редактура"))</x:f>
        <x:v>Нужна редактура</x:v>
      </x:c>
      <x:c r="AJ1349" s="17" t="str"/>
      <x:c r="AK1349" s="9" t="str">
        <x:v>https://www.youtube.com/playlist?list=PL5tTMlIkxhYd6PYfo74-EPVyT88pmzMpZ</x:v>
      </x:c>
      <x:c r="AL1349" s="9" t="n">
        <x:v>34</x:v>
      </x:c>
      <x:c r="AM1349" s="9"/>
      <x:c r="AN1349" s="9"/>
    </x:row>
    <x:row r="1350" ht="60" customHeight="1">
      <x:c r="A1350" s="9" t="str">
        <x:v>VYuhDGoitSo</x:v>
      </x:c>
      <x:c r="B1350" s="10" t="str">
        <x:v>בלתי אפשרי לצלם סצנה עם ממוקה וויטלי</x:v>
      </x:c>
      <x:c r="C1350" s="10" t="str">
        <x:v>Семья и культурная память</x:v>
      </x:c>
      <x:c r="D1350" s="9" t="str">
        <x:v>Сериал</x:v>
      </x:c>
      <x:c r="E1350" s="10" t="str">
        <x:v>Сериалы; ностальгия; взрослые</x:v>
      </x:c>
      <x:c r="F1350" s="10" t="str">
        <x:v>B2–C1 (гипотеза)</x:v>
      </x:c>
      <x:c r="G1350" s="12" t="n">
        <x:v>3.5</x:v>
      </x:c>
      <x:c r="H1350" s="14" t="n">
        <x:v>163000</x:v>
      </x:c>
      <x:c r="I1350" s="15" t="str">
        <x:v>Округлённый счётчик в списке YouTube</x:v>
      </x:c>
      <x:c r="J1350" s="14" t="n">
        <x:v>163000</x:v>
      </x:c>
      <x:c r="K1350" s="14" t="n">
        <x:v>138000</x:v>
      </x:c>
      <x:c r="L1350" s="12" t="n">
        <x:f>IF(COUNT(J1350:K1350)=2,IF(K1350=0,"",J1350/K1350),"")</x:f>
        <x:v>1.181159420289855</x:v>
      </x:c>
      <x:c r="M1350" s="10" t="str">
        <x:v>Сценка из сериала; полезна для короткого разбора, не заменяет полную серию. Продолжает семейную и социальную тему в другой эпохе. Подходит любителям привычных персонажей.</x:v>
      </x:c>
      <x:c r="N1350" s="10" t="str">
        <x:v>Сравнить две бытовые нормы прошлого и настоящего.</x:v>
      </x:c>
      <x:c r="O1350" s="10" t="str">
        <x:v>Могут быть фрагменты, а не полные серии</x:v>
      </x:c>
      <x:c r="P1350" s="10" t="str">
        <x:v>Фрагмент сериала</x:v>
      </x:c>
      <x:c r="Q1350" s="9" t="str">
        <x:v>Нет</x:v>
      </x:c>
      <x:c r="R1350" s="9" t="str">
        <x:v>C080</x:v>
      </x:c>
      <x:c r="S1350" s="9" t="str">
        <x:v>C080</x:v>
      </x:c>
      <x:c r="T1350" s="10" t="str">
        <x:v>רשת 13</x:v>
      </x:c>
      <x:c r="U1350" s="11" t="str">
        <x:v>https://www.youtube.com/watch?v=VYuhDGoitSo</x:v>
      </x:c>
      <x:c r="V1350" s="16" t="n">
        <x:v>46308</x:v>
      </x:c>
      <x:c r="W1350" s="16"/>
      <x:c r="X1350" s="10" t="str">
        <x:v>Иврит предполагается по заголовку и источнику</x:v>
      </x:c>
      <x:c r="Y1350" s="10" t="str">
        <x:v>Не проверено</x:v>
      </x:c>
      <x:c r="Z1350" s="10" t="str">
        <x:v>Не проверено</x:v>
      </x:c>
      <x:c r="AA1350" s="10" t="str">
        <x:v>Метаданные списка; видео не просмотрено</x:v>
      </x:c>
      <x:c r="AB1350" s="13" t="str">
        <x:f>IF(AND(ISNUMBER(H1350),ISNUMBER(W1350)),H1350/MAX(1,'Обзор'!$B$4-W1350),"")</x:f>
      </x:c>
      <x:c r="AC1350" s="17" t="str">
        <x:v>Не решено</x:v>
      </x:c>
      <x:c r="AD1350" s="17" t="str">
        <x:v>Не проверено</x:v>
      </x:c>
      <x:c r="AE1350" s="17" t="str">
        <x:v>Не проверено</x:v>
      </x:c>
      <x:c r="AF1350" s="17" t="str">
        <x:v>Не проверено</x:v>
      </x:c>
      <x:c r="AG1350" s="17" t="str">
        <x:v>Не решено</x:v>
      </x:c>
      <x:c r="AH1350" s="17" t="str">
        <x:v>Не проверено</x:v>
      </x:c>
      <x:c r="AI1350" s="10" t="str">
        <x:f>IF(AC1350="Отклонить","Отклонено",IF(AND(AC1350="Взять",COUNTIFS(AD1350:AH1350,"Да")=5),"Готово","Нужна редактура"))</x:f>
        <x:v>Нужна редактура</x:v>
      </x:c>
      <x:c r="AJ1350" s="17" t="str"/>
      <x:c r="AK1350" s="9" t="str">
        <x:v>https://www.youtube.com/playlist?list=PL5tTMlIkxhYd6PYfo74-EPVyT88pmzMpZ</x:v>
      </x:c>
      <x:c r="AL1350" s="9" t="n">
        <x:v>35</x:v>
      </x:c>
      <x:c r="AM1350" s="9"/>
      <x:c r="AN1350" s="9"/>
    </x:row>
    <x:row r="1351" ht="60" customHeight="1">
      <x:c r="A1351" s="9" t="str">
        <x:v>9EpjmtLlExY</x:v>
      </x:c>
      <x:c r="B1351" s="10" t="str">
        <x:v>"אמרו לי שזאת פעילות מסווגת": תמלילי החקירות של מבריחי הסחורות לעזה נחשפים</x:v>
      </x:c>
      <x:c r="C1351" s="10" t="str">
        <x:v>Журналистика и общество</x:v>
      </x:c>
      <x:c r="D1351" s="9" t="str">
        <x:v>Общество</x:v>
      </x:c>
      <x:c r="E1351" s="10" t="str">
        <x:v>Расследования; общество; продвинутые</x:v>
      </x:c>
      <x:c r="F1351" s="10" t="str">
        <x:v>B2–C1 (гипотеза)</x:v>
      </x:c>
      <x:c r="G1351" s="12" t="n">
        <x:v>8.7</x:v>
      </x:c>
      <x:c r="H1351" s="14" t="n">
        <x:v>3000</x:v>
      </x:c>
      <x:c r="I1351" s="15" t="str">
        <x:v>Округлённый счётчик в списке YouTube</x:v>
      </x:c>
      <x:c r="J1351" s="14" t="n">
        <x:v>3000</x:v>
      </x:c>
      <x:c r="K1351" s="14" t="n">
        <x:v>6000</x:v>
      </x:c>
      <x:c r="L1351" s="12" t="n">
        <x:f>IF(COUNT(J1351:K1351)=2,IF(K1351=0,"",J1351/K1351),"")</x:f>
        <x:v>0.5</x:v>
      </x:c>
      <x:c r="M1351" s="10" t="str">
        <x:v>Завершённый короткий просмотр около 9 мин. Второй редакционный источник помогает не ограничиваться одной журналистской повесткой.</x:v>
      </x:c>
      <x:c r="N1351" s="10" t="str">
        <x:v>Карта утверждений, документов и ответов сторон.</x:v>
      </x:c>
      <x:c r="O1351" s="10" t="str">
        <x:v>Фрагменты, обвинения; перепроверить актуальный контекст</x:v>
      </x:c>
      <x:c r="P1351" s="10" t="str">
        <x:v>Самостоятельное видео</x:v>
      </x:c>
      <x:c r="Q1351" s="9" t="str">
        <x:v>Нет</x:v>
      </x:c>
      <x:c r="R1351" s="9" t="str">
        <x:v>C081</x:v>
      </x:c>
      <x:c r="S1351" s="9" t="str">
        <x:v>C081</x:v>
      </x:c>
      <x:c r="T1351" s="10" t="str">
        <x:v>רשת 13</x:v>
      </x:c>
      <x:c r="U1351" s="11" t="str">
        <x:v>https://www.youtube.com/watch?v=9EpjmtLlExY</x:v>
      </x:c>
      <x:c r="V1351" s="16" t="n">
        <x:v>46308</x:v>
      </x:c>
      <x:c r="W1351" s="16"/>
      <x:c r="X1351" s="10" t="str">
        <x:v>Иврит предполагается по заголовку и источнику</x:v>
      </x:c>
      <x:c r="Y1351" s="10" t="str">
        <x:v>Не проверено</x:v>
      </x:c>
      <x:c r="Z1351" s="10" t="str">
        <x:v>Не проверено</x:v>
      </x:c>
      <x:c r="AA1351" s="10" t="str">
        <x:v>Метаданные списка; видео не просмотрено</x:v>
      </x:c>
      <x:c r="AB1351" s="13" t="str">
        <x:f>IF(AND(ISNUMBER(H1351),ISNUMBER(W1351)),H1351/MAX(1,'Обзор'!$B$4-W1351),"")</x:f>
      </x:c>
      <x:c r="AC1351" s="17" t="str">
        <x:v>Не решено</x:v>
      </x:c>
      <x:c r="AD1351" s="17" t="str">
        <x:v>Не проверено</x:v>
      </x:c>
      <x:c r="AE1351" s="17" t="str">
        <x:v>Не проверено</x:v>
      </x:c>
      <x:c r="AF1351" s="17" t="str">
        <x:v>Не проверено</x:v>
      </x:c>
      <x:c r="AG1351" s="17" t="str">
        <x:v>Не решено</x:v>
      </x:c>
      <x:c r="AH1351" s="17" t="str">
        <x:v>Не проверено</x:v>
      </x:c>
      <x:c r="AI1351" s="10" t="str">
        <x:f>IF(AC1351="Отклонить","Отклонено",IF(AND(AC1351="Взять",COUNTIFS(AD1351:AH1351,"Да")=5),"Готово","Нужна редактура"))</x:f>
        <x:v>Нужна редактура</x:v>
      </x:c>
      <x:c r="AJ1351" s="17" t="str"/>
      <x:c r="AK1351" s="9" t="str">
        <x:v>https://www.youtube.com/playlist?list=PL5tTMlIkxhYf9OzV7pUPLnhGt5-qXElOW</x:v>
      </x:c>
      <x:c r="AL1351" s="9" t="n">
        <x:v>1</x:v>
      </x:c>
      <x:c r="AM1351" s="9"/>
      <x:c r="AN1351" s="9"/>
    </x:row>
    <x:row r="1352" ht="60" customHeight="1">
      <x:c r="A1352" s="9" t="str">
        <x:v>9NVQYH48lDE</x:v>
      </x:c>
      <x:c r="B1352" s="10" t="str">
        <x:v>לראשונה ובפנים גלויות - נאשם בהברחות לעזה מדבר: "הייתי במצב כלכלי לחוץ"</x:v>
      </x:c>
      <x:c r="C1352" s="10" t="str">
        <x:v>Журналистика и общество</x:v>
      </x:c>
      <x:c r="D1352" s="9" t="str">
        <x:v>Общество</x:v>
      </x:c>
      <x:c r="E1352" s="10" t="str">
        <x:v>Расследования; общество; продвинутые</x:v>
      </x:c>
      <x:c r="F1352" s="10" t="str">
        <x:v>B2–C1 (гипотеза)</x:v>
      </x:c>
      <x:c r="G1352" s="12" t="n">
        <x:v>3</x:v>
      </x:c>
      <x:c r="H1352" s="14" t="n">
        <x:v>2200</x:v>
      </x:c>
      <x:c r="I1352" s="15" t="str">
        <x:v>Округлённый счётчик в списке YouTube</x:v>
      </x:c>
      <x:c r="J1352" s="14" t="n">
        <x:v>2200</x:v>
      </x:c>
      <x:c r="K1352" s="14" t="n">
        <x:v>6000</x:v>
      </x:c>
      <x:c r="L1352" s="12" t="n">
        <x:f>IF(COUNT(J1352:K1352)=2,IF(K1352=0,"",J1352/K1352),"")</x:f>
        <x:v>0.36666666666666664</x:v>
      </x:c>
      <x:c r="M1352" s="10" t="str">
        <x:v>Завершённый короткий просмотр около 3 мин. Просмотры ниже медианы цикла; выбирать за нишевую ценность, а не за массовый охват. Второй редакционный источник помогает не ограничиваться одной журналистской повесткой.</x:v>
      </x:c>
      <x:c r="N1352" s="10" t="str">
        <x:v>Карта утверждений, документов и ответов сторон.</x:v>
      </x:c>
      <x:c r="O1352" s="10" t="str">
        <x:v>Фрагменты, обвинения; перепроверить актуальный контекст</x:v>
      </x:c>
      <x:c r="P1352" s="10" t="str">
        <x:v>Самостоятельное видео</x:v>
      </x:c>
      <x:c r="Q1352" s="9" t="str">
        <x:v>Нет</x:v>
      </x:c>
      <x:c r="R1352" s="9" t="str">
        <x:v>C081</x:v>
      </x:c>
      <x:c r="S1352" s="9" t="str">
        <x:v>C081</x:v>
      </x:c>
      <x:c r="T1352" s="10" t="str">
        <x:v>רשת 13</x:v>
      </x:c>
      <x:c r="U1352" s="11" t="str">
        <x:v>https://www.youtube.com/watch?v=9NVQYH48lDE</x:v>
      </x:c>
      <x:c r="V1352" s="16" t="n">
        <x:v>46308</x:v>
      </x:c>
      <x:c r="W1352" s="16"/>
      <x:c r="X1352" s="10" t="str">
        <x:v>Иврит предполагается по заголовку и источнику</x:v>
      </x:c>
      <x:c r="Y1352" s="10" t="str">
        <x:v>Не проверено</x:v>
      </x:c>
      <x:c r="Z1352" s="10" t="str">
        <x:v>Не проверено</x:v>
      </x:c>
      <x:c r="AA1352" s="10" t="str">
        <x:v>Метаданные списка; видео не просмотрено</x:v>
      </x:c>
      <x:c r="AB1352" s="13" t="str">
        <x:f>IF(AND(ISNUMBER(H1352),ISNUMBER(W1352)),H1352/MAX(1,'Обзор'!$B$4-W1352),"")</x:f>
      </x:c>
      <x:c r="AC1352" s="17" t="str">
        <x:v>Не решено</x:v>
      </x:c>
      <x:c r="AD1352" s="17" t="str">
        <x:v>Не проверено</x:v>
      </x:c>
      <x:c r="AE1352" s="17" t="str">
        <x:v>Не проверено</x:v>
      </x:c>
      <x:c r="AF1352" s="17" t="str">
        <x:v>Не проверено</x:v>
      </x:c>
      <x:c r="AG1352" s="17" t="str">
        <x:v>Не решено</x:v>
      </x:c>
      <x:c r="AH1352" s="17" t="str">
        <x:v>Не проверено</x:v>
      </x:c>
      <x:c r="AI1352" s="10" t="str">
        <x:f>IF(AC1352="Отклонить","Отклонено",IF(AND(AC1352="Взять",COUNTIFS(AD1352:AH1352,"Да")=5),"Готово","Нужна редактура"))</x:f>
        <x:v>Нужна редактура</x:v>
      </x:c>
      <x:c r="AJ1352" s="17" t="str"/>
      <x:c r="AK1352" s="9" t="str">
        <x:v>https://www.youtube.com/playlist?list=PL5tTMlIkxhYf9OzV7pUPLnhGt5-qXElOW</x:v>
      </x:c>
      <x:c r="AL1352" s="9" t="n">
        <x:v>2</x:v>
      </x:c>
      <x:c r="AM1352" s="9"/>
      <x:c r="AN1352" s="9"/>
    </x:row>
    <x:row r="1353" ht="60" customHeight="1">
      <x:c r="A1353" s="9" t="str">
        <x:v>Xapq0SnFEOk</x:v>
      </x:c>
      <x:c r="B1353" s="10" t="str">
        <x:v>Hamakor - Picture Perfect | המקור - סוד התמונה המושלמת</x:v>
      </x:c>
      <x:c r="C1353" s="10" t="str">
        <x:v>Журналистика и общество</x:v>
      </x:c>
      <x:c r="D1353" s="9" t="str">
        <x:v>Общество</x:v>
      </x:c>
      <x:c r="E1353" s="10" t="str">
        <x:v>Расследования; общество; продвинутые</x:v>
      </x:c>
      <x:c r="F1353" s="10" t="str">
        <x:v>B2–C1 (гипотеза)</x:v>
      </x:c>
      <x:c r="G1353" s="12" t="n">
        <x:v>68.1</x:v>
      </x:c>
      <x:c r="H1353" s="14" t="n">
        <x:v>277</x:v>
      </x:c>
      <x:c r="I1353" s="15" t="str">
        <x:v>Округлённый счётчик в списке YouTube</x:v>
      </x:c>
      <x:c r="J1353" s="14" t="n">
        <x:v>277</x:v>
      </x:c>
      <x:c r="K1353" s="14" t="n">
        <x:v>6000</x:v>
      </x:c>
      <x:c r="L1353" s="12" t="n">
        <x:f>IF(COUNT(J1353:K1353)=2,IF(K1353=0,"",J1353/K1353),"")</x:f>
        <x:v>0.04616666666666667</x:v>
      </x:c>
      <x:c r="M1353" s="10" t="str">
        <x:v>Тема: Hamakor - Picture Perfect | המקור - סוד התמונה המושלמת. Просмотры ниже медианы цикла; выбирать за нишевую ценность, а не за массовый охват. Второй редакционный источник помогает не ограничиваться одной журналистской повесткой.</x:v>
      </x:c>
      <x:c r="N1353" s="10" t="str">
        <x:v>Карта утверждений, документов и ответов сторон.</x:v>
      </x:c>
      <x:c r="O1353" s="10" t="str">
        <x:v>Фрагменты, обвинения; перепроверить актуальный контекст</x:v>
      </x:c>
      <x:c r="P1353" s="10" t="str">
        <x:v>Самостоятельное видео</x:v>
      </x:c>
      <x:c r="Q1353" s="9" t="str">
        <x:v>Нет</x:v>
      </x:c>
      <x:c r="R1353" s="9" t="str">
        <x:v>C081</x:v>
      </x:c>
      <x:c r="S1353" s="9" t="str">
        <x:v>C081</x:v>
      </x:c>
      <x:c r="T1353" s="10" t="str">
        <x:v>רשת 13</x:v>
      </x:c>
      <x:c r="U1353" s="11" t="str">
        <x:v>https://www.youtube.com/watch?v=Xapq0SnFEOk</x:v>
      </x:c>
      <x:c r="V1353" s="16" t="n">
        <x:v>46308</x:v>
      </x:c>
      <x:c r="W1353" s="16"/>
      <x:c r="X1353" s="10" t="str">
        <x:v>Иврит предполагается по заголовку и источнику</x:v>
      </x:c>
      <x:c r="Y1353" s="10" t="str">
        <x:v>Не проверено</x:v>
      </x:c>
      <x:c r="Z1353" s="10" t="str">
        <x:v>Не проверено</x:v>
      </x:c>
      <x:c r="AA1353" s="10" t="str">
        <x:v>Метаданные списка; видео не просмотрено</x:v>
      </x:c>
      <x:c r="AB1353" s="13" t="str">
        <x:f>IF(AND(ISNUMBER(H1353),ISNUMBER(W1353)),H1353/MAX(1,'Обзор'!$B$4-W1353),"")</x:f>
      </x:c>
      <x:c r="AC1353" s="17" t="str">
        <x:v>Не решено</x:v>
      </x:c>
      <x:c r="AD1353" s="17" t="str">
        <x:v>Не проверено</x:v>
      </x:c>
      <x:c r="AE1353" s="17" t="str">
        <x:v>Не проверено</x:v>
      </x:c>
      <x:c r="AF1353" s="17" t="str">
        <x:v>Не проверено</x:v>
      </x:c>
      <x:c r="AG1353" s="17" t="str">
        <x:v>Не решено</x:v>
      </x:c>
      <x:c r="AH1353" s="17" t="str">
        <x:v>Не проверено</x:v>
      </x:c>
      <x:c r="AI1353" s="10" t="str">
        <x:f>IF(AC1353="Отклонить","Отклонено",IF(AND(AC1353="Взять",COUNTIFS(AD1353:AH1353,"Да")=5),"Готово","Нужна редактура"))</x:f>
        <x:v>Нужна редактура</x:v>
      </x:c>
      <x:c r="AJ1353" s="17" t="str"/>
      <x:c r="AK1353" s="9" t="str">
        <x:v>https://www.youtube.com/playlist?list=PL5tTMlIkxhYf9OzV7pUPLnhGt5-qXElOW</x:v>
      </x:c>
      <x:c r="AL1353" s="9" t="n">
        <x:v>3</x:v>
      </x:c>
      <x:c r="AM1353" s="9"/>
      <x:c r="AN1353" s="9"/>
    </x:row>
    <x:row r="1354" ht="60" customHeight="1">
      <x:c r="A1354" s="9" t="str">
        <x:v>qg8hMmyfw1A</x:v>
      </x:c>
      <x:c r="B1354" s="10" t="str">
        <x:v>Hamakor - Nir Hefetz | המקור - ניר חפץ</x:v>
      </x:c>
      <x:c r="C1354" s="10" t="str">
        <x:v>Журналистика и общество</x:v>
      </x:c>
      <x:c r="D1354" s="9" t="str">
        <x:v>Общество</x:v>
      </x:c>
      <x:c r="E1354" s="10" t="str">
        <x:v>Расследования; общество; продвинутые</x:v>
      </x:c>
      <x:c r="F1354" s="10" t="str">
        <x:v>B2–C1 (гипотеза)</x:v>
      </x:c>
      <x:c r="G1354" s="12" t="n">
        <x:v>68</x:v>
      </x:c>
      <x:c r="H1354" s="14" t="n">
        <x:v>72</x:v>
      </x:c>
      <x:c r="I1354" s="15" t="str">
        <x:v>Округлённый счётчик в списке YouTube</x:v>
      </x:c>
      <x:c r="J1354" s="14" t="n">
        <x:v>72</x:v>
      </x:c>
      <x:c r="K1354" s="14" t="n">
        <x:v>6000</x:v>
      </x:c>
      <x:c r="L1354" s="12" t="n">
        <x:f>IF(COUNT(J1354:K1354)=2,IF(K1354=0,"",J1354/K1354),"")</x:f>
        <x:v>0.012</x:v>
      </x:c>
      <x:c r="M1354" s="10" t="str">
        <x:v>Тема: Hamakor - Nir Hefetz | המקור - ניר חפץ. Просмотры ниже медианы цикла; выбирать за нишевую ценность, а не за массовый охват. Второй редакционный источник помогает не ограничиваться одной журналистской повесткой.</x:v>
      </x:c>
      <x:c r="N1354" s="10" t="str">
        <x:v>Карта утверждений, документов и ответов сторон.</x:v>
      </x:c>
      <x:c r="O1354" s="10" t="str">
        <x:v>Фрагменты, обвинения; перепроверить актуальный контекст</x:v>
      </x:c>
      <x:c r="P1354" s="10" t="str">
        <x:v>Самостоятельное видео</x:v>
      </x:c>
      <x:c r="Q1354" s="9" t="str">
        <x:v>Нет</x:v>
      </x:c>
      <x:c r="R1354" s="9" t="str">
        <x:v>C081</x:v>
      </x:c>
      <x:c r="S1354" s="9" t="str">
        <x:v>C081</x:v>
      </x:c>
      <x:c r="T1354" s="10" t="str">
        <x:v>רשת 13</x:v>
      </x:c>
      <x:c r="U1354" s="11" t="str">
        <x:v>https://www.youtube.com/watch?v=qg8hMmyfw1A</x:v>
      </x:c>
      <x:c r="V1354" s="16" t="n">
        <x:v>46308</x:v>
      </x:c>
      <x:c r="W1354" s="16"/>
      <x:c r="X1354" s="10" t="str">
        <x:v>Иврит предполагается по заголовку и источнику</x:v>
      </x:c>
      <x:c r="Y1354" s="10" t="str">
        <x:v>Не проверено</x:v>
      </x:c>
      <x:c r="Z1354" s="10" t="str">
        <x:v>Не проверено</x:v>
      </x:c>
      <x:c r="AA1354" s="10" t="str">
        <x:v>Метаданные списка; видео не просмотрено</x:v>
      </x:c>
      <x:c r="AB1354" s="13" t="str">
        <x:f>IF(AND(ISNUMBER(H1354),ISNUMBER(W1354)),H1354/MAX(1,'Обзор'!$B$4-W1354),"")</x:f>
      </x:c>
      <x:c r="AC1354" s="17" t="str">
        <x:v>Не решено</x:v>
      </x:c>
      <x:c r="AD1354" s="17" t="str">
        <x:v>Не проверено</x:v>
      </x:c>
      <x:c r="AE1354" s="17" t="str">
        <x:v>Не проверено</x:v>
      </x:c>
      <x:c r="AF1354" s="17" t="str">
        <x:v>Не проверено</x:v>
      </x:c>
      <x:c r="AG1354" s="17" t="str">
        <x:v>Не решено</x:v>
      </x:c>
      <x:c r="AH1354" s="17" t="str">
        <x:v>Не проверено</x:v>
      </x:c>
      <x:c r="AI1354" s="10" t="str">
        <x:f>IF(AC1354="Отклонить","Отклонено",IF(AND(AC1354="Взять",COUNTIFS(AD1354:AH1354,"Да")=5),"Готово","Нужна редактура"))</x:f>
        <x:v>Нужна редактура</x:v>
      </x:c>
      <x:c r="AJ1354" s="17" t="str"/>
      <x:c r="AK1354" s="9" t="str">
        <x:v>https://www.youtube.com/playlist?list=PL5tTMlIkxhYf9OzV7pUPLnhGt5-qXElOW</x:v>
      </x:c>
      <x:c r="AL1354" s="9" t="n">
        <x:v>4</x:v>
      </x:c>
      <x:c r="AM1354" s="9"/>
      <x:c r="AN1354" s="9"/>
    </x:row>
    <x:row r="1355" ht="60" customHeight="1">
      <x:c r="A1355" s="9" t="str">
        <x:v>5D2Fp--z-Mc</x:v>
      </x:c>
      <x:c r="B1355" s="10" t="str">
        <x:v>Hamakor - All the President’s Men | המקור - כל אנשי הנשיא</x:v>
      </x:c>
      <x:c r="C1355" s="10" t="str">
        <x:v>Журналистика и общество</x:v>
      </x:c>
      <x:c r="D1355" s="9" t="str">
        <x:v>Общество</x:v>
      </x:c>
      <x:c r="E1355" s="10" t="str">
        <x:v>Расследования; общество; продвинутые</x:v>
      </x:c>
      <x:c r="F1355" s="10" t="str">
        <x:v>B2–C1 (гипотеза)</x:v>
      </x:c>
      <x:c r="G1355" s="12" t="n">
        <x:v>50.7</x:v>
      </x:c>
      <x:c r="H1355" s="14" t="n">
        <x:v>60</x:v>
      </x:c>
      <x:c r="I1355" s="15" t="str">
        <x:v>Округлённый счётчик в списке YouTube</x:v>
      </x:c>
      <x:c r="J1355" s="14" t="n">
        <x:v>60</x:v>
      </x:c>
      <x:c r="K1355" s="14" t="n">
        <x:v>6000</x:v>
      </x:c>
      <x:c r="L1355" s="12" t="n">
        <x:f>IF(COUNT(J1355:K1355)=2,IF(K1355=0,"",J1355/K1355),"")</x:f>
        <x:v>0.01</x:v>
      </x:c>
      <x:c r="M1355" s="10" t="str">
        <x:v>Тема: Hamakor - All the President’s Men | המקור - כל אנשי הנשיא. Просмотры ниже медианы цикла; выбирать за нишевую ценность, а не за массовый охват. Второй редакционный источник помогает не ограничиваться одной журналистской повесткой.</x:v>
      </x:c>
      <x:c r="N1355" s="10" t="str">
        <x:v>Карта утверждений, документов и ответов сторон.</x:v>
      </x:c>
      <x:c r="O1355" s="10" t="str">
        <x:v>Фрагменты, обвинения; перепроверить актуальный контекст</x:v>
      </x:c>
      <x:c r="P1355" s="10" t="str">
        <x:v>Самостоятельное видео</x:v>
      </x:c>
      <x:c r="Q1355" s="9" t="str">
        <x:v>Нет</x:v>
      </x:c>
      <x:c r="R1355" s="9" t="str">
        <x:v>C081</x:v>
      </x:c>
      <x:c r="S1355" s="9" t="str">
        <x:v>C081</x:v>
      </x:c>
      <x:c r="T1355" s="10" t="str">
        <x:v>רשת 13</x:v>
      </x:c>
      <x:c r="U1355" s="11" t="str">
        <x:v>https://www.youtube.com/watch?v=5D2Fp--z-Mc</x:v>
      </x:c>
      <x:c r="V1355" s="16" t="n">
        <x:v>46308</x:v>
      </x:c>
      <x:c r="W1355" s="16"/>
      <x:c r="X1355" s="10" t="str">
        <x:v>Иврит предполагается по заголовку и источнику</x:v>
      </x:c>
      <x:c r="Y1355" s="10" t="str">
        <x:v>Не проверено</x:v>
      </x:c>
      <x:c r="Z1355" s="10" t="str">
        <x:v>Не проверено</x:v>
      </x:c>
      <x:c r="AA1355" s="10" t="str">
        <x:v>Метаданные списка; видео не просмотрено</x:v>
      </x:c>
      <x:c r="AB1355" s="13" t="str">
        <x:f>IF(AND(ISNUMBER(H1355),ISNUMBER(W1355)),H1355/MAX(1,'Обзор'!$B$4-W1355),"")</x:f>
      </x:c>
      <x:c r="AC1355" s="17" t="str">
        <x:v>Не решено</x:v>
      </x:c>
      <x:c r="AD1355" s="17" t="str">
        <x:v>Не проверено</x:v>
      </x:c>
      <x:c r="AE1355" s="17" t="str">
        <x:v>Не проверено</x:v>
      </x:c>
      <x:c r="AF1355" s="17" t="str">
        <x:v>Не проверено</x:v>
      </x:c>
      <x:c r="AG1355" s="17" t="str">
        <x:v>Не решено</x:v>
      </x:c>
      <x:c r="AH1355" s="17" t="str">
        <x:v>Не проверено</x:v>
      </x:c>
      <x:c r="AI1355" s="10" t="str">
        <x:f>IF(AC1355="Отклонить","Отклонено",IF(AND(AC1355="Взять",COUNTIFS(AD1355:AH1355,"Да")=5),"Готово","Нужна редактура"))</x:f>
        <x:v>Нужна редактура</x:v>
      </x:c>
      <x:c r="AJ1355" s="17" t="str"/>
      <x:c r="AK1355" s="9" t="str">
        <x:v>https://www.youtube.com/playlist?list=PL5tTMlIkxhYf9OzV7pUPLnhGt5-qXElOW</x:v>
      </x:c>
      <x:c r="AL1355" s="9" t="n">
        <x:v>5</x:v>
      </x:c>
      <x:c r="AM1355" s="9"/>
      <x:c r="AN1355" s="9"/>
    </x:row>
    <x:row r="1356" ht="60" customHeight="1">
      <x:c r="A1356" s="9" t="str">
        <x:v>xl9UTxPXAA4</x:v>
      </x:c>
      <x:c r="B1356" s="10" t="str">
        <x:v>Hamakor - The Night of the Iranian Attack | המקור - ליל המתקפה האיראנית</x:v>
      </x:c>
      <x:c r="C1356" s="10" t="str">
        <x:v>Журналистика и общество</x:v>
      </x:c>
      <x:c r="D1356" s="9" t="str">
        <x:v>Общество</x:v>
      </x:c>
      <x:c r="E1356" s="10" t="str">
        <x:v>Расследования; общество; продвинутые</x:v>
      </x:c>
      <x:c r="F1356" s="10" t="str">
        <x:v>B2–C1 (гипотеза)</x:v>
      </x:c>
      <x:c r="G1356" s="12" t="n">
        <x:v>47.4</x:v>
      </x:c>
      <x:c r="H1356" s="14" t="n">
        <x:v>67</x:v>
      </x:c>
      <x:c r="I1356" s="15" t="str">
        <x:v>Округлённый счётчик в списке YouTube</x:v>
      </x:c>
      <x:c r="J1356" s="14" t="n">
        <x:v>67</x:v>
      </x:c>
      <x:c r="K1356" s="14" t="n">
        <x:v>6000</x:v>
      </x:c>
      <x:c r="L1356" s="12" t="n">
        <x:f>IF(COUNT(J1356:K1356)=2,IF(K1356=0,"",J1356/K1356),"")</x:f>
        <x:v>0.011166666666666667</x:v>
      </x:c>
      <x:c r="M1356" s="10" t="str">
        <x:v>Тема: Hamakor - The Night of the Iranian Attack | המקור - ליל המתקפה האיראנית. Просмотры ниже медианы цикла; выбирать за нишевую ценность, а не за массовый охват. Второй редакционный источник помогает не ограничиваться одной журналистской повесткой.</x:v>
      </x:c>
      <x:c r="N1356" s="10" t="str">
        <x:v>Карта утверждений, документов и ответов сторон.</x:v>
      </x:c>
      <x:c r="O1356" s="10" t="str">
        <x:v>Фрагменты, обвинения; перепроверить актуальный контекст</x:v>
      </x:c>
      <x:c r="P1356" s="10" t="str">
        <x:v>Самостоятельное видео</x:v>
      </x:c>
      <x:c r="Q1356" s="9" t="str">
        <x:v>Нет</x:v>
      </x:c>
      <x:c r="R1356" s="9" t="str">
        <x:v>C081</x:v>
      </x:c>
      <x:c r="S1356" s="9" t="str">
        <x:v>C081</x:v>
      </x:c>
      <x:c r="T1356" s="10" t="str">
        <x:v>רשת 13</x:v>
      </x:c>
      <x:c r="U1356" s="11" t="str">
        <x:v>https://www.youtube.com/watch?v=xl9UTxPXAA4</x:v>
      </x:c>
      <x:c r="V1356" s="16" t="n">
        <x:v>46308</x:v>
      </x:c>
      <x:c r="W1356" s="16"/>
      <x:c r="X1356" s="10" t="str">
        <x:v>Иврит предполагается по заголовку и источнику</x:v>
      </x:c>
      <x:c r="Y1356" s="10" t="str">
        <x:v>Не проверено</x:v>
      </x:c>
      <x:c r="Z1356" s="10" t="str">
        <x:v>Не проверено</x:v>
      </x:c>
      <x:c r="AA1356" s="10" t="str">
        <x:v>Метаданные списка; видео не просмотрено</x:v>
      </x:c>
      <x:c r="AB1356" s="13" t="str">
        <x:f>IF(AND(ISNUMBER(H1356),ISNUMBER(W1356)),H1356/MAX(1,'Обзор'!$B$4-W1356),"")</x:f>
      </x:c>
      <x:c r="AC1356" s="17" t="str">
        <x:v>Не решено</x:v>
      </x:c>
      <x:c r="AD1356" s="17" t="str">
        <x:v>Не проверено</x:v>
      </x:c>
      <x:c r="AE1356" s="17" t="str">
        <x:v>Не проверено</x:v>
      </x:c>
      <x:c r="AF1356" s="17" t="str">
        <x:v>Не проверено</x:v>
      </x:c>
      <x:c r="AG1356" s="17" t="str">
        <x:v>Не решено</x:v>
      </x:c>
      <x:c r="AH1356" s="17" t="str">
        <x:v>Не проверено</x:v>
      </x:c>
      <x:c r="AI1356" s="10" t="str">
        <x:f>IF(AC1356="Отклонить","Отклонено",IF(AND(AC1356="Взять",COUNTIFS(AD1356:AH1356,"Да")=5),"Готово","Нужна редактура"))</x:f>
        <x:v>Нужна редактура</x:v>
      </x:c>
      <x:c r="AJ1356" s="17" t="str"/>
      <x:c r="AK1356" s="9" t="str">
        <x:v>https://www.youtube.com/playlist?list=PL5tTMlIkxhYf9OzV7pUPLnhGt5-qXElOW</x:v>
      </x:c>
      <x:c r="AL1356" s="9" t="n">
        <x:v>6</x:v>
      </x:c>
      <x:c r="AM1356" s="9"/>
      <x:c r="AN1356" s="9"/>
    </x:row>
    <x:row r="1357" ht="60" customHeight="1">
      <x:c r="A1357" s="9" t="str">
        <x:v>RlUtEwQNS7M</x:v>
      </x:c>
      <x:c r="B1357" s="10" t="str">
        <x:v>Hamakor - The Truth About the Assassination of Hezbollah leader | המקור - האמת על חיסול נסראללה</x:v>
      </x:c>
      <x:c r="C1357" s="10" t="str">
        <x:v>Журналистика и общество</x:v>
      </x:c>
      <x:c r="D1357" s="9" t="str">
        <x:v>Общество</x:v>
      </x:c>
      <x:c r="E1357" s="10" t="str">
        <x:v>Расследования; общество; продвинутые</x:v>
      </x:c>
      <x:c r="F1357" s="10" t="str">
        <x:v>B2–C1 (гипотеза)</x:v>
      </x:c>
      <x:c r="G1357" s="12" t="n">
        <x:v>52.6</x:v>
      </x:c>
      <x:c r="H1357" s="14" t="n">
        <x:v>42</x:v>
      </x:c>
      <x:c r="I1357" s="15" t="str">
        <x:v>Округлённый счётчик в списке YouTube</x:v>
      </x:c>
      <x:c r="J1357" s="14" t="n">
        <x:v>42</x:v>
      </x:c>
      <x:c r="K1357" s="14" t="n">
        <x:v>6000</x:v>
      </x:c>
      <x:c r="L1357" s="12" t="n">
        <x:f>IF(COUNT(J1357:K1357)=2,IF(K1357=0,"",J1357/K1357),"")</x:f>
        <x:v>0.007</x:v>
      </x:c>
      <x:c r="M1357" s="10" t="str">
        <x:v>Тема: Hamakor - The Truth About the Assassination of Hezbollah leader | המקור - האמת על חיסול נסראללה. Просмотры ниже медианы цикла; выбирать за нишевую ценность, а не за массовый охват. Второй редакционный источник помогает не ограничиваться одной журналистской повесткой.</x:v>
      </x:c>
      <x:c r="N1357" s="10" t="str">
        <x:v>Карта утверждений, документов и ответов сторон.</x:v>
      </x:c>
      <x:c r="O1357" s="10" t="str">
        <x:v>Фрагменты, обвинения; перепроверить актуальный контекст</x:v>
      </x:c>
      <x:c r="P1357" s="10" t="str">
        <x:v>Самостоятельное видео</x:v>
      </x:c>
      <x:c r="Q1357" s="9" t="str">
        <x:v>Нет</x:v>
      </x:c>
      <x:c r="R1357" s="9" t="str">
        <x:v>C081</x:v>
      </x:c>
      <x:c r="S1357" s="9" t="str">
        <x:v>C081</x:v>
      </x:c>
      <x:c r="T1357" s="10" t="str">
        <x:v>רשת 13</x:v>
      </x:c>
      <x:c r="U1357" s="11" t="str">
        <x:v>https://www.youtube.com/watch?v=RlUtEwQNS7M</x:v>
      </x:c>
      <x:c r="V1357" s="16" t="n">
        <x:v>46308</x:v>
      </x:c>
      <x:c r="W1357" s="16"/>
      <x:c r="X1357" s="10" t="str">
        <x:v>Иврит предполагается по заголовку и источнику</x:v>
      </x:c>
      <x:c r="Y1357" s="10" t="str">
        <x:v>Не проверено</x:v>
      </x:c>
      <x:c r="Z1357" s="10" t="str">
        <x:v>Не проверено</x:v>
      </x:c>
      <x:c r="AA1357" s="10" t="str">
        <x:v>Метаданные списка; видео не просмотрено</x:v>
      </x:c>
      <x:c r="AB1357" s="13" t="str">
        <x:f>IF(AND(ISNUMBER(H1357),ISNUMBER(W1357)),H1357/MAX(1,'Обзор'!$B$4-W1357),"")</x:f>
      </x:c>
      <x:c r="AC1357" s="17" t="str">
        <x:v>Не решено</x:v>
      </x:c>
      <x:c r="AD1357" s="17" t="str">
        <x:v>Не проверено</x:v>
      </x:c>
      <x:c r="AE1357" s="17" t="str">
        <x:v>Не проверено</x:v>
      </x:c>
      <x:c r="AF1357" s="17" t="str">
        <x:v>Не проверено</x:v>
      </x:c>
      <x:c r="AG1357" s="17" t="str">
        <x:v>Не решено</x:v>
      </x:c>
      <x:c r="AH1357" s="17" t="str">
        <x:v>Не проверено</x:v>
      </x:c>
      <x:c r="AI1357" s="10" t="str">
        <x:f>IF(AC1357="Отклонить","Отклонено",IF(AND(AC1357="Взять",COUNTIFS(AD1357:AH1357,"Да")=5),"Готово","Нужна редактура"))</x:f>
        <x:v>Нужна редактура</x:v>
      </x:c>
      <x:c r="AJ1357" s="17" t="str"/>
      <x:c r="AK1357" s="9" t="str">
        <x:v>https://www.youtube.com/playlist?list=PL5tTMlIkxhYf9OzV7pUPLnhGt5-qXElOW</x:v>
      </x:c>
      <x:c r="AL1357" s="9" t="n">
        <x:v>7</x:v>
      </x:c>
      <x:c r="AM1357" s="9"/>
      <x:c r="AN1357" s="9"/>
    </x:row>
    <x:row r="1358" ht="60" customHeight="1">
      <x:c r="A1358" s="9" t="str">
        <x:v>1ctYSRJw31Q</x:v>
      </x:c>
      <x:c r="B1358" s="10" t="str">
        <x:v>תיעוד בלעדי: כך פועלת יחידת העילית של פיקוד העורף במהלך המבצע</x:v>
      </x:c>
      <x:c r="C1358" s="10" t="str">
        <x:v>Журналистика и общество</x:v>
      </x:c>
      <x:c r="D1358" s="9" t="str">
        <x:v>Общество</x:v>
      </x:c>
      <x:c r="E1358" s="10" t="str">
        <x:v>Расследования; общество; продвинутые</x:v>
      </x:c>
      <x:c r="F1358" s="10" t="str">
        <x:v>B2–C1 (гипотеза)</x:v>
      </x:c>
      <x:c r="G1358" s="12" t="n">
        <x:v>11.7</x:v>
      </x:c>
      <x:c r="H1358" s="14" t="n">
        <x:v>20229</x:v>
      </x:c>
      <x:c r="I1358" s="15" t="str">
        <x:v>Точный счётчик метаданных видео</x:v>
      </x:c>
      <x:c r="J1358" s="14" t="n">
        <x:v>20000</x:v>
      </x:c>
      <x:c r="K1358" s="14" t="n">
        <x:v>6000</x:v>
      </x:c>
      <x:c r="L1358" s="12" t="n">
        <x:f>IF(COUNT(J1358:K1358)=2,IF(K1358=0,"",J1358/K1358),"")</x:f>
        <x:v>3.3333333333333335</x:v>
      </x:c>
      <x:c r="M1358" s="10" t="str">
        <x:v>Тема: תיעוד בלעדי: כך פועלת יחידת העילית של פיקוד העורף במהלך המבצע. Просмотры в списке выше медианы выборки этого цикла в 3.33 раза. Второй редакционный источник помогает не ограничиваться одной журналистской повесткой.</x:v>
      </x:c>
      <x:c r="N1358" s="10" t="str">
        <x:v>Карта утверждений, документов и ответов сторон.</x:v>
      </x:c>
      <x:c r="O1358" s="10" t="str">
        <x:v>Фрагменты, обвинения; перепроверить актуальный контекст</x:v>
      </x:c>
      <x:c r="P1358" s="10" t="str">
        <x:v>Самостоятельное видео</x:v>
      </x:c>
      <x:c r="Q1358" s="9" t="str">
        <x:v>Нет</x:v>
      </x:c>
      <x:c r="R1358" s="9" t="str">
        <x:v>C081</x:v>
      </x:c>
      <x:c r="S1358" s="9" t="str">
        <x:v>C081</x:v>
      </x:c>
      <x:c r="T1358" s="10" t="str">
        <x:v>רשת 13</x:v>
      </x:c>
      <x:c r="U1358" s="11" t="str">
        <x:v>https://www.youtube.com/watch?v=1ctYSRJw31Q</x:v>
      </x:c>
      <x:c r="V1358" s="16" t="n">
        <x:v>46308</x:v>
      </x:c>
      <x:c r="W1358" s="16" t="n">
        <x:v>46108</x:v>
      </x:c>
      <x:c r="X1358" s="10" t="str">
        <x:v>iw</x:v>
      </x:c>
      <x:c r="Y1358" s="10" t="str">
        <x:v>Автоматическая дорожка HE по метаданным</x:v>
      </x:c>
      <x:c r="Z1358" s="10" t="str">
        <x:v>Разрешено по метаданным</x:v>
      </x:c>
      <x:c r="AA1358" s="10" t="str">
        <x:v>Метаданные видео; воспроизведение и содержание не проверены</x:v>
      </x:c>
      <x:c r="AB1358" s="13" t="n">
        <x:f>IF(AND(ISNUMBER(H1358),ISNUMBER(W1358)),H1358/MAX(1,'Обзор'!$B$4-W1358),"")</x:f>
        <x:v>101.145</x:v>
      </x:c>
      <x:c r="AC1358" s="17" t="str">
        <x:v>Не решено</x:v>
      </x:c>
      <x:c r="AD1358" s="17" t="str">
        <x:v>Не проверено</x:v>
      </x:c>
      <x:c r="AE1358" s="17" t="str">
        <x:v>Не проверено</x:v>
      </x:c>
      <x:c r="AF1358" s="17" t="str">
        <x:v>Не проверено</x:v>
      </x:c>
      <x:c r="AG1358" s="17" t="str">
        <x:v>Не решено</x:v>
      </x:c>
      <x:c r="AH1358" s="17" t="str">
        <x:v>Не проверено</x:v>
      </x:c>
      <x:c r="AI1358" s="10" t="str">
        <x:f>IF(AC1358="Отклонить","Отклонено",IF(AND(AC1358="Взять",COUNTIFS(AD1358:AH1358,"Да")=5),"Готово","Нужна редактура"))</x:f>
        <x:v>Нужна редактура</x:v>
      </x:c>
      <x:c r="AJ1358" s="17" t="str"/>
      <x:c r="AK1358" s="9" t="str">
        <x:v>https://www.youtube.com/playlist?list=PL5tTMlIkxhYf9OzV7pUPLnhGt5-qXElOW</x:v>
      </x:c>
      <x:c r="AL1358" s="9" t="n">
        <x:v>8</x:v>
      </x:c>
      <x:c r="AM1358" s="9"/>
      <x:c r="AN1358" s="9" t="n">
        <x:v>0</x:v>
      </x:c>
    </x:row>
    <x:row r="1359" ht="60" customHeight="1">
      <x:c r="A1359" s="9" t="str">
        <x:v>5VZGwBftuRQ</x:v>
      </x:c>
      <x:c r="B1359" s="10" t="str">
        <x:v>אשת הסוד של משפחת נתניהו חושפת: "זו הייתה אחת הנסיעות הכי קשות שלי בחיים"</x:v>
      </x:c>
      <x:c r="C1359" s="10" t="str">
        <x:v>Журналистика и общество</x:v>
      </x:c>
      <x:c r="D1359" s="9" t="str">
        <x:v>Общество</x:v>
      </x:c>
      <x:c r="E1359" s="10" t="str">
        <x:v>Расследования; общество; продвинутые</x:v>
      </x:c>
      <x:c r="F1359" s="10" t="str">
        <x:v>B2–C1 (гипотеза)</x:v>
      </x:c>
      <x:c r="G1359" s="12" t="n">
        <x:v>2</x:v>
      </x:c>
      <x:c r="H1359" s="14" t="n">
        <x:v>3500</x:v>
      </x:c>
      <x:c r="I1359" s="15" t="str">
        <x:v>Округлённый счётчик в списке YouTube</x:v>
      </x:c>
      <x:c r="J1359" s="14" t="n">
        <x:v>3500</x:v>
      </x:c>
      <x:c r="K1359" s="14" t="n">
        <x:v>6000</x:v>
      </x:c>
      <x:c r="L1359" s="12" t="n">
        <x:f>IF(COUNT(J1359:K1359)=2,IF(K1359=0,"",J1359/K1359),"")</x:f>
        <x:v>0.5833333333333334</x:v>
      </x:c>
      <x:c r="M1359" s="10" t="str">
        <x:v>Завершённый короткий просмотр около 2 мин. Второй редакционный источник помогает не ограничиваться одной журналистской повесткой.</x:v>
      </x:c>
      <x:c r="N1359" s="10" t="str">
        <x:v>Карта утверждений, документов и ответов сторон.</x:v>
      </x:c>
      <x:c r="O1359" s="10" t="str">
        <x:v>Фрагменты, обвинения; перепроверить актуальный контекст</x:v>
      </x:c>
      <x:c r="P1359" s="10" t="str">
        <x:v>Самостоятельное видео</x:v>
      </x:c>
      <x:c r="Q1359" s="9" t="str">
        <x:v>Нет</x:v>
      </x:c>
      <x:c r="R1359" s="9" t="str">
        <x:v>C081</x:v>
      </x:c>
      <x:c r="S1359" s="9" t="str">
        <x:v>C081</x:v>
      </x:c>
      <x:c r="T1359" s="10" t="str">
        <x:v>רשת 13</x:v>
      </x:c>
      <x:c r="U1359" s="11" t="str">
        <x:v>https://www.youtube.com/watch?v=5VZGwBftuRQ</x:v>
      </x:c>
      <x:c r="V1359" s="16" t="n">
        <x:v>46308</x:v>
      </x:c>
      <x:c r="W1359" s="16"/>
      <x:c r="X1359" s="10" t="str">
        <x:v>Иврит предполагается по заголовку и источнику</x:v>
      </x:c>
      <x:c r="Y1359" s="10" t="str">
        <x:v>Не проверено</x:v>
      </x:c>
      <x:c r="Z1359" s="10" t="str">
        <x:v>Не проверено</x:v>
      </x:c>
      <x:c r="AA1359" s="10" t="str">
        <x:v>Метаданные списка; видео не просмотрено</x:v>
      </x:c>
      <x:c r="AB1359" s="13" t="str">
        <x:f>IF(AND(ISNUMBER(H1359),ISNUMBER(W1359)),H1359/MAX(1,'Обзор'!$B$4-W1359),"")</x:f>
      </x:c>
      <x:c r="AC1359" s="17" t="str">
        <x:v>Не решено</x:v>
      </x:c>
      <x:c r="AD1359" s="17" t="str">
        <x:v>Не проверено</x:v>
      </x:c>
      <x:c r="AE1359" s="17" t="str">
        <x:v>Не проверено</x:v>
      </x:c>
      <x:c r="AF1359" s="17" t="str">
        <x:v>Не проверено</x:v>
      </x:c>
      <x:c r="AG1359" s="17" t="str">
        <x:v>Не решено</x:v>
      </x:c>
      <x:c r="AH1359" s="17" t="str">
        <x:v>Не проверено</x:v>
      </x:c>
      <x:c r="AI1359" s="10" t="str">
        <x:f>IF(AC1359="Отклонить","Отклонено",IF(AND(AC1359="Взять",COUNTIFS(AD1359:AH1359,"Да")=5),"Готово","Нужна редактура"))</x:f>
        <x:v>Нужна редактура</x:v>
      </x:c>
      <x:c r="AJ1359" s="17" t="str"/>
      <x:c r="AK1359" s="9" t="str">
        <x:v>https://www.youtube.com/playlist?list=PL5tTMlIkxhYf9OzV7pUPLnhGt5-qXElOW</x:v>
      </x:c>
      <x:c r="AL1359" s="9" t="n">
        <x:v>9</x:v>
      </x:c>
      <x:c r="AM1359" s="9"/>
      <x:c r="AN1359" s="9"/>
    </x:row>
    <x:row r="1360" ht="60" customHeight="1">
      <x:c r="A1360" s="9" t="str">
        <x:v>VIHLgrnfigY</x:v>
      </x:c>
      <x:c r="B1360" s="10" t="str">
        <x:v>"זה המקום היחידי שמפילים הכול על הרבש"צ": הסערה סביב התחקיר הצה"לי</x:v>
      </x:c>
      <x:c r="C1360" s="10" t="str">
        <x:v>Журналистика и общество</x:v>
      </x:c>
      <x:c r="D1360" s="9" t="str">
        <x:v>Общество</x:v>
      </x:c>
      <x:c r="E1360" s="10" t="str">
        <x:v>Расследования; общество; продвинутые</x:v>
      </x:c>
      <x:c r="F1360" s="10" t="str">
        <x:v>B2–C1 (гипотеза)</x:v>
      </x:c>
      <x:c r="G1360" s="12" t="n">
        <x:v>3.3</x:v>
      </x:c>
      <x:c r="H1360" s="14" t="n">
        <x:v>1300</x:v>
      </x:c>
      <x:c r="I1360" s="15" t="str">
        <x:v>Округлённый счётчик в списке YouTube</x:v>
      </x:c>
      <x:c r="J1360" s="14" t="n">
        <x:v>1300</x:v>
      </x:c>
      <x:c r="K1360" s="14" t="n">
        <x:v>6000</x:v>
      </x:c>
      <x:c r="L1360" s="12" t="n">
        <x:f>IF(COUNT(J1360:K1360)=2,IF(K1360=0,"",J1360/K1360),"")</x:f>
        <x:v>0.21666666666666667</x:v>
      </x:c>
      <x:c r="M1360" s="10" t="str">
        <x:v>Завершённый короткий просмотр около 3 мин. Просмотры ниже медианы цикла; выбирать за нишевую ценность, а не за массовый охват. Второй редакционный источник помогает не ограничиваться одной журналистской повесткой.</x:v>
      </x:c>
      <x:c r="N1360" s="10" t="str">
        <x:v>Карта утверждений, документов и ответов сторон.</x:v>
      </x:c>
      <x:c r="O1360" s="10" t="str">
        <x:v>Фрагменты, обвинения; перепроверить актуальный контекст</x:v>
      </x:c>
      <x:c r="P1360" s="10" t="str">
        <x:v>Самостоятельное видео</x:v>
      </x:c>
      <x:c r="Q1360" s="9" t="str">
        <x:v>Нет</x:v>
      </x:c>
      <x:c r="R1360" s="9" t="str">
        <x:v>C081</x:v>
      </x:c>
      <x:c r="S1360" s="9" t="str">
        <x:v>C081</x:v>
      </x:c>
      <x:c r="T1360" s="10" t="str">
        <x:v>רשת 13</x:v>
      </x:c>
      <x:c r="U1360" s="11" t="str">
        <x:v>https://www.youtube.com/watch?v=VIHLgrnfigY</x:v>
      </x:c>
      <x:c r="V1360" s="16" t="n">
        <x:v>46308</x:v>
      </x:c>
      <x:c r="W1360" s="16"/>
      <x:c r="X1360" s="10" t="str">
        <x:v>Иврит предполагается по заголовку и источнику</x:v>
      </x:c>
      <x:c r="Y1360" s="10" t="str">
        <x:v>Не проверено</x:v>
      </x:c>
      <x:c r="Z1360" s="10" t="str">
        <x:v>Не проверено</x:v>
      </x:c>
      <x:c r="AA1360" s="10" t="str">
        <x:v>Метаданные списка; видео не просмотрено</x:v>
      </x:c>
      <x:c r="AB1360" s="13" t="str">
        <x:f>IF(AND(ISNUMBER(H1360),ISNUMBER(W1360)),H1360/MAX(1,'Обзор'!$B$4-W1360),"")</x:f>
      </x:c>
      <x:c r="AC1360" s="17" t="str">
        <x:v>Не решено</x:v>
      </x:c>
      <x:c r="AD1360" s="17" t="str">
        <x:v>Не проверено</x:v>
      </x:c>
      <x:c r="AE1360" s="17" t="str">
        <x:v>Не проверено</x:v>
      </x:c>
      <x:c r="AF1360" s="17" t="str">
        <x:v>Не проверено</x:v>
      </x:c>
      <x:c r="AG1360" s="17" t="str">
        <x:v>Не решено</x:v>
      </x:c>
      <x:c r="AH1360" s="17" t="str">
        <x:v>Не проверено</x:v>
      </x:c>
      <x:c r="AI1360" s="10" t="str">
        <x:f>IF(AC1360="Отклонить","Отклонено",IF(AND(AC1360="Взять",COUNTIFS(AD1360:AH1360,"Да")=5),"Готово","Нужна редактура"))</x:f>
        <x:v>Нужна редактура</x:v>
      </x:c>
      <x:c r="AJ1360" s="17" t="str"/>
      <x:c r="AK1360" s="9" t="str">
        <x:v>https://www.youtube.com/playlist?list=PL5tTMlIkxhYf9OzV7pUPLnhGt5-qXElOW</x:v>
      </x:c>
      <x:c r="AL1360" s="9" t="n">
        <x:v>10</x:v>
      </x:c>
      <x:c r="AM1360" s="9"/>
      <x:c r="AN1360" s="9"/>
    </x:row>
    <x:row r="1361" ht="60" customHeight="1">
      <x:c r="A1361" s="9" t="str">
        <x:v>-DQBgjdMyhQ</x:v>
      </x:c>
      <x:c r="B1361" s="10" t="str">
        <x:v>״התקפה כזאת לא הייתה מעולם״: אנשי המפתח בישראל ובארה״ב מדברים לראשונה על המתקפה האיראנית</x:v>
      </x:c>
      <x:c r="C1361" s="10" t="str">
        <x:v>Журналистика и общество</x:v>
      </x:c>
      <x:c r="D1361" s="9" t="str">
        <x:v>Общество</x:v>
      </x:c>
      <x:c r="E1361" s="10" t="str">
        <x:v>Расследования; общество; продвинутые</x:v>
      </x:c>
      <x:c r="F1361" s="10" t="str">
        <x:v>B2–C1 (гипотеза)</x:v>
      </x:c>
      <x:c r="G1361" s="12" t="n">
        <x:v>5.6</x:v>
      </x:c>
      <x:c r="H1361" s="14" t="n">
        <x:v>66231</x:v>
      </x:c>
      <x:c r="I1361" s="15" t="str">
        <x:v>Точный счётчик метаданных видео</x:v>
      </x:c>
      <x:c r="J1361" s="14" t="n">
        <x:v>66000</x:v>
      </x:c>
      <x:c r="K1361" s="14" t="n">
        <x:v>6000</x:v>
      </x:c>
      <x:c r="L1361" s="12" t="n">
        <x:f>IF(COUNT(J1361:K1361)=2,IF(K1361=0,"",J1361/K1361),"")</x:f>
        <x:v>11</x:v>
      </x:c>
      <x:c r="M1361" s="10" t="str">
        <x:v>Завершённый короткий просмотр около 6 мин. Просмотры в списке выше медианы выборки этого цикла в 11.0 раза. Второй редакционный источник помогает не ограничиваться одной журналистской повесткой.</x:v>
      </x:c>
      <x:c r="N1361" s="10" t="str">
        <x:v>Карта утверждений, документов и ответов сторон.</x:v>
      </x:c>
      <x:c r="O1361" s="10" t="str">
        <x:v>Фрагменты, обвинения; перепроверить актуальный контекст</x:v>
      </x:c>
      <x:c r="P1361" s="10" t="str">
        <x:v>Самостоятельное видео</x:v>
      </x:c>
      <x:c r="Q1361" s="9" t="str">
        <x:v>Нет</x:v>
      </x:c>
      <x:c r="R1361" s="9" t="str">
        <x:v>C081</x:v>
      </x:c>
      <x:c r="S1361" s="9" t="str">
        <x:v>C081</x:v>
      </x:c>
      <x:c r="T1361" s="10" t="str">
        <x:v>רשת 13</x:v>
      </x:c>
      <x:c r="U1361" s="11" t="str">
        <x:v>https://www.youtube.com/watch?v=-DQBgjdMyhQ</x:v>
      </x:c>
      <x:c r="V1361" s="16" t="n">
        <x:v>46308</x:v>
      </x:c>
      <x:c r="W1361" s="16" t="n">
        <x:v>45769</x:v>
      </x:c>
      <x:c r="X1361" s="10" t="str">
        <x:v>iw</x:v>
      </x:c>
      <x:c r="Y1361" s="10" t="str">
        <x:v>Автоматическая дорожка HE по метаданным</x:v>
      </x:c>
      <x:c r="Z1361" s="10" t="str">
        <x:v>Разрешено по метаданным</x:v>
      </x:c>
      <x:c r="AA1361" s="10" t="str">
        <x:v>Метаданные видео; воспроизведение и содержание не проверены</x:v>
      </x:c>
      <x:c r="AB1361" s="13" t="n">
        <x:f>IF(AND(ISNUMBER(H1361),ISNUMBER(W1361)),H1361/MAX(1,'Обзор'!$B$4-W1361),"")</x:f>
        <x:v>122.87755102040816</x:v>
      </x:c>
      <x:c r="AC1361" s="17" t="str">
        <x:v>Не решено</x:v>
      </x:c>
      <x:c r="AD1361" s="17" t="str">
        <x:v>Не проверено</x:v>
      </x:c>
      <x:c r="AE1361" s="17" t="str">
        <x:v>Не проверено</x:v>
      </x:c>
      <x:c r="AF1361" s="17" t="str">
        <x:v>Не проверено</x:v>
      </x:c>
      <x:c r="AG1361" s="17" t="str">
        <x:v>Не решено</x:v>
      </x:c>
      <x:c r="AH1361" s="17" t="str">
        <x:v>Не проверено</x:v>
      </x:c>
      <x:c r="AI1361" s="10" t="str">
        <x:f>IF(AC1361="Отклонить","Отклонено",IF(AND(AC1361="Взять",COUNTIFS(AD1361:AH1361,"Да")=5),"Готово","Нужна редактура"))</x:f>
        <x:v>Нужна редактура</x:v>
      </x:c>
      <x:c r="AJ1361" s="17" t="str"/>
      <x:c r="AK1361" s="9" t="str">
        <x:v>https://www.youtube.com/playlist?list=PL5tTMlIkxhYf9OzV7pUPLnhGt5-qXElOW</x:v>
      </x:c>
      <x:c r="AL1361" s="9" t="n">
        <x:v>13</x:v>
      </x:c>
      <x:c r="AM1361" s="9"/>
      <x:c r="AN1361" s="9" t="n">
        <x:v>0</x:v>
      </x:c>
    </x:row>
    <x:row r="1362" ht="60" customHeight="1">
      <x:c r="A1362" s="9" t="str">
        <x:v>url0STncjA0</x:v>
      </x:c>
      <x:c r="B1362" s="10" t="str">
        <x:v>התיעודים מחדרי החקירות נחשפים: מה באמת קרה בגן הילדים?</x:v>
      </x:c>
      <x:c r="C1362" s="10" t="str">
        <x:v>Журналистика и общество</x:v>
      </x:c>
      <x:c r="D1362" s="9" t="str">
        <x:v>Общество</x:v>
      </x:c>
      <x:c r="E1362" s="10" t="str">
        <x:v>Расследования; общество; продвинутые</x:v>
      </x:c>
      <x:c r="F1362" s="10" t="str">
        <x:v>B2–C1 (гипотеза)</x:v>
      </x:c>
      <x:c r="G1362" s="12" t="n">
        <x:v>10.9</x:v>
      </x:c>
      <x:c r="H1362" s="14" t="n">
        <x:v>24204</x:v>
      </x:c>
      <x:c r="I1362" s="15" t="str">
        <x:v>Точный счётчик метаданных видео</x:v>
      </x:c>
      <x:c r="J1362" s="14" t="n">
        <x:v>24000</x:v>
      </x:c>
      <x:c r="K1362" s="14" t="n">
        <x:v>6000</x:v>
      </x:c>
      <x:c r="L1362" s="12" t="n">
        <x:f>IF(COUNT(J1362:K1362)=2,IF(K1362=0,"",J1362/K1362),"")</x:f>
        <x:v>4</x:v>
      </x:c>
      <x:c r="M1362" s="10" t="str">
        <x:v>Тема: התיעודים מחדרי החקירות נחשפים: מה באמת קרה בגן הילדים?. Просмотры в списке выше медианы выборки этого цикла в 4.0 раза. Второй редакционный источник помогает не ограничиваться одной журналистской повесткой.</x:v>
      </x:c>
      <x:c r="N1362" s="10" t="str">
        <x:v>Карта утверждений, документов и ответов сторон.</x:v>
      </x:c>
      <x:c r="O1362" s="10" t="str">
        <x:v>Фрагменты, обвинения; перепроверить актуальный контекст</x:v>
      </x:c>
      <x:c r="P1362" s="10" t="str">
        <x:v>Самостоятельное видео</x:v>
      </x:c>
      <x:c r="Q1362" s="9" t="str">
        <x:v>Нет</x:v>
      </x:c>
      <x:c r="R1362" s="9" t="str">
        <x:v>C081</x:v>
      </x:c>
      <x:c r="S1362" s="9" t="str">
        <x:v>C081</x:v>
      </x:c>
      <x:c r="T1362" s="10" t="str">
        <x:v>רשת 13</x:v>
      </x:c>
      <x:c r="U1362" s="11" t="str">
        <x:v>https://www.youtube.com/watch?v=url0STncjA0</x:v>
      </x:c>
      <x:c r="V1362" s="16" t="n">
        <x:v>46308</x:v>
      </x:c>
      <x:c r="W1362" s="16" t="n">
        <x:v>45671</x:v>
      </x:c>
      <x:c r="X1362" s="10" t="str">
        <x:v>Иврит предполагается по заголовку и источнику</x:v>
      </x:c>
      <x:c r="Y1362" s="10" t="str">
        <x:v>Автоматическая дорожка HE по метаданным</x:v>
      </x:c>
      <x:c r="Z1362" s="10" t="str">
        <x:v>Разрешено по метаданным</x:v>
      </x:c>
      <x:c r="AA1362" s="10" t="str">
        <x:v>Метаданные видео; воспроизведение и содержание не проверены</x:v>
      </x:c>
      <x:c r="AB1362" s="13" t="n">
        <x:f>IF(AND(ISNUMBER(H1362),ISNUMBER(W1362)),H1362/MAX(1,'Обзор'!$B$4-W1362),"")</x:f>
        <x:v>37.996860282574566</x:v>
      </x:c>
      <x:c r="AC1362" s="17" t="str">
        <x:v>Не решено</x:v>
      </x:c>
      <x:c r="AD1362" s="17" t="str">
        <x:v>Не проверено</x:v>
      </x:c>
      <x:c r="AE1362" s="17" t="str">
        <x:v>Не проверено</x:v>
      </x:c>
      <x:c r="AF1362" s="17" t="str">
        <x:v>Не проверено</x:v>
      </x:c>
      <x:c r="AG1362" s="17" t="str">
        <x:v>Не решено</x:v>
      </x:c>
      <x:c r="AH1362" s="17" t="str">
        <x:v>Не проверено</x:v>
      </x:c>
      <x:c r="AI1362" s="10" t="str">
        <x:f>IF(AC1362="Отклонить","Отклонено",IF(AND(AC1362="Взять",COUNTIFS(AD1362:AH1362,"Да")=5),"Готово","Нужна редактура"))</x:f>
        <x:v>Нужна редактура</x:v>
      </x:c>
      <x:c r="AJ1362" s="17" t="str"/>
      <x:c r="AK1362" s="9" t="str">
        <x:v>https://www.youtube.com/playlist?list=PL5tTMlIkxhYf9OzV7pUPLnhGt5-qXElOW</x:v>
      </x:c>
      <x:c r="AL1362" s="9" t="n">
        <x:v>14</x:v>
      </x:c>
      <x:c r="AM1362" s="9"/>
      <x:c r="AN1362" s="9" t="n">
        <x:v>0</x:v>
      </x:c>
    </x:row>
    <x:row r="1363" ht="60" customHeight="1">
      <x:c r="A1363" s="9" t="str">
        <x:v>NODZW79ovrs</x:v>
      </x:c>
      <x:c r="B1363" s="10" t="str">
        <x:v>איך הגיע נער בן 17 למעצר במרתפי השב״כ?</x:v>
      </x:c>
      <x:c r="C1363" s="10" t="str">
        <x:v>Журналистика и общество</x:v>
      </x:c>
      <x:c r="D1363" s="9" t="str">
        <x:v>Общество</x:v>
      </x:c>
      <x:c r="E1363" s="10" t="str">
        <x:v>Расследования; общество; продвинутые</x:v>
      </x:c>
      <x:c r="F1363" s="10" t="str">
        <x:v>B2–C1 (гипотеза)</x:v>
      </x:c>
      <x:c r="G1363" s="12" t="n">
        <x:v>6.6</x:v>
      </x:c>
      <x:c r="H1363" s="14" t="n">
        <x:v>26512</x:v>
      </x:c>
      <x:c r="I1363" s="15" t="str">
        <x:v>Точный счётчик метаданных видео</x:v>
      </x:c>
      <x:c r="J1363" s="14" t="n">
        <x:v>26000</x:v>
      </x:c>
      <x:c r="K1363" s="14" t="n">
        <x:v>6000</x:v>
      </x:c>
      <x:c r="L1363" s="12" t="n">
        <x:f>IF(COUNT(J1363:K1363)=2,IF(K1363=0,"",J1363/K1363),"")</x:f>
        <x:v>4.333333333333333</x:v>
      </x:c>
      <x:c r="M1363" s="10" t="str">
        <x:v>Завершённый короткий просмотр около 7 мин. Просмотры в списке выше медианы выборки этого цикла в 4.33 раза. Второй редакционный источник помогает не ограничиваться одной журналистской повесткой.</x:v>
      </x:c>
      <x:c r="N1363" s="10" t="str">
        <x:v>Карта утверждений, документов и ответов сторон.</x:v>
      </x:c>
      <x:c r="O1363" s="10" t="str">
        <x:v>Фрагменты, обвинения; перепроверить актуальный контекст</x:v>
      </x:c>
      <x:c r="P1363" s="10" t="str">
        <x:v>Самостоятельное видео</x:v>
      </x:c>
      <x:c r="Q1363" s="9" t="str">
        <x:v>Нет</x:v>
      </x:c>
      <x:c r="R1363" s="9" t="str">
        <x:v>C081</x:v>
      </x:c>
      <x:c r="S1363" s="9" t="str">
        <x:v>C081</x:v>
      </x:c>
      <x:c r="T1363" s="10" t="str">
        <x:v>רשת 13</x:v>
      </x:c>
      <x:c r="U1363" s="11" t="str">
        <x:v>https://www.youtube.com/watch?v=NODZW79ovrs</x:v>
      </x:c>
      <x:c r="V1363" s="16" t="n">
        <x:v>46308</x:v>
      </x:c>
      <x:c r="W1363" s="16" t="n">
        <x:v>45666</x:v>
      </x:c>
      <x:c r="X1363" s="10" t="str">
        <x:v>Иврит предполагается по заголовку и источнику</x:v>
      </x:c>
      <x:c r="Y1363" s="10" t="str">
        <x:v>Автоматическая дорожка HE по метаданным</x:v>
      </x:c>
      <x:c r="Z1363" s="10" t="str">
        <x:v>Разрешено по метаданным</x:v>
      </x:c>
      <x:c r="AA1363" s="10" t="str">
        <x:v>Метаданные видео; воспроизведение и содержание не проверены</x:v>
      </x:c>
      <x:c r="AB1363" s="13" t="n">
        <x:f>IF(AND(ISNUMBER(H1363),ISNUMBER(W1363)),H1363/MAX(1,'Обзор'!$B$4-W1363),"")</x:f>
        <x:v>41.29595015576324</x:v>
      </x:c>
      <x:c r="AC1363" s="17" t="str">
        <x:v>Не решено</x:v>
      </x:c>
      <x:c r="AD1363" s="17" t="str">
        <x:v>Не проверено</x:v>
      </x:c>
      <x:c r="AE1363" s="17" t="str">
        <x:v>Не проверено</x:v>
      </x:c>
      <x:c r="AF1363" s="17" t="str">
        <x:v>Не проверено</x:v>
      </x:c>
      <x:c r="AG1363" s="17" t="str">
        <x:v>Не решено</x:v>
      </x:c>
      <x:c r="AH1363" s="17" t="str">
        <x:v>Не проверено</x:v>
      </x:c>
      <x:c r="AI1363" s="10" t="str">
        <x:f>IF(AC1363="Отклонить","Отклонено",IF(AND(AC1363="Взять",COUNTIFS(AD1363:AH1363,"Да")=5),"Готово","Нужна редактура"))</x:f>
        <x:v>Нужна редактура</x:v>
      </x:c>
      <x:c r="AJ1363" s="17" t="str"/>
      <x:c r="AK1363" s="9" t="str">
        <x:v>https://www.youtube.com/playlist?list=PL5tTMlIkxhYf9OzV7pUPLnhGt5-qXElOW</x:v>
      </x:c>
      <x:c r="AL1363" s="9" t="n">
        <x:v>15</x:v>
      </x:c>
      <x:c r="AM1363" s="9"/>
      <x:c r="AN1363" s="9" t="n">
        <x:v>0</x:v>
      </x:c>
    </x:row>
    <x:row r="1364" ht="60" customHeight="1">
      <x:c r="A1364" s="9" t="str">
        <x:v>9XGz8KqonXw</x:v>
      </x:c>
      <x:c r="B1364" s="10" t="str">
        <x:v>הסודות של בן גביר | מה באמת חושב השר על כלי התקשורת?</x:v>
      </x:c>
      <x:c r="C1364" s="10" t="str">
        <x:v>Журналистика и общество</x:v>
      </x:c>
      <x:c r="D1364" s="9" t="str">
        <x:v>Общество</x:v>
      </x:c>
      <x:c r="E1364" s="10" t="str">
        <x:v>Расследования; общество; продвинутые</x:v>
      </x:c>
      <x:c r="F1364" s="10" t="str">
        <x:v>B2–C1 (гипотеза)</x:v>
      </x:c>
      <x:c r="G1364" s="12" t="n">
        <x:v>10.3</x:v>
      </x:c>
      <x:c r="H1364" s="14" t="n">
        <x:v>14301</x:v>
      </x:c>
      <x:c r="I1364" s="15" t="str">
        <x:v>Точный счётчик метаданных видео</x:v>
      </x:c>
      <x:c r="J1364" s="14" t="n">
        <x:v>14000</x:v>
      </x:c>
      <x:c r="K1364" s="14" t="n">
        <x:v>6000</x:v>
      </x:c>
      <x:c r="L1364" s="12" t="n">
        <x:f>IF(COUNT(J1364:K1364)=2,IF(K1364=0,"",J1364/K1364),"")</x:f>
        <x:v>2.3333333333333335</x:v>
      </x:c>
      <x:c r="M1364" s="10" t="str">
        <x:v>Тема: הסודות של בן גביר | מה באמת חושב השר על כלי התקשורת?. Просмотры в списке выше медианы выборки этого цикла в 2.33 раза. Второй редакционный источник помогает не ограничиваться одной журналистской повесткой.</x:v>
      </x:c>
      <x:c r="N1364" s="10" t="str">
        <x:v>Карта утверждений, документов и ответов сторон.</x:v>
      </x:c>
      <x:c r="O1364" s="10" t="str">
        <x:v>Фрагменты, обвинения; перепроверить актуальный контекст</x:v>
      </x:c>
      <x:c r="P1364" s="10" t="str">
        <x:v>Самостоятельное видео</x:v>
      </x:c>
      <x:c r="Q1364" s="9" t="str">
        <x:v>Нет</x:v>
      </x:c>
      <x:c r="R1364" s="9" t="str">
        <x:v>C081</x:v>
      </x:c>
      <x:c r="S1364" s="9" t="str">
        <x:v>C081</x:v>
      </x:c>
      <x:c r="T1364" s="10" t="str">
        <x:v>רשת 13</x:v>
      </x:c>
      <x:c r="U1364" s="11" t="str">
        <x:v>https://www.youtube.com/watch?v=9XGz8KqonXw</x:v>
      </x:c>
      <x:c r="V1364" s="16" t="n">
        <x:v>46308</x:v>
      </x:c>
      <x:c r="W1364" s="16" t="n">
        <x:v>45608</x:v>
      </x:c>
      <x:c r="X1364" s="10" t="str">
        <x:v>iw</x:v>
      </x:c>
      <x:c r="Y1364" s="10" t="str">
        <x:v>Автоматическая дорожка HE по метаданным</x:v>
      </x:c>
      <x:c r="Z1364" s="10" t="str">
        <x:v>Разрешено по метаданным</x:v>
      </x:c>
      <x:c r="AA1364" s="10" t="str">
        <x:v>Метаданные видео; воспроизведение и содержание не проверены</x:v>
      </x:c>
      <x:c r="AB1364" s="13" t="n">
        <x:f>IF(AND(ISNUMBER(H1364),ISNUMBER(W1364)),H1364/MAX(1,'Обзор'!$B$4-W1364),"")</x:f>
        <x:v>20.43</x:v>
      </x:c>
      <x:c r="AC1364" s="17" t="str">
        <x:v>Не решено</x:v>
      </x:c>
      <x:c r="AD1364" s="17" t="str">
        <x:v>Не проверено</x:v>
      </x:c>
      <x:c r="AE1364" s="17" t="str">
        <x:v>Не проверено</x:v>
      </x:c>
      <x:c r="AF1364" s="17" t="str">
        <x:v>Не проверено</x:v>
      </x:c>
      <x:c r="AG1364" s="17" t="str">
        <x:v>Не решено</x:v>
      </x:c>
      <x:c r="AH1364" s="17" t="str">
        <x:v>Не проверено</x:v>
      </x:c>
      <x:c r="AI1364" s="10" t="str">
        <x:f>IF(AC1364="Отклонить","Отклонено",IF(AND(AC1364="Взять",COUNTIFS(AD1364:AH1364,"Да")=5),"Готово","Нужна редактура"))</x:f>
        <x:v>Нужна редактура</x:v>
      </x:c>
      <x:c r="AJ1364" s="17" t="str"/>
      <x:c r="AK1364" s="9" t="str">
        <x:v>https://www.youtube.com/playlist?list=PL5tTMlIkxhYf9OzV7pUPLnhGt5-qXElOW</x:v>
      </x:c>
      <x:c r="AL1364" s="9" t="n">
        <x:v>16</x:v>
      </x:c>
      <x:c r="AM1364" s="9"/>
      <x:c r="AN1364" s="9" t="n">
        <x:v>0</x:v>
      </x:c>
    </x:row>
    <x:row r="1365" ht="60" customHeight="1">
      <x:c r="A1365" s="9" t="str">
        <x:v>W8ndhftTBqw</x:v>
      </x:c>
      <x:c r="B1365" s="10" t="str">
        <x:v>הסודות של בן גביר | מה חשבו היועצים של השר ב-7 באוקטובר?</x:v>
      </x:c>
      <x:c r="C1365" s="10" t="str">
        <x:v>Журналистика и общество</x:v>
      </x:c>
      <x:c r="D1365" s="9" t="str">
        <x:v>Общество</x:v>
      </x:c>
      <x:c r="E1365" s="10" t="str">
        <x:v>Расследования; общество; продвинутые</x:v>
      </x:c>
      <x:c r="F1365" s="10" t="str">
        <x:v>B2–C1 (гипотеза)</x:v>
      </x:c>
      <x:c r="G1365" s="12" t="n">
        <x:v>3.6</x:v>
      </x:c>
      <x:c r="H1365" s="14" t="n">
        <x:v>8320</x:v>
      </x:c>
      <x:c r="I1365" s="15" t="str">
        <x:v>Точный счётчик метаданных видео</x:v>
      </x:c>
      <x:c r="J1365" s="14" t="n">
        <x:v>8300</x:v>
      </x:c>
      <x:c r="K1365" s="14" t="n">
        <x:v>6000</x:v>
      </x:c>
      <x:c r="L1365" s="12" t="n">
        <x:f>IF(COUNT(J1365:K1365)=2,IF(K1365=0,"",J1365/K1365),"")</x:f>
        <x:v>1.3833333333333333</x:v>
      </x:c>
      <x:c r="M1365" s="10" t="str">
        <x:v>Завершённый короткий просмотр около 4 мин. Второй редакционный источник помогает не ограничиваться одной журналистской повесткой.</x:v>
      </x:c>
      <x:c r="N1365" s="10" t="str">
        <x:v>Карта утверждений, документов и ответов сторон.</x:v>
      </x:c>
      <x:c r="O1365" s="10" t="str">
        <x:v>Фрагменты, обвинения; перепроверить актуальный контекст</x:v>
      </x:c>
      <x:c r="P1365" s="10" t="str">
        <x:v>Самостоятельное видео</x:v>
      </x:c>
      <x:c r="Q1365" s="9" t="str">
        <x:v>Нет</x:v>
      </x:c>
      <x:c r="R1365" s="9" t="str">
        <x:v>C081</x:v>
      </x:c>
      <x:c r="S1365" s="9" t="str">
        <x:v>C081</x:v>
      </x:c>
      <x:c r="T1365" s="10" t="str">
        <x:v>רשת 13</x:v>
      </x:c>
      <x:c r="U1365" s="11" t="str">
        <x:v>https://www.youtube.com/watch?v=W8ndhftTBqw</x:v>
      </x:c>
      <x:c r="V1365" s="16" t="n">
        <x:v>46308</x:v>
      </x:c>
      <x:c r="W1365" s="16" t="n">
        <x:v>45607</x:v>
      </x:c>
      <x:c r="X1365" s="10" t="str">
        <x:v>Иврит предполагается по заголовку и источнику</x:v>
      </x:c>
      <x:c r="Y1365" s="10" t="str">
        <x:v>Автоматическая дорожка HE по метаданным</x:v>
      </x:c>
      <x:c r="Z1365" s="10" t="str">
        <x:v>Разрешено по метаданным</x:v>
      </x:c>
      <x:c r="AA1365" s="10" t="str">
        <x:v>Метаданные видео; воспроизведение и содержание не проверены</x:v>
      </x:c>
      <x:c r="AB1365" s="13" t="n">
        <x:f>IF(AND(ISNUMBER(H1365),ISNUMBER(W1365)),H1365/MAX(1,'Обзор'!$B$4-W1365),"")</x:f>
        <x:v>11.868758915834523</x:v>
      </x:c>
      <x:c r="AC1365" s="17" t="str">
        <x:v>Не решено</x:v>
      </x:c>
      <x:c r="AD1365" s="17" t="str">
        <x:v>Не проверено</x:v>
      </x:c>
      <x:c r="AE1365" s="17" t="str">
        <x:v>Не проверено</x:v>
      </x:c>
      <x:c r="AF1365" s="17" t="str">
        <x:v>Не проверено</x:v>
      </x:c>
      <x:c r="AG1365" s="17" t="str">
        <x:v>Не решено</x:v>
      </x:c>
      <x:c r="AH1365" s="17" t="str">
        <x:v>Не проверено</x:v>
      </x:c>
      <x:c r="AI1365" s="10" t="str">
        <x:f>IF(AC1365="Отклонить","Отклонено",IF(AND(AC1365="Взять",COUNTIFS(AD1365:AH1365,"Да")=5),"Готово","Нужна редактура"))</x:f>
        <x:v>Нужна редактура</x:v>
      </x:c>
      <x:c r="AJ1365" s="17" t="str"/>
      <x:c r="AK1365" s="9" t="str">
        <x:v>https://www.youtube.com/playlist?list=PL5tTMlIkxhYf9OzV7pUPLnhGt5-qXElOW</x:v>
      </x:c>
      <x:c r="AL1365" s="9" t="n">
        <x:v>17</x:v>
      </x:c>
      <x:c r="AM1365" s="9"/>
      <x:c r="AN1365" s="9" t="n">
        <x:v>0</x:v>
      </x:c>
    </x:row>
    <x:row r="1366" ht="60" customHeight="1">
      <x:c r="A1366" s="9" t="str">
        <x:v>hJ5yvsRJLKk</x:v>
      </x:c>
      <x:c r="B1366" s="10" t="str">
        <x:v>הסודות של בן גביר | מבצע ״לחלץ את שרה״</x:v>
      </x:c>
      <x:c r="C1366" s="10" t="str">
        <x:v>Журналистика и общество</x:v>
      </x:c>
      <x:c r="D1366" s="9" t="str">
        <x:v>Общество</x:v>
      </x:c>
      <x:c r="E1366" s="10" t="str">
        <x:v>Расследования; общество; продвинутые</x:v>
      </x:c>
      <x:c r="F1366" s="10" t="str">
        <x:v>B2–C1 (гипотеза)</x:v>
      </x:c>
      <x:c r="G1366" s="12" t="n">
        <x:v>4.8</x:v>
      </x:c>
      <x:c r="H1366" s="14" t="n">
        <x:v>6077</x:v>
      </x:c>
      <x:c r="I1366" s="15" t="str">
        <x:v>Точный счётчик метаданных видео</x:v>
      </x:c>
      <x:c r="J1366" s="14" t="n">
        <x:v>6000</x:v>
      </x:c>
      <x:c r="K1366" s="14" t="n">
        <x:v>6000</x:v>
      </x:c>
      <x:c r="L1366" s="12" t="n">
        <x:f>IF(COUNT(J1366:K1366)=2,IF(K1366=0,"",J1366/K1366),"")</x:f>
        <x:v>1</x:v>
      </x:c>
      <x:c r="M1366" s="10" t="str">
        <x:v>Завершённый короткий просмотр около 5 мин. Второй редакционный источник помогает не ограничиваться одной журналистской повесткой.</x:v>
      </x:c>
      <x:c r="N1366" s="10" t="str">
        <x:v>Карта утверждений, документов и ответов сторон.</x:v>
      </x:c>
      <x:c r="O1366" s="10" t="str">
        <x:v>Фрагменты, обвинения; перепроверить актуальный контекст</x:v>
      </x:c>
      <x:c r="P1366" s="10" t="str">
        <x:v>Самостоятельное видео</x:v>
      </x:c>
      <x:c r="Q1366" s="9" t="str">
        <x:v>Нет</x:v>
      </x:c>
      <x:c r="R1366" s="9" t="str">
        <x:v>C081</x:v>
      </x:c>
      <x:c r="S1366" s="9" t="str">
        <x:v>C081</x:v>
      </x:c>
      <x:c r="T1366" s="10" t="str">
        <x:v>רשת 13</x:v>
      </x:c>
      <x:c r="U1366" s="11" t="str">
        <x:v>https://www.youtube.com/watch?v=hJ5yvsRJLKk</x:v>
      </x:c>
      <x:c r="V1366" s="16" t="n">
        <x:v>46308</x:v>
      </x:c>
      <x:c r="W1366" s="16" t="n">
        <x:v>45607</x:v>
      </x:c>
      <x:c r="X1366" s="10" t="str">
        <x:v>iw</x:v>
      </x:c>
      <x:c r="Y1366" s="10" t="str">
        <x:v>Автоматическая дорожка HE по метаданным</x:v>
      </x:c>
      <x:c r="Z1366" s="10" t="str">
        <x:v>Разрешено по метаданным</x:v>
      </x:c>
      <x:c r="AA1366" s="10" t="str">
        <x:v>Метаданные видео; воспроизведение и содержание не проверены</x:v>
      </x:c>
      <x:c r="AB1366" s="13" t="n">
        <x:f>IF(AND(ISNUMBER(H1366),ISNUMBER(W1366)),H1366/MAX(1,'Обзор'!$B$4-W1366),"")</x:f>
        <x:v>8.66904422253923</x:v>
      </x:c>
      <x:c r="AC1366" s="17" t="str">
        <x:v>Не решено</x:v>
      </x:c>
      <x:c r="AD1366" s="17" t="str">
        <x:v>Не проверено</x:v>
      </x:c>
      <x:c r="AE1366" s="17" t="str">
        <x:v>Не проверено</x:v>
      </x:c>
      <x:c r="AF1366" s="17" t="str">
        <x:v>Не проверено</x:v>
      </x:c>
      <x:c r="AG1366" s="17" t="str">
        <x:v>Не решено</x:v>
      </x:c>
      <x:c r="AH1366" s="17" t="str">
        <x:v>Не проверено</x:v>
      </x:c>
      <x:c r="AI1366" s="10" t="str">
        <x:f>IF(AC1366="Отклонить","Отклонено",IF(AND(AC1366="Взять",COUNTIFS(AD1366:AH1366,"Да")=5),"Готово","Нужна редактура"))</x:f>
        <x:v>Нужна редактура</x:v>
      </x:c>
      <x:c r="AJ1366" s="17" t="str"/>
      <x:c r="AK1366" s="9" t="str">
        <x:v>https://www.youtube.com/playlist?list=PL5tTMlIkxhYf9OzV7pUPLnhGt5-qXElOW</x:v>
      </x:c>
      <x:c r="AL1366" s="9" t="n">
        <x:v>18</x:v>
      </x:c>
      <x:c r="AM1366" s="9"/>
      <x:c r="AN1366" s="9" t="n">
        <x:v>0</x:v>
      </x:c>
    </x:row>
    <x:row r="1367" ht="60" customHeight="1">
      <x:c r="A1367" s="9" t="str">
        <x:v>2meKkDgsgFY</x:v>
      </x:c>
      <x:c r="B1367" s="10" t="str">
        <x:v>עדות מבפנים: הקצין הבכיר שלחם בעזה ומותח ביקורת על צה"ל</x:v>
      </x:c>
      <x:c r="C1367" s="10" t="str">
        <x:v>Журналистика и общество</x:v>
      </x:c>
      <x:c r="D1367" s="9" t="str">
        <x:v>Общество</x:v>
      </x:c>
      <x:c r="E1367" s="10" t="str">
        <x:v>Расследования; общество; продвинутые</x:v>
      </x:c>
      <x:c r="F1367" s="10" t="str">
        <x:v>B2–C1 (гипотеза)</x:v>
      </x:c>
      <x:c r="G1367" s="12" t="n">
        <x:v>5.7</x:v>
      </x:c>
      <x:c r="H1367" s="14" t="n">
        <x:v>8591</x:v>
      </x:c>
      <x:c r="I1367" s="15" t="str">
        <x:v>Точный счётчик метаданных видео</x:v>
      </x:c>
      <x:c r="J1367" s="14" t="n">
        <x:v>8500</x:v>
      </x:c>
      <x:c r="K1367" s="14" t="n">
        <x:v>6000</x:v>
      </x:c>
      <x:c r="L1367" s="12" t="n">
        <x:f>IF(COUNT(J1367:K1367)=2,IF(K1367=0,"",J1367/K1367),"")</x:f>
        <x:v>1.4166666666666667</x:v>
      </x:c>
      <x:c r="M1367" s="10" t="str">
        <x:v>Завершённый короткий просмотр около 6 мин. Второй редакционный источник помогает не ограничиваться одной журналистской повесткой.</x:v>
      </x:c>
      <x:c r="N1367" s="10" t="str">
        <x:v>Карта утверждений, документов и ответов сторон.</x:v>
      </x:c>
      <x:c r="O1367" s="10" t="str">
        <x:v>В заголовке есть чувствительная тема: предварительный просмотр и добровольный выбор. Фрагменты, обвинения; перепроверить актуальный контекст</x:v>
      </x:c>
      <x:c r="P1367" s="10" t="str">
        <x:v>Самостоятельное видео</x:v>
      </x:c>
      <x:c r="Q1367" s="9" t="str">
        <x:v>Нет</x:v>
      </x:c>
      <x:c r="R1367" s="9" t="str">
        <x:v>C081</x:v>
      </x:c>
      <x:c r="S1367" s="9" t="str">
        <x:v>C081</x:v>
      </x:c>
      <x:c r="T1367" s="10" t="str">
        <x:v>רשת 13</x:v>
      </x:c>
      <x:c r="U1367" s="11" t="str">
        <x:v>https://www.youtube.com/watch?v=2meKkDgsgFY</x:v>
      </x:c>
      <x:c r="V1367" s="16" t="n">
        <x:v>46308</x:v>
      </x:c>
      <x:c r="W1367" s="16" t="n">
        <x:v>45593</x:v>
      </x:c>
      <x:c r="X1367" s="10" t="str">
        <x:v>iw</x:v>
      </x:c>
      <x:c r="Y1367" s="10" t="str">
        <x:v>Автоматическая дорожка HE по метаданным</x:v>
      </x:c>
      <x:c r="Z1367" s="10" t="str">
        <x:v>Разрешено по метаданным</x:v>
      </x:c>
      <x:c r="AA1367" s="10" t="str">
        <x:v>Метаданные видео; воспроизведение и содержание не проверены</x:v>
      </x:c>
      <x:c r="AB1367" s="13" t="n">
        <x:f>IF(AND(ISNUMBER(H1367),ISNUMBER(W1367)),H1367/MAX(1,'Обзор'!$B$4-W1367),"")</x:f>
        <x:v>12.015384615384615</x:v>
      </x:c>
      <x:c r="AC1367" s="17" t="str">
        <x:v>Не решено</x:v>
      </x:c>
      <x:c r="AD1367" s="17" t="str">
        <x:v>Не проверено</x:v>
      </x:c>
      <x:c r="AE1367" s="17" t="str">
        <x:v>Не проверено</x:v>
      </x:c>
      <x:c r="AF1367" s="17" t="str">
        <x:v>Не проверено</x:v>
      </x:c>
      <x:c r="AG1367" s="17" t="str">
        <x:v>Не решено</x:v>
      </x:c>
      <x:c r="AH1367" s="17" t="str">
        <x:v>Не проверено</x:v>
      </x:c>
      <x:c r="AI1367" s="10" t="str">
        <x:f>IF(AC1367="Отклонить","Отклонено",IF(AND(AC1367="Взять",COUNTIFS(AD1367:AH1367,"Да")=5),"Готово","Нужна редактура"))</x:f>
        <x:v>Нужна редактура</x:v>
      </x:c>
      <x:c r="AJ1367" s="17" t="str"/>
      <x:c r="AK1367" s="9" t="str">
        <x:v>https://www.youtube.com/playlist?list=PL5tTMlIkxhYf9OzV7pUPLnhGt5-qXElOW</x:v>
      </x:c>
      <x:c r="AL1367" s="9" t="n">
        <x:v>19</x:v>
      </x:c>
      <x:c r="AM1367" s="9"/>
      <x:c r="AN1367" s="9" t="n">
        <x:v>0</x:v>
      </x:c>
    </x:row>
    <x:row r="1368" ht="60" customHeight="1">
      <x:c r="A1368" s="9" t="str">
        <x:v>oIDT2Rlmjhg</x:v>
      </x:c>
      <x:c r="B1368" s="10" t="str">
        <x:v>הגיבור הלא צפוי של קרב הגבורה בבית חאנון: "הוא כמו רמבו ומקגייוור"</x:v>
      </x:c>
      <x:c r="C1368" s="10" t="str">
        <x:v>Журналистика и общество</x:v>
      </x:c>
      <x:c r="D1368" s="9" t="str">
        <x:v>Общество</x:v>
      </x:c>
      <x:c r="E1368" s="10" t="str">
        <x:v>Расследования; общество; продвинутые</x:v>
      </x:c>
      <x:c r="F1368" s="10" t="str">
        <x:v>B2–C1 (гипотеза)</x:v>
      </x:c>
      <x:c r="G1368" s="12" t="n">
        <x:v>4.1</x:v>
      </x:c>
      <x:c r="H1368" s="14" t="n">
        <x:v>60710</x:v>
      </x:c>
      <x:c r="I1368" s="15" t="str">
        <x:v>Точный счётчик метаданных видео</x:v>
      </x:c>
      <x:c r="J1368" s="14" t="n">
        <x:v>60000</x:v>
      </x:c>
      <x:c r="K1368" s="14" t="n">
        <x:v>6000</x:v>
      </x:c>
      <x:c r="L1368" s="12" t="n">
        <x:f>IF(COUNT(J1368:K1368)=2,IF(K1368=0,"",J1368/K1368),"")</x:f>
        <x:v>10</x:v>
      </x:c>
      <x:c r="M1368" s="10" t="str">
        <x:v>Завершённый короткий просмотр около 4 мин. Просмотры в списке выше медианы выборки этого цикла в 10.0 раза. Второй редакционный источник помогает не ограничиваться одной журналистской повесткой.</x:v>
      </x:c>
      <x:c r="N1368" s="10" t="str">
        <x:v>Карта утверждений, документов и ответов сторон.</x:v>
      </x:c>
      <x:c r="O1368" s="10" t="str">
        <x:v>Фрагменты, обвинения; перепроверить актуальный контекст</x:v>
      </x:c>
      <x:c r="P1368" s="10" t="str">
        <x:v>Самостоятельное видео</x:v>
      </x:c>
      <x:c r="Q1368" s="9" t="str">
        <x:v>Нет</x:v>
      </x:c>
      <x:c r="R1368" s="9" t="str">
        <x:v>C081</x:v>
      </x:c>
      <x:c r="S1368" s="9" t="str">
        <x:v>C081</x:v>
      </x:c>
      <x:c r="T1368" s="10" t="str">
        <x:v>רשת 13</x:v>
      </x:c>
      <x:c r="U1368" s="11" t="str">
        <x:v>https://www.youtube.com/watch?v=oIDT2Rlmjhg</x:v>
      </x:c>
      <x:c r="V1368" s="16" t="n">
        <x:v>46308</x:v>
      </x:c>
      <x:c r="W1368" s="16" t="n">
        <x:v>45424</x:v>
      </x:c>
      <x:c r="X1368" s="10" t="str">
        <x:v>Иврит предполагается по заголовку и источнику</x:v>
      </x:c>
      <x:c r="Y1368" s="10" t="str">
        <x:v>Автоматическая дорожка HE по метаданным</x:v>
      </x:c>
      <x:c r="Z1368" s="10" t="str">
        <x:v>Разрешено по метаданным</x:v>
      </x:c>
      <x:c r="AA1368" s="10" t="str">
        <x:v>Метаданные видео; воспроизведение и содержание не проверены</x:v>
      </x:c>
      <x:c r="AB1368" s="13" t="n">
        <x:f>IF(AND(ISNUMBER(H1368),ISNUMBER(W1368)),H1368/MAX(1,'Обзор'!$B$4-W1368),"")</x:f>
        <x:v>68.67647058823529</x:v>
      </x:c>
      <x:c r="AC1368" s="17" t="str">
        <x:v>Не решено</x:v>
      </x:c>
      <x:c r="AD1368" s="17" t="str">
        <x:v>Не проверено</x:v>
      </x:c>
      <x:c r="AE1368" s="17" t="str">
        <x:v>Не проверено</x:v>
      </x:c>
      <x:c r="AF1368" s="17" t="str">
        <x:v>Не проверено</x:v>
      </x:c>
      <x:c r="AG1368" s="17" t="str">
        <x:v>Не решено</x:v>
      </x:c>
      <x:c r="AH1368" s="17" t="str">
        <x:v>Не проверено</x:v>
      </x:c>
      <x:c r="AI1368" s="10" t="str">
        <x:f>IF(AC1368="Отклонить","Отклонено",IF(AND(AC1368="Взять",COUNTIFS(AD1368:AH1368,"Да")=5),"Готово","Нужна редактура"))</x:f>
        <x:v>Нужна редактура</x:v>
      </x:c>
      <x:c r="AJ1368" s="17" t="str"/>
      <x:c r="AK1368" s="9" t="str">
        <x:v>https://www.youtube.com/playlist?list=PL5tTMlIkxhYf9OzV7pUPLnhGt5-qXElOW</x:v>
      </x:c>
      <x:c r="AL1368" s="9" t="n">
        <x:v>20</x:v>
      </x:c>
      <x:c r="AM1368" s="9"/>
      <x:c r="AN1368" s="9" t="n">
        <x:v>0</x:v>
      </x:c>
    </x:row>
    <x:row r="1369" ht="60" customHeight="1">
      <x:c r="A1369" s="9" t="str">
        <x:v>1h0LaaWNnTw</x:v>
      </x:c>
      <x:c r="B1369" s="10" t="str">
        <x:v>בחירתו הגורלית של רבש"צ ניר עוז - שאחריה נאלץ לעזוב לדנמרק</x:v>
      </x:c>
      <x:c r="C1369" s="10" t="str">
        <x:v>Журналистика и общество</x:v>
      </x:c>
      <x:c r="D1369" s="9" t="str">
        <x:v>Общество</x:v>
      </x:c>
      <x:c r="E1369" s="10" t="str">
        <x:v>Расследования; общество; продвинутые</x:v>
      </x:c>
      <x:c r="F1369" s="10" t="str">
        <x:v>B2–C1 (гипотеза)</x:v>
      </x:c>
      <x:c r="G1369" s="12" t="n">
        <x:v>8.1</x:v>
      </x:c>
      <x:c r="H1369" s="14" t="n">
        <x:v>24922</x:v>
      </x:c>
      <x:c r="I1369" s="15" t="str">
        <x:v>Точный счётчик метаданных видео</x:v>
      </x:c>
      <x:c r="J1369" s="14" t="n">
        <x:v>24000</x:v>
      </x:c>
      <x:c r="K1369" s="14" t="n">
        <x:v>6000</x:v>
      </x:c>
      <x:c r="L1369" s="12" t="n">
        <x:f>IF(COUNT(J1369:K1369)=2,IF(K1369=0,"",J1369/K1369),"")</x:f>
        <x:v>4</x:v>
      </x:c>
      <x:c r="M1369" s="10" t="str">
        <x:v>Завершённый короткий просмотр около 8 мин. Просмотры в списке выше медианы выборки этого цикла в 4.0 раза. Второй редакционный источник помогает не ограничиваться одной журналистской повесткой.</x:v>
      </x:c>
      <x:c r="N1369" s="10" t="str">
        <x:v>Карта утверждений, документов и ответов сторон.</x:v>
      </x:c>
      <x:c r="O1369" s="10" t="str">
        <x:v>Фрагменты, обвинения; перепроверить актуальный контекст</x:v>
      </x:c>
      <x:c r="P1369" s="10" t="str">
        <x:v>Самостоятельное видео</x:v>
      </x:c>
      <x:c r="Q1369" s="9" t="str">
        <x:v>Нет</x:v>
      </x:c>
      <x:c r="R1369" s="9" t="str">
        <x:v>C081</x:v>
      </x:c>
      <x:c r="S1369" s="9" t="str">
        <x:v>C081</x:v>
      </x:c>
      <x:c r="T1369" s="10" t="str">
        <x:v>רשת 13</x:v>
      </x:c>
      <x:c r="U1369" s="11" t="str">
        <x:v>https://www.youtube.com/watch?v=1h0LaaWNnTw</x:v>
      </x:c>
      <x:c r="V1369" s="16" t="n">
        <x:v>46308</x:v>
      </x:c>
      <x:c r="W1369" s="16" t="n">
        <x:v>45420</x:v>
      </x:c>
      <x:c r="X1369" s="10" t="str">
        <x:v>iw</x:v>
      </x:c>
      <x:c r="Y1369" s="10" t="str">
        <x:v>Автоматическая дорожка HE по метаданным</x:v>
      </x:c>
      <x:c r="Z1369" s="10" t="str">
        <x:v>Разрешено по метаданным</x:v>
      </x:c>
      <x:c r="AA1369" s="10" t="str">
        <x:v>Метаданные видео; воспроизведение и содержание не проверены</x:v>
      </x:c>
      <x:c r="AB1369" s="13" t="n">
        <x:f>IF(AND(ISNUMBER(H1369),ISNUMBER(W1369)),H1369/MAX(1,'Обзор'!$B$4-W1369),"")</x:f>
        <x:v>28.065315315315317</x:v>
      </x:c>
      <x:c r="AC1369" s="17" t="str">
        <x:v>Не решено</x:v>
      </x:c>
      <x:c r="AD1369" s="17" t="str">
        <x:v>Не проверено</x:v>
      </x:c>
      <x:c r="AE1369" s="17" t="str">
        <x:v>Не проверено</x:v>
      </x:c>
      <x:c r="AF1369" s="17" t="str">
        <x:v>Не проверено</x:v>
      </x:c>
      <x:c r="AG1369" s="17" t="str">
        <x:v>Не решено</x:v>
      </x:c>
      <x:c r="AH1369" s="17" t="str">
        <x:v>Не проверено</x:v>
      </x:c>
      <x:c r="AI1369" s="10" t="str">
        <x:f>IF(AC1369="Отклонить","Отклонено",IF(AND(AC1369="Взять",COUNTIFS(AD1369:AH1369,"Да")=5),"Готово","Нужна редактура"))</x:f>
        <x:v>Нужна редактура</x:v>
      </x:c>
      <x:c r="AJ1369" s="17" t="str"/>
      <x:c r="AK1369" s="9" t="str">
        <x:v>https://www.youtube.com/playlist?list=PL5tTMlIkxhYf9OzV7pUPLnhGt5-qXElOW</x:v>
      </x:c>
      <x:c r="AL1369" s="9" t="n">
        <x:v>21</x:v>
      </x:c>
      <x:c r="AM1369" s="9"/>
      <x:c r="AN1369" s="9" t="n">
        <x:v>0</x:v>
      </x:c>
    </x:row>
    <x:row r="1370" ht="60" customHeight="1">
      <x:c r="A1370" s="9" t="str">
        <x:v>4kTHVTiOoeg</x:v>
      </x:c>
      <x:c r="B1370" s="10" t="str">
        <x:v>שיחה עם עודד הרוש: כדורגלן העבר והמאמן המנטלי איתן עזריה I התכנית המלאה</x:v>
      </x:c>
      <x:c r="C1370" s="10" t="str">
        <x:v>Люди Израиля</x:v>
      </x:c>
      <x:c r="D1370" s="9" t="str">
        <x:v>Интервью</x:v>
      </x:c>
      <x:c r="E1370" s="10" t="str">
        <x:v>Интервью; общество; традиционная аудитория</x:v>
      </x:c>
      <x:c r="F1370" s="10" t="str">
        <x:v>B2–C1 (гипотеза)</x:v>
      </x:c>
      <x:c r="G1370" s="12" t="n">
        <x:v>39.5</x:v>
      </x:c>
      <x:c r="H1370" s="14" t="n">
        <x:v>7500</x:v>
      </x:c>
      <x:c r="I1370" s="15" t="str">
        <x:v>Округлённый счётчик в списке YouTube</x:v>
      </x:c>
      <x:c r="J1370" s="14" t="n">
        <x:v>7500</x:v>
      </x:c>
      <x:c r="K1370" s="14" t="n">
        <x:v>19000</x:v>
      </x:c>
      <x:c r="L1370" s="12" t="n">
        <x:f>IF(COUNT(J1370:K1370)=2,IF(K1370=0,"",J1370/K1370),"")</x:f>
        <x:v>0.39473684210526316</x:v>
      </x:c>
      <x:c r="M1370" s="10" t="str">
        <x:v>Тема / гость: שיחה עם עודד הרוש: כדורגלן העבר והמאמן המנטלי איתן עזריה I התכנית המלאה. Просмотры ниже медианы цикла; выбирать за нишевую ценность, а не за массовый охват. Дополняет биографические интервью другим ведущим и кругом гостей.</x:v>
      </x:c>
      <x:c r="N1370" s="10" t="str">
        <x:v>Выделить один тезис гостя, уточняющий вопрос и аргументы.</x:v>
      </x:c>
      <x:c r="O1370" s="10" t="str">
        <x:v>Общественно-политические взгляды; атрибутировать гостю</x:v>
      </x:c>
      <x:c r="P1370" s="10" t="str">
        <x:v>Длинное интервью</x:v>
      </x:c>
      <x:c r="Q1370" s="9" t="str">
        <x:v>Нет</x:v>
      </x:c>
      <x:c r="R1370" s="9" t="str">
        <x:v>C082</x:v>
      </x:c>
      <x:c r="S1370" s="9" t="str">
        <x:v>C082</x:v>
      </x:c>
      <x:c r="T1370" s="10" t="str">
        <x:v>C14</x:v>
      </x:c>
      <x:c r="U1370" s="11" t="str">
        <x:v>https://www.youtube.com/watch?v=4kTHVTiOoeg</x:v>
      </x:c>
      <x:c r="V1370" s="16" t="n">
        <x:v>46308</x:v>
      </x:c>
      <x:c r="W1370" s="16"/>
      <x:c r="X1370" s="10" t="str">
        <x:v>Иврит предполагается по заголовку и источнику</x:v>
      </x:c>
      <x:c r="Y1370" s="10" t="str">
        <x:v>Не проверено</x:v>
      </x:c>
      <x:c r="Z1370" s="10" t="str">
        <x:v>Не проверено</x:v>
      </x:c>
      <x:c r="AA1370" s="10" t="str">
        <x:v>Метаданные списка; видео не просмотрено</x:v>
      </x:c>
      <x:c r="AB1370" s="13" t="str">
        <x:f>IF(AND(ISNUMBER(H1370),ISNUMBER(W1370)),H1370/MAX(1,'Обзор'!$B$4-W1370),"")</x:f>
      </x:c>
      <x:c r="AC1370" s="17" t="str">
        <x:v>Не решено</x:v>
      </x:c>
      <x:c r="AD1370" s="17" t="str">
        <x:v>Не проверено</x:v>
      </x:c>
      <x:c r="AE1370" s="17" t="str">
        <x:v>Не проверено</x:v>
      </x:c>
      <x:c r="AF1370" s="17" t="str">
        <x:v>Не проверено</x:v>
      </x:c>
      <x:c r="AG1370" s="17" t="str">
        <x:v>Не решено</x:v>
      </x:c>
      <x:c r="AH1370" s="17" t="str">
        <x:v>Не проверено</x:v>
      </x:c>
      <x:c r="AI1370" s="10" t="str">
        <x:f>IF(AC1370="Отклонить","Отклонено",IF(AND(AC1370="Взять",COUNTIFS(AD1370:AH1370,"Да")=5),"Готово","Нужна редактура"))</x:f>
        <x:v>Нужна редактура</x:v>
      </x:c>
      <x:c r="AJ1370" s="17" t="str"/>
      <x:c r="AK1370" s="9" t="str">
        <x:v>https://www.youtube.com/playlist?list=PL8E54R76rowCtmv0gKg7TZZ-ezCs6ykBX</x:v>
      </x:c>
      <x:c r="AL1370" s="9" t="n">
        <x:v>1</x:v>
      </x:c>
      <x:c r="AM1370" s="9"/>
      <x:c r="AN1370" s="9"/>
    </x:row>
    <x:row r="1371" ht="60" customHeight="1">
      <x:c r="A1371" s="9" t="str">
        <x:v>-XVVdIdv4mw</x:v>
      </x:c>
      <x:c r="B1371" s="10" t="str">
        <x:v>שיחה עם עודד הרוש: השחקן דני שטג I התכנית המלאה</x:v>
      </x:c>
      <x:c r="C1371" s="10" t="str">
        <x:v>Люди Израиля</x:v>
      </x:c>
      <x:c r="D1371" s="9" t="str">
        <x:v>Интервью</x:v>
      </x:c>
      <x:c r="E1371" s="10" t="str">
        <x:v>Интервью; общество; традиционная аудитория</x:v>
      </x:c>
      <x:c r="F1371" s="10" t="str">
        <x:v>B2–C1 (гипотеза)</x:v>
      </x:c>
      <x:c r="G1371" s="12" t="n">
        <x:v>41.4</x:v>
      </x:c>
      <x:c r="H1371" s="14" t="n">
        <x:v>19000</x:v>
      </x:c>
      <x:c r="I1371" s="15" t="str">
        <x:v>Округлённый счётчик в списке YouTube</x:v>
      </x:c>
      <x:c r="J1371" s="14" t="n">
        <x:v>19000</x:v>
      </x:c>
      <x:c r="K1371" s="14" t="n">
        <x:v>19000</x:v>
      </x:c>
      <x:c r="L1371" s="12" t="n">
        <x:f>IF(COUNT(J1371:K1371)=2,IF(K1371=0,"",J1371/K1371),"")</x:f>
        <x:v>1</x:v>
      </x:c>
      <x:c r="M1371" s="10" t="str">
        <x:v>Тема / гость: שיחה עם עודד הרוש: השחקן דני שטג I התכנית המלאה. Дополняет биографические интервью другим ведущим и кругом гостей.</x:v>
      </x:c>
      <x:c r="N1371" s="10" t="str">
        <x:v>Выделить один тезис гостя, уточняющий вопрос и аргументы.</x:v>
      </x:c>
      <x:c r="O1371" s="10" t="str">
        <x:v>Общественно-политические взгляды; атрибутировать гостю</x:v>
      </x:c>
      <x:c r="P1371" s="10" t="str">
        <x:v>Длинное интервью</x:v>
      </x:c>
      <x:c r="Q1371" s="9" t="str">
        <x:v>Нет</x:v>
      </x:c>
      <x:c r="R1371" s="9" t="str">
        <x:v>C082</x:v>
      </x:c>
      <x:c r="S1371" s="9" t="str">
        <x:v>C082</x:v>
      </x:c>
      <x:c r="T1371" s="10" t="str">
        <x:v>C14</x:v>
      </x:c>
      <x:c r="U1371" s="11" t="str">
        <x:v>https://www.youtube.com/watch?v=-XVVdIdv4mw</x:v>
      </x:c>
      <x:c r="V1371" s="16" t="n">
        <x:v>46308</x:v>
      </x:c>
      <x:c r="W1371" s="16"/>
      <x:c r="X1371" s="10" t="str">
        <x:v>Иврит предполагается по заголовку и источнику</x:v>
      </x:c>
      <x:c r="Y1371" s="10" t="str">
        <x:v>Не проверено</x:v>
      </x:c>
      <x:c r="Z1371" s="10" t="str">
        <x:v>Не проверено</x:v>
      </x:c>
      <x:c r="AA1371" s="10" t="str">
        <x:v>Метаданные списка; видео не просмотрено</x:v>
      </x:c>
      <x:c r="AB1371" s="13" t="str">
        <x:f>IF(AND(ISNUMBER(H1371),ISNUMBER(W1371)),H1371/MAX(1,'Обзор'!$B$4-W1371),"")</x:f>
      </x:c>
      <x:c r="AC1371" s="17" t="str">
        <x:v>Не решено</x:v>
      </x:c>
      <x:c r="AD1371" s="17" t="str">
        <x:v>Не проверено</x:v>
      </x:c>
      <x:c r="AE1371" s="17" t="str">
        <x:v>Не проверено</x:v>
      </x:c>
      <x:c r="AF1371" s="17" t="str">
        <x:v>Не проверено</x:v>
      </x:c>
      <x:c r="AG1371" s="17" t="str">
        <x:v>Не решено</x:v>
      </x:c>
      <x:c r="AH1371" s="17" t="str">
        <x:v>Не проверено</x:v>
      </x:c>
      <x:c r="AI1371" s="10" t="str">
        <x:f>IF(AC1371="Отклонить","Отклонено",IF(AND(AC1371="Взять",COUNTIFS(AD1371:AH1371,"Да")=5),"Готово","Нужна редактура"))</x:f>
        <x:v>Нужна редактура</x:v>
      </x:c>
      <x:c r="AJ1371" s="17" t="str"/>
      <x:c r="AK1371" s="9" t="str">
        <x:v>https://www.youtube.com/playlist?list=PL8E54R76rowCtmv0gKg7TZZ-ezCs6ykBX</x:v>
      </x:c>
      <x:c r="AL1371" s="9" t="n">
        <x:v>2</x:v>
      </x:c>
      <x:c r="AM1371" s="9"/>
      <x:c r="AN1371" s="9"/>
    </x:row>
    <x:row r="1372" ht="60" customHeight="1">
      <x:c r="A1372" s="9" t="str">
        <x:v>QGVwLKEvsAk</x:v>
      </x:c>
      <x:c r="B1372" s="10" t="str">
        <x:v>"במלחמה אבדתי אח ועכשיו אני מאבדת בן": הרב יצחק פנגר על התגובה בבית כשהחליט לחזור בתשובה</x:v>
      </x:c>
      <x:c r="C1372" s="10" t="str">
        <x:v>Люди Израиля</x:v>
      </x:c>
      <x:c r="D1372" s="9" t="str">
        <x:v>Интервью</x:v>
      </x:c>
      <x:c r="E1372" s="10" t="str">
        <x:v>Интервью; общество; традиционная аудитория</x:v>
      </x:c>
      <x:c r="F1372" s="10" t="str">
        <x:v>B2–C1 (гипотеза)</x:v>
      </x:c>
      <x:c r="G1372" s="12" t="n">
        <x:v>1.6</x:v>
      </x:c>
      <x:c r="H1372" s="14" t="n">
        <x:v>55870</x:v>
      </x:c>
      <x:c r="I1372" s="15" t="str">
        <x:v>Точный счётчик метаданных видео</x:v>
      </x:c>
      <x:c r="J1372" s="14" t="n">
        <x:v>55000</x:v>
      </x:c>
      <x:c r="K1372" s="14" t="n">
        <x:v>19000</x:v>
      </x:c>
      <x:c r="L1372" s="12" t="n">
        <x:f>IF(COUNT(J1372:K1372)=2,IF(K1372=0,"",J1372/K1372),"")</x:f>
        <x:v>2.8947368421052633</x:v>
      </x:c>
      <x:c r="M1372" s="10" t="str">
        <x:v>Тема / гость: "במלחמה אבדתי אח ועכשיו אני מאבדת בן": הרב יצחק פנגר על התגובה בבית כשהחליט לחזור בתשובה. Просмотры в списке выше медианы выборки этого цикла в 2.89 раза. Дополняет биографические интервью другим ведущим и кругом гостей.</x:v>
      </x:c>
      <x:c r="N1372" s="10" t="str">
        <x:v>Выделить один тезис гостя, уточняющий вопрос и аргументы.</x:v>
      </x:c>
      <x:c r="O1372" s="10" t="str">
        <x:v>Общественно-политические взгляды; атрибутировать гостю</x:v>
      </x:c>
      <x:c r="P1372" s="10" t="str">
        <x:v>Короткое интервью / фрагмент</x:v>
      </x:c>
      <x:c r="Q1372" s="9" t="str">
        <x:v>Нет</x:v>
      </x:c>
      <x:c r="R1372" s="9" t="str">
        <x:v>C082</x:v>
      </x:c>
      <x:c r="S1372" s="9" t="str">
        <x:v>C082</x:v>
      </x:c>
      <x:c r="T1372" s="10" t="str">
        <x:v>C14</x:v>
      </x:c>
      <x:c r="U1372" s="11" t="str">
        <x:v>https://www.youtube.com/watch?v=QGVwLKEvsAk</x:v>
      </x:c>
      <x:c r="V1372" s="16" t="n">
        <x:v>46308</x:v>
      </x:c>
      <x:c r="W1372" s="16" t="n">
        <x:v>46286</x:v>
      </x:c>
      <x:c r="X1372" s="10" t="str">
        <x:v>Иврит предполагается по заголовку и источнику</x:v>
      </x:c>
      <x:c r="Y1372" s="10" t="str">
        <x:v>Автоматическая дорожка HE по метаданным</x:v>
      </x:c>
      <x:c r="Z1372" s="10" t="str">
        <x:v>Разрешено по метаданным</x:v>
      </x:c>
      <x:c r="AA1372" s="10" t="str">
        <x:v>Метаданные видео; воспроизведение и содержание не проверены</x:v>
      </x:c>
      <x:c r="AB1372" s="13" t="n">
        <x:f>IF(AND(ISNUMBER(H1372),ISNUMBER(W1372)),H1372/MAX(1,'Обзор'!$B$4-W1372),"")</x:f>
        <x:v>2539.5454545454545</x:v>
      </x:c>
      <x:c r="AC1372" s="17" t="str">
        <x:v>Не решено</x:v>
      </x:c>
      <x:c r="AD1372" s="17" t="str">
        <x:v>Не проверено</x:v>
      </x:c>
      <x:c r="AE1372" s="17" t="str">
        <x:v>Не проверено</x:v>
      </x:c>
      <x:c r="AF1372" s="17" t="str">
        <x:v>Не проверено</x:v>
      </x:c>
      <x:c r="AG1372" s="17" t="str">
        <x:v>Не решено</x:v>
      </x:c>
      <x:c r="AH1372" s="17" t="str">
        <x:v>Не проверено</x:v>
      </x:c>
      <x:c r="AI1372" s="10" t="str">
        <x:f>IF(AC1372="Отклонить","Отклонено",IF(AND(AC1372="Взять",COUNTIFS(AD1372:AH1372,"Да")=5),"Готово","Нужна редактура"))</x:f>
        <x:v>Нужна редактура</x:v>
      </x:c>
      <x:c r="AJ1372" s="17" t="str"/>
      <x:c r="AK1372" s="9" t="str">
        <x:v>https://www.youtube.com/playlist?list=PL8E54R76rowCtmv0gKg7TZZ-ezCs6ykBX</x:v>
      </x:c>
      <x:c r="AL1372" s="9" t="n">
        <x:v>3</x:v>
      </x:c>
      <x:c r="AM1372" s="9"/>
      <x:c r="AN1372" s="9" t="n">
        <x:v>0</x:v>
      </x:c>
    </x:row>
    <x:row r="1373" ht="60" customHeight="1">
      <x:c r="A1373" s="9" t="str">
        <x:v>-Vmu_fdaDM8</x:v>
      </x:c>
      <x:c r="B1373" s="10" t="str">
        <x:v>שיחה עם עודד הרוש: הרב יצחק פנגר I התכנית המלאה</x:v>
      </x:c>
      <x:c r="C1373" s="10" t="str">
        <x:v>Люди Израиля</x:v>
      </x:c>
      <x:c r="D1373" s="9" t="str">
        <x:v>Интервью</x:v>
      </x:c>
      <x:c r="E1373" s="10" t="str">
        <x:v>Интервью; общество; традиционная аудитория</x:v>
      </x:c>
      <x:c r="F1373" s="10" t="str">
        <x:v>B2–C1 (гипотеза)</x:v>
      </x:c>
      <x:c r="G1373" s="12" t="n">
        <x:v>43.4</x:v>
      </x:c>
      <x:c r="H1373" s="14" t="n">
        <x:v>45201</x:v>
      </x:c>
      <x:c r="I1373" s="15" t="str">
        <x:v>Точный счётчик метаданных видео</x:v>
      </x:c>
      <x:c r="J1373" s="14" t="n">
        <x:v>45000</x:v>
      </x:c>
      <x:c r="K1373" s="14" t="n">
        <x:v>19000</x:v>
      </x:c>
      <x:c r="L1373" s="12" t="n">
        <x:f>IF(COUNT(J1373:K1373)=2,IF(K1373=0,"",J1373/K1373),"")</x:f>
        <x:v>2.3684210526315788</x:v>
      </x:c>
      <x:c r="M1373" s="10" t="str">
        <x:v>Тема / гость: שיחה עם עודד הרוש: הרב יצחק פנגר I התכנית המלאה. Просмотры в списке выше медианы выборки этого цикла в 2.37 раза. Дополняет биографические интервью другим ведущим и кругом гостей.</x:v>
      </x:c>
      <x:c r="N1373" s="10" t="str">
        <x:v>Выделить один тезис гостя, уточняющий вопрос и аргументы.</x:v>
      </x:c>
      <x:c r="O1373" s="10" t="str">
        <x:v>Общественно-политические взгляды; атрибутировать гостю</x:v>
      </x:c>
      <x:c r="P1373" s="10" t="str">
        <x:v>Длинное интервью</x:v>
      </x:c>
      <x:c r="Q1373" s="9" t="str">
        <x:v>Нет</x:v>
      </x:c>
      <x:c r="R1373" s="9" t="str">
        <x:v>C082</x:v>
      </x:c>
      <x:c r="S1373" s="9" t="str">
        <x:v>C082</x:v>
      </x:c>
      <x:c r="T1373" s="10" t="str">
        <x:v>C14</x:v>
      </x:c>
      <x:c r="U1373" s="11" t="str">
        <x:v>https://www.youtube.com/watch?v=-Vmu_fdaDM8</x:v>
      </x:c>
      <x:c r="V1373" s="16" t="n">
        <x:v>46308</x:v>
      </x:c>
      <x:c r="W1373" s="16" t="n">
        <x:v>46286</x:v>
      </x:c>
      <x:c r="X1373" s="10" t="str">
        <x:v>iw</x:v>
      </x:c>
      <x:c r="Y1373" s="10" t="str">
        <x:v>Автоматическая дорожка HE по метаданным</x:v>
      </x:c>
      <x:c r="Z1373" s="10" t="str">
        <x:v>Разрешено по метаданным</x:v>
      </x:c>
      <x:c r="AA1373" s="10" t="str">
        <x:v>Метаданные видео; воспроизведение и содержание не проверены</x:v>
      </x:c>
      <x:c r="AB1373" s="13" t="n">
        <x:f>IF(AND(ISNUMBER(H1373),ISNUMBER(W1373)),H1373/MAX(1,'Обзор'!$B$4-W1373),"")</x:f>
        <x:v>2054.590909090909</x:v>
      </x:c>
      <x:c r="AC1373" s="17" t="str">
        <x:v>Не решено</x:v>
      </x:c>
      <x:c r="AD1373" s="17" t="str">
        <x:v>Не проверено</x:v>
      </x:c>
      <x:c r="AE1373" s="17" t="str">
        <x:v>Не проверено</x:v>
      </x:c>
      <x:c r="AF1373" s="17" t="str">
        <x:v>Не проверено</x:v>
      </x:c>
      <x:c r="AG1373" s="17" t="str">
        <x:v>Не решено</x:v>
      </x:c>
      <x:c r="AH1373" s="17" t="str">
        <x:v>Не проверено</x:v>
      </x:c>
      <x:c r="AI1373" s="10" t="str">
        <x:f>IF(AC1373="Отклонить","Отклонено",IF(AND(AC1373="Взять",COUNTIFS(AD1373:AH1373,"Да")=5),"Готово","Нужна редактура"))</x:f>
        <x:v>Нужна редактура</x:v>
      </x:c>
      <x:c r="AJ1373" s="17" t="str"/>
      <x:c r="AK1373" s="9" t="str">
        <x:v>https://www.youtube.com/playlist?list=PL8E54R76rowCtmv0gKg7TZZ-ezCs6ykBX</x:v>
      </x:c>
      <x:c r="AL1373" s="9" t="n">
        <x:v>4</x:v>
      </x:c>
      <x:c r="AM1373" s="9"/>
      <x:c r="AN1373" s="9" t="n">
        <x:v>0</x:v>
      </x:c>
    </x:row>
    <x:row r="1374" ht="60" customHeight="1">
      <x:c r="A1374" s="9" t="str">
        <x:v>IBCQKFMUtA0</x:v>
      </x:c>
      <x:c r="B1374" s="10" t="str">
        <x:v>שיחה עם עודד הרוש: המוזיקאי יאיר אלייצור I התכנית המלאה</x:v>
      </x:c>
      <x:c r="C1374" s="10" t="str">
        <x:v>Люди Израиля</x:v>
      </x:c>
      <x:c r="D1374" s="9" t="str">
        <x:v>Интервью</x:v>
      </x:c>
      <x:c r="E1374" s="10" t="str">
        <x:v>Интервью; общество; традиционная аудитория</x:v>
      </x:c>
      <x:c r="F1374" s="10" t="str">
        <x:v>B2–C1 (гипотеза)</x:v>
      </x:c>
      <x:c r="G1374" s="12" t="n">
        <x:v>37.2</x:v>
      </x:c>
      <x:c r="H1374" s="14" t="n">
        <x:v>60552</x:v>
      </x:c>
      <x:c r="I1374" s="15" t="str">
        <x:v>Точный счётчик метаданных видео</x:v>
      </x:c>
      <x:c r="J1374" s="14" t="n">
        <x:v>60000</x:v>
      </x:c>
      <x:c r="K1374" s="14" t="n">
        <x:v>19000</x:v>
      </x:c>
      <x:c r="L1374" s="12" t="n">
        <x:f>IF(COUNT(J1374:K1374)=2,IF(K1374=0,"",J1374/K1374),"")</x:f>
        <x:v>3.1578947368421053</x:v>
      </x:c>
      <x:c r="M1374" s="10" t="str">
        <x:v>Тема / гость: שיחה עם עודד הרוש: המוזיקאי יאיר אלייצור I התכנית המלאה. Просмотры в списке выше медианы выборки этого цикла в 3.16 раза. Дополняет биографические интервью другим ведущим и кругом гостей.</x:v>
      </x:c>
      <x:c r="N1374" s="10" t="str">
        <x:v>Выделить один тезис гостя, уточняющий вопрос и аргументы.</x:v>
      </x:c>
      <x:c r="O1374" s="10" t="str">
        <x:v>Общественно-политические взгляды; атрибутировать гостю</x:v>
      </x:c>
      <x:c r="P1374" s="10" t="str">
        <x:v>Длинное интервью</x:v>
      </x:c>
      <x:c r="Q1374" s="9" t="str">
        <x:v>Нет</x:v>
      </x:c>
      <x:c r="R1374" s="9" t="str">
        <x:v>C082</x:v>
      </x:c>
      <x:c r="S1374" s="9" t="str">
        <x:v>C082</x:v>
      </x:c>
      <x:c r="T1374" s="10" t="str">
        <x:v>C14</x:v>
      </x:c>
      <x:c r="U1374" s="11" t="str">
        <x:v>https://www.youtube.com/watch?v=IBCQKFMUtA0</x:v>
      </x:c>
      <x:c r="V1374" s="16" t="n">
        <x:v>46308</x:v>
      </x:c>
      <x:c r="W1374" s="16" t="n">
        <x:v>46278</x:v>
      </x:c>
      <x:c r="X1374" s="10" t="str">
        <x:v>iw</x:v>
      </x:c>
      <x:c r="Y1374" s="10" t="str">
        <x:v>Автоматическая дорожка HE по метаданным</x:v>
      </x:c>
      <x:c r="Z1374" s="10" t="str">
        <x:v>Разрешено по метаданным</x:v>
      </x:c>
      <x:c r="AA1374" s="10" t="str">
        <x:v>Метаданные видео; воспроизведение и содержание не проверены</x:v>
      </x:c>
      <x:c r="AB1374" s="13" t="n">
        <x:f>IF(AND(ISNUMBER(H1374),ISNUMBER(W1374)),H1374/MAX(1,'Обзор'!$B$4-W1374),"")</x:f>
        <x:v>2018.4</x:v>
      </x:c>
      <x:c r="AC1374" s="17" t="str">
        <x:v>Не решено</x:v>
      </x:c>
      <x:c r="AD1374" s="17" t="str">
        <x:v>Не проверено</x:v>
      </x:c>
      <x:c r="AE1374" s="17" t="str">
        <x:v>Не проверено</x:v>
      </x:c>
      <x:c r="AF1374" s="17" t="str">
        <x:v>Не проверено</x:v>
      </x:c>
      <x:c r="AG1374" s="17" t="str">
        <x:v>Не решено</x:v>
      </x:c>
      <x:c r="AH1374" s="17" t="str">
        <x:v>Не проверено</x:v>
      </x:c>
      <x:c r="AI1374" s="10" t="str">
        <x:f>IF(AC1374="Отклонить","Отклонено",IF(AND(AC1374="Взять",COUNTIFS(AD1374:AH1374,"Да")=5),"Готово","Нужна редактура"))</x:f>
        <x:v>Нужна редактура</x:v>
      </x:c>
      <x:c r="AJ1374" s="17" t="str"/>
      <x:c r="AK1374" s="9" t="str">
        <x:v>https://www.youtube.com/playlist?list=PL8E54R76rowCtmv0gKg7TZZ-ezCs6ykBX</x:v>
      </x:c>
      <x:c r="AL1374" s="9" t="n">
        <x:v>5</x:v>
      </x:c>
      <x:c r="AM1374" s="9"/>
      <x:c r="AN1374" s="9" t="n">
        <x:v>0</x:v>
      </x:c>
    </x:row>
    <x:row r="1375" ht="60" customHeight="1">
      <x:c r="A1375" s="9" t="str">
        <x:v>wfj6pD_yuXQ</x:v>
      </x:c>
      <x:c r="B1375" s="10" t="str">
        <x:v>שיחה עם עודד הרוש: ח"כ אבי מעוז I התכנית המלאה</x:v>
      </x:c>
      <x:c r="C1375" s="10" t="str">
        <x:v>Люди Израиля</x:v>
      </x:c>
      <x:c r="D1375" s="9" t="str">
        <x:v>Интервью</x:v>
      </x:c>
      <x:c r="E1375" s="10" t="str">
        <x:v>Интервью; общество; традиционная аудитория</x:v>
      </x:c>
      <x:c r="F1375" s="10" t="str">
        <x:v>B2–C1 (гипотеза)</x:v>
      </x:c>
      <x:c r="G1375" s="12" t="n">
        <x:v>36.5</x:v>
      </x:c>
      <x:c r="H1375" s="14" t="n">
        <x:v>17000</x:v>
      </x:c>
      <x:c r="I1375" s="15" t="str">
        <x:v>Округлённый счётчик в списке YouTube</x:v>
      </x:c>
      <x:c r="J1375" s="14" t="n">
        <x:v>17000</x:v>
      </x:c>
      <x:c r="K1375" s="14" t="n">
        <x:v>19000</x:v>
      </x:c>
      <x:c r="L1375" s="12" t="n">
        <x:f>IF(COUNT(J1375:K1375)=2,IF(K1375=0,"",J1375/K1375),"")</x:f>
        <x:v>0.8947368421052632</x:v>
      </x:c>
      <x:c r="M1375" s="10" t="str">
        <x:v>Тема / гость: שיחה עם עודד הרוש: ח"כ אבי מעוז I התכנית המלאה. Дополняет биографические интервью другим ведущим и кругом гостей.</x:v>
      </x:c>
      <x:c r="N1375" s="10" t="str">
        <x:v>Выделить один тезис гостя, уточняющий вопрос и аргументы.</x:v>
      </x:c>
      <x:c r="O1375" s="10" t="str">
        <x:v>Общественно-политические взгляды; атрибутировать гостю</x:v>
      </x:c>
      <x:c r="P1375" s="10" t="str">
        <x:v>Длинное интервью</x:v>
      </x:c>
      <x:c r="Q1375" s="9" t="str">
        <x:v>Нет</x:v>
      </x:c>
      <x:c r="R1375" s="9" t="str">
        <x:v>C082</x:v>
      </x:c>
      <x:c r="S1375" s="9" t="str">
        <x:v>C082</x:v>
      </x:c>
      <x:c r="T1375" s="10" t="str">
        <x:v>C14</x:v>
      </x:c>
      <x:c r="U1375" s="11" t="str">
        <x:v>https://www.youtube.com/watch?v=wfj6pD_yuXQ</x:v>
      </x:c>
      <x:c r="V1375" s="16" t="n">
        <x:v>46308</x:v>
      </x:c>
      <x:c r="W1375" s="16"/>
      <x:c r="X1375" s="10" t="str">
        <x:v>Иврит предполагается по заголовку и источнику</x:v>
      </x:c>
      <x:c r="Y1375" s="10" t="str">
        <x:v>Не проверено</x:v>
      </x:c>
      <x:c r="Z1375" s="10" t="str">
        <x:v>Не проверено</x:v>
      </x:c>
      <x:c r="AA1375" s="10" t="str">
        <x:v>Метаданные списка; видео не просмотрено</x:v>
      </x:c>
      <x:c r="AB1375" s="13" t="str">
        <x:f>IF(AND(ISNUMBER(H1375),ISNUMBER(W1375)),H1375/MAX(1,'Обзор'!$B$4-W1375),"")</x:f>
      </x:c>
      <x:c r="AC1375" s="17" t="str">
        <x:v>Не решено</x:v>
      </x:c>
      <x:c r="AD1375" s="17" t="str">
        <x:v>Не проверено</x:v>
      </x:c>
      <x:c r="AE1375" s="17" t="str">
        <x:v>Не проверено</x:v>
      </x:c>
      <x:c r="AF1375" s="17" t="str">
        <x:v>Не проверено</x:v>
      </x:c>
      <x:c r="AG1375" s="17" t="str">
        <x:v>Не решено</x:v>
      </x:c>
      <x:c r="AH1375" s="17" t="str">
        <x:v>Не проверено</x:v>
      </x:c>
      <x:c r="AI1375" s="10" t="str">
        <x:f>IF(AC1375="Отклонить","Отклонено",IF(AND(AC1375="Взять",COUNTIFS(AD1375:AH1375,"Да")=5),"Готово","Нужна редактура"))</x:f>
        <x:v>Нужна редактура</x:v>
      </x:c>
      <x:c r="AJ1375" s="17" t="str"/>
      <x:c r="AK1375" s="9" t="str">
        <x:v>https://www.youtube.com/playlist?list=PL8E54R76rowCtmv0gKg7TZZ-ezCs6ykBX</x:v>
      </x:c>
      <x:c r="AL1375" s="9" t="n">
        <x:v>6</x:v>
      </x:c>
      <x:c r="AM1375" s="9"/>
      <x:c r="AN1375" s="9"/>
    </x:row>
    <x:row r="1376" ht="60" customHeight="1">
      <x:c r="A1376" s="9" t="str">
        <x:v>BgOpUUCJ0pg</x:v>
      </x:c>
      <x:c r="B1376" s="10" t="str">
        <x:v>השר לשעבר יעקב מרגי חושף את מאמצי המפלגות החרדיות לקידום חוק גיוס</x:v>
      </x:c>
      <x:c r="C1376" s="10" t="str">
        <x:v>Люди Израиля</x:v>
      </x:c>
      <x:c r="D1376" s="9" t="str">
        <x:v>Интервью</x:v>
      </x:c>
      <x:c r="E1376" s="10" t="str">
        <x:v>Интервью; общество; традиционная аудитория</x:v>
      </x:c>
      <x:c r="F1376" s="10" t="str">
        <x:v>B2–C1 (гипотеза)</x:v>
      </x:c>
      <x:c r="G1376" s="12" t="n">
        <x:v>1</x:v>
      </x:c>
      <x:c r="H1376" s="14" t="n">
        <x:v>35119</x:v>
      </x:c>
      <x:c r="I1376" s="15" t="str">
        <x:v>Точный счётчик метаданных видео</x:v>
      </x:c>
      <x:c r="J1376" s="14" t="n">
        <x:v>35000</x:v>
      </x:c>
      <x:c r="K1376" s="14" t="n">
        <x:v>19000</x:v>
      </x:c>
      <x:c r="L1376" s="12" t="n">
        <x:f>IF(COUNT(J1376:K1376)=2,IF(K1376=0,"",J1376/K1376),"")</x:f>
        <x:v>1.8421052631578947</x:v>
      </x:c>
      <x:c r="M1376" s="10" t="str">
        <x:v>Тема / гость: השר לשעבר יעקב מרגי חושף את מאמצי המפלגות החרדיות לקידום חוק גיוס. Просмотры в списке выше медианы выборки этого цикла в 1.84 раза. Дополняет биографические интервью другим ведущим и кругом гостей.</x:v>
      </x:c>
      <x:c r="N1376" s="10" t="str">
        <x:v>Выделить один тезис гостя, уточняющий вопрос и аргументы.</x:v>
      </x:c>
      <x:c r="O1376" s="10" t="str">
        <x:v>Общественно-политические взгляды; атрибутировать гостю</x:v>
      </x:c>
      <x:c r="P1376" s="10" t="str">
        <x:v>Короткое интервью / фрагмент</x:v>
      </x:c>
      <x:c r="Q1376" s="9" t="str">
        <x:v>Нет</x:v>
      </x:c>
      <x:c r="R1376" s="9" t="str">
        <x:v>C082</x:v>
      </x:c>
      <x:c r="S1376" s="9" t="str">
        <x:v>C082</x:v>
      </x:c>
      <x:c r="T1376" s="10" t="str">
        <x:v>C14</x:v>
      </x:c>
      <x:c r="U1376" s="11" t="str">
        <x:v>https://www.youtube.com/watch?v=BgOpUUCJ0pg</x:v>
      </x:c>
      <x:c r="V1376" s="16" t="n">
        <x:v>46308</x:v>
      </x:c>
      <x:c r="W1376" s="16" t="n">
        <x:v>46263</x:v>
      </x:c>
      <x:c r="X1376" s="10" t="str">
        <x:v>iw</x:v>
      </x:c>
      <x:c r="Y1376" s="10" t="str">
        <x:v>Автоматическая дорожка HE по метаданным</x:v>
      </x:c>
      <x:c r="Z1376" s="10" t="str">
        <x:v>Разрешено по метаданным</x:v>
      </x:c>
      <x:c r="AA1376" s="10" t="str">
        <x:v>Метаданные видео; воспроизведение и содержание не проверены</x:v>
      </x:c>
      <x:c r="AB1376" s="13" t="n">
        <x:f>IF(AND(ISNUMBER(H1376),ISNUMBER(W1376)),H1376/MAX(1,'Обзор'!$B$4-W1376),"")</x:f>
        <x:v>780.4222222222222</x:v>
      </x:c>
      <x:c r="AC1376" s="17" t="str">
        <x:v>Не решено</x:v>
      </x:c>
      <x:c r="AD1376" s="17" t="str">
        <x:v>Не проверено</x:v>
      </x:c>
      <x:c r="AE1376" s="17" t="str">
        <x:v>Не проверено</x:v>
      </x:c>
      <x:c r="AF1376" s="17" t="str">
        <x:v>Не проверено</x:v>
      </x:c>
      <x:c r="AG1376" s="17" t="str">
        <x:v>Не решено</x:v>
      </x:c>
      <x:c r="AH1376" s="17" t="str">
        <x:v>Не проверено</x:v>
      </x:c>
      <x:c r="AI1376" s="10" t="str">
        <x:f>IF(AC1376="Отклонить","Отклонено",IF(AND(AC1376="Взять",COUNTIFS(AD1376:AH1376,"Да")=5),"Готово","Нужна редактура"))</x:f>
        <x:v>Нужна редактура</x:v>
      </x:c>
      <x:c r="AJ1376" s="17" t="str"/>
      <x:c r="AK1376" s="9" t="str">
        <x:v>https://www.youtube.com/playlist?list=PL8E54R76rowCtmv0gKg7TZZ-ezCs6ykBX</x:v>
      </x:c>
      <x:c r="AL1376" s="9" t="n">
        <x:v>7</x:v>
      </x:c>
      <x:c r="AM1376" s="9"/>
      <x:c r="AN1376" s="9" t="n">
        <x:v>0</x:v>
      </x:c>
    </x:row>
    <x:row r="1377" ht="60" customHeight="1">
      <x:c r="A1377" s="9" t="str">
        <x:v>9uq_7Ut-WvQ</x:v>
      </x:c>
      <x:c r="B1377" s="10" t="str">
        <x:v>שיחה עם עודד הרוש: יעקב מרגי I התכנית המלאה</x:v>
      </x:c>
      <x:c r="C1377" s="10" t="str">
        <x:v>Люди Израиля</x:v>
      </x:c>
      <x:c r="D1377" s="9" t="str">
        <x:v>Интервью</x:v>
      </x:c>
      <x:c r="E1377" s="10" t="str">
        <x:v>Интервью; общество; традиционная аудитория</x:v>
      </x:c>
      <x:c r="F1377" s="10" t="str">
        <x:v>B2–C1 (гипотеза)</x:v>
      </x:c>
      <x:c r="G1377" s="12" t="n">
        <x:v>39.9</x:v>
      </x:c>
      <x:c r="H1377" s="14" t="n">
        <x:v>18000</x:v>
      </x:c>
      <x:c r="I1377" s="15" t="str">
        <x:v>Округлённый счётчик в списке YouTube</x:v>
      </x:c>
      <x:c r="J1377" s="14" t="n">
        <x:v>18000</x:v>
      </x:c>
      <x:c r="K1377" s="14" t="n">
        <x:v>19000</x:v>
      </x:c>
      <x:c r="L1377" s="12" t="n">
        <x:f>IF(COUNT(J1377:K1377)=2,IF(K1377=0,"",J1377/K1377),"")</x:f>
        <x:v>0.9473684210526315</x:v>
      </x:c>
      <x:c r="M1377" s="10" t="str">
        <x:v>Тема / гость: שיחה עם עודד הרוש: יעקב מרגי I התכנית המלאה. Дополняет биографические интервью другим ведущим и кругом гостей.</x:v>
      </x:c>
      <x:c r="N1377" s="10" t="str">
        <x:v>Выделить один тезис гостя, уточняющий вопрос и аргументы.</x:v>
      </x:c>
      <x:c r="O1377" s="10" t="str">
        <x:v>Общественно-политические взгляды; атрибутировать гостю</x:v>
      </x:c>
      <x:c r="P1377" s="10" t="str">
        <x:v>Длинное интервью</x:v>
      </x:c>
      <x:c r="Q1377" s="9" t="str">
        <x:v>Нет</x:v>
      </x:c>
      <x:c r="R1377" s="9" t="str">
        <x:v>C082</x:v>
      </x:c>
      <x:c r="S1377" s="9" t="str">
        <x:v>C082</x:v>
      </x:c>
      <x:c r="T1377" s="10" t="str">
        <x:v>C14</x:v>
      </x:c>
      <x:c r="U1377" s="11" t="str">
        <x:v>https://www.youtube.com/watch?v=9uq_7Ut-WvQ</x:v>
      </x:c>
      <x:c r="V1377" s="16" t="n">
        <x:v>46308</x:v>
      </x:c>
      <x:c r="W1377" s="16"/>
      <x:c r="X1377" s="10" t="str">
        <x:v>Иврит предполагается по заголовку и источнику</x:v>
      </x:c>
      <x:c r="Y1377" s="10" t="str">
        <x:v>Не проверено</x:v>
      </x:c>
      <x:c r="Z1377" s="10" t="str">
        <x:v>Не проверено</x:v>
      </x:c>
      <x:c r="AA1377" s="10" t="str">
        <x:v>Метаданные списка; видео не просмотрено</x:v>
      </x:c>
      <x:c r="AB1377" s="13" t="str">
        <x:f>IF(AND(ISNUMBER(H1377),ISNUMBER(W1377)),H1377/MAX(1,'Обзор'!$B$4-W1377),"")</x:f>
      </x:c>
      <x:c r="AC1377" s="17" t="str">
        <x:v>Не решено</x:v>
      </x:c>
      <x:c r="AD1377" s="17" t="str">
        <x:v>Не проверено</x:v>
      </x:c>
      <x:c r="AE1377" s="17" t="str">
        <x:v>Не проверено</x:v>
      </x:c>
      <x:c r="AF1377" s="17" t="str">
        <x:v>Не проверено</x:v>
      </x:c>
      <x:c r="AG1377" s="17" t="str">
        <x:v>Не решено</x:v>
      </x:c>
      <x:c r="AH1377" s="17" t="str">
        <x:v>Не проверено</x:v>
      </x:c>
      <x:c r="AI1377" s="10" t="str">
        <x:f>IF(AC1377="Отклонить","Отклонено",IF(AND(AC1377="Взять",COUNTIFS(AD1377:AH1377,"Да")=5),"Готово","Нужна редактура"))</x:f>
        <x:v>Нужна редактура</x:v>
      </x:c>
      <x:c r="AJ1377" s="17" t="str"/>
      <x:c r="AK1377" s="9" t="str">
        <x:v>https://www.youtube.com/playlist?list=PL8E54R76rowCtmv0gKg7TZZ-ezCs6ykBX</x:v>
      </x:c>
      <x:c r="AL1377" s="9" t="n">
        <x:v>8</x:v>
      </x:c>
      <x:c r="AM1377" s="9"/>
      <x:c r="AN1377" s="9"/>
    </x:row>
    <x:row r="1378" ht="60" customHeight="1">
      <x:c r="A1378" s="9" t="str">
        <x:v>tZexaZskz44</x:v>
      </x:c>
      <x:c r="B1378" s="10" t="str">
        <x:v>שיחה עם עודד הרוש: הפעיל מוטי בבצ'יק I התכנית המלאה</x:v>
      </x:c>
      <x:c r="C1378" s="10" t="str">
        <x:v>Люди Израиля</x:v>
      </x:c>
      <x:c r="D1378" s="9" t="str">
        <x:v>Интервью</x:v>
      </x:c>
      <x:c r="E1378" s="10" t="str">
        <x:v>Интервью; общество; традиционная аудитория</x:v>
      </x:c>
      <x:c r="F1378" s="10" t="str">
        <x:v>B2–C1 (гипотеза)</x:v>
      </x:c>
      <x:c r="G1378" s="12" t="n">
        <x:v>37.5</x:v>
      </x:c>
      <x:c r="H1378" s="14" t="n">
        <x:v>29360</x:v>
      </x:c>
      <x:c r="I1378" s="15" t="str">
        <x:v>Точный счётчик метаданных видео</x:v>
      </x:c>
      <x:c r="J1378" s="14" t="n">
        <x:v>29000</x:v>
      </x:c>
      <x:c r="K1378" s="14" t="n">
        <x:v>19000</x:v>
      </x:c>
      <x:c r="L1378" s="12" t="n">
        <x:f>IF(COUNT(J1378:K1378)=2,IF(K1378=0,"",J1378/K1378),"")</x:f>
        <x:v>1.5263157894736843</x:v>
      </x:c>
      <x:c r="M1378" s="10" t="str">
        <x:v>Тема / гость: שיחה עם עודד הרוש: הפעיל מוטי בבצ'יק I התכנית המלאה. Просмотры в списке выше медианы выборки этого цикла в 1.53 раза. Дополняет биографические интервью другим ведущим и кругом гостей.</x:v>
      </x:c>
      <x:c r="N1378" s="10" t="str">
        <x:v>Выделить один тезис гостя, уточняющий вопрос и аргументы.</x:v>
      </x:c>
      <x:c r="O1378" s="10" t="str">
        <x:v>Общественно-политические взгляды; атрибутировать гостю</x:v>
      </x:c>
      <x:c r="P1378" s="10" t="str">
        <x:v>Длинное интервью</x:v>
      </x:c>
      <x:c r="Q1378" s="9" t="str">
        <x:v>Нет</x:v>
      </x:c>
      <x:c r="R1378" s="9" t="str">
        <x:v>C082</x:v>
      </x:c>
      <x:c r="S1378" s="9" t="str">
        <x:v>C082</x:v>
      </x:c>
      <x:c r="T1378" s="10" t="str">
        <x:v>C14</x:v>
      </x:c>
      <x:c r="U1378" s="11" t="str">
        <x:v>https://www.youtube.com/watch?v=tZexaZskz44</x:v>
      </x:c>
      <x:c r="V1378" s="16" t="n">
        <x:v>46308</x:v>
      </x:c>
      <x:c r="W1378" s="16" t="n">
        <x:v>46256</x:v>
      </x:c>
      <x:c r="X1378" s="10" t="str">
        <x:v>Иврит предполагается по заголовку и источнику</x:v>
      </x:c>
      <x:c r="Y1378" s="10" t="str">
        <x:v>Автоматическая дорожка HE по метаданным</x:v>
      </x:c>
      <x:c r="Z1378" s="10" t="str">
        <x:v>Разрешено по метаданным</x:v>
      </x:c>
      <x:c r="AA1378" s="10" t="str">
        <x:v>Метаданные видео; воспроизведение и содержание не проверены</x:v>
      </x:c>
      <x:c r="AB1378" s="13" t="n">
        <x:f>IF(AND(ISNUMBER(H1378),ISNUMBER(W1378)),H1378/MAX(1,'Обзор'!$B$4-W1378),"")</x:f>
        <x:v>564.6153846153846</x:v>
      </x:c>
      <x:c r="AC1378" s="17" t="str">
        <x:v>Не решено</x:v>
      </x:c>
      <x:c r="AD1378" s="17" t="str">
        <x:v>Не проверено</x:v>
      </x:c>
      <x:c r="AE1378" s="17" t="str">
        <x:v>Не проверено</x:v>
      </x:c>
      <x:c r="AF1378" s="17" t="str">
        <x:v>Не проверено</x:v>
      </x:c>
      <x:c r="AG1378" s="17" t="str">
        <x:v>Не решено</x:v>
      </x:c>
      <x:c r="AH1378" s="17" t="str">
        <x:v>Не проверено</x:v>
      </x:c>
      <x:c r="AI1378" s="10" t="str">
        <x:f>IF(AC1378="Отклонить","Отклонено",IF(AND(AC1378="Взять",COUNTIFS(AD1378:AH1378,"Да")=5),"Готово","Нужна редактура"))</x:f>
        <x:v>Нужна редактура</x:v>
      </x:c>
      <x:c r="AJ1378" s="17" t="str"/>
      <x:c r="AK1378" s="9" t="str">
        <x:v>https://www.youtube.com/playlist?list=PL8E54R76rowCtmv0gKg7TZZ-ezCs6ykBX</x:v>
      </x:c>
      <x:c r="AL1378" s="9" t="n">
        <x:v>9</x:v>
      </x:c>
      <x:c r="AM1378" s="9"/>
      <x:c r="AN1378" s="9" t="n">
        <x:v>0</x:v>
      </x:c>
    </x:row>
    <x:row r="1379" ht="60" customHeight="1">
      <x:c r="A1379" s="9" t="str">
        <x:v>Wxzu2Ky6UCE</x:v>
      </x:c>
      <x:c r="B1379" s="10" t="str">
        <x:v>מוטי בבצ'יק על חוק הגיוס שהובטח לו שיקודם בראשית ימיה של הממשלה</x:v>
      </x:c>
      <x:c r="C1379" s="10" t="str">
        <x:v>Люди Израиля</x:v>
      </x:c>
      <x:c r="D1379" s="9" t="str">
        <x:v>Интервью</x:v>
      </x:c>
      <x:c r="E1379" s="10" t="str">
        <x:v>Интервью; общество; традиционная аудитория</x:v>
      </x:c>
      <x:c r="F1379" s="10" t="str">
        <x:v>B2–C1 (гипотеза)</x:v>
      </x:c>
      <x:c r="G1379" s="12" t="n">
        <x:v>1.4</x:v>
      </x:c>
      <x:c r="H1379" s="14" t="n">
        <x:v>65167</x:v>
      </x:c>
      <x:c r="I1379" s="15" t="str">
        <x:v>Точный счётчик метаданных видео</x:v>
      </x:c>
      <x:c r="J1379" s="14" t="n">
        <x:v>65000</x:v>
      </x:c>
      <x:c r="K1379" s="14" t="n">
        <x:v>19000</x:v>
      </x:c>
      <x:c r="L1379" s="12" t="n">
        <x:f>IF(COUNT(J1379:K1379)=2,IF(K1379=0,"",J1379/K1379),"")</x:f>
        <x:v>3.4210526315789473</x:v>
      </x:c>
      <x:c r="M1379" s="10" t="str">
        <x:v>Тема / гость: מוטי בבצ'יק על חוק הגיוס שהובטח לו שיקודם בראשית ימיה של הממשלה. Просмотры в списке выше медианы выборки этого цикла в 3.42 раза. Дополняет биографические интервью другим ведущим и кругом гостей.</x:v>
      </x:c>
      <x:c r="N1379" s="10" t="str">
        <x:v>Выделить один тезис гостя, уточняющий вопрос и аргументы.</x:v>
      </x:c>
      <x:c r="O1379" s="10" t="str">
        <x:v>Общественно-политические взгляды; атрибутировать гостю</x:v>
      </x:c>
      <x:c r="P1379" s="10" t="str">
        <x:v>Короткое интервью / фрагмент</x:v>
      </x:c>
      <x:c r="Q1379" s="9" t="str">
        <x:v>Нет</x:v>
      </x:c>
      <x:c r="R1379" s="9" t="str">
        <x:v>C082</x:v>
      </x:c>
      <x:c r="S1379" s="9" t="str">
        <x:v>C082</x:v>
      </x:c>
      <x:c r="T1379" s="10" t="str">
        <x:v>C14</x:v>
      </x:c>
      <x:c r="U1379" s="11" t="str">
        <x:v>https://www.youtube.com/watch?v=Wxzu2Ky6UCE</x:v>
      </x:c>
      <x:c r="V1379" s="16" t="n">
        <x:v>46308</x:v>
      </x:c>
      <x:c r="W1379" s="16" t="n">
        <x:v>46251</x:v>
      </x:c>
      <x:c r="X1379" s="10" t="str">
        <x:v>Иврит предполагается по заголовку и источнику</x:v>
      </x:c>
      <x:c r="Y1379" s="10" t="str">
        <x:v>Автоматическая дорожка HE по метаданным</x:v>
      </x:c>
      <x:c r="Z1379" s="10" t="str">
        <x:v>Разрешено по метаданным</x:v>
      </x:c>
      <x:c r="AA1379" s="10" t="str">
        <x:v>Метаданные видео; воспроизведение и содержание не проверены</x:v>
      </x:c>
      <x:c r="AB1379" s="13" t="n">
        <x:f>IF(AND(ISNUMBER(H1379),ISNUMBER(W1379)),H1379/MAX(1,'Обзор'!$B$4-W1379),"")</x:f>
        <x:v>1143.280701754386</x:v>
      </x:c>
      <x:c r="AC1379" s="17" t="str">
        <x:v>Не решено</x:v>
      </x:c>
      <x:c r="AD1379" s="17" t="str">
        <x:v>Не проверено</x:v>
      </x:c>
      <x:c r="AE1379" s="17" t="str">
        <x:v>Не проверено</x:v>
      </x:c>
      <x:c r="AF1379" s="17" t="str">
        <x:v>Не проверено</x:v>
      </x:c>
      <x:c r="AG1379" s="17" t="str">
        <x:v>Не решено</x:v>
      </x:c>
      <x:c r="AH1379" s="17" t="str">
        <x:v>Не проверено</x:v>
      </x:c>
      <x:c r="AI1379" s="10" t="str">
        <x:f>IF(AC1379="Отклонить","Отклонено",IF(AND(AC1379="Взять",COUNTIFS(AD1379:AH1379,"Да")=5),"Готово","Нужна редактура"))</x:f>
        <x:v>Нужна редактура</x:v>
      </x:c>
      <x:c r="AJ1379" s="17" t="str"/>
      <x:c r="AK1379" s="9" t="str">
        <x:v>https://www.youtube.com/playlist?list=PL8E54R76rowCtmv0gKg7TZZ-ezCs6ykBX</x:v>
      </x:c>
      <x:c r="AL1379" s="9" t="n">
        <x:v>10</x:v>
      </x:c>
      <x:c r="AM1379" s="9"/>
      <x:c r="AN1379" s="9" t="n">
        <x:v>0</x:v>
      </x:c>
    </x:row>
    <x:row r="1380" ht="60" customHeight="1">
      <x:c r="A1380" s="9" t="str">
        <x:v>s7ROzA1HYSY</x:v>
      </x:c>
      <x:c r="B1380" s="10" t="str">
        <x:v>שיחה עם עודד הרוש: יועז הנדל I התכנית המלאה</x:v>
      </x:c>
      <x:c r="C1380" s="10" t="str">
        <x:v>Люди Израиля</x:v>
      </x:c>
      <x:c r="D1380" s="9" t="str">
        <x:v>Интервью</x:v>
      </x:c>
      <x:c r="E1380" s="10" t="str">
        <x:v>Интервью; общество; традиционная аудитория</x:v>
      </x:c>
      <x:c r="F1380" s="10" t="str">
        <x:v>B2–C1 (гипотеза)</x:v>
      </x:c>
      <x:c r="G1380" s="12" t="n">
        <x:v>44.7</x:v>
      </x:c>
      <x:c r="H1380" s="14" t="n">
        <x:v>16000</x:v>
      </x:c>
      <x:c r="I1380" s="15" t="str">
        <x:v>Округлённый счётчик в списке YouTube</x:v>
      </x:c>
      <x:c r="J1380" s="14" t="n">
        <x:v>16000</x:v>
      </x:c>
      <x:c r="K1380" s="14" t="n">
        <x:v>19000</x:v>
      </x:c>
      <x:c r="L1380" s="12" t="n">
        <x:f>IF(COUNT(J1380:K1380)=2,IF(K1380=0,"",J1380/K1380),"")</x:f>
        <x:v>0.8421052631578947</x:v>
      </x:c>
      <x:c r="M1380" s="10" t="str">
        <x:v>Тема / гость: שיחה עם עודד הרוש: יועז הנדל I התכנית המלאה. Дополняет биографические интервью другим ведущим и кругом гостей.</x:v>
      </x:c>
      <x:c r="N1380" s="10" t="str">
        <x:v>Выделить один тезис гостя, уточняющий вопрос и аргументы.</x:v>
      </x:c>
      <x:c r="O1380" s="10" t="str">
        <x:v>Общественно-политические взгляды; атрибутировать гостю</x:v>
      </x:c>
      <x:c r="P1380" s="10" t="str">
        <x:v>Длинное интервью</x:v>
      </x:c>
      <x:c r="Q1380" s="9" t="str">
        <x:v>Нет</x:v>
      </x:c>
      <x:c r="R1380" s="9" t="str">
        <x:v>C082</x:v>
      </x:c>
      <x:c r="S1380" s="9" t="str">
        <x:v>C082</x:v>
      </x:c>
      <x:c r="T1380" s="10" t="str">
        <x:v>C14</x:v>
      </x:c>
      <x:c r="U1380" s="11" t="str">
        <x:v>https://www.youtube.com/watch?v=s7ROzA1HYSY</x:v>
      </x:c>
      <x:c r="V1380" s="16" t="n">
        <x:v>46308</x:v>
      </x:c>
      <x:c r="W1380" s="16"/>
      <x:c r="X1380" s="10" t="str">
        <x:v>Иврит предполагается по заголовку и источнику</x:v>
      </x:c>
      <x:c r="Y1380" s="10" t="str">
        <x:v>Не проверено</x:v>
      </x:c>
      <x:c r="Z1380" s="10" t="str">
        <x:v>Не проверено</x:v>
      </x:c>
      <x:c r="AA1380" s="10" t="str">
        <x:v>Метаданные списка; видео не просмотрено</x:v>
      </x:c>
      <x:c r="AB1380" s="13" t="str">
        <x:f>IF(AND(ISNUMBER(H1380),ISNUMBER(W1380)),H1380/MAX(1,'Обзор'!$B$4-W1380),"")</x:f>
      </x:c>
      <x:c r="AC1380" s="17" t="str">
        <x:v>Не решено</x:v>
      </x:c>
      <x:c r="AD1380" s="17" t="str">
        <x:v>Не проверено</x:v>
      </x:c>
      <x:c r="AE1380" s="17" t="str">
        <x:v>Не проверено</x:v>
      </x:c>
      <x:c r="AF1380" s="17" t="str">
        <x:v>Не проверено</x:v>
      </x:c>
      <x:c r="AG1380" s="17" t="str">
        <x:v>Не решено</x:v>
      </x:c>
      <x:c r="AH1380" s="17" t="str">
        <x:v>Не проверено</x:v>
      </x:c>
      <x:c r="AI1380" s="10" t="str">
        <x:f>IF(AC1380="Отклонить","Отклонено",IF(AND(AC1380="Взять",COUNTIFS(AD1380:AH1380,"Да")=5),"Готово","Нужна редактура"))</x:f>
        <x:v>Нужна редактура</x:v>
      </x:c>
      <x:c r="AJ1380" s="17" t="str"/>
      <x:c r="AK1380" s="9" t="str">
        <x:v>https://www.youtube.com/playlist?list=PL8E54R76rowCtmv0gKg7TZZ-ezCs6ykBX</x:v>
      </x:c>
      <x:c r="AL1380" s="9" t="n">
        <x:v>11</x:v>
      </x:c>
      <x:c r="AM1380" s="9"/>
      <x:c r="AN1380" s="9"/>
    </x:row>
    <x:row r="1381" ht="60" customHeight="1">
      <x:c r="A1381" s="9" t="str">
        <x:v>laFpWgaB11U</x:v>
      </x:c>
      <x:c r="B1381" s="10" t="str">
        <x:v>שיחה עם עודד הרוש: עדן הראל I התכנית המלאה</x:v>
      </x:c>
      <x:c r="C1381" s="10" t="str">
        <x:v>Люди Израиля</x:v>
      </x:c>
      <x:c r="D1381" s="9" t="str">
        <x:v>Интервью</x:v>
      </x:c>
      <x:c r="E1381" s="10" t="str">
        <x:v>Интервью; общество; традиционная аудитория</x:v>
      </x:c>
      <x:c r="F1381" s="10" t="str">
        <x:v>B2–C1 (гипотеза)</x:v>
      </x:c>
      <x:c r="G1381" s="12" t="n">
        <x:v>35.8</x:v>
      </x:c>
      <x:c r="H1381" s="14" t="n">
        <x:v>28746</x:v>
      </x:c>
      <x:c r="I1381" s="15" t="str">
        <x:v>Точный счётчик метаданных видео</x:v>
      </x:c>
      <x:c r="J1381" s="14" t="n">
        <x:v>28000</x:v>
      </x:c>
      <x:c r="K1381" s="14" t="n">
        <x:v>19000</x:v>
      </x:c>
      <x:c r="L1381" s="12" t="n">
        <x:f>IF(COUNT(J1381:K1381)=2,IF(K1381=0,"",J1381/K1381),"")</x:f>
        <x:v>1.4736842105263157</x:v>
      </x:c>
      <x:c r="M1381" s="10" t="str">
        <x:v>Тема / гость: שיחה עם עודד הרוש: עדן הראל I התכנית המלאה. Дополняет биографические интервью другим ведущим и кругом гостей.</x:v>
      </x:c>
      <x:c r="N1381" s="10" t="str">
        <x:v>Выделить один тезис гостя, уточняющий вопрос и аргументы.</x:v>
      </x:c>
      <x:c r="O1381" s="10" t="str">
        <x:v>Общественно-политические взгляды; атрибутировать гостю</x:v>
      </x:c>
      <x:c r="P1381" s="10" t="str">
        <x:v>Длинное интервью</x:v>
      </x:c>
      <x:c r="Q1381" s="9" t="str">
        <x:v>Нет</x:v>
      </x:c>
      <x:c r="R1381" s="9" t="str">
        <x:v>C082</x:v>
      </x:c>
      <x:c r="S1381" s="9" t="str">
        <x:v>C082</x:v>
      </x:c>
      <x:c r="T1381" s="10" t="str">
        <x:v>C14</x:v>
      </x:c>
      <x:c r="U1381" s="11" t="str">
        <x:v>https://www.youtube.com/watch?v=laFpWgaB11U</x:v>
      </x:c>
      <x:c r="V1381" s="16" t="n">
        <x:v>46308</x:v>
      </x:c>
      <x:c r="W1381" s="16" t="n">
        <x:v>46235</x:v>
      </x:c>
      <x:c r="X1381" s="10" t="str">
        <x:v>Иврит предполагается по заголовку и источнику</x:v>
      </x:c>
      <x:c r="Y1381" s="10" t="str">
        <x:v>Автоматическая дорожка HE по метаданным</x:v>
      </x:c>
      <x:c r="Z1381" s="10" t="str">
        <x:v>Разрешено по метаданным</x:v>
      </x:c>
      <x:c r="AA1381" s="10" t="str">
        <x:v>Метаданные видео; воспроизведение и содержание не проверены</x:v>
      </x:c>
      <x:c r="AB1381" s="13" t="n">
        <x:f>IF(AND(ISNUMBER(H1381),ISNUMBER(W1381)),H1381/MAX(1,'Обзор'!$B$4-W1381),"")</x:f>
        <x:v>393.7808219178082</x:v>
      </x:c>
      <x:c r="AC1381" s="17" t="str">
        <x:v>Не решено</x:v>
      </x:c>
      <x:c r="AD1381" s="17" t="str">
        <x:v>Не проверено</x:v>
      </x:c>
      <x:c r="AE1381" s="17" t="str">
        <x:v>Не проверено</x:v>
      </x:c>
      <x:c r="AF1381" s="17" t="str">
        <x:v>Не проверено</x:v>
      </x:c>
      <x:c r="AG1381" s="17" t="str">
        <x:v>Не решено</x:v>
      </x:c>
      <x:c r="AH1381" s="17" t="str">
        <x:v>Не проверено</x:v>
      </x:c>
      <x:c r="AI1381" s="10" t="str">
        <x:f>IF(AC1381="Отклонить","Отклонено",IF(AND(AC1381="Взять",COUNTIFS(AD1381:AH1381,"Да")=5),"Готово","Нужна редактура"))</x:f>
        <x:v>Нужна редактура</x:v>
      </x:c>
      <x:c r="AJ1381" s="17" t="str"/>
      <x:c r="AK1381" s="9" t="str">
        <x:v>https://www.youtube.com/playlist?list=PL8E54R76rowCtmv0gKg7TZZ-ezCs6ykBX</x:v>
      </x:c>
      <x:c r="AL1381" s="9" t="n">
        <x:v>12</x:v>
      </x:c>
      <x:c r="AM1381" s="9"/>
      <x:c r="AN1381" s="9" t="n">
        <x:v>0</x:v>
      </x:c>
    </x:row>
    <x:row r="1382" ht="60" customHeight="1">
      <x:c r="A1382" s="9" t="str">
        <x:v>v0OP2K9Bkng</x:v>
      </x:c>
      <x:c r="B1382" s="10" t="str">
        <x:v>שיחה עם עודד הרוש: שר המשפטים יריב לוין I התכנית המלאה</x:v>
      </x:c>
      <x:c r="C1382" s="10" t="str">
        <x:v>Люди Израиля</x:v>
      </x:c>
      <x:c r="D1382" s="9" t="str">
        <x:v>Интервью</x:v>
      </x:c>
      <x:c r="E1382" s="10" t="str">
        <x:v>Интервью; общество; традиционная аудитория</x:v>
      </x:c>
      <x:c r="F1382" s="10" t="str">
        <x:v>B2–C1 (гипотеза)</x:v>
      </x:c>
      <x:c r="G1382" s="12" t="n">
        <x:v>46.4</x:v>
      </x:c>
      <x:c r="H1382" s="14" t="n">
        <x:v>7100</x:v>
      </x:c>
      <x:c r="I1382" s="15" t="str">
        <x:v>Округлённый счётчик в списке YouTube</x:v>
      </x:c>
      <x:c r="J1382" s="14" t="n">
        <x:v>7100</x:v>
      </x:c>
      <x:c r="K1382" s="14" t="n">
        <x:v>19000</x:v>
      </x:c>
      <x:c r="L1382" s="12" t="n">
        <x:f>IF(COUNT(J1382:K1382)=2,IF(K1382=0,"",J1382/K1382),"")</x:f>
        <x:v>0.3736842105263158</x:v>
      </x:c>
      <x:c r="M1382" s="10" t="str">
        <x:v>Тема / гость: שיחה עם עודד הרוש: שר המשפטים יריב לוין I התכנית המלאה. Просмотры ниже медианы цикла; выбирать за нишевую ценность, а не за массовый охват. Дополняет биографические интервью другим ведущим и кругом гостей.</x:v>
      </x:c>
      <x:c r="N1382" s="10" t="str">
        <x:v>Выделить один тезис гостя, уточняющий вопрос и аргументы.</x:v>
      </x:c>
      <x:c r="O1382" s="10" t="str">
        <x:v>Общественно-политические взгляды; атрибутировать гостю</x:v>
      </x:c>
      <x:c r="P1382" s="10" t="str">
        <x:v>Длинное интервью</x:v>
      </x:c>
      <x:c r="Q1382" s="9" t="str">
        <x:v>Нет</x:v>
      </x:c>
      <x:c r="R1382" s="9" t="str">
        <x:v>C082</x:v>
      </x:c>
      <x:c r="S1382" s="9" t="str">
        <x:v>C082</x:v>
      </x:c>
      <x:c r="T1382" s="10" t="str">
        <x:v>C14</x:v>
      </x:c>
      <x:c r="U1382" s="11" t="str">
        <x:v>https://www.youtube.com/watch?v=v0OP2K9Bkng</x:v>
      </x:c>
      <x:c r="V1382" s="16" t="n">
        <x:v>46308</x:v>
      </x:c>
      <x:c r="W1382" s="16"/>
      <x:c r="X1382" s="10" t="str">
        <x:v>Иврит предполагается по заголовку и источнику</x:v>
      </x:c>
      <x:c r="Y1382" s="10" t="str">
        <x:v>Не проверено</x:v>
      </x:c>
      <x:c r="Z1382" s="10" t="str">
        <x:v>Не проверено</x:v>
      </x:c>
      <x:c r="AA1382" s="10" t="str">
        <x:v>Метаданные списка; видео не просмотрено</x:v>
      </x:c>
      <x:c r="AB1382" s="13" t="str">
        <x:f>IF(AND(ISNUMBER(H1382),ISNUMBER(W1382)),H1382/MAX(1,'Обзор'!$B$4-W1382),"")</x:f>
      </x:c>
      <x:c r="AC1382" s="17" t="str">
        <x:v>Не решено</x:v>
      </x:c>
      <x:c r="AD1382" s="17" t="str">
        <x:v>Не проверено</x:v>
      </x:c>
      <x:c r="AE1382" s="17" t="str">
        <x:v>Не проверено</x:v>
      </x:c>
      <x:c r="AF1382" s="17" t="str">
        <x:v>Не проверено</x:v>
      </x:c>
      <x:c r="AG1382" s="17" t="str">
        <x:v>Не решено</x:v>
      </x:c>
      <x:c r="AH1382" s="17" t="str">
        <x:v>Не проверено</x:v>
      </x:c>
      <x:c r="AI1382" s="10" t="str">
        <x:f>IF(AC1382="Отклонить","Отклонено",IF(AND(AC1382="Взять",COUNTIFS(AD1382:AH1382,"Да")=5),"Готово","Нужна редактура"))</x:f>
        <x:v>Нужна редактура</x:v>
      </x:c>
      <x:c r="AJ1382" s="17" t="str"/>
      <x:c r="AK1382" s="9" t="str">
        <x:v>https://www.youtube.com/playlist?list=PL8E54R76rowCtmv0gKg7TZZ-ezCs6ykBX</x:v>
      </x:c>
      <x:c r="AL1382" s="9" t="n">
        <x:v>13</x:v>
      </x:c>
      <x:c r="AM1382" s="9"/>
      <x:c r="AN1382" s="9"/>
    </x:row>
    <x:row r="1383" ht="60" customHeight="1">
      <x:c r="A1383" s="9" t="str">
        <x:v>xPGTMvlS1Yc</x:v>
      </x:c>
      <x:c r="B1383" s="10" t="str">
        <x:v>שיחה עם עודד הרוש: חיים ילין I התכנית המלאה</x:v>
      </x:c>
      <x:c r="C1383" s="10" t="str">
        <x:v>Люди Израиля</x:v>
      </x:c>
      <x:c r="D1383" s="9" t="str">
        <x:v>Интервью</x:v>
      </x:c>
      <x:c r="E1383" s="10" t="str">
        <x:v>Интервью; общество; традиционная аудитория</x:v>
      </x:c>
      <x:c r="F1383" s="10" t="str">
        <x:v>B2–C1 (гипотеза)</x:v>
      </x:c>
      <x:c r="G1383" s="12" t="n">
        <x:v>34.6</x:v>
      </x:c>
      <x:c r="H1383" s="14" t="n">
        <x:v>14000</x:v>
      </x:c>
      <x:c r="I1383" s="15" t="str">
        <x:v>Округлённый счётчик в списке YouTube</x:v>
      </x:c>
      <x:c r="J1383" s="14" t="n">
        <x:v>14000</x:v>
      </x:c>
      <x:c r="K1383" s="14" t="n">
        <x:v>19000</x:v>
      </x:c>
      <x:c r="L1383" s="12" t="n">
        <x:f>IF(COUNT(J1383:K1383)=2,IF(K1383=0,"",J1383/K1383),"")</x:f>
        <x:v>0.7368421052631579</x:v>
      </x:c>
      <x:c r="M1383" s="10" t="str">
        <x:v>Тема / гость: שיחה עם עודד הרוש: חיים ילין I התכנית המלאה. Дополняет биографические интервью другим ведущим и кругом гостей.</x:v>
      </x:c>
      <x:c r="N1383" s="10" t="str">
        <x:v>Выделить один тезис гостя, уточняющий вопрос и аргументы.</x:v>
      </x:c>
      <x:c r="O1383" s="10" t="str">
        <x:v>Общественно-политические взгляды; атрибутировать гостю</x:v>
      </x:c>
      <x:c r="P1383" s="10" t="str">
        <x:v>Длинное интервью</x:v>
      </x:c>
      <x:c r="Q1383" s="9" t="str">
        <x:v>Нет</x:v>
      </x:c>
      <x:c r="R1383" s="9" t="str">
        <x:v>C082</x:v>
      </x:c>
      <x:c r="S1383" s="9" t="str">
        <x:v>C082</x:v>
      </x:c>
      <x:c r="T1383" s="10" t="str">
        <x:v>C14</x:v>
      </x:c>
      <x:c r="U1383" s="11" t="str">
        <x:v>https://www.youtube.com/watch?v=xPGTMvlS1Yc</x:v>
      </x:c>
      <x:c r="V1383" s="16" t="n">
        <x:v>46308</x:v>
      </x:c>
      <x:c r="W1383" s="16"/>
      <x:c r="X1383" s="10" t="str">
        <x:v>Иврит предполагается по заголовку и источнику</x:v>
      </x:c>
      <x:c r="Y1383" s="10" t="str">
        <x:v>Не проверено</x:v>
      </x:c>
      <x:c r="Z1383" s="10" t="str">
        <x:v>Не проверено</x:v>
      </x:c>
      <x:c r="AA1383" s="10" t="str">
        <x:v>Метаданные списка; видео не просмотрено</x:v>
      </x:c>
      <x:c r="AB1383" s="13" t="str">
        <x:f>IF(AND(ISNUMBER(H1383),ISNUMBER(W1383)),H1383/MAX(1,'Обзор'!$B$4-W1383),"")</x:f>
      </x:c>
      <x:c r="AC1383" s="17" t="str">
        <x:v>Не решено</x:v>
      </x:c>
      <x:c r="AD1383" s="17" t="str">
        <x:v>Не проверено</x:v>
      </x:c>
      <x:c r="AE1383" s="17" t="str">
        <x:v>Не проверено</x:v>
      </x:c>
      <x:c r="AF1383" s="17" t="str">
        <x:v>Не проверено</x:v>
      </x:c>
      <x:c r="AG1383" s="17" t="str">
        <x:v>Не решено</x:v>
      </x:c>
      <x:c r="AH1383" s="17" t="str">
        <x:v>Не проверено</x:v>
      </x:c>
      <x:c r="AI1383" s="10" t="str">
        <x:f>IF(AC1383="Отклонить","Отклонено",IF(AND(AC1383="Взять",COUNTIFS(AD1383:AH1383,"Да")=5),"Готово","Нужна редактура"))</x:f>
        <x:v>Нужна редактура</x:v>
      </x:c>
      <x:c r="AJ1383" s="17" t="str"/>
      <x:c r="AK1383" s="9" t="str">
        <x:v>https://www.youtube.com/playlist?list=PL8E54R76rowCtmv0gKg7TZZ-ezCs6ykBX</x:v>
      </x:c>
      <x:c r="AL1383" s="9" t="n">
        <x:v>14</x:v>
      </x:c>
      <x:c r="AM1383" s="9"/>
      <x:c r="AN1383" s="9"/>
    </x:row>
    <x:row r="1384" ht="60" customHeight="1">
      <x:c r="A1384" s="9" t="str">
        <x:v>FLFpnGZ62Ek</x:v>
      </x:c>
      <x:c r="B1384" s="10" t="str">
        <x:v>שיחה עם עודד הרוש: ד"ר אבישי בן חיים I התכנית המלאה</x:v>
      </x:c>
      <x:c r="C1384" s="10" t="str">
        <x:v>Люди Израиля</x:v>
      </x:c>
      <x:c r="D1384" s="9" t="str">
        <x:v>Интервью</x:v>
      </x:c>
      <x:c r="E1384" s="10" t="str">
        <x:v>Интервью; общество; традиционная аудитория</x:v>
      </x:c>
      <x:c r="F1384" s="10" t="str">
        <x:v>B2–C1 (гипотеза)</x:v>
      </x:c>
      <x:c r="G1384" s="12" t="n">
        <x:v>36.4</x:v>
      </x:c>
      <x:c r="H1384" s="14" t="n">
        <x:v>20179</x:v>
      </x:c>
      <x:c r="I1384" s="15" t="str">
        <x:v>Точный счётчик метаданных видео</x:v>
      </x:c>
      <x:c r="J1384" s="14" t="n">
        <x:v>20000</x:v>
      </x:c>
      <x:c r="K1384" s="14" t="n">
        <x:v>19000</x:v>
      </x:c>
      <x:c r="L1384" s="12" t="n">
        <x:f>IF(COUNT(J1384:K1384)=2,IF(K1384=0,"",J1384/K1384),"")</x:f>
        <x:v>1.0526315789473684</x:v>
      </x:c>
      <x:c r="M1384" s="10" t="str">
        <x:v>Тема / гость: שיחה עם עודד הרוש: ד"ר אבישי בן חיים I התכנית המלאה. Дополняет биографические интервью другим ведущим и кругом гостей.</x:v>
      </x:c>
      <x:c r="N1384" s="10" t="str">
        <x:v>Выделить один тезис гостя, уточняющий вопрос и аргументы.</x:v>
      </x:c>
      <x:c r="O1384" s="10" t="str">
        <x:v>Общественно-политические взгляды; атрибутировать гостю</x:v>
      </x:c>
      <x:c r="P1384" s="10" t="str">
        <x:v>Длинное интервью</x:v>
      </x:c>
      <x:c r="Q1384" s="9" t="str">
        <x:v>Нет</x:v>
      </x:c>
      <x:c r="R1384" s="9" t="str">
        <x:v>C082</x:v>
      </x:c>
      <x:c r="S1384" s="9" t="str">
        <x:v>C082</x:v>
      </x:c>
      <x:c r="T1384" s="10" t="str">
        <x:v>C14</x:v>
      </x:c>
      <x:c r="U1384" s="11" t="str">
        <x:v>https://www.youtube.com/watch?v=FLFpnGZ62Ek</x:v>
      </x:c>
      <x:c r="V1384" s="16" t="n">
        <x:v>46308</x:v>
      </x:c>
      <x:c r="W1384" s="16" t="n">
        <x:v>46221</x:v>
      </x:c>
      <x:c r="X1384" s="10" t="str">
        <x:v>Иврит предполагается по заголовку и источнику</x:v>
      </x:c>
      <x:c r="Y1384" s="10" t="str">
        <x:v>Автоматическая дорожка HE по метаданным</x:v>
      </x:c>
      <x:c r="Z1384" s="10" t="str">
        <x:v>Разрешено по метаданным</x:v>
      </x:c>
      <x:c r="AA1384" s="10" t="str">
        <x:v>Метаданные видео; воспроизведение и содержание не проверены</x:v>
      </x:c>
      <x:c r="AB1384" s="13" t="n">
        <x:f>IF(AND(ISNUMBER(H1384),ISNUMBER(W1384)),H1384/MAX(1,'Обзор'!$B$4-W1384),"")</x:f>
        <x:v>231.94252873563218</x:v>
      </x:c>
      <x:c r="AC1384" s="17" t="str">
        <x:v>Не решено</x:v>
      </x:c>
      <x:c r="AD1384" s="17" t="str">
        <x:v>Не проверено</x:v>
      </x:c>
      <x:c r="AE1384" s="17" t="str">
        <x:v>Не проверено</x:v>
      </x:c>
      <x:c r="AF1384" s="17" t="str">
        <x:v>Не проверено</x:v>
      </x:c>
      <x:c r="AG1384" s="17" t="str">
        <x:v>Не решено</x:v>
      </x:c>
      <x:c r="AH1384" s="17" t="str">
        <x:v>Не проверено</x:v>
      </x:c>
      <x:c r="AI1384" s="10" t="str">
        <x:f>IF(AC1384="Отклонить","Отклонено",IF(AND(AC1384="Взять",COUNTIFS(AD1384:AH1384,"Да")=5),"Готово","Нужна редактура"))</x:f>
        <x:v>Нужна редактура</x:v>
      </x:c>
      <x:c r="AJ1384" s="17" t="str"/>
      <x:c r="AK1384" s="9" t="str">
        <x:v>https://www.youtube.com/playlist?list=PL8E54R76rowCtmv0gKg7TZZ-ezCs6ykBX</x:v>
      </x:c>
      <x:c r="AL1384" s="9" t="n">
        <x:v>15</x:v>
      </x:c>
      <x:c r="AM1384" s="9"/>
      <x:c r="AN1384" s="9" t="n">
        <x:v>0</x:v>
      </x:c>
    </x:row>
    <x:row r="1385" ht="60" customHeight="1">
      <x:c r="A1385" s="9" t="str">
        <x:v>dMK-3z92_ds</x:v>
      </x:c>
      <x:c r="B1385" s="10" t="str">
        <x:v>שיחה עם עודד הרוש: השחקן דין מירושניקוב I התכנית המלאה</x:v>
      </x:c>
      <x:c r="C1385" s="10" t="str">
        <x:v>Люди Израиля</x:v>
      </x:c>
      <x:c r="D1385" s="9" t="str">
        <x:v>Интервью</x:v>
      </x:c>
      <x:c r="E1385" s="10" t="str">
        <x:v>Интервью; общество; традиционная аудитория</x:v>
      </x:c>
      <x:c r="F1385" s="10" t="str">
        <x:v>B2–C1 (гипотеза)</x:v>
      </x:c>
      <x:c r="G1385" s="12" t="n">
        <x:v>34.5</x:v>
      </x:c>
      <x:c r="H1385" s="14" t="n">
        <x:v>24149</x:v>
      </x:c>
      <x:c r="I1385" s="15" t="str">
        <x:v>Точный счётчик метаданных видео</x:v>
      </x:c>
      <x:c r="J1385" s="14" t="n">
        <x:v>24000</x:v>
      </x:c>
      <x:c r="K1385" s="14" t="n">
        <x:v>19000</x:v>
      </x:c>
      <x:c r="L1385" s="12" t="n">
        <x:f>IF(COUNT(J1385:K1385)=2,IF(K1385=0,"",J1385/K1385),"")</x:f>
        <x:v>1.263157894736842</x:v>
      </x:c>
      <x:c r="M1385" s="10" t="str">
        <x:v>Тема / гость: שיחה עם עודד הרוש: השחקן דין מירושניקוב I התכנית המלאה. Дополняет биографические интервью другим ведущим и кругом гостей.</x:v>
      </x:c>
      <x:c r="N1385" s="10" t="str">
        <x:v>Выделить один тезис гостя, уточняющий вопрос и аргументы.</x:v>
      </x:c>
      <x:c r="O1385" s="10" t="str">
        <x:v>Общественно-политические взгляды; атрибутировать гостю</x:v>
      </x:c>
      <x:c r="P1385" s="10" t="str">
        <x:v>Длинное интервью</x:v>
      </x:c>
      <x:c r="Q1385" s="9" t="str">
        <x:v>Нет</x:v>
      </x:c>
      <x:c r="R1385" s="9" t="str">
        <x:v>C082</x:v>
      </x:c>
      <x:c r="S1385" s="9" t="str">
        <x:v>C082</x:v>
      </x:c>
      <x:c r="T1385" s="10" t="str">
        <x:v>C14</x:v>
      </x:c>
      <x:c r="U1385" s="11" t="str">
        <x:v>https://www.youtube.com/watch?v=dMK-3z92_ds</x:v>
      </x:c>
      <x:c r="V1385" s="16" t="n">
        <x:v>46308</x:v>
      </x:c>
      <x:c r="W1385" s="16" t="n">
        <x:v>46214</x:v>
      </x:c>
      <x:c r="X1385" s="10" t="str">
        <x:v>Иврит предполагается по заголовку и источнику</x:v>
      </x:c>
      <x:c r="Y1385" s="10" t="str">
        <x:v>Автоматическая дорожка HE по метаданным</x:v>
      </x:c>
      <x:c r="Z1385" s="10" t="str">
        <x:v>Разрешено по метаданным</x:v>
      </x:c>
      <x:c r="AA1385" s="10" t="str">
        <x:v>Метаданные видео; воспроизведение и содержание не проверены</x:v>
      </x:c>
      <x:c r="AB1385" s="13" t="n">
        <x:f>IF(AND(ISNUMBER(H1385),ISNUMBER(W1385)),H1385/MAX(1,'Обзор'!$B$4-W1385),"")</x:f>
        <x:v>256.90425531914894</x:v>
      </x:c>
      <x:c r="AC1385" s="17" t="str">
        <x:v>Не решено</x:v>
      </x:c>
      <x:c r="AD1385" s="17" t="str">
        <x:v>Не проверено</x:v>
      </x:c>
      <x:c r="AE1385" s="17" t="str">
        <x:v>Не проверено</x:v>
      </x:c>
      <x:c r="AF1385" s="17" t="str">
        <x:v>Не проверено</x:v>
      </x:c>
      <x:c r="AG1385" s="17" t="str">
        <x:v>Не решено</x:v>
      </x:c>
      <x:c r="AH1385" s="17" t="str">
        <x:v>Не проверено</x:v>
      </x:c>
      <x:c r="AI1385" s="10" t="str">
        <x:f>IF(AC1385="Отклонить","Отклонено",IF(AND(AC1385="Взять",COUNTIFS(AD1385:AH1385,"Да")=5),"Готово","Нужна редактура"))</x:f>
        <x:v>Нужна редактура</x:v>
      </x:c>
      <x:c r="AJ1385" s="17" t="str"/>
      <x:c r="AK1385" s="9" t="str">
        <x:v>https://www.youtube.com/playlist?list=PL8E54R76rowCtmv0gKg7TZZ-ezCs6ykBX</x:v>
      </x:c>
      <x:c r="AL1385" s="9" t="n">
        <x:v>16</x:v>
      </x:c>
      <x:c r="AM1385" s="9"/>
      <x:c r="AN1385" s="9" t="n">
        <x:v>0</x:v>
      </x:c>
    </x:row>
    <x:row r="1386" ht="60" customHeight="1">
      <x:c r="A1386" s="9" t="str">
        <x:v>MPvNogGRsO4</x:v>
      </x:c>
      <x:c r="B1386" s="10" t="str">
        <x:v>שיחה עם עודד הרוש: השרה מאי גולן I התכנית המלאה</x:v>
      </x:c>
      <x:c r="C1386" s="10" t="str">
        <x:v>Люди Израиля</x:v>
      </x:c>
      <x:c r="D1386" s="9" t="str">
        <x:v>Интервью</x:v>
      </x:c>
      <x:c r="E1386" s="10" t="str">
        <x:v>Интервью; общество; традиционная аудитория</x:v>
      </x:c>
      <x:c r="F1386" s="10" t="str">
        <x:v>B2–C1 (гипотеза)</x:v>
      </x:c>
      <x:c r="G1386" s="12" t="n">
        <x:v>40.4</x:v>
      </x:c>
      <x:c r="H1386" s="14" t="n">
        <x:v>20298</x:v>
      </x:c>
      <x:c r="I1386" s="15" t="str">
        <x:v>Точный счётчик метаданных видео</x:v>
      </x:c>
      <x:c r="J1386" s="14" t="n">
        <x:v>20000</x:v>
      </x:c>
      <x:c r="K1386" s="14" t="n">
        <x:v>19000</x:v>
      </x:c>
      <x:c r="L1386" s="12" t="n">
        <x:f>IF(COUNT(J1386:K1386)=2,IF(K1386=0,"",J1386/K1386),"")</x:f>
        <x:v>1.0526315789473684</x:v>
      </x:c>
      <x:c r="M1386" s="10" t="str">
        <x:v>Тема / гость: שיחה עם עודד הרוש: השרה מאי גולן I התכנית המלאה. Дополняет биографические интервью другим ведущим и кругом гостей.</x:v>
      </x:c>
      <x:c r="N1386" s="10" t="str">
        <x:v>Выделить один тезис гостя, уточняющий вопрос и аргументы.</x:v>
      </x:c>
      <x:c r="O1386" s="10" t="str">
        <x:v>Общественно-политические взгляды; атрибутировать гостю</x:v>
      </x:c>
      <x:c r="P1386" s="10" t="str">
        <x:v>Длинное интервью</x:v>
      </x:c>
      <x:c r="Q1386" s="9" t="str">
        <x:v>Нет</x:v>
      </x:c>
      <x:c r="R1386" s="9" t="str">
        <x:v>C082</x:v>
      </x:c>
      <x:c r="S1386" s="9" t="str">
        <x:v>C082</x:v>
      </x:c>
      <x:c r="T1386" s="10" t="str">
        <x:v>C14</x:v>
      </x:c>
      <x:c r="U1386" s="11" t="str">
        <x:v>https://www.youtube.com/watch?v=MPvNogGRsO4</x:v>
      </x:c>
      <x:c r="V1386" s="16" t="n">
        <x:v>46308</x:v>
      </x:c>
      <x:c r="W1386" s="16" t="n">
        <x:v>46207</x:v>
      </x:c>
      <x:c r="X1386" s="10" t="str">
        <x:v>Иврит предполагается по заголовку и источнику</x:v>
      </x:c>
      <x:c r="Y1386" s="10" t="str">
        <x:v>Автоматическая дорожка HE по метаданным</x:v>
      </x:c>
      <x:c r="Z1386" s="10" t="str">
        <x:v>Разрешено по метаданным</x:v>
      </x:c>
      <x:c r="AA1386" s="10" t="str">
        <x:v>Метаданные видео; воспроизведение и содержание не проверены</x:v>
      </x:c>
      <x:c r="AB1386" s="13" t="n">
        <x:f>IF(AND(ISNUMBER(H1386),ISNUMBER(W1386)),H1386/MAX(1,'Обзор'!$B$4-W1386),"")</x:f>
        <x:v>200.97029702970298</x:v>
      </x:c>
      <x:c r="AC1386" s="17" t="str">
        <x:v>Не решено</x:v>
      </x:c>
      <x:c r="AD1386" s="17" t="str">
        <x:v>Не проверено</x:v>
      </x:c>
      <x:c r="AE1386" s="17" t="str">
        <x:v>Не проверено</x:v>
      </x:c>
      <x:c r="AF1386" s="17" t="str">
        <x:v>Не проверено</x:v>
      </x:c>
      <x:c r="AG1386" s="17" t="str">
        <x:v>Не решено</x:v>
      </x:c>
      <x:c r="AH1386" s="17" t="str">
        <x:v>Не проверено</x:v>
      </x:c>
      <x:c r="AI1386" s="10" t="str">
        <x:f>IF(AC1386="Отклонить","Отклонено",IF(AND(AC1386="Взять",COUNTIFS(AD1386:AH1386,"Да")=5),"Готово","Нужна редактура"))</x:f>
        <x:v>Нужна редактура</x:v>
      </x:c>
      <x:c r="AJ1386" s="17" t="str"/>
      <x:c r="AK1386" s="9" t="str">
        <x:v>https://www.youtube.com/playlist?list=PL8E54R76rowCtmv0gKg7TZZ-ezCs6ykBX</x:v>
      </x:c>
      <x:c r="AL1386" s="9" t="n">
        <x:v>17</x:v>
      </x:c>
      <x:c r="AM1386" s="9"/>
      <x:c r="AN1386" s="9" t="n">
        <x:v>0</x:v>
      </x:c>
    </x:row>
    <x:row r="1387" ht="60" customHeight="1">
      <x:c r="A1387" s="9" t="str">
        <x:v>k_hb7CiIphs</x:v>
      </x:c>
      <x:c r="B1387" s="10" t="str">
        <x:v>שיחה עם עודד הרוש: הזמר אריאל הורוביץ I התכנית המלאה</x:v>
      </x:c>
      <x:c r="C1387" s="10" t="str">
        <x:v>Люди Израиля</x:v>
      </x:c>
      <x:c r="D1387" s="9" t="str">
        <x:v>Интервью</x:v>
      </x:c>
      <x:c r="E1387" s="10" t="str">
        <x:v>Интервью; общество; традиционная аудитория</x:v>
      </x:c>
      <x:c r="F1387" s="10" t="str">
        <x:v>B2–C1 (гипотеза)</x:v>
      </x:c>
      <x:c r="G1387" s="12" t="n">
        <x:v>32.5</x:v>
      </x:c>
      <x:c r="H1387" s="14" t="n">
        <x:v>10000</x:v>
      </x:c>
      <x:c r="I1387" s="15" t="str">
        <x:v>Округлённый счётчик в списке YouTube</x:v>
      </x:c>
      <x:c r="J1387" s="14" t="n">
        <x:v>10000</x:v>
      </x:c>
      <x:c r="K1387" s="14" t="n">
        <x:v>19000</x:v>
      </x:c>
      <x:c r="L1387" s="12" t="n">
        <x:f>IF(COUNT(J1387:K1387)=2,IF(K1387=0,"",J1387/K1387),"")</x:f>
        <x:v>0.5263157894736842</x:v>
      </x:c>
      <x:c r="M1387" s="10" t="str">
        <x:v>Тема / гость: שיחה עם עודד הרוש: הזמר אריאל הורוביץ I התכנית המלאה. Дополняет биографические интервью другим ведущим и кругом гостей.</x:v>
      </x:c>
      <x:c r="N1387" s="10" t="str">
        <x:v>Выделить один тезис гостя, уточняющий вопрос и аргументы.</x:v>
      </x:c>
      <x:c r="O1387" s="10" t="str">
        <x:v>Общественно-политические взгляды; атрибутировать гостю</x:v>
      </x:c>
      <x:c r="P1387" s="10" t="str">
        <x:v>Длинное интервью</x:v>
      </x:c>
      <x:c r="Q1387" s="9" t="str">
        <x:v>Нет</x:v>
      </x:c>
      <x:c r="R1387" s="9" t="str">
        <x:v>C082</x:v>
      </x:c>
      <x:c r="S1387" s="9" t="str">
        <x:v>C082</x:v>
      </x:c>
      <x:c r="T1387" s="10" t="str">
        <x:v>C14</x:v>
      </x:c>
      <x:c r="U1387" s="11" t="str">
        <x:v>https://www.youtube.com/watch?v=k_hb7CiIphs</x:v>
      </x:c>
      <x:c r="V1387" s="16" t="n">
        <x:v>46308</x:v>
      </x:c>
      <x:c r="W1387" s="16"/>
      <x:c r="X1387" s="10" t="str">
        <x:v>Иврит предполагается по заголовку и источнику</x:v>
      </x:c>
      <x:c r="Y1387" s="10" t="str">
        <x:v>Не проверено</x:v>
      </x:c>
      <x:c r="Z1387" s="10" t="str">
        <x:v>Не проверено</x:v>
      </x:c>
      <x:c r="AA1387" s="10" t="str">
        <x:v>Метаданные списка; видео не просмотрено</x:v>
      </x:c>
      <x:c r="AB1387" s="13" t="str">
        <x:f>IF(AND(ISNUMBER(H1387),ISNUMBER(W1387)),H1387/MAX(1,'Обзор'!$B$4-W1387),"")</x:f>
      </x:c>
      <x:c r="AC1387" s="17" t="str">
        <x:v>Не решено</x:v>
      </x:c>
      <x:c r="AD1387" s="17" t="str">
        <x:v>Не проверено</x:v>
      </x:c>
      <x:c r="AE1387" s="17" t="str">
        <x:v>Не проверено</x:v>
      </x:c>
      <x:c r="AF1387" s="17" t="str">
        <x:v>Не проверено</x:v>
      </x:c>
      <x:c r="AG1387" s="17" t="str">
        <x:v>Не решено</x:v>
      </x:c>
      <x:c r="AH1387" s="17" t="str">
        <x:v>Не проверено</x:v>
      </x:c>
      <x:c r="AI1387" s="10" t="str">
        <x:f>IF(AC1387="Отклонить","Отклонено",IF(AND(AC1387="Взять",COUNTIFS(AD1387:AH1387,"Да")=5),"Готово","Нужна редактура"))</x:f>
        <x:v>Нужна редактура</x:v>
      </x:c>
      <x:c r="AJ1387" s="17" t="str"/>
      <x:c r="AK1387" s="9" t="str">
        <x:v>https://www.youtube.com/playlist?list=PL8E54R76rowCtmv0gKg7TZZ-ezCs6ykBX</x:v>
      </x:c>
      <x:c r="AL1387" s="9" t="n">
        <x:v>18</x:v>
      </x:c>
      <x:c r="AM1387" s="9"/>
      <x:c r="AN1387" s="9"/>
    </x:row>
    <x:row r="1388" ht="60" customHeight="1">
      <x:c r="A1388" s="9" t="str">
        <x:v>A290EwjT1Xc</x:v>
      </x:c>
      <x:c r="B1388" s="10" t="str">
        <x:v>שיחה עם עודד הרוש: השר בצלאל סמוטריץ' I התכנית המלאה</x:v>
      </x:c>
      <x:c r="C1388" s="10" t="str">
        <x:v>Люди Израиля</x:v>
      </x:c>
      <x:c r="D1388" s="9" t="str">
        <x:v>Интервью</x:v>
      </x:c>
      <x:c r="E1388" s="10" t="str">
        <x:v>Интервью; общество; традиционная аудитория</x:v>
      </x:c>
      <x:c r="F1388" s="10" t="str">
        <x:v>B2–C1 (гипотеза)</x:v>
      </x:c>
      <x:c r="G1388" s="12" t="n">
        <x:v>43.1</x:v>
      </x:c>
      <x:c r="H1388" s="14" t="n">
        <x:v>40913</x:v>
      </x:c>
      <x:c r="I1388" s="15" t="str">
        <x:v>Точный счётчик метаданных видео</x:v>
      </x:c>
      <x:c r="J1388" s="14" t="n">
        <x:v>40000</x:v>
      </x:c>
      <x:c r="K1388" s="14" t="n">
        <x:v>19000</x:v>
      </x:c>
      <x:c r="L1388" s="12" t="n">
        <x:f>IF(COUNT(J1388:K1388)=2,IF(K1388=0,"",J1388/K1388),"")</x:f>
        <x:v>2.1052631578947367</x:v>
      </x:c>
      <x:c r="M1388" s="10" t="str">
        <x:v>Тема / гость: שיחה עם עודד הרוש: השר בצלאל סמוטריץ' I התכנית המלאה. Просмотры в списке выше медианы выборки этого цикла в 2.11 раза. Дополняет биографические интервью другим ведущим и кругом гостей.</x:v>
      </x:c>
      <x:c r="N1388" s="10" t="str">
        <x:v>Выделить один тезис гостя, уточняющий вопрос и аргументы.</x:v>
      </x:c>
      <x:c r="O1388" s="10" t="str">
        <x:v>Общественно-политические взгляды; атрибутировать гостю</x:v>
      </x:c>
      <x:c r="P1388" s="10" t="str">
        <x:v>Длинное интервью</x:v>
      </x:c>
      <x:c r="Q1388" s="9" t="str">
        <x:v>Нет</x:v>
      </x:c>
      <x:c r="R1388" s="9" t="str">
        <x:v>C082</x:v>
      </x:c>
      <x:c r="S1388" s="9" t="str">
        <x:v>C082</x:v>
      </x:c>
      <x:c r="T1388" s="10" t="str">
        <x:v>C14</x:v>
      </x:c>
      <x:c r="U1388" s="11" t="str">
        <x:v>https://www.youtube.com/watch?v=A290EwjT1Xc</x:v>
      </x:c>
      <x:c r="V1388" s="16" t="n">
        <x:v>46308</x:v>
      </x:c>
      <x:c r="W1388" s="16" t="n">
        <x:v>46193</x:v>
      </x:c>
      <x:c r="X1388" s="10" t="str">
        <x:v>iw</x:v>
      </x:c>
      <x:c r="Y1388" s="10" t="str">
        <x:v>Автоматическая дорожка HE по метаданным</x:v>
      </x:c>
      <x:c r="Z1388" s="10" t="str">
        <x:v>Разрешено по метаданным</x:v>
      </x:c>
      <x:c r="AA1388" s="10" t="str">
        <x:v>Метаданные видео; воспроизведение и содержание не проверены</x:v>
      </x:c>
      <x:c r="AB1388" s="13" t="n">
        <x:f>IF(AND(ISNUMBER(H1388),ISNUMBER(W1388)),H1388/MAX(1,'Обзор'!$B$4-W1388),"")</x:f>
        <x:v>355.76521739130436</x:v>
      </x:c>
      <x:c r="AC1388" s="17" t="str">
        <x:v>Не решено</x:v>
      </x:c>
      <x:c r="AD1388" s="17" t="str">
        <x:v>Не проверено</x:v>
      </x:c>
      <x:c r="AE1388" s="17" t="str">
        <x:v>Не проверено</x:v>
      </x:c>
      <x:c r="AF1388" s="17" t="str">
        <x:v>Не проверено</x:v>
      </x:c>
      <x:c r="AG1388" s="17" t="str">
        <x:v>Не решено</x:v>
      </x:c>
      <x:c r="AH1388" s="17" t="str">
        <x:v>Не проверено</x:v>
      </x:c>
      <x:c r="AI1388" s="10" t="str">
        <x:f>IF(AC1388="Отклонить","Отклонено",IF(AND(AC1388="Взять",COUNTIFS(AD1388:AH1388,"Да")=5),"Готово","Нужна редактура"))</x:f>
        <x:v>Нужна редактура</x:v>
      </x:c>
      <x:c r="AJ1388" s="17" t="str"/>
      <x:c r="AK1388" s="9" t="str">
        <x:v>https://www.youtube.com/playlist?list=PL8E54R76rowCtmv0gKg7TZZ-ezCs6ykBX</x:v>
      </x:c>
      <x:c r="AL1388" s="9" t="n">
        <x:v>19</x:v>
      </x:c>
      <x:c r="AM1388" s="9"/>
      <x:c r="AN1388" s="9" t="n">
        <x:v>0</x:v>
      </x:c>
    </x:row>
    <x:row r="1389" ht="60" customHeight="1">
      <x:c r="A1389" s="9" t="str">
        <x:v>TB3FBFBoA7o</x:v>
      </x:c>
      <x:c r="B1389" s="10" t="str">
        <x:v>שר האוצר בצלאל סמוטריץ' על המפלגות החרדיות: "הם עדיין בגלות"</x:v>
      </x:c>
      <x:c r="C1389" s="10" t="str">
        <x:v>Люди Израиля</x:v>
      </x:c>
      <x:c r="D1389" s="9" t="str">
        <x:v>Интервью</x:v>
      </x:c>
      <x:c r="E1389" s="10" t="str">
        <x:v>Интервью; общество; традиционная аудитория</x:v>
      </x:c>
      <x:c r="F1389" s="10" t="str">
        <x:v>B2–C1 (гипотеза)</x:v>
      </x:c>
      <x:c r="G1389" s="12" t="n">
        <x:v>1</x:v>
      </x:c>
      <x:c r="H1389" s="14" t="n">
        <x:v>23000</x:v>
      </x:c>
      <x:c r="I1389" s="15" t="str">
        <x:v>Округлённый счётчик в списке YouTube</x:v>
      </x:c>
      <x:c r="J1389" s="14" t="n">
        <x:v>23000</x:v>
      </x:c>
      <x:c r="K1389" s="14" t="n">
        <x:v>19000</x:v>
      </x:c>
      <x:c r="L1389" s="12" t="n">
        <x:f>IF(COUNT(J1389:K1389)=2,IF(K1389=0,"",J1389/K1389),"")</x:f>
        <x:v>1.2105263157894737</x:v>
      </x:c>
      <x:c r="M1389" s="10" t="str">
        <x:v>Тема / гость: שר האוצר בצלאל סמוטריץ' על המפלגות החרדיות: "הם עדיין בגלות". Дополняет биографические интервью другим ведущим и кругом гостей.</x:v>
      </x:c>
      <x:c r="N1389" s="10" t="str">
        <x:v>Выделить один тезис гостя, уточняющий вопрос и аргументы.</x:v>
      </x:c>
      <x:c r="O1389" s="10" t="str">
        <x:v>Общественно-политические взгляды; атрибутировать гостю</x:v>
      </x:c>
      <x:c r="P1389" s="10" t="str">
        <x:v>Короткое интервью / фрагмент</x:v>
      </x:c>
      <x:c r="Q1389" s="9" t="str">
        <x:v>Нет</x:v>
      </x:c>
      <x:c r="R1389" s="9" t="str">
        <x:v>C082</x:v>
      </x:c>
      <x:c r="S1389" s="9" t="str">
        <x:v>C082</x:v>
      </x:c>
      <x:c r="T1389" s="10" t="str">
        <x:v>C14</x:v>
      </x:c>
      <x:c r="U1389" s="11" t="str">
        <x:v>https://www.youtube.com/watch?v=TB3FBFBoA7o</x:v>
      </x:c>
      <x:c r="V1389" s="16" t="n">
        <x:v>46308</x:v>
      </x:c>
      <x:c r="W1389" s="16"/>
      <x:c r="X1389" s="10" t="str">
        <x:v>Иврит предполагается по заголовку и источнику</x:v>
      </x:c>
      <x:c r="Y1389" s="10" t="str">
        <x:v>Не проверено</x:v>
      </x:c>
      <x:c r="Z1389" s="10" t="str">
        <x:v>Не проверено</x:v>
      </x:c>
      <x:c r="AA1389" s="10" t="str">
        <x:v>Метаданные списка; видео не просмотрено</x:v>
      </x:c>
      <x:c r="AB1389" s="13" t="str">
        <x:f>IF(AND(ISNUMBER(H1389),ISNUMBER(W1389)),H1389/MAX(1,'Обзор'!$B$4-W1389),"")</x:f>
      </x:c>
      <x:c r="AC1389" s="17" t="str">
        <x:v>Не решено</x:v>
      </x:c>
      <x:c r="AD1389" s="17" t="str">
        <x:v>Не проверено</x:v>
      </x:c>
      <x:c r="AE1389" s="17" t="str">
        <x:v>Не проверено</x:v>
      </x:c>
      <x:c r="AF1389" s="17" t="str">
        <x:v>Не проверено</x:v>
      </x:c>
      <x:c r="AG1389" s="17" t="str">
        <x:v>Не решено</x:v>
      </x:c>
      <x:c r="AH1389" s="17" t="str">
        <x:v>Не проверено</x:v>
      </x:c>
      <x:c r="AI1389" s="10" t="str">
        <x:f>IF(AC1389="Отклонить","Отклонено",IF(AND(AC1389="Взять",COUNTIFS(AD1389:AH1389,"Да")=5),"Готово","Нужна редактура"))</x:f>
        <x:v>Нужна редактура</x:v>
      </x:c>
      <x:c r="AJ1389" s="17" t="str"/>
      <x:c r="AK1389" s="9" t="str">
        <x:v>https://www.youtube.com/playlist?list=PL8E54R76rowCtmv0gKg7TZZ-ezCs6ykBX</x:v>
      </x:c>
      <x:c r="AL1389" s="9" t="n">
        <x:v>20</x:v>
      </x:c>
      <x:c r="AM1389" s="9"/>
      <x:c r="AN1389" s="9"/>
    </x:row>
    <x:row r="1390" ht="60" customHeight="1">
      <x:c r="A1390" s="9" t="str">
        <x:v>vf-RSe3zABo</x:v>
      </x:c>
      <x:c r="B1390" s="10" t="str">
        <x:v>שיחה עם עודד הרוש: הפרופסור יובל אלבשן I התכנית המלאה</x:v>
      </x:c>
      <x:c r="C1390" s="10" t="str">
        <x:v>Люди Израиля</x:v>
      </x:c>
      <x:c r="D1390" s="9" t="str">
        <x:v>Интервью</x:v>
      </x:c>
      <x:c r="E1390" s="10" t="str">
        <x:v>Интервью; общество; традиционная аудитория</x:v>
      </x:c>
      <x:c r="F1390" s="10" t="str">
        <x:v>B2–C1 (гипотеза)</x:v>
      </x:c>
      <x:c r="G1390" s="12" t="n">
        <x:v>27</x:v>
      </x:c>
      <x:c r="H1390" s="14" t="n">
        <x:v>30934</x:v>
      </x:c>
      <x:c r="I1390" s="15" t="str">
        <x:v>Точный счётчик метаданных видео</x:v>
      </x:c>
      <x:c r="J1390" s="14" t="n">
        <x:v>30000</x:v>
      </x:c>
      <x:c r="K1390" s="14" t="n">
        <x:v>19000</x:v>
      </x:c>
      <x:c r="L1390" s="12" t="n">
        <x:f>IF(COUNT(J1390:K1390)=2,IF(K1390=0,"",J1390/K1390),"")</x:f>
        <x:v>1.5789473684210527</x:v>
      </x:c>
      <x:c r="M1390" s="10" t="str">
        <x:v>Тема / гость: שיחה עם עודד הרוש: הפרופסור יובל אלבשן I התכנית המלאה. Просмотры в списке выше медианы выборки этого цикла в 1.58 раза. Дополняет биографические интервью другим ведущим и кругом гостей.</x:v>
      </x:c>
      <x:c r="N1390" s="10" t="str">
        <x:v>Выделить один тезис гостя, уточняющий вопрос и аргументы.</x:v>
      </x:c>
      <x:c r="O1390" s="10" t="str">
        <x:v>Общественно-политические взгляды; атрибутировать гостю</x:v>
      </x:c>
      <x:c r="P1390" s="10" t="str">
        <x:v>Длинное интервью</x:v>
      </x:c>
      <x:c r="Q1390" s="9" t="str">
        <x:v>Нет</x:v>
      </x:c>
      <x:c r="R1390" s="9" t="str">
        <x:v>C082</x:v>
      </x:c>
      <x:c r="S1390" s="9" t="str">
        <x:v>C082</x:v>
      </x:c>
      <x:c r="T1390" s="10" t="str">
        <x:v>C14</x:v>
      </x:c>
      <x:c r="U1390" s="11" t="str">
        <x:v>https://www.youtube.com/watch?v=vf-RSe3zABo</x:v>
      </x:c>
      <x:c r="V1390" s="16" t="n">
        <x:v>46308</x:v>
      </x:c>
      <x:c r="W1390" s="16" t="n">
        <x:v>46186</x:v>
      </x:c>
      <x:c r="X1390" s="10" t="str">
        <x:v>Иврит предполагается по заголовку и источнику</x:v>
      </x:c>
      <x:c r="Y1390" s="10" t="str">
        <x:v>Автоматическая дорожка HE по метаданным</x:v>
      </x:c>
      <x:c r="Z1390" s="10" t="str">
        <x:v>Разрешено по метаданным</x:v>
      </x:c>
      <x:c r="AA1390" s="10" t="str">
        <x:v>Метаданные видео; воспроизведение и содержание не проверены</x:v>
      </x:c>
      <x:c r="AB1390" s="13" t="n">
        <x:f>IF(AND(ISNUMBER(H1390),ISNUMBER(W1390)),H1390/MAX(1,'Обзор'!$B$4-W1390),"")</x:f>
        <x:v>253.55737704918033</x:v>
      </x:c>
      <x:c r="AC1390" s="17" t="str">
        <x:v>Не решено</x:v>
      </x:c>
      <x:c r="AD1390" s="17" t="str">
        <x:v>Не проверено</x:v>
      </x:c>
      <x:c r="AE1390" s="17" t="str">
        <x:v>Не проверено</x:v>
      </x:c>
      <x:c r="AF1390" s="17" t="str">
        <x:v>Не проверено</x:v>
      </x:c>
      <x:c r="AG1390" s="17" t="str">
        <x:v>Не решено</x:v>
      </x:c>
      <x:c r="AH1390" s="17" t="str">
        <x:v>Не проверено</x:v>
      </x:c>
      <x:c r="AI1390" s="10" t="str">
        <x:f>IF(AC1390="Отклонить","Отклонено",IF(AND(AC1390="Взять",COUNTIFS(AD1390:AH1390,"Да")=5),"Готово","Нужна редактура"))</x:f>
        <x:v>Нужна редактура</x:v>
      </x:c>
      <x:c r="AJ1390" s="17" t="str"/>
      <x:c r="AK1390" s="9" t="str">
        <x:v>https://www.youtube.com/playlist?list=PL8E54R76rowCtmv0gKg7TZZ-ezCs6ykBX</x:v>
      </x:c>
      <x:c r="AL1390" s="9" t="n">
        <x:v>21</x:v>
      </x:c>
      <x:c r="AM1390" s="9"/>
      <x:c r="AN1390" s="9" t="n">
        <x:v>0</x:v>
      </x:c>
    </x:row>
    <x:row r="1391" ht="60" customHeight="1">
      <x:c r="A1391" s="9" t="str">
        <x:v>qxSwxhHSvuU</x:v>
      </x:c>
      <x:c r="B1391" s="10" t="str">
        <x:v>שיחה עם עודד הרוש: ח"כ אריה דרעי I התכנית המלאה</x:v>
      </x:c>
      <x:c r="C1391" s="10" t="str">
        <x:v>Люди Израиля</x:v>
      </x:c>
      <x:c r="D1391" s="9" t="str">
        <x:v>Интервью</x:v>
      </x:c>
      <x:c r="E1391" s="10" t="str">
        <x:v>Интервью; общество; традиционная аудитория</x:v>
      </x:c>
      <x:c r="F1391" s="10" t="str">
        <x:v>B2–C1 (гипотеза)</x:v>
      </x:c>
      <x:c r="G1391" s="12" t="n">
        <x:v>43.6</x:v>
      </x:c>
      <x:c r="H1391" s="14" t="n">
        <x:v>28058</x:v>
      </x:c>
      <x:c r="I1391" s="15" t="str">
        <x:v>Точный счётчик метаданных видео</x:v>
      </x:c>
      <x:c r="J1391" s="14" t="n">
        <x:v>28000</x:v>
      </x:c>
      <x:c r="K1391" s="14" t="n">
        <x:v>19000</x:v>
      </x:c>
      <x:c r="L1391" s="12" t="n">
        <x:f>IF(COUNT(J1391:K1391)=2,IF(K1391=0,"",J1391/K1391),"")</x:f>
        <x:v>1.4736842105263157</x:v>
      </x:c>
      <x:c r="M1391" s="10" t="str">
        <x:v>Тема / гость: שיחה עם עודד הרוש: ח"כ אריה דרעי I התכנית המלאה. Дополняет биографические интервью другим ведущим и кругом гостей.</x:v>
      </x:c>
      <x:c r="N1391" s="10" t="str">
        <x:v>Выделить один тезис гостя, уточняющий вопрос и аргументы.</x:v>
      </x:c>
      <x:c r="O1391" s="10" t="str">
        <x:v>Общественно-политические взгляды; атрибутировать гостю</x:v>
      </x:c>
      <x:c r="P1391" s="10" t="str">
        <x:v>Длинное интервью</x:v>
      </x:c>
      <x:c r="Q1391" s="9" t="str">
        <x:v>Нет</x:v>
      </x:c>
      <x:c r="R1391" s="9" t="str">
        <x:v>C082</x:v>
      </x:c>
      <x:c r="S1391" s="9" t="str">
        <x:v>C082</x:v>
      </x:c>
      <x:c r="T1391" s="10" t="str">
        <x:v>C14</x:v>
      </x:c>
      <x:c r="U1391" s="11" t="str">
        <x:v>https://www.youtube.com/watch?v=qxSwxhHSvuU</x:v>
      </x:c>
      <x:c r="V1391" s="16" t="n">
        <x:v>46308</x:v>
      </x:c>
      <x:c r="W1391" s="16" t="n">
        <x:v>46179</x:v>
      </x:c>
      <x:c r="X1391" s="10" t="str">
        <x:v>Иврит предполагается по заголовку и источнику</x:v>
      </x:c>
      <x:c r="Y1391" s="10" t="str">
        <x:v>Автоматическая дорожка HE по метаданным</x:v>
      </x:c>
      <x:c r="Z1391" s="10" t="str">
        <x:v>Разрешено по метаданным</x:v>
      </x:c>
      <x:c r="AA1391" s="10" t="str">
        <x:v>Метаданные видео; воспроизведение и содержание не проверены</x:v>
      </x:c>
      <x:c r="AB1391" s="13" t="n">
        <x:f>IF(AND(ISNUMBER(H1391),ISNUMBER(W1391)),H1391/MAX(1,'Обзор'!$B$4-W1391),"")</x:f>
        <x:v>217.50387596899225</x:v>
      </x:c>
      <x:c r="AC1391" s="17" t="str">
        <x:v>Не решено</x:v>
      </x:c>
      <x:c r="AD1391" s="17" t="str">
        <x:v>Не проверено</x:v>
      </x:c>
      <x:c r="AE1391" s="17" t="str">
        <x:v>Не проверено</x:v>
      </x:c>
      <x:c r="AF1391" s="17" t="str">
        <x:v>Не проверено</x:v>
      </x:c>
      <x:c r="AG1391" s="17" t="str">
        <x:v>Не решено</x:v>
      </x:c>
      <x:c r="AH1391" s="17" t="str">
        <x:v>Не проверено</x:v>
      </x:c>
      <x:c r="AI1391" s="10" t="str">
        <x:f>IF(AC1391="Отклонить","Отклонено",IF(AND(AC1391="Взять",COUNTIFS(AD1391:AH1391,"Да")=5),"Готово","Нужна редактура"))</x:f>
        <x:v>Нужна редактура</x:v>
      </x:c>
      <x:c r="AJ1391" s="17" t="str"/>
      <x:c r="AK1391" s="9" t="str">
        <x:v>https://www.youtube.com/playlist?list=PL8E54R76rowCtmv0gKg7TZZ-ezCs6ykBX</x:v>
      </x:c>
      <x:c r="AL1391" s="9" t="n">
        <x:v>22</x:v>
      </x:c>
      <x:c r="AM1391" s="9"/>
      <x:c r="AN1391" s="9" t="n">
        <x:v>0</x:v>
      </x:c>
    </x:row>
    <x:row r="1392" ht="60" customHeight="1">
      <x:c r="A1392" s="9" t="str">
        <x:v>xY6CT1SNm8Q</x:v>
      </x:c>
      <x:c r="B1392" s="10" t="str">
        <x:v>שיחה עם עודד הרוש: היוצר אבי אוחיון I התכנית המלאה</x:v>
      </x:c>
      <x:c r="C1392" s="10" t="str">
        <x:v>Люди Израиля</x:v>
      </x:c>
      <x:c r="D1392" s="9" t="str">
        <x:v>Интервью</x:v>
      </x:c>
      <x:c r="E1392" s="10" t="str">
        <x:v>Интервью; общество; традиционная аудитория</x:v>
      </x:c>
      <x:c r="F1392" s="10" t="str">
        <x:v>B2–C1 (гипотеза)</x:v>
      </x:c>
      <x:c r="G1392" s="12" t="n">
        <x:v>25.9</x:v>
      </x:c>
      <x:c r="H1392" s="14" t="n">
        <x:v>9400</x:v>
      </x:c>
      <x:c r="I1392" s="15" t="str">
        <x:v>Округлённый счётчик в списке YouTube</x:v>
      </x:c>
      <x:c r="J1392" s="14" t="n">
        <x:v>9400</x:v>
      </x:c>
      <x:c r="K1392" s="14" t="n">
        <x:v>19000</x:v>
      </x:c>
      <x:c r="L1392" s="12" t="n">
        <x:f>IF(COUNT(J1392:K1392)=2,IF(K1392=0,"",J1392/K1392),"")</x:f>
        <x:v>0.49473684210526314</x:v>
      </x:c>
      <x:c r="M1392" s="10" t="str">
        <x:v>Тема / гость: שיחה עם עודד הרוש: היוצר אבי אוחיון I התכנית המלאה. Просмотры ниже медианы цикла; выбирать за нишевую ценность, а не за массовый охват. Дополняет биографические интервью другим ведущим и кругом гостей.</x:v>
      </x:c>
      <x:c r="N1392" s="10" t="str">
        <x:v>Выделить один тезис гостя, уточняющий вопрос и аргументы.</x:v>
      </x:c>
      <x:c r="O1392" s="10" t="str">
        <x:v>Общественно-политические взгляды; атрибутировать гостю</x:v>
      </x:c>
      <x:c r="P1392" s="10" t="str">
        <x:v>Длинное интервью</x:v>
      </x:c>
      <x:c r="Q1392" s="9" t="str">
        <x:v>Нет</x:v>
      </x:c>
      <x:c r="R1392" s="9" t="str">
        <x:v>C082</x:v>
      </x:c>
      <x:c r="S1392" s="9" t="str">
        <x:v>C082</x:v>
      </x:c>
      <x:c r="T1392" s="10" t="str">
        <x:v>C14</x:v>
      </x:c>
      <x:c r="U1392" s="11" t="str">
        <x:v>https://www.youtube.com/watch?v=xY6CT1SNm8Q</x:v>
      </x:c>
      <x:c r="V1392" s="16" t="n">
        <x:v>46308</x:v>
      </x:c>
      <x:c r="W1392" s="16"/>
      <x:c r="X1392" s="10" t="str">
        <x:v>Иврит предполагается по заголовку и источнику</x:v>
      </x:c>
      <x:c r="Y1392" s="10" t="str">
        <x:v>Не проверено</x:v>
      </x:c>
      <x:c r="Z1392" s="10" t="str">
        <x:v>Не проверено</x:v>
      </x:c>
      <x:c r="AA1392" s="10" t="str">
        <x:v>Метаданные списка; видео не просмотрено</x:v>
      </x:c>
      <x:c r="AB1392" s="13" t="str">
        <x:f>IF(AND(ISNUMBER(H1392),ISNUMBER(W1392)),H1392/MAX(1,'Обзор'!$B$4-W1392),"")</x:f>
      </x:c>
      <x:c r="AC1392" s="17" t="str">
        <x:v>Не решено</x:v>
      </x:c>
      <x:c r="AD1392" s="17" t="str">
        <x:v>Не проверено</x:v>
      </x:c>
      <x:c r="AE1392" s="17" t="str">
        <x:v>Не проверено</x:v>
      </x:c>
      <x:c r="AF1392" s="17" t="str">
        <x:v>Не проверено</x:v>
      </x:c>
      <x:c r="AG1392" s="17" t="str">
        <x:v>Не решено</x:v>
      </x:c>
      <x:c r="AH1392" s="17" t="str">
        <x:v>Не проверено</x:v>
      </x:c>
      <x:c r="AI1392" s="10" t="str">
        <x:f>IF(AC1392="Отклонить","Отклонено",IF(AND(AC1392="Взять",COUNTIFS(AD1392:AH1392,"Да")=5),"Готово","Нужна редактура"))</x:f>
        <x:v>Нужна редактура</x:v>
      </x:c>
      <x:c r="AJ1392" s="17" t="str"/>
      <x:c r="AK1392" s="9" t="str">
        <x:v>https://www.youtube.com/playlist?list=PL8E54R76rowCtmv0gKg7TZZ-ezCs6ykBX</x:v>
      </x:c>
      <x:c r="AL1392" s="9" t="n">
        <x:v>23</x:v>
      </x:c>
      <x:c r="AM1392" s="9"/>
      <x:c r="AN1392" s="9"/>
    </x:row>
    <x:row r="1393" ht="60" customHeight="1">
      <x:c r="A1393" s="9" t="str">
        <x:v>TRnR--njloU</x:v>
      </x:c>
      <x:c r="B1393" s="10" t="str">
        <x:v>שיחה עם עודד הרוש: - הזמר והיוצר רביב כנר I התכנית המלאה</x:v>
      </x:c>
      <x:c r="C1393" s="10" t="str">
        <x:v>Люди Израиля</x:v>
      </x:c>
      <x:c r="D1393" s="9" t="str">
        <x:v>Интервью</x:v>
      </x:c>
      <x:c r="E1393" s="10" t="str">
        <x:v>Интервью; общество; традиционная аудитория</x:v>
      </x:c>
      <x:c r="F1393" s="10" t="str">
        <x:v>B2–C1 (гипотеза)</x:v>
      </x:c>
      <x:c r="G1393" s="12" t="n">
        <x:v>27.6</x:v>
      </x:c>
      <x:c r="H1393" s="14" t="n">
        <x:v>9900</x:v>
      </x:c>
      <x:c r="I1393" s="15" t="str">
        <x:v>Округлённый счётчик в списке YouTube</x:v>
      </x:c>
      <x:c r="J1393" s="14" t="n">
        <x:v>9900</x:v>
      </x:c>
      <x:c r="K1393" s="14" t="n">
        <x:v>19000</x:v>
      </x:c>
      <x:c r="L1393" s="12" t="n">
        <x:f>IF(COUNT(J1393:K1393)=2,IF(K1393=0,"",J1393/K1393),"")</x:f>
        <x:v>0.5210526315789473</x:v>
      </x:c>
      <x:c r="M1393" s="10" t="str">
        <x:v>Тема / гость: שיחה עם עודד הרוש: - הזמר והיוצר רביב כנר I התכנית המלאה. Дополняет биографические интервью другим ведущим и кругом гостей.</x:v>
      </x:c>
      <x:c r="N1393" s="10" t="str">
        <x:v>Выделить один тезис гостя, уточняющий вопрос и аргументы.</x:v>
      </x:c>
      <x:c r="O1393" s="10" t="str">
        <x:v>Общественно-политические взгляды; атрибутировать гостю</x:v>
      </x:c>
      <x:c r="P1393" s="10" t="str">
        <x:v>Длинное интервью</x:v>
      </x:c>
      <x:c r="Q1393" s="9" t="str">
        <x:v>Нет</x:v>
      </x:c>
      <x:c r="R1393" s="9" t="str">
        <x:v>C082</x:v>
      </x:c>
      <x:c r="S1393" s="9" t="str">
        <x:v>C082</x:v>
      </x:c>
      <x:c r="T1393" s="10" t="str">
        <x:v>C14</x:v>
      </x:c>
      <x:c r="U1393" s="11" t="str">
        <x:v>https://www.youtube.com/watch?v=TRnR--njloU</x:v>
      </x:c>
      <x:c r="V1393" s="16" t="n">
        <x:v>46308</x:v>
      </x:c>
      <x:c r="W1393" s="16"/>
      <x:c r="X1393" s="10" t="str">
        <x:v>Иврит предполагается по заголовку и источнику</x:v>
      </x:c>
      <x:c r="Y1393" s="10" t="str">
        <x:v>Не проверено</x:v>
      </x:c>
      <x:c r="Z1393" s="10" t="str">
        <x:v>Не проверено</x:v>
      </x:c>
      <x:c r="AA1393" s="10" t="str">
        <x:v>Метаданные списка; видео не просмотрено</x:v>
      </x:c>
      <x:c r="AB1393" s="13" t="str">
        <x:f>IF(AND(ISNUMBER(H1393),ISNUMBER(W1393)),H1393/MAX(1,'Обзор'!$B$4-W1393),"")</x:f>
      </x:c>
      <x:c r="AC1393" s="17" t="str">
        <x:v>Не решено</x:v>
      </x:c>
      <x:c r="AD1393" s="17" t="str">
        <x:v>Не проверено</x:v>
      </x:c>
      <x:c r="AE1393" s="17" t="str">
        <x:v>Не проверено</x:v>
      </x:c>
      <x:c r="AF1393" s="17" t="str">
        <x:v>Не проверено</x:v>
      </x:c>
      <x:c r="AG1393" s="17" t="str">
        <x:v>Не решено</x:v>
      </x:c>
      <x:c r="AH1393" s="17" t="str">
        <x:v>Не проверено</x:v>
      </x:c>
      <x:c r="AI1393" s="10" t="str">
        <x:f>IF(AC1393="Отклонить","Отклонено",IF(AND(AC1393="Взять",COUNTIFS(AD1393:AH1393,"Да")=5),"Готово","Нужна редактура"))</x:f>
        <x:v>Нужна редактура</x:v>
      </x:c>
      <x:c r="AJ1393" s="17" t="str"/>
      <x:c r="AK1393" s="9" t="str">
        <x:v>https://www.youtube.com/playlist?list=PL8E54R76rowCtmv0gKg7TZZ-ezCs6ykBX</x:v>
      </x:c>
      <x:c r="AL1393" s="9" t="n">
        <x:v>24</x:v>
      </x:c>
      <x:c r="AM1393" s="9"/>
      <x:c r="AN1393" s="9"/>
    </x:row>
    <x:row r="1394" ht="60" customHeight="1">
      <x:c r="A1394" s="9" t="str">
        <x:v>IScLRUafVzg</x:v>
      </x:c>
      <x:c r="B1394" s="10" t="str">
        <x:v>שיחה עם עודד הרוש: - חני נחמיאס I התכנית המלאה</x:v>
      </x:c>
      <x:c r="C1394" s="10" t="str">
        <x:v>Люди Израиля</x:v>
      </x:c>
      <x:c r="D1394" s="9" t="str">
        <x:v>Интервью</x:v>
      </x:c>
      <x:c r="E1394" s="10" t="str">
        <x:v>Интервью; общество; традиционная аудитория</x:v>
      </x:c>
      <x:c r="F1394" s="10" t="str">
        <x:v>B2–C1 (гипотеза)</x:v>
      </x:c>
      <x:c r="G1394" s="12" t="n">
        <x:v>37.5</x:v>
      </x:c>
      <x:c r="H1394" s="14" t="n">
        <x:v>42324</x:v>
      </x:c>
      <x:c r="I1394" s="15" t="str">
        <x:v>Точный счётчик метаданных видео</x:v>
      </x:c>
      <x:c r="J1394" s="14" t="n">
        <x:v>42000</x:v>
      </x:c>
      <x:c r="K1394" s="14" t="n">
        <x:v>19000</x:v>
      </x:c>
      <x:c r="L1394" s="12" t="n">
        <x:f>IF(COUNT(J1394:K1394)=2,IF(K1394=0,"",J1394/K1394),"")</x:f>
        <x:v>2.210526315789474</x:v>
      </x:c>
      <x:c r="M1394" s="10" t="str">
        <x:v>Тема / гость: שיחה עם עודד הרוש: - חני נחמיאס I התכנית המלאה. Просмотры в списке выше медианы выборки этого цикла в 2.21 раза. Дополняет биографические интервью другим ведущим и кругом гостей.</x:v>
      </x:c>
      <x:c r="N1394" s="10" t="str">
        <x:v>Выделить один тезис гостя, уточняющий вопрос и аргументы.</x:v>
      </x:c>
      <x:c r="O1394" s="10" t="str">
        <x:v>Общественно-политические взгляды; атрибутировать гостю</x:v>
      </x:c>
      <x:c r="P1394" s="10" t="str">
        <x:v>Длинное интервью</x:v>
      </x:c>
      <x:c r="Q1394" s="9" t="str">
        <x:v>Нет</x:v>
      </x:c>
      <x:c r="R1394" s="9" t="str">
        <x:v>C082</x:v>
      </x:c>
      <x:c r="S1394" s="9" t="str">
        <x:v>C082</x:v>
      </x:c>
      <x:c r="T1394" s="10" t="str">
        <x:v>C14</x:v>
      </x:c>
      <x:c r="U1394" s="11" t="str">
        <x:v>https://www.youtube.com/watch?v=IScLRUafVzg</x:v>
      </x:c>
      <x:c r="V1394" s="16" t="n">
        <x:v>46308</x:v>
      </x:c>
      <x:c r="W1394" s="16" t="n">
        <x:v>46158</x:v>
      </x:c>
      <x:c r="X1394" s="10" t="str">
        <x:v>iw</x:v>
      </x:c>
      <x:c r="Y1394" s="10" t="str">
        <x:v>Автоматическая дорожка HE по метаданным</x:v>
      </x:c>
      <x:c r="Z1394" s="10" t="str">
        <x:v>Разрешено по метаданным</x:v>
      </x:c>
      <x:c r="AA1394" s="10" t="str">
        <x:v>Метаданные видео; воспроизведение и содержание не проверены</x:v>
      </x:c>
      <x:c r="AB1394" s="13" t="n">
        <x:f>IF(AND(ISNUMBER(H1394),ISNUMBER(W1394)),H1394/MAX(1,'Обзор'!$B$4-W1394),"")</x:f>
        <x:v>282.16</x:v>
      </x:c>
      <x:c r="AC1394" s="17" t="str">
        <x:v>Не решено</x:v>
      </x:c>
      <x:c r="AD1394" s="17" t="str">
        <x:v>Не проверено</x:v>
      </x:c>
      <x:c r="AE1394" s="17" t="str">
        <x:v>Не проверено</x:v>
      </x:c>
      <x:c r="AF1394" s="17" t="str">
        <x:v>Не проверено</x:v>
      </x:c>
      <x:c r="AG1394" s="17" t="str">
        <x:v>Не решено</x:v>
      </x:c>
      <x:c r="AH1394" s="17" t="str">
        <x:v>Не проверено</x:v>
      </x:c>
      <x:c r="AI1394" s="10" t="str">
        <x:f>IF(AC1394="Отклонить","Отклонено",IF(AND(AC1394="Взять",COUNTIFS(AD1394:AH1394,"Да")=5),"Готово","Нужна редактура"))</x:f>
        <x:v>Нужна редактура</x:v>
      </x:c>
      <x:c r="AJ1394" s="17" t="str"/>
      <x:c r="AK1394" s="9" t="str">
        <x:v>https://www.youtube.com/playlist?list=PL8E54R76rowCtmv0gKg7TZZ-ezCs6ykBX</x:v>
      </x:c>
      <x:c r="AL1394" s="9" t="n">
        <x:v>25</x:v>
      </x:c>
      <x:c r="AM1394" s="9"/>
      <x:c r="AN1394" s="9" t="n">
        <x:v>0</x:v>
      </x:c>
    </x:row>
    <x:row r="1395" ht="60" customHeight="1">
      <x:c r="A1395" s="9" t="str">
        <x:v>K27UM4gBvjI</x:v>
      </x:c>
      <x:c r="B1395" s="10" t="str">
        <x:v>שיחה עם עודד הרוש: - ישי ריבו I התכנית המלאה</x:v>
      </x:c>
      <x:c r="C1395" s="10" t="str">
        <x:v>Люди Израиля</x:v>
      </x:c>
      <x:c r="D1395" s="9" t="str">
        <x:v>Интервью</x:v>
      </x:c>
      <x:c r="E1395" s="10" t="str">
        <x:v>Интервью; общество; традиционная аудитория</x:v>
      </x:c>
      <x:c r="F1395" s="10" t="str">
        <x:v>B2–C1 (гипотеза)</x:v>
      </x:c>
      <x:c r="G1395" s="12" t="n">
        <x:v>32.9</x:v>
      </x:c>
      <x:c r="H1395" s="14" t="n">
        <x:v>35585</x:v>
      </x:c>
      <x:c r="I1395" s="15" t="str">
        <x:v>Точный счётчик метаданных видео</x:v>
      </x:c>
      <x:c r="J1395" s="14" t="n">
        <x:v>35000</x:v>
      </x:c>
      <x:c r="K1395" s="14" t="n">
        <x:v>19000</x:v>
      </x:c>
      <x:c r="L1395" s="12" t="n">
        <x:f>IF(COUNT(J1395:K1395)=2,IF(K1395=0,"",J1395/K1395),"")</x:f>
        <x:v>1.8421052631578947</x:v>
      </x:c>
      <x:c r="M1395" s="10" t="str">
        <x:v>Тема / гость: שיחה עם עודד הרוש: - ישי ריבו I התכנית המלאה. Просмотры в списке выше медианы выборки этого цикла в 1.84 раза. Дополняет биографические интервью другим ведущим и кругом гостей.</x:v>
      </x:c>
      <x:c r="N1395" s="10" t="str">
        <x:v>Выделить один тезис гостя, уточняющий вопрос и аргументы.</x:v>
      </x:c>
      <x:c r="O1395" s="10" t="str">
        <x:v>Общественно-политические взгляды; атрибутировать гостю</x:v>
      </x:c>
      <x:c r="P1395" s="10" t="str">
        <x:v>Длинное интервью</x:v>
      </x:c>
      <x:c r="Q1395" s="9" t="str">
        <x:v>Нет</x:v>
      </x:c>
      <x:c r="R1395" s="9" t="str">
        <x:v>C082</x:v>
      </x:c>
      <x:c r="S1395" s="9" t="str">
        <x:v>C082</x:v>
      </x:c>
      <x:c r="T1395" s="10" t="str">
        <x:v>C14</x:v>
      </x:c>
      <x:c r="U1395" s="11" t="str">
        <x:v>https://www.youtube.com/watch?v=K27UM4gBvjI</x:v>
      </x:c>
      <x:c r="V1395" s="16" t="n">
        <x:v>46308</x:v>
      </x:c>
      <x:c r="W1395" s="16" t="n">
        <x:v>46151</x:v>
      </x:c>
      <x:c r="X1395" s="10" t="str">
        <x:v>Иврит предполагается по заголовку и источнику</x:v>
      </x:c>
      <x:c r="Y1395" s="10" t="str">
        <x:v>Автоматическая дорожка HE по метаданным</x:v>
      </x:c>
      <x:c r="Z1395" s="10" t="str">
        <x:v>Разрешено по метаданным</x:v>
      </x:c>
      <x:c r="AA1395" s="10" t="str">
        <x:v>Метаданные видео; воспроизведение и содержание не проверены</x:v>
      </x:c>
      <x:c r="AB1395" s="13" t="n">
        <x:f>IF(AND(ISNUMBER(H1395),ISNUMBER(W1395)),H1395/MAX(1,'Обзор'!$B$4-W1395),"")</x:f>
        <x:v>226.656050955414</x:v>
      </x:c>
      <x:c r="AC1395" s="17" t="str">
        <x:v>Не решено</x:v>
      </x:c>
      <x:c r="AD1395" s="17" t="str">
        <x:v>Не проверено</x:v>
      </x:c>
      <x:c r="AE1395" s="17" t="str">
        <x:v>Не проверено</x:v>
      </x:c>
      <x:c r="AF1395" s="17" t="str">
        <x:v>Не проверено</x:v>
      </x:c>
      <x:c r="AG1395" s="17" t="str">
        <x:v>Не решено</x:v>
      </x:c>
      <x:c r="AH1395" s="17" t="str">
        <x:v>Не проверено</x:v>
      </x:c>
      <x:c r="AI1395" s="10" t="str">
        <x:f>IF(AC1395="Отклонить","Отклонено",IF(AND(AC1395="Взять",COUNTIFS(AD1395:AH1395,"Да")=5),"Готово","Нужна редактура"))</x:f>
        <x:v>Нужна редактура</x:v>
      </x:c>
      <x:c r="AJ1395" s="17" t="str"/>
      <x:c r="AK1395" s="9" t="str">
        <x:v>https://www.youtube.com/playlist?list=PL8E54R76rowCtmv0gKg7TZZ-ezCs6ykBX</x:v>
      </x:c>
      <x:c r="AL1395" s="9" t="n">
        <x:v>26</x:v>
      </x:c>
      <x:c r="AM1395" s="9"/>
      <x:c r="AN1395" s="9" t="n">
        <x:v>0</x:v>
      </x:c>
    </x:row>
    <x:row r="1396" ht="60" customHeight="1">
      <x:c r="A1396" s="9" t="str">
        <x:v>3NMbzs_3nOA</x:v>
      </x:c>
      <x:c r="B1396" s="10" t="str">
        <x:v>שיחה עם עודד הרוש: - אלדד קובלנץ I התכנית המלאה</x:v>
      </x:c>
      <x:c r="C1396" s="10" t="str">
        <x:v>Люди Израиля</x:v>
      </x:c>
      <x:c r="D1396" s="9" t="str">
        <x:v>Интервью</x:v>
      </x:c>
      <x:c r="E1396" s="10" t="str">
        <x:v>Интервью; общество; традиционная аудитория</x:v>
      </x:c>
      <x:c r="F1396" s="10" t="str">
        <x:v>B2–C1 (гипотеза)</x:v>
      </x:c>
      <x:c r="G1396" s="12" t="n">
        <x:v>33.2</x:v>
      </x:c>
      <x:c r="H1396" s="14" t="n">
        <x:v>13000</x:v>
      </x:c>
      <x:c r="I1396" s="15" t="str">
        <x:v>Округлённый счётчик в списке YouTube</x:v>
      </x:c>
      <x:c r="J1396" s="14" t="n">
        <x:v>13000</x:v>
      </x:c>
      <x:c r="K1396" s="14" t="n">
        <x:v>19000</x:v>
      </x:c>
      <x:c r="L1396" s="12" t="n">
        <x:f>IF(COUNT(J1396:K1396)=2,IF(K1396=0,"",J1396/K1396),"")</x:f>
        <x:v>0.6842105263157895</x:v>
      </x:c>
      <x:c r="M1396" s="10" t="str">
        <x:v>Тема / гость: שיחה עם עודד הרוש: - אלדד קובלנץ I התכנית המלאה. Дополняет биографические интервью другим ведущим и кругом гостей.</x:v>
      </x:c>
      <x:c r="N1396" s="10" t="str">
        <x:v>Выделить один тезис гостя, уточняющий вопрос и аргументы.</x:v>
      </x:c>
      <x:c r="O1396" s="10" t="str">
        <x:v>Общественно-политические взгляды; атрибутировать гостю</x:v>
      </x:c>
      <x:c r="P1396" s="10" t="str">
        <x:v>Длинное интервью</x:v>
      </x:c>
      <x:c r="Q1396" s="9" t="str">
        <x:v>Нет</x:v>
      </x:c>
      <x:c r="R1396" s="9" t="str">
        <x:v>C082</x:v>
      </x:c>
      <x:c r="S1396" s="9" t="str">
        <x:v>C082</x:v>
      </x:c>
      <x:c r="T1396" s="10" t="str">
        <x:v>C14</x:v>
      </x:c>
      <x:c r="U1396" s="11" t="str">
        <x:v>https://www.youtube.com/watch?v=3NMbzs_3nOA</x:v>
      </x:c>
      <x:c r="V1396" s="16" t="n">
        <x:v>46308</x:v>
      </x:c>
      <x:c r="W1396" s="16"/>
      <x:c r="X1396" s="10" t="str">
        <x:v>Иврит предполагается по заголовку и источнику</x:v>
      </x:c>
      <x:c r="Y1396" s="10" t="str">
        <x:v>Не проверено</x:v>
      </x:c>
      <x:c r="Z1396" s="10" t="str">
        <x:v>Не проверено</x:v>
      </x:c>
      <x:c r="AA1396" s="10" t="str">
        <x:v>Метаданные списка; видео не просмотрено</x:v>
      </x:c>
      <x:c r="AB1396" s="13" t="str">
        <x:f>IF(AND(ISNUMBER(H1396),ISNUMBER(W1396)),H1396/MAX(1,'Обзор'!$B$4-W1396),"")</x:f>
      </x:c>
      <x:c r="AC1396" s="17" t="str">
        <x:v>Не решено</x:v>
      </x:c>
      <x:c r="AD1396" s="17" t="str">
        <x:v>Не проверено</x:v>
      </x:c>
      <x:c r="AE1396" s="17" t="str">
        <x:v>Не проверено</x:v>
      </x:c>
      <x:c r="AF1396" s="17" t="str">
        <x:v>Не проверено</x:v>
      </x:c>
      <x:c r="AG1396" s="17" t="str">
        <x:v>Не решено</x:v>
      </x:c>
      <x:c r="AH1396" s="17" t="str">
        <x:v>Не проверено</x:v>
      </x:c>
      <x:c r="AI1396" s="10" t="str">
        <x:f>IF(AC1396="Отклонить","Отклонено",IF(AND(AC1396="Взять",COUNTIFS(AD1396:AH1396,"Да")=5),"Готово","Нужна редактура"))</x:f>
        <x:v>Нужна редактура</x:v>
      </x:c>
      <x:c r="AJ1396" s="17" t="str"/>
      <x:c r="AK1396" s="9" t="str">
        <x:v>https://www.youtube.com/playlist?list=PL8E54R76rowCtmv0gKg7TZZ-ezCs6ykBX</x:v>
      </x:c>
      <x:c r="AL1396" s="9" t="n">
        <x:v>27</x:v>
      </x:c>
      <x:c r="AM1396" s="9"/>
      <x:c r="AN1396" s="9"/>
    </x:row>
    <x:row r="1397" ht="60" customHeight="1">
      <x:c r="A1397" s="9" t="str">
        <x:v>sNe56a-7K04</x:v>
      </x:c>
      <x:c r="B1397" s="10" t="str">
        <x:v>שיחה עם עודד הרוש: האב השכול הרב יצחק ביטון I התכנית המלאה</x:v>
      </x:c>
      <x:c r="C1397" s="10" t="str">
        <x:v>Люди Израиля</x:v>
      </x:c>
      <x:c r="D1397" s="9" t="str">
        <x:v>Интервью</x:v>
      </x:c>
      <x:c r="E1397" s="10" t="str">
        <x:v>Интервью; общество; традиционная аудитория</x:v>
      </x:c>
      <x:c r="F1397" s="10" t="str">
        <x:v>B2–C1 (гипотеза)</x:v>
      </x:c>
      <x:c r="G1397" s="12" t="n">
        <x:v>28.6</x:v>
      </x:c>
      <x:c r="H1397" s="14" t="n">
        <x:v>19000</x:v>
      </x:c>
      <x:c r="I1397" s="15" t="str">
        <x:v>Округлённый счётчик в списке YouTube</x:v>
      </x:c>
      <x:c r="J1397" s="14" t="n">
        <x:v>19000</x:v>
      </x:c>
      <x:c r="K1397" s="14" t="n">
        <x:v>19000</x:v>
      </x:c>
      <x:c r="L1397" s="12" t="n">
        <x:f>IF(COUNT(J1397:K1397)=2,IF(K1397=0,"",J1397/K1397),"")</x:f>
        <x:v>1</x:v>
      </x:c>
      <x:c r="M1397" s="10" t="str">
        <x:v>Тема / гость: שיחה עם עודד הרוש: האב השכול הרב יצחק ביטון I התכנית המלאה. Дополняет биографические интервью другим ведущим и кругом гостей.</x:v>
      </x:c>
      <x:c r="N1397" s="10" t="str">
        <x:v>Выделить один тезис гостя, уточняющий вопрос и аргументы.</x:v>
      </x:c>
      <x:c r="O1397" s="10" t="str">
        <x:v>Общественно-политические взгляды; атрибутировать гостю</x:v>
      </x:c>
      <x:c r="P1397" s="10" t="str">
        <x:v>Длинное интервью</x:v>
      </x:c>
      <x:c r="Q1397" s="9" t="str">
        <x:v>Нет</x:v>
      </x:c>
      <x:c r="R1397" s="9" t="str">
        <x:v>C082</x:v>
      </x:c>
      <x:c r="S1397" s="9" t="str">
        <x:v>C082</x:v>
      </x:c>
      <x:c r="T1397" s="10" t="str">
        <x:v>C14</x:v>
      </x:c>
      <x:c r="U1397" s="11" t="str">
        <x:v>https://www.youtube.com/watch?v=sNe56a-7K04</x:v>
      </x:c>
      <x:c r="V1397" s="16" t="n">
        <x:v>46308</x:v>
      </x:c>
      <x:c r="W1397" s="16"/>
      <x:c r="X1397" s="10" t="str">
        <x:v>Иврит предполагается по заголовку и источнику</x:v>
      </x:c>
      <x:c r="Y1397" s="10" t="str">
        <x:v>Не проверено</x:v>
      </x:c>
      <x:c r="Z1397" s="10" t="str">
        <x:v>Не проверено</x:v>
      </x:c>
      <x:c r="AA1397" s="10" t="str">
        <x:v>Метаданные списка; видео не просмотрено</x:v>
      </x:c>
      <x:c r="AB1397" s="13" t="str">
        <x:f>IF(AND(ISNUMBER(H1397),ISNUMBER(W1397)),H1397/MAX(1,'Обзор'!$B$4-W1397),"")</x:f>
      </x:c>
      <x:c r="AC1397" s="17" t="str">
        <x:v>Не решено</x:v>
      </x:c>
      <x:c r="AD1397" s="17" t="str">
        <x:v>Не проверено</x:v>
      </x:c>
      <x:c r="AE1397" s="17" t="str">
        <x:v>Не проверено</x:v>
      </x:c>
      <x:c r="AF1397" s="17" t="str">
        <x:v>Не проверено</x:v>
      </x:c>
      <x:c r="AG1397" s="17" t="str">
        <x:v>Не решено</x:v>
      </x:c>
      <x:c r="AH1397" s="17" t="str">
        <x:v>Не проверено</x:v>
      </x:c>
      <x:c r="AI1397" s="10" t="str">
        <x:f>IF(AC1397="Отклонить","Отклонено",IF(AND(AC1397="Взять",COUNTIFS(AD1397:AH1397,"Да")=5),"Готово","Нужна редактура"))</x:f>
        <x:v>Нужна редактура</x:v>
      </x:c>
      <x:c r="AJ1397" s="17" t="str"/>
      <x:c r="AK1397" s="9" t="str">
        <x:v>https://www.youtube.com/playlist?list=PL8E54R76rowCtmv0gKg7TZZ-ezCs6ykBX</x:v>
      </x:c>
      <x:c r="AL1397" s="9" t="n">
        <x:v>28</x:v>
      </x:c>
      <x:c r="AM1397" s="9"/>
      <x:c r="AN1397" s="9"/>
    </x:row>
    <x:row r="1398" ht="60" customHeight="1">
      <x:c r="A1398" s="9" t="str">
        <x:v>ChlbccVdwQs</x:v>
      </x:c>
      <x:c r="B1398" s="10" t="str">
        <x:v>שיחה עם עודד הרוש: פרופסור שמחה, אביו של הדר גולדין ז"ל I התכנית המלאה</x:v>
      </x:c>
      <x:c r="C1398" s="10" t="str">
        <x:v>Люди Израиля</x:v>
      </x:c>
      <x:c r="D1398" s="9" t="str">
        <x:v>Интервью</x:v>
      </x:c>
      <x:c r="E1398" s="10" t="str">
        <x:v>Интервью; общество; традиционная аудитория</x:v>
      </x:c>
      <x:c r="F1398" s="10" t="str">
        <x:v>B2–C1 (гипотеза)</x:v>
      </x:c>
      <x:c r="G1398" s="12" t="n">
        <x:v>30.3</x:v>
      </x:c>
      <x:c r="H1398" s="14" t="n">
        <x:v>8000</x:v>
      </x:c>
      <x:c r="I1398" s="15" t="str">
        <x:v>Округлённый счётчик в списке YouTube</x:v>
      </x:c>
      <x:c r="J1398" s="14" t="n">
        <x:v>8000</x:v>
      </x:c>
      <x:c r="K1398" s="14" t="n">
        <x:v>19000</x:v>
      </x:c>
      <x:c r="L1398" s="12" t="n">
        <x:f>IF(COUNT(J1398:K1398)=2,IF(K1398=0,"",J1398/K1398),"")</x:f>
        <x:v>0.42105263157894735</x:v>
      </x:c>
      <x:c r="M1398" s="10" t="str">
        <x:v>Тема / гость: שיחה עם עודד הרוש: פרופסור שמחה, אביו של הדר גולדין ז"ל I התכנית המלאה. Просмотры ниже медианы цикла; выбирать за нишевую ценность, а не за массовый охват. Дополняет биографические интервью другим ведущим и кругом гостей.</x:v>
      </x:c>
      <x:c r="N1398" s="10" t="str">
        <x:v>Выделить один тезис гостя, уточняющий вопрос и аргументы.</x:v>
      </x:c>
      <x:c r="O1398" s="10" t="str">
        <x:v>Общественно-политические взгляды; атрибутировать гостю</x:v>
      </x:c>
      <x:c r="P1398" s="10" t="str">
        <x:v>Длинное интервью</x:v>
      </x:c>
      <x:c r="Q1398" s="9" t="str">
        <x:v>Нет</x:v>
      </x:c>
      <x:c r="R1398" s="9" t="str">
        <x:v>C082</x:v>
      </x:c>
      <x:c r="S1398" s="9" t="str">
        <x:v>C082</x:v>
      </x:c>
      <x:c r="T1398" s="10" t="str">
        <x:v>C14</x:v>
      </x:c>
      <x:c r="U1398" s="11" t="str">
        <x:v>https://www.youtube.com/watch?v=ChlbccVdwQs</x:v>
      </x:c>
      <x:c r="V1398" s="16" t="n">
        <x:v>46308</x:v>
      </x:c>
      <x:c r="W1398" s="16"/>
      <x:c r="X1398" s="10" t="str">
        <x:v>Иврит предполагается по заголовку и источнику</x:v>
      </x:c>
      <x:c r="Y1398" s="10" t="str">
        <x:v>Не проверено</x:v>
      </x:c>
      <x:c r="Z1398" s="10" t="str">
        <x:v>Не проверено</x:v>
      </x:c>
      <x:c r="AA1398" s="10" t="str">
        <x:v>Метаданные списка; видео не просмотрено</x:v>
      </x:c>
      <x:c r="AB1398" s="13" t="str">
        <x:f>IF(AND(ISNUMBER(H1398),ISNUMBER(W1398)),H1398/MAX(1,'Обзор'!$B$4-W1398),"")</x:f>
      </x:c>
      <x:c r="AC1398" s="17" t="str">
        <x:v>Не решено</x:v>
      </x:c>
      <x:c r="AD1398" s="17" t="str">
        <x:v>Не проверено</x:v>
      </x:c>
      <x:c r="AE1398" s="17" t="str">
        <x:v>Не проверено</x:v>
      </x:c>
      <x:c r="AF1398" s="17" t="str">
        <x:v>Не проверено</x:v>
      </x:c>
      <x:c r="AG1398" s="17" t="str">
        <x:v>Не решено</x:v>
      </x:c>
      <x:c r="AH1398" s="17" t="str">
        <x:v>Не проверено</x:v>
      </x:c>
      <x:c r="AI1398" s="10" t="str">
        <x:f>IF(AC1398="Отклонить","Отклонено",IF(AND(AC1398="Взять",COUNTIFS(AD1398:AH1398,"Да")=5),"Готово","Нужна редактура"))</x:f>
        <x:v>Нужна редактура</x:v>
      </x:c>
      <x:c r="AJ1398" s="17" t="str"/>
      <x:c r="AK1398" s="9" t="str">
        <x:v>https://www.youtube.com/playlist?list=PL8E54R76rowCtmv0gKg7TZZ-ezCs6ykBX</x:v>
      </x:c>
      <x:c r="AL1398" s="9" t="n">
        <x:v>29</x:v>
      </x:c>
      <x:c r="AM1398" s="9"/>
      <x:c r="AN1398" s="9"/>
    </x:row>
    <x:row r="1399" ht="60" customHeight="1">
      <x:c r="A1399" s="9" t="str">
        <x:v>7kgdFxSeyec</x:v>
      </x:c>
      <x:c r="B1399" s="10" t="str">
        <x:v>שיחה עם עודד הרוש: המפיק משה אדרי I התכנית המלאה</x:v>
      </x:c>
      <x:c r="C1399" s="10" t="str">
        <x:v>Люди Израиля</x:v>
      </x:c>
      <x:c r="D1399" s="9" t="str">
        <x:v>Интервью</x:v>
      </x:c>
      <x:c r="E1399" s="10" t="str">
        <x:v>Интервью; общество; традиционная аудитория</x:v>
      </x:c>
      <x:c r="F1399" s="10" t="str">
        <x:v>B2–C1 (гипотеза)</x:v>
      </x:c>
      <x:c r="G1399" s="12" t="n">
        <x:v>28.4</x:v>
      </x:c>
      <x:c r="H1399" s="14" t="n">
        <x:v>3400</x:v>
      </x:c>
      <x:c r="I1399" s="15" t="str">
        <x:v>Округлённый счётчик в списке YouTube</x:v>
      </x:c>
      <x:c r="J1399" s="14" t="n">
        <x:v>3400</x:v>
      </x:c>
      <x:c r="K1399" s="14" t="n">
        <x:v>19000</x:v>
      </x:c>
      <x:c r="L1399" s="12" t="n">
        <x:f>IF(COUNT(J1399:K1399)=2,IF(K1399=0,"",J1399/K1399),"")</x:f>
        <x:v>0.17894736842105263</x:v>
      </x:c>
      <x:c r="M1399" s="10" t="str">
        <x:v>Тема / гость: שיחה עם עודד הרוש: המפיק משה אדרי I התכנית המלאה. Просмотры ниже медианы цикла; выбирать за нишевую ценность, а не за массовый охват. Дополняет биографические интервью другим ведущим и кругом гостей.</x:v>
      </x:c>
      <x:c r="N1399" s="10" t="str">
        <x:v>Выделить один тезис гостя, уточняющий вопрос и аргументы.</x:v>
      </x:c>
      <x:c r="O1399" s="10" t="str">
        <x:v>Общественно-политические взгляды; атрибутировать гостю</x:v>
      </x:c>
      <x:c r="P1399" s="10" t="str">
        <x:v>Длинное интервью</x:v>
      </x:c>
      <x:c r="Q1399" s="9" t="str">
        <x:v>Нет</x:v>
      </x:c>
      <x:c r="R1399" s="9" t="str">
        <x:v>C082</x:v>
      </x:c>
      <x:c r="S1399" s="9" t="str">
        <x:v>C082</x:v>
      </x:c>
      <x:c r="T1399" s="10" t="str">
        <x:v>C14</x:v>
      </x:c>
      <x:c r="U1399" s="11" t="str">
        <x:v>https://www.youtube.com/watch?v=7kgdFxSeyec</x:v>
      </x:c>
      <x:c r="V1399" s="16" t="n">
        <x:v>46308</x:v>
      </x:c>
      <x:c r="W1399" s="16"/>
      <x:c r="X1399" s="10" t="str">
        <x:v>Иврит предполагается по заголовку и источнику</x:v>
      </x:c>
      <x:c r="Y1399" s="10" t="str">
        <x:v>Не проверено</x:v>
      </x:c>
      <x:c r="Z1399" s="10" t="str">
        <x:v>Не проверено</x:v>
      </x:c>
      <x:c r="AA1399" s="10" t="str">
        <x:v>Метаданные списка; видео не просмотрено</x:v>
      </x:c>
      <x:c r="AB1399" s="13" t="str">
        <x:f>IF(AND(ISNUMBER(H1399),ISNUMBER(W1399)),H1399/MAX(1,'Обзор'!$B$4-W1399),"")</x:f>
      </x:c>
      <x:c r="AC1399" s="17" t="str">
        <x:v>Не решено</x:v>
      </x:c>
      <x:c r="AD1399" s="17" t="str">
        <x:v>Не проверено</x:v>
      </x:c>
      <x:c r="AE1399" s="17" t="str">
        <x:v>Не проверено</x:v>
      </x:c>
      <x:c r="AF1399" s="17" t="str">
        <x:v>Не проверено</x:v>
      </x:c>
      <x:c r="AG1399" s="17" t="str">
        <x:v>Не решено</x:v>
      </x:c>
      <x:c r="AH1399" s="17" t="str">
        <x:v>Не проверено</x:v>
      </x:c>
      <x:c r="AI1399" s="10" t="str">
        <x:f>IF(AC1399="Отклонить","Отклонено",IF(AND(AC1399="Взять",COUNTIFS(AD1399:AH1399,"Да")=5),"Готово","Нужна редактура"))</x:f>
        <x:v>Нужна редактура</x:v>
      </x:c>
      <x:c r="AJ1399" s="17" t="str"/>
      <x:c r="AK1399" s="9" t="str">
        <x:v>https://www.youtube.com/playlist?list=PL8E54R76rowCtmv0gKg7TZZ-ezCs6ykBX</x:v>
      </x:c>
      <x:c r="AL1399" s="9" t="n">
        <x:v>30</x:v>
      </x:c>
      <x:c r="AM1399" s="9"/>
      <x:c r="AN1399" s="9"/>
    </x:row>
    <x:row r="1400" ht="60" customHeight="1">
      <x:c r="A1400" s="9" t="str">
        <x:v>wTIw1DI4ry0</x:v>
      </x:c>
      <x:c r="B1400" s="10" t="str">
        <x:v>שיחה עם עודד הרוש: - חבר הכנסת בני גנץ I התכנית המלאה</x:v>
      </x:c>
      <x:c r="C1400" s="10" t="str">
        <x:v>Люди Израиля</x:v>
      </x:c>
      <x:c r="D1400" s="9" t="str">
        <x:v>Интервью</x:v>
      </x:c>
      <x:c r="E1400" s="10" t="str">
        <x:v>Интервью; общество; традиционная аудитория</x:v>
      </x:c>
      <x:c r="F1400" s="10" t="str">
        <x:v>B2–C1 (гипотеза)</x:v>
      </x:c>
      <x:c r="G1400" s="12" t="n">
        <x:v>42.1</x:v>
      </x:c>
      <x:c r="H1400" s="14" t="n">
        <x:v>14000</x:v>
      </x:c>
      <x:c r="I1400" s="15" t="str">
        <x:v>Округлённый счётчик в списке YouTube</x:v>
      </x:c>
      <x:c r="J1400" s="14" t="n">
        <x:v>14000</x:v>
      </x:c>
      <x:c r="K1400" s="14" t="n">
        <x:v>19000</x:v>
      </x:c>
      <x:c r="L1400" s="12" t="n">
        <x:f>IF(COUNT(J1400:K1400)=2,IF(K1400=0,"",J1400/K1400),"")</x:f>
        <x:v>0.7368421052631579</x:v>
      </x:c>
      <x:c r="M1400" s="10" t="str">
        <x:v>Тема / гость: שיחה עם עודד הרוש: - חבר הכנסת בני גנץ I התכנית המלאה. Дополняет биографические интервью другим ведущим и кругом гостей.</x:v>
      </x:c>
      <x:c r="N1400" s="10" t="str">
        <x:v>Выделить один тезис гостя, уточняющий вопрос и аргументы.</x:v>
      </x:c>
      <x:c r="O1400" s="10" t="str">
        <x:v>Общественно-политические взгляды; атрибутировать гостю</x:v>
      </x:c>
      <x:c r="P1400" s="10" t="str">
        <x:v>Длинное интервью</x:v>
      </x:c>
      <x:c r="Q1400" s="9" t="str">
        <x:v>Нет</x:v>
      </x:c>
      <x:c r="R1400" s="9" t="str">
        <x:v>C082</x:v>
      </x:c>
      <x:c r="S1400" s="9" t="str">
        <x:v>C082</x:v>
      </x:c>
      <x:c r="T1400" s="10" t="str">
        <x:v>C14</x:v>
      </x:c>
      <x:c r="U1400" s="11" t="str">
        <x:v>https://www.youtube.com/watch?v=wTIw1DI4ry0</x:v>
      </x:c>
      <x:c r="V1400" s="16" t="n">
        <x:v>46308</x:v>
      </x:c>
      <x:c r="W1400" s="16"/>
      <x:c r="X1400" s="10" t="str">
        <x:v>Иврит предполагается по заголовку и источнику</x:v>
      </x:c>
      <x:c r="Y1400" s="10" t="str">
        <x:v>Не проверено</x:v>
      </x:c>
      <x:c r="Z1400" s="10" t="str">
        <x:v>Не проверено</x:v>
      </x:c>
      <x:c r="AA1400" s="10" t="str">
        <x:v>Метаданные списка; видео не просмотрено</x:v>
      </x:c>
      <x:c r="AB1400" s="13" t="str">
        <x:f>IF(AND(ISNUMBER(H1400),ISNUMBER(W1400)),H1400/MAX(1,'Обзор'!$B$4-W1400),"")</x:f>
      </x:c>
      <x:c r="AC1400" s="17" t="str">
        <x:v>Не решено</x:v>
      </x:c>
      <x:c r="AD1400" s="17" t="str">
        <x:v>Не проверено</x:v>
      </x:c>
      <x:c r="AE1400" s="17" t="str">
        <x:v>Не проверено</x:v>
      </x:c>
      <x:c r="AF1400" s="17" t="str">
        <x:v>Не проверено</x:v>
      </x:c>
      <x:c r="AG1400" s="17" t="str">
        <x:v>Не решено</x:v>
      </x:c>
      <x:c r="AH1400" s="17" t="str">
        <x:v>Не проверено</x:v>
      </x:c>
      <x:c r="AI1400" s="10" t="str">
        <x:f>IF(AC1400="Отклонить","Отклонено",IF(AND(AC1400="Взять",COUNTIFS(AD1400:AH1400,"Да")=5),"Готово","Нужна редактура"))</x:f>
        <x:v>Нужна редактура</x:v>
      </x:c>
      <x:c r="AJ1400" s="17" t="str"/>
      <x:c r="AK1400" s="9" t="str">
        <x:v>https://www.youtube.com/playlist?list=PL8E54R76rowCtmv0gKg7TZZ-ezCs6ykBX</x:v>
      </x:c>
      <x:c r="AL1400" s="9" t="n">
        <x:v>31</x:v>
      </x:c>
      <x:c r="AM1400" s="9"/>
      <x:c r="AN1400" s="9"/>
    </x:row>
    <x:row r="1401" ht="60" customHeight="1">
      <x:c r="A1401" s="9" t="str">
        <x:v>t_P-O-wGUZk</x:v>
      </x:c>
      <x:c r="B1401" s="10" t="str">
        <x:v>שיחה עם עודד הרוש: - הזמרת לאה שבת I התכנית המלאה</x:v>
      </x:c>
      <x:c r="C1401" s="10" t="str">
        <x:v>Люди Израиля</x:v>
      </x:c>
      <x:c r="D1401" s="9" t="str">
        <x:v>Интервью</x:v>
      </x:c>
      <x:c r="E1401" s="10" t="str">
        <x:v>Интервью; общество; традиционная аудитория</x:v>
      </x:c>
      <x:c r="F1401" s="10" t="str">
        <x:v>B2–C1 (гипотеза)</x:v>
      </x:c>
      <x:c r="G1401" s="12" t="n">
        <x:v>27.3</x:v>
      </x:c>
      <x:c r="H1401" s="14" t="n">
        <x:v>4700</x:v>
      </x:c>
      <x:c r="I1401" s="15" t="str">
        <x:v>Округлённый счётчик в списке YouTube</x:v>
      </x:c>
      <x:c r="J1401" s="14" t="n">
        <x:v>4700</x:v>
      </x:c>
      <x:c r="K1401" s="14" t="n">
        <x:v>19000</x:v>
      </x:c>
      <x:c r="L1401" s="12" t="n">
        <x:f>IF(COUNT(J1401:K1401)=2,IF(K1401=0,"",J1401/K1401),"")</x:f>
        <x:v>0.24736842105263157</x:v>
      </x:c>
      <x:c r="M1401" s="10" t="str">
        <x:v>Тема / гость: שיחה עם עודד הרוש: - הזמרת לאה שבת I התכנית המלאה. Просмотры ниже медианы цикла; выбирать за нишевую ценность, а не за массовый охват. Дополняет биографические интервью другим ведущим и кругом гостей.</x:v>
      </x:c>
      <x:c r="N1401" s="10" t="str">
        <x:v>Выделить один тезис гостя, уточняющий вопрос и аргументы.</x:v>
      </x:c>
      <x:c r="O1401" s="10" t="str">
        <x:v>Общественно-политические взгляды; атрибутировать гостю</x:v>
      </x:c>
      <x:c r="P1401" s="10" t="str">
        <x:v>Длинное интервью</x:v>
      </x:c>
      <x:c r="Q1401" s="9" t="str">
        <x:v>Нет</x:v>
      </x:c>
      <x:c r="R1401" s="9" t="str">
        <x:v>C082</x:v>
      </x:c>
      <x:c r="S1401" s="9" t="str">
        <x:v>C082</x:v>
      </x:c>
      <x:c r="T1401" s="10" t="str">
        <x:v>C14</x:v>
      </x:c>
      <x:c r="U1401" s="11" t="str">
        <x:v>https://www.youtube.com/watch?v=t_P-O-wGUZk</x:v>
      </x:c>
      <x:c r="V1401" s="16" t="n">
        <x:v>46308</x:v>
      </x:c>
      <x:c r="W1401" s="16"/>
      <x:c r="X1401" s="10" t="str">
        <x:v>Иврит предполагается по заголовку и источнику</x:v>
      </x:c>
      <x:c r="Y1401" s="10" t="str">
        <x:v>Не проверено</x:v>
      </x:c>
      <x:c r="Z1401" s="10" t="str">
        <x:v>Не проверено</x:v>
      </x:c>
      <x:c r="AA1401" s="10" t="str">
        <x:v>Метаданные списка; видео не просмотрено</x:v>
      </x:c>
      <x:c r="AB1401" s="13" t="str">
        <x:f>IF(AND(ISNUMBER(H1401),ISNUMBER(W1401)),H1401/MAX(1,'Обзор'!$B$4-W1401),"")</x:f>
      </x:c>
      <x:c r="AC1401" s="17" t="str">
        <x:v>Не решено</x:v>
      </x:c>
      <x:c r="AD1401" s="17" t="str">
        <x:v>Не проверено</x:v>
      </x:c>
      <x:c r="AE1401" s="17" t="str">
        <x:v>Не проверено</x:v>
      </x:c>
      <x:c r="AF1401" s="17" t="str">
        <x:v>Не проверено</x:v>
      </x:c>
      <x:c r="AG1401" s="17" t="str">
        <x:v>Не решено</x:v>
      </x:c>
      <x:c r="AH1401" s="17" t="str">
        <x:v>Не проверено</x:v>
      </x:c>
      <x:c r="AI1401" s="10" t="str">
        <x:f>IF(AC1401="Отклонить","Отклонено",IF(AND(AC1401="Взять",COUNTIFS(AD1401:AH1401,"Да")=5),"Готово","Нужна редактура"))</x:f>
        <x:v>Нужна редактура</x:v>
      </x:c>
      <x:c r="AJ1401" s="17" t="str"/>
      <x:c r="AK1401" s="9" t="str">
        <x:v>https://www.youtube.com/playlist?list=PL8E54R76rowCtmv0gKg7TZZ-ezCs6ykBX</x:v>
      </x:c>
      <x:c r="AL1401" s="9" t="n">
        <x:v>32</x:v>
      </x:c>
      <x:c r="AM1401" s="9"/>
      <x:c r="AN1401" s="9"/>
    </x:row>
    <x:row r="1402" ht="60" customHeight="1">
      <x:c r="A1402" s="9" t="str">
        <x:v>Mi30rGgxV6Y</x:v>
      </x:c>
      <x:c r="B1402" s="10" t="str">
        <x:v>שיחה עם עודד הרוש: - ח"כ משה סעדה I התכנית המלאה</x:v>
      </x:c>
      <x:c r="C1402" s="10" t="str">
        <x:v>Люди Израиля</x:v>
      </x:c>
      <x:c r="D1402" s="9" t="str">
        <x:v>Интервью</x:v>
      </x:c>
      <x:c r="E1402" s="10" t="str">
        <x:v>Интервью; общество; традиционная аудитория</x:v>
      </x:c>
      <x:c r="F1402" s="10" t="str">
        <x:v>B2–C1 (гипотеза)</x:v>
      </x:c>
      <x:c r="G1402" s="12" t="n">
        <x:v>27.8</x:v>
      </x:c>
      <x:c r="H1402" s="14" t="n">
        <x:v>25020</x:v>
      </x:c>
      <x:c r="I1402" s="15" t="str">
        <x:v>Точный счётчик метаданных видео</x:v>
      </x:c>
      <x:c r="J1402" s="14" t="n">
        <x:v>25000</x:v>
      </x:c>
      <x:c r="K1402" s="14" t="n">
        <x:v>19000</x:v>
      </x:c>
      <x:c r="L1402" s="12" t="n">
        <x:f>IF(COUNT(J1402:K1402)=2,IF(K1402=0,"",J1402/K1402),"")</x:f>
        <x:v>1.3157894736842106</x:v>
      </x:c>
      <x:c r="M1402" s="10" t="str">
        <x:v>Тема / гость: שיחה עם עודד הרוש: - ח"כ משה סעדה I התכנית המלאה. Дополняет биографические интервью другим ведущим и кругом гостей.</x:v>
      </x:c>
      <x:c r="N1402" s="10" t="str">
        <x:v>Выделить один тезис гостя, уточняющий вопрос и аргументы.</x:v>
      </x:c>
      <x:c r="O1402" s="10" t="str">
        <x:v>Общественно-политические взгляды; атрибутировать гостю</x:v>
      </x:c>
      <x:c r="P1402" s="10" t="str">
        <x:v>Длинное интервью</x:v>
      </x:c>
      <x:c r="Q1402" s="9" t="str">
        <x:v>Нет</x:v>
      </x:c>
      <x:c r="R1402" s="9" t="str">
        <x:v>C082</x:v>
      </x:c>
      <x:c r="S1402" s="9" t="str">
        <x:v>C082</x:v>
      </x:c>
      <x:c r="T1402" s="10" t="str">
        <x:v>C14</x:v>
      </x:c>
      <x:c r="U1402" s="11" t="str">
        <x:v>https://www.youtube.com/watch?v=Mi30rGgxV6Y</x:v>
      </x:c>
      <x:c r="V1402" s="16" t="n">
        <x:v>46308</x:v>
      </x:c>
      <x:c r="W1402" s="16" t="n">
        <x:v>46060</x:v>
      </x:c>
      <x:c r="X1402" s="10" t="str">
        <x:v>Иврит предполагается по заголовку и источнику</x:v>
      </x:c>
      <x:c r="Y1402" s="10" t="str">
        <x:v>Автоматическая дорожка HE по метаданным</x:v>
      </x:c>
      <x:c r="Z1402" s="10" t="str">
        <x:v>Разрешено по метаданным</x:v>
      </x:c>
      <x:c r="AA1402" s="10" t="str">
        <x:v>Метаданные видео; воспроизведение и содержание не проверены</x:v>
      </x:c>
      <x:c r="AB1402" s="13" t="n">
        <x:f>IF(AND(ISNUMBER(H1402),ISNUMBER(W1402)),H1402/MAX(1,'Обзор'!$B$4-W1402),"")</x:f>
        <x:v>100.88709677419355</x:v>
      </x:c>
      <x:c r="AC1402" s="17" t="str">
        <x:v>Не решено</x:v>
      </x:c>
      <x:c r="AD1402" s="17" t="str">
        <x:v>Не проверено</x:v>
      </x:c>
      <x:c r="AE1402" s="17" t="str">
        <x:v>Не проверено</x:v>
      </x:c>
      <x:c r="AF1402" s="17" t="str">
        <x:v>Не проверено</x:v>
      </x:c>
      <x:c r="AG1402" s="17" t="str">
        <x:v>Не решено</x:v>
      </x:c>
      <x:c r="AH1402" s="17" t="str">
        <x:v>Не проверено</x:v>
      </x:c>
      <x:c r="AI1402" s="10" t="str">
        <x:f>IF(AC1402="Отклонить","Отклонено",IF(AND(AC1402="Взять",COUNTIFS(AD1402:AH1402,"Да")=5),"Готово","Нужна редактура"))</x:f>
        <x:v>Нужна редактура</x:v>
      </x:c>
      <x:c r="AJ1402" s="17" t="str"/>
      <x:c r="AK1402" s="9" t="str">
        <x:v>https://www.youtube.com/playlist?list=PL8E54R76rowCtmv0gKg7TZZ-ezCs6ykBX</x:v>
      </x:c>
      <x:c r="AL1402" s="9" t="n">
        <x:v>33</x:v>
      </x:c>
      <x:c r="AM1402" s="9"/>
      <x:c r="AN1402" s="9" t="n">
        <x:v>0</x:v>
      </x:c>
    </x:row>
    <x:row r="1403" ht="60" customHeight="1">
      <x:c r="A1403" s="9" t="str">
        <x:v>LALCZFkvxfk</x:v>
      </x:c>
      <x:c r="B1403" s="10" t="str">
        <x:v>שיחה עם עודד הרוש: - יעקב ברדוגו I התכנית המלאה</x:v>
      </x:c>
      <x:c r="C1403" s="10" t="str">
        <x:v>Люди Израиля</x:v>
      </x:c>
      <x:c r="D1403" s="9" t="str">
        <x:v>Интервью</x:v>
      </x:c>
      <x:c r="E1403" s="10" t="str">
        <x:v>Интервью; общество; традиционная аудитория</x:v>
      </x:c>
      <x:c r="F1403" s="10" t="str">
        <x:v>B2–C1 (гипотеза)</x:v>
      </x:c>
      <x:c r="G1403" s="12" t="n">
        <x:v>32.3</x:v>
      </x:c>
      <x:c r="H1403" s="14" t="n">
        <x:v>35835</x:v>
      </x:c>
      <x:c r="I1403" s="15" t="str">
        <x:v>Точный счётчик метаданных видео</x:v>
      </x:c>
      <x:c r="J1403" s="14" t="n">
        <x:v>35000</x:v>
      </x:c>
      <x:c r="K1403" s="14" t="n">
        <x:v>19000</x:v>
      </x:c>
      <x:c r="L1403" s="12" t="n">
        <x:f>IF(COUNT(J1403:K1403)=2,IF(K1403=0,"",J1403/K1403),"")</x:f>
        <x:v>1.8421052631578947</x:v>
      </x:c>
      <x:c r="M1403" s="10" t="str">
        <x:v>Тема / гость: שיחה עם עודד הרוש: - יעקב ברדוגו I התכנית המלאה. Просмотры в списке выше медианы выборки этого цикла в 1.84 раза. Дополняет биографические интервью другим ведущим и кругом гостей.</x:v>
      </x:c>
      <x:c r="N1403" s="10" t="str">
        <x:v>Выделить один тезис гостя, уточняющий вопрос и аргументы.</x:v>
      </x:c>
      <x:c r="O1403" s="10" t="str">
        <x:v>Общественно-политические взгляды; атрибутировать гостю</x:v>
      </x:c>
      <x:c r="P1403" s="10" t="str">
        <x:v>Длинное интервью</x:v>
      </x:c>
      <x:c r="Q1403" s="9" t="str">
        <x:v>Нет</x:v>
      </x:c>
      <x:c r="R1403" s="9" t="str">
        <x:v>C082</x:v>
      </x:c>
      <x:c r="S1403" s="9" t="str">
        <x:v>C082</x:v>
      </x:c>
      <x:c r="T1403" s="10" t="str">
        <x:v>C14</x:v>
      </x:c>
      <x:c r="U1403" s="11" t="str">
        <x:v>https://www.youtube.com/watch?v=LALCZFkvxfk</x:v>
      </x:c>
      <x:c r="V1403" s="16" t="n">
        <x:v>46308</x:v>
      </x:c>
      <x:c r="W1403" s="16" t="n">
        <x:v>46053</x:v>
      </x:c>
      <x:c r="X1403" s="10" t="str">
        <x:v>Иврит предполагается по заголовку и источнику</x:v>
      </x:c>
      <x:c r="Y1403" s="10" t="str">
        <x:v>Автоматическая дорожка HE по метаданным</x:v>
      </x:c>
      <x:c r="Z1403" s="10" t="str">
        <x:v>Разрешено по метаданным</x:v>
      </x:c>
      <x:c r="AA1403" s="10" t="str">
        <x:v>Метаданные видео; воспроизведение и содержание не проверены</x:v>
      </x:c>
      <x:c r="AB1403" s="13" t="n">
        <x:f>IF(AND(ISNUMBER(H1403),ISNUMBER(W1403)),H1403/MAX(1,'Обзор'!$B$4-W1403),"")</x:f>
        <x:v>140.52941176470588</x:v>
      </x:c>
      <x:c r="AC1403" s="17" t="str">
        <x:v>Не решено</x:v>
      </x:c>
      <x:c r="AD1403" s="17" t="str">
        <x:v>Не проверено</x:v>
      </x:c>
      <x:c r="AE1403" s="17" t="str">
        <x:v>Не проверено</x:v>
      </x:c>
      <x:c r="AF1403" s="17" t="str">
        <x:v>Не проверено</x:v>
      </x:c>
      <x:c r="AG1403" s="17" t="str">
        <x:v>Не решено</x:v>
      </x:c>
      <x:c r="AH1403" s="17" t="str">
        <x:v>Не проверено</x:v>
      </x:c>
      <x:c r="AI1403" s="10" t="str">
        <x:f>IF(AC1403="Отклонить","Отклонено",IF(AND(AC1403="Взять",COUNTIFS(AD1403:AH1403,"Да")=5),"Готово","Нужна редактура"))</x:f>
        <x:v>Нужна редактура</x:v>
      </x:c>
      <x:c r="AJ1403" s="17" t="str"/>
      <x:c r="AK1403" s="9" t="str">
        <x:v>https://www.youtube.com/playlist?list=PL8E54R76rowCtmv0gKg7TZZ-ezCs6ykBX</x:v>
      </x:c>
      <x:c r="AL1403" s="9" t="n">
        <x:v>34</x:v>
      </x:c>
      <x:c r="AM1403" s="9"/>
      <x:c r="AN1403" s="9" t="n">
        <x:v>0</x:v>
      </x:c>
    </x:row>
    <x:row r="1404" ht="60" customHeight="1">
      <x:c r="A1404" s="9" t="str">
        <x:v>KOZNmE-C1fQ</x:v>
      </x:c>
      <x:c r="B1404" s="10" t="str">
        <x:v>"עד היום זה פצע אצלי, גירשת אותי מהבית שלי": יעקב ברדוגו פותח הכל</x:v>
      </x:c>
      <x:c r="C1404" s="10" t="str">
        <x:v>Люди Израиля</x:v>
      </x:c>
      <x:c r="D1404" s="9" t="str">
        <x:v>Интервью</x:v>
      </x:c>
      <x:c r="E1404" s="10" t="str">
        <x:v>Интервью; общество; традиционная аудитория</x:v>
      </x:c>
      <x:c r="F1404" s="10" t="str">
        <x:v>B2–C1 (гипотеза)</x:v>
      </x:c>
      <x:c r="G1404" s="12" t="n">
        <x:v>1.1</x:v>
      </x:c>
      <x:c r="H1404" s="14" t="n">
        <x:v>31516</x:v>
      </x:c>
      <x:c r="I1404" s="15" t="str">
        <x:v>Точный счётчик метаданных видео</x:v>
      </x:c>
      <x:c r="J1404" s="14" t="n">
        <x:v>31000</x:v>
      </x:c>
      <x:c r="K1404" s="14" t="n">
        <x:v>19000</x:v>
      </x:c>
      <x:c r="L1404" s="12" t="n">
        <x:f>IF(COUNT(J1404:K1404)=2,IF(K1404=0,"",J1404/K1404),"")</x:f>
        <x:v>1.631578947368421</x:v>
      </x:c>
      <x:c r="M1404" s="10" t="str">
        <x:v>Тема / гость: "עד היום זה פצע אצלי, גירשת אותי מהבית שלי": יעקב ברדוגו פותח הכל. Просмотры в списке выше медианы выборки этого цикла в 1.63 раза. Дополняет биографические интервью другим ведущим и кругом гостей.</x:v>
      </x:c>
      <x:c r="N1404" s="10" t="str">
        <x:v>Выделить один тезис гостя, уточняющий вопрос и аргументы.</x:v>
      </x:c>
      <x:c r="O1404" s="10" t="str">
        <x:v>Общественно-политические взгляды; атрибутировать гостю</x:v>
      </x:c>
      <x:c r="P1404" s="10" t="str">
        <x:v>Короткое интервью / фрагмент</x:v>
      </x:c>
      <x:c r="Q1404" s="9" t="str">
        <x:v>Нет</x:v>
      </x:c>
      <x:c r="R1404" s="9" t="str">
        <x:v>C082</x:v>
      </x:c>
      <x:c r="S1404" s="9" t="str">
        <x:v>C082</x:v>
      </x:c>
      <x:c r="T1404" s="10" t="str">
        <x:v>C14</x:v>
      </x:c>
      <x:c r="U1404" s="11" t="str">
        <x:v>https://www.youtube.com/watch?v=KOZNmE-C1fQ</x:v>
      </x:c>
      <x:c r="V1404" s="16" t="n">
        <x:v>46308</x:v>
      </x:c>
      <x:c r="W1404" s="16" t="n">
        <x:v>46050</x:v>
      </x:c>
      <x:c r="X1404" s="10" t="str">
        <x:v>Иврит предполагается по заголовку и источнику</x:v>
      </x:c>
      <x:c r="Y1404" s="10" t="str">
        <x:v>Автоматическая дорожка HE по метаданным</x:v>
      </x:c>
      <x:c r="Z1404" s="10" t="str">
        <x:v>Разрешено по метаданным</x:v>
      </x:c>
      <x:c r="AA1404" s="10" t="str">
        <x:v>Метаданные видео; воспроизведение и содержание не проверены</x:v>
      </x:c>
      <x:c r="AB1404" s="13" t="n">
        <x:f>IF(AND(ISNUMBER(H1404),ISNUMBER(W1404)),H1404/MAX(1,'Обзор'!$B$4-W1404),"")</x:f>
        <x:v>122.15503875968992</x:v>
      </x:c>
      <x:c r="AC1404" s="17" t="str">
        <x:v>Не решено</x:v>
      </x:c>
      <x:c r="AD1404" s="17" t="str">
        <x:v>Не проверено</x:v>
      </x:c>
      <x:c r="AE1404" s="17" t="str">
        <x:v>Не проверено</x:v>
      </x:c>
      <x:c r="AF1404" s="17" t="str">
        <x:v>Не проверено</x:v>
      </x:c>
      <x:c r="AG1404" s="17" t="str">
        <x:v>Не решено</x:v>
      </x:c>
      <x:c r="AH1404" s="17" t="str">
        <x:v>Не проверено</x:v>
      </x:c>
      <x:c r="AI1404" s="10" t="str">
        <x:f>IF(AC1404="Отклонить","Отклонено",IF(AND(AC1404="Взять",COUNTIFS(AD1404:AH1404,"Да")=5),"Готово","Нужна редактура"))</x:f>
        <x:v>Нужна редактура</x:v>
      </x:c>
      <x:c r="AJ1404" s="17" t="str"/>
      <x:c r="AK1404" s="9" t="str">
        <x:v>https://www.youtube.com/playlist?list=PL8E54R76rowCtmv0gKg7TZZ-ezCs6ykBX</x:v>
      </x:c>
      <x:c r="AL1404" s="9" t="n">
        <x:v>35</x:v>
      </x:c>
      <x:c r="AM1404" s="9"/>
      <x:c r="AN1404" s="9" t="n">
        <x:v>0</x:v>
      </x:c>
    </x:row>
    <x:row r="1405" ht="60" customHeight="1">
      <x:c r="A1405" s="9" t="str">
        <x:v>yAeNOD8Vfzc</x:v>
      </x:c>
      <x:c r="B1405" s="10" t="str">
        <x:v>תוכנית חומש I פרק שלישי</x:v>
      </x:c>
      <x:c r="C1405" s="10" t="str">
        <x:v>Общество и политика</x:v>
      </x:c>
      <x:c r="D1405" s="9" t="str">
        <x:v>Общество</x:v>
      </x:c>
      <x:c r="E1405" s="10" t="str">
        <x:v>Политика; общество; продвинутые</x:v>
      </x:c>
      <x:c r="F1405" s="10" t="str">
        <x:v>B2–C1 (гипотеза)</x:v>
      </x:c>
      <x:c r="G1405" s="12" t="n">
        <x:v>24.2</x:v>
      </x:c>
      <x:c r="H1405" s="14" t="n">
        <x:v>26000</x:v>
      </x:c>
      <x:c r="I1405" s="15" t="str">
        <x:v>Округлённый счётчик в списке YouTube</x:v>
      </x:c>
      <x:c r="J1405" s="14" t="n">
        <x:v>26000</x:v>
      </x:c>
      <x:c r="K1405" s="14"/>
      <x:c r="L1405" s="12" t="str">
        <x:f>IF(COUNT(J1405:K1405)=2,IF(K1405=0,"",J1405/K1405),"")</x:f>
      </x:c>
      <x:c r="M1405" s="10" t="str">
        <x:v>Тема: תוכנית חומש I פרק שלישי. Сохраняет связь с текущей редакционной линией владельца и позволяет сопоставлять общественные нарративы.</x:v>
      </x:c>
      <x:c r="N1405" s="10" t="str">
        <x:v>Отделить фактическое утверждение, цитату и редакционную оценку.</x:v>
      </x:c>
      <x:c r="O1405" s="10" t="str">
        <x:v>Политическая перспектива; проверка фактов и контекста</x:v>
      </x:c>
      <x:c r="P1405" s="10" t="str">
        <x:v>Самостоятельное видео</x:v>
      </x:c>
      <x:c r="Q1405" s="9" t="str">
        <x:v>Да</x:v>
      </x:c>
      <x:c r="R1405" s="9" t="str">
        <x:v>C083</x:v>
      </x:c>
      <x:c r="S1405" s="9" t="str">
        <x:v>C083</x:v>
      </x:c>
      <x:c r="T1405" s="10" t="str">
        <x:v>C14</x:v>
      </x:c>
      <x:c r="U1405" s="11" t="str">
        <x:v>https://www.youtube.com/watch?v=yAeNOD8Vfzc</x:v>
      </x:c>
      <x:c r="V1405" s="16" t="n">
        <x:v>46308</x:v>
      </x:c>
      <x:c r="W1405" s="16"/>
      <x:c r="X1405" s="10" t="str">
        <x:v>Иврит предполагается по заголовку и источнику</x:v>
      </x:c>
      <x:c r="Y1405" s="10" t="str">
        <x:v>Не проверено</x:v>
      </x:c>
      <x:c r="Z1405" s="10" t="str">
        <x:v>Не проверено</x:v>
      </x:c>
      <x:c r="AA1405" s="10" t="str">
        <x:v>Метаданные списка; видео не просмотрено</x:v>
      </x:c>
      <x:c r="AB1405" s="13" t="str">
        <x:f>IF(AND(ISNUMBER(H1405),ISNUMBER(W1405)),H1405/MAX(1,'Обзор'!$B$4-W1405),"")</x:f>
      </x:c>
      <x:c r="AC1405" s="17" t="str">
        <x:v>Не решено</x:v>
      </x:c>
      <x:c r="AD1405" s="17" t="str">
        <x:v>Не проверено</x:v>
      </x:c>
      <x:c r="AE1405" s="17" t="str">
        <x:v>Не проверено</x:v>
      </x:c>
      <x:c r="AF1405" s="17" t="str">
        <x:v>Не проверено</x:v>
      </x:c>
      <x:c r="AG1405" s="17" t="str">
        <x:v>Не решено</x:v>
      </x:c>
      <x:c r="AH1405" s="17" t="str">
        <x:v>Не проверено</x:v>
      </x:c>
      <x:c r="AI1405" s="10" t="str">
        <x:f>IF(AC1405="Отклонить","Отклонено",IF(AND(AC1405="Взять",COUNTIFS(AD1405:AH1405,"Да")=5),"Готово","Нужна редактура"))</x:f>
        <x:v>Нужна редактура</x:v>
      </x:c>
      <x:c r="AJ1405" s="17" t="str"/>
      <x:c r="AK1405" s="9" t="str">
        <x:v>https://www.youtube.com/playlist?list=PL8E54R76rowDtQESYPqhis-w6eFiCed7D</x:v>
      </x:c>
      <x:c r="AL1405" s="9" t="n">
        <x:v>1</x:v>
      </x:c>
      <x:c r="AM1405" s="9"/>
      <x:c r="AN1405" s="9"/>
    </x:row>
    <x:row r="1406" ht="60" customHeight="1">
      <x:c r="A1406" s="9" t="str">
        <x:v>v6PVBbZrjUk</x:v>
      </x:c>
      <x:c r="B1406" s="10" t="str">
        <x:v>תוכנית חומש I פרק שני</x:v>
      </x:c>
      <x:c r="C1406" s="10" t="str">
        <x:v>Общество и политика</x:v>
      </x:c>
      <x:c r="D1406" s="9" t="str">
        <x:v>Общество</x:v>
      </x:c>
      <x:c r="E1406" s="10" t="str">
        <x:v>Политика; общество; продвинутые</x:v>
      </x:c>
      <x:c r="F1406" s="10" t="str">
        <x:v>B2–C1 (гипотеза)</x:v>
      </x:c>
      <x:c r="G1406" s="12" t="n">
        <x:v>24.5</x:v>
      </x:c>
      <x:c r="H1406" s="14" t="n">
        <x:v>21000</x:v>
      </x:c>
      <x:c r="I1406" s="15" t="str">
        <x:v>Округлённый счётчик в списке YouTube</x:v>
      </x:c>
      <x:c r="J1406" s="14" t="n">
        <x:v>21000</x:v>
      </x:c>
      <x:c r="K1406" s="14"/>
      <x:c r="L1406" s="12" t="str">
        <x:f>IF(COUNT(J1406:K1406)=2,IF(K1406=0,"",J1406/K1406),"")</x:f>
      </x:c>
      <x:c r="M1406" s="10" t="str">
        <x:v>Тема: תוכנית חומש I פרק שני. Сохраняет связь с текущей редакционной линией владельца и позволяет сопоставлять общественные нарративы.</x:v>
      </x:c>
      <x:c r="N1406" s="10" t="str">
        <x:v>Отделить фактическое утверждение, цитату и редакционную оценку.</x:v>
      </x:c>
      <x:c r="O1406" s="10" t="str">
        <x:v>Политическая перспектива; проверка фактов и контекста</x:v>
      </x:c>
      <x:c r="P1406" s="10" t="str">
        <x:v>Самостоятельное видео</x:v>
      </x:c>
      <x:c r="Q1406" s="9" t="str">
        <x:v>Да</x:v>
      </x:c>
      <x:c r="R1406" s="9" t="str">
        <x:v>C083</x:v>
      </x:c>
      <x:c r="S1406" s="9" t="str">
        <x:v>C083</x:v>
      </x:c>
      <x:c r="T1406" s="10" t="str">
        <x:v>C14</x:v>
      </x:c>
      <x:c r="U1406" s="11" t="str">
        <x:v>https://www.youtube.com/watch?v=v6PVBbZrjUk</x:v>
      </x:c>
      <x:c r="V1406" s="16" t="n">
        <x:v>46308</x:v>
      </x:c>
      <x:c r="W1406" s="16"/>
      <x:c r="X1406" s="10" t="str">
        <x:v>Иврит предполагается по заголовку и источнику</x:v>
      </x:c>
      <x:c r="Y1406" s="10" t="str">
        <x:v>Не проверено</x:v>
      </x:c>
      <x:c r="Z1406" s="10" t="str">
        <x:v>Не проверено</x:v>
      </x:c>
      <x:c r="AA1406" s="10" t="str">
        <x:v>Метаданные списка; видео не просмотрено</x:v>
      </x:c>
      <x:c r="AB1406" s="13" t="str">
        <x:f>IF(AND(ISNUMBER(H1406),ISNUMBER(W1406)),H1406/MAX(1,'Обзор'!$B$4-W1406),"")</x:f>
      </x:c>
      <x:c r="AC1406" s="17" t="str">
        <x:v>Не решено</x:v>
      </x:c>
      <x:c r="AD1406" s="17" t="str">
        <x:v>Не проверено</x:v>
      </x:c>
      <x:c r="AE1406" s="17" t="str">
        <x:v>Не проверено</x:v>
      </x:c>
      <x:c r="AF1406" s="17" t="str">
        <x:v>Не проверено</x:v>
      </x:c>
      <x:c r="AG1406" s="17" t="str">
        <x:v>Не решено</x:v>
      </x:c>
      <x:c r="AH1406" s="17" t="str">
        <x:v>Не проверено</x:v>
      </x:c>
      <x:c r="AI1406" s="10" t="str">
        <x:f>IF(AC1406="Отклонить","Отклонено",IF(AND(AC1406="Взять",COUNTIFS(AD1406:AH1406,"Да")=5),"Готово","Нужна редактура"))</x:f>
        <x:v>Нужна редактура</x:v>
      </x:c>
      <x:c r="AJ1406" s="17" t="str"/>
      <x:c r="AK1406" s="9" t="str">
        <x:v>https://www.youtube.com/playlist?list=PL8E54R76rowDtQESYPqhis-w6eFiCed7D</x:v>
      </x:c>
      <x:c r="AL1406" s="9" t="n">
        <x:v>2</x:v>
      </x:c>
      <x:c r="AM1406" s="9"/>
      <x:c r="AN1406" s="9"/>
    </x:row>
    <x:row r="1407" ht="60" customHeight="1">
      <x:c r="A1407" s="9" t="str">
        <x:v>82JY5QIeEwM</x:v>
      </x:c>
      <x:c r="B1407" s="10" t="str">
        <x:v>תוכנית חומש I פרק ראשון</x:v>
      </x:c>
      <x:c r="C1407" s="10" t="str">
        <x:v>Общество и политика</x:v>
      </x:c>
      <x:c r="D1407" s="9" t="str">
        <x:v>Общество</x:v>
      </x:c>
      <x:c r="E1407" s="10" t="str">
        <x:v>Политика; общество; продвинутые</x:v>
      </x:c>
      <x:c r="F1407" s="10" t="str">
        <x:v>B2–C1 (гипотеза)</x:v>
      </x:c>
      <x:c r="G1407" s="12" t="n">
        <x:v>24.3</x:v>
      </x:c>
      <x:c r="H1407" s="14" t="n">
        <x:v>35000</x:v>
      </x:c>
      <x:c r="I1407" s="15" t="str">
        <x:v>Округлённый счётчик в списке YouTube</x:v>
      </x:c>
      <x:c r="J1407" s="14" t="n">
        <x:v>35000</x:v>
      </x:c>
      <x:c r="K1407" s="14"/>
      <x:c r="L1407" s="12" t="str">
        <x:f>IF(COUNT(J1407:K1407)=2,IF(K1407=0,"",J1407/K1407),"")</x:f>
      </x:c>
      <x:c r="M1407" s="10" t="str">
        <x:v>Тема: תוכנית חומש I פרק ראשון. Сохраняет связь с текущей редакционной линией владельца и позволяет сопоставлять общественные нарративы.</x:v>
      </x:c>
      <x:c r="N1407" s="10" t="str">
        <x:v>Отделить фактическое утверждение, цитату и редакционную оценку.</x:v>
      </x:c>
      <x:c r="O1407" s="10" t="str">
        <x:v>Политическая перспектива; проверка фактов и контекста</x:v>
      </x:c>
      <x:c r="P1407" s="10" t="str">
        <x:v>Самостоятельное видео</x:v>
      </x:c>
      <x:c r="Q1407" s="9" t="str">
        <x:v>Да</x:v>
      </x:c>
      <x:c r="R1407" s="9" t="str">
        <x:v>C083</x:v>
      </x:c>
      <x:c r="S1407" s="9" t="str">
        <x:v>C083</x:v>
      </x:c>
      <x:c r="T1407" s="10" t="str">
        <x:v>C14</x:v>
      </x:c>
      <x:c r="U1407" s="11" t="str">
        <x:v>https://www.youtube.com/watch?v=82JY5QIeEwM</x:v>
      </x:c>
      <x:c r="V1407" s="16" t="n">
        <x:v>46308</x:v>
      </x:c>
      <x:c r="W1407" s="16"/>
      <x:c r="X1407" s="10" t="str">
        <x:v>Иврит предполагается по заголовку и источнику</x:v>
      </x:c>
      <x:c r="Y1407" s="10" t="str">
        <x:v>Не проверено</x:v>
      </x:c>
      <x:c r="Z1407" s="10" t="str">
        <x:v>Не проверено</x:v>
      </x:c>
      <x:c r="AA1407" s="10" t="str">
        <x:v>Метаданные списка; видео не просмотрено</x:v>
      </x:c>
      <x:c r="AB1407" s="13" t="str">
        <x:f>IF(AND(ISNUMBER(H1407),ISNUMBER(W1407)),H1407/MAX(1,'Обзор'!$B$4-W1407),"")</x:f>
      </x:c>
      <x:c r="AC1407" s="17" t="str">
        <x:v>Не решено</x:v>
      </x:c>
      <x:c r="AD1407" s="17" t="str">
        <x:v>Не проверено</x:v>
      </x:c>
      <x:c r="AE1407" s="17" t="str">
        <x:v>Не проверено</x:v>
      </x:c>
      <x:c r="AF1407" s="17" t="str">
        <x:v>Не проверено</x:v>
      </x:c>
      <x:c r="AG1407" s="17" t="str">
        <x:v>Не решено</x:v>
      </x:c>
      <x:c r="AH1407" s="17" t="str">
        <x:v>Не проверено</x:v>
      </x:c>
      <x:c r="AI1407" s="10" t="str">
        <x:f>IF(AC1407="Отклонить","Отклонено",IF(AND(AC1407="Взять",COUNTIFS(AD1407:AH1407,"Да")=5),"Готово","Нужна редактура"))</x:f>
        <x:v>Нужна редактура</x:v>
      </x:c>
      <x:c r="AJ1407" s="17" t="str"/>
      <x:c r="AK1407" s="9" t="str">
        <x:v>https://www.youtube.com/playlist?list=PL8E54R76rowDtQESYPqhis-w6eFiCed7D</x:v>
      </x:c>
      <x:c r="AL1407" s="9" t="n">
        <x:v>3</x:v>
      </x:c>
      <x:c r="AM1407" s="9"/>
      <x:c r="AN1407" s="9"/>
    </x:row>
    <x:row r="1408" ht="60" customHeight="1">
      <x:c r="A1408" s="9" t="str">
        <x:v>lmVm-eqQtGc</x:v>
      </x:c>
      <x:c r="B1408" s="10" t="str">
        <x:v>הדרום הפרוע: מחדל המשילות בנגב | חלק ג</x:v>
      </x:c>
      <x:c r="C1408" s="10" t="str">
        <x:v>Общество и периферия</x:v>
      </x:c>
      <x:c r="D1408" s="9" t="str">
        <x:v>Общество</x:v>
      </x:c>
      <x:c r="E1408" s="10" t="str">
        <x:v>Общество; региональная история; продвинутые</x:v>
      </x:c>
      <x:c r="F1408" s="10" t="str">
        <x:v>B2–C1 (гипотеза)</x:v>
      </x:c>
      <x:c r="G1408" s="12" t="n">
        <x:v>23.5</x:v>
      </x:c>
      <x:c r="H1408" s="14" t="n">
        <x:v>13217</x:v>
      </x:c>
      <x:c r="I1408" s="15" t="str">
        <x:v>Точный счётчик метаданных видео</x:v>
      </x:c>
      <x:c r="J1408" s="14" t="n">
        <x:v>13000</x:v>
      </x:c>
      <x:c r="K1408" s="14"/>
      <x:c r="L1408" s="12" t="str">
        <x:f>IF(COUNT(J1408:K1408)=2,IF(K1408=0,"",J1408/K1408),"")</x:f>
      </x:c>
      <x:c r="M1408" s="10" t="str">
        <x:v>Тема: הדרום הפרוע: מחדל המשילות בנגב | חלק ג. Региональная тема расширяет фокус за пределы центра страны. Не смешивать с другим циклом 7.10 — גרסת יו״ש.</x:v>
      </x:c>
      <x:c r="N1408" s="10" t="str">
        <x:v>Различить слова участников, статистику и выводы автора.</x:v>
      </x:c>
      <x:c r="O1408" s="10" t="str">
        <x:v>Конфликтная тема; проверять обобщения и ответы сторон</x:v>
      </x:c>
      <x:c r="P1408" s="10" t="str">
        <x:v>Самостоятельное видео</x:v>
      </x:c>
      <x:c r="Q1408" s="9" t="str">
        <x:v>Нет</x:v>
      </x:c>
      <x:c r="R1408" s="9" t="str">
        <x:v>C084</x:v>
      </x:c>
      <x:c r="S1408" s="9" t="str">
        <x:v>C084</x:v>
      </x:c>
      <x:c r="T1408" s="10" t="str">
        <x:v>C14</x:v>
      </x:c>
      <x:c r="U1408" s="11" t="str">
        <x:v>https://www.youtube.com/watch?v=lmVm-eqQtGc</x:v>
      </x:c>
      <x:c r="V1408" s="16" t="n">
        <x:v>46308</x:v>
      </x:c>
      <x:c r="W1408" s="16" t="n">
        <x:v>46077</x:v>
      </x:c>
      <x:c r="X1408" s="10" t="str">
        <x:v>Иврит предполагается по заголовку и источнику</x:v>
      </x:c>
      <x:c r="Y1408" s="10" t="str">
        <x:v>Автоматическая дорожка HE по метаданным</x:v>
      </x:c>
      <x:c r="Z1408" s="10" t="str">
        <x:v>Разрешено по метаданным</x:v>
      </x:c>
      <x:c r="AA1408" s="10" t="str">
        <x:v>Метаданные видео; воспроизведение и содержание не проверены</x:v>
      </x:c>
      <x:c r="AB1408" s="13" t="n">
        <x:f>IF(AND(ISNUMBER(H1408),ISNUMBER(W1408)),H1408/MAX(1,'Обзор'!$B$4-W1408),"")</x:f>
        <x:v>57.21645021645022</x:v>
      </x:c>
      <x:c r="AC1408" s="17" t="str">
        <x:v>Не решено</x:v>
      </x:c>
      <x:c r="AD1408" s="17" t="str">
        <x:v>Не проверено</x:v>
      </x:c>
      <x:c r="AE1408" s="17" t="str">
        <x:v>Не проверено</x:v>
      </x:c>
      <x:c r="AF1408" s="17" t="str">
        <x:v>Не проверено</x:v>
      </x:c>
      <x:c r="AG1408" s="17" t="str">
        <x:v>Не решено</x:v>
      </x:c>
      <x:c r="AH1408" s="17" t="str">
        <x:v>Не проверено</x:v>
      </x:c>
      <x:c r="AI1408" s="10" t="str">
        <x:f>IF(AC1408="Отклонить","Отклонено",IF(AND(AC1408="Взять",COUNTIFS(AD1408:AH1408,"Да")=5),"Готово","Нужна редактура"))</x:f>
        <x:v>Нужна редактура</x:v>
      </x:c>
      <x:c r="AJ1408" s="17" t="str"/>
      <x:c r="AK1408" s="9" t="str">
        <x:v>https://www.youtube.com/playlist?list=PL8E54R76rowC7vgiKuV2jfjeF3M-sbqcE</x:v>
      </x:c>
      <x:c r="AL1408" s="9" t="n">
        <x:v>1</x:v>
      </x:c>
      <x:c r="AM1408" s="9"/>
      <x:c r="AN1408" s="9" t="n">
        <x:v>0</x:v>
      </x:c>
    </x:row>
    <x:row r="1409" ht="60" customHeight="1">
      <x:c r="A1409" s="9" t="str">
        <x:v>gLSY9fXgUoo</x:v>
      </x:c>
      <x:c r="B1409" s="10" t="str">
        <x:v>הדרום הפרוע: מחדל המשילות בנגב | חלק ב</x:v>
      </x:c>
      <x:c r="C1409" s="10" t="str">
        <x:v>Общество и периферия</x:v>
      </x:c>
      <x:c r="D1409" s="9" t="str">
        <x:v>Общество</x:v>
      </x:c>
      <x:c r="E1409" s="10" t="str">
        <x:v>Общество; региональная история; продвинутые</x:v>
      </x:c>
      <x:c r="F1409" s="10" t="str">
        <x:v>B2–C1 (гипотеза)</x:v>
      </x:c>
      <x:c r="G1409" s="12" t="n">
        <x:v>23.4</x:v>
      </x:c>
      <x:c r="H1409" s="14" t="n">
        <x:v>11730</x:v>
      </x:c>
      <x:c r="I1409" s="15" t="str">
        <x:v>Точный счётчик метаданных видео</x:v>
      </x:c>
      <x:c r="J1409" s="14" t="n">
        <x:v>11000</x:v>
      </x:c>
      <x:c r="K1409" s="14"/>
      <x:c r="L1409" s="12" t="str">
        <x:f>IF(COUNT(J1409:K1409)=2,IF(K1409=0,"",J1409/K1409),"")</x:f>
      </x:c>
      <x:c r="M1409" s="10" t="str">
        <x:v>Тема: הדרום הפרוע: מחדל המשילות בנגב | חלק ב. Региональная тема расширяет фокус за пределы центра страны. Не смешивать с другим циклом 7.10 — גרסת יו״ש.</x:v>
      </x:c>
      <x:c r="N1409" s="10" t="str">
        <x:v>Различить слова участников, статистику и выводы автора.</x:v>
      </x:c>
      <x:c r="O1409" s="10" t="str">
        <x:v>Конфликтная тема; проверять обобщения и ответы сторон</x:v>
      </x:c>
      <x:c r="P1409" s="10" t="str">
        <x:v>Самостоятельное видео</x:v>
      </x:c>
      <x:c r="Q1409" s="9" t="str">
        <x:v>Нет</x:v>
      </x:c>
      <x:c r="R1409" s="9" t="str">
        <x:v>C084</x:v>
      </x:c>
      <x:c r="S1409" s="9" t="str">
        <x:v>C084</x:v>
      </x:c>
      <x:c r="T1409" s="10" t="str">
        <x:v>C14</x:v>
      </x:c>
      <x:c r="U1409" s="11" t="str">
        <x:v>https://www.youtube.com/watch?v=gLSY9fXgUoo</x:v>
      </x:c>
      <x:c r="V1409" s="16" t="n">
        <x:v>46308</x:v>
      </x:c>
      <x:c r="W1409" s="16" t="n">
        <x:v>46076</x:v>
      </x:c>
      <x:c r="X1409" s="10" t="str">
        <x:v>Иврит предполагается по заголовку и источнику</x:v>
      </x:c>
      <x:c r="Y1409" s="10" t="str">
        <x:v>Автоматическая дорожка HE по метаданным</x:v>
      </x:c>
      <x:c r="Z1409" s="10" t="str">
        <x:v>Разрешено по метаданным</x:v>
      </x:c>
      <x:c r="AA1409" s="10" t="str">
        <x:v>Метаданные видео; воспроизведение и содержание не проверены</x:v>
      </x:c>
      <x:c r="AB1409" s="13" t="n">
        <x:f>IF(AND(ISNUMBER(H1409),ISNUMBER(W1409)),H1409/MAX(1,'Обзор'!$B$4-W1409),"")</x:f>
        <x:v>50.560344827586206</x:v>
      </x:c>
      <x:c r="AC1409" s="17" t="str">
        <x:v>Не решено</x:v>
      </x:c>
      <x:c r="AD1409" s="17" t="str">
        <x:v>Не проверено</x:v>
      </x:c>
      <x:c r="AE1409" s="17" t="str">
        <x:v>Не проверено</x:v>
      </x:c>
      <x:c r="AF1409" s="17" t="str">
        <x:v>Не проверено</x:v>
      </x:c>
      <x:c r="AG1409" s="17" t="str">
        <x:v>Не решено</x:v>
      </x:c>
      <x:c r="AH1409" s="17" t="str">
        <x:v>Не проверено</x:v>
      </x:c>
      <x:c r="AI1409" s="10" t="str">
        <x:f>IF(AC1409="Отклонить","Отклонено",IF(AND(AC1409="Взять",COUNTIFS(AD1409:AH1409,"Да")=5),"Готово","Нужна редактура"))</x:f>
        <x:v>Нужна редактура</x:v>
      </x:c>
      <x:c r="AJ1409" s="17" t="str"/>
      <x:c r="AK1409" s="9" t="str">
        <x:v>https://www.youtube.com/playlist?list=PL8E54R76rowC7vgiKuV2jfjeF3M-sbqcE</x:v>
      </x:c>
      <x:c r="AL1409" s="9" t="n">
        <x:v>2</x:v>
      </x:c>
      <x:c r="AM1409" s="9"/>
      <x:c r="AN1409" s="9" t="n">
        <x:v>0</x:v>
      </x:c>
    </x:row>
    <x:row r="1410" ht="60" customHeight="1">
      <x:c r="A1410" s="9" t="str">
        <x:v>KdQYwbVZW-Q</x:v>
      </x:c>
      <x:c r="B1410" s="10" t="str">
        <x:v>הדרום הפרוע: מחדל המשילות בנגב | חלק א'</x:v>
      </x:c>
      <x:c r="C1410" s="10" t="str">
        <x:v>Общество и периферия</x:v>
      </x:c>
      <x:c r="D1410" s="9" t="str">
        <x:v>Общество</x:v>
      </x:c>
      <x:c r="E1410" s="10" t="str">
        <x:v>Общество; региональная история; продвинутые</x:v>
      </x:c>
      <x:c r="F1410" s="10" t="str">
        <x:v>B2–C1 (гипотеза)</x:v>
      </x:c>
      <x:c r="G1410" s="12" t="n">
        <x:v>27.2</x:v>
      </x:c>
      <x:c r="H1410" s="14" t="n">
        <x:v>39998</x:v>
      </x:c>
      <x:c r="I1410" s="15" t="str">
        <x:v>Точный счётчик метаданных видео</x:v>
      </x:c>
      <x:c r="J1410" s="14" t="n">
        <x:v>39000</x:v>
      </x:c>
      <x:c r="K1410" s="14"/>
      <x:c r="L1410" s="12" t="str">
        <x:f>IF(COUNT(J1410:K1410)=2,IF(K1410=0,"",J1410/K1410),"")</x:f>
      </x:c>
      <x:c r="M1410" s="10" t="str">
        <x:v>Тема: הדרום הפרוע: מחדל המשילות בנגב | חלק א'. Региональная тема расширяет фокус за пределы центра страны. Не смешивать с другим циклом 7.10 — גרסת יו״ש.</x:v>
      </x:c>
      <x:c r="N1410" s="10" t="str">
        <x:v>Различить слова участников, статистику и выводы автора.</x:v>
      </x:c>
      <x:c r="O1410" s="10" t="str">
        <x:v>Конфликтная тема; проверять обобщения и ответы сторон</x:v>
      </x:c>
      <x:c r="P1410" s="10" t="str">
        <x:v>Самостоятельное видео</x:v>
      </x:c>
      <x:c r="Q1410" s="9" t="str">
        <x:v>Нет</x:v>
      </x:c>
      <x:c r="R1410" s="9" t="str">
        <x:v>C084</x:v>
      </x:c>
      <x:c r="S1410" s="9" t="str">
        <x:v>C084</x:v>
      </x:c>
      <x:c r="T1410" s="10" t="str">
        <x:v>C14</x:v>
      </x:c>
      <x:c r="U1410" s="11" t="str">
        <x:v>https://www.youtube.com/watch?v=KdQYwbVZW-Q</x:v>
      </x:c>
      <x:c r="V1410" s="16" t="n">
        <x:v>46308</x:v>
      </x:c>
      <x:c r="W1410" s="16" t="n">
        <x:v>46075</x:v>
      </x:c>
      <x:c r="X1410" s="10" t="str">
        <x:v>Иврит предполагается по заголовку и источнику</x:v>
      </x:c>
      <x:c r="Y1410" s="10" t="str">
        <x:v>Автоматическая дорожка HE по метаданным</x:v>
      </x:c>
      <x:c r="Z1410" s="10" t="str">
        <x:v>Разрешено по метаданным</x:v>
      </x:c>
      <x:c r="AA1410" s="10" t="str">
        <x:v>Метаданные видео; воспроизведение и содержание не проверены</x:v>
      </x:c>
      <x:c r="AB1410" s="13" t="n">
        <x:f>IF(AND(ISNUMBER(H1410),ISNUMBER(W1410)),H1410/MAX(1,'Обзор'!$B$4-W1410),"")</x:f>
        <x:v>171.66523605150215</x:v>
      </x:c>
      <x:c r="AC1410" s="17" t="str">
        <x:v>Не решено</x:v>
      </x:c>
      <x:c r="AD1410" s="17" t="str">
        <x:v>Не проверено</x:v>
      </x:c>
      <x:c r="AE1410" s="17" t="str">
        <x:v>Не проверено</x:v>
      </x:c>
      <x:c r="AF1410" s="17" t="str">
        <x:v>Не проверено</x:v>
      </x:c>
      <x:c r="AG1410" s="17" t="str">
        <x:v>Не решено</x:v>
      </x:c>
      <x:c r="AH1410" s="17" t="str">
        <x:v>Не проверено</x:v>
      </x:c>
      <x:c r="AI1410" s="10" t="str">
        <x:f>IF(AC1410="Отклонить","Отклонено",IF(AND(AC1410="Взять",COUNTIFS(AD1410:AH1410,"Да")=5),"Готово","Нужна редактура"))</x:f>
        <x:v>Нужна редактура</x:v>
      </x:c>
      <x:c r="AJ1410" s="17" t="str"/>
      <x:c r="AK1410" s="9" t="str">
        <x:v>https://www.youtube.com/playlist?list=PL8E54R76rowC7vgiKuV2jfjeF3M-sbqcE</x:v>
      </x:c>
      <x:c r="AL1410" s="9" t="n">
        <x:v>3</x:v>
      </x:c>
      <x:c r="AM1410" s="9"/>
      <x:c r="AN1410" s="9" t="n">
        <x:v>0</x:v>
      </x:c>
    </x:row>
    <x:row r="1411" ht="60" customHeight="1">
      <x:c r="A1411" s="9" t="str">
        <x:v>zsfk4uX6Vv0</x:v>
      </x:c>
      <x:c r="B1411" s="10" t="str">
        <x:v>"יש לך עפרון?" - פחות חומרות יותר הומור: המסר של הרב עובדיה יוסף למנקים לקראת פסח</x:v>
      </x:c>
      <x:c r="C1411" s="10" t="str">
        <x:v>Культура общин</x:v>
      </x:c>
      <x:c r="D1411" s="9" t="str">
        <x:v>Культура</x:v>
      </x:c>
      <x:c r="E1411" s="10" t="str">
        <x:v>Традиционная аудитория; еврейское наследие</x:v>
      </x:c>
      <x:c r="F1411" s="10" t="str">
        <x:v>B1–B2 (гипотеза)</x:v>
      </x:c>
      <x:c r="G1411" s="12" t="n">
        <x:v>1.2</x:v>
      </x:c>
      <x:c r="H1411" s="14" t="n">
        <x:v>188</x:v>
      </x:c>
      <x:c r="I1411" s="15" t="str">
        <x:v>Округлённый счётчик в списке YouTube</x:v>
      </x:c>
      <x:c r="J1411" s="14" t="n">
        <x:v>188</x:v>
      </x:c>
      <x:c r="K1411" s="14" t="n">
        <x:v>659</x:v>
      </x:c>
      <x:c r="L1411" s="12" t="n">
        <x:f>IF(COUNT(J1411:K1411)=2,IF(K1411=0,"",J1411/K1411),"")</x:f>
        <x:v>0.2852807283763278</x:v>
      </x:c>
      <x:c r="M1411" s="10" t="str">
        <x:v>Завершённый короткий просмотр около 1 мин. Просмотры ниже медианы цикла; выбирать за нишевую ценность, а не за массовый охват. Истории мудрецов Востока расширяют предложение для традиционно ориентированных зрителей.</x:v>
      </x:c>
      <x:c r="N1411" s="10" t="str">
        <x:v>Выделить мораль истории и пересказать современными словами.</x:v>
      </x:c>
      <x:c r="O1411" s="10" t="str">
        <x:v>Религиозные понятия и первичные тексты</x:v>
      </x:c>
      <x:c r="P1411" s="10" t="str">
        <x:v>Самостоятельное видео</x:v>
      </x:c>
      <x:c r="Q1411" s="9" t="str">
        <x:v>Нет</x:v>
      </x:c>
      <x:c r="R1411" s="9" t="str">
        <x:v>C085</x:v>
      </x:c>
      <x:c r="S1411" s="9" t="str">
        <x:v>C085</x:v>
      </x:c>
      <x:c r="T1411" s="10" t="str">
        <x:v>C14</x:v>
      </x:c>
      <x:c r="U1411" s="11" t="str">
        <x:v>https://www.youtube.com/watch?v=zsfk4uX6Vv0</x:v>
      </x:c>
      <x:c r="V1411" s="16" t="n">
        <x:v>46308</x:v>
      </x:c>
      <x:c r="W1411" s="16"/>
      <x:c r="X1411" s="10" t="str">
        <x:v>Иврит предполагается по заголовку и источнику</x:v>
      </x:c>
      <x:c r="Y1411" s="10" t="str">
        <x:v>Не проверено</x:v>
      </x:c>
      <x:c r="Z1411" s="10" t="str">
        <x:v>Не проверено</x:v>
      </x:c>
      <x:c r="AA1411" s="10" t="str">
        <x:v>Метаданные списка; видео не просмотрено</x:v>
      </x:c>
      <x:c r="AB1411" s="13" t="str">
        <x:f>IF(AND(ISNUMBER(H1411),ISNUMBER(W1411)),H1411/MAX(1,'Обзор'!$B$4-W1411),"")</x:f>
      </x:c>
      <x:c r="AC1411" s="17" t="str">
        <x:v>Не решено</x:v>
      </x:c>
      <x:c r="AD1411" s="17" t="str">
        <x:v>Не проверено</x:v>
      </x:c>
      <x:c r="AE1411" s="17" t="str">
        <x:v>Не проверено</x:v>
      </x:c>
      <x:c r="AF1411" s="17" t="str">
        <x:v>Не проверено</x:v>
      </x:c>
      <x:c r="AG1411" s="17" t="str">
        <x:v>Не решено</x:v>
      </x:c>
      <x:c r="AH1411" s="17" t="str">
        <x:v>Не проверено</x:v>
      </x:c>
      <x:c r="AI1411" s="10" t="str">
        <x:f>IF(AC1411="Отклонить","Отклонено",IF(AND(AC1411="Взять",COUNTIFS(AD1411:AH1411,"Да")=5),"Готово","Нужна редактура"))</x:f>
        <x:v>Нужна редактура</x:v>
      </x:c>
      <x:c r="AJ1411" s="17" t="str"/>
      <x:c r="AK1411" s="9" t="str">
        <x:v>https://www.youtube.com/playlist?list=PL8E54R76rowDoyvp5SuXWPq5UZVOM-_Et</x:v>
      </x:c>
      <x:c r="AL1411" s="9" t="n">
        <x:v>1</x:v>
      </x:c>
      <x:c r="AM1411" s="9"/>
      <x:c r="AN1411" s="9"/>
    </x:row>
    <x:row r="1412" ht="60" customHeight="1">
      <x:c r="A1412" s="9" t="str">
        <x:v>7ltGCJTneNk</x:v>
      </x:c>
      <x:c r="B1412" s="10" t="str">
        <x:v>אחרי הבכי אפשר לדבר: העצה העמוקה של הבבא סאלי</x:v>
      </x:c>
      <x:c r="C1412" s="10" t="str">
        <x:v>Культура общин</x:v>
      </x:c>
      <x:c r="D1412" s="9" t="str">
        <x:v>Культура</x:v>
      </x:c>
      <x:c r="E1412" s="10" t="str">
        <x:v>Традиционная аудитория; еврейское наследие</x:v>
      </x:c>
      <x:c r="F1412" s="10" t="str">
        <x:v>B1–B2 (гипотеза)</x:v>
      </x:c>
      <x:c r="G1412" s="12" t="n">
        <x:v>1.6</x:v>
      </x:c>
      <x:c r="H1412" s="14" t="n">
        <x:v>1322</x:v>
      </x:c>
      <x:c r="I1412" s="15" t="str">
        <x:v>Точный счётчик метаданных видео</x:v>
      </x:c>
      <x:c r="J1412" s="14" t="n">
        <x:v>1300</x:v>
      </x:c>
      <x:c r="K1412" s="14" t="n">
        <x:v>659</x:v>
      </x:c>
      <x:c r="L1412" s="12" t="n">
        <x:f>IF(COUNT(J1412:K1412)=2,IF(K1412=0,"",J1412/K1412),"")</x:f>
        <x:v>1.9726858877086495</x:v>
      </x:c>
      <x:c r="M1412" s="10" t="str">
        <x:v>Завершённый короткий просмотр около 2 мин. Просмотры в списке выше медианы выборки этого цикла в 1.97 раза. Истории мудрецов Востока расширяют предложение для традиционно ориентированных зрителей.</x:v>
      </x:c>
      <x:c r="N1412" s="10" t="str">
        <x:v>Выделить мораль истории и пересказать современными словами.</x:v>
      </x:c>
      <x:c r="O1412" s="10" t="str">
        <x:v>Религиозные понятия и первичные тексты</x:v>
      </x:c>
      <x:c r="P1412" s="10" t="str">
        <x:v>Самостоятельное видео</x:v>
      </x:c>
      <x:c r="Q1412" s="9" t="str">
        <x:v>Нет</x:v>
      </x:c>
      <x:c r="R1412" s="9" t="str">
        <x:v>C085</x:v>
      </x:c>
      <x:c r="S1412" s="9" t="str">
        <x:v>C085</x:v>
      </x:c>
      <x:c r="T1412" s="10" t="str">
        <x:v>C14</x:v>
      </x:c>
      <x:c r="U1412" s="11" t="str">
        <x:v>https://www.youtube.com/watch?v=7ltGCJTneNk</x:v>
      </x:c>
      <x:c r="V1412" s="16" t="n">
        <x:v>46308</x:v>
      </x:c>
      <x:c r="W1412" s="16" t="n">
        <x:v>44392</x:v>
      </x:c>
      <x:c r="X1412" s="10" t="str">
        <x:v>Иврит предполагается по заголовку и источнику</x:v>
      </x:c>
      <x:c r="Y1412" s="10" t="str">
        <x:v>Дорожка HE не найдена в метаданных; вшитые титры не проверены</x:v>
      </x:c>
      <x:c r="Z1412" s="10" t="str">
        <x:v>Разрешено по метаданным</x:v>
      </x:c>
      <x:c r="AA1412" s="10" t="str">
        <x:v>Метаданные видео; воспроизведение и содержание не проверены</x:v>
      </x:c>
      <x:c r="AB1412" s="13" t="n">
        <x:f>IF(AND(ISNUMBER(H1412),ISNUMBER(W1412)),H1412/MAX(1,'Обзор'!$B$4-W1412),"")</x:f>
        <x:v>0.6899791231732777</x:v>
      </x:c>
      <x:c r="AC1412" s="17" t="str">
        <x:v>Не решено</x:v>
      </x:c>
      <x:c r="AD1412" s="17" t="str">
        <x:v>Не проверено</x:v>
      </x:c>
      <x:c r="AE1412" s="17" t="str">
        <x:v>Не проверено</x:v>
      </x:c>
      <x:c r="AF1412" s="17" t="str">
        <x:v>Не проверено</x:v>
      </x:c>
      <x:c r="AG1412" s="17" t="str">
        <x:v>Не решено</x:v>
      </x:c>
      <x:c r="AH1412" s="17" t="str">
        <x:v>Не проверено</x:v>
      </x:c>
      <x:c r="AI1412" s="10" t="str">
        <x:f>IF(AC1412="Отклонить","Отклонено",IF(AND(AC1412="Взять",COUNTIFS(AD1412:AH1412,"Да")=5),"Готово","Нужна редактура"))</x:f>
        <x:v>Нужна редактура</x:v>
      </x:c>
      <x:c r="AJ1412" s="17" t="str"/>
      <x:c r="AK1412" s="9" t="str">
        <x:v>https://www.youtube.com/playlist?list=PL8E54R76rowDoyvp5SuXWPq5UZVOM-_Et</x:v>
      </x:c>
      <x:c r="AL1412" s="9" t="n">
        <x:v>2</x:v>
      </x:c>
      <x:c r="AM1412" s="9"/>
      <x:c r="AN1412" s="9" t="n">
        <x:v>0</x:v>
      </x:c>
    </x:row>
    <x:row r="1413" ht="60" customHeight="1">
      <x:c r="A1413" s="9" t="str">
        <x:v>RM1SM7vGEAM</x:v>
      </x:c>
      <x:c r="B1413" s="10" t="str">
        <x:v>מה היה כתוב בקמע המיוחד של "האור החיים"?</x:v>
      </x:c>
      <x:c r="C1413" s="10" t="str">
        <x:v>Культура общин</x:v>
      </x:c>
      <x:c r="D1413" s="9" t="str">
        <x:v>Культура</x:v>
      </x:c>
      <x:c r="E1413" s="10" t="str">
        <x:v>Традиционная аудитория; еврейское наследие</x:v>
      </x:c>
      <x:c r="F1413" s="10" t="str">
        <x:v>B1–B2 (гипотеза)</x:v>
      </x:c>
      <x:c r="G1413" s="12" t="n">
        <x:v>1.2</x:v>
      </x:c>
      <x:c r="H1413" s="14" t="n">
        <x:v>702</x:v>
      </x:c>
      <x:c r="I1413" s="15" t="str">
        <x:v>Точный счётчик метаданных видео</x:v>
      </x:c>
      <x:c r="J1413" s="14" t="n">
        <x:v>702</x:v>
      </x:c>
      <x:c r="K1413" s="14" t="n">
        <x:v>659</x:v>
      </x:c>
      <x:c r="L1413" s="12" t="n">
        <x:f>IF(COUNT(J1413:K1413)=2,IF(K1413=0,"",J1413/K1413),"")</x:f>
        <x:v>1.0652503793626706</x:v>
      </x:c>
      <x:c r="M1413" s="10" t="str">
        <x:v>Завершённый короткий просмотр около 1 мин. Истории мудрецов Востока расширяют предложение для традиционно ориентированных зрителей.</x:v>
      </x:c>
      <x:c r="N1413" s="10" t="str">
        <x:v>Выделить мораль истории и пересказать современными словами.</x:v>
      </x:c>
      <x:c r="O1413" s="10" t="str">
        <x:v>Религиозные понятия и первичные тексты</x:v>
      </x:c>
      <x:c r="P1413" s="10" t="str">
        <x:v>Самостоятельное видео</x:v>
      </x:c>
      <x:c r="Q1413" s="9" t="str">
        <x:v>Нет</x:v>
      </x:c>
      <x:c r="R1413" s="9" t="str">
        <x:v>C085</x:v>
      </x:c>
      <x:c r="S1413" s="9" t="str">
        <x:v>C085</x:v>
      </x:c>
      <x:c r="T1413" s="10" t="str">
        <x:v>C14</x:v>
      </x:c>
      <x:c r="U1413" s="11" t="str">
        <x:v>https://www.youtube.com/watch?v=RM1SM7vGEAM</x:v>
      </x:c>
      <x:c r="V1413" s="16" t="n">
        <x:v>46308</x:v>
      </x:c>
      <x:c r="W1413" s="16" t="n">
        <x:v>44421</x:v>
      </x:c>
      <x:c r="X1413" s="10" t="str">
        <x:v>Иврит предполагается по заголовку и источнику</x:v>
      </x:c>
      <x:c r="Y1413" s="10" t="str">
        <x:v>Дорожка HE не найдена в метаданных; вшитые титры не проверены</x:v>
      </x:c>
      <x:c r="Z1413" s="10" t="str">
        <x:v>Разрешено по метаданным</x:v>
      </x:c>
      <x:c r="AA1413" s="10" t="str">
        <x:v>Метаданные видео; воспроизведение и содержание не проверены</x:v>
      </x:c>
      <x:c r="AB1413" s="13" t="n">
        <x:f>IF(AND(ISNUMBER(H1413),ISNUMBER(W1413)),H1413/MAX(1,'Обзор'!$B$4-W1413),"")</x:f>
        <x:v>0.37201907790143085</x:v>
      </x:c>
      <x:c r="AC1413" s="17" t="str">
        <x:v>Не решено</x:v>
      </x:c>
      <x:c r="AD1413" s="17" t="str">
        <x:v>Не проверено</x:v>
      </x:c>
      <x:c r="AE1413" s="17" t="str">
        <x:v>Не проверено</x:v>
      </x:c>
      <x:c r="AF1413" s="17" t="str">
        <x:v>Не проверено</x:v>
      </x:c>
      <x:c r="AG1413" s="17" t="str">
        <x:v>Не решено</x:v>
      </x:c>
      <x:c r="AH1413" s="17" t="str">
        <x:v>Не проверено</x:v>
      </x:c>
      <x:c r="AI1413" s="10" t="str">
        <x:f>IF(AC1413="Отклонить","Отклонено",IF(AND(AC1413="Взять",COUNTIFS(AD1413:AH1413,"Да")=5),"Готово","Нужна редактура"))</x:f>
        <x:v>Нужна редактура</x:v>
      </x:c>
      <x:c r="AJ1413" s="17" t="str"/>
      <x:c r="AK1413" s="9" t="str">
        <x:v>https://www.youtube.com/playlist?list=PL8E54R76rowDoyvp5SuXWPq5UZVOM-_Et</x:v>
      </x:c>
      <x:c r="AL1413" s="9" t="n">
        <x:v>3</x:v>
      </x:c>
      <x:c r="AM1413" s="9"/>
      <x:c r="AN1413" s="9" t="n">
        <x:v>0</x:v>
      </x:c>
    </x:row>
    <x:row r="1414" ht="60" customHeight="1">
      <x:c r="A1414" s="9" t="str">
        <x:v>Ikg3u2kb_AY</x:v>
      </x:c>
      <x:c r="B1414" s="10" t="str">
        <x:v>המשל שבחר רבי יעקב לספר - ברגע הכי מרגש בשנה</x:v>
      </x:c>
      <x:c r="C1414" s="10" t="str">
        <x:v>Культура общин</x:v>
      </x:c>
      <x:c r="D1414" s="9" t="str">
        <x:v>Культура</x:v>
      </x:c>
      <x:c r="E1414" s="10" t="str">
        <x:v>Традиционная аудитория; еврейское наследие</x:v>
      </x:c>
      <x:c r="F1414" s="10" t="str">
        <x:v>B1–B2 (гипотеза)</x:v>
      </x:c>
      <x:c r="G1414" s="12" t="n">
        <x:v>1.9</x:v>
      </x:c>
      <x:c r="H1414" s="14" t="n">
        <x:v>619</x:v>
      </x:c>
      <x:c r="I1414" s="15" t="str">
        <x:v>Точный счётчик метаданных видео</x:v>
      </x:c>
      <x:c r="J1414" s="14" t="n">
        <x:v>619</x:v>
      </x:c>
      <x:c r="K1414" s="14" t="n">
        <x:v>659</x:v>
      </x:c>
      <x:c r="L1414" s="12" t="n">
        <x:f>IF(COUNT(J1414:K1414)=2,IF(K1414=0,"",J1414/K1414),"")</x:f>
        <x:v>0.9393019726858877</x:v>
      </x:c>
      <x:c r="M1414" s="10" t="str">
        <x:v>Завершённый короткий просмотр около 2 мин. Истории мудрецов Востока расширяют предложение для традиционно ориентированных зрителей.</x:v>
      </x:c>
      <x:c r="N1414" s="10" t="str">
        <x:v>Выделить мораль истории и пересказать современными словами.</x:v>
      </x:c>
      <x:c r="O1414" s="10" t="str">
        <x:v>Религиозные понятия и первичные тексты</x:v>
      </x:c>
      <x:c r="P1414" s="10" t="str">
        <x:v>Самостоятельное видео</x:v>
      </x:c>
      <x:c r="Q1414" s="9" t="str">
        <x:v>Нет</x:v>
      </x:c>
      <x:c r="R1414" s="9" t="str">
        <x:v>C085</x:v>
      </x:c>
      <x:c r="S1414" s="9" t="str">
        <x:v>C085</x:v>
      </x:c>
      <x:c r="T1414" s="10" t="str">
        <x:v>C14</x:v>
      </x:c>
      <x:c r="U1414" s="11" t="str">
        <x:v>https://www.youtube.com/watch?v=Ikg3u2kb_AY</x:v>
      </x:c>
      <x:c r="V1414" s="16" t="n">
        <x:v>46308</x:v>
      </x:c>
      <x:c r="W1414" s="16" t="n">
        <x:v>44407</x:v>
      </x:c>
      <x:c r="X1414" s="10" t="str">
        <x:v>Иврит предполагается по заголовку и источнику</x:v>
      </x:c>
      <x:c r="Y1414" s="10" t="str">
        <x:v>Дорожка HE не найдена в метаданных; вшитые титры не проверены</x:v>
      </x:c>
      <x:c r="Z1414" s="10" t="str">
        <x:v>Разрешено по метаданным</x:v>
      </x:c>
      <x:c r="AA1414" s="10" t="str">
        <x:v>Метаданные видео; воспроизведение и содержание не проверены</x:v>
      </x:c>
      <x:c r="AB1414" s="13" t="n">
        <x:f>IF(AND(ISNUMBER(H1414),ISNUMBER(W1414)),H1414/MAX(1,'Обзор'!$B$4-W1414),"")</x:f>
        <x:v>0.3256180957390847</x:v>
      </x:c>
      <x:c r="AC1414" s="17" t="str">
        <x:v>Не решено</x:v>
      </x:c>
      <x:c r="AD1414" s="17" t="str">
        <x:v>Не проверено</x:v>
      </x:c>
      <x:c r="AE1414" s="17" t="str">
        <x:v>Не проверено</x:v>
      </x:c>
      <x:c r="AF1414" s="17" t="str">
        <x:v>Не проверено</x:v>
      </x:c>
      <x:c r="AG1414" s="17" t="str">
        <x:v>Не решено</x:v>
      </x:c>
      <x:c r="AH1414" s="17" t="str">
        <x:v>Не проверено</x:v>
      </x:c>
      <x:c r="AI1414" s="10" t="str">
        <x:f>IF(AC1414="Отклонить","Отклонено",IF(AND(AC1414="Взять",COUNTIFS(AD1414:AH1414,"Да")=5),"Готово","Нужна редактура"))</x:f>
        <x:v>Нужна редактура</x:v>
      </x:c>
      <x:c r="AJ1414" s="17" t="str"/>
      <x:c r="AK1414" s="9" t="str">
        <x:v>https://www.youtube.com/playlist?list=PL8E54R76rowDoyvp5SuXWPq5UZVOM-_Et</x:v>
      </x:c>
      <x:c r="AL1414" s="9" t="n">
        <x:v>4</x:v>
      </x:c>
      <x:c r="AM1414" s="9"/>
      <x:c r="AN1414" s="9" t="n">
        <x:v>0</x:v>
      </x:c>
    </x:row>
    <x:row r="1415" ht="60" customHeight="1">
      <x:c r="A1415" s="9" t="str">
        <x:v>NvMI5MOzlTQ</x:v>
      </x:c>
      <x:c r="B1415" s="10" t="str">
        <x:v>המלך, החלום ואלף זהובים: המשל המיוחד שסיפר הבן איש חי</x:v>
      </x:c>
      <x:c r="C1415" s="10" t="str">
        <x:v>Культура общин</x:v>
      </x:c>
      <x:c r="D1415" s="9" t="str">
        <x:v>Культура</x:v>
      </x:c>
      <x:c r="E1415" s="10" t="str">
        <x:v>Традиционная аудитория; еврейское наследие</x:v>
      </x:c>
      <x:c r="F1415" s="10" t="str">
        <x:v>B1–B2 (гипотеза)</x:v>
      </x:c>
      <x:c r="G1415" s="12" t="n">
        <x:v>1.3</x:v>
      </x:c>
      <x:c r="H1415" s="14" t="n">
        <x:v>1711</x:v>
      </x:c>
      <x:c r="I1415" s="15" t="str">
        <x:v>Точный счётчик метаданных видео</x:v>
      </x:c>
      <x:c r="J1415" s="14" t="n">
        <x:v>1700</x:v>
      </x:c>
      <x:c r="K1415" s="14" t="n">
        <x:v>659</x:v>
      </x:c>
      <x:c r="L1415" s="12" t="n">
        <x:f>IF(COUNT(J1415:K1415)=2,IF(K1415=0,"",J1415/K1415),"")</x:f>
        <x:v>2.579666160849772</x:v>
      </x:c>
      <x:c r="M1415" s="10" t="str">
        <x:v>Завершённый короткий просмотр около 1 мин. Просмотры в списке выше медианы выборки этого цикла в 2.58 раза. Истории мудрецов Востока расширяют предложение для традиционно ориентированных зрителей.</x:v>
      </x:c>
      <x:c r="N1415" s="10" t="str">
        <x:v>Выделить мораль истории и пересказать современными словами.</x:v>
      </x:c>
      <x:c r="O1415" s="10" t="str">
        <x:v>Религиозные понятия и первичные тексты</x:v>
      </x:c>
      <x:c r="P1415" s="10" t="str">
        <x:v>Самостоятельное видео</x:v>
      </x:c>
      <x:c r="Q1415" s="9" t="str">
        <x:v>Нет</x:v>
      </x:c>
      <x:c r="R1415" s="9" t="str">
        <x:v>C085</x:v>
      </x:c>
      <x:c r="S1415" s="9" t="str">
        <x:v>C085</x:v>
      </x:c>
      <x:c r="T1415" s="10" t="str">
        <x:v>C14</x:v>
      </x:c>
      <x:c r="U1415" s="11" t="str">
        <x:v>https://www.youtube.com/watch?v=NvMI5MOzlTQ</x:v>
      </x:c>
      <x:c r="V1415" s="16" t="n">
        <x:v>46308</x:v>
      </x:c>
      <x:c r="W1415" s="16" t="n">
        <x:v>44428</x:v>
      </x:c>
      <x:c r="X1415" s="10" t="str">
        <x:v>Иврит предполагается по заголовку и источнику</x:v>
      </x:c>
      <x:c r="Y1415" s="10" t="str">
        <x:v>Дорожка HE не найдена в метаданных; вшитые титры не проверены</x:v>
      </x:c>
      <x:c r="Z1415" s="10" t="str">
        <x:v>Разрешено по метаданным</x:v>
      </x:c>
      <x:c r="AA1415" s="10" t="str">
        <x:v>Метаданные видео; воспроизведение и содержание не проверены</x:v>
      </x:c>
      <x:c r="AB1415" s="13" t="n">
        <x:f>IF(AND(ISNUMBER(H1415),ISNUMBER(W1415)),H1415/MAX(1,'Обзор'!$B$4-W1415),"")</x:f>
        <x:v>0.9101063829787234</x:v>
      </x:c>
      <x:c r="AC1415" s="17" t="str">
        <x:v>Не решено</x:v>
      </x:c>
      <x:c r="AD1415" s="17" t="str">
        <x:v>Не проверено</x:v>
      </x:c>
      <x:c r="AE1415" s="17" t="str">
        <x:v>Не проверено</x:v>
      </x:c>
      <x:c r="AF1415" s="17" t="str">
        <x:v>Не проверено</x:v>
      </x:c>
      <x:c r="AG1415" s="17" t="str">
        <x:v>Не решено</x:v>
      </x:c>
      <x:c r="AH1415" s="17" t="str">
        <x:v>Не проверено</x:v>
      </x:c>
      <x:c r="AI1415" s="10" t="str">
        <x:f>IF(AC1415="Отклонить","Отклонено",IF(AND(AC1415="Взять",COUNTIFS(AD1415:AH1415,"Да")=5),"Готово","Нужна редактура"))</x:f>
        <x:v>Нужна редактура</x:v>
      </x:c>
      <x:c r="AJ1415" s="17" t="str"/>
      <x:c r="AK1415" s="9" t="str">
        <x:v>https://www.youtube.com/playlist?list=PL8E54R76rowDoyvp5SuXWPq5UZVOM-_Et</x:v>
      </x:c>
      <x:c r="AL1415" s="9" t="n">
        <x:v>5</x:v>
      </x:c>
      <x:c r="AM1415" s="9"/>
      <x:c r="AN1415" s="9" t="n">
        <x:v>0</x:v>
      </x:c>
    </x:row>
    <x:row r="1416" ht="60" customHeight="1">
      <x:c r="A1416" s="9" t="str">
        <x:v>46EEFB7uDl8</x:v>
      </x:c>
      <x:c r="B1416" s="10" t="str">
        <x:v>רעיון הצדקה היצירתי של הרב שלום הכהן</x:v>
      </x:c>
      <x:c r="C1416" s="10" t="str">
        <x:v>Культура общин</x:v>
      </x:c>
      <x:c r="D1416" s="9" t="str">
        <x:v>Культура</x:v>
      </x:c>
      <x:c r="E1416" s="10" t="str">
        <x:v>Традиционная аудитория; еврейское наследие</x:v>
      </x:c>
      <x:c r="F1416" s="10" t="str">
        <x:v>B1–B2 (гипотеза)</x:v>
      </x:c>
      <x:c r="G1416" s="12" t="n">
        <x:v>1.3</x:v>
      </x:c>
      <x:c r="H1416" s="14" t="n">
        <x:v>659</x:v>
      </x:c>
      <x:c r="I1416" s="15" t="str">
        <x:v>Точный счётчик метаданных видео</x:v>
      </x:c>
      <x:c r="J1416" s="14" t="n">
        <x:v>659</x:v>
      </x:c>
      <x:c r="K1416" s="14" t="n">
        <x:v>659</x:v>
      </x:c>
      <x:c r="L1416" s="12" t="n">
        <x:f>IF(COUNT(J1416:K1416)=2,IF(K1416=0,"",J1416/K1416),"")</x:f>
        <x:v>1</x:v>
      </x:c>
      <x:c r="M1416" s="10" t="str">
        <x:v>Завершённый короткий просмотр около 1 мин. Истории мудрецов Востока расширяют предложение для традиционно ориентированных зрителей.</x:v>
      </x:c>
      <x:c r="N1416" s="10" t="str">
        <x:v>Выделить мораль истории и пересказать современными словами.</x:v>
      </x:c>
      <x:c r="O1416" s="10" t="str">
        <x:v>Религиозные понятия и первичные тексты</x:v>
      </x:c>
      <x:c r="P1416" s="10" t="str">
        <x:v>Самостоятельное видео</x:v>
      </x:c>
      <x:c r="Q1416" s="9" t="str">
        <x:v>Нет</x:v>
      </x:c>
      <x:c r="R1416" s="9" t="str">
        <x:v>C085</x:v>
      </x:c>
      <x:c r="S1416" s="9" t="str">
        <x:v>C085</x:v>
      </x:c>
      <x:c r="T1416" s="10" t="str">
        <x:v>C14</x:v>
      </x:c>
      <x:c r="U1416" s="11" t="str">
        <x:v>https://www.youtube.com/watch?v=46EEFB7uDl8</x:v>
      </x:c>
      <x:c r="V1416" s="16" t="n">
        <x:v>46308</x:v>
      </x:c>
      <x:c r="W1416" s="16" t="n">
        <x:v>44435</x:v>
      </x:c>
      <x:c r="X1416" s="10" t="str">
        <x:v>Иврит предполагается по заголовку и источнику</x:v>
      </x:c>
      <x:c r="Y1416" s="10" t="str">
        <x:v>Дорожка HE не найдена в метаданных; вшитые титры не проверены</x:v>
      </x:c>
      <x:c r="Z1416" s="10" t="str">
        <x:v>Разрешено по метаданным</x:v>
      </x:c>
      <x:c r="AA1416" s="10" t="str">
        <x:v>Метаданные видео; воспроизведение и содержание не проверены</x:v>
      </x:c>
      <x:c r="AB1416" s="13" t="n">
        <x:f>IF(AND(ISNUMBER(H1416),ISNUMBER(W1416)),H1416/MAX(1,'Обзор'!$B$4-W1416),"")</x:f>
        <x:v>0.35184196476241325</x:v>
      </x:c>
      <x:c r="AC1416" s="17" t="str">
        <x:v>Не решено</x:v>
      </x:c>
      <x:c r="AD1416" s="17" t="str">
        <x:v>Не проверено</x:v>
      </x:c>
      <x:c r="AE1416" s="17" t="str">
        <x:v>Не проверено</x:v>
      </x:c>
      <x:c r="AF1416" s="17" t="str">
        <x:v>Не проверено</x:v>
      </x:c>
      <x:c r="AG1416" s="17" t="str">
        <x:v>Не решено</x:v>
      </x:c>
      <x:c r="AH1416" s="17" t="str">
        <x:v>Не проверено</x:v>
      </x:c>
      <x:c r="AI1416" s="10" t="str">
        <x:f>IF(AC1416="Отклонить","Отклонено",IF(AND(AC1416="Взять",COUNTIFS(AD1416:AH1416,"Да")=5),"Готово","Нужна редактура"))</x:f>
        <x:v>Нужна редактура</x:v>
      </x:c>
      <x:c r="AJ1416" s="17" t="str"/>
      <x:c r="AK1416" s="9" t="str">
        <x:v>https://www.youtube.com/playlist?list=PL8E54R76rowDoyvp5SuXWPq5UZVOM-_Et</x:v>
      </x:c>
      <x:c r="AL1416" s="9" t="n">
        <x:v>6</x:v>
      </x:c>
      <x:c r="AM1416" s="9"/>
      <x:c r="AN1416" s="9" t="n">
        <x:v>0</x:v>
      </x:c>
    </x:row>
    <x:row r="1417" ht="60" customHeight="1">
      <x:c r="A1417" s="9" t="str">
        <x:v>9sWHsQApy1g</x:v>
      </x:c>
      <x:c r="B1417" s="10" t="str">
        <x:v>מה הדבר שהבין הרב מרדכי אליהו ביום הבר-מצווה?</x:v>
      </x:c>
      <x:c r="C1417" s="10" t="str">
        <x:v>Культура общин</x:v>
      </x:c>
      <x:c r="D1417" s="9" t="str">
        <x:v>Культура</x:v>
      </x:c>
      <x:c r="E1417" s="10" t="str">
        <x:v>Традиционная аудитория; еврейское наследие</x:v>
      </x:c>
      <x:c r="F1417" s="10" t="str">
        <x:v>B1–B2 (гипотеза)</x:v>
      </x:c>
      <x:c r="G1417" s="12" t="n">
        <x:v>1.8</x:v>
      </x:c>
      <x:c r="H1417" s="14" t="n">
        <x:v>545</x:v>
      </x:c>
      <x:c r="I1417" s="15" t="str">
        <x:v>Точный счётчик метаданных видео</x:v>
      </x:c>
      <x:c r="J1417" s="14" t="n">
        <x:v>545</x:v>
      </x:c>
      <x:c r="K1417" s="14" t="n">
        <x:v>659</x:v>
      </x:c>
      <x:c r="L1417" s="12" t="n">
        <x:f>IF(COUNT(J1417:K1417)=2,IF(K1417=0,"",J1417/K1417),"")</x:f>
        <x:v>0.8270106221547799</x:v>
      </x:c>
      <x:c r="M1417" s="10" t="str">
        <x:v>Завершённый короткий просмотр около 2 мин. Истории мудрецов Востока расширяют предложение для традиционно ориентированных зрителей.</x:v>
      </x:c>
      <x:c r="N1417" s="10" t="str">
        <x:v>Выделить мораль истории и пересказать современными словами.</x:v>
      </x:c>
      <x:c r="O1417" s="10" t="str">
        <x:v>Религиозные понятия и первичные тексты</x:v>
      </x:c>
      <x:c r="P1417" s="10" t="str">
        <x:v>Самостоятельное видео</x:v>
      </x:c>
      <x:c r="Q1417" s="9" t="str">
        <x:v>Нет</x:v>
      </x:c>
      <x:c r="R1417" s="9" t="str">
        <x:v>C085</x:v>
      </x:c>
      <x:c r="S1417" s="9" t="str">
        <x:v>C085</x:v>
      </x:c>
      <x:c r="T1417" s="10" t="str">
        <x:v>C14</x:v>
      </x:c>
      <x:c r="U1417" s="11" t="str">
        <x:v>https://www.youtube.com/watch?v=9sWHsQApy1g</x:v>
      </x:c>
      <x:c r="V1417" s="16" t="n">
        <x:v>46308</x:v>
      </x:c>
      <x:c r="W1417" s="16" t="n">
        <x:v>44442</x:v>
      </x:c>
      <x:c r="X1417" s="10" t="str">
        <x:v>Иврит предполагается по заголовку и источнику</x:v>
      </x:c>
      <x:c r="Y1417" s="10" t="str">
        <x:v>Дорожка HE не найдена в метаданных; вшитые титры не проверены</x:v>
      </x:c>
      <x:c r="Z1417" s="10" t="str">
        <x:v>Разрешено по метаданным</x:v>
      </x:c>
      <x:c r="AA1417" s="10" t="str">
        <x:v>Метаданные видео; воспроизведение и содержание не проверены</x:v>
      </x:c>
      <x:c r="AB1417" s="13" t="n">
        <x:f>IF(AND(ISNUMBER(H1417),ISNUMBER(W1417)),H1417/MAX(1,'Обзор'!$B$4-W1417),"")</x:f>
        <x:v>0.2920685959271168</x:v>
      </x:c>
      <x:c r="AC1417" s="17" t="str">
        <x:v>Не решено</x:v>
      </x:c>
      <x:c r="AD1417" s="17" t="str">
        <x:v>Не проверено</x:v>
      </x:c>
      <x:c r="AE1417" s="17" t="str">
        <x:v>Не проверено</x:v>
      </x:c>
      <x:c r="AF1417" s="17" t="str">
        <x:v>Не проверено</x:v>
      </x:c>
      <x:c r="AG1417" s="17" t="str">
        <x:v>Не решено</x:v>
      </x:c>
      <x:c r="AH1417" s="17" t="str">
        <x:v>Не проверено</x:v>
      </x:c>
      <x:c r="AI1417" s="10" t="str">
        <x:f>IF(AC1417="Отклонить","Отклонено",IF(AND(AC1417="Взять",COUNTIFS(AD1417:AH1417,"Да")=5),"Готово","Нужна редактура"))</x:f>
        <x:v>Нужна редактура</x:v>
      </x:c>
      <x:c r="AJ1417" s="17" t="str"/>
      <x:c r="AK1417" s="9" t="str">
        <x:v>https://www.youtube.com/playlist?list=PL8E54R76rowDoyvp5SuXWPq5UZVOM-_Et</x:v>
      </x:c>
      <x:c r="AL1417" s="9" t="n">
        <x:v>7</x:v>
      </x:c>
      <x:c r="AM1417" s="9"/>
      <x:c r="AN1417" s="9" t="n">
        <x:v>0</x:v>
      </x:c>
    </x:row>
    <x:row r="1418" ht="60" customHeight="1">
      <x:c r="A1418" s="9" t="str">
        <x:v>iol9xCql278</x:v>
      </x:c>
      <x:c r="B1418" s="10" t="str">
        <x:v>ואז הרב שאל: למה אין ילדים בבית הכנסת?</x:v>
      </x:c>
      <x:c r="C1418" s="10" t="str">
        <x:v>Культура общин</x:v>
      </x:c>
      <x:c r="D1418" s="9" t="str">
        <x:v>Культура</x:v>
      </x:c>
      <x:c r="E1418" s="10" t="str">
        <x:v>Традиционная аудитория; еврейское наследие</x:v>
      </x:c>
      <x:c r="F1418" s="10" t="str">
        <x:v>B1–B2 (гипотеза)</x:v>
      </x:c>
      <x:c r="G1418" s="12" t="n">
        <x:v>1.3</x:v>
      </x:c>
      <x:c r="H1418" s="14" t="n">
        <x:v>1140</x:v>
      </x:c>
      <x:c r="I1418" s="15" t="str">
        <x:v>Точный счётчик метаданных видео</x:v>
      </x:c>
      <x:c r="J1418" s="14" t="n">
        <x:v>1100</x:v>
      </x:c>
      <x:c r="K1418" s="14" t="n">
        <x:v>659</x:v>
      </x:c>
      <x:c r="L1418" s="12" t="n">
        <x:f>IF(COUNT(J1418:K1418)=2,IF(K1418=0,"",J1418/K1418),"")</x:f>
        <x:v>1.669195751138088</x:v>
      </x:c>
      <x:c r="M1418" s="10" t="str">
        <x:v>Завершённый короткий просмотр около 1 мин. Просмотры в списке выше медианы выборки этого цикла в 1.67 раза. Истории мудрецов Востока расширяют предложение для традиционно ориентированных зрителей.</x:v>
      </x:c>
      <x:c r="N1418" s="10" t="str">
        <x:v>Выделить мораль истории и пересказать современными словами.</x:v>
      </x:c>
      <x:c r="O1418" s="10" t="str">
        <x:v>Религиозные понятия и первичные тексты</x:v>
      </x:c>
      <x:c r="P1418" s="10" t="str">
        <x:v>Самостоятельное видео</x:v>
      </x:c>
      <x:c r="Q1418" s="9" t="str">
        <x:v>Нет</x:v>
      </x:c>
      <x:c r="R1418" s="9" t="str">
        <x:v>C085</x:v>
      </x:c>
      <x:c r="S1418" s="9" t="str">
        <x:v>C085</x:v>
      </x:c>
      <x:c r="T1418" s="10" t="str">
        <x:v>C14</x:v>
      </x:c>
      <x:c r="U1418" s="11" t="str">
        <x:v>https://www.youtube.com/watch?v=iol9xCql278</x:v>
      </x:c>
      <x:c r="V1418" s="16" t="n">
        <x:v>46308</x:v>
      </x:c>
      <x:c r="W1418" s="16" t="n">
        <x:v>44449</x:v>
      </x:c>
      <x:c r="X1418" s="10" t="str">
        <x:v>Иврит предполагается по заголовку и источнику</x:v>
      </x:c>
      <x:c r="Y1418" s="10" t="str">
        <x:v>Дорожка HE не найдена в метаданных; вшитые титры не проверены</x:v>
      </x:c>
      <x:c r="Z1418" s="10" t="str">
        <x:v>Разрешено по метаданным</x:v>
      </x:c>
      <x:c r="AA1418" s="10" t="str">
        <x:v>Метаданные видео; воспроизведение и содержание не проверены</x:v>
      </x:c>
      <x:c r="AB1418" s="13" t="n">
        <x:f>IF(AND(ISNUMBER(H1418),ISNUMBER(W1418)),H1418/MAX(1,'Обзор'!$B$4-W1418),"")</x:f>
        <x:v>0.6132329209252286</x:v>
      </x:c>
      <x:c r="AC1418" s="17" t="str">
        <x:v>Не решено</x:v>
      </x:c>
      <x:c r="AD1418" s="17" t="str">
        <x:v>Не проверено</x:v>
      </x:c>
      <x:c r="AE1418" s="17" t="str">
        <x:v>Не проверено</x:v>
      </x:c>
      <x:c r="AF1418" s="17" t="str">
        <x:v>Не проверено</x:v>
      </x:c>
      <x:c r="AG1418" s="17" t="str">
        <x:v>Не решено</x:v>
      </x:c>
      <x:c r="AH1418" s="17" t="str">
        <x:v>Не проверено</x:v>
      </x:c>
      <x:c r="AI1418" s="10" t="str">
        <x:f>IF(AC1418="Отклонить","Отклонено",IF(AND(AC1418="Взять",COUNTIFS(AD1418:AH1418,"Да")=5),"Готово","Нужна редактура"))</x:f>
        <x:v>Нужна редактура</x:v>
      </x:c>
      <x:c r="AJ1418" s="17" t="str"/>
      <x:c r="AK1418" s="9" t="str">
        <x:v>https://www.youtube.com/playlist?list=PL8E54R76rowDoyvp5SuXWPq5UZVOM-_Et</x:v>
      </x:c>
      <x:c r="AL1418" s="9" t="n">
        <x:v>8</x:v>
      </x:c>
      <x:c r="AM1418" s="9"/>
      <x:c r="AN1418" s="9" t="n">
        <x:v>0</x:v>
      </x:c>
    </x:row>
    <x:row r="1419" ht="60" customHeight="1">
      <x:c r="A1419" s="9" t="str">
        <x:v>8t0g5hUE9RA</x:v>
      </x:c>
      <x:c r="B1419" s="10" t="str">
        <x:v>סיפורו של בעל הקורא והחלום המטלטל של הרב</x:v>
      </x:c>
      <x:c r="C1419" s="10" t="str">
        <x:v>Культура общин</x:v>
      </x:c>
      <x:c r="D1419" s="9" t="str">
        <x:v>Культура</x:v>
      </x:c>
      <x:c r="E1419" s="10" t="str">
        <x:v>Традиционная аудитория; еврейское наследие</x:v>
      </x:c>
      <x:c r="F1419" s="10" t="str">
        <x:v>B1–B2 (гипотеза)</x:v>
      </x:c>
      <x:c r="G1419" s="12" t="n">
        <x:v>2</x:v>
      </x:c>
      <x:c r="H1419" s="14" t="n">
        <x:v>1119</x:v>
      </x:c>
      <x:c r="I1419" s="15" t="str">
        <x:v>Точный счётчик метаданных видео</x:v>
      </x:c>
      <x:c r="J1419" s="14" t="n">
        <x:v>1100</x:v>
      </x:c>
      <x:c r="K1419" s="14" t="n">
        <x:v>659</x:v>
      </x:c>
      <x:c r="L1419" s="12" t="n">
        <x:f>IF(COUNT(J1419:K1419)=2,IF(K1419=0,"",J1419/K1419),"")</x:f>
        <x:v>1.669195751138088</x:v>
      </x:c>
      <x:c r="M1419" s="10" t="str">
        <x:v>Завершённый короткий просмотр около 2 мин. Просмотры в списке выше медианы выборки этого цикла в 1.67 раза. Истории мудрецов Востока расширяют предложение для традиционно ориентированных зрителей.</x:v>
      </x:c>
      <x:c r="N1419" s="10" t="str">
        <x:v>Выделить мораль истории и пересказать современными словами.</x:v>
      </x:c>
      <x:c r="O1419" s="10" t="str">
        <x:v>Религиозные понятия и первичные тексты</x:v>
      </x:c>
      <x:c r="P1419" s="10" t="str">
        <x:v>Самостоятельное видео</x:v>
      </x:c>
      <x:c r="Q1419" s="9" t="str">
        <x:v>Нет</x:v>
      </x:c>
      <x:c r="R1419" s="9" t="str">
        <x:v>C085</x:v>
      </x:c>
      <x:c r="S1419" s="9" t="str">
        <x:v>C085</x:v>
      </x:c>
      <x:c r="T1419" s="10" t="str">
        <x:v>C14</x:v>
      </x:c>
      <x:c r="U1419" s="11" t="str">
        <x:v>https://www.youtube.com/watch?v=8t0g5hUE9RA</x:v>
      </x:c>
      <x:c r="V1419" s="16" t="n">
        <x:v>46308</x:v>
      </x:c>
      <x:c r="W1419" s="16" t="n">
        <x:v>44456</x:v>
      </x:c>
      <x:c r="X1419" s="10" t="str">
        <x:v>Иврит предполагается по заголовку и источнику</x:v>
      </x:c>
      <x:c r="Y1419" s="10" t="str">
        <x:v>Дорожка HE не найдена в метаданных; вшитые титры не проверены</x:v>
      </x:c>
      <x:c r="Z1419" s="10" t="str">
        <x:v>Разрешено по метаданным</x:v>
      </x:c>
      <x:c r="AA1419" s="10" t="str">
        <x:v>Метаданные видео; воспроизведение и содержание не проверены</x:v>
      </x:c>
      <x:c r="AB1419" s="13" t="n">
        <x:f>IF(AND(ISNUMBER(H1419),ISNUMBER(W1419)),H1419/MAX(1,'Обзор'!$B$4-W1419),"")</x:f>
        <x:v>0.6042116630669546</x:v>
      </x:c>
      <x:c r="AC1419" s="17" t="str">
        <x:v>Не решено</x:v>
      </x:c>
      <x:c r="AD1419" s="17" t="str">
        <x:v>Не проверено</x:v>
      </x:c>
      <x:c r="AE1419" s="17" t="str">
        <x:v>Не проверено</x:v>
      </x:c>
      <x:c r="AF1419" s="17" t="str">
        <x:v>Не проверено</x:v>
      </x:c>
      <x:c r="AG1419" s="17" t="str">
        <x:v>Не решено</x:v>
      </x:c>
      <x:c r="AH1419" s="17" t="str">
        <x:v>Не проверено</x:v>
      </x:c>
      <x:c r="AI1419" s="10" t="str">
        <x:f>IF(AC1419="Отклонить","Отклонено",IF(AND(AC1419="Взять",COUNTIFS(AD1419:AH1419,"Да")=5),"Готово","Нужна редактура"))</x:f>
        <x:v>Нужна редактура</x:v>
      </x:c>
      <x:c r="AJ1419" s="17" t="str"/>
      <x:c r="AK1419" s="9" t="str">
        <x:v>https://www.youtube.com/playlist?list=PL8E54R76rowDoyvp5SuXWPq5UZVOM-_Et</x:v>
      </x:c>
      <x:c r="AL1419" s="9" t="n">
        <x:v>9</x:v>
      </x:c>
      <x:c r="AM1419" s="9"/>
      <x:c r="AN1419" s="9" t="n">
        <x:v>0</x:v>
      </x:c>
    </x:row>
    <x:row r="1420" ht="60" customHeight="1">
      <x:c r="A1420" s="9" t="str">
        <x:v>soCrpbQQzwU</x:v>
      </x:c>
      <x:c r="B1420" s="10" t="str">
        <x:v>הבן איש חי נשאל שאלה ואז הלך לעשות דבר מיוחד | צפו בסיפור</x:v>
      </x:c>
      <x:c r="C1420" s="10" t="str">
        <x:v>Культура общин</x:v>
      </x:c>
      <x:c r="D1420" s="9" t="str">
        <x:v>Культура</x:v>
      </x:c>
      <x:c r="E1420" s="10" t="str">
        <x:v>Традиционная аудитория; еврейское наследие</x:v>
      </x:c>
      <x:c r="F1420" s="10" t="str">
        <x:v>B1–B2 (гипотеза)</x:v>
      </x:c>
      <x:c r="G1420" s="12" t="n">
        <x:v>1.5</x:v>
      </x:c>
      <x:c r="H1420" s="14" t="n">
        <x:v>867</x:v>
      </x:c>
      <x:c r="I1420" s="15" t="str">
        <x:v>Точный счётчик метаданных видео</x:v>
      </x:c>
      <x:c r="J1420" s="14" t="n">
        <x:v>867</x:v>
      </x:c>
      <x:c r="K1420" s="14" t="n">
        <x:v>659</x:v>
      </x:c>
      <x:c r="L1420" s="12" t="n">
        <x:f>IF(COUNT(J1420:K1420)=2,IF(K1420=0,"",J1420/K1420),"")</x:f>
        <x:v>1.315629742033384</x:v>
      </x:c>
      <x:c r="M1420" s="10" t="str">
        <x:v>Завершённый короткий просмотр около 2 мин. Истории мудрецов Востока расширяют предложение для традиционно ориентированных зрителей.</x:v>
      </x:c>
      <x:c r="N1420" s="10" t="str">
        <x:v>Выделить мораль истории и пересказать современными словами.</x:v>
      </x:c>
      <x:c r="O1420" s="10" t="str">
        <x:v>Религиозные понятия и первичные тексты</x:v>
      </x:c>
      <x:c r="P1420" s="10" t="str">
        <x:v>Самостоятельное видео</x:v>
      </x:c>
      <x:c r="Q1420" s="9" t="str">
        <x:v>Нет</x:v>
      </x:c>
      <x:c r="R1420" s="9" t="str">
        <x:v>C085</x:v>
      </x:c>
      <x:c r="S1420" s="9" t="str">
        <x:v>C085</x:v>
      </x:c>
      <x:c r="T1420" s="10" t="str">
        <x:v>C14</x:v>
      </x:c>
      <x:c r="U1420" s="11" t="str">
        <x:v>https://www.youtube.com/watch?v=soCrpbQQzwU</x:v>
      </x:c>
      <x:c r="V1420" s="16" t="n">
        <x:v>46308</x:v>
      </x:c>
      <x:c r="W1420" s="16" t="n">
        <x:v>44463</x:v>
      </x:c>
      <x:c r="X1420" s="10" t="str">
        <x:v>Иврит предполагается по заголовку и источнику</x:v>
      </x:c>
      <x:c r="Y1420" s="10" t="str">
        <x:v>Дорожка HE не найдена в метаданных; вшитые титры не проверены</x:v>
      </x:c>
      <x:c r="Z1420" s="10" t="str">
        <x:v>Разрешено по метаданным</x:v>
      </x:c>
      <x:c r="AA1420" s="10" t="str">
        <x:v>Метаданные видео; воспроизведение и содержание не проверены</x:v>
      </x:c>
      <x:c r="AB1420" s="13" t="n">
        <x:f>IF(AND(ISNUMBER(H1420),ISNUMBER(W1420)),H1420/MAX(1,'Обзор'!$B$4-W1420),"")</x:f>
        <x:v>0.46991869918699186</x:v>
      </x:c>
      <x:c r="AC1420" s="17" t="str">
        <x:v>Не решено</x:v>
      </x:c>
      <x:c r="AD1420" s="17" t="str">
        <x:v>Не проверено</x:v>
      </x:c>
      <x:c r="AE1420" s="17" t="str">
        <x:v>Не проверено</x:v>
      </x:c>
      <x:c r="AF1420" s="17" t="str">
        <x:v>Не проверено</x:v>
      </x:c>
      <x:c r="AG1420" s="17" t="str">
        <x:v>Не решено</x:v>
      </x:c>
      <x:c r="AH1420" s="17" t="str">
        <x:v>Не проверено</x:v>
      </x:c>
      <x:c r="AI1420" s="10" t="str">
        <x:f>IF(AC1420="Отклонить","Отклонено",IF(AND(AC1420="Взять",COUNTIFS(AD1420:AH1420,"Да")=5),"Готово","Нужна редактура"))</x:f>
        <x:v>Нужна редактура</x:v>
      </x:c>
      <x:c r="AJ1420" s="17" t="str"/>
      <x:c r="AK1420" s="9" t="str">
        <x:v>https://www.youtube.com/playlist?list=PL8E54R76rowDoyvp5SuXWPq5UZVOM-_Et</x:v>
      </x:c>
      <x:c r="AL1420" s="9" t="n">
        <x:v>10</x:v>
      </x:c>
      <x:c r="AM1420" s="9"/>
      <x:c r="AN1420" s="9" t="n">
        <x:v>0</x:v>
      </x:c>
    </x:row>
    <x:row r="1421" ht="60" customHeight="1">
      <x:c r="A1421" s="9" t="str">
        <x:v>bavRqLC4gtk</x:v>
      </x:c>
      <x:c r="B1421" s="10" t="str">
        <x:v>"התרנגול המקולל" | המסר המיוחד של רבי כלפון משה הכהן</x:v>
      </x:c>
      <x:c r="C1421" s="10" t="str">
        <x:v>Культура общин</x:v>
      </x:c>
      <x:c r="D1421" s="9" t="str">
        <x:v>Культура</x:v>
      </x:c>
      <x:c r="E1421" s="10" t="str">
        <x:v>Традиционная аудитория; еврейское наследие</x:v>
      </x:c>
      <x:c r="F1421" s="10" t="str">
        <x:v>B1–B2 (гипотеза)</x:v>
      </x:c>
      <x:c r="G1421" s="12" t="n">
        <x:v>1.3</x:v>
      </x:c>
      <x:c r="H1421" s="14" t="n">
        <x:v>1034</x:v>
      </x:c>
      <x:c r="I1421" s="15" t="str">
        <x:v>Точный счётчик метаданных видео</x:v>
      </x:c>
      <x:c r="J1421" s="14" t="n">
        <x:v>1000</x:v>
      </x:c>
      <x:c r="K1421" s="14" t="n">
        <x:v>659</x:v>
      </x:c>
      <x:c r="L1421" s="12" t="n">
        <x:f>IF(COUNT(J1421:K1421)=2,IF(K1421=0,"",J1421/K1421),"")</x:f>
        <x:v>1.5174506828528074</x:v>
      </x:c>
      <x:c r="M1421" s="10" t="str">
        <x:v>Завершённый короткий просмотр около 1 мин. Просмотры в списке выше медианы выборки этого цикла в 1.52 раза. Истории мудрецов Востока расширяют предложение для традиционно ориентированных зрителей.</x:v>
      </x:c>
      <x:c r="N1421" s="10" t="str">
        <x:v>Выделить мораль истории и пересказать современными словами.</x:v>
      </x:c>
      <x:c r="O1421" s="10" t="str">
        <x:v>Религиозные понятия и первичные тексты</x:v>
      </x:c>
      <x:c r="P1421" s="10" t="str">
        <x:v>Самостоятельное видео</x:v>
      </x:c>
      <x:c r="Q1421" s="9" t="str">
        <x:v>Нет</x:v>
      </x:c>
      <x:c r="R1421" s="9" t="str">
        <x:v>C085</x:v>
      </x:c>
      <x:c r="S1421" s="9" t="str">
        <x:v>C085</x:v>
      </x:c>
      <x:c r="T1421" s="10" t="str">
        <x:v>C14</x:v>
      </x:c>
      <x:c r="U1421" s="11" t="str">
        <x:v>https://www.youtube.com/watch?v=bavRqLC4gtk</x:v>
      </x:c>
      <x:c r="V1421" s="16" t="n">
        <x:v>46308</x:v>
      </x:c>
      <x:c r="W1421" s="16" t="n">
        <x:v>44470</x:v>
      </x:c>
      <x:c r="X1421" s="10" t="str">
        <x:v>Иврит предполагается по заголовку и источнику</x:v>
      </x:c>
      <x:c r="Y1421" s="10" t="str">
        <x:v>Дорожка HE не найдена в метаданных; вшитые титры не проверены</x:v>
      </x:c>
      <x:c r="Z1421" s="10" t="str">
        <x:v>Разрешено по метаданным</x:v>
      </x:c>
      <x:c r="AA1421" s="10" t="str">
        <x:v>Метаданные видео; воспроизведение и содержание не проверены</x:v>
      </x:c>
      <x:c r="AB1421" s="13" t="n">
        <x:f>IF(AND(ISNUMBER(H1421),ISNUMBER(W1421)),H1421/MAX(1,'Обзор'!$B$4-W1421),"")</x:f>
        <x:v>0.5625680087051143</x:v>
      </x:c>
      <x:c r="AC1421" s="17" t="str">
        <x:v>Не решено</x:v>
      </x:c>
      <x:c r="AD1421" s="17" t="str">
        <x:v>Не проверено</x:v>
      </x:c>
      <x:c r="AE1421" s="17" t="str">
        <x:v>Не проверено</x:v>
      </x:c>
      <x:c r="AF1421" s="17" t="str">
        <x:v>Не проверено</x:v>
      </x:c>
      <x:c r="AG1421" s="17" t="str">
        <x:v>Не решено</x:v>
      </x:c>
      <x:c r="AH1421" s="17" t="str">
        <x:v>Не проверено</x:v>
      </x:c>
      <x:c r="AI1421" s="10" t="str">
        <x:f>IF(AC1421="Отклонить","Отклонено",IF(AND(AC1421="Взять",COUNTIFS(AD1421:AH1421,"Да")=5),"Готово","Нужна редактура"))</x:f>
        <x:v>Нужна редактура</x:v>
      </x:c>
      <x:c r="AJ1421" s="17" t="str"/>
      <x:c r="AK1421" s="9" t="str">
        <x:v>https://www.youtube.com/playlist?list=PL8E54R76rowDoyvp5SuXWPq5UZVOM-_Et</x:v>
      </x:c>
      <x:c r="AL1421" s="9" t="n">
        <x:v>11</x:v>
      </x:c>
      <x:c r="AM1421" s="9"/>
      <x:c r="AN1421" s="9" t="n">
        <x:v>0</x:v>
      </x:c>
    </x:row>
    <x:row r="1422" ht="60" customHeight="1">
      <x:c r="A1422" s="9" t="str">
        <x:v>ldIphBmWwoM</x:v>
      </x:c>
      <x:c r="B1422" s="10" t="str">
        <x:v>הניגון כבש את ליבו של הרב ושינה את דעתו</x:v>
      </x:c>
      <x:c r="C1422" s="10" t="str">
        <x:v>Культура общин</x:v>
      </x:c>
      <x:c r="D1422" s="9" t="str">
        <x:v>Культура</x:v>
      </x:c>
      <x:c r="E1422" s="10" t="str">
        <x:v>Традиционная аудитория; еврейское наследие</x:v>
      </x:c>
      <x:c r="F1422" s="10" t="str">
        <x:v>B1–B2 (гипотеза)</x:v>
      </x:c>
      <x:c r="G1422" s="12" t="n">
        <x:v>1.5</x:v>
      </x:c>
      <x:c r="H1422" s="14" t="n">
        <x:v>495</x:v>
      </x:c>
      <x:c r="I1422" s="15" t="str">
        <x:v>Округлённый счётчик в списке YouTube</x:v>
      </x:c>
      <x:c r="J1422" s="14" t="n">
        <x:v>495</x:v>
      </x:c>
      <x:c r="K1422" s="14" t="n">
        <x:v>659</x:v>
      </x:c>
      <x:c r="L1422" s="12" t="n">
        <x:f>IF(COUNT(J1422:K1422)=2,IF(K1422=0,"",J1422/K1422),"")</x:f>
        <x:v>0.7511380880121397</x:v>
      </x:c>
      <x:c r="M1422" s="10" t="str">
        <x:v>Завершённый короткий просмотр около 2 мин. Истории мудрецов Востока расширяют предложение для традиционно ориентированных зрителей.</x:v>
      </x:c>
      <x:c r="N1422" s="10" t="str">
        <x:v>Выделить мораль истории и пересказать современными словами.</x:v>
      </x:c>
      <x:c r="O1422" s="10" t="str">
        <x:v>Религиозные понятия и первичные тексты</x:v>
      </x:c>
      <x:c r="P1422" s="10" t="str">
        <x:v>Самостоятельное видео</x:v>
      </x:c>
      <x:c r="Q1422" s="9" t="str">
        <x:v>Нет</x:v>
      </x:c>
      <x:c r="R1422" s="9" t="str">
        <x:v>C085</x:v>
      </x:c>
      <x:c r="S1422" s="9" t="str">
        <x:v>C085</x:v>
      </x:c>
      <x:c r="T1422" s="10" t="str">
        <x:v>C14</x:v>
      </x:c>
      <x:c r="U1422" s="11" t="str">
        <x:v>https://www.youtube.com/watch?v=ldIphBmWwoM</x:v>
      </x:c>
      <x:c r="V1422" s="16" t="n">
        <x:v>46308</x:v>
      </x:c>
      <x:c r="W1422" s="16"/>
      <x:c r="X1422" s="10" t="str">
        <x:v>Иврит предполагается по заголовку и источнику</x:v>
      </x:c>
      <x:c r="Y1422" s="10" t="str">
        <x:v>Не проверено</x:v>
      </x:c>
      <x:c r="Z1422" s="10" t="str">
        <x:v>Не проверено</x:v>
      </x:c>
      <x:c r="AA1422" s="10" t="str">
        <x:v>Метаданные списка; видео не просмотрено</x:v>
      </x:c>
      <x:c r="AB1422" s="13" t="str">
        <x:f>IF(AND(ISNUMBER(H1422),ISNUMBER(W1422)),H1422/MAX(1,'Обзор'!$B$4-W1422),"")</x:f>
      </x:c>
      <x:c r="AC1422" s="17" t="str">
        <x:v>Не решено</x:v>
      </x:c>
      <x:c r="AD1422" s="17" t="str">
        <x:v>Не проверено</x:v>
      </x:c>
      <x:c r="AE1422" s="17" t="str">
        <x:v>Не проверено</x:v>
      </x:c>
      <x:c r="AF1422" s="17" t="str">
        <x:v>Не проверено</x:v>
      </x:c>
      <x:c r="AG1422" s="17" t="str">
        <x:v>Не решено</x:v>
      </x:c>
      <x:c r="AH1422" s="17" t="str">
        <x:v>Не проверено</x:v>
      </x:c>
      <x:c r="AI1422" s="10" t="str">
        <x:f>IF(AC1422="Отклонить","Отклонено",IF(AND(AC1422="Взять",COUNTIFS(AD1422:AH1422,"Да")=5),"Готово","Нужна редактура"))</x:f>
        <x:v>Нужна редактура</x:v>
      </x:c>
      <x:c r="AJ1422" s="17" t="str"/>
      <x:c r="AK1422" s="9" t="str">
        <x:v>https://www.youtube.com/playlist?list=PL8E54R76rowDoyvp5SuXWPq5UZVOM-_Et</x:v>
      </x:c>
      <x:c r="AL1422" s="9" t="n">
        <x:v>12</x:v>
      </x:c>
      <x:c r="AM1422" s="9"/>
      <x:c r="AN1422" s="9"/>
    </x:row>
    <x:row r="1423" ht="60" customHeight="1">
      <x:c r="A1423" s="9" t="str">
        <x:v>tiMOT3yvI90</x:v>
      </x:c>
      <x:c r="B1423" s="10" t="str">
        <x:v>איפה התורה? סיפורה של הרבנית מזאלה ותלמידי הכותאב</x:v>
      </x:c>
      <x:c r="C1423" s="10" t="str">
        <x:v>Культура общин</x:v>
      </x:c>
      <x:c r="D1423" s="9" t="str">
        <x:v>Культура</x:v>
      </x:c>
      <x:c r="E1423" s="10" t="str">
        <x:v>Традиционная аудитория; еврейское наследие</x:v>
      </x:c>
      <x:c r="F1423" s="10" t="str">
        <x:v>B1–B2 (гипотеза)</x:v>
      </x:c>
      <x:c r="G1423" s="12" t="n">
        <x:v>1.6</x:v>
      </x:c>
      <x:c r="H1423" s="14" t="n">
        <x:v>338</x:v>
      </x:c>
      <x:c r="I1423" s="15" t="str">
        <x:v>Округлённый счётчик в списке YouTube</x:v>
      </x:c>
      <x:c r="J1423" s="14" t="n">
        <x:v>338</x:v>
      </x:c>
      <x:c r="K1423" s="14" t="n">
        <x:v>659</x:v>
      </x:c>
      <x:c r="L1423" s="12" t="n">
        <x:f>IF(COUNT(J1423:K1423)=2,IF(K1423=0,"",J1423/K1423),"")</x:f>
        <x:v>0.5128983308042488</x:v>
      </x:c>
      <x:c r="M1423" s="10" t="str">
        <x:v>Завершённый короткий просмотр около 2 мин. Истории мудрецов Востока расширяют предложение для традиционно ориентированных зрителей.</x:v>
      </x:c>
      <x:c r="N1423" s="10" t="str">
        <x:v>Выделить мораль истории и пересказать современными словами.</x:v>
      </x:c>
      <x:c r="O1423" s="10" t="str">
        <x:v>Религиозные понятия и первичные тексты</x:v>
      </x:c>
      <x:c r="P1423" s="10" t="str">
        <x:v>Самостоятельное видео</x:v>
      </x:c>
      <x:c r="Q1423" s="9" t="str">
        <x:v>Нет</x:v>
      </x:c>
      <x:c r="R1423" s="9" t="str">
        <x:v>C085</x:v>
      </x:c>
      <x:c r="S1423" s="9" t="str">
        <x:v>C085</x:v>
      </x:c>
      <x:c r="T1423" s="10" t="str">
        <x:v>C14</x:v>
      </x:c>
      <x:c r="U1423" s="11" t="str">
        <x:v>https://www.youtube.com/watch?v=tiMOT3yvI90</x:v>
      </x:c>
      <x:c r="V1423" s="16" t="n">
        <x:v>46308</x:v>
      </x:c>
      <x:c r="W1423" s="16"/>
      <x:c r="X1423" s="10" t="str">
        <x:v>Иврит предполагается по заголовку и источнику</x:v>
      </x:c>
      <x:c r="Y1423" s="10" t="str">
        <x:v>Не проверено</x:v>
      </x:c>
      <x:c r="Z1423" s="10" t="str">
        <x:v>Не проверено</x:v>
      </x:c>
      <x:c r="AA1423" s="10" t="str">
        <x:v>Метаданные списка; видео не просмотрено</x:v>
      </x:c>
      <x:c r="AB1423" s="13" t="str">
        <x:f>IF(AND(ISNUMBER(H1423),ISNUMBER(W1423)),H1423/MAX(1,'Обзор'!$B$4-W1423),"")</x:f>
      </x:c>
      <x:c r="AC1423" s="17" t="str">
        <x:v>Не решено</x:v>
      </x:c>
      <x:c r="AD1423" s="17" t="str">
        <x:v>Не проверено</x:v>
      </x:c>
      <x:c r="AE1423" s="17" t="str">
        <x:v>Не проверено</x:v>
      </x:c>
      <x:c r="AF1423" s="17" t="str">
        <x:v>Не проверено</x:v>
      </x:c>
      <x:c r="AG1423" s="17" t="str">
        <x:v>Не решено</x:v>
      </x:c>
      <x:c r="AH1423" s="17" t="str">
        <x:v>Не проверено</x:v>
      </x:c>
      <x:c r="AI1423" s="10" t="str">
        <x:f>IF(AC1423="Отклонить","Отклонено",IF(AND(AC1423="Взять",COUNTIFS(AD1423:AH1423,"Да")=5),"Готово","Нужна редактура"))</x:f>
        <x:v>Нужна редактура</x:v>
      </x:c>
      <x:c r="AJ1423" s="17" t="str"/>
      <x:c r="AK1423" s="9" t="str">
        <x:v>https://www.youtube.com/playlist?list=PL8E54R76rowDoyvp5SuXWPq5UZVOM-_Et</x:v>
      </x:c>
      <x:c r="AL1423" s="9" t="n">
        <x:v>13</x:v>
      </x:c>
      <x:c r="AM1423" s="9"/>
      <x:c r="AN1423" s="9"/>
    </x:row>
    <x:row r="1424" ht="60" customHeight="1">
      <x:c r="A1424" s="9" t="str">
        <x:v>hUqpTFrzWF8</x:v>
      </x:c>
      <x:c r="B1424" s="10" t="str">
        <x:v>מה קרה כאשר הרב המקובל פגש את העיוורת?</x:v>
      </x:c>
      <x:c r="C1424" s="10" t="str">
        <x:v>Культура общин</x:v>
      </x:c>
      <x:c r="D1424" s="9" t="str">
        <x:v>Культура</x:v>
      </x:c>
      <x:c r="E1424" s="10" t="str">
        <x:v>Традиционная аудитория; еврейское наследие</x:v>
      </x:c>
      <x:c r="F1424" s="10" t="str">
        <x:v>B1–B2 (гипотеза)</x:v>
      </x:c>
      <x:c r="G1424" s="12" t="n">
        <x:v>1.9</x:v>
      </x:c>
      <x:c r="H1424" s="14" t="n">
        <x:v>623</x:v>
      </x:c>
      <x:c r="I1424" s="15" t="str">
        <x:v>Точный счётчик метаданных видео</x:v>
      </x:c>
      <x:c r="J1424" s="14" t="n">
        <x:v>623</x:v>
      </x:c>
      <x:c r="K1424" s="14" t="n">
        <x:v>659</x:v>
      </x:c>
      <x:c r="L1424" s="12" t="n">
        <x:f>IF(COUNT(J1424:K1424)=2,IF(K1424=0,"",J1424/K1424),"")</x:f>
        <x:v>0.9453717754172989</x:v>
      </x:c>
      <x:c r="M1424" s="10" t="str">
        <x:v>Завершённый короткий просмотр около 2 мин. Истории мудрецов Востока расширяют предложение для традиционно ориентированных зрителей.</x:v>
      </x:c>
      <x:c r="N1424" s="10" t="str">
        <x:v>Выделить мораль истории и пересказать современными словами.</x:v>
      </x:c>
      <x:c r="O1424" s="10" t="str">
        <x:v>Религиозные понятия и первичные тексты</x:v>
      </x:c>
      <x:c r="P1424" s="10" t="str">
        <x:v>Самостоятельное видео</x:v>
      </x:c>
      <x:c r="Q1424" s="9" t="str">
        <x:v>Нет</x:v>
      </x:c>
      <x:c r="R1424" s="9" t="str">
        <x:v>C085</x:v>
      </x:c>
      <x:c r="S1424" s="9" t="str">
        <x:v>C085</x:v>
      </x:c>
      <x:c r="T1424" s="10" t="str">
        <x:v>C14</x:v>
      </x:c>
      <x:c r="U1424" s="11" t="str">
        <x:v>https://www.youtube.com/watch?v=hUqpTFrzWF8</x:v>
      </x:c>
      <x:c r="V1424" s="16" t="n">
        <x:v>46308</x:v>
      </x:c>
      <x:c r="W1424" s="16" t="n">
        <x:v>44491</x:v>
      </x:c>
      <x:c r="X1424" s="10" t="str">
        <x:v>Иврит предполагается по заголовку и источнику</x:v>
      </x:c>
      <x:c r="Y1424" s="10" t="str">
        <x:v>Дорожка HE не найдена в метаданных; вшитые титры не проверены</x:v>
      </x:c>
      <x:c r="Z1424" s="10" t="str">
        <x:v>Разрешено по метаданным</x:v>
      </x:c>
      <x:c r="AA1424" s="10" t="str">
        <x:v>Метаданные видео; воспроизведение и содержание не проверены</x:v>
      </x:c>
      <x:c r="AB1424" s="13" t="n">
        <x:f>IF(AND(ISNUMBER(H1424),ISNUMBER(W1424)),H1424/MAX(1,'Обзор'!$B$4-W1424),"")</x:f>
        <x:v>0.34287286736378647</x:v>
      </x:c>
      <x:c r="AC1424" s="17" t="str">
        <x:v>Не решено</x:v>
      </x:c>
      <x:c r="AD1424" s="17" t="str">
        <x:v>Не проверено</x:v>
      </x:c>
      <x:c r="AE1424" s="17" t="str">
        <x:v>Не проверено</x:v>
      </x:c>
      <x:c r="AF1424" s="17" t="str">
        <x:v>Не проверено</x:v>
      </x:c>
      <x:c r="AG1424" s="17" t="str">
        <x:v>Не решено</x:v>
      </x:c>
      <x:c r="AH1424" s="17" t="str">
        <x:v>Не проверено</x:v>
      </x:c>
      <x:c r="AI1424" s="10" t="str">
        <x:f>IF(AC1424="Отклонить","Отклонено",IF(AND(AC1424="Взять",COUNTIFS(AD1424:AH1424,"Да")=5),"Готово","Нужна редактура"))</x:f>
        <x:v>Нужна редактура</x:v>
      </x:c>
      <x:c r="AJ1424" s="17" t="str"/>
      <x:c r="AK1424" s="9" t="str">
        <x:v>https://www.youtube.com/playlist?list=PL8E54R76rowDoyvp5SuXWPq5UZVOM-_Et</x:v>
      </x:c>
      <x:c r="AL1424" s="9" t="n">
        <x:v>14</x:v>
      </x:c>
      <x:c r="AM1424" s="9"/>
      <x:c r="AN1424" s="9" t="n">
        <x:v>0</x:v>
      </x:c>
    </x:row>
    <x:row r="1425" ht="60" customHeight="1">
      <x:c r="A1425" s="9" t="str">
        <x:v>b8X13M7dkqE</x:v>
      </x:c>
      <x:c r="B1425" s="10" t="str">
        <x:v>מה היו שני האירועים שהשפיעו על חייו של הרב חזן?</x:v>
      </x:c>
      <x:c r="C1425" s="10" t="str">
        <x:v>Культура общин</x:v>
      </x:c>
      <x:c r="D1425" s="9" t="str">
        <x:v>Культура</x:v>
      </x:c>
      <x:c r="E1425" s="10" t="str">
        <x:v>Традиционная аудитория; еврейское наследие</x:v>
      </x:c>
      <x:c r="F1425" s="10" t="str">
        <x:v>B1–B2 (гипотеза)</x:v>
      </x:c>
      <x:c r="G1425" s="12" t="n">
        <x:v>1.5</x:v>
      </x:c>
      <x:c r="H1425" s="14" t="n">
        <x:v>623</x:v>
      </x:c>
      <x:c r="I1425" s="15" t="str">
        <x:v>Точный счётчик метаданных видео</x:v>
      </x:c>
      <x:c r="J1425" s="14" t="n">
        <x:v>623</x:v>
      </x:c>
      <x:c r="K1425" s="14" t="n">
        <x:v>659</x:v>
      </x:c>
      <x:c r="L1425" s="12" t="n">
        <x:f>IF(COUNT(J1425:K1425)=2,IF(K1425=0,"",J1425/K1425),"")</x:f>
        <x:v>0.9453717754172989</x:v>
      </x:c>
      <x:c r="M1425" s="10" t="str">
        <x:v>Завершённый короткий просмотр около 2 мин. Истории мудрецов Востока расширяют предложение для традиционно ориентированных зрителей.</x:v>
      </x:c>
      <x:c r="N1425" s="10" t="str">
        <x:v>Выделить мораль истории и пересказать современными словами.</x:v>
      </x:c>
      <x:c r="O1425" s="10" t="str">
        <x:v>Религиозные понятия и первичные тексты</x:v>
      </x:c>
      <x:c r="P1425" s="10" t="str">
        <x:v>Самостоятельное видео</x:v>
      </x:c>
      <x:c r="Q1425" s="9" t="str">
        <x:v>Нет</x:v>
      </x:c>
      <x:c r="R1425" s="9" t="str">
        <x:v>C085</x:v>
      </x:c>
      <x:c r="S1425" s="9" t="str">
        <x:v>C085</x:v>
      </x:c>
      <x:c r="T1425" s="10" t="str">
        <x:v>C14</x:v>
      </x:c>
      <x:c r="U1425" s="11" t="str">
        <x:v>https://www.youtube.com/watch?v=b8X13M7dkqE</x:v>
      </x:c>
      <x:c r="V1425" s="16" t="n">
        <x:v>46308</x:v>
      </x:c>
      <x:c r="W1425" s="16" t="n">
        <x:v>44505</x:v>
      </x:c>
      <x:c r="X1425" s="10" t="str">
        <x:v>Иврит предполагается по заголовку и источнику</x:v>
      </x:c>
      <x:c r="Y1425" s="10" t="str">
        <x:v>Дорожка HE не найдена в метаданных; вшитые титры не проверены</x:v>
      </x:c>
      <x:c r="Z1425" s="10" t="str">
        <x:v>Разрешено по метаданным</x:v>
      </x:c>
      <x:c r="AA1425" s="10" t="str">
        <x:v>Метаданные видео; воспроизведение и содержание не проверены</x:v>
      </x:c>
      <x:c r="AB1425" s="13" t="n">
        <x:f>IF(AND(ISNUMBER(H1425),ISNUMBER(W1425)),H1425/MAX(1,'Обзор'!$B$4-W1425),"")</x:f>
        <x:v>0.3455352190793123</x:v>
      </x:c>
      <x:c r="AC1425" s="17" t="str">
        <x:v>Не решено</x:v>
      </x:c>
      <x:c r="AD1425" s="17" t="str">
        <x:v>Не проверено</x:v>
      </x:c>
      <x:c r="AE1425" s="17" t="str">
        <x:v>Не проверено</x:v>
      </x:c>
      <x:c r="AF1425" s="17" t="str">
        <x:v>Не проверено</x:v>
      </x:c>
      <x:c r="AG1425" s="17" t="str">
        <x:v>Не решено</x:v>
      </x:c>
      <x:c r="AH1425" s="17" t="str">
        <x:v>Не проверено</x:v>
      </x:c>
      <x:c r="AI1425" s="10" t="str">
        <x:f>IF(AC1425="Отклонить","Отклонено",IF(AND(AC1425="Взять",COUNTIFS(AD1425:AH1425,"Да")=5),"Готово","Нужна редактура"))</x:f>
        <x:v>Нужна редактура</x:v>
      </x:c>
      <x:c r="AJ1425" s="17" t="str"/>
      <x:c r="AK1425" s="9" t="str">
        <x:v>https://www.youtube.com/playlist?list=PL8E54R76rowDoyvp5SuXWPq5UZVOM-_Et</x:v>
      </x:c>
      <x:c r="AL1425" s="9" t="n">
        <x:v>15</x:v>
      </x:c>
      <x:c r="AM1425" s="9"/>
      <x:c r="AN1425" s="9" t="n">
        <x:v>0</x:v>
      </x:c>
    </x:row>
    <x:row r="1426" ht="60" customHeight="1">
      <x:c r="A1426" s="9" t="str">
        <x:v>WKLa5pYCiRE</x:v>
      </x:c>
      <x:c r="B1426" s="10" t="str">
        <x:v>הקוד האנושי #5 - הפער בין מילים למעשים: איך לקרוא בני אדם?</x:v>
      </x:c>
      <x:c r="C1426" s="10" t="str">
        <x:v>Люди и общественные идеи</x:v>
      </x:c>
      <x:c r="D1426" s="9" t="str">
        <x:v>Интервью</x:v>
      </x:c>
      <x:c r="E1426" s="10" t="str">
        <x:v>Интервью; общество; продвинутые</x:v>
      </x:c>
      <x:c r="F1426" s="10" t="str">
        <x:v>B2–C1 (гипотеза)</x:v>
      </x:c>
      <x:c r="G1426" s="12" t="n">
        <x:v>15.3</x:v>
      </x:c>
      <x:c r="H1426" s="14" t="n">
        <x:v>2600</x:v>
      </x:c>
      <x:c r="I1426" s="15" t="str">
        <x:v>Округлённый счётчик в списке YouTube</x:v>
      </x:c>
      <x:c r="J1426" s="14" t="n">
        <x:v>2600</x:v>
      </x:c>
      <x:c r="K1426" s="14" t="n">
        <x:v>4500</x:v>
      </x:c>
      <x:c r="L1426" s="12" t="n">
        <x:f>IF(COUNT(J1426:K1426)=2,IF(K1426=0,"",J1426/K1426),"")</x:f>
        <x:v>0.5777777777777777</x:v>
      </x:c>
      <x:c r="M1426" s="10" t="str">
        <x:v>Тема / гость: הקוד האנושי #5 - הפער בין מילים למעשים: איך לקרוא בני אדם?. Связь с уже выбранным владельцем источником. Длинные разговоры дают разные профессиональные и общественные биографии.</x:v>
      </x:c>
      <x:c r="N1426" s="10" t="str">
        <x:v>Выбрать 5–8 минут: тезис, аргумент, уточняющий вопрос. Проверить фактические утверждения.</x:v>
      </x:c>
      <x:c r="O1426" s="10" t="str">
        <x:v>Авторская политическая перспектива; не выдавать за нейтральный обзор</x:v>
      </x:c>
      <x:c r="P1426" s="10" t="str">
        <x:v>Длинное интервью</x:v>
      </x:c>
      <x:c r="Q1426" s="9" t="str">
        <x:v>Нет</x:v>
      </x:c>
      <x:c r="R1426" s="9" t="str">
        <x:v>C086</x:v>
      </x:c>
      <x:c r="S1426" s="9" t="str">
        <x:v>C086</x:v>
      </x:c>
      <x:c r="T1426" s="10" t="str">
        <x:v>פרויקט 001</x:v>
      </x:c>
      <x:c r="U1426" s="11" t="str">
        <x:v>https://www.youtube.com/watch?v=WKLa5pYCiRE</x:v>
      </x:c>
      <x:c r="V1426" s="16" t="n">
        <x:v>46308</x:v>
      </x:c>
      <x:c r="W1426" s="16"/>
      <x:c r="X1426" s="10" t="str">
        <x:v>Иврит предполагается по заголовку и источнику</x:v>
      </x:c>
      <x:c r="Y1426" s="10" t="str">
        <x:v>Не проверено</x:v>
      </x:c>
      <x:c r="Z1426" s="10" t="str">
        <x:v>Не проверено</x:v>
      </x:c>
      <x:c r="AA1426" s="10" t="str">
        <x:v>Метаданные списка; видео не просмотрено</x:v>
      </x:c>
      <x:c r="AB1426" s="13" t="str">
        <x:f>IF(AND(ISNUMBER(H1426),ISNUMBER(W1426)),H1426/MAX(1,'Обзор'!$B$4-W1426),"")</x:f>
      </x:c>
      <x:c r="AC1426" s="17" t="str">
        <x:v>Не решено</x:v>
      </x:c>
      <x:c r="AD1426" s="17" t="str">
        <x:v>Не проверено</x:v>
      </x:c>
      <x:c r="AE1426" s="17" t="str">
        <x:v>Не проверено</x:v>
      </x:c>
      <x:c r="AF1426" s="17" t="str">
        <x:v>Не проверено</x:v>
      </x:c>
      <x:c r="AG1426" s="17" t="str">
        <x:v>Не решено</x:v>
      </x:c>
      <x:c r="AH1426" s="17" t="str">
        <x:v>Не проверено</x:v>
      </x:c>
      <x:c r="AI1426" s="10" t="str">
        <x:f>IF(AC1426="Отклонить","Отклонено",IF(AND(AC1426="Взять",COUNTIFS(AD1426:AH1426,"Да")=5),"Готово","Нужна редактура"))</x:f>
        <x:v>Нужна редактура</x:v>
      </x:c>
      <x:c r="AJ1426" s="17" t="str"/>
      <x:c r="AK1426" s="9" t="str">
        <x:v>https://www.youtube.com/@001_il/videos</x:v>
      </x:c>
      <x:c r="AL1426" s="9" t="n">
        <x:v>2</x:v>
      </x:c>
      <x:c r="AM1426" s="9"/>
      <x:c r="AN1426" s="9"/>
    </x:row>
    <x:row r="1427" ht="60" customHeight="1">
      <x:c r="A1427" s="9" t="str">
        <x:v>gCjwI5tAf9Y</x:v>
      </x:c>
      <x:c r="B1427" s="10" t="str">
        <x:v>הצומת | הסודות מאחורי הלוחמה הפסיכולוגית - אם חשבתם שהיא דילגה עליכם, תחשבו שוב</x:v>
      </x:c>
      <x:c r="C1427" s="10" t="str">
        <x:v>Люди и общественные идеи</x:v>
      </x:c>
      <x:c r="D1427" s="9" t="str">
        <x:v>Интервью</x:v>
      </x:c>
      <x:c r="E1427" s="10" t="str">
        <x:v>Интервью; общество; продвинутые</x:v>
      </x:c>
      <x:c r="F1427" s="10" t="str">
        <x:v>B2–C1 (гипотеза)</x:v>
      </x:c>
      <x:c r="G1427" s="12" t="n">
        <x:v>58</x:v>
      </x:c>
      <x:c r="H1427" s="14" t="n">
        <x:v>5076</x:v>
      </x:c>
      <x:c r="I1427" s="15" t="str">
        <x:v>Точный счётчик метаданных видео</x:v>
      </x:c>
      <x:c r="J1427" s="14" t="n">
        <x:v>5000</x:v>
      </x:c>
      <x:c r="K1427" s="14" t="n">
        <x:v>4500</x:v>
      </x:c>
      <x:c r="L1427" s="12" t="n">
        <x:f>IF(COUNT(J1427:K1427)=2,IF(K1427=0,"",J1427/K1427),"")</x:f>
        <x:v>1.1111111111111112</x:v>
      </x:c>
      <x:c r="M1427" s="10" t="str">
        <x:v>Тема / гость: הסודות מאחורי הלוחמה הפסיכולוגית - אם חשבתם שהיא דילגה עליכם, תחשבו שוב. Связь с уже выбранным владельцем источником. Длинные разговоры дают разные профессиональные и общественные биографии.</x:v>
      </x:c>
      <x:c r="N1427" s="10" t="str">
        <x:v>Выбрать 5–8 минут: тезис, аргумент, уточняющий вопрос. Проверить фактические утверждения.</x:v>
      </x:c>
      <x:c r="O1427" s="10" t="str">
        <x:v>Авторская политическая перспектива; не выдавать за нейтральный обзор</x:v>
      </x:c>
      <x:c r="P1427" s="10" t="str">
        <x:v>Длинное интервью</x:v>
      </x:c>
      <x:c r="Q1427" s="9" t="str">
        <x:v>Нет</x:v>
      </x:c>
      <x:c r="R1427" s="9" t="str">
        <x:v>C086</x:v>
      </x:c>
      <x:c r="S1427" s="9" t="str">
        <x:v>C086</x:v>
      </x:c>
      <x:c r="T1427" s="10" t="str">
        <x:v>פרויקט 001</x:v>
      </x:c>
      <x:c r="U1427" s="11" t="str">
        <x:v>https://www.youtube.com/watch?v=gCjwI5tAf9Y</x:v>
      </x:c>
      <x:c r="V1427" s="16" t="n">
        <x:v>46308</x:v>
      </x:c>
      <x:c r="W1427" s="16" t="n">
        <x:v>46280</x:v>
      </x:c>
      <x:c r="X1427" s="10" t="str">
        <x:v>Иврит предполагается по заголовку и источнику</x:v>
      </x:c>
      <x:c r="Y1427" s="10" t="str">
        <x:v>Автоматическая дорожка HE по метаданным</x:v>
      </x:c>
      <x:c r="Z1427" s="10" t="str">
        <x:v>Разрешено по метаданным</x:v>
      </x:c>
      <x:c r="AA1427" s="10" t="str">
        <x:v>Метаданные видео; воспроизведение и содержание не проверены</x:v>
      </x:c>
      <x:c r="AB1427" s="13" t="n">
        <x:f>IF(AND(ISNUMBER(H1427),ISNUMBER(W1427)),H1427/MAX(1,'Обзор'!$B$4-W1427),"")</x:f>
        <x:v>181.28571428571428</x:v>
      </x:c>
      <x:c r="AC1427" s="17" t="str">
        <x:v>Не решено</x:v>
      </x:c>
      <x:c r="AD1427" s="17" t="str">
        <x:v>Не проверено</x:v>
      </x:c>
      <x:c r="AE1427" s="17" t="str">
        <x:v>Не проверено</x:v>
      </x:c>
      <x:c r="AF1427" s="17" t="str">
        <x:v>Не проверено</x:v>
      </x:c>
      <x:c r="AG1427" s="17" t="str">
        <x:v>Не решено</x:v>
      </x:c>
      <x:c r="AH1427" s="17" t="str">
        <x:v>Не проверено</x:v>
      </x:c>
      <x:c r="AI1427" s="10" t="str">
        <x:f>IF(AC1427="Отклонить","Отклонено",IF(AND(AC1427="Взять",COUNTIFS(AD1427:AH1427,"Да")=5),"Готово","Нужна редактура"))</x:f>
        <x:v>Нужна редактура</x:v>
      </x:c>
      <x:c r="AJ1427" s="17" t="str"/>
      <x:c r="AK1427" s="9" t="str">
        <x:v>https://www.youtube.com/@001_il/videos</x:v>
      </x:c>
      <x:c r="AL1427" s="9" t="n">
        <x:v>6</x:v>
      </x:c>
      <x:c r="AM1427" s="9"/>
      <x:c r="AN1427" s="9" t="n">
        <x:v>0</x:v>
      </x:c>
    </x:row>
    <x:row r="1428" ht="60" customHeight="1">
      <x:c r="A1428" s="9" t="str">
        <x:v>rDl-pfgHiS0</x:v>
      </x:c>
      <x:c r="B1428" s="10" t="str">
        <x:v>הצומת | הקמ"ן של יחידת השבויים והנעדרים נחשף - יאיר מירון</x:v>
      </x:c>
      <x:c r="C1428" s="10" t="str">
        <x:v>Люди и общественные идеи</x:v>
      </x:c>
      <x:c r="D1428" s="9" t="str">
        <x:v>Интервью</x:v>
      </x:c>
      <x:c r="E1428" s="10" t="str">
        <x:v>Интервью; общество; продвинутые</x:v>
      </x:c>
      <x:c r="F1428" s="10" t="str">
        <x:v>B2–C1 (гипотеза)</x:v>
      </x:c>
      <x:c r="G1428" s="12" t="n">
        <x:v>53.3</x:v>
      </x:c>
      <x:c r="H1428" s="14" t="n">
        <x:v>2900</x:v>
      </x:c>
      <x:c r="I1428" s="15" t="str">
        <x:v>Округлённый счётчик в списке YouTube</x:v>
      </x:c>
      <x:c r="J1428" s="14" t="n">
        <x:v>2900</x:v>
      </x:c>
      <x:c r="K1428" s="14" t="n">
        <x:v>4500</x:v>
      </x:c>
      <x:c r="L1428" s="12" t="n">
        <x:f>IF(COUNT(J1428:K1428)=2,IF(K1428=0,"",J1428/K1428),"")</x:f>
        <x:v>0.6444444444444445</x:v>
      </x:c>
      <x:c r="M1428" s="10" t="str">
        <x:v>Тема / гость: הקמ"ן של יחידת השבויים והנעדרים נחשף - יאיר מירון. Связь с уже выбранным владельцем источником. Длинные разговоры дают разные профессиональные и общественные биографии.</x:v>
      </x:c>
      <x:c r="N1428" s="10" t="str">
        <x:v>Выбрать 5–8 минут: тезис, аргумент, уточняющий вопрос. Проверить фактические утверждения.</x:v>
      </x:c>
      <x:c r="O1428" s="10" t="str">
        <x:v>Авторская политическая перспектива; не выдавать за нейтральный обзор</x:v>
      </x:c>
      <x:c r="P1428" s="10" t="str">
        <x:v>Длинное интервью</x:v>
      </x:c>
      <x:c r="Q1428" s="9" t="str">
        <x:v>Нет</x:v>
      </x:c>
      <x:c r="R1428" s="9" t="str">
        <x:v>C086</x:v>
      </x:c>
      <x:c r="S1428" s="9" t="str">
        <x:v>C086</x:v>
      </x:c>
      <x:c r="T1428" s="10" t="str">
        <x:v>פרויקט 001</x:v>
      </x:c>
      <x:c r="U1428" s="11" t="str">
        <x:v>https://www.youtube.com/watch?v=rDl-pfgHiS0</x:v>
      </x:c>
      <x:c r="V1428" s="16" t="n">
        <x:v>46308</x:v>
      </x:c>
      <x:c r="W1428" s="16"/>
      <x:c r="X1428" s="10" t="str">
        <x:v>Иврит предполагается по заголовку и источнику</x:v>
      </x:c>
      <x:c r="Y1428" s="10" t="str">
        <x:v>Не проверено</x:v>
      </x:c>
      <x:c r="Z1428" s="10" t="str">
        <x:v>Не проверено</x:v>
      </x:c>
      <x:c r="AA1428" s="10" t="str">
        <x:v>Метаданные списка; видео не просмотрено</x:v>
      </x:c>
      <x:c r="AB1428" s="13" t="str">
        <x:f>IF(AND(ISNUMBER(H1428),ISNUMBER(W1428)),H1428/MAX(1,'Обзор'!$B$4-W1428),"")</x:f>
      </x:c>
      <x:c r="AC1428" s="17" t="str">
        <x:v>Не решено</x:v>
      </x:c>
      <x:c r="AD1428" s="17" t="str">
        <x:v>Не проверено</x:v>
      </x:c>
      <x:c r="AE1428" s="17" t="str">
        <x:v>Не проверено</x:v>
      </x:c>
      <x:c r="AF1428" s="17" t="str">
        <x:v>Не проверено</x:v>
      </x:c>
      <x:c r="AG1428" s="17" t="str">
        <x:v>Не решено</x:v>
      </x:c>
      <x:c r="AH1428" s="17" t="str">
        <x:v>Не проверено</x:v>
      </x:c>
      <x:c r="AI1428" s="10" t="str">
        <x:f>IF(AC1428="Отклонить","Отклонено",IF(AND(AC1428="Взять",COUNTIFS(AD1428:AH1428,"Да")=5),"Готово","Нужна редактура"))</x:f>
        <x:v>Нужна редактура</x:v>
      </x:c>
      <x:c r="AJ1428" s="17" t="str"/>
      <x:c r="AK1428" s="9" t="str">
        <x:v>https://www.youtube.com/@001_il/videos</x:v>
      </x:c>
      <x:c r="AL1428" s="9" t="n">
        <x:v>10</x:v>
      </x:c>
      <x:c r="AM1428" s="9"/>
      <x:c r="AN1428" s="9"/>
    </x:row>
    <x:row r="1429" ht="60" customHeight="1">
      <x:c r="A1429" s="9" t="str">
        <x:v>8hhq6sn-D8o</x:v>
      </x:c>
      <x:c r="B1429" s="10" t="str">
        <x:v>הצומת | מהאזנות סתר ועד למעקבים מסוכנים: 25 שנה בחזית המבצעית של היחב"ל - משה בכר</x:v>
      </x:c>
      <x:c r="C1429" s="10" t="str">
        <x:v>Люди и общественные идеи</x:v>
      </x:c>
      <x:c r="D1429" s="9" t="str">
        <x:v>Интервью</x:v>
      </x:c>
      <x:c r="E1429" s="10" t="str">
        <x:v>Интервью; общество; продвинутые</x:v>
      </x:c>
      <x:c r="F1429" s="10" t="str">
        <x:v>B2–C1 (гипотеза)</x:v>
      </x:c>
      <x:c r="G1429" s="12" t="n">
        <x:v>58.3</x:v>
      </x:c>
      <x:c r="H1429" s="14" t="n">
        <x:v>4000</x:v>
      </x:c>
      <x:c r="I1429" s="15" t="str">
        <x:v>Округлённый счётчик в списке YouTube</x:v>
      </x:c>
      <x:c r="J1429" s="14" t="n">
        <x:v>4000</x:v>
      </x:c>
      <x:c r="K1429" s="14" t="n">
        <x:v>4500</x:v>
      </x:c>
      <x:c r="L1429" s="12" t="n">
        <x:f>IF(COUNT(J1429:K1429)=2,IF(K1429=0,"",J1429/K1429),"")</x:f>
        <x:v>0.8888888888888888</x:v>
      </x:c>
      <x:c r="M1429" s="10" t="str">
        <x:v>Тема / гость: מהאזנות סתר ועד למעקבים מסוכנים: 25 שנה בחזית המבצעית של היחב"ל - משה בכר. Связь с уже выбранным владельцем источником. Длинные разговоры дают разные профессиональные и общественные биографии.</x:v>
      </x:c>
      <x:c r="N1429" s="10" t="str">
        <x:v>Выбрать 5–8 минут: тезис, аргумент, уточняющий вопрос. Проверить фактические утверждения.</x:v>
      </x:c>
      <x:c r="O1429" s="10" t="str">
        <x:v>Авторская политическая перспектива; не выдавать за нейтральный обзор</x:v>
      </x:c>
      <x:c r="P1429" s="10" t="str">
        <x:v>Длинное интервью</x:v>
      </x:c>
      <x:c r="Q1429" s="9" t="str">
        <x:v>Нет</x:v>
      </x:c>
      <x:c r="R1429" s="9" t="str">
        <x:v>C086</x:v>
      </x:c>
      <x:c r="S1429" s="9" t="str">
        <x:v>C086</x:v>
      </x:c>
      <x:c r="T1429" s="10" t="str">
        <x:v>פרויקט 001</x:v>
      </x:c>
      <x:c r="U1429" s="11" t="str">
        <x:v>https://www.youtube.com/watch?v=8hhq6sn-D8o</x:v>
      </x:c>
      <x:c r="V1429" s="16" t="n">
        <x:v>46308</x:v>
      </x:c>
      <x:c r="W1429" s="16"/>
      <x:c r="X1429" s="10" t="str">
        <x:v>Иврит предполагается по заголовку и источнику</x:v>
      </x:c>
      <x:c r="Y1429" s="10" t="str">
        <x:v>Не проверено</x:v>
      </x:c>
      <x:c r="Z1429" s="10" t="str">
        <x:v>Не проверено</x:v>
      </x:c>
      <x:c r="AA1429" s="10" t="str">
        <x:v>Метаданные списка; видео не просмотрено</x:v>
      </x:c>
      <x:c r="AB1429" s="13" t="str">
        <x:f>IF(AND(ISNUMBER(H1429),ISNUMBER(W1429)),H1429/MAX(1,'Обзор'!$B$4-W1429),"")</x:f>
      </x:c>
      <x:c r="AC1429" s="17" t="str">
        <x:v>Не решено</x:v>
      </x:c>
      <x:c r="AD1429" s="17" t="str">
        <x:v>Не проверено</x:v>
      </x:c>
      <x:c r="AE1429" s="17" t="str">
        <x:v>Не проверено</x:v>
      </x:c>
      <x:c r="AF1429" s="17" t="str">
        <x:v>Не проверено</x:v>
      </x:c>
      <x:c r="AG1429" s="17" t="str">
        <x:v>Не решено</x:v>
      </x:c>
      <x:c r="AH1429" s="17" t="str">
        <x:v>Не проверено</x:v>
      </x:c>
      <x:c r="AI1429" s="10" t="str">
        <x:f>IF(AC1429="Отклонить","Отклонено",IF(AND(AC1429="Взять",COUNTIFS(AD1429:AH1429,"Да")=5),"Готово","Нужна редактура"))</x:f>
        <x:v>Нужна редактура</x:v>
      </x:c>
      <x:c r="AJ1429" s="17" t="str"/>
      <x:c r="AK1429" s="9" t="str">
        <x:v>https://www.youtube.com/@001_il/videos</x:v>
      </x:c>
      <x:c r="AL1429" s="9" t="n">
        <x:v>12</x:v>
      </x:c>
      <x:c r="AM1429" s="9"/>
      <x:c r="AN1429" s="9"/>
    </x:row>
    <x:row r="1430" ht="60" customHeight="1">
      <x:c r="A1430" s="9" t="str">
        <x:v>CUnVXGnOocE</x:v>
      </x:c>
      <x:c r="B1430" s="10" t="str">
        <x:v>הצומת | איך להחליף את האליטה הביטחונית: הקרב נגד קונספציית 30 השנים - תא״ל (מיל׳) אמיר אביבי</x:v>
      </x:c>
      <x:c r="C1430" s="10" t="str">
        <x:v>Люди и общественные идеи</x:v>
      </x:c>
      <x:c r="D1430" s="9" t="str">
        <x:v>Интервью</x:v>
      </x:c>
      <x:c r="E1430" s="10" t="str">
        <x:v>Интервью; общество; продвинутые</x:v>
      </x:c>
      <x:c r="F1430" s="10" t="str">
        <x:v>B2–C1 (гипотеза)</x:v>
      </x:c>
      <x:c r="G1430" s="12" t="n">
        <x:v>70.7</x:v>
      </x:c>
      <x:c r="H1430" s="14" t="n">
        <x:v>13414</x:v>
      </x:c>
      <x:c r="I1430" s="15" t="str">
        <x:v>Точный счётчик метаданных видео</x:v>
      </x:c>
      <x:c r="J1430" s="14" t="n">
        <x:v>13000</x:v>
      </x:c>
      <x:c r="K1430" s="14" t="n">
        <x:v>4500</x:v>
      </x:c>
      <x:c r="L1430" s="12" t="n">
        <x:f>IF(COUNT(J1430:K1430)=2,IF(K1430=0,"",J1430/K1430),"")</x:f>
        <x:v>2.888888888888889</x:v>
      </x:c>
      <x:c r="M1430" s="10" t="str">
        <x:v>Тема / гость: איך להחליף את האליטה הביטחונית: הקרב נגד קונספציית 30 השנים - תא״ל (מיל׳) אמיר אביבי. Просмотры в списке выше медианы выборки этого цикла в 2.89 раза. Связь с уже выбранным владельцем источником. Длинные разговоры дают разные профессиональные и общественные биографии.</x:v>
      </x:c>
      <x:c r="N1430" s="10" t="str">
        <x:v>Выбрать 5–8 минут: тезис, аргумент, уточняющий вопрос. Проверить фактические утверждения.</x:v>
      </x:c>
      <x:c r="O1430" s="10" t="str">
        <x:v>Авторская политическая перспектива; не выдавать за нейтральный обзор</x:v>
      </x:c>
      <x:c r="P1430" s="10" t="str">
        <x:v>Длинное интервью</x:v>
      </x:c>
      <x:c r="Q1430" s="9" t="str">
        <x:v>Нет</x:v>
      </x:c>
      <x:c r="R1430" s="9" t="str">
        <x:v>C086</x:v>
      </x:c>
      <x:c r="S1430" s="9" t="str">
        <x:v>C086</x:v>
      </x:c>
      <x:c r="T1430" s="10" t="str">
        <x:v>פרויקט 001</x:v>
      </x:c>
      <x:c r="U1430" s="11" t="str">
        <x:v>https://www.youtube.com/watch?v=CUnVXGnOocE</x:v>
      </x:c>
      <x:c r="V1430" s="16" t="n">
        <x:v>46308</x:v>
      </x:c>
      <x:c r="W1430" s="16" t="n">
        <x:v>46224</x:v>
      </x:c>
      <x:c r="X1430" s="10" t="str">
        <x:v>iw</x:v>
      </x:c>
      <x:c r="Y1430" s="10" t="str">
        <x:v>Автоматическая дорожка HE по метаданным</x:v>
      </x:c>
      <x:c r="Z1430" s="10" t="str">
        <x:v>Разрешено по метаданным</x:v>
      </x:c>
      <x:c r="AA1430" s="10" t="str">
        <x:v>Метаданные видео; воспроизведение и содержание не проверены</x:v>
      </x:c>
      <x:c r="AB1430" s="13" t="n">
        <x:f>IF(AND(ISNUMBER(H1430),ISNUMBER(W1430)),H1430/MAX(1,'Обзор'!$B$4-W1430),"")</x:f>
        <x:v>159.6904761904762</x:v>
      </x:c>
      <x:c r="AC1430" s="17" t="str">
        <x:v>Не решено</x:v>
      </x:c>
      <x:c r="AD1430" s="17" t="str">
        <x:v>Не проверено</x:v>
      </x:c>
      <x:c r="AE1430" s="17" t="str">
        <x:v>Не проверено</x:v>
      </x:c>
      <x:c r="AF1430" s="17" t="str">
        <x:v>Не проверено</x:v>
      </x:c>
      <x:c r="AG1430" s="17" t="str">
        <x:v>Не решено</x:v>
      </x:c>
      <x:c r="AH1430" s="17" t="str">
        <x:v>Не проверено</x:v>
      </x:c>
      <x:c r="AI1430" s="10" t="str">
        <x:f>IF(AC1430="Отклонить","Отклонено",IF(AND(AC1430="Взять",COUNTIFS(AD1430:AH1430,"Да")=5),"Готово","Нужна редактура"))</x:f>
        <x:v>Нужна редактура</x:v>
      </x:c>
      <x:c r="AJ1430" s="17" t="str"/>
      <x:c r="AK1430" s="9" t="str">
        <x:v>https://www.youtube.com/@001_il/videos</x:v>
      </x:c>
      <x:c r="AL1430" s="9" t="n">
        <x:v>13</x:v>
      </x:c>
      <x:c r="AM1430" s="9"/>
      <x:c r="AN1430" s="9" t="n">
        <x:v>0</x:v>
      </x:c>
    </x:row>
    <x:row r="1431" ht="60" customHeight="1">
      <x:c r="A1431" s="9" t="str">
        <x:v>kKUpPYNqPBQ</x:v>
      </x:c>
      <x:c r="B1431" s="10" t="str">
        <x:v>הצומת | "המפעיל הוא במאי" - מקסים בניסטי</x:v>
      </x:c>
      <x:c r="C1431" s="10" t="str">
        <x:v>Люди и общественные идеи</x:v>
      </x:c>
      <x:c r="D1431" s="9" t="str">
        <x:v>Интервью</x:v>
      </x:c>
      <x:c r="E1431" s="10" t="str">
        <x:v>Интервью; общество; продвинутые</x:v>
      </x:c>
      <x:c r="F1431" s="10" t="str">
        <x:v>B2–C1 (гипотеза)</x:v>
      </x:c>
      <x:c r="G1431" s="12" t="n">
        <x:v>65.5</x:v>
      </x:c>
      <x:c r="H1431" s="14" t="n">
        <x:v>11043</x:v>
      </x:c>
      <x:c r="I1431" s="15" t="str">
        <x:v>Точный счётчик метаданных видео</x:v>
      </x:c>
      <x:c r="J1431" s="14" t="n">
        <x:v>11000</x:v>
      </x:c>
      <x:c r="K1431" s="14" t="n">
        <x:v>4500</x:v>
      </x:c>
      <x:c r="L1431" s="12" t="n">
        <x:f>IF(COUNT(J1431:K1431)=2,IF(K1431=0,"",J1431/K1431),"")</x:f>
        <x:v>2.4444444444444446</x:v>
      </x:c>
      <x:c r="M1431" s="10" t="str">
        <x:v>Тема / гость: "המפעיל הוא במאי" - מקסים בניסטי. Просмотры в списке выше медианы выборки этого цикла в 2.44 раза. Связь с уже выбранным владельцем источником. Длинные разговоры дают разные профессиональные и общественные биографии.</x:v>
      </x:c>
      <x:c r="N1431" s="10" t="str">
        <x:v>Выбрать 5–8 минут: тезис, аргумент, уточняющий вопрос. Проверить фактические утверждения.</x:v>
      </x:c>
      <x:c r="O1431" s="10" t="str">
        <x:v>Авторская политическая перспектива; не выдавать за нейтральный обзор</x:v>
      </x:c>
      <x:c r="P1431" s="10" t="str">
        <x:v>Длинное интервью</x:v>
      </x:c>
      <x:c r="Q1431" s="9" t="str">
        <x:v>Нет</x:v>
      </x:c>
      <x:c r="R1431" s="9" t="str">
        <x:v>C086</x:v>
      </x:c>
      <x:c r="S1431" s="9" t="str">
        <x:v>C086</x:v>
      </x:c>
      <x:c r="T1431" s="10" t="str">
        <x:v>פרויקט 001</x:v>
      </x:c>
      <x:c r="U1431" s="11" t="str">
        <x:v>https://www.youtube.com/watch?v=kKUpPYNqPBQ</x:v>
      </x:c>
      <x:c r="V1431" s="16" t="n">
        <x:v>46308</x:v>
      </x:c>
      <x:c r="W1431" s="16" t="n">
        <x:v>46196</x:v>
      </x:c>
      <x:c r="X1431" s="10" t="str">
        <x:v>Иврит предполагается по заголовку и источнику</x:v>
      </x:c>
      <x:c r="Y1431" s="10" t="str">
        <x:v>Автоматическая дорожка HE по метаданным</x:v>
      </x:c>
      <x:c r="Z1431" s="10" t="str">
        <x:v>Разрешено по метаданным</x:v>
      </x:c>
      <x:c r="AA1431" s="10" t="str">
        <x:v>Метаданные видео; воспроизведение и содержание не проверены</x:v>
      </x:c>
      <x:c r="AB1431" s="13" t="n">
        <x:f>IF(AND(ISNUMBER(H1431),ISNUMBER(W1431)),H1431/MAX(1,'Обзор'!$B$4-W1431),"")</x:f>
        <x:v>98.59821428571429</x:v>
      </x:c>
      <x:c r="AC1431" s="17" t="str">
        <x:v>Не решено</x:v>
      </x:c>
      <x:c r="AD1431" s="17" t="str">
        <x:v>Не проверено</x:v>
      </x:c>
      <x:c r="AE1431" s="17" t="str">
        <x:v>Не проверено</x:v>
      </x:c>
      <x:c r="AF1431" s="17" t="str">
        <x:v>Не проверено</x:v>
      </x:c>
      <x:c r="AG1431" s="17" t="str">
        <x:v>Не решено</x:v>
      </x:c>
      <x:c r="AH1431" s="17" t="str">
        <x:v>Не проверено</x:v>
      </x:c>
      <x:c r="AI1431" s="10" t="str">
        <x:f>IF(AC1431="Отклонить","Отклонено",IF(AND(AC1431="Взять",COUNTIFS(AD1431:AH1431,"Да")=5),"Готово","Нужна редактура"))</x:f>
        <x:v>Нужна редактура</x:v>
      </x:c>
      <x:c r="AJ1431" s="17" t="str"/>
      <x:c r="AK1431" s="9" t="str">
        <x:v>https://www.youtube.com/@001_il/videos</x:v>
      </x:c>
      <x:c r="AL1431" s="9" t="n">
        <x:v>15</x:v>
      </x:c>
      <x:c r="AM1431" s="9"/>
      <x:c r="AN1431" s="9" t="n">
        <x:v>0</x:v>
      </x:c>
    </x:row>
    <x:row r="1432" ht="60" customHeight="1">
      <x:c r="A1432" s="9" t="str">
        <x:v>RTjrmfCcu3Q</x:v>
      </x:c>
      <x:c r="B1432" s="10" t="str">
        <x:v>הצומת | אסטרטגיית הפרוקסי של טורקיה ומה שישראל מפספסת - דין שמואל אלמס</x:v>
      </x:c>
      <x:c r="C1432" s="10" t="str">
        <x:v>Люди и общественные идеи</x:v>
      </x:c>
      <x:c r="D1432" s="9" t="str">
        <x:v>Интервью</x:v>
      </x:c>
      <x:c r="E1432" s="10" t="str">
        <x:v>Интервью; общество; продвинутые</x:v>
      </x:c>
      <x:c r="F1432" s="10" t="str">
        <x:v>B2–C1 (гипотеза)</x:v>
      </x:c>
      <x:c r="G1432" s="12" t="n">
        <x:v>57.4</x:v>
      </x:c>
      <x:c r="H1432" s="14" t="n">
        <x:v>2400</x:v>
      </x:c>
      <x:c r="I1432" s="15" t="str">
        <x:v>Округлённый счётчик в списке YouTube</x:v>
      </x:c>
      <x:c r="J1432" s="14" t="n">
        <x:v>2400</x:v>
      </x:c>
      <x:c r="K1432" s="14" t="n">
        <x:v>4500</x:v>
      </x:c>
      <x:c r="L1432" s="12" t="n">
        <x:f>IF(COUNT(J1432:K1432)=2,IF(K1432=0,"",J1432/K1432),"")</x:f>
        <x:v>0.5333333333333333</x:v>
      </x:c>
      <x:c r="M1432" s="10" t="str">
        <x:v>Тема / гость: אסטרטגיית הפרוקסי של טורקיה ומה שישראל מפספסת - דין שמואל אלמס. Связь с уже выбранным владельцем источником. Длинные разговоры дают разные профессиональные и общественные биографии.</x:v>
      </x:c>
      <x:c r="N1432" s="10" t="str">
        <x:v>Выбрать 5–8 минут: тезис, аргумент, уточняющий вопрос. Проверить фактические утверждения.</x:v>
      </x:c>
      <x:c r="O1432" s="10" t="str">
        <x:v>Авторская политическая перспектива; не выдавать за нейтральный обзор</x:v>
      </x:c>
      <x:c r="P1432" s="10" t="str">
        <x:v>Длинное интервью</x:v>
      </x:c>
      <x:c r="Q1432" s="9" t="str">
        <x:v>Нет</x:v>
      </x:c>
      <x:c r="R1432" s="9" t="str">
        <x:v>C086</x:v>
      </x:c>
      <x:c r="S1432" s="9" t="str">
        <x:v>C086</x:v>
      </x:c>
      <x:c r="T1432" s="10" t="str">
        <x:v>פרויקט 001</x:v>
      </x:c>
      <x:c r="U1432" s="11" t="str">
        <x:v>https://www.youtube.com/watch?v=RTjrmfCcu3Q</x:v>
      </x:c>
      <x:c r="V1432" s="16" t="n">
        <x:v>46308</x:v>
      </x:c>
      <x:c r="W1432" s="16"/>
      <x:c r="X1432" s="10" t="str">
        <x:v>Иврит предполагается по заголовку и источнику</x:v>
      </x:c>
      <x:c r="Y1432" s="10" t="str">
        <x:v>Не проверено</x:v>
      </x:c>
      <x:c r="Z1432" s="10" t="str">
        <x:v>Не проверено</x:v>
      </x:c>
      <x:c r="AA1432" s="10" t="str">
        <x:v>Метаданные списка; видео не просмотрено</x:v>
      </x:c>
      <x:c r="AB1432" s="13" t="str">
        <x:f>IF(AND(ISNUMBER(H1432),ISNUMBER(W1432)),H1432/MAX(1,'Обзор'!$B$4-W1432),"")</x:f>
      </x:c>
      <x:c r="AC1432" s="17" t="str">
        <x:v>Не решено</x:v>
      </x:c>
      <x:c r="AD1432" s="17" t="str">
        <x:v>Не проверено</x:v>
      </x:c>
      <x:c r="AE1432" s="17" t="str">
        <x:v>Не проверено</x:v>
      </x:c>
      <x:c r="AF1432" s="17" t="str">
        <x:v>Не проверено</x:v>
      </x:c>
      <x:c r="AG1432" s="17" t="str">
        <x:v>Не решено</x:v>
      </x:c>
      <x:c r="AH1432" s="17" t="str">
        <x:v>Не проверено</x:v>
      </x:c>
      <x:c r="AI1432" s="10" t="str">
        <x:f>IF(AC1432="Отклонить","Отклонено",IF(AND(AC1432="Взять",COUNTIFS(AD1432:AH1432,"Да")=5),"Готово","Нужна редактура"))</x:f>
        <x:v>Нужна редактура</x:v>
      </x:c>
      <x:c r="AJ1432" s="17" t="str"/>
      <x:c r="AK1432" s="9" t="str">
        <x:v>https://www.youtube.com/@001_il/videos</x:v>
      </x:c>
      <x:c r="AL1432" s="9" t="n">
        <x:v>17</x:v>
      </x:c>
      <x:c r="AM1432" s="9"/>
      <x:c r="AN1432" s="9"/>
    </x:row>
    <x:row r="1433" ht="60" customHeight="1">
      <x:c r="A1433" s="9" t="str">
        <x:v>aQWVdJ1HcBY</x:v>
      </x:c>
      <x:c r="B1433" s="10" t="str">
        <x:v>הצומת | הסקיל-סט שמאפשר ללוחם חשאי להיטמע מבלי להיחשף - ״רמי״</x:v>
      </x:c>
      <x:c r="C1433" s="10" t="str">
        <x:v>Люди и общественные идеи</x:v>
      </x:c>
      <x:c r="D1433" s="9" t="str">
        <x:v>Интервью</x:v>
      </x:c>
      <x:c r="E1433" s="10" t="str">
        <x:v>Интервью; общество; продвинутые</x:v>
      </x:c>
      <x:c r="F1433" s="10" t="str">
        <x:v>B2–C1 (гипотеза)</x:v>
      </x:c>
      <x:c r="G1433" s="12" t="n">
        <x:v>57.3</x:v>
      </x:c>
      <x:c r="H1433" s="14" t="n">
        <x:v>9183</x:v>
      </x:c>
      <x:c r="I1433" s="15" t="str">
        <x:v>Точный счётчик метаданных видео</x:v>
      </x:c>
      <x:c r="J1433" s="14" t="n">
        <x:v>9100</x:v>
      </x:c>
      <x:c r="K1433" s="14" t="n">
        <x:v>4500</x:v>
      </x:c>
      <x:c r="L1433" s="12" t="n">
        <x:f>IF(COUNT(J1433:K1433)=2,IF(K1433=0,"",J1433/K1433),"")</x:f>
        <x:v>2.022222222222222</x:v>
      </x:c>
      <x:c r="M1433" s="10" t="str">
        <x:v>Тема / гость: הסקיל-סט שמאפשר ללוחם חשאי להיטמע מבלי להיחשף - ״רמי״. Просмотры в списке выше медианы выборки этого цикла в 2.02 раза. Связь с уже выбранным владельцем источником. Длинные разговоры дают разные профессиональные и общественные биографии.</x:v>
      </x:c>
      <x:c r="N1433" s="10" t="str">
        <x:v>Выбрать 5–8 минут: тезис, аргумент, уточняющий вопрос. Проверить фактические утверждения.</x:v>
      </x:c>
      <x:c r="O1433" s="10" t="str">
        <x:v>Авторская политическая перспектива; не выдавать за нейтральный обзор</x:v>
      </x:c>
      <x:c r="P1433" s="10" t="str">
        <x:v>Длинное интервью</x:v>
      </x:c>
      <x:c r="Q1433" s="9" t="str">
        <x:v>Нет</x:v>
      </x:c>
      <x:c r="R1433" s="9" t="str">
        <x:v>C086</x:v>
      </x:c>
      <x:c r="S1433" s="9" t="str">
        <x:v>C086</x:v>
      </x:c>
      <x:c r="T1433" s="10" t="str">
        <x:v>פרויקט 001</x:v>
      </x:c>
      <x:c r="U1433" s="11" t="str">
        <x:v>https://www.youtube.com/watch?v=aQWVdJ1HcBY</x:v>
      </x:c>
      <x:c r="V1433" s="16" t="n">
        <x:v>46308</x:v>
      </x:c>
      <x:c r="W1433" s="16" t="n">
        <x:v>46154</x:v>
      </x:c>
      <x:c r="X1433" s="10" t="str">
        <x:v>Иврит предполагается по заголовку и источнику</x:v>
      </x:c>
      <x:c r="Y1433" s="10" t="str">
        <x:v>Автоматическая дорожка HE по метаданным</x:v>
      </x:c>
      <x:c r="Z1433" s="10" t="str">
        <x:v>Разрешено по метаданным</x:v>
      </x:c>
      <x:c r="AA1433" s="10" t="str">
        <x:v>Метаданные видео; воспроизведение и содержание не проверены</x:v>
      </x:c>
      <x:c r="AB1433" s="13" t="n">
        <x:f>IF(AND(ISNUMBER(H1433),ISNUMBER(W1433)),H1433/MAX(1,'Обзор'!$B$4-W1433),"")</x:f>
        <x:v>59.62987012987013</x:v>
      </x:c>
      <x:c r="AC1433" s="17" t="str">
        <x:v>Не решено</x:v>
      </x:c>
      <x:c r="AD1433" s="17" t="str">
        <x:v>Не проверено</x:v>
      </x:c>
      <x:c r="AE1433" s="17" t="str">
        <x:v>Не проверено</x:v>
      </x:c>
      <x:c r="AF1433" s="17" t="str">
        <x:v>Не проверено</x:v>
      </x:c>
      <x:c r="AG1433" s="17" t="str">
        <x:v>Не решено</x:v>
      </x:c>
      <x:c r="AH1433" s="17" t="str">
        <x:v>Не проверено</x:v>
      </x:c>
      <x:c r="AI1433" s="10" t="str">
        <x:f>IF(AC1433="Отклонить","Отклонено",IF(AND(AC1433="Взять",COUNTIFS(AD1433:AH1433,"Да")=5),"Готово","Нужна редактура"))</x:f>
        <x:v>Нужна редактура</x:v>
      </x:c>
      <x:c r="AJ1433" s="17" t="str"/>
      <x:c r="AK1433" s="9" t="str">
        <x:v>https://www.youtube.com/@001_il/videos</x:v>
      </x:c>
      <x:c r="AL1433" s="9" t="n">
        <x:v>18</x:v>
      </x:c>
      <x:c r="AM1433" s="9"/>
      <x:c r="AN1433" s="9" t="n">
        <x:v>0</x:v>
      </x:c>
    </x:row>
    <x:row r="1434" ht="60" customHeight="1">
      <x:c r="A1434" s="9" t="str">
        <x:v>BeBNJj0HF_c</x:v>
      </x:c>
      <x:c r="B1434" s="10" t="str">
        <x:v>הצומת | יומינט ואוסינט: ארגז הכלים של היזם החדש - הודיה בן חמו</x:v>
      </x:c>
      <x:c r="C1434" s="10" t="str">
        <x:v>Люди и общественные идеи</x:v>
      </x:c>
      <x:c r="D1434" s="9" t="str">
        <x:v>Интервью</x:v>
      </x:c>
      <x:c r="E1434" s="10" t="str">
        <x:v>Интервью; общество; продвинутые</x:v>
      </x:c>
      <x:c r="F1434" s="10" t="str">
        <x:v>B2–C1 (гипотеза)</x:v>
      </x:c>
      <x:c r="G1434" s="12" t="n">
        <x:v>57.9</x:v>
      </x:c>
      <x:c r="H1434" s="14" t="n">
        <x:v>1300</x:v>
      </x:c>
      <x:c r="I1434" s="15" t="str">
        <x:v>Округлённый счётчик в списке YouTube</x:v>
      </x:c>
      <x:c r="J1434" s="14" t="n">
        <x:v>1300</x:v>
      </x:c>
      <x:c r="K1434" s="14" t="n">
        <x:v>4500</x:v>
      </x:c>
      <x:c r="L1434" s="12" t="n">
        <x:f>IF(COUNT(J1434:K1434)=2,IF(K1434=0,"",J1434/K1434),"")</x:f>
        <x:v>0.28888888888888886</x:v>
      </x:c>
      <x:c r="M1434" s="10" t="str">
        <x:v>Тема / гость: יומינט ואוסינט: ארגז הכלים של היזם החדש - הודיה בן חמו. Просмотры ниже медианы цикла; выбирать за нишевую ценность, а не за массовый охват. Связь с уже выбранным владельцем источником. Длинные разговоры дают разные профессиональные и общественные биографии.</x:v>
      </x:c>
      <x:c r="N1434" s="10" t="str">
        <x:v>Выбрать 5–8 минут: тезис, аргумент, уточняющий вопрос. Проверить фактические утверждения.</x:v>
      </x:c>
      <x:c r="O1434" s="10" t="str">
        <x:v>Авторская политическая перспектива; не выдавать за нейтральный обзор</x:v>
      </x:c>
      <x:c r="P1434" s="10" t="str">
        <x:v>Длинное интервью</x:v>
      </x:c>
      <x:c r="Q1434" s="9" t="str">
        <x:v>Нет</x:v>
      </x:c>
      <x:c r="R1434" s="9" t="str">
        <x:v>C086</x:v>
      </x:c>
      <x:c r="S1434" s="9" t="str">
        <x:v>C086</x:v>
      </x:c>
      <x:c r="T1434" s="10" t="str">
        <x:v>פרויקט 001</x:v>
      </x:c>
      <x:c r="U1434" s="11" t="str">
        <x:v>https://www.youtube.com/watch?v=BeBNJj0HF_c</x:v>
      </x:c>
      <x:c r="V1434" s="16" t="n">
        <x:v>46308</x:v>
      </x:c>
      <x:c r="W1434" s="16"/>
      <x:c r="X1434" s="10" t="str">
        <x:v>Иврит предполагается по заголовку и источнику</x:v>
      </x:c>
      <x:c r="Y1434" s="10" t="str">
        <x:v>Не проверено</x:v>
      </x:c>
      <x:c r="Z1434" s="10" t="str">
        <x:v>Не проверено</x:v>
      </x:c>
      <x:c r="AA1434" s="10" t="str">
        <x:v>Метаданные списка; видео не просмотрено</x:v>
      </x:c>
      <x:c r="AB1434" s="13" t="str">
        <x:f>IF(AND(ISNUMBER(H1434),ISNUMBER(W1434)),H1434/MAX(1,'Обзор'!$B$4-W1434),"")</x:f>
      </x:c>
      <x:c r="AC1434" s="17" t="str">
        <x:v>Не решено</x:v>
      </x:c>
      <x:c r="AD1434" s="17" t="str">
        <x:v>Не проверено</x:v>
      </x:c>
      <x:c r="AE1434" s="17" t="str">
        <x:v>Не проверено</x:v>
      </x:c>
      <x:c r="AF1434" s="17" t="str">
        <x:v>Не проверено</x:v>
      </x:c>
      <x:c r="AG1434" s="17" t="str">
        <x:v>Не решено</x:v>
      </x:c>
      <x:c r="AH1434" s="17" t="str">
        <x:v>Не проверено</x:v>
      </x:c>
      <x:c r="AI1434" s="10" t="str">
        <x:f>IF(AC1434="Отклонить","Отклонено",IF(AND(AC1434="Взять",COUNTIFS(AD1434:AH1434,"Да")=5),"Готово","Нужна редактура"))</x:f>
        <x:v>Нужна редактура</x:v>
      </x:c>
      <x:c r="AJ1434" s="17" t="str"/>
      <x:c r="AK1434" s="9" t="str">
        <x:v>https://www.youtube.com/@001_il/videos</x:v>
      </x:c>
      <x:c r="AL1434" s="9" t="n">
        <x:v>19</x:v>
      </x:c>
      <x:c r="AM1434" s="9"/>
      <x:c r="AN1434" s="9"/>
    </x:row>
    <x:row r="1435" ht="60" customHeight="1">
      <x:c r="A1435" s="9" t="str">
        <x:v>WF4rzo3Vw1s</x:v>
      </x:c>
      <x:c r="B1435" s="10" t="str">
        <x:v>הצומת | מהוואי לסיירת וליהדות: מסעו של לוחם הגרילה שהפך למאמן של היחידות המיוחדות - נדב צדוק יאיר</x:v>
      </x:c>
      <x:c r="C1435" s="10" t="str">
        <x:v>Люди и общественные идеи</x:v>
      </x:c>
      <x:c r="D1435" s="9" t="str">
        <x:v>Интервью</x:v>
      </x:c>
      <x:c r="E1435" s="10" t="str">
        <x:v>Интервью; общество; продвинутые</x:v>
      </x:c>
      <x:c r="F1435" s="10" t="str">
        <x:v>B2–C1 (гипотеза)</x:v>
      </x:c>
      <x:c r="G1435" s="12" t="n">
        <x:v>63.4</x:v>
      </x:c>
      <x:c r="H1435" s="14" t="n">
        <x:v>5090</x:v>
      </x:c>
      <x:c r="I1435" s="15" t="str">
        <x:v>Точный счётчик метаданных видео</x:v>
      </x:c>
      <x:c r="J1435" s="14" t="n">
        <x:v>5000</x:v>
      </x:c>
      <x:c r="K1435" s="14" t="n">
        <x:v>4500</x:v>
      </x:c>
      <x:c r="L1435" s="12" t="n">
        <x:f>IF(COUNT(J1435:K1435)=2,IF(K1435=0,"",J1435/K1435),"")</x:f>
        <x:v>1.1111111111111112</x:v>
      </x:c>
      <x:c r="M1435" s="10" t="str">
        <x:v>Тема / гость: מהוואי לסיירת וליהדות: מסעו של לוחם הגרילה שהפך למאמן של היחידות המיוחדות - נדב צדוק יאיר. Связь с уже выбранным владельцем источником. Длинные разговоры дают разные профессиональные и общественные биографии.</x:v>
      </x:c>
      <x:c r="N1435" s="10" t="str">
        <x:v>Выбрать 5–8 минут: тезис, аргумент, уточняющий вопрос. Проверить фактические утверждения.</x:v>
      </x:c>
      <x:c r="O1435" s="10" t="str">
        <x:v>Авторская политическая перспектива; не выдавать за нейтральный обзор</x:v>
      </x:c>
      <x:c r="P1435" s="10" t="str">
        <x:v>Длинное интервью</x:v>
      </x:c>
      <x:c r="Q1435" s="9" t="str">
        <x:v>Нет</x:v>
      </x:c>
      <x:c r="R1435" s="9" t="str">
        <x:v>C086</x:v>
      </x:c>
      <x:c r="S1435" s="9" t="str">
        <x:v>C086</x:v>
      </x:c>
      <x:c r="T1435" s="10" t="str">
        <x:v>פרויקט 001</x:v>
      </x:c>
      <x:c r="U1435" s="11" t="str">
        <x:v>https://www.youtube.com/watch?v=WF4rzo3Vw1s</x:v>
      </x:c>
      <x:c r="V1435" s="16" t="n">
        <x:v>46308</x:v>
      </x:c>
      <x:c r="W1435" s="16" t="n">
        <x:v>46119</x:v>
      </x:c>
      <x:c r="X1435" s="10" t="str">
        <x:v>Иврит предполагается по заголовку и источнику</x:v>
      </x:c>
      <x:c r="Y1435" s="10" t="str">
        <x:v>Автоматическая дорожка HE по метаданным</x:v>
      </x:c>
      <x:c r="Z1435" s="10" t="str">
        <x:v>Разрешено по метаданным</x:v>
      </x:c>
      <x:c r="AA1435" s="10" t="str">
        <x:v>Метаданные видео; воспроизведение и содержание не проверены</x:v>
      </x:c>
      <x:c r="AB1435" s="13" t="n">
        <x:f>IF(AND(ISNUMBER(H1435),ISNUMBER(W1435)),H1435/MAX(1,'Обзор'!$B$4-W1435),"")</x:f>
        <x:v>26.93121693121693</x:v>
      </x:c>
      <x:c r="AC1435" s="17" t="str">
        <x:v>Не решено</x:v>
      </x:c>
      <x:c r="AD1435" s="17" t="str">
        <x:v>Не проверено</x:v>
      </x:c>
      <x:c r="AE1435" s="17" t="str">
        <x:v>Не проверено</x:v>
      </x:c>
      <x:c r="AF1435" s="17" t="str">
        <x:v>Не проверено</x:v>
      </x:c>
      <x:c r="AG1435" s="17" t="str">
        <x:v>Не решено</x:v>
      </x:c>
      <x:c r="AH1435" s="17" t="str">
        <x:v>Не проверено</x:v>
      </x:c>
      <x:c r="AI1435" s="10" t="str">
        <x:f>IF(AC1435="Отклонить","Отклонено",IF(AND(AC1435="Взять",COUNTIFS(AD1435:AH1435,"Да")=5),"Готово","Нужна редактура"))</x:f>
        <x:v>Нужна редактура</x:v>
      </x:c>
      <x:c r="AJ1435" s="17" t="str"/>
      <x:c r="AK1435" s="9" t="str">
        <x:v>https://www.youtube.com/@001_il/videos</x:v>
      </x:c>
      <x:c r="AL1435" s="9" t="n">
        <x:v>20</x:v>
      </x:c>
      <x:c r="AM1435" s="9"/>
      <x:c r="AN1435" s="9" t="n">
        <x:v>0</x:v>
      </x:c>
    </x:row>
    <x:row r="1436" ht="60" customHeight="1">
      <x:c r="A1436" s="9" t="str">
        <x:v>orAE9p9GF4w</x:v>
      </x:c>
      <x:c r="B1436" s="10" t="str">
        <x:v>הצומת | מאחורי המצלמה: איך שולטים בתודעת הצופה? - גיל גולן</x:v>
      </x:c>
      <x:c r="C1436" s="10" t="str">
        <x:v>Люди и общественные идеи</x:v>
      </x:c>
      <x:c r="D1436" s="9" t="str">
        <x:v>Интервью</x:v>
      </x:c>
      <x:c r="E1436" s="10" t="str">
        <x:v>Интервью; общество; продвинутые</x:v>
      </x:c>
      <x:c r="F1436" s="10" t="str">
        <x:v>B2–C1 (гипотеза)</x:v>
      </x:c>
      <x:c r="G1436" s="12" t="n">
        <x:v>78.4</x:v>
      </x:c>
      <x:c r="H1436" s="14"/>
      <x:c r="I1436" s="15" t="str">
        <x:v>Округлённый счётчик в списке YouTube</x:v>
      </x:c>
      <x:c r="J1436" s="14"/>
      <x:c r="K1436" s="14" t="n">
        <x:v>4500</x:v>
      </x:c>
      <x:c r="L1436" s="12" t="str">
        <x:f>IF(COUNT(J1436:K1436)=2,IF(K1436=0,"",J1436/K1436),"")</x:f>
      </x:c>
      <x:c r="M1436" s="10" t="str">
        <x:v>Тема / гость: מאחורי המצלמה: איך שולטים בתודעת הצופה? - גיל גולן. Связь с уже выбранным владельцем источником. Длинные разговоры дают разные профессиональные и общественные биографии.</x:v>
      </x:c>
      <x:c r="N1436" s="10" t="str">
        <x:v>Выбрать 5–8 минут: тезис, аргумент, уточняющий вопрос. Проверить фактические утверждения.</x:v>
      </x:c>
      <x:c r="O1436" s="10" t="str">
        <x:v>Авторская политическая перспектива; не выдавать за нейтральный обзор</x:v>
      </x:c>
      <x:c r="P1436" s="10" t="str">
        <x:v>Длинное интервью</x:v>
      </x:c>
      <x:c r="Q1436" s="9" t="str">
        <x:v>Нет</x:v>
      </x:c>
      <x:c r="R1436" s="9" t="str">
        <x:v>C086</x:v>
      </x:c>
      <x:c r="S1436" s="9" t="str">
        <x:v>C086</x:v>
      </x:c>
      <x:c r="T1436" s="10" t="str">
        <x:v>פרויקט 001</x:v>
      </x:c>
      <x:c r="U1436" s="11" t="str">
        <x:v>https://www.youtube.com/watch?v=orAE9p9GF4w</x:v>
      </x:c>
      <x:c r="V1436" s="16" t="n">
        <x:v>46308</x:v>
      </x:c>
      <x:c r="W1436" s="16"/>
      <x:c r="X1436" s="10" t="str">
        <x:v>Иврит предполагается по заголовку и источнику</x:v>
      </x:c>
      <x:c r="Y1436" s="10" t="str">
        <x:v>Не проверено</x:v>
      </x:c>
      <x:c r="Z1436" s="10" t="str">
        <x:v>Не проверено</x:v>
      </x:c>
      <x:c r="AA1436" s="10" t="str">
        <x:v>Метаданные списка; видео не просмотрено</x:v>
      </x:c>
      <x:c r="AB1436" s="13" t="str">
        <x:f>IF(AND(ISNUMBER(H1436),ISNUMBER(W1436)),H1436/MAX(1,'Обзор'!$B$4-W1436),"")</x:f>
      </x:c>
      <x:c r="AC1436" s="17" t="str">
        <x:v>Не решено</x:v>
      </x:c>
      <x:c r="AD1436" s="17" t="str">
        <x:v>Не проверено</x:v>
      </x:c>
      <x:c r="AE1436" s="17" t="str">
        <x:v>Не проверено</x:v>
      </x:c>
      <x:c r="AF1436" s="17" t="str">
        <x:v>Не проверено</x:v>
      </x:c>
      <x:c r="AG1436" s="17" t="str">
        <x:v>Не решено</x:v>
      </x:c>
      <x:c r="AH1436" s="17" t="str">
        <x:v>Не проверено</x:v>
      </x:c>
      <x:c r="AI1436" s="10" t="str">
        <x:f>IF(AC1436="Отклонить","Отклонено",IF(AND(AC1436="Взять",COUNTIFS(AD1436:AH1436,"Да")=5),"Готово","Нужна редактура"))</x:f>
        <x:v>Нужна редактура</x:v>
      </x:c>
      <x:c r="AJ1436" s="17" t="str"/>
      <x:c r="AK1436" s="9" t="str">
        <x:v>https://www.youtube.com/@001_il/videos</x:v>
      </x:c>
      <x:c r="AL1436" s="9" t="n">
        <x:v>21</x:v>
      </x:c>
      <x:c r="AM1436" s="9"/>
      <x:c r="AN1436" s="9"/>
    </x:row>
    <x:row r="1437" ht="60" customHeight="1">
      <x:c r="A1437" s="9" t="str">
        <x:v>I6NVvTP5Oyg</x:v>
      </x:c>
      <x:c r="B1437" s="10" t="str">
        <x:v>הצומת | ממבצע מודיעיני לניהול עסק - עם יוצא סיירת מטכ״ל גיורא לוי</x:v>
      </x:c>
      <x:c r="C1437" s="10" t="str">
        <x:v>Люди и общественные идеи</x:v>
      </x:c>
      <x:c r="D1437" s="9" t="str">
        <x:v>Интервью</x:v>
      </x:c>
      <x:c r="E1437" s="10" t="str">
        <x:v>Интервью; общество; продвинутые</x:v>
      </x:c>
      <x:c r="F1437" s="10" t="str">
        <x:v>B2–C1 (гипотеза)</x:v>
      </x:c>
      <x:c r="G1437" s="12" t="n">
        <x:v>66.8</x:v>
      </x:c>
      <x:c r="H1437" s="14" t="n">
        <x:v>13856</x:v>
      </x:c>
      <x:c r="I1437" s="15" t="str">
        <x:v>Точный счётчик метаданных видео</x:v>
      </x:c>
      <x:c r="J1437" s="14" t="n">
        <x:v>13000</x:v>
      </x:c>
      <x:c r="K1437" s="14" t="n">
        <x:v>4500</x:v>
      </x:c>
      <x:c r="L1437" s="12" t="n">
        <x:f>IF(COUNT(J1437:K1437)=2,IF(K1437=0,"",J1437/K1437),"")</x:f>
        <x:v>2.888888888888889</x:v>
      </x:c>
      <x:c r="M1437" s="10" t="str">
        <x:v>Тема / гость: ממבצע מודיעיני לניהול עסק - עם יוצא סיירת מטכ״ל גיורא לוי. Просмотры в списке выше медианы выборки этого цикла в 2.89 раза. Связь с уже выбранным владельцем источником. Длинные разговоры дают разные профессиональные и общественные биографии.</x:v>
      </x:c>
      <x:c r="N1437" s="10" t="str">
        <x:v>Выбрать 5–8 минут: тезис, аргумент, уточняющий вопрос. Проверить фактические утверждения.</x:v>
      </x:c>
      <x:c r="O1437" s="10" t="str">
        <x:v>Авторская политическая перспектива; не выдавать за нейтральный обзор</x:v>
      </x:c>
      <x:c r="P1437" s="10" t="str">
        <x:v>Длинное интервью</x:v>
      </x:c>
      <x:c r="Q1437" s="9" t="str">
        <x:v>Нет</x:v>
      </x:c>
      <x:c r="R1437" s="9" t="str">
        <x:v>C086</x:v>
      </x:c>
      <x:c r="S1437" s="9" t="str">
        <x:v>C086</x:v>
      </x:c>
      <x:c r="T1437" s="10" t="str">
        <x:v>פרויקט 001</x:v>
      </x:c>
      <x:c r="U1437" s="11" t="str">
        <x:v>https://www.youtube.com/watch?v=I6NVvTP5Oyg</x:v>
      </x:c>
      <x:c r="V1437" s="16" t="n">
        <x:v>46308</x:v>
      </x:c>
      <x:c r="W1437" s="16" t="n">
        <x:v>46091</x:v>
      </x:c>
      <x:c r="X1437" s="10" t="str">
        <x:v>iw</x:v>
      </x:c>
      <x:c r="Y1437" s="10" t="str">
        <x:v>Автоматическая дорожка HE по метаданным</x:v>
      </x:c>
      <x:c r="Z1437" s="10" t="str">
        <x:v>Разрешено по метаданным</x:v>
      </x:c>
      <x:c r="AA1437" s="10" t="str">
        <x:v>Метаданные видео; воспроизведение и содержание не проверены</x:v>
      </x:c>
      <x:c r="AB1437" s="13" t="n">
        <x:f>IF(AND(ISNUMBER(H1437),ISNUMBER(W1437)),H1437/MAX(1,'Обзор'!$B$4-W1437),"")</x:f>
        <x:v>63.85253456221198</x:v>
      </x:c>
      <x:c r="AC1437" s="17" t="str">
        <x:v>Не решено</x:v>
      </x:c>
      <x:c r="AD1437" s="17" t="str">
        <x:v>Не проверено</x:v>
      </x:c>
      <x:c r="AE1437" s="17" t="str">
        <x:v>Не проверено</x:v>
      </x:c>
      <x:c r="AF1437" s="17" t="str">
        <x:v>Не проверено</x:v>
      </x:c>
      <x:c r="AG1437" s="17" t="str">
        <x:v>Не решено</x:v>
      </x:c>
      <x:c r="AH1437" s="17" t="str">
        <x:v>Не проверено</x:v>
      </x:c>
      <x:c r="AI1437" s="10" t="str">
        <x:f>IF(AC1437="Отклонить","Отклонено",IF(AND(AC1437="Взять",COUNTIFS(AD1437:AH1437,"Да")=5),"Готово","Нужна редактура"))</x:f>
        <x:v>Нужна редактура</x:v>
      </x:c>
      <x:c r="AJ1437" s="17" t="str"/>
      <x:c r="AK1437" s="9" t="str">
        <x:v>https://www.youtube.com/@001_il/videos</x:v>
      </x:c>
      <x:c r="AL1437" s="9" t="n">
        <x:v>23</x:v>
      </x:c>
      <x:c r="AM1437" s="9"/>
      <x:c r="AN1437" s="9" t="n">
        <x:v>0</x:v>
      </x:c>
    </x:row>
    <x:row r="1438" ht="60" customHeight="1">
      <x:c r="A1438" s="9" t="str">
        <x:v>vin549acCNY</x:v>
      </x:c>
      <x:c r="B1438" s="10" t="str">
        <x:v>הצומת | המטריקס של המדיה והאלגוריתם ששולט עלינו - גיל מרטנס</x:v>
      </x:c>
      <x:c r="C1438" s="10" t="str">
        <x:v>Люди и общественные идеи</x:v>
      </x:c>
      <x:c r="D1438" s="9" t="str">
        <x:v>Интервью</x:v>
      </x:c>
      <x:c r="E1438" s="10" t="str">
        <x:v>Интервью; общество; продвинутые</x:v>
      </x:c>
      <x:c r="F1438" s="10" t="str">
        <x:v>B2–C1 (гипотеза)</x:v>
      </x:c>
      <x:c r="G1438" s="12" t="n">
        <x:v>72.4</x:v>
      </x:c>
      <x:c r="H1438" s="14" t="n">
        <x:v>1500</x:v>
      </x:c>
      <x:c r="I1438" s="15" t="str">
        <x:v>Округлённый счётчик в списке YouTube</x:v>
      </x:c>
      <x:c r="J1438" s="14" t="n">
        <x:v>1500</x:v>
      </x:c>
      <x:c r="K1438" s="14" t="n">
        <x:v>4500</x:v>
      </x:c>
      <x:c r="L1438" s="12" t="n">
        <x:f>IF(COUNT(J1438:K1438)=2,IF(K1438=0,"",J1438/K1438),"")</x:f>
        <x:v>0.3333333333333333</x:v>
      </x:c>
      <x:c r="M1438" s="10" t="str">
        <x:v>Тема / гость: המטריקס של המדיה והאלגוריתם ששולט עלינו - גיל מרטנס. Просмотры ниже медианы цикла; выбирать за нишевую ценность, а не за массовый охват. Связь с уже выбранным владельцем источником. Длинные разговоры дают разные профессиональные и общественные биографии.</x:v>
      </x:c>
      <x:c r="N1438" s="10" t="str">
        <x:v>Выбрать 5–8 минут: тезис, аргумент, уточняющий вопрос. Проверить фактические утверждения.</x:v>
      </x:c>
      <x:c r="O1438" s="10" t="str">
        <x:v>Авторская политическая перспектива; не выдавать за нейтральный обзор</x:v>
      </x:c>
      <x:c r="P1438" s="10" t="str">
        <x:v>Длинное интервью</x:v>
      </x:c>
      <x:c r="Q1438" s="9" t="str">
        <x:v>Нет</x:v>
      </x:c>
      <x:c r="R1438" s="9" t="str">
        <x:v>C086</x:v>
      </x:c>
      <x:c r="S1438" s="9" t="str">
        <x:v>C086</x:v>
      </x:c>
      <x:c r="T1438" s="10" t="str">
        <x:v>פרויקט 001</x:v>
      </x:c>
      <x:c r="U1438" s="11" t="str">
        <x:v>https://www.youtube.com/watch?v=vin549acCNY</x:v>
      </x:c>
      <x:c r="V1438" s="16" t="n">
        <x:v>46308</x:v>
      </x:c>
      <x:c r="W1438" s="16"/>
      <x:c r="X1438" s="10" t="str">
        <x:v>Иврит предполагается по заголовку и источнику</x:v>
      </x:c>
      <x:c r="Y1438" s="10" t="str">
        <x:v>Не проверено</x:v>
      </x:c>
      <x:c r="Z1438" s="10" t="str">
        <x:v>Не проверено</x:v>
      </x:c>
      <x:c r="AA1438" s="10" t="str">
        <x:v>Метаданные списка; видео не просмотрено</x:v>
      </x:c>
      <x:c r="AB1438" s="13" t="str">
        <x:f>IF(AND(ISNUMBER(H1438),ISNUMBER(W1438)),H1438/MAX(1,'Обзор'!$B$4-W1438),"")</x:f>
      </x:c>
      <x:c r="AC1438" s="17" t="str">
        <x:v>Не решено</x:v>
      </x:c>
      <x:c r="AD1438" s="17" t="str">
        <x:v>Не проверено</x:v>
      </x:c>
      <x:c r="AE1438" s="17" t="str">
        <x:v>Не проверено</x:v>
      </x:c>
      <x:c r="AF1438" s="17" t="str">
        <x:v>Не проверено</x:v>
      </x:c>
      <x:c r="AG1438" s="17" t="str">
        <x:v>Не решено</x:v>
      </x:c>
      <x:c r="AH1438" s="17" t="str">
        <x:v>Не проверено</x:v>
      </x:c>
      <x:c r="AI1438" s="10" t="str">
        <x:f>IF(AC1438="Отклонить","Отклонено",IF(AND(AC1438="Взять",COUNTIFS(AD1438:AH1438,"Да")=5),"Готово","Нужна редактура"))</x:f>
        <x:v>Нужна редактура</x:v>
      </x:c>
      <x:c r="AJ1438" s="17" t="str"/>
      <x:c r="AK1438" s="9" t="str">
        <x:v>https://www.youtube.com/@001_il/videos</x:v>
      </x:c>
      <x:c r="AL1438" s="9" t="n">
        <x:v>25</x:v>
      </x:c>
      <x:c r="AM1438" s="9"/>
      <x:c r="AN1438" s="9"/>
    </x:row>
    <x:row r="1439" ht="60" customHeight="1">
      <x:c r="A1439" s="9" t="str">
        <x:v>4ToGRLfmps8</x:v>
      </x:c>
      <x:c r="B1439" s="10" t="str">
        <x:v>הצומת | מפקד 504 לשעבר מדבר - תא״ל במיל׳ גדי זוהר</x:v>
      </x:c>
      <x:c r="C1439" s="10" t="str">
        <x:v>Люди и общественные идеи</x:v>
      </x:c>
      <x:c r="D1439" s="9" t="str">
        <x:v>Интервью</x:v>
      </x:c>
      <x:c r="E1439" s="10" t="str">
        <x:v>Интервью; общество; продвинутые</x:v>
      </x:c>
      <x:c r="F1439" s="10" t="str">
        <x:v>B2–C1 (гипотеза)</x:v>
      </x:c>
      <x:c r="G1439" s="12" t="n">
        <x:v>76.6</x:v>
      </x:c>
      <x:c r="H1439" s="14" t="n">
        <x:v>7717</x:v>
      </x:c>
      <x:c r="I1439" s="15" t="str">
        <x:v>Точный счётчик метаданных видео</x:v>
      </x:c>
      <x:c r="J1439" s="14" t="n">
        <x:v>7700</x:v>
      </x:c>
      <x:c r="K1439" s="14" t="n">
        <x:v>4500</x:v>
      </x:c>
      <x:c r="L1439" s="12" t="n">
        <x:f>IF(COUNT(J1439:K1439)=2,IF(K1439=0,"",J1439/K1439),"")</x:f>
        <x:v>1.711111111111111</x:v>
      </x:c>
      <x:c r="M1439" s="10" t="str">
        <x:v>Тема / гость: מפקד 504 לשעבר מדבר - תא״ל במיל׳ גדי זוהר. Просмотры в списке выше медианы выборки этого цикла в 1.71 раза. Связь с уже выбранным владельцем источником. Длинные разговоры дают разные профессиональные и общественные биографии.</x:v>
      </x:c>
      <x:c r="N1439" s="10" t="str">
        <x:v>Выбрать 5–8 минут: тезис, аргумент, уточняющий вопрос. Проверить фактические утверждения.</x:v>
      </x:c>
      <x:c r="O1439" s="10" t="str">
        <x:v>Авторская политическая перспектива; не выдавать за нейтральный обзор</x:v>
      </x:c>
      <x:c r="P1439" s="10" t="str">
        <x:v>Длинное интервью</x:v>
      </x:c>
      <x:c r="Q1439" s="9" t="str">
        <x:v>Нет</x:v>
      </x:c>
      <x:c r="R1439" s="9" t="str">
        <x:v>C086</x:v>
      </x:c>
      <x:c r="S1439" s="9" t="str">
        <x:v>C086</x:v>
      </x:c>
      <x:c r="T1439" s="10" t="str">
        <x:v>פרויקט 001</x:v>
      </x:c>
      <x:c r="U1439" s="11" t="str">
        <x:v>https://www.youtube.com/watch?v=4ToGRLfmps8</x:v>
      </x:c>
      <x:c r="V1439" s="16" t="n">
        <x:v>46308</x:v>
      </x:c>
      <x:c r="W1439" s="16" t="n">
        <x:v>46049</x:v>
      </x:c>
      <x:c r="X1439" s="10" t="str">
        <x:v>iw</x:v>
      </x:c>
      <x:c r="Y1439" s="10" t="str">
        <x:v>Автоматическая дорожка HE по метаданным</x:v>
      </x:c>
      <x:c r="Z1439" s="10" t="str">
        <x:v>Разрешено по метаданным</x:v>
      </x:c>
      <x:c r="AA1439" s="10" t="str">
        <x:v>Метаданные видео; воспроизведение и содержание не проверены</x:v>
      </x:c>
      <x:c r="AB1439" s="13" t="n">
        <x:f>IF(AND(ISNUMBER(H1439),ISNUMBER(W1439)),H1439/MAX(1,'Обзор'!$B$4-W1439),"")</x:f>
        <x:v>29.795366795366796</x:v>
      </x:c>
      <x:c r="AC1439" s="17" t="str">
        <x:v>Не решено</x:v>
      </x:c>
      <x:c r="AD1439" s="17" t="str">
        <x:v>Не проверено</x:v>
      </x:c>
      <x:c r="AE1439" s="17" t="str">
        <x:v>Не проверено</x:v>
      </x:c>
      <x:c r="AF1439" s="17" t="str">
        <x:v>Не проверено</x:v>
      </x:c>
      <x:c r="AG1439" s="17" t="str">
        <x:v>Не решено</x:v>
      </x:c>
      <x:c r="AH1439" s="17" t="str">
        <x:v>Не проверено</x:v>
      </x:c>
      <x:c r="AI1439" s="10" t="str">
        <x:f>IF(AC1439="Отклонить","Отклонено",IF(AND(AC1439="Взять",COUNTIFS(AD1439:AH1439,"Да")=5),"Готово","Нужна редактура"))</x:f>
        <x:v>Нужна редактура</x:v>
      </x:c>
      <x:c r="AJ1439" s="17" t="str"/>
      <x:c r="AK1439" s="9" t="str">
        <x:v>https://www.youtube.com/@001_il/videos</x:v>
      </x:c>
      <x:c r="AL1439" s="9" t="n">
        <x:v>26</x:v>
      </x:c>
      <x:c r="AM1439" s="9"/>
      <x:c r="AN1439" s="9" t="n">
        <x:v>0</x:v>
      </x:c>
    </x:row>
    <x:row r="1440" ht="60" customHeight="1">
      <x:c r="A1440" s="9" t="str">
        <x:v>V2hPVipyWN0</x:v>
      </x:c>
      <x:c r="B1440" s="10" t="str">
        <x:v>הצומת | כשהכסף מדבר והערכים נעלמים - ד״ר מרדכי קידר (חלק ב׳)</x:v>
      </x:c>
      <x:c r="C1440" s="10" t="str">
        <x:v>Люди и общественные идеи</x:v>
      </x:c>
      <x:c r="D1440" s="9" t="str">
        <x:v>Интервью</x:v>
      </x:c>
      <x:c r="E1440" s="10" t="str">
        <x:v>Интервью; общество; продвинутые</x:v>
      </x:c>
      <x:c r="F1440" s="10" t="str">
        <x:v>B2–C1 (гипотеза)</x:v>
      </x:c>
      <x:c r="G1440" s="12" t="n">
        <x:v>61.1</x:v>
      </x:c>
      <x:c r="H1440" s="14" t="n">
        <x:v>3600</x:v>
      </x:c>
      <x:c r="I1440" s="15" t="str">
        <x:v>Округлённый счётчик в списке YouTube</x:v>
      </x:c>
      <x:c r="J1440" s="14" t="n">
        <x:v>3600</x:v>
      </x:c>
      <x:c r="K1440" s="14" t="n">
        <x:v>4500</x:v>
      </x:c>
      <x:c r="L1440" s="12" t="n">
        <x:f>IF(COUNT(J1440:K1440)=2,IF(K1440=0,"",J1440/K1440),"")</x:f>
        <x:v>0.8</x:v>
      </x:c>
      <x:c r="M1440" s="10" t="str">
        <x:v>Тема / гость: כשהכסף מדבר והערכים נעלמים - ד״ר מרדכי קידר (חלק ב׳). Связь с уже выбранным владельцем источником. Длинные разговоры дают разные профессиональные и общественные биографии.</x:v>
      </x:c>
      <x:c r="N1440" s="10" t="str">
        <x:v>Выбрать 5–8 минут: тезис, аргумент, уточняющий вопрос. Проверить фактические утверждения.</x:v>
      </x:c>
      <x:c r="O1440" s="10" t="str">
        <x:v>Авторская политическая перспектива; не выдавать за нейтральный обзор</x:v>
      </x:c>
      <x:c r="P1440" s="10" t="str">
        <x:v>Длинное интервью</x:v>
      </x:c>
      <x:c r="Q1440" s="9" t="str">
        <x:v>Да</x:v>
      </x:c>
      <x:c r="R1440" s="9" t="str">
        <x:v>C086</x:v>
      </x:c>
      <x:c r="S1440" s="9" t="str">
        <x:v>C086</x:v>
      </x:c>
      <x:c r="T1440" s="10" t="str">
        <x:v>פרויקט 001</x:v>
      </x:c>
      <x:c r="U1440" s="11" t="str">
        <x:v>https://www.youtube.com/watch?v=V2hPVipyWN0</x:v>
      </x:c>
      <x:c r="V1440" s="16" t="n">
        <x:v>46308</x:v>
      </x:c>
      <x:c r="W1440" s="16"/>
      <x:c r="X1440" s="10" t="str">
        <x:v>Иврит предполагается по заголовку и источнику</x:v>
      </x:c>
      <x:c r="Y1440" s="10" t="str">
        <x:v>Не проверено</x:v>
      </x:c>
      <x:c r="Z1440" s="10" t="str">
        <x:v>Не проверено</x:v>
      </x:c>
      <x:c r="AA1440" s="10" t="str">
        <x:v>Метаданные списка; видео не просмотрено</x:v>
      </x:c>
      <x:c r="AB1440" s="13" t="str">
        <x:f>IF(AND(ISNUMBER(H1440),ISNUMBER(W1440)),H1440/MAX(1,'Обзор'!$B$4-W1440),"")</x:f>
      </x:c>
      <x:c r="AC1440" s="17" t="str">
        <x:v>Не решено</x:v>
      </x:c>
      <x:c r="AD1440" s="17" t="str">
        <x:v>Не проверено</x:v>
      </x:c>
      <x:c r="AE1440" s="17" t="str">
        <x:v>Не проверено</x:v>
      </x:c>
      <x:c r="AF1440" s="17" t="str">
        <x:v>Не проверено</x:v>
      </x:c>
      <x:c r="AG1440" s="17" t="str">
        <x:v>Не решено</x:v>
      </x:c>
      <x:c r="AH1440" s="17" t="str">
        <x:v>Не проверено</x:v>
      </x:c>
      <x:c r="AI1440" s="10" t="str">
        <x:f>IF(AC1440="Отклонить","Отклонено",IF(AND(AC1440="Взять",COUNTIFS(AD1440:AH1440,"Да")=5),"Готово","Нужна редактура"))</x:f>
        <x:v>Нужна редактура</x:v>
      </x:c>
      <x:c r="AJ1440" s="17" t="str"/>
      <x:c r="AK1440" s="9" t="str">
        <x:v>https://www.youtube.com/@001_il/videos</x:v>
      </x:c>
      <x:c r="AL1440" s="9" t="n">
        <x:v>27</x:v>
      </x:c>
      <x:c r="AM1440" s="9"/>
      <x:c r="AN1440" s="9"/>
    </x:row>
    <x:row r="1441" ht="60" customHeight="1">
      <x:c r="A1441" s="9" t="str">
        <x:v>sxTdYARAfjo</x:v>
      </x:c>
      <x:c r="B1441" s="10" t="str">
        <x:v>הצומת | אלכס גרינברג #2 - איראן, טורקיה והזירות הבאות</x:v>
      </x:c>
      <x:c r="C1441" s="10" t="str">
        <x:v>Люди и общественные идеи</x:v>
      </x:c>
      <x:c r="D1441" s="9" t="str">
        <x:v>Интервью</x:v>
      </x:c>
      <x:c r="E1441" s="10" t="str">
        <x:v>Интервью; общество; продвинутые</x:v>
      </x:c>
      <x:c r="F1441" s="10" t="str">
        <x:v>B2–C1 (гипотеза)</x:v>
      </x:c>
      <x:c r="G1441" s="12" t="n">
        <x:v>81.3</x:v>
      </x:c>
      <x:c r="H1441" s="14" t="n">
        <x:v>2900</x:v>
      </x:c>
      <x:c r="I1441" s="15" t="str">
        <x:v>Округлённый счётчик в списке YouTube</x:v>
      </x:c>
      <x:c r="J1441" s="14" t="n">
        <x:v>2900</x:v>
      </x:c>
      <x:c r="K1441" s="14" t="n">
        <x:v>4500</x:v>
      </x:c>
      <x:c r="L1441" s="12" t="n">
        <x:f>IF(COUNT(J1441:K1441)=2,IF(K1441=0,"",J1441/K1441),"")</x:f>
        <x:v>0.6444444444444445</x:v>
      </x:c>
      <x:c r="M1441" s="10" t="str">
        <x:v>Тема / гость: אלכס גרינברג #2 - איראן, טורקיה והזירות הבאות. Связь с уже выбранным владельцем источником. Длинные разговоры дают разные профессиональные и общественные биографии.</x:v>
      </x:c>
      <x:c r="N1441" s="10" t="str">
        <x:v>Выбрать 5–8 минут: тезис, аргумент, уточняющий вопрос. Проверить фактические утверждения.</x:v>
      </x:c>
      <x:c r="O1441" s="10" t="str">
        <x:v>Авторская политическая перспектива; не выдавать за нейтральный обзор</x:v>
      </x:c>
      <x:c r="P1441" s="10" t="str">
        <x:v>Длинное интервью</x:v>
      </x:c>
      <x:c r="Q1441" s="9" t="str">
        <x:v>Нет</x:v>
      </x:c>
      <x:c r="R1441" s="9" t="str">
        <x:v>C086</x:v>
      </x:c>
      <x:c r="S1441" s="9" t="str">
        <x:v>C086</x:v>
      </x:c>
      <x:c r="T1441" s="10" t="str">
        <x:v>פרויקט 001</x:v>
      </x:c>
      <x:c r="U1441" s="11" t="str">
        <x:v>https://www.youtube.com/watch?v=sxTdYARAfjo</x:v>
      </x:c>
      <x:c r="V1441" s="16" t="n">
        <x:v>46308</x:v>
      </x:c>
      <x:c r="W1441" s="16"/>
      <x:c r="X1441" s="10" t="str">
        <x:v>Иврит предполагается по заголовку и источнику</x:v>
      </x:c>
      <x:c r="Y1441" s="10" t="str">
        <x:v>Не проверено</x:v>
      </x:c>
      <x:c r="Z1441" s="10" t="str">
        <x:v>Не проверено</x:v>
      </x:c>
      <x:c r="AA1441" s="10" t="str">
        <x:v>Метаданные списка; видео не просмотрено</x:v>
      </x:c>
      <x:c r="AB1441" s="13" t="str">
        <x:f>IF(AND(ISNUMBER(H1441),ISNUMBER(W1441)),H1441/MAX(1,'Обзор'!$B$4-W1441),"")</x:f>
      </x:c>
      <x:c r="AC1441" s="17" t="str">
        <x:v>Не решено</x:v>
      </x:c>
      <x:c r="AD1441" s="17" t="str">
        <x:v>Не проверено</x:v>
      </x:c>
      <x:c r="AE1441" s="17" t="str">
        <x:v>Не проверено</x:v>
      </x:c>
      <x:c r="AF1441" s="17" t="str">
        <x:v>Не проверено</x:v>
      </x:c>
      <x:c r="AG1441" s="17" t="str">
        <x:v>Не решено</x:v>
      </x:c>
      <x:c r="AH1441" s="17" t="str">
        <x:v>Не проверено</x:v>
      </x:c>
      <x:c r="AI1441" s="10" t="str">
        <x:f>IF(AC1441="Отклонить","Отклонено",IF(AND(AC1441="Взять",COUNTIFS(AD1441:AH1441,"Да")=5),"Готово","Нужна редактура"))</x:f>
        <x:v>Нужна редактура</x:v>
      </x:c>
      <x:c r="AJ1441" s="17" t="str"/>
      <x:c r="AK1441" s="9" t="str">
        <x:v>https://www.youtube.com/@001_il/videos</x:v>
      </x:c>
      <x:c r="AL1441" s="9" t="n">
        <x:v>29</x:v>
      </x:c>
      <x:c r="AM1441" s="9"/>
      <x:c r="AN1441" s="9"/>
    </x:row>
    <x:row r="1442" ht="60" customHeight="1">
      <x:c r="A1442" s="9" t="str">
        <x:v>qQfVfm8e3Qg</x:v>
      </x:c>
      <x:c r="B1442" s="10" t="str">
        <x:v>הצומת | אמת מהחזית - יצחק בריק על העתיד הביטחוני של ישראל</x:v>
      </x:c>
      <x:c r="C1442" s="10" t="str">
        <x:v>Люди и общественные идеи</x:v>
      </x:c>
      <x:c r="D1442" s="9" t="str">
        <x:v>Интервью</x:v>
      </x:c>
      <x:c r="E1442" s="10" t="str">
        <x:v>Интервью; общество; продвинутые</x:v>
      </x:c>
      <x:c r="F1442" s="10" t="str">
        <x:v>B2–C1 (гипотеза)</x:v>
      </x:c>
      <x:c r="G1442" s="12" t="n">
        <x:v>64.8</x:v>
      </x:c>
      <x:c r="H1442" s="14" t="n">
        <x:v>7926</x:v>
      </x:c>
      <x:c r="I1442" s="15" t="str">
        <x:v>Точный счётчик метаданных видео</x:v>
      </x:c>
      <x:c r="J1442" s="14" t="n">
        <x:v>7900</x:v>
      </x:c>
      <x:c r="K1442" s="14" t="n">
        <x:v>4500</x:v>
      </x:c>
      <x:c r="L1442" s="12" t="n">
        <x:f>IF(COUNT(J1442:K1442)=2,IF(K1442=0,"",J1442/K1442),"")</x:f>
        <x:v>1.7555555555555555</x:v>
      </x:c>
      <x:c r="M1442" s="10" t="str">
        <x:v>Тема / гость: אמת מהחזית - יצחק בריק על העתיד הביטחוני של ישראל. Просмотры в списке выше медианы выборки этого цикла в 1.76 раза. Связь с уже выбранным владельцем источником. Длинные разговоры дают разные профессиональные и общественные биографии.</x:v>
      </x:c>
      <x:c r="N1442" s="10" t="str">
        <x:v>Выбрать 5–8 минут: тезис, аргумент, уточняющий вопрос. Проверить фактические утверждения.</x:v>
      </x:c>
      <x:c r="O1442" s="10" t="str">
        <x:v>Авторская политическая перспектива; не выдавать за нейтральный обзор</x:v>
      </x:c>
      <x:c r="P1442" s="10" t="str">
        <x:v>Длинное интервью</x:v>
      </x:c>
      <x:c r="Q1442" s="9" t="str">
        <x:v>Нет</x:v>
      </x:c>
      <x:c r="R1442" s="9" t="str">
        <x:v>C086</x:v>
      </x:c>
      <x:c r="S1442" s="9" t="str">
        <x:v>C086</x:v>
      </x:c>
      <x:c r="T1442" s="10" t="str">
        <x:v>פרויקט 001</x:v>
      </x:c>
      <x:c r="U1442" s="11" t="str">
        <x:v>https://www.youtube.com/watch?v=qQfVfm8e3Qg</x:v>
      </x:c>
      <x:c r="V1442" s="16" t="n">
        <x:v>46308</x:v>
      </x:c>
      <x:c r="W1442" s="16" t="n">
        <x:v>45979</x:v>
      </x:c>
      <x:c r="X1442" s="10" t="str">
        <x:v>Иврит предполагается по заголовку и источнику</x:v>
      </x:c>
      <x:c r="Y1442" s="10" t="str">
        <x:v>Автоматическая дорожка HE по метаданным</x:v>
      </x:c>
      <x:c r="Z1442" s="10" t="str">
        <x:v>Разрешено по метаданным</x:v>
      </x:c>
      <x:c r="AA1442" s="10" t="str">
        <x:v>Метаданные видео; воспроизведение и содержание не проверены</x:v>
      </x:c>
      <x:c r="AB1442" s="13" t="n">
        <x:f>IF(AND(ISNUMBER(H1442),ISNUMBER(W1442)),H1442/MAX(1,'Обзор'!$B$4-W1442),"")</x:f>
        <x:v>24.091185410334347</x:v>
      </x:c>
      <x:c r="AC1442" s="17" t="str">
        <x:v>Не решено</x:v>
      </x:c>
      <x:c r="AD1442" s="17" t="str">
        <x:v>Не проверено</x:v>
      </x:c>
      <x:c r="AE1442" s="17" t="str">
        <x:v>Не проверено</x:v>
      </x:c>
      <x:c r="AF1442" s="17" t="str">
        <x:v>Не проверено</x:v>
      </x:c>
      <x:c r="AG1442" s="17" t="str">
        <x:v>Не решено</x:v>
      </x:c>
      <x:c r="AH1442" s="17" t="str">
        <x:v>Не проверено</x:v>
      </x:c>
      <x:c r="AI1442" s="10" t="str">
        <x:f>IF(AC1442="Отклонить","Отклонено",IF(AND(AC1442="Взять",COUNTIFS(AD1442:AH1442,"Да")=5),"Готово","Нужна редактура"))</x:f>
        <x:v>Нужна редактура</x:v>
      </x:c>
      <x:c r="AJ1442" s="17" t="str"/>
      <x:c r="AK1442" s="9" t="str">
        <x:v>https://www.youtube.com/@001_il/videos</x:v>
      </x:c>
      <x:c r="AL1442" s="9" t="n">
        <x:v>31</x:v>
      </x:c>
      <x:c r="AM1442" s="9"/>
      <x:c r="AN1442" s="9" t="n">
        <x:v>0</x:v>
      </x:c>
    </x:row>
    <x:row r="1443" ht="60" customHeight="1">
      <x:c r="A1443" s="9" t="str">
        <x:v>om-VXqzwSgA</x:v>
      </x:c>
      <x:c r="B1443" s="10" t="str">
        <x:v>הצומת | מאחורי ״אם תרצו״, OSINT ומאבק על תודעה: עם שי רוזנגרטן</x:v>
      </x:c>
      <x:c r="C1443" s="10" t="str">
        <x:v>Люди и общественные идеи</x:v>
      </x:c>
      <x:c r="D1443" s="9" t="str">
        <x:v>Интервью</x:v>
      </x:c>
      <x:c r="E1443" s="10" t="str">
        <x:v>Интервью; общество; продвинутые</x:v>
      </x:c>
      <x:c r="F1443" s="10" t="str">
        <x:v>B2–C1 (гипотеза)</x:v>
      </x:c>
      <x:c r="G1443" s="12" t="n">
        <x:v>62.1</x:v>
      </x:c>
      <x:c r="H1443" s="14" t="n">
        <x:v>1700</x:v>
      </x:c>
      <x:c r="I1443" s="15" t="str">
        <x:v>Округлённый счётчик в списке YouTube</x:v>
      </x:c>
      <x:c r="J1443" s="14" t="n">
        <x:v>1700</x:v>
      </x:c>
      <x:c r="K1443" s="14" t="n">
        <x:v>4500</x:v>
      </x:c>
      <x:c r="L1443" s="12" t="n">
        <x:f>IF(COUNT(J1443:K1443)=2,IF(K1443=0,"",J1443/K1443),"")</x:f>
        <x:v>0.37777777777777777</x:v>
      </x:c>
      <x:c r="M1443" s="10" t="str">
        <x:v>Тема / гость: מאחורי ״אם תרצו״, OSINT ומאבק על תודעה: עם שי רוזנגרטן. Просмотры ниже медианы цикла; выбирать за нишевую ценность, а не за массовый охват. Связь с уже выбранным владельцем источником. Длинные разговоры дают разные профессиональные и общественные биографии.</x:v>
      </x:c>
      <x:c r="N1443" s="10" t="str">
        <x:v>Выбрать 5–8 минут: тезис, аргумент, уточняющий вопрос. Проверить фактические утверждения.</x:v>
      </x:c>
      <x:c r="O1443" s="10" t="str">
        <x:v>Авторская политическая перспектива; не выдавать за нейтральный обзор</x:v>
      </x:c>
      <x:c r="P1443" s="10" t="str">
        <x:v>Длинное интервью</x:v>
      </x:c>
      <x:c r="Q1443" s="9" t="str">
        <x:v>Нет</x:v>
      </x:c>
      <x:c r="R1443" s="9" t="str">
        <x:v>C086</x:v>
      </x:c>
      <x:c r="S1443" s="9" t="str">
        <x:v>C086</x:v>
      </x:c>
      <x:c r="T1443" s="10" t="str">
        <x:v>פרויקט 001</x:v>
      </x:c>
      <x:c r="U1443" s="11" t="str">
        <x:v>https://www.youtube.com/watch?v=om-VXqzwSgA</x:v>
      </x:c>
      <x:c r="V1443" s="16" t="n">
        <x:v>46308</x:v>
      </x:c>
      <x:c r="W1443" s="16"/>
      <x:c r="X1443" s="10" t="str">
        <x:v>Иврит предполагается по заголовку и источнику</x:v>
      </x:c>
      <x:c r="Y1443" s="10" t="str">
        <x:v>Не проверено</x:v>
      </x:c>
      <x:c r="Z1443" s="10" t="str">
        <x:v>Не проверено</x:v>
      </x:c>
      <x:c r="AA1443" s="10" t="str">
        <x:v>Метаданные списка; видео не просмотрено</x:v>
      </x:c>
      <x:c r="AB1443" s="13" t="str">
        <x:f>IF(AND(ISNUMBER(H1443),ISNUMBER(W1443)),H1443/MAX(1,'Обзор'!$B$4-W1443),"")</x:f>
      </x:c>
      <x:c r="AC1443" s="17" t="str">
        <x:v>Не решено</x:v>
      </x:c>
      <x:c r="AD1443" s="17" t="str">
        <x:v>Не проверено</x:v>
      </x:c>
      <x:c r="AE1443" s="17" t="str">
        <x:v>Не проверено</x:v>
      </x:c>
      <x:c r="AF1443" s="17" t="str">
        <x:v>Не проверено</x:v>
      </x:c>
      <x:c r="AG1443" s="17" t="str">
        <x:v>Не решено</x:v>
      </x:c>
      <x:c r="AH1443" s="17" t="str">
        <x:v>Не проверено</x:v>
      </x:c>
      <x:c r="AI1443" s="10" t="str">
        <x:f>IF(AC1443="Отклонить","Отклонено",IF(AND(AC1443="Взять",COUNTIFS(AD1443:AH1443,"Да")=5),"Готово","Нужна редактура"))</x:f>
        <x:v>Нужна редактура</x:v>
      </x:c>
      <x:c r="AJ1443" s="17" t="str"/>
      <x:c r="AK1443" s="9" t="str">
        <x:v>https://www.youtube.com/@001_il/videos</x:v>
      </x:c>
      <x:c r="AL1443" s="9" t="n">
        <x:v>32</x:v>
      </x:c>
      <x:c r="AM1443" s="9"/>
      <x:c r="AN1443" s="9"/>
    </x:row>
    <x:row r="1444" ht="60" customHeight="1">
      <x:c r="A1444" s="9" t="str">
        <x:v>7DGT1v2iyOY</x:v>
      </x:c>
      <x:c r="B1444" s="10" t="str">
        <x:v>הצומת | המוסד כפי שלא הכרתם - שיחה עם אבנר אברהם</x:v>
      </x:c>
      <x:c r="C1444" s="10" t="str">
        <x:v>Люди и общественные идеи</x:v>
      </x:c>
      <x:c r="D1444" s="9" t="str">
        <x:v>Интервью</x:v>
      </x:c>
      <x:c r="E1444" s="10" t="str">
        <x:v>Интервью; общество; продвинутые</x:v>
      </x:c>
      <x:c r="F1444" s="10" t="str">
        <x:v>B2–C1 (гипотеза)</x:v>
      </x:c>
      <x:c r="G1444" s="12" t="n">
        <x:v>63.9</x:v>
      </x:c>
      <x:c r="H1444" s="14" t="n">
        <x:v>15909</x:v>
      </x:c>
      <x:c r="I1444" s="15" t="str">
        <x:v>Точный счётчик метаданных видео</x:v>
      </x:c>
      <x:c r="J1444" s="14" t="n">
        <x:v>15000</x:v>
      </x:c>
      <x:c r="K1444" s="14" t="n">
        <x:v>4500</x:v>
      </x:c>
      <x:c r="L1444" s="12" t="n">
        <x:f>IF(COUNT(J1444:K1444)=2,IF(K1444=0,"",J1444/K1444),"")</x:f>
        <x:v>3.3333333333333335</x:v>
      </x:c>
      <x:c r="M1444" s="10" t="str">
        <x:v>Тема / гость: המוסד כפי שלא הכרתם - שיחה עם אבנר אברהם. Просмотры в списке выше медианы выборки этого цикла в 3.33 раза. Связь с уже выбранным владельцем источником. Длинные разговоры дают разные профессиональные и общественные биографии.</x:v>
      </x:c>
      <x:c r="N1444" s="10" t="str">
        <x:v>Выбрать 5–8 минут: тезис, аргумент, уточняющий вопрос. Проверить фактические утверждения.</x:v>
      </x:c>
      <x:c r="O1444" s="10" t="str">
        <x:v>Авторская политическая перспектива; не выдавать за нейтральный обзор</x:v>
      </x:c>
      <x:c r="P1444" s="10" t="str">
        <x:v>Длинное интервью</x:v>
      </x:c>
      <x:c r="Q1444" s="9" t="str">
        <x:v>Нет</x:v>
      </x:c>
      <x:c r="R1444" s="9" t="str">
        <x:v>C086</x:v>
      </x:c>
      <x:c r="S1444" s="9" t="str">
        <x:v>C086</x:v>
      </x:c>
      <x:c r="T1444" s="10" t="str">
        <x:v>פרויקט 001</x:v>
      </x:c>
      <x:c r="U1444" s="11" t="str">
        <x:v>https://www.youtube.com/watch?v=7DGT1v2iyOY</x:v>
      </x:c>
      <x:c r="V1444" s="16" t="n">
        <x:v>46308</x:v>
      </x:c>
      <x:c r="W1444" s="16" t="n">
        <x:v>45909</x:v>
      </x:c>
      <x:c r="X1444" s="10" t="str">
        <x:v>iw</x:v>
      </x:c>
      <x:c r="Y1444" s="10" t="str">
        <x:v>Автоматическая дорожка HE по метаданным</x:v>
      </x:c>
      <x:c r="Z1444" s="10" t="str">
        <x:v>Разрешено по метаданным</x:v>
      </x:c>
      <x:c r="AA1444" s="10" t="str">
        <x:v>Метаданные видео; воспроизведение и содержание не проверены</x:v>
      </x:c>
      <x:c r="AB1444" s="13" t="n">
        <x:f>IF(AND(ISNUMBER(H1444),ISNUMBER(W1444)),H1444/MAX(1,'Обзор'!$B$4-W1444),"")</x:f>
        <x:v>39.87218045112782</x:v>
      </x:c>
      <x:c r="AC1444" s="17" t="str">
        <x:v>Не решено</x:v>
      </x:c>
      <x:c r="AD1444" s="17" t="str">
        <x:v>Не проверено</x:v>
      </x:c>
      <x:c r="AE1444" s="17" t="str">
        <x:v>Не проверено</x:v>
      </x:c>
      <x:c r="AF1444" s="17" t="str">
        <x:v>Не проверено</x:v>
      </x:c>
      <x:c r="AG1444" s="17" t="str">
        <x:v>Не решено</x:v>
      </x:c>
      <x:c r="AH1444" s="17" t="str">
        <x:v>Не проверено</x:v>
      </x:c>
      <x:c r="AI1444" s="10" t="str">
        <x:f>IF(AC1444="Отклонить","Отклонено",IF(AND(AC1444="Взять",COUNTIFS(AD1444:AH1444,"Да")=5),"Готово","Нужна редактура"))</x:f>
        <x:v>Нужна редактура</x:v>
      </x:c>
      <x:c r="AJ1444" s="17" t="str"/>
      <x:c r="AK1444" s="9" t="str">
        <x:v>https://www.youtube.com/@001_il/videos</x:v>
      </x:c>
      <x:c r="AL1444" s="9" t="n">
        <x:v>33</x:v>
      </x:c>
      <x:c r="AM1444" s="9"/>
      <x:c r="AN1444" s="9" t="n">
        <x:v>0</x:v>
      </x:c>
    </x:row>
    <x:row r="1445" ht="60" customHeight="1">
      <x:c r="A1445" s="9" t="str">
        <x:v>ezkHvBgEeZ0</x:v>
      </x:c>
      <x:c r="B1445" s="10" t="str">
        <x:v>מני אסייג: מי מייצג את הפריפריה, לזימי או אני? שומר סף 405</x:v>
      </x:c>
      <x:c r="C1445" s="10" t="str">
        <x:v>Общественная дискуссия</x:v>
      </x:c>
      <x:c r="D1445" s="9" t="str">
        <x:v>Интервью</x:v>
      </x:c>
      <x:c r="E1445" s="10" t="str">
        <x:v>Интервью; общество; продвинутые</x:v>
      </x:c>
      <x:c r="F1445" s="10" t="str">
        <x:v>B2–C1 (гипотеза)</x:v>
      </x:c>
      <x:c r="G1445" s="12" t="n">
        <x:v>34.1</x:v>
      </x:c>
      <x:c r="H1445" s="14" t="n">
        <x:v>820</x:v>
      </x:c>
      <x:c r="I1445" s="15" t="str">
        <x:v>Округлённый счётчик в списке YouTube</x:v>
      </x:c>
      <x:c r="J1445" s="14" t="n">
        <x:v>820</x:v>
      </x:c>
      <x:c r="K1445" s="14" t="n">
        <x:v>33000</x:v>
      </x:c>
      <x:c r="L1445" s="12" t="n">
        <x:f>IF(COUNT(J1445:K1445)=2,IF(K1445=0,"",J1445/K1445),"")</x:f>
        <x:v>0.02484848484848485</x:v>
      </x:c>
      <x:c r="M1445" s="10" t="str">
        <x:v>Тема / гость: מני אסייג: מי מייצג את הפריפריה, לזימי או אני? שומר סף 405. Просмотры ниже медианы цикла; выбирать за нишевую ценность, а не за массовый охват. Источник для аудитории общественных дебатов; полезен при явной атрибуции позиции ведущего и гостя.</x:v>
      </x:c>
      <x:c r="N1445" s="10" t="str">
        <x:v>Выбрать 5–8 минут: тезис, аргумент, уточняющий вопрос. Проверить фактические утверждения.</x:v>
      </x:c>
      <x:c r="O1445" s="10" t="str">
        <x:v>Авторская политическая перспектива; не выдавать за нейтральный обзор</x:v>
      </x:c>
      <x:c r="P1445" s="10" t="str">
        <x:v>Длинное интервью</x:v>
      </x:c>
      <x:c r="Q1445" s="9" t="str">
        <x:v>Нет</x:v>
      </x:c>
      <x:c r="R1445" s="9" t="str">
        <x:v>C087</x:v>
      </x:c>
      <x:c r="S1445" s="9" t="str">
        <x:v>C087</x:v>
      </x:c>
      <x:c r="T1445" s="10" t="str">
        <x:v>גדי טאוב: שומר סף</x:v>
      </x:c>
      <x:c r="U1445" s="11" t="str">
        <x:v>https://www.youtube.com/watch?v=ezkHvBgEeZ0</x:v>
      </x:c>
      <x:c r="V1445" s="16" t="n">
        <x:v>46308</x:v>
      </x:c>
      <x:c r="W1445" s="16"/>
      <x:c r="X1445" s="10" t="str">
        <x:v>Иврит предполагается по заголовку и источнику</x:v>
      </x:c>
      <x:c r="Y1445" s="10" t="str">
        <x:v>Не проверено</x:v>
      </x:c>
      <x:c r="Z1445" s="10" t="str">
        <x:v>Не проверено</x:v>
      </x:c>
      <x:c r="AA1445" s="10" t="str">
        <x:v>Метаданные списка; видео не просмотрено</x:v>
      </x:c>
      <x:c r="AB1445" s="13" t="str">
        <x:f>IF(AND(ISNUMBER(H1445),ISNUMBER(W1445)),H1445/MAX(1,'Обзор'!$B$4-W1445),"")</x:f>
      </x:c>
      <x:c r="AC1445" s="17" t="str">
        <x:v>Не решено</x:v>
      </x:c>
      <x:c r="AD1445" s="17" t="str">
        <x:v>Не проверено</x:v>
      </x:c>
      <x:c r="AE1445" s="17" t="str">
        <x:v>Не проверено</x:v>
      </x:c>
      <x:c r="AF1445" s="17" t="str">
        <x:v>Не проверено</x:v>
      </x:c>
      <x:c r="AG1445" s="17" t="str">
        <x:v>Не решено</x:v>
      </x:c>
      <x:c r="AH1445" s="17" t="str">
        <x:v>Не проверено</x:v>
      </x:c>
      <x:c r="AI1445" s="10" t="str">
        <x:f>IF(AC1445="Отклонить","Отклонено",IF(AND(AC1445="Взять",COUNTIFS(AD1445:AH1445,"Да")=5),"Готово","Нужна редактура"))</x:f>
        <x:v>Нужна редактура</x:v>
      </x:c>
      <x:c r="AJ1445" s="17" t="str"/>
      <x:c r="AK1445" s="9" t="str">
        <x:v>https://www.youtube.com/@Shomersaf/videos</x:v>
      </x:c>
      <x:c r="AL1445" s="9" t="n">
        <x:v>1</x:v>
      </x:c>
      <x:c r="AM1445" s="9"/>
      <x:c r="AN1445" s="9"/>
    </x:row>
    <x:row r="1446" ht="60" customHeight="1">
      <x:c r="A1446" s="9" t="str">
        <x:v>avtIEKzOKTo</x:v>
      </x:c>
      <x:c r="B1446" s="10" t="str">
        <x:v>ספר חדש מראה את הדרך מאוסלו ל-7 באוקטובר. שומר סף 404 עם אלחנן גרונר</x:v>
      </x:c>
      <x:c r="C1446" s="10" t="str">
        <x:v>Общественная дискуссия</x:v>
      </x:c>
      <x:c r="D1446" s="9" t="str">
        <x:v>Интервью</x:v>
      </x:c>
      <x:c r="E1446" s="10" t="str">
        <x:v>Интервью; общество; продвинутые</x:v>
      </x:c>
      <x:c r="F1446" s="10" t="str">
        <x:v>B2–C1 (гипотеза)</x:v>
      </x:c>
      <x:c r="G1446" s="12" t="n">
        <x:v>59.6</x:v>
      </x:c>
      <x:c r="H1446" s="14" t="n">
        <x:v>18000</x:v>
      </x:c>
      <x:c r="I1446" s="15" t="str">
        <x:v>Округлённый счётчик в списке YouTube</x:v>
      </x:c>
      <x:c r="J1446" s="14" t="n">
        <x:v>18000</x:v>
      </x:c>
      <x:c r="K1446" s="14" t="n">
        <x:v>33000</x:v>
      </x:c>
      <x:c r="L1446" s="12" t="n">
        <x:f>IF(COUNT(J1446:K1446)=2,IF(K1446=0,"",J1446/K1446),"")</x:f>
        <x:v>0.5454545454545454</x:v>
      </x:c>
      <x:c r="M1446" s="10" t="str">
        <x:v>Тема / гость: ספר חדש מראה את הדרך מאוסלו ל-7 באוקטובר. שומר סף 404 עם אלחנן גרונר. Источник для аудитории общественных дебатов; полезен при явной атрибуции позиции ведущего и гостя.</x:v>
      </x:c>
      <x:c r="N1446" s="10" t="str">
        <x:v>Выбрать 5–8 минут: тезис, аргумент, уточняющий вопрос. Проверить фактические утверждения.</x:v>
      </x:c>
      <x:c r="O1446" s="10" t="str">
        <x:v>Авторская политическая перспектива; не выдавать за нейтральный обзор</x:v>
      </x:c>
      <x:c r="P1446" s="10" t="str">
        <x:v>Длинное интервью</x:v>
      </x:c>
      <x:c r="Q1446" s="9" t="str">
        <x:v>Да</x:v>
      </x:c>
      <x:c r="R1446" s="9" t="str">
        <x:v>C087</x:v>
      </x:c>
      <x:c r="S1446" s="9" t="str">
        <x:v>C087</x:v>
      </x:c>
      <x:c r="T1446" s="10" t="str">
        <x:v>גדי טאוב: שומר סף</x:v>
      </x:c>
      <x:c r="U1446" s="11" t="str">
        <x:v>https://www.youtube.com/watch?v=avtIEKzOKTo</x:v>
      </x:c>
      <x:c r="V1446" s="16" t="n">
        <x:v>46308</x:v>
      </x:c>
      <x:c r="W1446" s="16"/>
      <x:c r="X1446" s="10" t="str">
        <x:v>Иврит предполагается по заголовку и источнику</x:v>
      </x:c>
      <x:c r="Y1446" s="10" t="str">
        <x:v>Не проверено</x:v>
      </x:c>
      <x:c r="Z1446" s="10" t="str">
        <x:v>Не проверено</x:v>
      </x:c>
      <x:c r="AA1446" s="10" t="str">
        <x:v>Метаданные списка; видео не просмотрено</x:v>
      </x:c>
      <x:c r="AB1446" s="13" t="str">
        <x:f>IF(AND(ISNUMBER(H1446),ISNUMBER(W1446)),H1446/MAX(1,'Обзор'!$B$4-W1446),"")</x:f>
      </x:c>
      <x:c r="AC1446" s="17" t="str">
        <x:v>Не решено</x:v>
      </x:c>
      <x:c r="AD1446" s="17" t="str">
        <x:v>Не проверено</x:v>
      </x:c>
      <x:c r="AE1446" s="17" t="str">
        <x:v>Не проверено</x:v>
      </x:c>
      <x:c r="AF1446" s="17" t="str">
        <x:v>Не проверено</x:v>
      </x:c>
      <x:c r="AG1446" s="17" t="str">
        <x:v>Не решено</x:v>
      </x:c>
      <x:c r="AH1446" s="17" t="str">
        <x:v>Не проверено</x:v>
      </x:c>
      <x:c r="AI1446" s="10" t="str">
        <x:f>IF(AC1446="Отклонить","Отклонено",IF(AND(AC1446="Взять",COUNTIFS(AD1446:AH1446,"Да")=5),"Готово","Нужна редактура"))</x:f>
        <x:v>Нужна редактура</x:v>
      </x:c>
      <x:c r="AJ1446" s="17" t="str"/>
      <x:c r="AK1446" s="9" t="str">
        <x:v>https://www.youtube.com/@Shomersaf/videos</x:v>
      </x:c>
      <x:c r="AL1446" s="9" t="n">
        <x:v>2</x:v>
      </x:c>
      <x:c r="AM1446" s="9"/>
      <x:c r="AN1446" s="9"/>
    </x:row>
    <x:row r="1447" ht="60" customHeight="1">
      <x:c r="A1447" s="9" t="str">
        <x:v>-3ZRF0XeT1I</x:v>
      </x:c>
      <x:c r="B1447" s="10" t="str">
        <x:v>טקסים של איחוד וטקסים של שיסוי. משמורת משותפת 49 עם עירית לינור וגדי טאוב</x:v>
      </x:c>
      <x:c r="C1447" s="10" t="str">
        <x:v>Общественная дискуссия</x:v>
      </x:c>
      <x:c r="D1447" s="9" t="str">
        <x:v>Интервью</x:v>
      </x:c>
      <x:c r="E1447" s="10" t="str">
        <x:v>Интервью; общество; продвинутые</x:v>
      </x:c>
      <x:c r="F1447" s="10" t="str">
        <x:v>B2–C1 (гипотеза)</x:v>
      </x:c>
      <x:c r="G1447" s="12" t="n">
        <x:v>54.3</x:v>
      </x:c>
      <x:c r="H1447" s="14" t="n">
        <x:v>21000</x:v>
      </x:c>
      <x:c r="I1447" s="15" t="str">
        <x:v>Округлённый счётчик в списке YouTube</x:v>
      </x:c>
      <x:c r="J1447" s="14" t="n">
        <x:v>21000</x:v>
      </x:c>
      <x:c r="K1447" s="14" t="n">
        <x:v>33000</x:v>
      </x:c>
      <x:c r="L1447" s="12" t="n">
        <x:f>IF(COUNT(J1447:K1447)=2,IF(K1447=0,"",J1447/K1447),"")</x:f>
        <x:v>0.6363636363636364</x:v>
      </x:c>
      <x:c r="M1447" s="10" t="str">
        <x:v>Тема / гость: טקסים של איחוד וטקסים של שיסוי. משמורת משותפת 49 עם עירית לינור וגדי טאוב. Источник для аудитории общественных дебатов; полезен при явной атрибуции позиции ведущего и гостя.</x:v>
      </x:c>
      <x:c r="N1447" s="10" t="str">
        <x:v>Выбрать 5–8 минут: тезис, аргумент, уточняющий вопрос. Проверить фактические утверждения.</x:v>
      </x:c>
      <x:c r="O1447" s="10" t="str">
        <x:v>Авторская политическая перспектива; не выдавать за нейтральный обзор</x:v>
      </x:c>
      <x:c r="P1447" s="10" t="str">
        <x:v>Длинное интервью</x:v>
      </x:c>
      <x:c r="Q1447" s="9" t="str">
        <x:v>Нет</x:v>
      </x:c>
      <x:c r="R1447" s="9" t="str">
        <x:v>C087</x:v>
      </x:c>
      <x:c r="S1447" s="9" t="str">
        <x:v>C087</x:v>
      </x:c>
      <x:c r="T1447" s="10" t="str">
        <x:v>גדי טאוב: שומר סף</x:v>
      </x:c>
      <x:c r="U1447" s="11" t="str">
        <x:v>https://www.youtube.com/watch?v=-3ZRF0XeT1I</x:v>
      </x:c>
      <x:c r="V1447" s="16" t="n">
        <x:v>46308</x:v>
      </x:c>
      <x:c r="W1447" s="16"/>
      <x:c r="X1447" s="10" t="str">
        <x:v>Иврит предполагается по заголовку и источнику</x:v>
      </x:c>
      <x:c r="Y1447" s="10" t="str">
        <x:v>Не проверено</x:v>
      </x:c>
      <x:c r="Z1447" s="10" t="str">
        <x:v>Не проверено</x:v>
      </x:c>
      <x:c r="AA1447" s="10" t="str">
        <x:v>Метаданные списка; видео не просмотрено</x:v>
      </x:c>
      <x:c r="AB1447" s="13" t="str">
        <x:f>IF(AND(ISNUMBER(H1447),ISNUMBER(W1447)),H1447/MAX(1,'Обзор'!$B$4-W1447),"")</x:f>
      </x:c>
      <x:c r="AC1447" s="17" t="str">
        <x:v>Не решено</x:v>
      </x:c>
      <x:c r="AD1447" s="17" t="str">
        <x:v>Не проверено</x:v>
      </x:c>
      <x:c r="AE1447" s="17" t="str">
        <x:v>Не проверено</x:v>
      </x:c>
      <x:c r="AF1447" s="17" t="str">
        <x:v>Не проверено</x:v>
      </x:c>
      <x:c r="AG1447" s="17" t="str">
        <x:v>Не решено</x:v>
      </x:c>
      <x:c r="AH1447" s="17" t="str">
        <x:v>Не проверено</x:v>
      </x:c>
      <x:c r="AI1447" s="10" t="str">
        <x:f>IF(AC1447="Отклонить","Отклонено",IF(AND(AC1447="Взять",COUNTIFS(AD1447:AH1447,"Да")=5),"Готово","Нужна редактура"))</x:f>
        <x:v>Нужна редактура</x:v>
      </x:c>
      <x:c r="AJ1447" s="17" t="str"/>
      <x:c r="AK1447" s="9" t="str">
        <x:v>https://www.youtube.com/@Shomersaf/videos</x:v>
      </x:c>
      <x:c r="AL1447" s="9" t="n">
        <x:v>3</x:v>
      </x:c>
      <x:c r="AM1447" s="9"/>
      <x:c r="AN1447" s="9"/>
    </x:row>
    <x:row r="1448" ht="60" customHeight="1">
      <x:c r="A1448" s="9" t="str">
        <x:v>74y7J85Zcbo</x:v>
      </x:c>
      <x:c r="B1448" s="10" t="str">
        <x:v>מדינה פלסטינית בצרפת? שומר סף קצר עם אלדד בק</x:v>
      </x:c>
      <x:c r="C1448" s="10" t="str">
        <x:v>Общественная дискуссия</x:v>
      </x:c>
      <x:c r="D1448" s="9" t="str">
        <x:v>Интервью</x:v>
      </x:c>
      <x:c r="E1448" s="10" t="str">
        <x:v>Интервью; общество; продвинутые</x:v>
      </x:c>
      <x:c r="F1448" s="10" t="str">
        <x:v>B2–C1 (гипотеза)</x:v>
      </x:c>
      <x:c r="G1448" s="12" t="n">
        <x:v>28.5</x:v>
      </x:c>
      <x:c r="H1448" s="14" t="n">
        <x:v>71687</x:v>
      </x:c>
      <x:c r="I1448" s="15" t="str">
        <x:v>Точный счётчик метаданных видео</x:v>
      </x:c>
      <x:c r="J1448" s="14" t="n">
        <x:v>71000</x:v>
      </x:c>
      <x:c r="K1448" s="14" t="n">
        <x:v>33000</x:v>
      </x:c>
      <x:c r="L1448" s="12" t="n">
        <x:f>IF(COUNT(J1448:K1448)=2,IF(K1448=0,"",J1448/K1448),"")</x:f>
        <x:v>2.1515151515151514</x:v>
      </x:c>
      <x:c r="M1448" s="10" t="str">
        <x:v>Тема / гость: מדינה פלסטינית בצרפת? שומר סף קצר עם אלדד בק. Просмотры в списке выше медианы выборки этого цикла в 2.15 раза. Источник для аудитории общественных дебатов; полезен при явной атрибуции позиции ведущего и гостя.</x:v>
      </x:c>
      <x:c r="N1448" s="10" t="str">
        <x:v>Выбрать 5–8 минут: тезис, аргумент, уточняющий вопрос. Проверить фактические утверждения.</x:v>
      </x:c>
      <x:c r="O1448" s="10" t="str">
        <x:v>Авторская политическая перспектива; не выдавать за нейтральный обзор</x:v>
      </x:c>
      <x:c r="P1448" s="10" t="str">
        <x:v>Длинное интервью</x:v>
      </x:c>
      <x:c r="Q1448" s="9" t="str">
        <x:v>Нет</x:v>
      </x:c>
      <x:c r="R1448" s="9" t="str">
        <x:v>C087</x:v>
      </x:c>
      <x:c r="S1448" s="9" t="str">
        <x:v>C087</x:v>
      </x:c>
      <x:c r="T1448" s="10" t="str">
        <x:v>גדי טאוב: שומר סף</x:v>
      </x:c>
      <x:c r="U1448" s="11" t="str">
        <x:v>https://www.youtube.com/watch?v=74y7J85Zcbo</x:v>
      </x:c>
      <x:c r="V1448" s="16" t="n">
        <x:v>46308</x:v>
      </x:c>
      <x:c r="W1448" s="16" t="n">
        <x:v>46303</x:v>
      </x:c>
      <x:c r="X1448" s="10" t="str">
        <x:v>iw</x:v>
      </x:c>
      <x:c r="Y1448" s="10" t="str">
        <x:v>Автоматическая дорожка HE по метаданным</x:v>
      </x:c>
      <x:c r="Z1448" s="10" t="str">
        <x:v>Разрешено по метаданным</x:v>
      </x:c>
      <x:c r="AA1448" s="10" t="str">
        <x:v>Метаданные видео; воспроизведение и содержание не проверены</x:v>
      </x:c>
      <x:c r="AB1448" s="13" t="n">
        <x:f>IF(AND(ISNUMBER(H1448),ISNUMBER(W1448)),H1448/MAX(1,'Обзор'!$B$4-W1448),"")</x:f>
        <x:v>14337.4</x:v>
      </x:c>
      <x:c r="AC1448" s="17" t="str">
        <x:v>Не решено</x:v>
      </x:c>
      <x:c r="AD1448" s="17" t="str">
        <x:v>Не проверено</x:v>
      </x:c>
      <x:c r="AE1448" s="17" t="str">
        <x:v>Не проверено</x:v>
      </x:c>
      <x:c r="AF1448" s="17" t="str">
        <x:v>Не проверено</x:v>
      </x:c>
      <x:c r="AG1448" s="17" t="str">
        <x:v>Не решено</x:v>
      </x:c>
      <x:c r="AH1448" s="17" t="str">
        <x:v>Не проверено</x:v>
      </x:c>
      <x:c r="AI1448" s="10" t="str">
        <x:f>IF(AC1448="Отклонить","Отклонено",IF(AND(AC1448="Взять",COUNTIFS(AD1448:AH1448,"Да")=5),"Готово","Нужна редактура"))</x:f>
        <x:v>Нужна редактура</x:v>
      </x:c>
      <x:c r="AJ1448" s="17" t="str"/>
      <x:c r="AK1448" s="9" t="str">
        <x:v>https://www.youtube.com/@Shomersaf/videos</x:v>
      </x:c>
      <x:c r="AL1448" s="9" t="n">
        <x:v>4</x:v>
      </x:c>
      <x:c r="AM1448" s="9"/>
      <x:c r="AN1448" s="9" t="n">
        <x:v>0</x:v>
      </x:c>
    </x:row>
    <x:row r="1449" ht="60" customHeight="1">
      <x:c r="A1449" s="9" t="str">
        <x:v>9HRgq0G50qg</x:v>
      </x:c>
      <x:c r="B1449" s="10" t="str">
        <x:v>תפירת תיקים והקרב על התודעה. בלתי סביר בעליל 57 עם אראל סג״ל ומיכאל דבורין</x:v>
      </x:c>
      <x:c r="C1449" s="10" t="str">
        <x:v>Общественная дискуссия</x:v>
      </x:c>
      <x:c r="D1449" s="9" t="str">
        <x:v>Интервью</x:v>
      </x:c>
      <x:c r="E1449" s="10" t="str">
        <x:v>Интервью; общество; продвинутые</x:v>
      </x:c>
      <x:c r="F1449" s="10" t="str">
        <x:v>B2–C1 (гипотеза)</x:v>
      </x:c>
      <x:c r="G1449" s="12" t="n">
        <x:v>54.3</x:v>
      </x:c>
      <x:c r="H1449" s="14" t="n">
        <x:v>14000</x:v>
      </x:c>
      <x:c r="I1449" s="15" t="str">
        <x:v>Округлённый счётчик в списке YouTube</x:v>
      </x:c>
      <x:c r="J1449" s="14" t="n">
        <x:v>14000</x:v>
      </x:c>
      <x:c r="K1449" s="14" t="n">
        <x:v>33000</x:v>
      </x:c>
      <x:c r="L1449" s="12" t="n">
        <x:f>IF(COUNT(J1449:K1449)=2,IF(K1449=0,"",J1449/K1449),"")</x:f>
        <x:v>0.42424242424242425</x:v>
      </x:c>
      <x:c r="M1449" s="10" t="str">
        <x:v>Тема / гость: תפירת תיקים והקרב על התודעה. בלתי סביר בעליל 57 עם אראל סג״ל ומיכאל דבורין. Просмотры ниже медианы цикла; выбирать за нишевую ценность, а не за массовый охват. Источник для аудитории общественных дебатов; полезен при явной атрибуции позиции ведущего и гостя.</x:v>
      </x:c>
      <x:c r="N1449" s="10" t="str">
        <x:v>Выбрать 5–8 минут: тезис, аргумент, уточняющий вопрос. Проверить фактические утверждения.</x:v>
      </x:c>
      <x:c r="O1449" s="10" t="str">
        <x:v>Авторская политическая перспектива; не выдавать за нейтральный обзор</x:v>
      </x:c>
      <x:c r="P1449" s="10" t="str">
        <x:v>Длинное интервью</x:v>
      </x:c>
      <x:c r="Q1449" s="9" t="str">
        <x:v>Нет</x:v>
      </x:c>
      <x:c r="R1449" s="9" t="str">
        <x:v>C087</x:v>
      </x:c>
      <x:c r="S1449" s="9" t="str">
        <x:v>C087</x:v>
      </x:c>
      <x:c r="T1449" s="10" t="str">
        <x:v>גדי טאוב: שומר סף</x:v>
      </x:c>
      <x:c r="U1449" s="11" t="str">
        <x:v>https://www.youtube.com/watch?v=9HRgq0G50qg</x:v>
      </x:c>
      <x:c r="V1449" s="16" t="n">
        <x:v>46308</x:v>
      </x:c>
      <x:c r="W1449" s="16"/>
      <x:c r="X1449" s="10" t="str">
        <x:v>Иврит предполагается по заголовку и источнику</x:v>
      </x:c>
      <x:c r="Y1449" s="10" t="str">
        <x:v>Не проверено</x:v>
      </x:c>
      <x:c r="Z1449" s="10" t="str">
        <x:v>Не проверено</x:v>
      </x:c>
      <x:c r="AA1449" s="10" t="str">
        <x:v>Метаданные списка; видео не просмотрено</x:v>
      </x:c>
      <x:c r="AB1449" s="13" t="str">
        <x:f>IF(AND(ISNUMBER(H1449),ISNUMBER(W1449)),H1449/MAX(1,'Обзор'!$B$4-W1449),"")</x:f>
      </x:c>
      <x:c r="AC1449" s="17" t="str">
        <x:v>Не решено</x:v>
      </x:c>
      <x:c r="AD1449" s="17" t="str">
        <x:v>Не проверено</x:v>
      </x:c>
      <x:c r="AE1449" s="17" t="str">
        <x:v>Не проверено</x:v>
      </x:c>
      <x:c r="AF1449" s="17" t="str">
        <x:v>Не проверено</x:v>
      </x:c>
      <x:c r="AG1449" s="17" t="str">
        <x:v>Не решено</x:v>
      </x:c>
      <x:c r="AH1449" s="17" t="str">
        <x:v>Не проверено</x:v>
      </x:c>
      <x:c r="AI1449" s="10" t="str">
        <x:f>IF(AC1449="Отклонить","Отклонено",IF(AND(AC1449="Взять",COUNTIFS(AD1449:AH1449,"Да")=5),"Готово","Нужна редактура"))</x:f>
        <x:v>Нужна редактура</x:v>
      </x:c>
      <x:c r="AJ1449" s="17" t="str"/>
      <x:c r="AK1449" s="9" t="str">
        <x:v>https://www.youtube.com/@Shomersaf/videos</x:v>
      </x:c>
      <x:c r="AL1449" s="9" t="n">
        <x:v>5</x:v>
      </x:c>
      <x:c r="AM1449" s="9"/>
      <x:c r="AN1449" s="9"/>
    </x:row>
    <x:row r="1450" ht="60" customHeight="1">
      <x:c r="A1450" s="9" t="str">
        <x:v>gF-iifZg9AY</x:v>
      </x:c>
      <x:c r="B1450" s="10" t="str">
        <x:v>עד היום תנ״צ ערן קמין לא תבע אותי. נגד הרוח 13 עם חיים רמון וד״ר יעקב בן שמש</x:v>
      </x:c>
      <x:c r="C1450" s="10" t="str">
        <x:v>Общественная дискуссия</x:v>
      </x:c>
      <x:c r="D1450" s="9" t="str">
        <x:v>Интервью</x:v>
      </x:c>
      <x:c r="E1450" s="10" t="str">
        <x:v>Интервью; общество; продвинутые</x:v>
      </x:c>
      <x:c r="F1450" s="10" t="str">
        <x:v>B2–C1 (гипотеза)</x:v>
      </x:c>
      <x:c r="G1450" s="12" t="n">
        <x:v>30.8</x:v>
      </x:c>
      <x:c r="H1450" s="14" t="n">
        <x:v>16000</x:v>
      </x:c>
      <x:c r="I1450" s="15" t="str">
        <x:v>Округлённый счётчик в списке YouTube</x:v>
      </x:c>
      <x:c r="J1450" s="14" t="n">
        <x:v>16000</x:v>
      </x:c>
      <x:c r="K1450" s="14" t="n">
        <x:v>33000</x:v>
      </x:c>
      <x:c r="L1450" s="12" t="n">
        <x:f>IF(COUNT(J1450:K1450)=2,IF(K1450=0,"",J1450/K1450),"")</x:f>
        <x:v>0.48484848484848486</x:v>
      </x:c>
      <x:c r="M1450" s="10" t="str">
        <x:v>Тема / гость: עד היום תנ״צ ערן קמין לא תבע אותי. נגד הרוח 13 עם חיים רמון וד״ר יעקב בן שמש. Просмотры ниже медианы цикла; выбирать за нишевую ценность, а не за массовый охват. Источник для аудитории общественных дебатов; полезен при явной атрибуции позиции ведущего и гостя.</x:v>
      </x:c>
      <x:c r="N1450" s="10" t="str">
        <x:v>Выбрать 5–8 минут: тезис, аргумент, уточняющий вопрос. Проверить фактические утверждения.</x:v>
      </x:c>
      <x:c r="O1450" s="10" t="str">
        <x:v>Авторская политическая перспектива; не выдавать за нейтральный обзор</x:v>
      </x:c>
      <x:c r="P1450" s="10" t="str">
        <x:v>Длинное интервью</x:v>
      </x:c>
      <x:c r="Q1450" s="9" t="str">
        <x:v>Нет</x:v>
      </x:c>
      <x:c r="R1450" s="9" t="str">
        <x:v>C087</x:v>
      </x:c>
      <x:c r="S1450" s="9" t="str">
        <x:v>C087</x:v>
      </x:c>
      <x:c r="T1450" s="10" t="str">
        <x:v>גדי טאוב: שומר סף</x:v>
      </x:c>
      <x:c r="U1450" s="11" t="str">
        <x:v>https://www.youtube.com/watch?v=gF-iifZg9AY</x:v>
      </x:c>
      <x:c r="V1450" s="16" t="n">
        <x:v>46308</x:v>
      </x:c>
      <x:c r="W1450" s="16"/>
      <x:c r="X1450" s="10" t="str">
        <x:v>Иврит предполагается по заголовку и источнику</x:v>
      </x:c>
      <x:c r="Y1450" s="10" t="str">
        <x:v>Не проверено</x:v>
      </x:c>
      <x:c r="Z1450" s="10" t="str">
        <x:v>Не проверено</x:v>
      </x:c>
      <x:c r="AA1450" s="10" t="str">
        <x:v>Метаданные списка; видео не просмотрено</x:v>
      </x:c>
      <x:c r="AB1450" s="13" t="str">
        <x:f>IF(AND(ISNUMBER(H1450),ISNUMBER(W1450)),H1450/MAX(1,'Обзор'!$B$4-W1450),"")</x:f>
      </x:c>
      <x:c r="AC1450" s="17" t="str">
        <x:v>Не решено</x:v>
      </x:c>
      <x:c r="AD1450" s="17" t="str">
        <x:v>Не проверено</x:v>
      </x:c>
      <x:c r="AE1450" s="17" t="str">
        <x:v>Не проверено</x:v>
      </x:c>
      <x:c r="AF1450" s="17" t="str">
        <x:v>Не проверено</x:v>
      </x:c>
      <x:c r="AG1450" s="17" t="str">
        <x:v>Не решено</x:v>
      </x:c>
      <x:c r="AH1450" s="17" t="str">
        <x:v>Не проверено</x:v>
      </x:c>
      <x:c r="AI1450" s="10" t="str">
        <x:f>IF(AC1450="Отклонить","Отклонено",IF(AND(AC1450="Взять",COUNTIFS(AD1450:AH1450,"Да")=5),"Готово","Нужна редактура"))</x:f>
        <x:v>Нужна редактура</x:v>
      </x:c>
      <x:c r="AJ1450" s="17" t="str"/>
      <x:c r="AK1450" s="9" t="str">
        <x:v>https://www.youtube.com/@Shomersaf/videos</x:v>
      </x:c>
      <x:c r="AL1450" s="9" t="n">
        <x:v>6</x:v>
      </x:c>
      <x:c r="AM1450" s="9"/>
      <x:c r="AN1450" s="9"/>
    </x:row>
    <x:row r="1451" ht="60" customHeight="1">
      <x:c r="A1451" s="9" t="str">
        <x:v>Lb5fQb6t1IE</x:v>
      </x:c>
      <x:c r="B1451" s="10" t="str">
        <x:v>אזרחים יכולים להשפיע. שומר סף 403 עם ד״ר עדי סבו</x:v>
      </x:c>
      <x:c r="C1451" s="10" t="str">
        <x:v>Общественная дискуссия</x:v>
      </x:c>
      <x:c r="D1451" s="9" t="str">
        <x:v>Интервью</x:v>
      </x:c>
      <x:c r="E1451" s="10" t="str">
        <x:v>Интервью; общество; продвинутые</x:v>
      </x:c>
      <x:c r="F1451" s="10" t="str">
        <x:v>B2–C1 (гипотеза)</x:v>
      </x:c>
      <x:c r="G1451" s="12" t="n">
        <x:v>49.5</x:v>
      </x:c>
      <x:c r="H1451" s="14" t="n">
        <x:v>30000</x:v>
      </x:c>
      <x:c r="I1451" s="15" t="str">
        <x:v>Округлённый счётчик в списке YouTube</x:v>
      </x:c>
      <x:c r="J1451" s="14" t="n">
        <x:v>30000</x:v>
      </x:c>
      <x:c r="K1451" s="14" t="n">
        <x:v>33000</x:v>
      </x:c>
      <x:c r="L1451" s="12" t="n">
        <x:f>IF(COUNT(J1451:K1451)=2,IF(K1451=0,"",J1451/K1451),"")</x:f>
        <x:v>0.9090909090909091</x:v>
      </x:c>
      <x:c r="M1451" s="10" t="str">
        <x:v>Тема / гость: אזרחים יכולים להשפיע. שומר סף 403 עם ד״ר עדי סבו. Источник для аудитории общественных дебатов; полезен при явной атрибуции позиции ведущего и гостя.</x:v>
      </x:c>
      <x:c r="N1451" s="10" t="str">
        <x:v>Выбрать 5–8 минут: тезис, аргумент, уточняющий вопрос. Проверить фактические утверждения.</x:v>
      </x:c>
      <x:c r="O1451" s="10" t="str">
        <x:v>Авторская политическая перспектива; не выдавать за нейтральный обзор</x:v>
      </x:c>
      <x:c r="P1451" s="10" t="str">
        <x:v>Длинное интервью</x:v>
      </x:c>
      <x:c r="Q1451" s="9" t="str">
        <x:v>Нет</x:v>
      </x:c>
      <x:c r="R1451" s="9" t="str">
        <x:v>C087</x:v>
      </x:c>
      <x:c r="S1451" s="9" t="str">
        <x:v>C087</x:v>
      </x:c>
      <x:c r="T1451" s="10" t="str">
        <x:v>גדי טאוב: שומר סף</x:v>
      </x:c>
      <x:c r="U1451" s="11" t="str">
        <x:v>https://www.youtube.com/watch?v=Lb5fQb6t1IE</x:v>
      </x:c>
      <x:c r="V1451" s="16" t="n">
        <x:v>46308</x:v>
      </x:c>
      <x:c r="W1451" s="16"/>
      <x:c r="X1451" s="10" t="str">
        <x:v>Иврит предполагается по заголовку и источнику</x:v>
      </x:c>
      <x:c r="Y1451" s="10" t="str">
        <x:v>Не проверено</x:v>
      </x:c>
      <x:c r="Z1451" s="10" t="str">
        <x:v>Не проверено</x:v>
      </x:c>
      <x:c r="AA1451" s="10" t="str">
        <x:v>Метаданные списка; видео не просмотрено</x:v>
      </x:c>
      <x:c r="AB1451" s="13" t="str">
        <x:f>IF(AND(ISNUMBER(H1451),ISNUMBER(W1451)),H1451/MAX(1,'Обзор'!$B$4-W1451),"")</x:f>
      </x:c>
      <x:c r="AC1451" s="17" t="str">
        <x:v>Не решено</x:v>
      </x:c>
      <x:c r="AD1451" s="17" t="str">
        <x:v>Не проверено</x:v>
      </x:c>
      <x:c r="AE1451" s="17" t="str">
        <x:v>Не проверено</x:v>
      </x:c>
      <x:c r="AF1451" s="17" t="str">
        <x:v>Не проверено</x:v>
      </x:c>
      <x:c r="AG1451" s="17" t="str">
        <x:v>Не решено</x:v>
      </x:c>
      <x:c r="AH1451" s="17" t="str">
        <x:v>Не проверено</x:v>
      </x:c>
      <x:c r="AI1451" s="10" t="str">
        <x:f>IF(AC1451="Отклонить","Отклонено",IF(AND(AC1451="Взять",COUNTIFS(AD1451:AH1451,"Да")=5),"Готово","Нужна редактура"))</x:f>
        <x:v>Нужна редактура</x:v>
      </x:c>
      <x:c r="AJ1451" s="17" t="str"/>
      <x:c r="AK1451" s="9" t="str">
        <x:v>https://www.youtube.com/@Shomersaf/videos</x:v>
      </x:c>
      <x:c r="AL1451" s="9" t="n">
        <x:v>7</x:v>
      </x:c>
      <x:c r="AM1451" s="9"/>
      <x:c r="AN1451" s="9"/>
    </x:row>
    <x:row r="1452" ht="60" customHeight="1">
      <x:c r="A1452" s="9" t="str">
        <x:v>QzyQ4YiboJ4</x:v>
      </x:c>
      <x:c r="B1452" s="10" t="str">
        <x:v>על מה יוכרעו הבחירות הקרובות? חופרים 7 עם אבי בראלי וגדי טאוב</x:v>
      </x:c>
      <x:c r="C1452" s="10" t="str">
        <x:v>Общественная дискуссия</x:v>
      </x:c>
      <x:c r="D1452" s="9" t="str">
        <x:v>Интервью</x:v>
      </x:c>
      <x:c r="E1452" s="10" t="str">
        <x:v>Интервью; общество; продвинутые</x:v>
      </x:c>
      <x:c r="F1452" s="10" t="str">
        <x:v>B2–C1 (гипотеза)</x:v>
      </x:c>
      <x:c r="G1452" s="12" t="n">
        <x:v>59.9</x:v>
      </x:c>
      <x:c r="H1452" s="14" t="n">
        <x:v>22000</x:v>
      </x:c>
      <x:c r="I1452" s="15" t="str">
        <x:v>Округлённый счётчик в списке YouTube</x:v>
      </x:c>
      <x:c r="J1452" s="14" t="n">
        <x:v>22000</x:v>
      </x:c>
      <x:c r="K1452" s="14" t="n">
        <x:v>33000</x:v>
      </x:c>
      <x:c r="L1452" s="12" t="n">
        <x:f>IF(COUNT(J1452:K1452)=2,IF(K1452=0,"",J1452/K1452),"")</x:f>
        <x:v>0.6666666666666666</x:v>
      </x:c>
      <x:c r="M1452" s="10" t="str">
        <x:v>Тема / гость: על מה יוכרעו הבחירות הקרובות? חופרים 7 עם אבי בראלי וגדי טאוב. Источник для аудитории общественных дебатов; полезен при явной атрибуции позиции ведущего и гостя.</x:v>
      </x:c>
      <x:c r="N1452" s="10" t="str">
        <x:v>Выбрать 5–8 минут: тезис, аргумент, уточняющий вопрос. Проверить фактические утверждения.</x:v>
      </x:c>
      <x:c r="O1452" s="10" t="str">
        <x:v>Авторская политическая перспектива; не выдавать за нейтральный обзор</x:v>
      </x:c>
      <x:c r="P1452" s="10" t="str">
        <x:v>Длинное интервью</x:v>
      </x:c>
      <x:c r="Q1452" s="9" t="str">
        <x:v>Нет</x:v>
      </x:c>
      <x:c r="R1452" s="9" t="str">
        <x:v>C087</x:v>
      </x:c>
      <x:c r="S1452" s="9" t="str">
        <x:v>C087</x:v>
      </x:c>
      <x:c r="T1452" s="10" t="str">
        <x:v>גדי טאוב: שומר סף</x:v>
      </x:c>
      <x:c r="U1452" s="11" t="str">
        <x:v>https://www.youtube.com/watch?v=QzyQ4YiboJ4</x:v>
      </x:c>
      <x:c r="V1452" s="16" t="n">
        <x:v>46308</x:v>
      </x:c>
      <x:c r="W1452" s="16"/>
      <x:c r="X1452" s="10" t="str">
        <x:v>Иврит предполагается по заголовку и источнику</x:v>
      </x:c>
      <x:c r="Y1452" s="10" t="str">
        <x:v>Не проверено</x:v>
      </x:c>
      <x:c r="Z1452" s="10" t="str">
        <x:v>Не проверено</x:v>
      </x:c>
      <x:c r="AA1452" s="10" t="str">
        <x:v>Метаданные списка; видео не просмотрено</x:v>
      </x:c>
      <x:c r="AB1452" s="13" t="str">
        <x:f>IF(AND(ISNUMBER(H1452),ISNUMBER(W1452)),H1452/MAX(1,'Обзор'!$B$4-W1452),"")</x:f>
      </x:c>
      <x:c r="AC1452" s="17" t="str">
        <x:v>Не решено</x:v>
      </x:c>
      <x:c r="AD1452" s="17" t="str">
        <x:v>Не проверено</x:v>
      </x:c>
      <x:c r="AE1452" s="17" t="str">
        <x:v>Не проверено</x:v>
      </x:c>
      <x:c r="AF1452" s="17" t="str">
        <x:v>Не проверено</x:v>
      </x:c>
      <x:c r="AG1452" s="17" t="str">
        <x:v>Не решено</x:v>
      </x:c>
      <x:c r="AH1452" s="17" t="str">
        <x:v>Не проверено</x:v>
      </x:c>
      <x:c r="AI1452" s="10" t="str">
        <x:f>IF(AC1452="Отклонить","Отклонено",IF(AND(AC1452="Взять",COUNTIFS(AD1452:AH1452,"Да")=5),"Готово","Нужна редактура"))</x:f>
        <x:v>Нужна редактура</x:v>
      </x:c>
      <x:c r="AJ1452" s="17" t="str"/>
      <x:c r="AK1452" s="9" t="str">
        <x:v>https://www.youtube.com/@Shomersaf/videos</x:v>
      </x:c>
      <x:c r="AL1452" s="9" t="n">
        <x:v>8</x:v>
      </x:c>
      <x:c r="AM1452" s="9"/>
      <x:c r="AN1452" s="9"/>
    </x:row>
    <x:row r="1453" ht="60" customHeight="1">
      <x:c r="A1453" s="9" t="str">
        <x:v>ppQNdcvKbF4</x:v>
      </x:c>
      <x:c r="B1453" s="10" t="str">
        <x:v>כך ייעשה לאיש שמעז לבקר את אייזנקוט. שומר סף 402 עם אל"מ רונן כהן.</x:v>
      </x:c>
      <x:c r="C1453" s="10" t="str">
        <x:v>Общественная дискуссия</x:v>
      </x:c>
      <x:c r="D1453" s="9" t="str">
        <x:v>Интервью</x:v>
      </x:c>
      <x:c r="E1453" s="10" t="str">
        <x:v>Интервью; общество; продвинутые</x:v>
      </x:c>
      <x:c r="F1453" s="10" t="str">
        <x:v>B2–C1 (гипотеза)</x:v>
      </x:c>
      <x:c r="G1453" s="12" t="n">
        <x:v>45.9</x:v>
      </x:c>
      <x:c r="H1453" s="14" t="n">
        <x:v>51699</x:v>
      </x:c>
      <x:c r="I1453" s="15" t="str">
        <x:v>Точный счётчик метаданных видео</x:v>
      </x:c>
      <x:c r="J1453" s="14" t="n">
        <x:v>51000</x:v>
      </x:c>
      <x:c r="K1453" s="14" t="n">
        <x:v>33000</x:v>
      </x:c>
      <x:c r="L1453" s="12" t="n">
        <x:f>IF(COUNT(J1453:K1453)=2,IF(K1453=0,"",J1453/K1453),"")</x:f>
        <x:v>1.5454545454545454</x:v>
      </x:c>
      <x:c r="M1453" s="10" t="str">
        <x:v>Тема / гость: כך ייעשה לאיש שמעז לבקר את אייזנקוט. שומר סף 402 עם אל"מ רונן כהן.. Просмотры в списке выше медианы выборки этого цикла в 1.55 раза. Источник для аудитории общественных дебатов; полезен при явной атрибуции позиции ведущего и гостя.</x:v>
      </x:c>
      <x:c r="N1453" s="10" t="str">
        <x:v>Выбрать 5–8 минут: тезис, аргумент, уточняющий вопрос. Проверить фактические утверждения.</x:v>
      </x:c>
      <x:c r="O1453" s="10" t="str">
        <x:v>Авторская политическая перспектива; не выдавать за нейтральный обзор</x:v>
      </x:c>
      <x:c r="P1453" s="10" t="str">
        <x:v>Длинное интервью</x:v>
      </x:c>
      <x:c r="Q1453" s="9" t="str">
        <x:v>Нет</x:v>
      </x:c>
      <x:c r="R1453" s="9" t="str">
        <x:v>C087</x:v>
      </x:c>
      <x:c r="S1453" s="9" t="str">
        <x:v>C087</x:v>
      </x:c>
      <x:c r="T1453" s="10" t="str">
        <x:v>גדי טאוב: שומר סף</x:v>
      </x:c>
      <x:c r="U1453" s="11" t="str">
        <x:v>https://www.youtube.com/watch?v=ppQNdcvKbF4</x:v>
      </x:c>
      <x:c r="V1453" s="16" t="n">
        <x:v>46308</x:v>
      </x:c>
      <x:c r="W1453" s="16" t="n">
        <x:v>46299</x:v>
      </x:c>
      <x:c r="X1453" s="10" t="str">
        <x:v>Иврит предполагается по заголовку и источнику</x:v>
      </x:c>
      <x:c r="Y1453" s="10" t="str">
        <x:v>Автоматическая дорожка HE по метаданным</x:v>
      </x:c>
      <x:c r="Z1453" s="10" t="str">
        <x:v>Разрешено по метаданным</x:v>
      </x:c>
      <x:c r="AA1453" s="10" t="str">
        <x:v>Метаданные видео; воспроизведение и содержание не проверены</x:v>
      </x:c>
      <x:c r="AB1453" s="13" t="n">
        <x:f>IF(AND(ISNUMBER(H1453),ISNUMBER(W1453)),H1453/MAX(1,'Обзор'!$B$4-W1453),"")</x:f>
        <x:v>5744.333333333333</x:v>
      </x:c>
      <x:c r="AC1453" s="17" t="str">
        <x:v>Не решено</x:v>
      </x:c>
      <x:c r="AD1453" s="17" t="str">
        <x:v>Не проверено</x:v>
      </x:c>
      <x:c r="AE1453" s="17" t="str">
        <x:v>Не проверено</x:v>
      </x:c>
      <x:c r="AF1453" s="17" t="str">
        <x:v>Не проверено</x:v>
      </x:c>
      <x:c r="AG1453" s="17" t="str">
        <x:v>Не решено</x:v>
      </x:c>
      <x:c r="AH1453" s="17" t="str">
        <x:v>Не проверено</x:v>
      </x:c>
      <x:c r="AI1453" s="10" t="str">
        <x:f>IF(AC1453="Отклонить","Отклонено",IF(AND(AC1453="Взять",COUNTIFS(AD1453:AH1453,"Да")=5),"Готово","Нужна редактура"))</x:f>
        <x:v>Нужна редактура</x:v>
      </x:c>
      <x:c r="AJ1453" s="17" t="str"/>
      <x:c r="AK1453" s="9" t="str">
        <x:v>https://www.youtube.com/@Shomersaf/videos</x:v>
      </x:c>
      <x:c r="AL1453" s="9" t="n">
        <x:v>9</x:v>
      </x:c>
      <x:c r="AM1453" s="9"/>
      <x:c r="AN1453" s="9" t="n">
        <x:v>0</x:v>
      </x:c>
    </x:row>
    <x:row r="1454" ht="60" customHeight="1">
      <x:c r="A1454" s="9" t="str">
        <x:v>WYLZpGnwqFU</x:v>
      </x:c>
      <x:c r="B1454" s="10" t="str">
        <x:v>עלינו לא יעשו 9/11. אין מצב. משמורת משותפת עם עירית לינור וגדי טאוב</x:v>
      </x:c>
      <x:c r="C1454" s="10" t="str">
        <x:v>Общественная дискуссия</x:v>
      </x:c>
      <x:c r="D1454" s="9" t="str">
        <x:v>Интервью</x:v>
      </x:c>
      <x:c r="E1454" s="10" t="str">
        <x:v>Интервью; общество; продвинутые</x:v>
      </x:c>
      <x:c r="F1454" s="10" t="str">
        <x:v>B2–C1 (гипотеза)</x:v>
      </x:c>
      <x:c r="G1454" s="12" t="n">
        <x:v>61.1</x:v>
      </x:c>
      <x:c r="H1454" s="14" t="n">
        <x:v>37804</x:v>
      </x:c>
      <x:c r="I1454" s="15" t="str">
        <x:v>Точный счётчик метаданных видео</x:v>
      </x:c>
      <x:c r="J1454" s="14" t="n">
        <x:v>37000</x:v>
      </x:c>
      <x:c r="K1454" s="14" t="n">
        <x:v>33000</x:v>
      </x:c>
      <x:c r="L1454" s="12" t="n">
        <x:f>IF(COUNT(J1454:K1454)=2,IF(K1454=0,"",J1454/K1454),"")</x:f>
        <x:v>1.121212121212121</x:v>
      </x:c>
      <x:c r="M1454" s="10" t="str">
        <x:v>Тема / гость: עלינו לא יעשו 9/11. אין מצב. משמורת משותפת עם עירית לינור וגדי טאוב. Источник для аудитории общественных дебатов; полезен при явной атрибуции позиции ведущего и гостя.</x:v>
      </x:c>
      <x:c r="N1454" s="10" t="str">
        <x:v>Выбрать 5–8 минут: тезис, аргумент, уточняющий вопрос. Проверить фактические утверждения.</x:v>
      </x:c>
      <x:c r="O1454" s="10" t="str">
        <x:v>Авторская политическая перспектива; не выдавать за нейтральный обзор</x:v>
      </x:c>
      <x:c r="P1454" s="10" t="str">
        <x:v>Длинное интервью</x:v>
      </x:c>
      <x:c r="Q1454" s="9" t="str">
        <x:v>Нет</x:v>
      </x:c>
      <x:c r="R1454" s="9" t="str">
        <x:v>C087</x:v>
      </x:c>
      <x:c r="S1454" s="9" t="str">
        <x:v>C087</x:v>
      </x:c>
      <x:c r="T1454" s="10" t="str">
        <x:v>גדי טאוב: שומר סף</x:v>
      </x:c>
      <x:c r="U1454" s="11" t="str">
        <x:v>https://www.youtube.com/watch?v=WYLZpGnwqFU</x:v>
      </x:c>
      <x:c r="V1454" s="16" t="n">
        <x:v>46308</x:v>
      </x:c>
      <x:c r="W1454" s="16" t="n">
        <x:v>46297</x:v>
      </x:c>
      <x:c r="X1454" s="10" t="str">
        <x:v>Иврит предполагается по заголовку и источнику</x:v>
      </x:c>
      <x:c r="Y1454" s="10" t="str">
        <x:v>Автоматическая дорожка HE по метаданным</x:v>
      </x:c>
      <x:c r="Z1454" s="10" t="str">
        <x:v>Разрешено по метаданным</x:v>
      </x:c>
      <x:c r="AA1454" s="10" t="str">
        <x:v>Метаданные видео; воспроизведение и содержание не проверены</x:v>
      </x:c>
      <x:c r="AB1454" s="13" t="n">
        <x:f>IF(AND(ISNUMBER(H1454),ISNUMBER(W1454)),H1454/MAX(1,'Обзор'!$B$4-W1454),"")</x:f>
        <x:v>3436.7272727272725</x:v>
      </x:c>
      <x:c r="AC1454" s="17" t="str">
        <x:v>Не решено</x:v>
      </x:c>
      <x:c r="AD1454" s="17" t="str">
        <x:v>Не проверено</x:v>
      </x:c>
      <x:c r="AE1454" s="17" t="str">
        <x:v>Не проверено</x:v>
      </x:c>
      <x:c r="AF1454" s="17" t="str">
        <x:v>Не проверено</x:v>
      </x:c>
      <x:c r="AG1454" s="17" t="str">
        <x:v>Не решено</x:v>
      </x:c>
      <x:c r="AH1454" s="17" t="str">
        <x:v>Не проверено</x:v>
      </x:c>
      <x:c r="AI1454" s="10" t="str">
        <x:f>IF(AC1454="Отклонить","Отклонено",IF(AND(AC1454="Взять",COUNTIFS(AD1454:AH1454,"Да")=5),"Готово","Нужна редактура"))</x:f>
        <x:v>Нужна редактура</x:v>
      </x:c>
      <x:c r="AJ1454" s="17" t="str"/>
      <x:c r="AK1454" s="9" t="str">
        <x:v>https://www.youtube.com/@Shomersaf/videos</x:v>
      </x:c>
      <x:c r="AL1454" s="9" t="n">
        <x:v>10</x:v>
      </x:c>
      <x:c r="AM1454" s="9"/>
      <x:c r="AN1454" s="9" t="n">
        <x:v>0</x:v>
      </x:c>
    </x:row>
    <x:row r="1455" ht="60" customHeight="1">
      <x:c r="A1455" s="9" t="str">
        <x:v>q5McC4ZhuqI</x:v>
      </x:c>
      <x:c r="B1455" s="10" t="str">
        <x:v>51 או 61 מנדטים לימין? אראל סג״ל ומיכאל דבורין על הסקרים שאי אפשר ליישב. בלתי סביר בעליל 56</x:v>
      </x:c>
      <x:c r="C1455" s="10" t="str">
        <x:v>Общественная дискуссия</x:v>
      </x:c>
      <x:c r="D1455" s="9" t="str">
        <x:v>Интервью</x:v>
      </x:c>
      <x:c r="E1455" s="10" t="str">
        <x:v>Интервью; общество; продвинутые</x:v>
      </x:c>
      <x:c r="F1455" s="10" t="str">
        <x:v>B2–C1 (гипотеза)</x:v>
      </x:c>
      <x:c r="G1455" s="12" t="n">
        <x:v>48.8</x:v>
      </x:c>
      <x:c r="H1455" s="14" t="n">
        <x:v>25000</x:v>
      </x:c>
      <x:c r="I1455" s="15" t="str">
        <x:v>Округлённый счётчик в списке YouTube</x:v>
      </x:c>
      <x:c r="J1455" s="14" t="n">
        <x:v>25000</x:v>
      </x:c>
      <x:c r="K1455" s="14" t="n">
        <x:v>33000</x:v>
      </x:c>
      <x:c r="L1455" s="12" t="n">
        <x:f>IF(COUNT(J1455:K1455)=2,IF(K1455=0,"",J1455/K1455),"")</x:f>
        <x:v>0.7575757575757576</x:v>
      </x:c>
      <x:c r="M1455" s="10" t="str">
        <x:v>Тема / гость: 51 או 61 מנדטים לימין? אראל סג״ל ומיכאל דבורין על הסקרים שאי אפשר ליישב. בלתי סביר בעליל 56. Источник для аудитории общественных дебатов; полезен при явной атрибуции позиции ведущего и гостя.</x:v>
      </x:c>
      <x:c r="N1455" s="10" t="str">
        <x:v>Выбрать 5–8 минут: тезис, аргумент, уточняющий вопрос. Проверить фактические утверждения.</x:v>
      </x:c>
      <x:c r="O1455" s="10" t="str">
        <x:v>Авторская политическая перспектива; не выдавать за нейтральный обзор</x:v>
      </x:c>
      <x:c r="P1455" s="10" t="str">
        <x:v>Длинное интервью</x:v>
      </x:c>
      <x:c r="Q1455" s="9" t="str">
        <x:v>Нет</x:v>
      </x:c>
      <x:c r="R1455" s="9" t="str">
        <x:v>C087</x:v>
      </x:c>
      <x:c r="S1455" s="9" t="str">
        <x:v>C087</x:v>
      </x:c>
      <x:c r="T1455" s="10" t="str">
        <x:v>גדי טאוב: שומר סף</x:v>
      </x:c>
      <x:c r="U1455" s="11" t="str">
        <x:v>https://www.youtube.com/watch?v=q5McC4ZhuqI</x:v>
      </x:c>
      <x:c r="V1455" s="16" t="n">
        <x:v>46308</x:v>
      </x:c>
      <x:c r="W1455" s="16"/>
      <x:c r="X1455" s="10" t="str">
        <x:v>Иврит предполагается по заголовку и источнику</x:v>
      </x:c>
      <x:c r="Y1455" s="10" t="str">
        <x:v>Не проверено</x:v>
      </x:c>
      <x:c r="Z1455" s="10" t="str">
        <x:v>Не проверено</x:v>
      </x:c>
      <x:c r="AA1455" s="10" t="str">
        <x:v>Метаданные списка; видео не просмотрено</x:v>
      </x:c>
      <x:c r="AB1455" s="13" t="str">
        <x:f>IF(AND(ISNUMBER(H1455),ISNUMBER(W1455)),H1455/MAX(1,'Обзор'!$B$4-W1455),"")</x:f>
      </x:c>
      <x:c r="AC1455" s="17" t="str">
        <x:v>Не решено</x:v>
      </x:c>
      <x:c r="AD1455" s="17" t="str">
        <x:v>Не проверено</x:v>
      </x:c>
      <x:c r="AE1455" s="17" t="str">
        <x:v>Не проверено</x:v>
      </x:c>
      <x:c r="AF1455" s="17" t="str">
        <x:v>Не проверено</x:v>
      </x:c>
      <x:c r="AG1455" s="17" t="str">
        <x:v>Не решено</x:v>
      </x:c>
      <x:c r="AH1455" s="17" t="str">
        <x:v>Не проверено</x:v>
      </x:c>
      <x:c r="AI1455" s="10" t="str">
        <x:f>IF(AC1455="Отклонить","Отклонено",IF(AND(AC1455="Взять",COUNTIFS(AD1455:AH1455,"Да")=5),"Готово","Нужна редактура"))</x:f>
        <x:v>Нужна редактура</x:v>
      </x:c>
      <x:c r="AJ1455" s="17" t="str"/>
      <x:c r="AK1455" s="9" t="str">
        <x:v>https://www.youtube.com/@Shomersaf/videos</x:v>
      </x:c>
      <x:c r="AL1455" s="9" t="n">
        <x:v>11</x:v>
      </x:c>
      <x:c r="AM1455" s="9"/>
      <x:c r="AN1455" s="9"/>
    </x:row>
    <x:row r="1456" ht="60" customHeight="1">
      <x:c r="A1456" s="9" t="str">
        <x:v>069Fu_9xfSg</x:v>
      </x:c>
      <x:c r="B1456" s="10" t="str">
        <x:v>"אין דבר כזה שמרן ליברל". כנס השמרנות הבינ"ל. שומר סף 401 עם ד"ר יורם חזוני</x:v>
      </x:c>
      <x:c r="C1456" s="10" t="str">
        <x:v>Общественная дискуссия</x:v>
      </x:c>
      <x:c r="D1456" s="9" t="str">
        <x:v>Интервью</x:v>
      </x:c>
      <x:c r="E1456" s="10" t="str">
        <x:v>Интервью; общество; продвинутые</x:v>
      </x:c>
      <x:c r="F1456" s="10" t="str">
        <x:v>B2–C1 (гипотеза)</x:v>
      </x:c>
      <x:c r="G1456" s="12" t="n">
        <x:v>62</x:v>
      </x:c>
      <x:c r="H1456" s="14" t="n">
        <x:v>17000</x:v>
      </x:c>
      <x:c r="I1456" s="15" t="str">
        <x:v>Округлённый счётчик в списке YouTube</x:v>
      </x:c>
      <x:c r="J1456" s="14" t="n">
        <x:v>17000</x:v>
      </x:c>
      <x:c r="K1456" s="14" t="n">
        <x:v>33000</x:v>
      </x:c>
      <x:c r="L1456" s="12" t="n">
        <x:f>IF(COUNT(J1456:K1456)=2,IF(K1456=0,"",J1456/K1456),"")</x:f>
        <x:v>0.5151515151515151</x:v>
      </x:c>
      <x:c r="M1456" s="10" t="str">
        <x:v>Тема / гость: "אין דבר כזה שמרן ליברל". כנס השמרנות הבינ"ל. שומר סף 401 עם ד"ר יורם חזוני. Источник для аудитории общественных дебатов; полезен при явной атрибуции позиции ведущего и гостя.</x:v>
      </x:c>
      <x:c r="N1456" s="10" t="str">
        <x:v>Выбрать 5–8 минут: тезис, аргумент, уточняющий вопрос. Проверить фактические утверждения.</x:v>
      </x:c>
      <x:c r="O1456" s="10" t="str">
        <x:v>Авторская политическая перспектива; не выдавать за нейтральный обзор</x:v>
      </x:c>
      <x:c r="P1456" s="10" t="str">
        <x:v>Длинное интервью</x:v>
      </x:c>
      <x:c r="Q1456" s="9" t="str">
        <x:v>Нет</x:v>
      </x:c>
      <x:c r="R1456" s="9" t="str">
        <x:v>C087</x:v>
      </x:c>
      <x:c r="S1456" s="9" t="str">
        <x:v>C087</x:v>
      </x:c>
      <x:c r="T1456" s="10" t="str">
        <x:v>גדי טאוב: שומר סף</x:v>
      </x:c>
      <x:c r="U1456" s="11" t="str">
        <x:v>https://www.youtube.com/watch?v=069Fu_9xfSg</x:v>
      </x:c>
      <x:c r="V1456" s="16" t="n">
        <x:v>46308</x:v>
      </x:c>
      <x:c r="W1456" s="16"/>
      <x:c r="X1456" s="10" t="str">
        <x:v>Иврит предполагается по заголовку и источнику</x:v>
      </x:c>
      <x:c r="Y1456" s="10" t="str">
        <x:v>Не проверено</x:v>
      </x:c>
      <x:c r="Z1456" s="10" t="str">
        <x:v>Не проверено</x:v>
      </x:c>
      <x:c r="AA1456" s="10" t="str">
        <x:v>Метаданные списка; видео не просмотрено</x:v>
      </x:c>
      <x:c r="AB1456" s="13" t="str">
        <x:f>IF(AND(ISNUMBER(H1456),ISNUMBER(W1456)),H1456/MAX(1,'Обзор'!$B$4-W1456),"")</x:f>
      </x:c>
      <x:c r="AC1456" s="17" t="str">
        <x:v>Не решено</x:v>
      </x:c>
      <x:c r="AD1456" s="17" t="str">
        <x:v>Не проверено</x:v>
      </x:c>
      <x:c r="AE1456" s="17" t="str">
        <x:v>Не проверено</x:v>
      </x:c>
      <x:c r="AF1456" s="17" t="str">
        <x:v>Не проверено</x:v>
      </x:c>
      <x:c r="AG1456" s="17" t="str">
        <x:v>Не решено</x:v>
      </x:c>
      <x:c r="AH1456" s="17" t="str">
        <x:v>Не проверено</x:v>
      </x:c>
      <x:c r="AI1456" s="10" t="str">
        <x:f>IF(AC1456="Отклонить","Отклонено",IF(AND(AC1456="Взять",COUNTIFS(AD1456:AH1456,"Да")=5),"Готово","Нужна редактура"))</x:f>
        <x:v>Нужна редактура</x:v>
      </x:c>
      <x:c r="AJ1456" s="17" t="str"/>
      <x:c r="AK1456" s="9" t="str">
        <x:v>https://www.youtube.com/@Shomersaf/videos</x:v>
      </x:c>
      <x:c r="AL1456" s="9" t="n">
        <x:v>12</x:v>
      </x:c>
      <x:c r="AM1456" s="9"/>
      <x:c r="AN1456" s="9"/>
    </x:row>
    <x:row r="1457" ht="60" customHeight="1">
      <x:c r="A1457" s="9" t="str">
        <x:v>JXU7SVpLW80</x:v>
      </x:c>
      <x:c r="B1457" s="10" t="str">
        <x:v>למה התרחקתי ממטה משפחות החטופים. שומר סף 400 עם איריס חיים</x:v>
      </x:c>
      <x:c r="C1457" s="10" t="str">
        <x:v>Общественная дискуссия</x:v>
      </x:c>
      <x:c r="D1457" s="9" t="str">
        <x:v>Интервью</x:v>
      </x:c>
      <x:c r="E1457" s="10" t="str">
        <x:v>Интервью; общество; продвинутые</x:v>
      </x:c>
      <x:c r="F1457" s="10" t="str">
        <x:v>B2–C1 (гипотеза)</x:v>
      </x:c>
      <x:c r="G1457" s="12" t="n">
        <x:v>46.8</x:v>
      </x:c>
      <x:c r="H1457" s="14" t="n">
        <x:v>43633</x:v>
      </x:c>
      <x:c r="I1457" s="15" t="str">
        <x:v>Точный счётчик метаданных видео</x:v>
      </x:c>
      <x:c r="J1457" s="14" t="n">
        <x:v>43000</x:v>
      </x:c>
      <x:c r="K1457" s="14" t="n">
        <x:v>33000</x:v>
      </x:c>
      <x:c r="L1457" s="12" t="n">
        <x:f>IF(COUNT(J1457:K1457)=2,IF(K1457=0,"",J1457/K1457),"")</x:f>
        <x:v>1.303030303030303</x:v>
      </x:c>
      <x:c r="M1457" s="10" t="str">
        <x:v>Тема / гость: למה התרחקתי ממטה משפחות החטופים. שומר סף 400 עם איריס חיים. Источник для аудитории общественных дебатов; полезен при явной атрибуции позиции ведущего и гостя.</x:v>
      </x:c>
      <x:c r="N1457" s="10" t="str">
        <x:v>Выбрать 5–8 минут: тезис, аргумент, уточняющий вопрос. Проверить фактические утверждения.</x:v>
      </x:c>
      <x:c r="O1457" s="10" t="str">
        <x:v>В заголовке есть чувствительная тема: предварительный просмотр и добровольный выбор. Авторская политическая перспектива; не выдавать за нейтральный обзор</x:v>
      </x:c>
      <x:c r="P1457" s="10" t="str">
        <x:v>Длинное интервью</x:v>
      </x:c>
      <x:c r="Q1457" s="9" t="str">
        <x:v>Нет</x:v>
      </x:c>
      <x:c r="R1457" s="9" t="str">
        <x:v>C087</x:v>
      </x:c>
      <x:c r="S1457" s="9" t="str">
        <x:v>C087</x:v>
      </x:c>
      <x:c r="T1457" s="10" t="str">
        <x:v>גדי טאוב: שומר סף</x:v>
      </x:c>
      <x:c r="U1457" s="11" t="str">
        <x:v>https://www.youtube.com/watch?v=JXU7SVpLW80</x:v>
      </x:c>
      <x:c r="V1457" s="16" t="n">
        <x:v>46308</x:v>
      </x:c>
      <x:c r="W1457" s="16" t="n">
        <x:v>46294</x:v>
      </x:c>
      <x:c r="X1457" s="10" t="str">
        <x:v>Иврит предполагается по заголовку и источнику</x:v>
      </x:c>
      <x:c r="Y1457" s="10" t="str">
        <x:v>Автоматическая дорожка HE по метаданным</x:v>
      </x:c>
      <x:c r="Z1457" s="10" t="str">
        <x:v>Разрешено по метаданным</x:v>
      </x:c>
      <x:c r="AA1457" s="10" t="str">
        <x:v>Метаданные видео; воспроизведение и содержание не проверены</x:v>
      </x:c>
      <x:c r="AB1457" s="13" t="n">
        <x:f>IF(AND(ISNUMBER(H1457),ISNUMBER(W1457)),H1457/MAX(1,'Обзор'!$B$4-W1457),"")</x:f>
        <x:v>3116.6428571428573</x:v>
      </x:c>
      <x:c r="AC1457" s="17" t="str">
        <x:v>Не решено</x:v>
      </x:c>
      <x:c r="AD1457" s="17" t="str">
        <x:v>Не проверено</x:v>
      </x:c>
      <x:c r="AE1457" s="17" t="str">
        <x:v>Не проверено</x:v>
      </x:c>
      <x:c r="AF1457" s="17" t="str">
        <x:v>Не проверено</x:v>
      </x:c>
      <x:c r="AG1457" s="17" t="str">
        <x:v>Не решено</x:v>
      </x:c>
      <x:c r="AH1457" s="17" t="str">
        <x:v>Не проверено</x:v>
      </x:c>
      <x:c r="AI1457" s="10" t="str">
        <x:f>IF(AC1457="Отклонить","Отклонено",IF(AND(AC1457="Взять",COUNTIFS(AD1457:AH1457,"Да")=5),"Готово","Нужна редактура"))</x:f>
        <x:v>Нужна редактура</x:v>
      </x:c>
      <x:c r="AJ1457" s="17" t="str"/>
      <x:c r="AK1457" s="9" t="str">
        <x:v>https://www.youtube.com/@Shomersaf/videos</x:v>
      </x:c>
      <x:c r="AL1457" s="9" t="n">
        <x:v>13</x:v>
      </x:c>
      <x:c r="AM1457" s="9"/>
      <x:c r="AN1457" s="9" t="n">
        <x:v>0</x:v>
      </x:c>
    </x:row>
    <x:row r="1458" ht="60" customHeight="1">
      <x:c r="A1458" s="9" t="str">
        <x:v>hVRsGzU4A6k</x:v>
      </x:c>
      <x:c r="B1458" s="10" t="str">
        <x:v>הציבור יותר חכם ממה שנדמה לקמפיינרים. שומר סף 399 עם הפרסומאי נועם פתחי</x:v>
      </x:c>
      <x:c r="C1458" s="10" t="str">
        <x:v>Общественная дискуссия</x:v>
      </x:c>
      <x:c r="D1458" s="9" t="str">
        <x:v>Интервью</x:v>
      </x:c>
      <x:c r="E1458" s="10" t="str">
        <x:v>Интервью; общество; продвинутые</x:v>
      </x:c>
      <x:c r="F1458" s="10" t="str">
        <x:v>B2–C1 (гипотеза)</x:v>
      </x:c>
      <x:c r="G1458" s="12" t="n">
        <x:v>65.5</x:v>
      </x:c>
      <x:c r="H1458" s="14" t="n">
        <x:v>35997</x:v>
      </x:c>
      <x:c r="I1458" s="15" t="str">
        <x:v>Точный счётчик метаданных видео</x:v>
      </x:c>
      <x:c r="J1458" s="14" t="n">
        <x:v>35000</x:v>
      </x:c>
      <x:c r="K1458" s="14" t="n">
        <x:v>33000</x:v>
      </x:c>
      <x:c r="L1458" s="12" t="n">
        <x:f>IF(COUNT(J1458:K1458)=2,IF(K1458=0,"",J1458/K1458),"")</x:f>
        <x:v>1.0606060606060606</x:v>
      </x:c>
      <x:c r="M1458" s="10" t="str">
        <x:v>Тема / гость: הציבור יותר חכם ממה שנדמה לקמפיינרים. שומר סף 399 עם הפרסומאי נועם פתחי. Источник для аудитории общественных дебатов; полезен при явной атрибуции позиции ведущего и гостя.</x:v>
      </x:c>
      <x:c r="N1458" s="10" t="str">
        <x:v>Выбрать 5–8 минут: тезис, аргумент, уточняющий вопрос. Проверить фактические утверждения.</x:v>
      </x:c>
      <x:c r="O1458" s="10" t="str">
        <x:v>Авторская политическая перспектива; не выдавать за нейтральный обзор</x:v>
      </x:c>
      <x:c r="P1458" s="10" t="str">
        <x:v>Длинное интервью</x:v>
      </x:c>
      <x:c r="Q1458" s="9" t="str">
        <x:v>Нет</x:v>
      </x:c>
      <x:c r="R1458" s="9" t="str">
        <x:v>C087</x:v>
      </x:c>
      <x:c r="S1458" s="9" t="str">
        <x:v>C087</x:v>
      </x:c>
      <x:c r="T1458" s="10" t="str">
        <x:v>גדי טאוב: שומר סף</x:v>
      </x:c>
      <x:c r="U1458" s="11" t="str">
        <x:v>https://www.youtube.com/watch?v=hVRsGzU4A6k</x:v>
      </x:c>
      <x:c r="V1458" s="16" t="n">
        <x:v>46308</x:v>
      </x:c>
      <x:c r="W1458" s="16" t="n">
        <x:v>46292</x:v>
      </x:c>
      <x:c r="X1458" s="10" t="str">
        <x:v>Иврит предполагается по заголовку и источнику</x:v>
      </x:c>
      <x:c r="Y1458" s="10" t="str">
        <x:v>Автоматическая дорожка HE по метаданным</x:v>
      </x:c>
      <x:c r="Z1458" s="10" t="str">
        <x:v>Разрешено по метаданным</x:v>
      </x:c>
      <x:c r="AA1458" s="10" t="str">
        <x:v>Метаданные видео; воспроизведение и содержание не проверены</x:v>
      </x:c>
      <x:c r="AB1458" s="13" t="n">
        <x:f>IF(AND(ISNUMBER(H1458),ISNUMBER(W1458)),H1458/MAX(1,'Обзор'!$B$4-W1458),"")</x:f>
        <x:v>2249.8125</x:v>
      </x:c>
      <x:c r="AC1458" s="17" t="str">
        <x:v>Не решено</x:v>
      </x:c>
      <x:c r="AD1458" s="17" t="str">
        <x:v>Не проверено</x:v>
      </x:c>
      <x:c r="AE1458" s="17" t="str">
        <x:v>Не проверено</x:v>
      </x:c>
      <x:c r="AF1458" s="17" t="str">
        <x:v>Не проверено</x:v>
      </x:c>
      <x:c r="AG1458" s="17" t="str">
        <x:v>Не решено</x:v>
      </x:c>
      <x:c r="AH1458" s="17" t="str">
        <x:v>Не проверено</x:v>
      </x:c>
      <x:c r="AI1458" s="10" t="str">
        <x:f>IF(AC1458="Отклонить","Отклонено",IF(AND(AC1458="Взять",COUNTIFS(AD1458:AH1458,"Да")=5),"Готово","Нужна редактура"))</x:f>
        <x:v>Нужна редактура</x:v>
      </x:c>
      <x:c r="AJ1458" s="17" t="str"/>
      <x:c r="AK1458" s="9" t="str">
        <x:v>https://www.youtube.com/@Shomersaf/videos</x:v>
      </x:c>
      <x:c r="AL1458" s="9" t="n">
        <x:v>14</x:v>
      </x:c>
      <x:c r="AM1458" s="9"/>
      <x:c r="AN1458" s="9" t="n">
        <x:v>0</x:v>
      </x:c>
    </x:row>
    <x:row r="1459" ht="60" customHeight="1">
      <x:c r="A1459" s="9" t="str">
        <x:v>diiyCZXp-aU</x:v>
      </x:c>
      <x:c r="B1459" s="10" t="str">
        <x:v>לשמאל נדמה שכבר ניצחנו. משמורת משותפת 47 עם עירית וגדי</x:v>
      </x:c>
      <x:c r="C1459" s="10" t="str">
        <x:v>Общественная дискуссия</x:v>
      </x:c>
      <x:c r="D1459" s="9" t="str">
        <x:v>Интервью</x:v>
      </x:c>
      <x:c r="E1459" s="10" t="str">
        <x:v>Интервью; общество; продвинутые</x:v>
      </x:c>
      <x:c r="F1459" s="10" t="str">
        <x:v>B2–C1 (гипотеза)</x:v>
      </x:c>
      <x:c r="G1459" s="12" t="n">
        <x:v>63.3</x:v>
      </x:c>
      <x:c r="H1459" s="14" t="n">
        <x:v>30000</x:v>
      </x:c>
      <x:c r="I1459" s="15" t="str">
        <x:v>Округлённый счётчик в списке YouTube</x:v>
      </x:c>
      <x:c r="J1459" s="14" t="n">
        <x:v>30000</x:v>
      </x:c>
      <x:c r="K1459" s="14" t="n">
        <x:v>33000</x:v>
      </x:c>
      <x:c r="L1459" s="12" t="n">
        <x:f>IF(COUNT(J1459:K1459)=2,IF(K1459=0,"",J1459/K1459),"")</x:f>
        <x:v>0.9090909090909091</x:v>
      </x:c>
      <x:c r="M1459" s="10" t="str">
        <x:v>Тема / гость: לשמאל נדמה שכבר ניצחנו. משמורת משותפת 47 עם עירית וגדי. Источник для аудитории общественных дебатов; полезен при явной атрибуции позиции ведущего и гостя.</x:v>
      </x:c>
      <x:c r="N1459" s="10" t="str">
        <x:v>Выбрать 5–8 минут: тезис, аргумент, уточняющий вопрос. Проверить фактические утверждения.</x:v>
      </x:c>
      <x:c r="O1459" s="10" t="str">
        <x:v>Авторская политическая перспектива; не выдавать за нейтральный обзор</x:v>
      </x:c>
      <x:c r="P1459" s="10" t="str">
        <x:v>Длинное интервью</x:v>
      </x:c>
      <x:c r="Q1459" s="9" t="str">
        <x:v>Нет</x:v>
      </x:c>
      <x:c r="R1459" s="9" t="str">
        <x:v>C087</x:v>
      </x:c>
      <x:c r="S1459" s="9" t="str">
        <x:v>C087</x:v>
      </x:c>
      <x:c r="T1459" s="10" t="str">
        <x:v>גדי טאוב: שומר סף</x:v>
      </x:c>
      <x:c r="U1459" s="11" t="str">
        <x:v>https://www.youtube.com/watch?v=diiyCZXp-aU</x:v>
      </x:c>
      <x:c r="V1459" s="16" t="n">
        <x:v>46308</x:v>
      </x:c>
      <x:c r="W1459" s="16"/>
      <x:c r="X1459" s="10" t="str">
        <x:v>Иврит предполагается по заголовку и источнику</x:v>
      </x:c>
      <x:c r="Y1459" s="10" t="str">
        <x:v>Не проверено</x:v>
      </x:c>
      <x:c r="Z1459" s="10" t="str">
        <x:v>Не проверено</x:v>
      </x:c>
      <x:c r="AA1459" s="10" t="str">
        <x:v>Метаданные списка; видео не просмотрено</x:v>
      </x:c>
      <x:c r="AB1459" s="13" t="str">
        <x:f>IF(AND(ISNUMBER(H1459),ISNUMBER(W1459)),H1459/MAX(1,'Обзор'!$B$4-W1459),"")</x:f>
      </x:c>
      <x:c r="AC1459" s="17" t="str">
        <x:v>Не решено</x:v>
      </x:c>
      <x:c r="AD1459" s="17" t="str">
        <x:v>Не проверено</x:v>
      </x:c>
      <x:c r="AE1459" s="17" t="str">
        <x:v>Не проверено</x:v>
      </x:c>
      <x:c r="AF1459" s="17" t="str">
        <x:v>Не проверено</x:v>
      </x:c>
      <x:c r="AG1459" s="17" t="str">
        <x:v>Не решено</x:v>
      </x:c>
      <x:c r="AH1459" s="17" t="str">
        <x:v>Не проверено</x:v>
      </x:c>
      <x:c r="AI1459" s="10" t="str">
        <x:f>IF(AC1459="Отклонить","Отклонено",IF(AND(AC1459="Взять",COUNTIFS(AD1459:AH1459,"Да")=5),"Готово","Нужна редактура"))</x:f>
        <x:v>Нужна редактура</x:v>
      </x:c>
      <x:c r="AJ1459" s="17" t="str"/>
      <x:c r="AK1459" s="9" t="str">
        <x:v>https://www.youtube.com/@Shomersaf/videos</x:v>
      </x:c>
      <x:c r="AL1459" s="9" t="n">
        <x:v>15</x:v>
      </x:c>
      <x:c r="AM1459" s="9"/>
      <x:c r="AN1459" s="9"/>
    </x:row>
    <x:row r="1460" ht="60" customHeight="1">
      <x:c r="A1460" s="9" t="str">
        <x:v>y0vaLVF54ok</x:v>
      </x:c>
      <x:c r="B1460" s="10" t="str">
        <x:v>אחרון המוהיקנים של השמאל המדיני. נגד הרוח 12 עם חיים רמון וד"ר יעקב בן שמש</x:v>
      </x:c>
      <x:c r="C1460" s="10" t="str">
        <x:v>Общественная дискуссия</x:v>
      </x:c>
      <x:c r="D1460" s="9" t="str">
        <x:v>Интервью</x:v>
      </x:c>
      <x:c r="E1460" s="10" t="str">
        <x:v>Интервью; общество; продвинутые</x:v>
      </x:c>
      <x:c r="F1460" s="10" t="str">
        <x:v>B2–C1 (гипотеза)</x:v>
      </x:c>
      <x:c r="G1460" s="12" t="n">
        <x:v>31.4</x:v>
      </x:c>
      <x:c r="H1460" s="14" t="n">
        <x:v>38227</x:v>
      </x:c>
      <x:c r="I1460" s="15" t="str">
        <x:v>Точный счётчик метаданных видео</x:v>
      </x:c>
      <x:c r="J1460" s="14" t="n">
        <x:v>38000</x:v>
      </x:c>
      <x:c r="K1460" s="14" t="n">
        <x:v>33000</x:v>
      </x:c>
      <x:c r="L1460" s="12" t="n">
        <x:f>IF(COUNT(J1460:K1460)=2,IF(K1460=0,"",J1460/K1460),"")</x:f>
        <x:v>1.1515151515151516</x:v>
      </x:c>
      <x:c r="M1460" s="10" t="str">
        <x:v>Тема / гость: אחרון המוהיקנים של השמאל המדיני. נגד הרוח 12 עם חיים רמון וד"ר יעקב בן שמש. Источник для аудитории общественных дебатов; полезен при явной атрибуции позиции ведущего и гостя.</x:v>
      </x:c>
      <x:c r="N1460" s="10" t="str">
        <x:v>Выбрать 5–8 минут: тезис, аргумент, уточняющий вопрос. Проверить фактические утверждения.</x:v>
      </x:c>
      <x:c r="O1460" s="10" t="str">
        <x:v>Авторская политическая перспектива; не выдавать за нейтральный обзор</x:v>
      </x:c>
      <x:c r="P1460" s="10" t="str">
        <x:v>Длинное интервью</x:v>
      </x:c>
      <x:c r="Q1460" s="9" t="str">
        <x:v>Нет</x:v>
      </x:c>
      <x:c r="R1460" s="9" t="str">
        <x:v>C087</x:v>
      </x:c>
      <x:c r="S1460" s="9" t="str">
        <x:v>C087</x:v>
      </x:c>
      <x:c r="T1460" s="10" t="str">
        <x:v>גדי טאוב: שומר סף</x:v>
      </x:c>
      <x:c r="U1460" s="11" t="str">
        <x:v>https://www.youtube.com/watch?v=y0vaLVF54ok</x:v>
      </x:c>
      <x:c r="V1460" s="16" t="n">
        <x:v>46308</x:v>
      </x:c>
      <x:c r="W1460" s="16" t="n">
        <x:v>46289</x:v>
      </x:c>
      <x:c r="X1460" s="10" t="str">
        <x:v>Иврит предполагается по заголовку и источнику</x:v>
      </x:c>
      <x:c r="Y1460" s="10" t="str">
        <x:v>Автоматическая дорожка HE по метаданным</x:v>
      </x:c>
      <x:c r="Z1460" s="10" t="str">
        <x:v>Разрешено по метаданным</x:v>
      </x:c>
      <x:c r="AA1460" s="10" t="str">
        <x:v>Метаданные видео; воспроизведение и содержание не проверены</x:v>
      </x:c>
      <x:c r="AB1460" s="13" t="n">
        <x:f>IF(AND(ISNUMBER(H1460),ISNUMBER(W1460)),H1460/MAX(1,'Обзор'!$B$4-W1460),"")</x:f>
        <x:v>2011.9473684210527</x:v>
      </x:c>
      <x:c r="AC1460" s="17" t="str">
        <x:v>Не решено</x:v>
      </x:c>
      <x:c r="AD1460" s="17" t="str">
        <x:v>Не проверено</x:v>
      </x:c>
      <x:c r="AE1460" s="17" t="str">
        <x:v>Не проверено</x:v>
      </x:c>
      <x:c r="AF1460" s="17" t="str">
        <x:v>Не проверено</x:v>
      </x:c>
      <x:c r="AG1460" s="17" t="str">
        <x:v>Не решено</x:v>
      </x:c>
      <x:c r="AH1460" s="17" t="str">
        <x:v>Не проверено</x:v>
      </x:c>
      <x:c r="AI1460" s="10" t="str">
        <x:f>IF(AC1460="Отклонить","Отклонено",IF(AND(AC1460="Взять",COUNTIFS(AD1460:AH1460,"Да")=5),"Готово","Нужна редактура"))</x:f>
        <x:v>Нужна редактура</x:v>
      </x:c>
      <x:c r="AJ1460" s="17" t="str"/>
      <x:c r="AK1460" s="9" t="str">
        <x:v>https://www.youtube.com/@Shomersaf/videos</x:v>
      </x:c>
      <x:c r="AL1460" s="9" t="n">
        <x:v>16</x:v>
      </x:c>
      <x:c r="AM1460" s="9"/>
      <x:c r="AN1460" s="9" t="n">
        <x:v>0</x:v>
      </x:c>
    </x:row>
    <x:row r="1461" ht="60" customHeight="1">
      <x:c r="A1461" s="9" t="str">
        <x:v>wWBZ-OXXVtM</x:v>
      </x:c>
      <x:c r="B1461" s="10" t="str">
        <x:v>שותפות אזרחית? ג'יהאד אזרחי! המאבק הדתי של מנסור עבאס במדינת ישראל - פרוייקט מיוחד</x:v>
      </x:c>
      <x:c r="C1461" s="10" t="str">
        <x:v>Общественная дискуссия</x:v>
      </x:c>
      <x:c r="D1461" s="9" t="str">
        <x:v>Интервью</x:v>
      </x:c>
      <x:c r="E1461" s="10" t="str">
        <x:v>Интервью; общество; продвинутые</x:v>
      </x:c>
      <x:c r="F1461" s="10" t="str">
        <x:v>B2–C1 (гипотеза)</x:v>
      </x:c>
      <x:c r="G1461" s="12" t="n">
        <x:v>98.4</x:v>
      </x:c>
      <x:c r="H1461" s="14" t="n">
        <x:v>50596</x:v>
      </x:c>
      <x:c r="I1461" s="15" t="str">
        <x:v>Точный счётчик метаданных видео</x:v>
      </x:c>
      <x:c r="J1461" s="14" t="n">
        <x:v>50000</x:v>
      </x:c>
      <x:c r="K1461" s="14" t="n">
        <x:v>33000</x:v>
      </x:c>
      <x:c r="L1461" s="12" t="n">
        <x:f>IF(COUNT(J1461:K1461)=2,IF(K1461=0,"",J1461/K1461),"")</x:f>
        <x:v>1.5151515151515151</x:v>
      </x:c>
      <x:c r="M1461" s="10" t="str">
        <x:v>Тема / гость: שותפות אזרחית? ג'יהאד אזרחי! המאבק הדתי של מנסור עבאס במדינת ישראל - פרוייקט מיוחד. Просмотры в списке выше медианы выборки этого цикла в 1.52 раза. Источник для аудитории общественных дебатов; полезен при явной атрибуции позиции ведущего и гостя.</x:v>
      </x:c>
      <x:c r="N1461" s="10" t="str">
        <x:v>Выбрать 5–8 минут: тезис, аргумент, уточняющий вопрос. Проверить фактические утверждения.</x:v>
      </x:c>
      <x:c r="O1461" s="10" t="str">
        <x:v>Авторская политическая перспектива; не выдавать за нейтральный обзор</x:v>
      </x:c>
      <x:c r="P1461" s="10" t="str">
        <x:v>Длинное интервью</x:v>
      </x:c>
      <x:c r="Q1461" s="9" t="str">
        <x:v>Нет</x:v>
      </x:c>
      <x:c r="R1461" s="9" t="str">
        <x:v>C087</x:v>
      </x:c>
      <x:c r="S1461" s="9" t="str">
        <x:v>C087</x:v>
      </x:c>
      <x:c r="T1461" s="10" t="str">
        <x:v>גדי טאוב: שומר סף</x:v>
      </x:c>
      <x:c r="U1461" s="11" t="str">
        <x:v>https://www.youtube.com/watch?v=wWBZ-OXXVtM</x:v>
      </x:c>
      <x:c r="V1461" s="16" t="n">
        <x:v>46308</x:v>
      </x:c>
      <x:c r="W1461" s="16" t="n">
        <x:v>46288</x:v>
      </x:c>
      <x:c r="X1461" s="10" t="str">
        <x:v>Иврит предполагается по заголовку и источнику</x:v>
      </x:c>
      <x:c r="Y1461" s="10" t="str">
        <x:v>Автоматическая дорожка HE по метаданным</x:v>
      </x:c>
      <x:c r="Z1461" s="10" t="str">
        <x:v>Разрешено по метаданным</x:v>
      </x:c>
      <x:c r="AA1461" s="10" t="str">
        <x:v>Метаданные видео; воспроизведение и содержание не проверены</x:v>
      </x:c>
      <x:c r="AB1461" s="13" t="n">
        <x:f>IF(AND(ISNUMBER(H1461),ISNUMBER(W1461)),H1461/MAX(1,'Обзор'!$B$4-W1461),"")</x:f>
        <x:v>2529.8</x:v>
      </x:c>
      <x:c r="AC1461" s="17" t="str">
        <x:v>Не решено</x:v>
      </x:c>
      <x:c r="AD1461" s="17" t="str">
        <x:v>Не проверено</x:v>
      </x:c>
      <x:c r="AE1461" s="17" t="str">
        <x:v>Не проверено</x:v>
      </x:c>
      <x:c r="AF1461" s="17" t="str">
        <x:v>Не проверено</x:v>
      </x:c>
      <x:c r="AG1461" s="17" t="str">
        <x:v>Не решено</x:v>
      </x:c>
      <x:c r="AH1461" s="17" t="str">
        <x:v>Не проверено</x:v>
      </x:c>
      <x:c r="AI1461" s="10" t="str">
        <x:f>IF(AC1461="Отклонить","Отклонено",IF(AND(AC1461="Взять",COUNTIFS(AD1461:AH1461,"Да")=5),"Готово","Нужна редактура"))</x:f>
        <x:v>Нужна редактура</x:v>
      </x:c>
      <x:c r="AJ1461" s="17" t="str"/>
      <x:c r="AK1461" s="9" t="str">
        <x:v>https://www.youtube.com/@Shomersaf/videos</x:v>
      </x:c>
      <x:c r="AL1461" s="9" t="n">
        <x:v>17</x:v>
      </x:c>
      <x:c r="AM1461" s="9"/>
      <x:c r="AN1461" s="9" t="n">
        <x:v>0</x:v>
      </x:c>
    </x:row>
    <x:row r="1462" ht="60" customHeight="1">
      <x:c r="A1462" s="9" t="str">
        <x:v>YImxe-69FD0</x:v>
      </x:c>
      <x:c r="B1462" s="10" t="str">
        <x:v>רק הרחוב ינצח. בלתי סביר בעליל 55</x:v>
      </x:c>
      <x:c r="C1462" s="10" t="str">
        <x:v>Общественная дискуссия</x:v>
      </x:c>
      <x:c r="D1462" s="9" t="str">
        <x:v>Интервью</x:v>
      </x:c>
      <x:c r="E1462" s="10" t="str">
        <x:v>Интервью; общество; продвинутые</x:v>
      </x:c>
      <x:c r="F1462" s="10" t="str">
        <x:v>B2–C1 (гипотеза)</x:v>
      </x:c>
      <x:c r="G1462" s="12" t="n">
        <x:v>67.5</x:v>
      </x:c>
      <x:c r="H1462" s="14" t="n">
        <x:v>17000</x:v>
      </x:c>
      <x:c r="I1462" s="15" t="str">
        <x:v>Округлённый счётчик в списке YouTube</x:v>
      </x:c>
      <x:c r="J1462" s="14" t="n">
        <x:v>17000</x:v>
      </x:c>
      <x:c r="K1462" s="14" t="n">
        <x:v>33000</x:v>
      </x:c>
      <x:c r="L1462" s="12" t="n">
        <x:f>IF(COUNT(J1462:K1462)=2,IF(K1462=0,"",J1462/K1462),"")</x:f>
        <x:v>0.5151515151515151</x:v>
      </x:c>
      <x:c r="M1462" s="10" t="str">
        <x:v>Тема / гость: רק הרחוב ינצח. בלתי סביר בעליל 55. Источник для аудитории общественных дебатов; полезен при явной атрибуции позиции ведущего и гостя.</x:v>
      </x:c>
      <x:c r="N1462" s="10" t="str">
        <x:v>Выбрать 5–8 минут: тезис, аргумент, уточняющий вопрос. Проверить фактические утверждения.</x:v>
      </x:c>
      <x:c r="O1462" s="10" t="str">
        <x:v>Авторская политическая перспектива; не выдавать за нейтральный обзор</x:v>
      </x:c>
      <x:c r="P1462" s="10" t="str">
        <x:v>Длинное интервью</x:v>
      </x:c>
      <x:c r="Q1462" s="9" t="str">
        <x:v>Нет</x:v>
      </x:c>
      <x:c r="R1462" s="9" t="str">
        <x:v>C087</x:v>
      </x:c>
      <x:c r="S1462" s="9" t="str">
        <x:v>C087</x:v>
      </x:c>
      <x:c r="T1462" s="10" t="str">
        <x:v>גדי טאוב: שומר סף</x:v>
      </x:c>
      <x:c r="U1462" s="11" t="str">
        <x:v>https://www.youtube.com/watch?v=YImxe-69FD0</x:v>
      </x:c>
      <x:c r="V1462" s="16" t="n">
        <x:v>46308</x:v>
      </x:c>
      <x:c r="W1462" s="16"/>
      <x:c r="X1462" s="10" t="str">
        <x:v>Иврит предполагается по заголовку и источнику</x:v>
      </x:c>
      <x:c r="Y1462" s="10" t="str">
        <x:v>Не проверено</x:v>
      </x:c>
      <x:c r="Z1462" s="10" t="str">
        <x:v>Не проверено</x:v>
      </x:c>
      <x:c r="AA1462" s="10" t="str">
        <x:v>Метаданные списка; видео не просмотрено</x:v>
      </x:c>
      <x:c r="AB1462" s="13" t="str">
        <x:f>IF(AND(ISNUMBER(H1462),ISNUMBER(W1462)),H1462/MAX(1,'Обзор'!$B$4-W1462),"")</x:f>
      </x:c>
      <x:c r="AC1462" s="17" t="str">
        <x:v>Не решено</x:v>
      </x:c>
      <x:c r="AD1462" s="17" t="str">
        <x:v>Не проверено</x:v>
      </x:c>
      <x:c r="AE1462" s="17" t="str">
        <x:v>Не проверено</x:v>
      </x:c>
      <x:c r="AF1462" s="17" t="str">
        <x:v>Не проверено</x:v>
      </x:c>
      <x:c r="AG1462" s="17" t="str">
        <x:v>Не решено</x:v>
      </x:c>
      <x:c r="AH1462" s="17" t="str">
        <x:v>Не проверено</x:v>
      </x:c>
      <x:c r="AI1462" s="10" t="str">
        <x:f>IF(AC1462="Отклонить","Отклонено",IF(AND(AC1462="Взять",COUNTIFS(AD1462:AH1462,"Да")=5),"Готово","Нужна редактура"))</x:f>
        <x:v>Нужна редактура</x:v>
      </x:c>
      <x:c r="AJ1462" s="17" t="str"/>
      <x:c r="AK1462" s="9" t="str">
        <x:v>https://www.youtube.com/@Shomersaf/videos</x:v>
      </x:c>
      <x:c r="AL1462" s="9" t="n">
        <x:v>18</x:v>
      </x:c>
      <x:c r="AM1462" s="9"/>
      <x:c r="AN1462" s="9"/>
    </x:row>
    <x:row r="1463" ht="60" customHeight="1">
      <x:c r="A1463" s="9" t="str">
        <x:v>zHJcfkJGjAM</x:v>
      </x:c>
      <x:c r="B1463" s="10" t="str">
        <x:v>עירית וגדי מסכמים את תשפ״ו. משמורת משותפת 46</x:v>
      </x:c>
      <x:c r="C1463" s="10" t="str">
        <x:v>Общественная дискуссия</x:v>
      </x:c>
      <x:c r="D1463" s="9" t="str">
        <x:v>Интервью</x:v>
      </x:c>
      <x:c r="E1463" s="10" t="str">
        <x:v>Интервью; общество; продвинутые</x:v>
      </x:c>
      <x:c r="F1463" s="10" t="str">
        <x:v>B2–C1 (гипотеза)</x:v>
      </x:c>
      <x:c r="G1463" s="12" t="n">
        <x:v>62.4</x:v>
      </x:c>
      <x:c r="H1463" s="14" t="n">
        <x:v>34205</x:v>
      </x:c>
      <x:c r="I1463" s="15" t="str">
        <x:v>Точный счётчик метаданных видео</x:v>
      </x:c>
      <x:c r="J1463" s="14" t="n">
        <x:v>34000</x:v>
      </x:c>
      <x:c r="K1463" s="14" t="n">
        <x:v>33000</x:v>
      </x:c>
      <x:c r="L1463" s="12" t="n">
        <x:f>IF(COUNT(J1463:K1463)=2,IF(K1463=0,"",J1463/K1463),"")</x:f>
        <x:v>1.0303030303030303</x:v>
      </x:c>
      <x:c r="M1463" s="10" t="str">
        <x:v>Тема / гость: עירית וגדי מסכמים את תשפ״ו. משמורת משותפת 46. Источник для аудитории общественных дебатов; полезен при явной атрибуции позиции ведущего и гостя.</x:v>
      </x:c>
      <x:c r="N1463" s="10" t="str">
        <x:v>Выбрать 5–8 минут: тезис, аргумент, уточняющий вопрос. Проверить фактические утверждения.</x:v>
      </x:c>
      <x:c r="O1463" s="10" t="str">
        <x:v>Авторская политическая перспектива; не выдавать за нейтральный обзор</x:v>
      </x:c>
      <x:c r="P1463" s="10" t="str">
        <x:v>Длинное интервью</x:v>
      </x:c>
      <x:c r="Q1463" s="9" t="str">
        <x:v>Нет</x:v>
      </x:c>
      <x:c r="R1463" s="9" t="str">
        <x:v>C087</x:v>
      </x:c>
      <x:c r="S1463" s="9" t="str">
        <x:v>C087</x:v>
      </x:c>
      <x:c r="T1463" s="10" t="str">
        <x:v>גדי טאוב: שומר סף</x:v>
      </x:c>
      <x:c r="U1463" s="11" t="str">
        <x:v>https://www.youtube.com/watch?v=zHJcfkJGjAM</x:v>
      </x:c>
      <x:c r="V1463" s="16" t="n">
        <x:v>46308</x:v>
      </x:c>
      <x:c r="W1463" s="16" t="n">
        <x:v>46283</x:v>
      </x:c>
      <x:c r="X1463" s="10" t="str">
        <x:v>Иврит предполагается по заголовку и источнику</x:v>
      </x:c>
      <x:c r="Y1463" s="10" t="str">
        <x:v>Автоматическая дорожка HE по метаданным</x:v>
      </x:c>
      <x:c r="Z1463" s="10" t="str">
        <x:v>Разрешено по метаданным</x:v>
      </x:c>
      <x:c r="AA1463" s="10" t="str">
        <x:v>Метаданные видео; воспроизведение и содержание не проверены</x:v>
      </x:c>
      <x:c r="AB1463" s="13" t="n">
        <x:f>IF(AND(ISNUMBER(H1463),ISNUMBER(W1463)),H1463/MAX(1,'Обзор'!$B$4-W1463),"")</x:f>
        <x:v>1368.2</x:v>
      </x:c>
      <x:c r="AC1463" s="17" t="str">
        <x:v>Не решено</x:v>
      </x:c>
      <x:c r="AD1463" s="17" t="str">
        <x:v>Не проверено</x:v>
      </x:c>
      <x:c r="AE1463" s="17" t="str">
        <x:v>Не проверено</x:v>
      </x:c>
      <x:c r="AF1463" s="17" t="str">
        <x:v>Не проверено</x:v>
      </x:c>
      <x:c r="AG1463" s="17" t="str">
        <x:v>Не решено</x:v>
      </x:c>
      <x:c r="AH1463" s="17" t="str">
        <x:v>Не проверено</x:v>
      </x:c>
      <x:c r="AI1463" s="10" t="str">
        <x:f>IF(AC1463="Отклонить","Отклонено",IF(AND(AC1463="Взять",COUNTIFS(AD1463:AH1463,"Да")=5),"Готово","Нужна редактура"))</x:f>
        <x:v>Нужна редактура</x:v>
      </x:c>
      <x:c r="AJ1463" s="17" t="str"/>
      <x:c r="AK1463" s="9" t="str">
        <x:v>https://www.youtube.com/@Shomersaf/videos</x:v>
      </x:c>
      <x:c r="AL1463" s="9" t="n">
        <x:v>19</x:v>
      </x:c>
      <x:c r="AM1463" s="9"/>
      <x:c r="AN1463" s="9" t="n">
        <x:v>0</x:v>
      </x:c>
    </x:row>
    <x:row r="1464" ht="60" customHeight="1">
      <x:c r="A1464" s="9" t="str">
        <x:v>d_uJ695xd5s</x:v>
      </x:c>
      <x:c r="B1464" s="10" t="str">
        <x:v>השר בן-גביר: שומר חומות לא ייקרה שוב. שומר סף 398</x:v>
      </x:c>
      <x:c r="C1464" s="10" t="str">
        <x:v>Общественная дискуссия</x:v>
      </x:c>
      <x:c r="D1464" s="9" t="str">
        <x:v>Интервью</x:v>
      </x:c>
      <x:c r="E1464" s="10" t="str">
        <x:v>Интервью; общество; продвинутые</x:v>
      </x:c>
      <x:c r="F1464" s="10" t="str">
        <x:v>B2–C1 (гипотеза)</x:v>
      </x:c>
      <x:c r="G1464" s="12" t="n">
        <x:v>53.3</x:v>
      </x:c>
      <x:c r="H1464" s="14" t="n">
        <x:v>54270</x:v>
      </x:c>
      <x:c r="I1464" s="15" t="str">
        <x:v>Точный счётчик метаданных видео</x:v>
      </x:c>
      <x:c r="J1464" s="14" t="n">
        <x:v>54000</x:v>
      </x:c>
      <x:c r="K1464" s="14" t="n">
        <x:v>33000</x:v>
      </x:c>
      <x:c r="L1464" s="12" t="n">
        <x:f>IF(COUNT(J1464:K1464)=2,IF(K1464=0,"",J1464/K1464),"")</x:f>
        <x:v>1.6363636363636365</x:v>
      </x:c>
      <x:c r="M1464" s="10" t="str">
        <x:v>Тема / гость: השר בן-גביר: שומר חומות לא ייקרה שוב. שומר סף 398. Просмотры в списке выше медианы выборки этого цикла в 1.64 раза. Источник для аудитории общественных дебатов; полезен при явной атрибуции позиции ведущего и гостя.</x:v>
      </x:c>
      <x:c r="N1464" s="10" t="str">
        <x:v>Выбрать 5–8 минут: тезис, аргумент, уточняющий вопрос. Проверить фактические утверждения.</x:v>
      </x:c>
      <x:c r="O1464" s="10" t="str">
        <x:v>Авторская политическая перспектива; не выдавать за нейтральный обзор</x:v>
      </x:c>
      <x:c r="P1464" s="10" t="str">
        <x:v>Длинное интервью</x:v>
      </x:c>
      <x:c r="Q1464" s="9" t="str">
        <x:v>Нет</x:v>
      </x:c>
      <x:c r="R1464" s="9" t="str">
        <x:v>C087</x:v>
      </x:c>
      <x:c r="S1464" s="9" t="str">
        <x:v>C087</x:v>
      </x:c>
      <x:c r="T1464" s="10" t="str">
        <x:v>גדי טאוב: שומר סף</x:v>
      </x:c>
      <x:c r="U1464" s="11" t="str">
        <x:v>https://www.youtube.com/watch?v=d_uJ695xd5s</x:v>
      </x:c>
      <x:c r="V1464" s="16" t="n">
        <x:v>46308</x:v>
      </x:c>
      <x:c r="W1464" s="16" t="n">
        <x:v>46282</x:v>
      </x:c>
      <x:c r="X1464" s="10" t="str">
        <x:v>Иврит предполагается по заголовку и источнику</x:v>
      </x:c>
      <x:c r="Y1464" s="10" t="str">
        <x:v>Автоматическая дорожка HE по метаданным</x:v>
      </x:c>
      <x:c r="Z1464" s="10" t="str">
        <x:v>Разрешено по метаданным</x:v>
      </x:c>
      <x:c r="AA1464" s="10" t="str">
        <x:v>Метаданные видео; воспроизведение и содержание не проверены</x:v>
      </x:c>
      <x:c r="AB1464" s="13" t="n">
        <x:f>IF(AND(ISNUMBER(H1464),ISNUMBER(W1464)),H1464/MAX(1,'Обзор'!$B$4-W1464),"")</x:f>
        <x:v>2087.3076923076924</x:v>
      </x:c>
      <x:c r="AC1464" s="17" t="str">
        <x:v>Не решено</x:v>
      </x:c>
      <x:c r="AD1464" s="17" t="str">
        <x:v>Не проверено</x:v>
      </x:c>
      <x:c r="AE1464" s="17" t="str">
        <x:v>Не проверено</x:v>
      </x:c>
      <x:c r="AF1464" s="17" t="str">
        <x:v>Не проверено</x:v>
      </x:c>
      <x:c r="AG1464" s="17" t="str">
        <x:v>Не решено</x:v>
      </x:c>
      <x:c r="AH1464" s="17" t="str">
        <x:v>Не проверено</x:v>
      </x:c>
      <x:c r="AI1464" s="10" t="str">
        <x:f>IF(AC1464="Отклонить","Отклонено",IF(AND(AC1464="Взять",COUNTIFS(AD1464:AH1464,"Да")=5),"Готово","Нужна редактура"))</x:f>
        <x:v>Нужна редактура</x:v>
      </x:c>
      <x:c r="AJ1464" s="17" t="str"/>
      <x:c r="AK1464" s="9" t="str">
        <x:v>https://www.youtube.com/@Shomersaf/videos</x:v>
      </x:c>
      <x:c r="AL1464" s="9" t="n">
        <x:v>20</x:v>
      </x:c>
      <x:c r="AM1464" s="9"/>
      <x:c r="AN1464" s="9" t="n">
        <x:v>0</x:v>
      </x:c>
    </x:row>
    <x:row r="1465" ht="60" customHeight="1">
      <x:c r="A1465" s="9" t="str">
        <x:v>oecaBuEdxZU</x:v>
      </x:c>
      <x:c r="B1465" s="10" t="str">
        <x:v>שומר סף לייב 16 - על תעמולה וספינים, עם גדי ואראל. שודר - 7.9.2026</x:v>
      </x:c>
      <x:c r="C1465" s="10" t="str">
        <x:v>Общественная дискуссия</x:v>
      </x:c>
      <x:c r="D1465" s="9" t="str">
        <x:v>Интервью</x:v>
      </x:c>
      <x:c r="E1465" s="10" t="str">
        <x:v>Интервью; общество; продвинутые</x:v>
      </x:c>
      <x:c r="F1465" s="10" t="str">
        <x:v>B2–C1 (гипотеза)</x:v>
      </x:c>
      <x:c r="G1465" s="12" t="n">
        <x:v>60.4</x:v>
      </x:c>
      <x:c r="H1465" s="14" t="n">
        <x:v>15000</x:v>
      </x:c>
      <x:c r="I1465" s="15" t="str">
        <x:v>Округлённый счётчик в списке YouTube</x:v>
      </x:c>
      <x:c r="J1465" s="14" t="n">
        <x:v>15000</x:v>
      </x:c>
      <x:c r="K1465" s="14" t="n">
        <x:v>33000</x:v>
      </x:c>
      <x:c r="L1465" s="12" t="n">
        <x:f>IF(COUNT(J1465:K1465)=2,IF(K1465=0,"",J1465/K1465),"")</x:f>
        <x:v>0.45454545454545453</x:v>
      </x:c>
      <x:c r="M1465" s="10" t="str">
        <x:v>Тема / гость: שומר סף לייב 16 - על תעמולה וספינים, עם גדי ואראל. שודר - 7.9.2026. Просмотры ниже медианы цикла; выбирать за нишевую ценность, а не за массовый охват. Источник для аудитории общественных дебатов; полезен при явной атрибуции позиции ведущего и гостя.</x:v>
      </x:c>
      <x:c r="N1465" s="10" t="str">
        <x:v>Выбрать 5–8 минут: тезис, аргумент, уточняющий вопрос. Проверить фактические утверждения.</x:v>
      </x:c>
      <x:c r="O1465" s="10" t="str">
        <x:v>Авторская политическая перспектива; не выдавать за нейтральный обзор</x:v>
      </x:c>
      <x:c r="P1465" s="10" t="str">
        <x:v>Длинное интервью</x:v>
      </x:c>
      <x:c r="Q1465" s="9" t="str">
        <x:v>Нет</x:v>
      </x:c>
      <x:c r="R1465" s="9" t="str">
        <x:v>C087</x:v>
      </x:c>
      <x:c r="S1465" s="9" t="str">
        <x:v>C087</x:v>
      </x:c>
      <x:c r="T1465" s="10" t="str">
        <x:v>גדי טאוב: שומר סף</x:v>
      </x:c>
      <x:c r="U1465" s="11" t="str">
        <x:v>https://www.youtube.com/watch?v=oecaBuEdxZU</x:v>
      </x:c>
      <x:c r="V1465" s="16" t="n">
        <x:v>46308</x:v>
      </x:c>
      <x:c r="W1465" s="16"/>
      <x:c r="X1465" s="10" t="str">
        <x:v>Иврит предполагается по заголовку и источнику</x:v>
      </x:c>
      <x:c r="Y1465" s="10" t="str">
        <x:v>Не проверено</x:v>
      </x:c>
      <x:c r="Z1465" s="10" t="str">
        <x:v>Не проверено</x:v>
      </x:c>
      <x:c r="AA1465" s="10" t="str">
        <x:v>Метаданные списка; видео не просмотрено</x:v>
      </x:c>
      <x:c r="AB1465" s="13" t="str">
        <x:f>IF(AND(ISNUMBER(H1465),ISNUMBER(W1465)),H1465/MAX(1,'Обзор'!$B$4-W1465),"")</x:f>
      </x:c>
      <x:c r="AC1465" s="17" t="str">
        <x:v>Не решено</x:v>
      </x:c>
      <x:c r="AD1465" s="17" t="str">
        <x:v>Не проверено</x:v>
      </x:c>
      <x:c r="AE1465" s="17" t="str">
        <x:v>Не проверено</x:v>
      </x:c>
      <x:c r="AF1465" s="17" t="str">
        <x:v>Не проверено</x:v>
      </x:c>
      <x:c r="AG1465" s="17" t="str">
        <x:v>Не решено</x:v>
      </x:c>
      <x:c r="AH1465" s="17" t="str">
        <x:v>Не проверено</x:v>
      </x:c>
      <x:c r="AI1465" s="10" t="str">
        <x:f>IF(AC1465="Отклонить","Отклонено",IF(AND(AC1465="Взять",COUNTIFS(AD1465:AH1465,"Да")=5),"Готово","Нужна редактура"))</x:f>
        <x:v>Нужна редактура</x:v>
      </x:c>
      <x:c r="AJ1465" s="17" t="str"/>
      <x:c r="AK1465" s="9" t="str">
        <x:v>https://www.youtube.com/@Shomersaf/videos</x:v>
      </x:c>
      <x:c r="AL1465" s="9" t="n">
        <x:v>21</x:v>
      </x:c>
      <x:c r="AM1465" s="9"/>
      <x:c r="AN1465" s="9"/>
    </x:row>
    <x:row r="1466" ht="60" customHeight="1">
      <x:c r="A1466" s="9" t="str">
        <x:v>tKdDjbOkBmw</x:v>
      </x:c>
      <x:c r="B1466" s="10" t="str">
        <x:v>המזרח התיכון למד לכבד את ישראל. שומר סף 397 עם ברוך ידיד. (אזהרת צפייה - תיאורים קשים)</x:v>
      </x:c>
      <x:c r="C1466" s="10" t="str">
        <x:v>Общественная дискуссия</x:v>
      </x:c>
      <x:c r="D1466" s="9" t="str">
        <x:v>Интервью</x:v>
      </x:c>
      <x:c r="E1466" s="10" t="str">
        <x:v>Интервью; общество; продвинутые</x:v>
      </x:c>
      <x:c r="F1466" s="10" t="str">
        <x:v>B2–C1 (гипотеза)</x:v>
      </x:c>
      <x:c r="G1466" s="12" t="n">
        <x:v>47.9</x:v>
      </x:c>
      <x:c r="H1466" s="14" t="n">
        <x:v>112000</x:v>
      </x:c>
      <x:c r="I1466" s="15" t="str">
        <x:v>Округлённый счётчик в списке YouTube</x:v>
      </x:c>
      <x:c r="J1466" s="14" t="n">
        <x:v>112000</x:v>
      </x:c>
      <x:c r="K1466" s="14" t="n">
        <x:v>33000</x:v>
      </x:c>
      <x:c r="L1466" s="12" t="n">
        <x:f>IF(COUNT(J1466:K1466)=2,IF(K1466=0,"",J1466/K1466),"")</x:f>
        <x:v>3.393939393939394</x:v>
      </x:c>
      <x:c r="M1466" s="10" t="str">
        <x:v>Тема / гость: המזרח התיכון למד לכבד את ישראל. שומר סף 397 עם ברוך ידיד. (אזהרת צפייה - תיאורים קשים). Просмотры в списке выше медианы выборки этого цикла в 3.39 раза. Источник для аудитории общественных дебатов; полезен при явной атрибуции позиции ведущего и гостя.</x:v>
      </x:c>
      <x:c r="N1466" s="10" t="str">
        <x:v>Выбрать 5–8 минут: тезис, аргумент, уточняющий вопрос. Проверить фактические утверждения.</x:v>
      </x:c>
      <x:c r="O1466" s="10" t="str">
        <x:v>Авторская политическая перспектива; не выдавать за нейтральный обзор</x:v>
      </x:c>
      <x:c r="P1466" s="10" t="str">
        <x:v>Длинное интервью</x:v>
      </x:c>
      <x:c r="Q1466" s="9" t="str">
        <x:v>Да</x:v>
      </x:c>
      <x:c r="R1466" s="9" t="str">
        <x:v>C087</x:v>
      </x:c>
      <x:c r="S1466" s="9" t="str">
        <x:v>C087</x:v>
      </x:c>
      <x:c r="T1466" s="10" t="str">
        <x:v>גדי טאוב: שומר סף</x:v>
      </x:c>
      <x:c r="U1466" s="11" t="str">
        <x:v>https://www.youtube.com/watch?v=tKdDjbOkBmw</x:v>
      </x:c>
      <x:c r="V1466" s="16" t="n">
        <x:v>46308</x:v>
      </x:c>
      <x:c r="W1466" s="16"/>
      <x:c r="X1466" s="10" t="str">
        <x:v>Иврит предполагается по заголовку и источнику</x:v>
      </x:c>
      <x:c r="Y1466" s="10" t="str">
        <x:v>Не проверено</x:v>
      </x:c>
      <x:c r="Z1466" s="10" t="str">
        <x:v>Не проверено</x:v>
      </x:c>
      <x:c r="AA1466" s="10" t="str">
        <x:v>Метаданные списка; видео не просмотрено</x:v>
      </x:c>
      <x:c r="AB1466" s="13" t="str">
        <x:f>IF(AND(ISNUMBER(H1466),ISNUMBER(W1466)),H1466/MAX(1,'Обзор'!$B$4-W1466),"")</x:f>
      </x:c>
      <x:c r="AC1466" s="17" t="str">
        <x:v>Не решено</x:v>
      </x:c>
      <x:c r="AD1466" s="17" t="str">
        <x:v>Не проверено</x:v>
      </x:c>
      <x:c r="AE1466" s="17" t="str">
        <x:v>Не проверено</x:v>
      </x:c>
      <x:c r="AF1466" s="17" t="str">
        <x:v>Не проверено</x:v>
      </x:c>
      <x:c r="AG1466" s="17" t="str">
        <x:v>Не решено</x:v>
      </x:c>
      <x:c r="AH1466" s="17" t="str">
        <x:v>Не проверено</x:v>
      </x:c>
      <x:c r="AI1466" s="10" t="str">
        <x:f>IF(AC1466="Отклонить","Отклонено",IF(AND(AC1466="Взять",COUNTIFS(AD1466:AH1466,"Да")=5),"Готово","Нужна редактура"))</x:f>
        <x:v>Нужна редактура</x:v>
      </x:c>
      <x:c r="AJ1466" s="17" t="str"/>
      <x:c r="AK1466" s="9" t="str">
        <x:v>https://www.youtube.com/@Shomersaf/videos</x:v>
      </x:c>
      <x:c r="AL1466" s="9" t="n">
        <x:v>22</x:v>
      </x:c>
      <x:c r="AM1466" s="9"/>
      <x:c r="AN1466" s="9"/>
    </x:row>
    <x:row r="1467" ht="60" customHeight="1">
      <x:c r="A1467" s="9" t="str">
        <x:v>9vN261o2OBE</x:v>
      </x:c>
      <x:c r="B1467" s="10" t="str">
        <x:v>קבוצה הגמונית לא מוותרת על כוחה בקלות. שומר סף 396 עם פרופ' אורי כהן</x:v>
      </x:c>
      <x:c r="C1467" s="10" t="str">
        <x:v>Общественная дискуссия</x:v>
      </x:c>
      <x:c r="D1467" s="9" t="str">
        <x:v>Интервью</x:v>
      </x:c>
      <x:c r="E1467" s="10" t="str">
        <x:v>Интервью; общество; продвинутые</x:v>
      </x:c>
      <x:c r="F1467" s="10" t="str">
        <x:v>B2–C1 (гипотеза)</x:v>
      </x:c>
      <x:c r="G1467" s="12" t="n">
        <x:v>56</x:v>
      </x:c>
      <x:c r="H1467" s="14" t="n">
        <x:v>33000</x:v>
      </x:c>
      <x:c r="I1467" s="15" t="str">
        <x:v>Округлённый счётчик в списке YouTube</x:v>
      </x:c>
      <x:c r="J1467" s="14" t="n">
        <x:v>33000</x:v>
      </x:c>
      <x:c r="K1467" s="14" t="n">
        <x:v>33000</x:v>
      </x:c>
      <x:c r="L1467" s="12" t="n">
        <x:f>IF(COUNT(J1467:K1467)=2,IF(K1467=0,"",J1467/K1467),"")</x:f>
        <x:v>1</x:v>
      </x:c>
      <x:c r="M1467" s="10" t="str">
        <x:v>Тема / гость: קבוצה הגמונית לא מוותרת על כוחה בקלות. שומר סף 396 עם פרופ' אורי כהן. Источник для аудитории общественных дебатов; полезен при явной атрибуции позиции ведущего и гостя.</x:v>
      </x:c>
      <x:c r="N1467" s="10" t="str">
        <x:v>Выбрать 5–8 минут: тезис, аргумент, уточняющий вопрос. Проверить фактические утверждения.</x:v>
      </x:c>
      <x:c r="O1467" s="10" t="str">
        <x:v>Авторская политическая перспектива; не выдавать за нейтральный обзор</x:v>
      </x:c>
      <x:c r="P1467" s="10" t="str">
        <x:v>Длинное интервью</x:v>
      </x:c>
      <x:c r="Q1467" s="9" t="str">
        <x:v>Нет</x:v>
      </x:c>
      <x:c r="R1467" s="9" t="str">
        <x:v>C087</x:v>
      </x:c>
      <x:c r="S1467" s="9" t="str">
        <x:v>C087</x:v>
      </x:c>
      <x:c r="T1467" s="10" t="str">
        <x:v>גדי טאוב: שומר סף</x:v>
      </x:c>
      <x:c r="U1467" s="11" t="str">
        <x:v>https://www.youtube.com/watch?v=9vN261o2OBE</x:v>
      </x:c>
      <x:c r="V1467" s="16" t="n">
        <x:v>46308</x:v>
      </x:c>
      <x:c r="W1467" s="16"/>
      <x:c r="X1467" s="10" t="str">
        <x:v>Иврит предполагается по заголовку и источнику</x:v>
      </x:c>
      <x:c r="Y1467" s="10" t="str">
        <x:v>Не проверено</x:v>
      </x:c>
      <x:c r="Z1467" s="10" t="str">
        <x:v>Не проверено</x:v>
      </x:c>
      <x:c r="AA1467" s="10" t="str">
        <x:v>Метаданные списка; видео не просмотрено</x:v>
      </x:c>
      <x:c r="AB1467" s="13" t="str">
        <x:f>IF(AND(ISNUMBER(H1467),ISNUMBER(W1467)),H1467/MAX(1,'Обзор'!$B$4-W1467),"")</x:f>
      </x:c>
      <x:c r="AC1467" s="17" t="str">
        <x:v>Не решено</x:v>
      </x:c>
      <x:c r="AD1467" s="17" t="str">
        <x:v>Не проверено</x:v>
      </x:c>
      <x:c r="AE1467" s="17" t="str">
        <x:v>Не проверено</x:v>
      </x:c>
      <x:c r="AF1467" s="17" t="str">
        <x:v>Не проверено</x:v>
      </x:c>
      <x:c r="AG1467" s="17" t="str">
        <x:v>Не решено</x:v>
      </x:c>
      <x:c r="AH1467" s="17" t="str">
        <x:v>Не проверено</x:v>
      </x:c>
      <x:c r="AI1467" s="10" t="str">
        <x:f>IF(AC1467="Отклонить","Отклонено",IF(AND(AC1467="Взять",COUNTIFS(AD1467:AH1467,"Да")=5),"Готово","Нужна редактура"))</x:f>
        <x:v>Нужна редактура</x:v>
      </x:c>
      <x:c r="AJ1467" s="17" t="str"/>
      <x:c r="AK1467" s="9" t="str">
        <x:v>https://www.youtube.com/@Shomersaf/videos</x:v>
      </x:c>
      <x:c r="AL1467" s="9" t="n">
        <x:v>23</x:v>
      </x:c>
      <x:c r="AM1467" s="9"/>
      <x:c r="AN1467" s="9"/>
    </x:row>
    <x:row r="1468" ht="60" customHeight="1">
      <x:c r="A1468" s="9" t="str">
        <x:v>WJmqxvnTEl4</x:v>
      </x:c>
      <x:c r="B1468" s="10" t="str">
        <x:v>כך ממציאים בערוץ 13 "טרור יהודי". שומר סף 395 עם ח"כ שמחה רוטמן</x:v>
      </x:c>
      <x:c r="C1468" s="10" t="str">
        <x:v>Общественная дискуссия</x:v>
      </x:c>
      <x:c r="D1468" s="9" t="str">
        <x:v>Интервью</x:v>
      </x:c>
      <x:c r="E1468" s="10" t="str">
        <x:v>Интервью; общество; продвинутые</x:v>
      </x:c>
      <x:c r="F1468" s="10" t="str">
        <x:v>B2–C1 (гипотеза)</x:v>
      </x:c>
      <x:c r="G1468" s="12" t="n">
        <x:v>44.1</x:v>
      </x:c>
      <x:c r="H1468" s="14" t="n">
        <x:v>49007</x:v>
      </x:c>
      <x:c r="I1468" s="15" t="str">
        <x:v>Точный счётчик метаданных видео</x:v>
      </x:c>
      <x:c r="J1468" s="14" t="n">
        <x:v>49000</x:v>
      </x:c>
      <x:c r="K1468" s="14" t="n">
        <x:v>33000</x:v>
      </x:c>
      <x:c r="L1468" s="12" t="n">
        <x:f>IF(COUNT(J1468:K1468)=2,IF(K1468=0,"",J1468/K1468),"")</x:f>
        <x:v>1.4848484848484849</x:v>
      </x:c>
      <x:c r="M1468" s="10" t="str">
        <x:v>Тема / гость: כך ממציאים בערוץ 13 "טרור יהודי". שומר סף 395 עם ח"כ שמחה רוטמן. Источник для аудитории общественных дебатов; полезен при явной атрибуции позиции ведущего и гостя.</x:v>
      </x:c>
      <x:c r="N1468" s="10" t="str">
        <x:v>Выбрать 5–8 минут: тезис, аргумент, уточняющий вопрос. Проверить фактические утверждения.</x:v>
      </x:c>
      <x:c r="O1468" s="10" t="str">
        <x:v>Авторская политическая перспектива; не выдавать за нейтральный обзор</x:v>
      </x:c>
      <x:c r="P1468" s="10" t="str">
        <x:v>Длинное интервью</x:v>
      </x:c>
      <x:c r="Q1468" s="9" t="str">
        <x:v>Нет</x:v>
      </x:c>
      <x:c r="R1468" s="9" t="str">
        <x:v>C087</x:v>
      </x:c>
      <x:c r="S1468" s="9" t="str">
        <x:v>C087</x:v>
      </x:c>
      <x:c r="T1468" s="10" t="str">
        <x:v>גדי טאוב: שומר סף</x:v>
      </x:c>
      <x:c r="U1468" s="11" t="str">
        <x:v>https://www.youtube.com/watch?v=WJmqxvnTEl4</x:v>
      </x:c>
      <x:c r="V1468" s="16" t="n">
        <x:v>46308</x:v>
      </x:c>
      <x:c r="W1468" s="16" t="n">
        <x:v>46275</x:v>
      </x:c>
      <x:c r="X1468" s="10" t="str">
        <x:v>Иврит предполагается по заголовку и источнику</x:v>
      </x:c>
      <x:c r="Y1468" s="10" t="str">
        <x:v>Автоматическая дорожка HE по метаданным</x:v>
      </x:c>
      <x:c r="Z1468" s="10" t="str">
        <x:v>Разрешено по метаданным</x:v>
      </x:c>
      <x:c r="AA1468" s="10" t="str">
        <x:v>Метаданные видео; воспроизведение и содержание не проверены</x:v>
      </x:c>
      <x:c r="AB1468" s="13" t="n">
        <x:f>IF(AND(ISNUMBER(H1468),ISNUMBER(W1468)),H1468/MAX(1,'Обзор'!$B$4-W1468),"")</x:f>
        <x:v>1485.060606060606</x:v>
      </x:c>
      <x:c r="AC1468" s="17" t="str">
        <x:v>Не решено</x:v>
      </x:c>
      <x:c r="AD1468" s="17" t="str">
        <x:v>Не проверено</x:v>
      </x:c>
      <x:c r="AE1468" s="17" t="str">
        <x:v>Не проверено</x:v>
      </x:c>
      <x:c r="AF1468" s="17" t="str">
        <x:v>Не проверено</x:v>
      </x:c>
      <x:c r="AG1468" s="17" t="str">
        <x:v>Не решено</x:v>
      </x:c>
      <x:c r="AH1468" s="17" t="str">
        <x:v>Не проверено</x:v>
      </x:c>
      <x:c r="AI1468" s="10" t="str">
        <x:f>IF(AC1468="Отклонить","Отклонено",IF(AND(AC1468="Взять",COUNTIFS(AD1468:AH1468,"Да")=5),"Готово","Нужна редактура"))</x:f>
        <x:v>Нужна редактура</x:v>
      </x:c>
      <x:c r="AJ1468" s="17" t="str"/>
      <x:c r="AK1468" s="9" t="str">
        <x:v>https://www.youtube.com/@Shomersaf/videos</x:v>
      </x:c>
      <x:c r="AL1468" s="9" t="n">
        <x:v>24</x:v>
      </x:c>
      <x:c r="AM1468" s="9"/>
      <x:c r="AN1468" s="9" t="n">
        <x:v>0</x:v>
      </x:c>
    </x:row>
    <x:row r="1469" ht="60" customHeight="1">
      <x:c r="A1469" s="9" t="str">
        <x:v>rCzbob5atGg</x:v>
      </x:c>
      <x:c r="B1469" s="10" t="str">
        <x:v>האגדה החדשה על ה"אזהרה" לנתניהו - שומר סף קצרצר</x:v>
      </x:c>
      <x:c r="C1469" s="10" t="str">
        <x:v>Общественная дискуссия</x:v>
      </x:c>
      <x:c r="D1469" s="9" t="str">
        <x:v>Интервью</x:v>
      </x:c>
      <x:c r="E1469" s="10" t="str">
        <x:v>Интервью; общество; продвинутые</x:v>
      </x:c>
      <x:c r="F1469" s="10" t="str">
        <x:v>B2–C1 (гипотеза)</x:v>
      </x:c>
      <x:c r="G1469" s="12" t="n">
        <x:v>18.5</x:v>
      </x:c>
      <x:c r="H1469" s="14" t="n">
        <x:v>45464</x:v>
      </x:c>
      <x:c r="I1469" s="15" t="str">
        <x:v>Точный счётчик метаданных видео</x:v>
      </x:c>
      <x:c r="J1469" s="14" t="n">
        <x:v>45000</x:v>
      </x:c>
      <x:c r="K1469" s="14" t="n">
        <x:v>33000</x:v>
      </x:c>
      <x:c r="L1469" s="12" t="n">
        <x:f>IF(COUNT(J1469:K1469)=2,IF(K1469=0,"",J1469/K1469),"")</x:f>
        <x:v>1.3636363636363635</x:v>
      </x:c>
      <x:c r="M1469" s="10" t="str">
        <x:v>Тема / гость: האגדה החדשה על ה"אזהרה" לנתניהו - שומר סף קצרצר. Источник для аудитории общественных дебатов; полезен при явной атрибуции позиции ведущего и гостя.</x:v>
      </x:c>
      <x:c r="N1469" s="10" t="str">
        <x:v>Выбрать 5–8 минут: тезис, аргумент, уточняющий вопрос. Проверить фактические утверждения.</x:v>
      </x:c>
      <x:c r="O1469" s="10" t="str">
        <x:v>Авторская политическая перспектива; не выдавать за нейтральный обзор</x:v>
      </x:c>
      <x:c r="P1469" s="10" t="str">
        <x:v>Длинное интервью</x:v>
      </x:c>
      <x:c r="Q1469" s="9" t="str">
        <x:v>Нет</x:v>
      </x:c>
      <x:c r="R1469" s="9" t="str">
        <x:v>C087</x:v>
      </x:c>
      <x:c r="S1469" s="9" t="str">
        <x:v>C087</x:v>
      </x:c>
      <x:c r="T1469" s="10" t="str">
        <x:v>גדי טאוב: שומר סף</x:v>
      </x:c>
      <x:c r="U1469" s="11" t="str">
        <x:v>https://www.youtube.com/watch?v=rCzbob5atGg</x:v>
      </x:c>
      <x:c r="V1469" s="16" t="n">
        <x:v>46308</x:v>
      </x:c>
      <x:c r="W1469" s="16" t="n">
        <x:v>46274</x:v>
      </x:c>
      <x:c r="X1469" s="10" t="str">
        <x:v>Иврит предполагается по заголовку и источнику</x:v>
      </x:c>
      <x:c r="Y1469" s="10" t="str">
        <x:v>Автоматическая дорожка HE по метаданным</x:v>
      </x:c>
      <x:c r="Z1469" s="10" t="str">
        <x:v>Разрешено по метаданным</x:v>
      </x:c>
      <x:c r="AA1469" s="10" t="str">
        <x:v>Метаданные видео; воспроизведение и содержание не проверены</x:v>
      </x:c>
      <x:c r="AB1469" s="13" t="n">
        <x:f>IF(AND(ISNUMBER(H1469),ISNUMBER(W1469)),H1469/MAX(1,'Обзор'!$B$4-W1469),"")</x:f>
        <x:v>1337.1764705882354</x:v>
      </x:c>
      <x:c r="AC1469" s="17" t="str">
        <x:v>Не решено</x:v>
      </x:c>
      <x:c r="AD1469" s="17" t="str">
        <x:v>Не проверено</x:v>
      </x:c>
      <x:c r="AE1469" s="17" t="str">
        <x:v>Не проверено</x:v>
      </x:c>
      <x:c r="AF1469" s="17" t="str">
        <x:v>Не проверено</x:v>
      </x:c>
      <x:c r="AG1469" s="17" t="str">
        <x:v>Не решено</x:v>
      </x:c>
      <x:c r="AH1469" s="17" t="str">
        <x:v>Не проверено</x:v>
      </x:c>
      <x:c r="AI1469" s="10" t="str">
        <x:f>IF(AC1469="Отклонить","Отклонено",IF(AND(AC1469="Взять",COUNTIFS(AD1469:AH1469,"Да")=5),"Готово","Нужна редактура"))</x:f>
        <x:v>Нужна редактура</x:v>
      </x:c>
      <x:c r="AJ1469" s="17" t="str"/>
      <x:c r="AK1469" s="9" t="str">
        <x:v>https://www.youtube.com/@Shomersaf/videos</x:v>
      </x:c>
      <x:c r="AL1469" s="9" t="n">
        <x:v>25</x:v>
      </x:c>
      <x:c r="AM1469" s="9"/>
      <x:c r="AN1469" s="9" t="n">
        <x:v>0</x:v>
      </x:c>
    </x:row>
    <x:row r="1470" ht="60" customHeight="1">
      <x:c r="A1470" s="9" t="str">
        <x:v>2RfFa1LObEo</x:v>
      </x:c>
      <x:c r="B1470" s="10" t="str">
        <x:v>שעיתונאים לא יעבדו עליכם! - פרוייקט הנגשת הפרוטוקולים - סרטון הדרכה קצר לשימוש במערכת. (לינק בתיאור)</x:v>
      </x:c>
      <x:c r="C1470" s="10" t="str">
        <x:v>Общественная дискуссия</x:v>
      </x:c>
      <x:c r="D1470" s="9" t="str">
        <x:v>Интервью</x:v>
      </x:c>
      <x:c r="E1470" s="10" t="str">
        <x:v>Интервью; общество; продвинутые</x:v>
      </x:c>
      <x:c r="F1470" s="10" t="str">
        <x:v>B2–C1 (гипотеза)</x:v>
      </x:c>
      <x:c r="G1470" s="12" t="n">
        <x:v>2</x:v>
      </x:c>
      <x:c r="H1470" s="14" t="n">
        <x:v>5400</x:v>
      </x:c>
      <x:c r="I1470" s="15" t="str">
        <x:v>Округлённый счётчик в списке YouTube</x:v>
      </x:c>
      <x:c r="J1470" s="14" t="n">
        <x:v>5400</x:v>
      </x:c>
      <x:c r="K1470" s="14" t="n">
        <x:v>33000</x:v>
      </x:c>
      <x:c r="L1470" s="12" t="n">
        <x:f>IF(COUNT(J1470:K1470)=2,IF(K1470=0,"",J1470/K1470),"")</x:f>
        <x:v>0.16363636363636364</x:v>
      </x:c>
      <x:c r="M1470" s="10" t="str">
        <x:v>Тема / гость: שעיתונאים לא יעבדו עליכם! - פרוייקט הנגשת הפרוטוקולים - סרטון הדרכה קצר לשימוש במערכת. (לינק בתיאור). Просмотры ниже медианы цикла; выбирать за нишевую ценность, а не за массовый охват. Источник для аудитории общественных дебатов; полезен при явной атрибуции позиции ведущего и гостя.</x:v>
      </x:c>
      <x:c r="N1470" s="10" t="str">
        <x:v>Выбрать 5–8 минут: тезис, аргумент, уточняющий вопрос. Проверить фактические утверждения.</x:v>
      </x:c>
      <x:c r="O1470" s="10" t="str">
        <x:v>Авторская политическая перспектива; не выдавать за нейтральный обзор</x:v>
      </x:c>
      <x:c r="P1470" s="10" t="str">
        <x:v>Короткое интервью / фрагмент</x:v>
      </x:c>
      <x:c r="Q1470" s="9" t="str">
        <x:v>Нет</x:v>
      </x:c>
      <x:c r="R1470" s="9" t="str">
        <x:v>C087</x:v>
      </x:c>
      <x:c r="S1470" s="9" t="str">
        <x:v>C087</x:v>
      </x:c>
      <x:c r="T1470" s="10" t="str">
        <x:v>גדי טאוב: שומר סף</x:v>
      </x:c>
      <x:c r="U1470" s="11" t="str">
        <x:v>https://www.youtube.com/watch?v=2RfFa1LObEo</x:v>
      </x:c>
      <x:c r="V1470" s="16" t="n">
        <x:v>46308</x:v>
      </x:c>
      <x:c r="W1470" s="16"/>
      <x:c r="X1470" s="10" t="str">
        <x:v>Иврит предполагается по заголовку и источнику</x:v>
      </x:c>
      <x:c r="Y1470" s="10" t="str">
        <x:v>Не проверено</x:v>
      </x:c>
      <x:c r="Z1470" s="10" t="str">
        <x:v>Не проверено</x:v>
      </x:c>
      <x:c r="AA1470" s="10" t="str">
        <x:v>Метаданные списка; видео не просмотрено</x:v>
      </x:c>
      <x:c r="AB1470" s="13" t="str">
        <x:f>IF(AND(ISNUMBER(H1470),ISNUMBER(W1470)),H1470/MAX(1,'Обзор'!$B$4-W1470),"")</x:f>
      </x:c>
      <x:c r="AC1470" s="17" t="str">
        <x:v>Не решено</x:v>
      </x:c>
      <x:c r="AD1470" s="17" t="str">
        <x:v>Не проверено</x:v>
      </x:c>
      <x:c r="AE1470" s="17" t="str">
        <x:v>Не проверено</x:v>
      </x:c>
      <x:c r="AF1470" s="17" t="str">
        <x:v>Не проверено</x:v>
      </x:c>
      <x:c r="AG1470" s="17" t="str">
        <x:v>Не решено</x:v>
      </x:c>
      <x:c r="AH1470" s="17" t="str">
        <x:v>Не проверено</x:v>
      </x:c>
      <x:c r="AI1470" s="10" t="str">
        <x:f>IF(AC1470="Отклонить","Отклонено",IF(AND(AC1470="Взять",COUNTIFS(AD1470:AH1470,"Да")=5),"Готово","Нужна редактура"))</x:f>
        <x:v>Нужна редактура</x:v>
      </x:c>
      <x:c r="AJ1470" s="17" t="str"/>
      <x:c r="AK1470" s="9" t="str">
        <x:v>https://www.youtube.com/@Shomersaf/videos</x:v>
      </x:c>
      <x:c r="AL1470" s="9" t="n">
        <x:v>26</x:v>
      </x:c>
      <x:c r="AM1470" s="9"/>
      <x:c r="AN1470" s="9"/>
    </x:row>
    <x:row r="1471" ht="60" customHeight="1">
      <x:c r="A1471" s="9" t="str">
        <x:v>J3k5XbzCobI</x:v>
      </x:c>
      <x:c r="B1471" s="10" t="str">
        <x:v>האם ליברמן מכין כיפה אדומה לאיזנקוט? נגד הרוח 11 עם ניסים סופר וחיים רמון</x:v>
      </x:c>
      <x:c r="C1471" s="10" t="str">
        <x:v>Общественная дискуссия</x:v>
      </x:c>
      <x:c r="D1471" s="9" t="str">
        <x:v>Интервью</x:v>
      </x:c>
      <x:c r="E1471" s="10" t="str">
        <x:v>Интервью; общество; продвинутые</x:v>
      </x:c>
      <x:c r="F1471" s="10" t="str">
        <x:v>B2–C1 (гипотеза)</x:v>
      </x:c>
      <x:c r="G1471" s="12" t="n">
        <x:v>29.8</x:v>
      </x:c>
      <x:c r="H1471" s="14" t="n">
        <x:v>48661</x:v>
      </x:c>
      <x:c r="I1471" s="15" t="str">
        <x:v>Точный счётчик метаданных видео</x:v>
      </x:c>
      <x:c r="J1471" s="14" t="n">
        <x:v>48000</x:v>
      </x:c>
      <x:c r="K1471" s="14" t="n">
        <x:v>33000</x:v>
      </x:c>
      <x:c r="L1471" s="12" t="n">
        <x:f>IF(COUNT(J1471:K1471)=2,IF(K1471=0,"",J1471/K1471),"")</x:f>
        <x:v>1.4545454545454546</x:v>
      </x:c>
      <x:c r="M1471" s="10" t="str">
        <x:v>Тема / гость: האם ליברמן מכין כיפה אדומה לאיזנקוט? נגד הרוח 11 עם ניסים סופר וחיים רמון. Источник для аудитории общественных дебатов; полезен при явной атрибуции позиции ведущего и гостя.</x:v>
      </x:c>
      <x:c r="N1471" s="10" t="str">
        <x:v>Выбрать 5–8 минут: тезис, аргумент, уточняющий вопрос. Проверить фактические утверждения.</x:v>
      </x:c>
      <x:c r="O1471" s="10" t="str">
        <x:v>Авторская политическая перспектива; не выдавать за нейтральный обзор</x:v>
      </x:c>
      <x:c r="P1471" s="10" t="str">
        <x:v>Длинное интервью</x:v>
      </x:c>
      <x:c r="Q1471" s="9" t="str">
        <x:v>Нет</x:v>
      </x:c>
      <x:c r="R1471" s="9" t="str">
        <x:v>C087</x:v>
      </x:c>
      <x:c r="S1471" s="9" t="str">
        <x:v>C087</x:v>
      </x:c>
      <x:c r="T1471" s="10" t="str">
        <x:v>גדי טאוב: שומר סף</x:v>
      </x:c>
      <x:c r="U1471" s="11" t="str">
        <x:v>https://www.youtube.com/watch?v=J3k5XbzCobI</x:v>
      </x:c>
      <x:c r="V1471" s="16" t="n">
        <x:v>46308</x:v>
      </x:c>
      <x:c r="W1471" s="16" t="n">
        <x:v>46271</x:v>
      </x:c>
      <x:c r="X1471" s="10" t="str">
        <x:v>iw</x:v>
      </x:c>
      <x:c r="Y1471" s="10" t="str">
        <x:v>Автоматическая дорожка HE по метаданным</x:v>
      </x:c>
      <x:c r="Z1471" s="10" t="str">
        <x:v>Разрешено по метаданным</x:v>
      </x:c>
      <x:c r="AA1471" s="10" t="str">
        <x:v>Метаданные видео; воспроизведение и содержание не проверены</x:v>
      </x:c>
      <x:c r="AB1471" s="13" t="n">
        <x:f>IF(AND(ISNUMBER(H1471),ISNUMBER(W1471)),H1471/MAX(1,'Обзор'!$B$4-W1471),"")</x:f>
        <x:v>1315.162162162162</x:v>
      </x:c>
      <x:c r="AC1471" s="17" t="str">
        <x:v>Не решено</x:v>
      </x:c>
      <x:c r="AD1471" s="17" t="str">
        <x:v>Не проверено</x:v>
      </x:c>
      <x:c r="AE1471" s="17" t="str">
        <x:v>Не проверено</x:v>
      </x:c>
      <x:c r="AF1471" s="17" t="str">
        <x:v>Не проверено</x:v>
      </x:c>
      <x:c r="AG1471" s="17" t="str">
        <x:v>Не решено</x:v>
      </x:c>
      <x:c r="AH1471" s="17" t="str">
        <x:v>Не проверено</x:v>
      </x:c>
      <x:c r="AI1471" s="10" t="str">
        <x:f>IF(AC1471="Отклонить","Отклонено",IF(AND(AC1471="Взять",COUNTIFS(AD1471:AH1471,"Да")=5),"Готово","Нужна редактура"))</x:f>
        <x:v>Нужна редактура</x:v>
      </x:c>
      <x:c r="AJ1471" s="17" t="str"/>
      <x:c r="AK1471" s="9" t="str">
        <x:v>https://www.youtube.com/@Shomersaf/videos</x:v>
      </x:c>
      <x:c r="AL1471" s="9" t="n">
        <x:v>27</x:v>
      </x:c>
      <x:c r="AM1471" s="9"/>
      <x:c r="AN1471" s="9" t="n">
        <x:v>0</x:v>
      </x:c>
    </x:row>
    <x:row r="1472" ht="60" customHeight="1">
      <x:c r="A1472" s="9" t="str">
        <x:v>Pxoea5fcaQM</x:v>
      </x:c>
      <x:c r="B1472" s="10" t="str">
        <x:v>הדבר הפשוט שהשמאל מסרב להבין. משמורת משותפת 45</x:v>
      </x:c>
      <x:c r="C1472" s="10" t="str">
        <x:v>Общественная дискуссия</x:v>
      </x:c>
      <x:c r="D1472" s="9" t="str">
        <x:v>Интервью</x:v>
      </x:c>
      <x:c r="E1472" s="10" t="str">
        <x:v>Интервью; общество; продвинутые</x:v>
      </x:c>
      <x:c r="F1472" s="10" t="str">
        <x:v>B2–C1 (гипотеза)</x:v>
      </x:c>
      <x:c r="G1472" s="12" t="n">
        <x:v>65.9</x:v>
      </x:c>
      <x:c r="H1472" s="14" t="n">
        <x:v>33000</x:v>
      </x:c>
      <x:c r="I1472" s="15" t="str">
        <x:v>Округлённый счётчик в списке YouTube</x:v>
      </x:c>
      <x:c r="J1472" s="14" t="n">
        <x:v>33000</x:v>
      </x:c>
      <x:c r="K1472" s="14" t="n">
        <x:v>33000</x:v>
      </x:c>
      <x:c r="L1472" s="12" t="n">
        <x:f>IF(COUNT(J1472:K1472)=2,IF(K1472=0,"",J1472/K1472),"")</x:f>
        <x:v>1</x:v>
      </x:c>
      <x:c r="M1472" s="10" t="str">
        <x:v>Тема / гость: הדבר הפשוט שהשמאל מסרב להבין. משמורת משותפת 45. Источник для аудитории общественных дебатов; полезен при явной атрибуции позиции ведущего и гостя.</x:v>
      </x:c>
      <x:c r="N1472" s="10" t="str">
        <x:v>Выбрать 5–8 минут: тезис, аргумент, уточняющий вопрос. Проверить фактические утверждения.</x:v>
      </x:c>
      <x:c r="O1472" s="10" t="str">
        <x:v>Авторская политическая перспектива; не выдавать за нейтральный обзор</x:v>
      </x:c>
      <x:c r="P1472" s="10" t="str">
        <x:v>Длинное интервью</x:v>
      </x:c>
      <x:c r="Q1472" s="9" t="str">
        <x:v>Нет</x:v>
      </x:c>
      <x:c r="R1472" s="9" t="str">
        <x:v>C087</x:v>
      </x:c>
      <x:c r="S1472" s="9" t="str">
        <x:v>C087</x:v>
      </x:c>
      <x:c r="T1472" s="10" t="str">
        <x:v>גדי טאוב: שומר סף</x:v>
      </x:c>
      <x:c r="U1472" s="11" t="str">
        <x:v>https://www.youtube.com/watch?v=Pxoea5fcaQM</x:v>
      </x:c>
      <x:c r="V1472" s="16" t="n">
        <x:v>46308</x:v>
      </x:c>
      <x:c r="W1472" s="16"/>
      <x:c r="X1472" s="10" t="str">
        <x:v>Иврит предполагается по заголовку и источнику</x:v>
      </x:c>
      <x:c r="Y1472" s="10" t="str">
        <x:v>Не проверено</x:v>
      </x:c>
      <x:c r="Z1472" s="10" t="str">
        <x:v>Не проверено</x:v>
      </x:c>
      <x:c r="AA1472" s="10" t="str">
        <x:v>Метаданные списка; видео не просмотрено</x:v>
      </x:c>
      <x:c r="AB1472" s="13" t="str">
        <x:f>IF(AND(ISNUMBER(H1472),ISNUMBER(W1472)),H1472/MAX(1,'Обзор'!$B$4-W1472),"")</x:f>
      </x:c>
      <x:c r="AC1472" s="17" t="str">
        <x:v>Не решено</x:v>
      </x:c>
      <x:c r="AD1472" s="17" t="str">
        <x:v>Не проверено</x:v>
      </x:c>
      <x:c r="AE1472" s="17" t="str">
        <x:v>Не проверено</x:v>
      </x:c>
      <x:c r="AF1472" s="17" t="str">
        <x:v>Не проверено</x:v>
      </x:c>
      <x:c r="AG1472" s="17" t="str">
        <x:v>Не решено</x:v>
      </x:c>
      <x:c r="AH1472" s="17" t="str">
        <x:v>Не проверено</x:v>
      </x:c>
      <x:c r="AI1472" s="10" t="str">
        <x:f>IF(AC1472="Отклонить","Отклонено",IF(AND(AC1472="Взять",COUNTIFS(AD1472:AH1472,"Да")=5),"Готово","Нужна редактура"))</x:f>
        <x:v>Нужна редактура</x:v>
      </x:c>
      <x:c r="AJ1472" s="17" t="str"/>
      <x:c r="AK1472" s="9" t="str">
        <x:v>https://www.youtube.com/@Shomersaf/videos</x:v>
      </x:c>
      <x:c r="AL1472" s="9" t="n">
        <x:v>28</x:v>
      </x:c>
      <x:c r="AM1472" s="9"/>
      <x:c r="AN1472" s="9"/>
    </x:row>
    <x:row r="1473" ht="60" customHeight="1">
      <x:c r="A1473" s="9" t="str">
        <x:v>N58_hWXSrDE</x:v>
      </x:c>
      <x:c r="B1473" s="10" t="str">
        <x:v>ה״עיתונות״ משקרת לכם. הנה ההוכחות. קצר עם מושיק קוברסקי.</x:v>
      </x:c>
      <x:c r="C1473" s="10" t="str">
        <x:v>Общественная дискуссия</x:v>
      </x:c>
      <x:c r="D1473" s="9" t="str">
        <x:v>Интервью</x:v>
      </x:c>
      <x:c r="E1473" s="10" t="str">
        <x:v>Интервью; общество; продвинутые</x:v>
      </x:c>
      <x:c r="F1473" s="10" t="str">
        <x:v>B2–C1 (гипотеза)</x:v>
      </x:c>
      <x:c r="G1473" s="12" t="n">
        <x:v>20.7</x:v>
      </x:c>
      <x:c r="H1473" s="14" t="n">
        <x:v>39665</x:v>
      </x:c>
      <x:c r="I1473" s="15" t="str">
        <x:v>Точный счётчик метаданных видео</x:v>
      </x:c>
      <x:c r="J1473" s="14" t="n">
        <x:v>39000</x:v>
      </x:c>
      <x:c r="K1473" s="14" t="n">
        <x:v>33000</x:v>
      </x:c>
      <x:c r="L1473" s="12" t="n">
        <x:f>IF(COUNT(J1473:K1473)=2,IF(K1473=0,"",J1473/K1473),"")</x:f>
        <x:v>1.1818181818181819</x:v>
      </x:c>
      <x:c r="M1473" s="10" t="str">
        <x:v>Тема / гость: ה״עיתונות״ משקרת לכם. הנה ההוכחות. קצר עם מושיק קוברסקי.. Источник для аудитории общественных дебатов; полезен при явной атрибуции позиции ведущего и гостя.</x:v>
      </x:c>
      <x:c r="N1473" s="10" t="str">
        <x:v>Выбрать 5–8 минут: тезис, аргумент, уточняющий вопрос. Проверить фактические утверждения.</x:v>
      </x:c>
      <x:c r="O1473" s="10" t="str">
        <x:v>Авторская политическая перспектива; не выдавать за нейтральный обзор</x:v>
      </x:c>
      <x:c r="P1473" s="10" t="str">
        <x:v>Длинное интервью</x:v>
      </x:c>
      <x:c r="Q1473" s="9" t="str">
        <x:v>Нет</x:v>
      </x:c>
      <x:c r="R1473" s="9" t="str">
        <x:v>C087</x:v>
      </x:c>
      <x:c r="S1473" s="9" t="str">
        <x:v>C087</x:v>
      </x:c>
      <x:c r="T1473" s="10" t="str">
        <x:v>גדי טאוב: שומר סף</x:v>
      </x:c>
      <x:c r="U1473" s="11" t="str">
        <x:v>https://www.youtube.com/watch?v=N58_hWXSrDE</x:v>
      </x:c>
      <x:c r="V1473" s="16" t="n">
        <x:v>46308</x:v>
      </x:c>
      <x:c r="W1473" s="16" t="n">
        <x:v>46268</x:v>
      </x:c>
      <x:c r="X1473" s="10" t="str">
        <x:v>Иврит предполагается по заголовку и источнику</x:v>
      </x:c>
      <x:c r="Y1473" s="10" t="str">
        <x:v>Автоматическая дорожка HE по метаданным</x:v>
      </x:c>
      <x:c r="Z1473" s="10" t="str">
        <x:v>Разрешено по метаданным</x:v>
      </x:c>
      <x:c r="AA1473" s="10" t="str">
        <x:v>Метаданные видео; воспроизведение и содержание не проверены</x:v>
      </x:c>
      <x:c r="AB1473" s="13" t="n">
        <x:f>IF(AND(ISNUMBER(H1473),ISNUMBER(W1473)),H1473/MAX(1,'Обзор'!$B$4-W1473),"")</x:f>
        <x:v>991.625</x:v>
      </x:c>
      <x:c r="AC1473" s="17" t="str">
        <x:v>Не решено</x:v>
      </x:c>
      <x:c r="AD1473" s="17" t="str">
        <x:v>Не проверено</x:v>
      </x:c>
      <x:c r="AE1473" s="17" t="str">
        <x:v>Не проверено</x:v>
      </x:c>
      <x:c r="AF1473" s="17" t="str">
        <x:v>Не проверено</x:v>
      </x:c>
      <x:c r="AG1473" s="17" t="str">
        <x:v>Не решено</x:v>
      </x:c>
      <x:c r="AH1473" s="17" t="str">
        <x:v>Не проверено</x:v>
      </x:c>
      <x:c r="AI1473" s="10" t="str">
        <x:f>IF(AC1473="Отклонить","Отклонено",IF(AND(AC1473="Взять",COUNTIFS(AD1473:AH1473,"Да")=5),"Готово","Нужна редактура"))</x:f>
        <x:v>Нужна редактура</x:v>
      </x:c>
      <x:c r="AJ1473" s="17" t="str"/>
      <x:c r="AK1473" s="9" t="str">
        <x:v>https://www.youtube.com/@Shomersaf/videos</x:v>
      </x:c>
      <x:c r="AL1473" s="9" t="n">
        <x:v>29</x:v>
      </x:c>
      <x:c r="AM1473" s="9"/>
      <x:c r="AN1473" s="9" t="n">
        <x:v>0</x:v>
      </x:c>
    </x:row>
    <x:row r="1474" ht="60" customHeight="1">
      <x:c r="A1474" s="9" t="str">
        <x:v>3G17OEfe8Y4</x:v>
      </x:c>
      <x:c r="B1474" s="10" t="str">
        <x:v>או שנפרק את הרשות או שנתחיל לחפור קברים. שומר סף קצר עם סא״ל מוריס הירש</x:v>
      </x:c>
      <x:c r="C1474" s="10" t="str">
        <x:v>Общественная дискуссия</x:v>
      </x:c>
      <x:c r="D1474" s="9" t="str">
        <x:v>Интервью</x:v>
      </x:c>
      <x:c r="E1474" s="10" t="str">
        <x:v>Интервью; общество; продвинутые</x:v>
      </x:c>
      <x:c r="F1474" s="10" t="str">
        <x:v>B2–C1 (гипотеза)</x:v>
      </x:c>
      <x:c r="G1474" s="12" t="n">
        <x:v>24.9</x:v>
      </x:c>
      <x:c r="H1474" s="14" t="n">
        <x:v>22000</x:v>
      </x:c>
      <x:c r="I1474" s="15" t="str">
        <x:v>Округлённый счётчик в списке YouTube</x:v>
      </x:c>
      <x:c r="J1474" s="14" t="n">
        <x:v>22000</x:v>
      </x:c>
      <x:c r="K1474" s="14" t="n">
        <x:v>33000</x:v>
      </x:c>
      <x:c r="L1474" s="12" t="n">
        <x:f>IF(COUNT(J1474:K1474)=2,IF(K1474=0,"",J1474/K1474),"")</x:f>
        <x:v>0.6666666666666666</x:v>
      </x:c>
      <x:c r="M1474" s="10" t="str">
        <x:v>Тема / гость: או שנפרק את הרשות או שנתחיל לחפור קברים. שומר סף קצר עם סא״ל מוריס הירש. Источник для аудитории общественных дебатов; полезен при явной атрибуции позиции ведущего и гостя.</x:v>
      </x:c>
      <x:c r="N1474" s="10" t="str">
        <x:v>Выбрать 5–8 минут: тезис, аргумент, уточняющий вопрос. Проверить фактические утверждения.</x:v>
      </x:c>
      <x:c r="O1474" s="10" t="str">
        <x:v>Авторская политическая перспектива; не выдавать за нейтральный обзор</x:v>
      </x:c>
      <x:c r="P1474" s="10" t="str">
        <x:v>Длинное интервью</x:v>
      </x:c>
      <x:c r="Q1474" s="9" t="str">
        <x:v>Нет</x:v>
      </x:c>
      <x:c r="R1474" s="9" t="str">
        <x:v>C087</x:v>
      </x:c>
      <x:c r="S1474" s="9" t="str">
        <x:v>C087</x:v>
      </x:c>
      <x:c r="T1474" s="10" t="str">
        <x:v>גדי טאוב: שומר סף</x:v>
      </x:c>
      <x:c r="U1474" s="11" t="str">
        <x:v>https://www.youtube.com/watch?v=3G17OEfe8Y4</x:v>
      </x:c>
      <x:c r="V1474" s="16" t="n">
        <x:v>46308</x:v>
      </x:c>
      <x:c r="W1474" s="16"/>
      <x:c r="X1474" s="10" t="str">
        <x:v>Иврит предполагается по заголовку и источнику</x:v>
      </x:c>
      <x:c r="Y1474" s="10" t="str">
        <x:v>Не проверено</x:v>
      </x:c>
      <x:c r="Z1474" s="10" t="str">
        <x:v>Не проверено</x:v>
      </x:c>
      <x:c r="AA1474" s="10" t="str">
        <x:v>Метаданные списка; видео не просмотрено</x:v>
      </x:c>
      <x:c r="AB1474" s="13" t="str">
        <x:f>IF(AND(ISNUMBER(H1474),ISNUMBER(W1474)),H1474/MAX(1,'Обзор'!$B$4-W1474),"")</x:f>
      </x:c>
      <x:c r="AC1474" s="17" t="str">
        <x:v>Не решено</x:v>
      </x:c>
      <x:c r="AD1474" s="17" t="str">
        <x:v>Не проверено</x:v>
      </x:c>
      <x:c r="AE1474" s="17" t="str">
        <x:v>Не проверено</x:v>
      </x:c>
      <x:c r="AF1474" s="17" t="str">
        <x:v>Не проверено</x:v>
      </x:c>
      <x:c r="AG1474" s="17" t="str">
        <x:v>Не решено</x:v>
      </x:c>
      <x:c r="AH1474" s="17" t="str">
        <x:v>Не проверено</x:v>
      </x:c>
      <x:c r="AI1474" s="10" t="str">
        <x:f>IF(AC1474="Отклонить","Отклонено",IF(AND(AC1474="Взять",COUNTIFS(AD1474:AH1474,"Да")=5),"Готово","Нужна редактура"))</x:f>
        <x:v>Нужна редактура</x:v>
      </x:c>
      <x:c r="AJ1474" s="17" t="str"/>
      <x:c r="AK1474" s="9" t="str">
        <x:v>https://www.youtube.com/@Shomersaf/videos</x:v>
      </x:c>
      <x:c r="AL1474" s="9" t="n">
        <x:v>30</x:v>
      </x:c>
      <x:c r="AM1474" s="9"/>
      <x:c r="AN1474" s="9"/>
    </x:row>
    <x:row r="1475" ht="60" customHeight="1">
      <x:c r="A1475" s="9" t="str">
        <x:v>k3ujCFEpcXs</x:v>
      </x:c>
      <x:c r="B1475" s="10" t="str">
        <x:v>7 באוקטובר שינה הכל. שומר סף 394 עם אורטל בן דיין</x:v>
      </x:c>
      <x:c r="C1475" s="10" t="str">
        <x:v>Общественная дискуссия</x:v>
      </x:c>
      <x:c r="D1475" s="9" t="str">
        <x:v>Интервью</x:v>
      </x:c>
      <x:c r="E1475" s="10" t="str">
        <x:v>Интервью; общество; продвинутые</x:v>
      </x:c>
      <x:c r="F1475" s="10" t="str">
        <x:v>B2–C1 (гипотеза)</x:v>
      </x:c>
      <x:c r="G1475" s="12" t="n">
        <x:v>62.7</x:v>
      </x:c>
      <x:c r="H1475" s="14" t="n">
        <x:v>76731</x:v>
      </x:c>
      <x:c r="I1475" s="15" t="str">
        <x:v>Точный счётчик метаданных видео</x:v>
      </x:c>
      <x:c r="J1475" s="14" t="n">
        <x:v>76000</x:v>
      </x:c>
      <x:c r="K1475" s="14" t="n">
        <x:v>33000</x:v>
      </x:c>
      <x:c r="L1475" s="12" t="n">
        <x:f>IF(COUNT(J1475:K1475)=2,IF(K1475=0,"",J1475/K1475),"")</x:f>
        <x:v>2.303030303030303</x:v>
      </x:c>
      <x:c r="M1475" s="10" t="str">
        <x:v>Тема / гость: 7 באוקטובר שינה הכל. שומר סף 394 עם אורטל בן דיין. Просмотры в списке выше медианы выборки этого цикла в 2.3 раза. Источник для аудитории общественных дебатов; полезен при явной атрибуции позиции ведущего и гостя.</x:v>
      </x:c>
      <x:c r="N1475" s="10" t="str">
        <x:v>Выбрать 5–8 минут: тезис, аргумент, уточняющий вопрос. Проверить фактические утверждения.</x:v>
      </x:c>
      <x:c r="O1475" s="10" t="str">
        <x:v>Авторская политическая перспектива; не выдавать за нейтральный обзор</x:v>
      </x:c>
      <x:c r="P1475" s="10" t="str">
        <x:v>Длинное интервью</x:v>
      </x:c>
      <x:c r="Q1475" s="9" t="str">
        <x:v>Нет</x:v>
      </x:c>
      <x:c r="R1475" s="9" t="str">
        <x:v>C087</x:v>
      </x:c>
      <x:c r="S1475" s="9" t="str">
        <x:v>C087</x:v>
      </x:c>
      <x:c r="T1475" s="10" t="str">
        <x:v>גדי טאוב: שומר סף</x:v>
      </x:c>
      <x:c r="U1475" s="11" t="str">
        <x:v>https://www.youtube.com/watch?v=k3ujCFEpcXs</x:v>
      </x:c>
      <x:c r="V1475" s="16" t="n">
        <x:v>46308</x:v>
      </x:c>
      <x:c r="W1475" s="16" t="n">
        <x:v>46264</x:v>
      </x:c>
      <x:c r="X1475" s="10" t="str">
        <x:v>Иврит предполагается по заголовку и источнику</x:v>
      </x:c>
      <x:c r="Y1475" s="10" t="str">
        <x:v>Автоматическая дорожка HE по метаданным</x:v>
      </x:c>
      <x:c r="Z1475" s="10" t="str">
        <x:v>Разрешено по метаданным</x:v>
      </x:c>
      <x:c r="AA1475" s="10" t="str">
        <x:v>Метаданные видео; воспроизведение и содержание не проверены</x:v>
      </x:c>
      <x:c r="AB1475" s="13" t="n">
        <x:f>IF(AND(ISNUMBER(H1475),ISNUMBER(W1475)),H1475/MAX(1,'Обзор'!$B$4-W1475),"")</x:f>
        <x:v>1743.8863636363637</x:v>
      </x:c>
      <x:c r="AC1475" s="17" t="str">
        <x:v>Не решено</x:v>
      </x:c>
      <x:c r="AD1475" s="17" t="str">
        <x:v>Не проверено</x:v>
      </x:c>
      <x:c r="AE1475" s="17" t="str">
        <x:v>Не проверено</x:v>
      </x:c>
      <x:c r="AF1475" s="17" t="str">
        <x:v>Не проверено</x:v>
      </x:c>
      <x:c r="AG1475" s="17" t="str">
        <x:v>Не решено</x:v>
      </x:c>
      <x:c r="AH1475" s="17" t="str">
        <x:v>Не проверено</x:v>
      </x:c>
      <x:c r="AI1475" s="10" t="str">
        <x:f>IF(AC1475="Отклонить","Отклонено",IF(AND(AC1475="Взять",COUNTIFS(AD1475:AH1475,"Да")=5),"Готово","Нужна редактура"))</x:f>
        <x:v>Нужна редактура</x:v>
      </x:c>
      <x:c r="AJ1475" s="17" t="str"/>
      <x:c r="AK1475" s="9" t="str">
        <x:v>https://www.youtube.com/@Shomersaf/videos</x:v>
      </x:c>
      <x:c r="AL1475" s="9" t="n">
        <x:v>31</x:v>
      </x:c>
      <x:c r="AM1475" s="9"/>
      <x:c r="AN1475" s="9" t="n">
        <x:v>0</x:v>
      </x:c>
    </x:row>
    <x:row r="1476" ht="60" customHeight="1">
      <x:c r="A1476" s="9" t="str">
        <x:v>im9gqJ1ZFsQ</x:v>
      </x:c>
      <x:c r="B1476" s="10" t="str">
        <x:v>רבים בכיף: עירית לינור וגיא מרוז על נתניהו, מנסור עבאס ואלטלנה. משמורת משותפת 44</x:v>
      </x:c>
      <x:c r="C1476" s="10" t="str">
        <x:v>Общественная дискуссия</x:v>
      </x:c>
      <x:c r="D1476" s="9" t="str">
        <x:v>Интервью</x:v>
      </x:c>
      <x:c r="E1476" s="10" t="str">
        <x:v>Интервью; общество; продвинутые</x:v>
      </x:c>
      <x:c r="F1476" s="10" t="str">
        <x:v>B2–C1 (гипотеза)</x:v>
      </x:c>
      <x:c r="G1476" s="12" t="n">
        <x:v>66.2</x:v>
      </x:c>
      <x:c r="H1476" s="14" t="n">
        <x:v>42271</x:v>
      </x:c>
      <x:c r="I1476" s="15" t="str">
        <x:v>Точный счётчик метаданных видео</x:v>
      </x:c>
      <x:c r="J1476" s="14" t="n">
        <x:v>42000</x:v>
      </x:c>
      <x:c r="K1476" s="14" t="n">
        <x:v>33000</x:v>
      </x:c>
      <x:c r="L1476" s="12" t="n">
        <x:f>IF(COUNT(J1476:K1476)=2,IF(K1476=0,"",J1476/K1476),"")</x:f>
        <x:v>1.2727272727272727</x:v>
      </x:c>
      <x:c r="M1476" s="10" t="str">
        <x:v>Тема / гость: רבים בכיף: עירית לינור וגיא מרוז על נתניהו, מנסור עבאס ואלטלנה. משמורת משותפת 44. Источник для аудитории общественных дебатов; полезен при явной атрибуции позиции ведущего и гостя.</x:v>
      </x:c>
      <x:c r="N1476" s="10" t="str">
        <x:v>Выбрать 5–8 минут: тезис, аргумент, уточняющий вопрос. Проверить фактические утверждения.</x:v>
      </x:c>
      <x:c r="O1476" s="10" t="str">
        <x:v>Авторская политическая перспектива; не выдавать за нейтральный обзор</x:v>
      </x:c>
      <x:c r="P1476" s="10" t="str">
        <x:v>Длинное интервью</x:v>
      </x:c>
      <x:c r="Q1476" s="9" t="str">
        <x:v>Нет</x:v>
      </x:c>
      <x:c r="R1476" s="9" t="str">
        <x:v>C087</x:v>
      </x:c>
      <x:c r="S1476" s="9" t="str">
        <x:v>C087</x:v>
      </x:c>
      <x:c r="T1476" s="10" t="str">
        <x:v>גדי טאוב: שומר סף</x:v>
      </x:c>
      <x:c r="U1476" s="11" t="str">
        <x:v>https://www.youtube.com/watch?v=im9gqJ1ZFsQ</x:v>
      </x:c>
      <x:c r="V1476" s="16" t="n">
        <x:v>46308</x:v>
      </x:c>
      <x:c r="W1476" s="16" t="n">
        <x:v>46262</x:v>
      </x:c>
      <x:c r="X1476" s="10" t="str">
        <x:v>Иврит предполагается по заголовку и источнику</x:v>
      </x:c>
      <x:c r="Y1476" s="10" t="str">
        <x:v>Автоматическая дорожка HE по метаданным</x:v>
      </x:c>
      <x:c r="Z1476" s="10" t="str">
        <x:v>Разрешено по метаданным</x:v>
      </x:c>
      <x:c r="AA1476" s="10" t="str">
        <x:v>Метаданные видео; воспроизведение и содержание не проверены</x:v>
      </x:c>
      <x:c r="AB1476" s="13" t="n">
        <x:f>IF(AND(ISNUMBER(H1476),ISNUMBER(W1476)),H1476/MAX(1,'Обзор'!$B$4-W1476),"")</x:f>
        <x:v>918.9347826086956</x:v>
      </x:c>
      <x:c r="AC1476" s="17" t="str">
        <x:v>Не решено</x:v>
      </x:c>
      <x:c r="AD1476" s="17" t="str">
        <x:v>Не проверено</x:v>
      </x:c>
      <x:c r="AE1476" s="17" t="str">
        <x:v>Не проверено</x:v>
      </x:c>
      <x:c r="AF1476" s="17" t="str">
        <x:v>Не проверено</x:v>
      </x:c>
      <x:c r="AG1476" s="17" t="str">
        <x:v>Не решено</x:v>
      </x:c>
      <x:c r="AH1476" s="17" t="str">
        <x:v>Не проверено</x:v>
      </x:c>
      <x:c r="AI1476" s="10" t="str">
        <x:f>IF(AC1476="Отклонить","Отклонено",IF(AND(AC1476="Взять",COUNTIFS(AD1476:AH1476,"Да")=5),"Готово","Нужна редактура"))</x:f>
        <x:v>Нужна редактура</x:v>
      </x:c>
      <x:c r="AJ1476" s="17" t="str"/>
      <x:c r="AK1476" s="9" t="str">
        <x:v>https://www.youtube.com/@Shomersaf/videos</x:v>
      </x:c>
      <x:c r="AL1476" s="9" t="n">
        <x:v>32</x:v>
      </x:c>
      <x:c r="AM1476" s="9"/>
      <x:c r="AN1476" s="9" t="n">
        <x:v>0</x:v>
      </x:c>
    </x:row>
    <x:row r="1477" ht="60" customHeight="1">
      <x:c r="A1477" s="9" t="str">
        <x:v>AvfcECuxKfU</x:v>
      </x:c>
      <x:c r="B1477" s="10" t="str">
        <x:v>אורי זכי עזב את הדמוקרטים לטובת אייזנקוט. שומר סף 393</x:v>
      </x:c>
      <x:c r="C1477" s="10" t="str">
        <x:v>Общественная дискуссия</x:v>
      </x:c>
      <x:c r="D1477" s="9" t="str">
        <x:v>Интервью</x:v>
      </x:c>
      <x:c r="E1477" s="10" t="str">
        <x:v>Интервью; общество; продвинутые</x:v>
      </x:c>
      <x:c r="F1477" s="10" t="str">
        <x:v>B2–C1 (гипотеза)</x:v>
      </x:c>
      <x:c r="G1477" s="12" t="n">
        <x:v>52.7</x:v>
      </x:c>
      <x:c r="H1477" s="14" t="n">
        <x:v>30000</x:v>
      </x:c>
      <x:c r="I1477" s="15" t="str">
        <x:v>Округлённый счётчик в списке YouTube</x:v>
      </x:c>
      <x:c r="J1477" s="14" t="n">
        <x:v>30000</x:v>
      </x:c>
      <x:c r="K1477" s="14" t="n">
        <x:v>33000</x:v>
      </x:c>
      <x:c r="L1477" s="12" t="n">
        <x:f>IF(COUNT(J1477:K1477)=2,IF(K1477=0,"",J1477/K1477),"")</x:f>
        <x:v>0.9090909090909091</x:v>
      </x:c>
      <x:c r="M1477" s="10" t="str">
        <x:v>Тема / гость: אורי זכי עזב את הדמוקרטים לטובת אייזנקוט. שומר סף 393. Источник для аудитории общественных дебатов; полезен при явной атрибуции позиции ведущего и гостя.</x:v>
      </x:c>
      <x:c r="N1477" s="10" t="str">
        <x:v>Выбрать 5–8 минут: тезис, аргумент, уточняющий вопрос. Проверить фактические утверждения.</x:v>
      </x:c>
      <x:c r="O1477" s="10" t="str">
        <x:v>Авторская политическая перспектива; не выдавать за нейтральный обзор</x:v>
      </x:c>
      <x:c r="P1477" s="10" t="str">
        <x:v>Длинное интервью</x:v>
      </x:c>
      <x:c r="Q1477" s="9" t="str">
        <x:v>Нет</x:v>
      </x:c>
      <x:c r="R1477" s="9" t="str">
        <x:v>C087</x:v>
      </x:c>
      <x:c r="S1477" s="9" t="str">
        <x:v>C087</x:v>
      </x:c>
      <x:c r="T1477" s="10" t="str">
        <x:v>גדי טאוב: שומר סף</x:v>
      </x:c>
      <x:c r="U1477" s="11" t="str">
        <x:v>https://www.youtube.com/watch?v=AvfcECuxKfU</x:v>
      </x:c>
      <x:c r="V1477" s="16" t="n">
        <x:v>46308</x:v>
      </x:c>
      <x:c r="W1477" s="16"/>
      <x:c r="X1477" s="10" t="str">
        <x:v>Иврит предполагается по заголовку и источнику</x:v>
      </x:c>
      <x:c r="Y1477" s="10" t="str">
        <x:v>Не проверено</x:v>
      </x:c>
      <x:c r="Z1477" s="10" t="str">
        <x:v>Не проверено</x:v>
      </x:c>
      <x:c r="AA1477" s="10" t="str">
        <x:v>Метаданные списка; видео не просмотрено</x:v>
      </x:c>
      <x:c r="AB1477" s="13" t="str">
        <x:f>IF(AND(ISNUMBER(H1477),ISNUMBER(W1477)),H1477/MAX(1,'Обзор'!$B$4-W1477),"")</x:f>
      </x:c>
      <x:c r="AC1477" s="17" t="str">
        <x:v>Не решено</x:v>
      </x:c>
      <x:c r="AD1477" s="17" t="str">
        <x:v>Не проверено</x:v>
      </x:c>
      <x:c r="AE1477" s="17" t="str">
        <x:v>Не проверено</x:v>
      </x:c>
      <x:c r="AF1477" s="17" t="str">
        <x:v>Не проверено</x:v>
      </x:c>
      <x:c r="AG1477" s="17" t="str">
        <x:v>Не решено</x:v>
      </x:c>
      <x:c r="AH1477" s="17" t="str">
        <x:v>Не проверено</x:v>
      </x:c>
      <x:c r="AI1477" s="10" t="str">
        <x:f>IF(AC1477="Отклонить","Отклонено",IF(AND(AC1477="Взять",COUNTIFS(AD1477:AH1477,"Да")=5),"Готово","Нужна редактура"))</x:f>
        <x:v>Нужна редактура</x:v>
      </x:c>
      <x:c r="AJ1477" s="17" t="str"/>
      <x:c r="AK1477" s="9" t="str">
        <x:v>https://www.youtube.com/@Shomersaf/videos</x:v>
      </x:c>
      <x:c r="AL1477" s="9" t="n">
        <x:v>33</x:v>
      </x:c>
      <x:c r="AM1477" s="9"/>
      <x:c r="AN1477" s="9"/>
    </x:row>
    <x:row r="1478" ht="60" customHeight="1">
      <x:c r="A1478" s="9" t="str">
        <x:v>Vfl_FZJif2A</x:v>
      </x:c>
      <x:c r="B1478" s="10" t="str">
        <x:v>שמעון ריקלין: רונן בר איים עלי. בלתי סביר בעליל 54</x:v>
      </x:c>
      <x:c r="C1478" s="10" t="str">
        <x:v>Общественная дискуссия</x:v>
      </x:c>
      <x:c r="D1478" s="9" t="str">
        <x:v>Интервью</x:v>
      </x:c>
      <x:c r="E1478" s="10" t="str">
        <x:v>Интервью; общество; продвинутые</x:v>
      </x:c>
      <x:c r="F1478" s="10" t="str">
        <x:v>B2–C1 (гипотеза)</x:v>
      </x:c>
      <x:c r="G1478" s="12" t="n">
        <x:v>63.9</x:v>
      </x:c>
      <x:c r="H1478" s="14" t="n">
        <x:v>24000</x:v>
      </x:c>
      <x:c r="I1478" s="15" t="str">
        <x:v>Округлённый счётчик в списке YouTube</x:v>
      </x:c>
      <x:c r="J1478" s="14" t="n">
        <x:v>24000</x:v>
      </x:c>
      <x:c r="K1478" s="14" t="n">
        <x:v>33000</x:v>
      </x:c>
      <x:c r="L1478" s="12" t="n">
        <x:f>IF(COUNT(J1478:K1478)=2,IF(K1478=0,"",J1478/K1478),"")</x:f>
        <x:v>0.7272727272727273</x:v>
      </x:c>
      <x:c r="M1478" s="10" t="str">
        <x:v>Тема / гость: שמעון ריקלין: רונן בר איים עלי. בלתי סביר בעליל 54. Источник для аудитории общественных дебатов; полезен при явной атрибуции позиции ведущего и гостя.</x:v>
      </x:c>
      <x:c r="N1478" s="10" t="str">
        <x:v>Выбрать 5–8 минут: тезис, аргумент, уточняющий вопрос. Проверить фактические утверждения.</x:v>
      </x:c>
      <x:c r="O1478" s="10" t="str">
        <x:v>Авторская политическая перспектива; не выдавать за нейтральный обзор</x:v>
      </x:c>
      <x:c r="P1478" s="10" t="str">
        <x:v>Длинное интервью</x:v>
      </x:c>
      <x:c r="Q1478" s="9" t="str">
        <x:v>Нет</x:v>
      </x:c>
      <x:c r="R1478" s="9" t="str">
        <x:v>C087</x:v>
      </x:c>
      <x:c r="S1478" s="9" t="str">
        <x:v>C087</x:v>
      </x:c>
      <x:c r="T1478" s="10" t="str">
        <x:v>גדי טאוב: שומר סף</x:v>
      </x:c>
      <x:c r="U1478" s="11" t="str">
        <x:v>https://www.youtube.com/watch?v=Vfl_FZJif2A</x:v>
      </x:c>
      <x:c r="V1478" s="16" t="n">
        <x:v>46308</x:v>
      </x:c>
      <x:c r="W1478" s="16"/>
      <x:c r="X1478" s="10" t="str">
        <x:v>Иврит предполагается по заголовку и источнику</x:v>
      </x:c>
      <x:c r="Y1478" s="10" t="str">
        <x:v>Не проверено</x:v>
      </x:c>
      <x:c r="Z1478" s="10" t="str">
        <x:v>Не проверено</x:v>
      </x:c>
      <x:c r="AA1478" s="10" t="str">
        <x:v>Метаданные списка; видео не просмотрено</x:v>
      </x:c>
      <x:c r="AB1478" s="13" t="str">
        <x:f>IF(AND(ISNUMBER(H1478),ISNUMBER(W1478)),H1478/MAX(1,'Обзор'!$B$4-W1478),"")</x:f>
      </x:c>
      <x:c r="AC1478" s="17" t="str">
        <x:v>Не решено</x:v>
      </x:c>
      <x:c r="AD1478" s="17" t="str">
        <x:v>Не проверено</x:v>
      </x:c>
      <x:c r="AE1478" s="17" t="str">
        <x:v>Не проверено</x:v>
      </x:c>
      <x:c r="AF1478" s="17" t="str">
        <x:v>Не проверено</x:v>
      </x:c>
      <x:c r="AG1478" s="17" t="str">
        <x:v>Не решено</x:v>
      </x:c>
      <x:c r="AH1478" s="17" t="str">
        <x:v>Не проверено</x:v>
      </x:c>
      <x:c r="AI1478" s="10" t="str">
        <x:f>IF(AC1478="Отклонить","Отклонено",IF(AND(AC1478="Взять",COUNTIFS(AD1478:AH1478,"Да")=5),"Готово","Нужна редактура"))</x:f>
        <x:v>Нужна редактура</x:v>
      </x:c>
      <x:c r="AJ1478" s="17" t="str"/>
      <x:c r="AK1478" s="9" t="str">
        <x:v>https://www.youtube.com/@Shomersaf/videos</x:v>
      </x:c>
      <x:c r="AL1478" s="9" t="n">
        <x:v>34</x:v>
      </x:c>
      <x:c r="AM1478" s="9"/>
      <x:c r="AN1478" s="9"/>
    </x:row>
    <x:row r="1479" ht="60" customHeight="1">
      <x:c r="A1479" s="9" t="str">
        <x:v>Ztr0AY15ZGs</x:v>
      </x:c>
      <x:c r="B1479" s="10" t="str">
        <x:v>אירגוני הפשיעה הערבית הם אירגוני טרור לכל דבר. שומר סף 392 עם יניר מלך (תיאורים גרפיים)</x:v>
      </x:c>
      <x:c r="C1479" s="10" t="str">
        <x:v>Общественная дискуссия</x:v>
      </x:c>
      <x:c r="D1479" s="9" t="str">
        <x:v>Интервью</x:v>
      </x:c>
      <x:c r="E1479" s="10" t="str">
        <x:v>Интервью; общество; продвинутые</x:v>
      </x:c>
      <x:c r="F1479" s="10" t="str">
        <x:v>B2–C1 (гипотеза)</x:v>
      </x:c>
      <x:c r="G1479" s="12" t="n">
        <x:v>46.9</x:v>
      </x:c>
      <x:c r="H1479" s="14" t="n">
        <x:v>21000</x:v>
      </x:c>
      <x:c r="I1479" s="15" t="str">
        <x:v>Округлённый счётчик в списке YouTube</x:v>
      </x:c>
      <x:c r="J1479" s="14" t="n">
        <x:v>21000</x:v>
      </x:c>
      <x:c r="K1479" s="14" t="n">
        <x:v>33000</x:v>
      </x:c>
      <x:c r="L1479" s="12" t="n">
        <x:f>IF(COUNT(J1479:K1479)=2,IF(K1479=0,"",J1479/K1479),"")</x:f>
        <x:v>0.6363636363636364</x:v>
      </x:c>
      <x:c r="M1479" s="10" t="str">
        <x:v>Тема / гость: אירגוני הפשיעה הערבית הם אירגוני טרור לכל דבר. שומר סף 392 עם יניר מלך (תיאורים גרפיים). Источник для аудитории общественных дебатов; полезен при явной атрибуции позиции ведущего и гостя.</x:v>
      </x:c>
      <x:c r="N1479" s="10" t="str">
        <x:v>Выбрать 5–8 минут: тезис, аргумент, уточняющий вопрос. Проверить фактические утверждения.</x:v>
      </x:c>
      <x:c r="O1479" s="10" t="str">
        <x:v>Авторская политическая перспектива; не выдавать за нейтральный обзор</x:v>
      </x:c>
      <x:c r="P1479" s="10" t="str">
        <x:v>Длинное интервью</x:v>
      </x:c>
      <x:c r="Q1479" s="9" t="str">
        <x:v>Нет</x:v>
      </x:c>
      <x:c r="R1479" s="9" t="str">
        <x:v>C087</x:v>
      </x:c>
      <x:c r="S1479" s="9" t="str">
        <x:v>C087</x:v>
      </x:c>
      <x:c r="T1479" s="10" t="str">
        <x:v>גדי טאוב: שומר סף</x:v>
      </x:c>
      <x:c r="U1479" s="11" t="str">
        <x:v>https://www.youtube.com/watch?v=Ztr0AY15ZGs</x:v>
      </x:c>
      <x:c r="V1479" s="16" t="n">
        <x:v>46308</x:v>
      </x:c>
      <x:c r="W1479" s="16"/>
      <x:c r="X1479" s="10" t="str">
        <x:v>Иврит предполагается по заголовку и источнику</x:v>
      </x:c>
      <x:c r="Y1479" s="10" t="str">
        <x:v>Не проверено</x:v>
      </x:c>
      <x:c r="Z1479" s="10" t="str">
        <x:v>Не проверено</x:v>
      </x:c>
      <x:c r="AA1479" s="10" t="str">
        <x:v>Метаданные списка; видео не просмотрено</x:v>
      </x:c>
      <x:c r="AB1479" s="13" t="str">
        <x:f>IF(AND(ISNUMBER(H1479),ISNUMBER(W1479)),H1479/MAX(1,'Обзор'!$B$4-W1479),"")</x:f>
      </x:c>
      <x:c r="AC1479" s="17" t="str">
        <x:v>Не решено</x:v>
      </x:c>
      <x:c r="AD1479" s="17" t="str">
        <x:v>Не проверено</x:v>
      </x:c>
      <x:c r="AE1479" s="17" t="str">
        <x:v>Не проверено</x:v>
      </x:c>
      <x:c r="AF1479" s="17" t="str">
        <x:v>Не проверено</x:v>
      </x:c>
      <x:c r="AG1479" s="17" t="str">
        <x:v>Не решено</x:v>
      </x:c>
      <x:c r="AH1479" s="17" t="str">
        <x:v>Не проверено</x:v>
      </x:c>
      <x:c r="AI1479" s="10" t="str">
        <x:f>IF(AC1479="Отклонить","Отклонено",IF(AND(AC1479="Взять",COUNTIFS(AD1479:AH1479,"Да")=5),"Готово","Нужна редактура"))</x:f>
        <x:v>Нужна редактура</x:v>
      </x:c>
      <x:c r="AJ1479" s="17" t="str"/>
      <x:c r="AK1479" s="9" t="str">
        <x:v>https://www.youtube.com/@Shomersaf/videos</x:v>
      </x:c>
      <x:c r="AL1479" s="9" t="n">
        <x:v>35</x:v>
      </x:c>
      <x:c r="AM1479" s="9"/>
      <x:c r="AN1479" s="9"/>
    </x:row>
    <x:row r="1480" ht="60" customHeight="1">
      <x:c r="A1480" s="9" t="str">
        <x:v>E78x7xLUM18</x:v>
      </x:c>
      <x:c r="B1480" s="10" t="str">
        <x:v>האמת על האחים המוסלמים, פרק 1: יסודות האסלאם – עם ד״ר אפרים ברק</x:v>
      </x:c>
      <x:c r="C1480" s="10" t="str">
        <x:v>Общественная дискуссия</x:v>
      </x:c>
      <x:c r="D1480" s="9" t="str">
        <x:v>Интервью</x:v>
      </x:c>
      <x:c r="E1480" s="10" t="str">
        <x:v>Интервью; общество; продвинутые</x:v>
      </x:c>
      <x:c r="F1480" s="10" t="str">
        <x:v>B2–C1 (гипотеза)</x:v>
      </x:c>
      <x:c r="G1480" s="12" t="n">
        <x:v>90.6</x:v>
      </x:c>
      <x:c r="H1480" s="14" t="n">
        <x:v>41416</x:v>
      </x:c>
      <x:c r="I1480" s="15" t="str">
        <x:v>Точный счётчик метаданных видео</x:v>
      </x:c>
      <x:c r="J1480" s="14" t="n">
        <x:v>41000</x:v>
      </x:c>
      <x:c r="K1480" s="14" t="n">
        <x:v>3200</x:v>
      </x:c>
      <x:c r="L1480" s="12" t="n">
        <x:f>IF(COUNT(J1480:K1480)=2,IF(K1480=0,"",J1480/K1480),"")</x:f>
        <x:v>12.8125</x:v>
      </x:c>
      <x:c r="M1480" s="10" t="str">
        <x:v>Тема / гость: האמת על האחים המוסלמים, פרק 1: יסודות האסלאם – עם ד״ר אפרים ברק. Просмотры в списке выше медианы выборки этого цикла в 12.81 раза. Дополнительная перспектива в общественной дискуссии. Включать по конкретной теме и гостю, а не по одной популярности.</x:v>
      </x:c>
      <x:c r="N1480" s="10" t="str">
        <x:v>Выбрать 5–8 минут: тезис, аргумент, уточняющий вопрос. Проверить фактические утверждения.</x:v>
      </x:c>
      <x:c r="O1480" s="10" t="str">
        <x:v>Авторская политическая перспектива; не выдавать за нейтральный обзор</x:v>
      </x:c>
      <x:c r="P1480" s="10" t="str">
        <x:v>Длинное интервью</x:v>
      </x:c>
      <x:c r="Q1480" s="9" t="str">
        <x:v>Нет</x:v>
      </x:c>
      <x:c r="R1480" s="9" t="str">
        <x:v>C088</x:v>
      </x:c>
      <x:c r="S1480" s="9" t="str">
        <x:v>C088</x:v>
      </x:c>
      <x:c r="T1480" s="10" t="str">
        <x:v>אידיוטים שימושיים - עקיבא ביגמן</x:v>
      </x:c>
      <x:c r="U1480" s="11" t="str">
        <x:v>https://www.youtube.com/watch?v=E78x7xLUM18</x:v>
      </x:c>
      <x:c r="V1480" s="16" t="n">
        <x:v>46308</x:v>
      </x:c>
      <x:c r="W1480" s="16" t="n">
        <x:v>46279</x:v>
      </x:c>
      <x:c r="X1480" s="10" t="str">
        <x:v>iw</x:v>
      </x:c>
      <x:c r="Y1480" s="10" t="str">
        <x:v>Автоматическая дорожка HE по метаданным</x:v>
      </x:c>
      <x:c r="Z1480" s="10" t="str">
        <x:v>Разрешено по метаданным</x:v>
      </x:c>
      <x:c r="AA1480" s="10" t="str">
        <x:v>Метаданные видео; воспроизведение и содержание не проверены</x:v>
      </x:c>
      <x:c r="AB1480" s="13" t="n">
        <x:f>IF(AND(ISNUMBER(H1480),ISNUMBER(W1480)),H1480/MAX(1,'Обзор'!$B$4-W1480),"")</x:f>
        <x:v>1428.1379310344828</x:v>
      </x:c>
      <x:c r="AC1480" s="17" t="str">
        <x:v>Не решено</x:v>
      </x:c>
      <x:c r="AD1480" s="17" t="str">
        <x:v>Не проверено</x:v>
      </x:c>
      <x:c r="AE1480" s="17" t="str">
        <x:v>Не проверено</x:v>
      </x:c>
      <x:c r="AF1480" s="17" t="str">
        <x:v>Не проверено</x:v>
      </x:c>
      <x:c r="AG1480" s="17" t="str">
        <x:v>Не решено</x:v>
      </x:c>
      <x:c r="AH1480" s="17" t="str">
        <x:v>Не проверено</x:v>
      </x:c>
      <x:c r="AI1480" s="10" t="str">
        <x:f>IF(AC1480="Отклонить","Отклонено",IF(AND(AC1480="Взять",COUNTIFS(AD1480:AH1480,"Да")=5),"Готово","Нужна редактура"))</x:f>
        <x:v>Нужна редактура</x:v>
      </x:c>
      <x:c r="AJ1480" s="17" t="str"/>
      <x:c r="AK1480" s="9" t="str">
        <x:v>https://www.youtube.com/@akibigman/videos</x:v>
      </x:c>
      <x:c r="AL1480" s="9" t="n">
        <x:v>10</x:v>
      </x:c>
      <x:c r="AM1480" s="9" t="n">
        <x:v>1</x:v>
      </x:c>
      <x:c r="AN1480" s="9" t="n">
        <x:v>0</x:v>
      </x:c>
    </x:row>
    <x:row r="1481" ht="60" customHeight="1">
      <x:c r="A1481" s="9" t="str">
        <x:v>lANJCc8hNTA</x:v>
      </x:c>
      <x:c r="B1481" s="10" t="str">
        <x:v>האמת על האחים המוסלמים, פרק 4: הג׳יהאד הלוחמני של סייד קוטב – ד״ר אפרים ברק</x:v>
      </x:c>
      <x:c r="C1481" s="10" t="str">
        <x:v>Общественная дискуссия</x:v>
      </x:c>
      <x:c r="D1481" s="9" t="str">
        <x:v>Интервью</x:v>
      </x:c>
      <x:c r="E1481" s="10" t="str">
        <x:v>Интервью; общество; продвинутые</x:v>
      </x:c>
      <x:c r="F1481" s="10" t="str">
        <x:v>B2–C1 (гипотеза)</x:v>
      </x:c>
      <x:c r="G1481" s="12" t="n">
        <x:v>44.7</x:v>
      </x:c>
      <x:c r="H1481" s="14" t="n">
        <x:v>7452</x:v>
      </x:c>
      <x:c r="I1481" s="15" t="str">
        <x:v>Точный счётчик метаданных видео</x:v>
      </x:c>
      <x:c r="J1481" s="14" t="n">
        <x:v>7400</x:v>
      </x:c>
      <x:c r="K1481" s="14" t="n">
        <x:v>3200</x:v>
      </x:c>
      <x:c r="L1481" s="12" t="n">
        <x:f>IF(COUNT(J1481:K1481)=2,IF(K1481=0,"",J1481/K1481),"")</x:f>
        <x:v>2.3125</x:v>
      </x:c>
      <x:c r="M1481" s="10" t="str">
        <x:v>Тема / гость: האמת על האחים המוסלמים, פרק 4: הג׳יהאד הלוחמני של סייד קוטב – ד״ר אפרים ברק. Просмотры в списке выше медианы выборки этого цикла в 2.31 раза. Дополнительная перспектива в общественной дискуссии. Включать по конкретной теме и гостю, а не по одной популярности.</x:v>
      </x:c>
      <x:c r="N1481" s="10" t="str">
        <x:v>Выбрать 5–8 минут: тезис, аргумент, уточняющий вопрос. Проверить фактические утверждения.</x:v>
      </x:c>
      <x:c r="O1481" s="10" t="str">
        <x:v>Авторская политическая перспектива; не выдавать за нейтральный обзор</x:v>
      </x:c>
      <x:c r="P1481" s="10" t="str">
        <x:v>Длинное интервью</x:v>
      </x:c>
      <x:c r="Q1481" s="9" t="str">
        <x:v>Нет</x:v>
      </x:c>
      <x:c r="R1481" s="9" t="str">
        <x:v>C088</x:v>
      </x:c>
      <x:c r="S1481" s="9" t="str">
        <x:v>C088</x:v>
      </x:c>
      <x:c r="T1481" s="10" t="str">
        <x:v>אידיוטים שימושיים - עקיבא ביגמן</x:v>
      </x:c>
      <x:c r="U1481" s="11" t="str">
        <x:v>https://www.youtube.com/watch?v=lANJCc8hNTA</x:v>
      </x:c>
      <x:c r="V1481" s="16" t="n">
        <x:v>46308</x:v>
      </x:c>
      <x:c r="W1481" s="16" t="n">
        <x:v>46290</x:v>
      </x:c>
      <x:c r="X1481" s="10" t="str">
        <x:v>Иврит предполагается по заголовку и источнику</x:v>
      </x:c>
      <x:c r="Y1481" s="10" t="str">
        <x:v>Автоматическая дорожка HE по метаданным</x:v>
      </x:c>
      <x:c r="Z1481" s="10" t="str">
        <x:v>Разрешено по метаданным</x:v>
      </x:c>
      <x:c r="AA1481" s="10" t="str">
        <x:v>Метаданные видео; воспроизведение и содержание не проверены</x:v>
      </x:c>
      <x:c r="AB1481" s="13" t="n">
        <x:f>IF(AND(ISNUMBER(H1481),ISNUMBER(W1481)),H1481/MAX(1,'Обзор'!$B$4-W1481),"")</x:f>
        <x:v>414</x:v>
      </x:c>
      <x:c r="AC1481" s="17" t="str">
        <x:v>Не решено</x:v>
      </x:c>
      <x:c r="AD1481" s="17" t="str">
        <x:v>Не проверено</x:v>
      </x:c>
      <x:c r="AE1481" s="17" t="str">
        <x:v>Не проверено</x:v>
      </x:c>
      <x:c r="AF1481" s="17" t="str">
        <x:v>Не проверено</x:v>
      </x:c>
      <x:c r="AG1481" s="17" t="str">
        <x:v>Не решено</x:v>
      </x:c>
      <x:c r="AH1481" s="17" t="str">
        <x:v>Не проверено</x:v>
      </x:c>
      <x:c r="AI1481" s="10" t="str">
        <x:f>IF(AC1481="Отклонить","Отклонено",IF(AND(AC1481="Взять",COUNTIFS(AD1481:AH1481,"Да")=5),"Готово","Нужна редактура"))</x:f>
        <x:v>Нужна редактура</x:v>
      </x:c>
      <x:c r="AJ1481" s="17" t="str"/>
      <x:c r="AK1481" s="9" t="str">
        <x:v>https://www.youtube.com/@akibigman/videos</x:v>
      </x:c>
      <x:c r="AL1481" s="9" t="n">
        <x:v>6</x:v>
      </x:c>
      <x:c r="AM1481" s="9" t="n">
        <x:v>4</x:v>
      </x:c>
      <x:c r="AN1481" s="9" t="n">
        <x:v>0</x:v>
      </x:c>
    </x:row>
    <x:row r="1482" ht="60" customHeight="1">
      <x:c r="A1482" s="9" t="str">
        <x:v>bODxotAYIAw</x:v>
      </x:c>
      <x:c r="B1482" s="10" t="str">
        <x:v>האמת על האחים המוסלמים, פרק 5: כיצד האחים המוסלמים משתלטים על אירופה – ד״ר דינה לסננסקי</x:v>
      </x:c>
      <x:c r="C1482" s="10" t="str">
        <x:v>Общественная дискуссия</x:v>
      </x:c>
      <x:c r="D1482" s="9" t="str">
        <x:v>Интервью</x:v>
      </x:c>
      <x:c r="E1482" s="10" t="str">
        <x:v>Интервью; общество; продвинутые</x:v>
      </x:c>
      <x:c r="F1482" s="10" t="str">
        <x:v>B2–C1 (гипотеза)</x:v>
      </x:c>
      <x:c r="G1482" s="12" t="n">
        <x:v>70.9</x:v>
      </x:c>
      <x:c r="H1482" s="14" t="n">
        <x:v>10007</x:v>
      </x:c>
      <x:c r="I1482" s="15" t="str">
        <x:v>Точный счётчик метаданных видео</x:v>
      </x:c>
      <x:c r="J1482" s="14" t="n">
        <x:v>10000</x:v>
      </x:c>
      <x:c r="K1482" s="14" t="n">
        <x:v>3200</x:v>
      </x:c>
      <x:c r="L1482" s="12" t="n">
        <x:f>IF(COUNT(J1482:K1482)=2,IF(K1482=0,"",J1482/K1482),"")</x:f>
        <x:v>3.125</x:v>
      </x:c>
      <x:c r="M1482" s="10" t="str">
        <x:v>Тема / гость: האמת על האחים המוסלמים, פרק 5: כיצד האחים המוסלמים משתלטים על אירופה – ד״ר דינה לסננסקי. Просмотры в списке выше медианы выборки этого цикла в 3.12 раза. Дополнительная перспектива в общественной дискуссии. Включать по конкретной теме и гостю, а не по одной популярности.</x:v>
      </x:c>
      <x:c r="N1482" s="10" t="str">
        <x:v>Выбрать 5–8 минут: тезис, аргумент, уточняющий вопрос. Проверить фактические утверждения.</x:v>
      </x:c>
      <x:c r="O1482" s="10" t="str">
        <x:v>Авторская политическая перспектива; не выдавать за нейтральный обзор</x:v>
      </x:c>
      <x:c r="P1482" s="10" t="str">
        <x:v>Длинное интервью</x:v>
      </x:c>
      <x:c r="Q1482" s="9" t="str">
        <x:v>Нет</x:v>
      </x:c>
      <x:c r="R1482" s="9" t="str">
        <x:v>C088</x:v>
      </x:c>
      <x:c r="S1482" s="9" t="str">
        <x:v>C088</x:v>
      </x:c>
      <x:c r="T1482" s="10" t="str">
        <x:v>אידיוטים שימושיים - עקיבא ביגמן</x:v>
      </x:c>
      <x:c r="U1482" s="11" t="str">
        <x:v>https://www.youtube.com/watch?v=bODxotAYIAw</x:v>
      </x:c>
      <x:c r="V1482" s="16" t="n">
        <x:v>46308</x:v>
      </x:c>
      <x:c r="W1482" s="16" t="n">
        <x:v>46293</x:v>
      </x:c>
      <x:c r="X1482" s="10" t="str">
        <x:v>Иврит предполагается по заголовку и источнику</x:v>
      </x:c>
      <x:c r="Y1482" s="10" t="str">
        <x:v>Автоматическая дорожка HE по метаданным</x:v>
      </x:c>
      <x:c r="Z1482" s="10" t="str">
        <x:v>Разрешено по метаданным</x:v>
      </x:c>
      <x:c r="AA1482" s="10" t="str">
        <x:v>Метаданные видео; воспроизведение и содержание не проверены</x:v>
      </x:c>
      <x:c r="AB1482" s="13" t="n">
        <x:f>IF(AND(ISNUMBER(H1482),ISNUMBER(W1482)),H1482/MAX(1,'Обзор'!$B$4-W1482),"")</x:f>
        <x:v>667.1333333333333</x:v>
      </x:c>
      <x:c r="AC1482" s="17" t="str">
        <x:v>Не решено</x:v>
      </x:c>
      <x:c r="AD1482" s="17" t="str">
        <x:v>Не проверено</x:v>
      </x:c>
      <x:c r="AE1482" s="17" t="str">
        <x:v>Не проверено</x:v>
      </x:c>
      <x:c r="AF1482" s="17" t="str">
        <x:v>Не проверено</x:v>
      </x:c>
      <x:c r="AG1482" s="17" t="str">
        <x:v>Не решено</x:v>
      </x:c>
      <x:c r="AH1482" s="17" t="str">
        <x:v>Не проверено</x:v>
      </x:c>
      <x:c r="AI1482" s="10" t="str">
        <x:f>IF(AC1482="Отклонить","Отклонено",IF(AND(AC1482="Взять",COUNTIFS(AD1482:AH1482,"Да")=5),"Готово","Нужна редактура"))</x:f>
        <x:v>Нужна редактура</x:v>
      </x:c>
      <x:c r="AJ1482" s="17" t="str"/>
      <x:c r="AK1482" s="9" t="str">
        <x:v>https://www.youtube.com/@akibigman/videos</x:v>
      </x:c>
      <x:c r="AL1482" s="9" t="n">
        <x:v>5</x:v>
      </x:c>
      <x:c r="AM1482" s="9" t="n">
        <x:v>5</x:v>
      </x:c>
      <x:c r="AN1482" s="9" t="n">
        <x:v>0</x:v>
      </x:c>
    </x:row>
    <x:row r="1483" ht="60" customHeight="1">
      <x:c r="A1483" s="9" t="str">
        <x:v>xVqngylj7d0</x:v>
      </x:c>
      <x:c r="B1483" s="10" t="str">
        <x:v>האמת על האחים המוסלמים, פרק 7: הפרגמטיזם הרדיקלי של התנועה האסלאמית – ד״ר נסיה שמר</x:v>
      </x:c>
      <x:c r="C1483" s="10" t="str">
        <x:v>Общественная дискуссия</x:v>
      </x:c>
      <x:c r="D1483" s="9" t="str">
        <x:v>Интервью</x:v>
      </x:c>
      <x:c r="E1483" s="10" t="str">
        <x:v>Интервью; общество; продвинутые</x:v>
      </x:c>
      <x:c r="F1483" s="10" t="str">
        <x:v>B2–C1 (гипотеза)</x:v>
      </x:c>
      <x:c r="G1483" s="12" t="n">
        <x:v>84.9</x:v>
      </x:c>
      <x:c r="H1483" s="14" t="n">
        <x:v>4646</x:v>
      </x:c>
      <x:c r="I1483" s="15" t="str">
        <x:v>Точный счётчик метаданных видео</x:v>
      </x:c>
      <x:c r="J1483" s="14" t="n">
        <x:v>4600</x:v>
      </x:c>
      <x:c r="K1483" s="14" t="n">
        <x:v>3200</x:v>
      </x:c>
      <x:c r="L1483" s="12" t="n">
        <x:f>IF(COUNT(J1483:K1483)=2,IF(K1483=0,"",J1483/K1483),"")</x:f>
        <x:v>1.4375</x:v>
      </x:c>
      <x:c r="M1483" s="10" t="str">
        <x:v>Тема / гость: האמת על האחים המוסלמים, פרק 7: הפרגמטיזם הרדיקלי של התנועה האסלאמית – ד״ר נסיה שמר. Дополнительная перспектива в общественной дискуссии. Включать по конкретной теме и гостю, а не по одной популярности.</x:v>
      </x:c>
      <x:c r="N1483" s="10" t="str">
        <x:v>Выбрать 5–8 минут: тезис, аргумент, уточняющий вопрос. Проверить фактические утверждения.</x:v>
      </x:c>
      <x:c r="O1483" s="10" t="str">
        <x:v>Авторская политическая перспектива; не выдавать за нейтральный обзор</x:v>
      </x:c>
      <x:c r="P1483" s="10" t="str">
        <x:v>Длинное интервью</x:v>
      </x:c>
      <x:c r="Q1483" s="9" t="str">
        <x:v>Нет</x:v>
      </x:c>
      <x:c r="R1483" s="9" t="str">
        <x:v>C088</x:v>
      </x:c>
      <x:c r="S1483" s="9" t="str">
        <x:v>C088</x:v>
      </x:c>
      <x:c r="T1483" s="10" t="str">
        <x:v>אידיוטים שימושיים - עקיבא ביגמן</x:v>
      </x:c>
      <x:c r="U1483" s="11" t="str">
        <x:v>https://www.youtube.com/watch?v=xVqngylj7d0</x:v>
      </x:c>
      <x:c r="V1483" s="16" t="n">
        <x:v>46308</x:v>
      </x:c>
      <x:c r="W1483" s="16" t="n">
        <x:v>46299</x:v>
      </x:c>
      <x:c r="X1483" s="10" t="str">
        <x:v>Иврит предполагается по заголовку и источнику</x:v>
      </x:c>
      <x:c r="Y1483" s="10" t="str">
        <x:v>Автоматическая дорожка HE по метаданным</x:v>
      </x:c>
      <x:c r="Z1483" s="10" t="str">
        <x:v>Разрешено по метаданным</x:v>
      </x:c>
      <x:c r="AA1483" s="10" t="str">
        <x:v>Метаданные видео; воспроизведение и содержание не проверены</x:v>
      </x:c>
      <x:c r="AB1483" s="13" t="n">
        <x:f>IF(AND(ISNUMBER(H1483),ISNUMBER(W1483)),H1483/MAX(1,'Обзор'!$B$4-W1483),"")</x:f>
        <x:v>516.2222222222222</x:v>
      </x:c>
      <x:c r="AC1483" s="17" t="str">
        <x:v>Не решено</x:v>
      </x:c>
      <x:c r="AD1483" s="17" t="str">
        <x:v>Не проверено</x:v>
      </x:c>
      <x:c r="AE1483" s="17" t="str">
        <x:v>Не проверено</x:v>
      </x:c>
      <x:c r="AF1483" s="17" t="str">
        <x:v>Не проверено</x:v>
      </x:c>
      <x:c r="AG1483" s="17" t="str">
        <x:v>Не решено</x:v>
      </x:c>
      <x:c r="AH1483" s="17" t="str">
        <x:v>Не проверено</x:v>
      </x:c>
      <x:c r="AI1483" s="10" t="str">
        <x:f>IF(AC1483="Отклонить","Отклонено",IF(AND(AC1483="Взять",COUNTIFS(AD1483:AH1483,"Да")=5),"Готово","Нужна редактура"))</x:f>
        <x:v>Нужна редактура</x:v>
      </x:c>
      <x:c r="AJ1483" s="17" t="str"/>
      <x:c r="AK1483" s="9" t="str">
        <x:v>https://www.youtube.com/@akibigman/videos</x:v>
      </x:c>
      <x:c r="AL1483" s="9" t="n">
        <x:v>3</x:v>
      </x:c>
      <x:c r="AM1483" s="9" t="n">
        <x:v>7</x:v>
      </x:c>
      <x:c r="AN1483" s="9" t="n">
        <x:v>0</x:v>
      </x:c>
    </x:row>
    <x:row r="1484" ht="60" customHeight="1">
      <x:c r="A1484" s="9" t="str">
        <x:v>UMa8HiVadPY</x:v>
      </x:c>
      <x:c r="B1484" s="10" t="str">
        <x:v>האמת על האחים המוסלמים, פרק 8: האסטרטגיה האסלאמיסטית של מנסור עבאס – ד״ר שמעון עוז</x:v>
      </x:c>
      <x:c r="C1484" s="10" t="str">
        <x:v>Общественная дискуссия</x:v>
      </x:c>
      <x:c r="D1484" s="9" t="str">
        <x:v>Интервью</x:v>
      </x:c>
      <x:c r="E1484" s="10" t="str">
        <x:v>Интервью; общество; продвинутые</x:v>
      </x:c>
      <x:c r="F1484" s="10" t="str">
        <x:v>B2–C1 (гипотеза)</x:v>
      </x:c>
      <x:c r="G1484" s="12" t="n">
        <x:v>53.4</x:v>
      </x:c>
      <x:c r="H1484" s="14" t="n">
        <x:v>2000</x:v>
      </x:c>
      <x:c r="I1484" s="15" t="str">
        <x:v>Округлённый счётчик в списке YouTube</x:v>
      </x:c>
      <x:c r="J1484" s="14" t="n">
        <x:v>2000</x:v>
      </x:c>
      <x:c r="K1484" s="14" t="n">
        <x:v>3200</x:v>
      </x:c>
      <x:c r="L1484" s="12" t="n">
        <x:f>IF(COUNT(J1484:K1484)=2,IF(K1484=0,"",J1484/K1484),"")</x:f>
        <x:v>0.625</x:v>
      </x:c>
      <x:c r="M1484" s="10" t="str">
        <x:v>Тема / гость: האמת על האחים המוסלמים, פרק 8: האסטרטגיה האסלאמיסטית של מנסור עבאס – ד״ר שמעון עוז. Дополнительная перспектива в общественной дискуссии. Включать по конкретной теме и гостю, а не по одной популярности.</x:v>
      </x:c>
      <x:c r="N1484" s="10" t="str">
        <x:v>Выбрать 5–8 минут: тезис, аргумент, уточняющий вопрос. Проверить фактические утверждения.</x:v>
      </x:c>
      <x:c r="O1484" s="10" t="str">
        <x:v>Авторская политическая перспектива; не выдавать за нейтральный обзор</x:v>
      </x:c>
      <x:c r="P1484" s="10" t="str">
        <x:v>Длинное интервью</x:v>
      </x:c>
      <x:c r="Q1484" s="9" t="str">
        <x:v>Нет</x:v>
      </x:c>
      <x:c r="R1484" s="9" t="str">
        <x:v>C088</x:v>
      </x:c>
      <x:c r="S1484" s="9" t="str">
        <x:v>C088</x:v>
      </x:c>
      <x:c r="T1484" s="10" t="str">
        <x:v>אידיוטים שימושיים - עקיבא ביגמן</x:v>
      </x:c>
      <x:c r="U1484" s="11" t="str">
        <x:v>https://www.youtube.com/watch?v=UMa8HiVadPY</x:v>
      </x:c>
      <x:c r="V1484" s="16" t="n">
        <x:v>46308</x:v>
      </x:c>
      <x:c r="W1484" s="16"/>
      <x:c r="X1484" s="10" t="str">
        <x:v>Иврит предполагается по заголовку и источнику</x:v>
      </x:c>
      <x:c r="Y1484" s="10" t="str">
        <x:v>Не проверено</x:v>
      </x:c>
      <x:c r="Z1484" s="10" t="str">
        <x:v>Не проверено</x:v>
      </x:c>
      <x:c r="AA1484" s="10" t="str">
        <x:v>Метаданные списка; видео не просмотрено</x:v>
      </x:c>
      <x:c r="AB1484" s="13" t="str">
        <x:f>IF(AND(ISNUMBER(H1484),ISNUMBER(W1484)),H1484/MAX(1,'Обзор'!$B$4-W1484),"")</x:f>
      </x:c>
      <x:c r="AC1484" s="17" t="str">
        <x:v>Не решено</x:v>
      </x:c>
      <x:c r="AD1484" s="17" t="str">
        <x:v>Не проверено</x:v>
      </x:c>
      <x:c r="AE1484" s="17" t="str">
        <x:v>Не проверено</x:v>
      </x:c>
      <x:c r="AF1484" s="17" t="str">
        <x:v>Не проверено</x:v>
      </x:c>
      <x:c r="AG1484" s="17" t="str">
        <x:v>Не решено</x:v>
      </x:c>
      <x:c r="AH1484" s="17" t="str">
        <x:v>Не проверено</x:v>
      </x:c>
      <x:c r="AI1484" s="10" t="str">
        <x:f>IF(AC1484="Отклонить","Отклонено",IF(AND(AC1484="Взять",COUNTIFS(AD1484:AH1484,"Да")=5),"Готово","Нужна редактура"))</x:f>
        <x:v>Нужна редактура</x:v>
      </x:c>
      <x:c r="AJ1484" s="17" t="str"/>
      <x:c r="AK1484" s="9" t="str">
        <x:v>https://www.youtube.com/@akibigman/videos</x:v>
      </x:c>
      <x:c r="AL1484" s="9" t="n">
        <x:v>2</x:v>
      </x:c>
      <x:c r="AM1484" s="9" t="n">
        <x:v>8</x:v>
      </x:c>
      <x:c r="AN1484" s="9"/>
    </x:row>
    <x:row r="1485" ht="60" customHeight="1">
      <x:c r="A1485" s="9" t="str">
        <x:v>rGxrtWbqMNQ</x:v>
      </x:c>
      <x:c r="B1485" s="10" t="str">
        <x:v>בתוך התא הגאה בשב״כ</x:v>
      </x:c>
      <x:c r="C1485" s="10" t="str">
        <x:v>Общественная дискуссия</x:v>
      </x:c>
      <x:c r="D1485" s="9" t="str">
        <x:v>Интервью</x:v>
      </x:c>
      <x:c r="E1485" s="10" t="str">
        <x:v>Интервью; общество; продвинутые</x:v>
      </x:c>
      <x:c r="F1485" s="10" t="str">
        <x:v>B2–C1 (гипотеза)</x:v>
      </x:c>
      <x:c r="G1485" s="12" t="n">
        <x:v>2.8</x:v>
      </x:c>
      <x:c r="H1485" s="14" t="n">
        <x:v>1300</x:v>
      </x:c>
      <x:c r="I1485" s="15" t="str">
        <x:v>Округлённый счётчик в списке YouTube</x:v>
      </x:c>
      <x:c r="J1485" s="14" t="n">
        <x:v>1300</x:v>
      </x:c>
      <x:c r="K1485" s="14" t="n">
        <x:v>3200</x:v>
      </x:c>
      <x:c r="L1485" s="12" t="n">
        <x:f>IF(COUNT(J1485:K1485)=2,IF(K1485=0,"",J1485/K1485),"")</x:f>
        <x:v>0.40625</x:v>
      </x:c>
      <x:c r="M1485" s="10" t="str">
        <x:v>Тема / гость: בתוך התא הגאה בשב״כ. Просмотры ниже медианы цикла; выбирать за нишевую ценность, а не за массовый охват. Дополнительная перспектива в общественной дискуссии. Включать по конкретной теме и гостю, а не по одной популярности.</x:v>
      </x:c>
      <x:c r="N1485" s="10" t="str">
        <x:v>Выбрать 5–8 минут: тезис, аргумент, уточняющий вопрос. Проверить фактические утверждения.</x:v>
      </x:c>
      <x:c r="O1485" s="10" t="str">
        <x:v>Авторская политическая перспектива; не выдавать за нейтральный обзор</x:v>
      </x:c>
      <x:c r="P1485" s="10" t="str">
        <x:v>Короткое интервью / фрагмент</x:v>
      </x:c>
      <x:c r="Q1485" s="9" t="str">
        <x:v>Нет</x:v>
      </x:c>
      <x:c r="R1485" s="9" t="str">
        <x:v>C088</x:v>
      </x:c>
      <x:c r="S1485" s="9" t="str">
        <x:v>C088</x:v>
      </x:c>
      <x:c r="T1485" s="10" t="str">
        <x:v>אידיוטים שימושיים - עקיבא ביגמן</x:v>
      </x:c>
      <x:c r="U1485" s="11" t="str">
        <x:v>https://www.youtube.com/watch?v=rGxrtWbqMNQ</x:v>
      </x:c>
      <x:c r="V1485" s="16" t="n">
        <x:v>46308</x:v>
      </x:c>
      <x:c r="W1485" s="16"/>
      <x:c r="X1485" s="10" t="str">
        <x:v>Иврит предполагается по заголовку и источнику</x:v>
      </x:c>
      <x:c r="Y1485" s="10" t="str">
        <x:v>Не проверено</x:v>
      </x:c>
      <x:c r="Z1485" s="10" t="str">
        <x:v>Не проверено</x:v>
      </x:c>
      <x:c r="AA1485" s="10" t="str">
        <x:v>Метаданные списка; видео не просмотрено</x:v>
      </x:c>
      <x:c r="AB1485" s="13" t="str">
        <x:f>IF(AND(ISNUMBER(H1485),ISNUMBER(W1485)),H1485/MAX(1,'Обзор'!$B$4-W1485),"")</x:f>
      </x:c>
      <x:c r="AC1485" s="17" t="str">
        <x:v>Не решено</x:v>
      </x:c>
      <x:c r="AD1485" s="17" t="str">
        <x:v>Не проверено</x:v>
      </x:c>
      <x:c r="AE1485" s="17" t="str">
        <x:v>Не проверено</x:v>
      </x:c>
      <x:c r="AF1485" s="17" t="str">
        <x:v>Не проверено</x:v>
      </x:c>
      <x:c r="AG1485" s="17" t="str">
        <x:v>Не решено</x:v>
      </x:c>
      <x:c r="AH1485" s="17" t="str">
        <x:v>Не проверено</x:v>
      </x:c>
      <x:c r="AI1485" s="10" t="str">
        <x:f>IF(AC1485="Отклонить","Отклонено",IF(AND(AC1485="Взять",COUNTIFS(AD1485:AH1485,"Да")=5),"Готово","Нужна редактура"))</x:f>
        <x:v>Нужна редактура</x:v>
      </x:c>
      <x:c r="AJ1485" s="17" t="str"/>
      <x:c r="AK1485" s="9" t="str">
        <x:v>https://www.youtube.com/@akibigman/videos</x:v>
      </x:c>
      <x:c r="AL1485" s="9" t="n">
        <x:v>27</x:v>
      </x:c>
      <x:c r="AM1485" s="9"/>
      <x:c r="AN1485" s="9"/>
    </x:row>
    <x:row r="1486" ht="60" customHeight="1">
      <x:c r="A1486" s="9" t="str">
        <x:v>hVzyx0B-iIo</x:v>
      </x:c>
      <x:c r="B1486" s="10" t="str">
        <x:v>פרק 124: הסיפור המטורף של הפקרת הגליל</x:v>
      </x:c>
      <x:c r="C1486" s="10" t="str">
        <x:v>Общественная дискуссия</x:v>
      </x:c>
      <x:c r="D1486" s="9" t="str">
        <x:v>Интервью</x:v>
      </x:c>
      <x:c r="E1486" s="10" t="str">
        <x:v>Интервью; общество; продвинутые</x:v>
      </x:c>
      <x:c r="F1486" s="10" t="str">
        <x:v>B2–C1 (гипотеза)</x:v>
      </x:c>
      <x:c r="G1486" s="12" t="n">
        <x:v>65.8</x:v>
      </x:c>
      <x:c r="H1486" s="14" t="n">
        <x:v>2100</x:v>
      </x:c>
      <x:c r="I1486" s="15" t="str">
        <x:v>Округлённый счётчик в списке YouTube</x:v>
      </x:c>
      <x:c r="J1486" s="14" t="n">
        <x:v>2100</x:v>
      </x:c>
      <x:c r="K1486" s="14" t="n">
        <x:v>3200</x:v>
      </x:c>
      <x:c r="L1486" s="12" t="n">
        <x:f>IF(COUNT(J1486:K1486)=2,IF(K1486=0,"",J1486/K1486),"")</x:f>
        <x:v>0.65625</x:v>
      </x:c>
      <x:c r="M1486" s="10" t="str">
        <x:v>Тема / гость: פרק 124: הסיפור המטורף של הפקרת הגליל. Дополнительная перспектива в общественной дискуссии. Включать по конкретной теме и гостю, а не по одной популярности.</x:v>
      </x:c>
      <x:c r="N1486" s="10" t="str">
        <x:v>Выбрать 5–8 минут: тезис, аргумент, уточняющий вопрос. Проверить фактические утверждения.</x:v>
      </x:c>
      <x:c r="O1486" s="10" t="str">
        <x:v>Авторская политическая перспектива; не выдавать за нейтральный обзор</x:v>
      </x:c>
      <x:c r="P1486" s="10" t="str">
        <x:v>Длинное интервью</x:v>
      </x:c>
      <x:c r="Q1486" s="9" t="str">
        <x:v>Нет</x:v>
      </x:c>
      <x:c r="R1486" s="9" t="str">
        <x:v>C088</x:v>
      </x:c>
      <x:c r="S1486" s="9" t="str">
        <x:v>C088</x:v>
      </x:c>
      <x:c r="T1486" s="10" t="str">
        <x:v>אידיוטים שימושיים - עקיבא ביגמן</x:v>
      </x:c>
      <x:c r="U1486" s="11" t="str">
        <x:v>https://www.youtube.com/watch?v=hVzyx0B-iIo</x:v>
      </x:c>
      <x:c r="V1486" s="16" t="n">
        <x:v>46308</x:v>
      </x:c>
      <x:c r="W1486" s="16"/>
      <x:c r="X1486" s="10" t="str">
        <x:v>Иврит предполагается по заголовку и источнику</x:v>
      </x:c>
      <x:c r="Y1486" s="10" t="str">
        <x:v>Не проверено</x:v>
      </x:c>
      <x:c r="Z1486" s="10" t="str">
        <x:v>Не проверено</x:v>
      </x:c>
      <x:c r="AA1486" s="10" t="str">
        <x:v>Метаданные списка; видео не просмотрено</x:v>
      </x:c>
      <x:c r="AB1486" s="13" t="str">
        <x:f>IF(AND(ISNUMBER(H1486),ISNUMBER(W1486)),H1486/MAX(1,'Обзор'!$B$4-W1486),"")</x:f>
      </x:c>
      <x:c r="AC1486" s="17" t="str">
        <x:v>Не решено</x:v>
      </x:c>
      <x:c r="AD1486" s="17" t="str">
        <x:v>Не проверено</x:v>
      </x:c>
      <x:c r="AE1486" s="17" t="str">
        <x:v>Не проверено</x:v>
      </x:c>
      <x:c r="AF1486" s="17" t="str">
        <x:v>Не проверено</x:v>
      </x:c>
      <x:c r="AG1486" s="17" t="str">
        <x:v>Не решено</x:v>
      </x:c>
      <x:c r="AH1486" s="17" t="str">
        <x:v>Не проверено</x:v>
      </x:c>
      <x:c r="AI1486" s="10" t="str">
        <x:f>IF(AC1486="Отклонить","Отклонено",IF(AND(AC1486="Взять",COUNTIFS(AD1486:AH1486,"Да")=5),"Готово","Нужна редактура"))</x:f>
        <x:v>Нужна редактура</x:v>
      </x:c>
      <x:c r="AJ1486" s="17" t="str"/>
      <x:c r="AK1486" s="9" t="str">
        <x:v>https://www.youtube.com/@akibigman/videos</x:v>
      </x:c>
      <x:c r="AL1486" s="9" t="n">
        <x:v>34</x:v>
      </x:c>
      <x:c r="AM1486" s="9" t="n">
        <x:v>124</x:v>
      </x:c>
      <x:c r="AN1486" s="9"/>
    </x:row>
    <x:row r="1487" ht="60" customHeight="1">
      <x:c r="A1487" s="9" t="str">
        <x:v>SbF5iVQivBc</x:v>
      </x:c>
      <x:c r="B1487" s="10" t="str">
        <x:v>פרק 126: ההסכם הרע של טראמפ</x:v>
      </x:c>
      <x:c r="C1487" s="10" t="str">
        <x:v>Общественная дискуссия</x:v>
      </x:c>
      <x:c r="D1487" s="9" t="str">
        <x:v>Интервью</x:v>
      </x:c>
      <x:c r="E1487" s="10" t="str">
        <x:v>Интервью; общество; продвинутые</x:v>
      </x:c>
      <x:c r="F1487" s="10" t="str">
        <x:v>B2–C1 (гипотеза)</x:v>
      </x:c>
      <x:c r="G1487" s="12" t="n">
        <x:v>48.9</x:v>
      </x:c>
      <x:c r="H1487" s="14" t="n">
        <x:v>3670</x:v>
      </x:c>
      <x:c r="I1487" s="15" t="str">
        <x:v>Точный счётчик метаданных видео</x:v>
      </x:c>
      <x:c r="J1487" s="14" t="n">
        <x:v>3600</x:v>
      </x:c>
      <x:c r="K1487" s="14" t="n">
        <x:v>3200</x:v>
      </x:c>
      <x:c r="L1487" s="12" t="n">
        <x:f>IF(COUNT(J1487:K1487)=2,IF(K1487=0,"",J1487/K1487),"")</x:f>
        <x:v>1.125</x:v>
      </x:c>
      <x:c r="M1487" s="10" t="str">
        <x:v>Тема / гость: פרק 126: ההסכם הרע של טראמפ. Дополнительная перспектива в общественной дискуссии. Включать по конкретной теме и гостю, а не по одной популярности.</x:v>
      </x:c>
      <x:c r="N1487" s="10" t="str">
        <x:v>Выбрать 5–8 минут: тезис, аргумент, уточняющий вопрос. Проверить фактические утверждения.</x:v>
      </x:c>
      <x:c r="O1487" s="10" t="str">
        <x:v>Авторская политическая перспектива; не выдавать за нейтральный обзор</x:v>
      </x:c>
      <x:c r="P1487" s="10" t="str">
        <x:v>Длинное интервью</x:v>
      </x:c>
      <x:c r="Q1487" s="9" t="str">
        <x:v>Нет</x:v>
      </x:c>
      <x:c r="R1487" s="9" t="str">
        <x:v>C088</x:v>
      </x:c>
      <x:c r="S1487" s="9" t="str">
        <x:v>C088</x:v>
      </x:c>
      <x:c r="T1487" s="10" t="str">
        <x:v>אידיוטים שימושיים - עקיבא ביגמן</x:v>
      </x:c>
      <x:c r="U1487" s="11" t="str">
        <x:v>https://www.youtube.com/watch?v=SbF5iVQivBc</x:v>
      </x:c>
      <x:c r="V1487" s="16" t="n">
        <x:v>46308</x:v>
      </x:c>
      <x:c r="W1487" s="16" t="n">
        <x:v>46189</x:v>
      </x:c>
      <x:c r="X1487" s="10" t="str">
        <x:v>Иврит предполагается по заголовку и источнику</x:v>
      </x:c>
      <x:c r="Y1487" s="10" t="str">
        <x:v>Автоматическая дорожка HE по метаданным</x:v>
      </x:c>
      <x:c r="Z1487" s="10" t="str">
        <x:v>Разрешено по метаданным</x:v>
      </x:c>
      <x:c r="AA1487" s="10" t="str">
        <x:v>Метаданные видео; воспроизведение и содержание не проверены</x:v>
      </x:c>
      <x:c r="AB1487" s="13" t="n">
        <x:f>IF(AND(ISNUMBER(H1487),ISNUMBER(W1487)),H1487/MAX(1,'Обзор'!$B$4-W1487),"")</x:f>
        <x:v>30.840336134453782</x:v>
      </x:c>
      <x:c r="AC1487" s="17" t="str">
        <x:v>Не решено</x:v>
      </x:c>
      <x:c r="AD1487" s="17" t="str">
        <x:v>Не проверено</x:v>
      </x:c>
      <x:c r="AE1487" s="17" t="str">
        <x:v>Не проверено</x:v>
      </x:c>
      <x:c r="AF1487" s="17" t="str">
        <x:v>Не проверено</x:v>
      </x:c>
      <x:c r="AG1487" s="17" t="str">
        <x:v>Не решено</x:v>
      </x:c>
      <x:c r="AH1487" s="17" t="str">
        <x:v>Не проверено</x:v>
      </x:c>
      <x:c r="AI1487" s="10" t="str">
        <x:f>IF(AC1487="Отклонить","Отклонено",IF(AND(AC1487="Взять",COUNTIFS(AD1487:AH1487,"Да")=5),"Готово","Нужна редактура"))</x:f>
        <x:v>Нужна редактура</x:v>
      </x:c>
      <x:c r="AJ1487" s="17" t="str"/>
      <x:c r="AK1487" s="9" t="str">
        <x:v>https://www.youtube.com/@akibigman/videos</x:v>
      </x:c>
      <x:c r="AL1487" s="9" t="n">
        <x:v>30</x:v>
      </x:c>
      <x:c r="AM1487" s="9" t="n">
        <x:v>126</x:v>
      </x:c>
      <x:c r="AN1487" s="9" t="n">
        <x:v>0</x:v>
      </x:c>
    </x:row>
    <x:row r="1488" ht="60" customHeight="1">
      <x:c r="A1488" s="9" t="str">
        <x:v>1I4y0cjsaHk</x:v>
      </x:c>
      <x:c r="B1488" s="10" t="str">
        <x:v>פרק 127: למה טראמפ נכנע</x:v>
      </x:c>
      <x:c r="C1488" s="10" t="str">
        <x:v>Общественная дискуссия</x:v>
      </x:c>
      <x:c r="D1488" s="9" t="str">
        <x:v>Интервью</x:v>
      </x:c>
      <x:c r="E1488" s="10" t="str">
        <x:v>Интервью; общество; продвинутые</x:v>
      </x:c>
      <x:c r="F1488" s="10" t="str">
        <x:v>B2–C1 (гипотеза)</x:v>
      </x:c>
      <x:c r="G1488" s="12" t="n">
        <x:v>56.3</x:v>
      </x:c>
      <x:c r="H1488" s="14" t="n">
        <x:v>2400</x:v>
      </x:c>
      <x:c r="I1488" s="15" t="str">
        <x:v>Округлённый счётчик в списке YouTube</x:v>
      </x:c>
      <x:c r="J1488" s="14" t="n">
        <x:v>2400</x:v>
      </x:c>
      <x:c r="K1488" s="14" t="n">
        <x:v>3200</x:v>
      </x:c>
      <x:c r="L1488" s="12" t="n">
        <x:f>IF(COUNT(J1488:K1488)=2,IF(K1488=0,"",J1488/K1488),"")</x:f>
        <x:v>0.75</x:v>
      </x:c>
      <x:c r="M1488" s="10" t="str">
        <x:v>Тема / гость: פרק 127: למה טראמפ נכנע. Дополнительная перспектива в общественной дискуссии. Включать по конкретной теме и гостю, а не по одной популярности.</x:v>
      </x:c>
      <x:c r="N1488" s="10" t="str">
        <x:v>Выбрать 5–8 минут: тезис, аргумент, уточняющий вопрос. Проверить фактические утверждения.</x:v>
      </x:c>
      <x:c r="O1488" s="10" t="str">
        <x:v>Авторская политическая перспектива; не выдавать за нейтральный обзор</x:v>
      </x:c>
      <x:c r="P1488" s="10" t="str">
        <x:v>Длинное интервью</x:v>
      </x:c>
      <x:c r="Q1488" s="9" t="str">
        <x:v>Нет</x:v>
      </x:c>
      <x:c r="R1488" s="9" t="str">
        <x:v>C088</x:v>
      </x:c>
      <x:c r="S1488" s="9" t="str">
        <x:v>C088</x:v>
      </x:c>
      <x:c r="T1488" s="10" t="str">
        <x:v>אידיוטים שימושיים - עקיבא ביגמן</x:v>
      </x:c>
      <x:c r="U1488" s="11" t="str">
        <x:v>https://www.youtube.com/watch?v=1I4y0cjsaHk</x:v>
      </x:c>
      <x:c r="V1488" s="16" t="n">
        <x:v>46308</x:v>
      </x:c>
      <x:c r="W1488" s="16"/>
      <x:c r="X1488" s="10" t="str">
        <x:v>Иврит предполагается по заголовку и источнику</x:v>
      </x:c>
      <x:c r="Y1488" s="10" t="str">
        <x:v>Не проверено</x:v>
      </x:c>
      <x:c r="Z1488" s="10" t="str">
        <x:v>Не проверено</x:v>
      </x:c>
      <x:c r="AA1488" s="10" t="str">
        <x:v>Метаданные списка; видео не просмотрено</x:v>
      </x:c>
      <x:c r="AB1488" s="13" t="str">
        <x:f>IF(AND(ISNUMBER(H1488),ISNUMBER(W1488)),H1488/MAX(1,'Обзор'!$B$4-W1488),"")</x:f>
      </x:c>
      <x:c r="AC1488" s="17" t="str">
        <x:v>Не решено</x:v>
      </x:c>
      <x:c r="AD1488" s="17" t="str">
        <x:v>Не проверено</x:v>
      </x:c>
      <x:c r="AE1488" s="17" t="str">
        <x:v>Не проверено</x:v>
      </x:c>
      <x:c r="AF1488" s="17" t="str">
        <x:v>Не проверено</x:v>
      </x:c>
      <x:c r="AG1488" s="17" t="str">
        <x:v>Не решено</x:v>
      </x:c>
      <x:c r="AH1488" s="17" t="str">
        <x:v>Не проверено</x:v>
      </x:c>
      <x:c r="AI1488" s="10" t="str">
        <x:f>IF(AC1488="Отклонить","Отклонено",IF(AND(AC1488="Взять",COUNTIFS(AD1488:AH1488,"Да")=5),"Готово","Нужна редактура"))</x:f>
        <x:v>Нужна редактура</x:v>
      </x:c>
      <x:c r="AJ1488" s="17" t="str"/>
      <x:c r="AK1488" s="9" t="str">
        <x:v>https://www.youtube.com/@akibigman/videos</x:v>
      </x:c>
      <x:c r="AL1488" s="9" t="n">
        <x:v>28</x:v>
      </x:c>
      <x:c r="AM1488" s="9" t="n">
        <x:v>127</x:v>
      </x:c>
      <x:c r="AN1488" s="9"/>
    </x:row>
    <x:row r="1489" ht="60" customHeight="1">
      <x:c r="A1489" s="9" t="str">
        <x:v>meDyga4EadE</x:v>
      </x:c>
      <x:c r="B1489" s="10" t="str">
        <x:v>פרק 129: קפלניסטים, קפלניסטים בכל מקום</x:v>
      </x:c>
      <x:c r="C1489" s="10" t="str">
        <x:v>Общественная дискуссия</x:v>
      </x:c>
      <x:c r="D1489" s="9" t="str">
        <x:v>Интервью</x:v>
      </x:c>
      <x:c r="E1489" s="10" t="str">
        <x:v>Интервью; общество; продвинутые</x:v>
      </x:c>
      <x:c r="F1489" s="10" t="str">
        <x:v>B2–C1 (гипотеза)</x:v>
      </x:c>
      <x:c r="G1489" s="12" t="n">
        <x:v>46.4</x:v>
      </x:c>
      <x:c r="H1489" s="14" t="n">
        <x:v>3413</x:v>
      </x:c>
      <x:c r="I1489" s="15" t="str">
        <x:v>Точный счётчик метаданных видео</x:v>
      </x:c>
      <x:c r="J1489" s="14" t="n">
        <x:v>3400</x:v>
      </x:c>
      <x:c r="K1489" s="14" t="n">
        <x:v>3200</x:v>
      </x:c>
      <x:c r="L1489" s="12" t="n">
        <x:f>IF(COUNT(J1489:K1489)=2,IF(K1489=0,"",J1489/K1489),"")</x:f>
        <x:v>1.0625</x:v>
      </x:c>
      <x:c r="M1489" s="10" t="str">
        <x:v>Тема / гость: פרק 129: קפלניסטים, קפלניסטים בכל מקום. Дополнительная перспектива в общественной дискуссии. Включать по конкретной теме и гостю, а не по одной популярности.</x:v>
      </x:c>
      <x:c r="N1489" s="10" t="str">
        <x:v>Выбрать 5–8 минут: тезис, аргумент, уточняющий вопрос. Проверить фактические утверждения.</x:v>
      </x:c>
      <x:c r="O1489" s="10" t="str">
        <x:v>Авторская политическая перспектива; не выдавать за нейтральный обзор</x:v>
      </x:c>
      <x:c r="P1489" s="10" t="str">
        <x:v>Длинное интервью</x:v>
      </x:c>
      <x:c r="Q1489" s="9" t="str">
        <x:v>Нет</x:v>
      </x:c>
      <x:c r="R1489" s="9" t="str">
        <x:v>C088</x:v>
      </x:c>
      <x:c r="S1489" s="9" t="str">
        <x:v>C088</x:v>
      </x:c>
      <x:c r="T1489" s="10" t="str">
        <x:v>אידיוטים שימושיים - עקיבא ביגמן</x:v>
      </x:c>
      <x:c r="U1489" s="11" t="str">
        <x:v>https://www.youtube.com/watch?v=meDyga4EadE</x:v>
      </x:c>
      <x:c r="V1489" s="16" t="n">
        <x:v>46308</x:v>
      </x:c>
      <x:c r="W1489" s="16" t="n">
        <x:v>46210</x:v>
      </x:c>
      <x:c r="X1489" s="10" t="str">
        <x:v>Иврит предполагается по заголовку и источнику</x:v>
      </x:c>
      <x:c r="Y1489" s="10" t="str">
        <x:v>Автоматическая дорожка HE по метаданным</x:v>
      </x:c>
      <x:c r="Z1489" s="10" t="str">
        <x:v>Разрешено по метаданным</x:v>
      </x:c>
      <x:c r="AA1489" s="10" t="str">
        <x:v>Метаданные видео; воспроизведение и содержание не проверены</x:v>
      </x:c>
      <x:c r="AB1489" s="13" t="n">
        <x:f>IF(AND(ISNUMBER(H1489),ISNUMBER(W1489)),H1489/MAX(1,'Обзор'!$B$4-W1489),"")</x:f>
        <x:v>34.826530612244895</x:v>
      </x:c>
      <x:c r="AC1489" s="17" t="str">
        <x:v>Не решено</x:v>
      </x:c>
      <x:c r="AD1489" s="17" t="str">
        <x:v>Не проверено</x:v>
      </x:c>
      <x:c r="AE1489" s="17" t="str">
        <x:v>Не проверено</x:v>
      </x:c>
      <x:c r="AF1489" s="17" t="str">
        <x:v>Не проверено</x:v>
      </x:c>
      <x:c r="AG1489" s="17" t="str">
        <x:v>Не решено</x:v>
      </x:c>
      <x:c r="AH1489" s="17" t="str">
        <x:v>Не проверено</x:v>
      </x:c>
      <x:c r="AI1489" s="10" t="str">
        <x:f>IF(AC1489="Отклонить","Отклонено",IF(AND(AC1489="Взять",COUNTIFS(AD1489:AH1489,"Да")=5),"Готово","Нужна редактура"))</x:f>
        <x:v>Нужна редактура</x:v>
      </x:c>
      <x:c r="AJ1489" s="17" t="str"/>
      <x:c r="AK1489" s="9" t="str">
        <x:v>https://www.youtube.com/@akibigman/videos</x:v>
      </x:c>
      <x:c r="AL1489" s="9" t="n">
        <x:v>24</x:v>
      </x:c>
      <x:c r="AM1489" s="9" t="n">
        <x:v>129</x:v>
      </x:c>
      <x:c r="AN1489" s="9" t="n">
        <x:v>0</x:v>
      </x:c>
    </x:row>
    <x:row r="1490" ht="60" customHeight="1">
      <x:c r="A1490" s="9" t="str">
        <x:v>HeZqbwPi-IY</x:v>
      </x:c>
      <x:c r="B1490" s="10" t="str">
        <x:v>פרק 130: כשלי מלחמת לבנון השניה עדיין כאן</x:v>
      </x:c>
      <x:c r="C1490" s="10" t="str">
        <x:v>Общественная дискуссия</x:v>
      </x:c>
      <x:c r="D1490" s="9" t="str">
        <x:v>Интервью</x:v>
      </x:c>
      <x:c r="E1490" s="10" t="str">
        <x:v>Интервью; общество; продвинутые</x:v>
      </x:c>
      <x:c r="F1490" s="10" t="str">
        <x:v>B2–C1 (гипотеза)</x:v>
      </x:c>
      <x:c r="G1490" s="12" t="n">
        <x:v>54.7</x:v>
      </x:c>
      <x:c r="H1490" s="14" t="n">
        <x:v>2100</x:v>
      </x:c>
      <x:c r="I1490" s="15" t="str">
        <x:v>Округлённый счётчик в списке YouTube</x:v>
      </x:c>
      <x:c r="J1490" s="14" t="n">
        <x:v>2100</x:v>
      </x:c>
      <x:c r="K1490" s="14" t="n">
        <x:v>3200</x:v>
      </x:c>
      <x:c r="L1490" s="12" t="n">
        <x:f>IF(COUNT(J1490:K1490)=2,IF(K1490=0,"",J1490/K1490),"")</x:f>
        <x:v>0.65625</x:v>
      </x:c>
      <x:c r="M1490" s="10" t="str">
        <x:v>Тема / гость: פרק 130: כשלי מלחמת לבנון השניה עדיין כאן. Дополнительная перспектива в общественной дискуссии. Включать по конкретной теме и гостю, а не по одной популярности.</x:v>
      </x:c>
      <x:c r="N1490" s="10" t="str">
        <x:v>Выбрать 5–8 минут: тезис, аргумент, уточняющий вопрос. Проверить фактические утверждения.</x:v>
      </x:c>
      <x:c r="O1490" s="10" t="str">
        <x:v>Авторская политическая перспектива; не выдавать за нейтральный обзор</x:v>
      </x:c>
      <x:c r="P1490" s="10" t="str">
        <x:v>Длинное интервью</x:v>
      </x:c>
      <x:c r="Q1490" s="9" t="str">
        <x:v>Нет</x:v>
      </x:c>
      <x:c r="R1490" s="9" t="str">
        <x:v>C088</x:v>
      </x:c>
      <x:c r="S1490" s="9" t="str">
        <x:v>C088</x:v>
      </x:c>
      <x:c r="T1490" s="10" t="str">
        <x:v>אידיוטים שימושיים - עקיבא ביגמן</x:v>
      </x:c>
      <x:c r="U1490" s="11" t="str">
        <x:v>https://www.youtube.com/watch?v=HeZqbwPi-IY</x:v>
      </x:c>
      <x:c r="V1490" s="16" t="n">
        <x:v>46308</x:v>
      </x:c>
      <x:c r="W1490" s="16"/>
      <x:c r="X1490" s="10" t="str">
        <x:v>Иврит предполагается по заголовку и источнику</x:v>
      </x:c>
      <x:c r="Y1490" s="10" t="str">
        <x:v>Не проверено</x:v>
      </x:c>
      <x:c r="Z1490" s="10" t="str">
        <x:v>Не проверено</x:v>
      </x:c>
      <x:c r="AA1490" s="10" t="str">
        <x:v>Метаданные списка; видео не просмотрено</x:v>
      </x:c>
      <x:c r="AB1490" s="13" t="str">
        <x:f>IF(AND(ISNUMBER(H1490),ISNUMBER(W1490)),H1490/MAX(1,'Обзор'!$B$4-W1490),"")</x:f>
      </x:c>
      <x:c r="AC1490" s="17" t="str">
        <x:v>Не решено</x:v>
      </x:c>
      <x:c r="AD1490" s="17" t="str">
        <x:v>Не проверено</x:v>
      </x:c>
      <x:c r="AE1490" s="17" t="str">
        <x:v>Не проверено</x:v>
      </x:c>
      <x:c r="AF1490" s="17" t="str">
        <x:v>Не проверено</x:v>
      </x:c>
      <x:c r="AG1490" s="17" t="str">
        <x:v>Не решено</x:v>
      </x:c>
      <x:c r="AH1490" s="17" t="str">
        <x:v>Не проверено</x:v>
      </x:c>
      <x:c r="AI1490" s="10" t="str">
        <x:f>IF(AC1490="Отклонить","Отклонено",IF(AND(AC1490="Взять",COUNTIFS(AD1490:AH1490,"Да")=5),"Готово","Нужна редактура"))</x:f>
        <x:v>Нужна редактура</x:v>
      </x:c>
      <x:c r="AJ1490" s="17" t="str"/>
      <x:c r="AK1490" s="9" t="str">
        <x:v>https://www.youtube.com/@akibigman/videos</x:v>
      </x:c>
      <x:c r="AL1490" s="9" t="n">
        <x:v>21</x:v>
      </x:c>
      <x:c r="AM1490" s="9" t="n">
        <x:v>130</x:v>
      </x:c>
      <x:c r="AN1490" s="9"/>
    </x:row>
    <x:row r="1491" ht="60" customHeight="1">
      <x:c r="A1491" s="9" t="str">
        <x:v>R2zLr39NylI</x:v>
      </x:c>
      <x:c r="B1491" s="10" t="str">
        <x:v>פרק 133: תחקיר – הכבישים האסטרטגיים בגליל בסכנת ניתוק</x:v>
      </x:c>
      <x:c r="C1491" s="10" t="str">
        <x:v>Общественная дискуссия</x:v>
      </x:c>
      <x:c r="D1491" s="9" t="str">
        <x:v>Интервью</x:v>
      </x:c>
      <x:c r="E1491" s="10" t="str">
        <x:v>Интервью; общество; продвинутые</x:v>
      </x:c>
      <x:c r="F1491" s="10" t="str">
        <x:v>B2–C1 (гипотеза)</x:v>
      </x:c>
      <x:c r="G1491" s="12" t="n">
        <x:v>67.7</x:v>
      </x:c>
      <x:c r="H1491" s="14" t="n">
        <x:v>2600</x:v>
      </x:c>
      <x:c r="I1491" s="15" t="str">
        <x:v>Округлённый счётчик в списке YouTube</x:v>
      </x:c>
      <x:c r="J1491" s="14" t="n">
        <x:v>2600</x:v>
      </x:c>
      <x:c r="K1491" s="14" t="n">
        <x:v>3200</x:v>
      </x:c>
      <x:c r="L1491" s="12" t="n">
        <x:f>IF(COUNT(J1491:K1491)=2,IF(K1491=0,"",J1491/K1491),"")</x:f>
        <x:v>0.8125</x:v>
      </x:c>
      <x:c r="M1491" s="10" t="str">
        <x:v>Тема / гость: פרק 133: תחקיר – הכבישים האסטרטגיים בגליל בסכנת ניתוק. Дополнительная перспектива в общественной дискуссии. Включать по конкретной теме и гостю, а не по одной популярности.</x:v>
      </x:c>
      <x:c r="N1491" s="10" t="str">
        <x:v>Выбрать 5–8 минут: тезис, аргумент, уточняющий вопрос. Проверить фактические утверждения.</x:v>
      </x:c>
      <x:c r="O1491" s="10" t="str">
        <x:v>Авторская политическая перспектива; не выдавать за нейтральный обзор</x:v>
      </x:c>
      <x:c r="P1491" s="10" t="str">
        <x:v>Длинное интервью</x:v>
      </x:c>
      <x:c r="Q1491" s="9" t="str">
        <x:v>Нет</x:v>
      </x:c>
      <x:c r="R1491" s="9" t="str">
        <x:v>C088</x:v>
      </x:c>
      <x:c r="S1491" s="9" t="str">
        <x:v>C088</x:v>
      </x:c>
      <x:c r="T1491" s="10" t="str">
        <x:v>אידיוטים שימושיים - עקיבא ביגמן</x:v>
      </x:c>
      <x:c r="U1491" s="11" t="str">
        <x:v>https://www.youtube.com/watch?v=R2zLr39NylI</x:v>
      </x:c>
      <x:c r="V1491" s="16" t="n">
        <x:v>46308</x:v>
      </x:c>
      <x:c r="W1491" s="16"/>
      <x:c r="X1491" s="10" t="str">
        <x:v>Иврит предполагается по заголовку и источнику</x:v>
      </x:c>
      <x:c r="Y1491" s="10" t="str">
        <x:v>Не проверено</x:v>
      </x:c>
      <x:c r="Z1491" s="10" t="str">
        <x:v>Не проверено</x:v>
      </x:c>
      <x:c r="AA1491" s="10" t="str">
        <x:v>Метаданные списка; видео не просмотрено</x:v>
      </x:c>
      <x:c r="AB1491" s="13" t="str">
        <x:f>IF(AND(ISNUMBER(H1491),ISNUMBER(W1491)),H1491/MAX(1,'Обзор'!$B$4-W1491),"")</x:f>
      </x:c>
      <x:c r="AC1491" s="17" t="str">
        <x:v>Не решено</x:v>
      </x:c>
      <x:c r="AD1491" s="17" t="str">
        <x:v>Не проверено</x:v>
      </x:c>
      <x:c r="AE1491" s="17" t="str">
        <x:v>Не проверено</x:v>
      </x:c>
      <x:c r="AF1491" s="17" t="str">
        <x:v>Не проверено</x:v>
      </x:c>
      <x:c r="AG1491" s="17" t="str">
        <x:v>Не решено</x:v>
      </x:c>
      <x:c r="AH1491" s="17" t="str">
        <x:v>Не проверено</x:v>
      </x:c>
      <x:c r="AI1491" s="10" t="str">
        <x:f>IF(AC1491="Отклонить","Отклонено",IF(AND(AC1491="Взять",COUNTIFS(AD1491:AH1491,"Да")=5),"Готово","Нужна редактура"))</x:f>
        <x:v>Нужна редактура</x:v>
      </x:c>
      <x:c r="AJ1491" s="17" t="str"/>
      <x:c r="AK1491" s="9" t="str">
        <x:v>https://www.youtube.com/@akibigman/videos</x:v>
      </x:c>
      <x:c r="AL1491" s="9" t="n">
        <x:v>17</x:v>
      </x:c>
      <x:c r="AM1491" s="9" t="n">
        <x:v>133</x:v>
      </x:c>
      <x:c r="AN1491" s="9"/>
    </x:row>
    <x:row r="1492" ht="60" customHeight="1">
      <x:c r="A1492" s="9" t="str">
        <x:v>Y2DNaeF3-5s</x:v>
      </x:c>
      <x:c r="B1492" s="10" t="str">
        <x:v>פרק 134: לשבור את קשר ההשתקה של הפקידות – עם חה״כ עמית הלוי</x:v>
      </x:c>
      <x:c r="C1492" s="10" t="str">
        <x:v>Общественная дискуссия</x:v>
      </x:c>
      <x:c r="D1492" s="9" t="str">
        <x:v>Интервью</x:v>
      </x:c>
      <x:c r="E1492" s="10" t="str">
        <x:v>Интервью; общество; продвинутые</x:v>
      </x:c>
      <x:c r="F1492" s="10" t="str">
        <x:v>B2–C1 (гипотеза)</x:v>
      </x:c>
      <x:c r="G1492" s="12" t="n">
        <x:v>72.9</x:v>
      </x:c>
      <x:c r="H1492" s="14" t="n">
        <x:v>3259</x:v>
      </x:c>
      <x:c r="I1492" s="15" t="str">
        <x:v>Точный счётчик метаданных видео</x:v>
      </x:c>
      <x:c r="J1492" s="14" t="n">
        <x:v>3200</x:v>
      </x:c>
      <x:c r="K1492" s="14" t="n">
        <x:v>3200</x:v>
      </x:c>
      <x:c r="L1492" s="12" t="n">
        <x:f>IF(COUNT(J1492:K1492)=2,IF(K1492=0,"",J1492/K1492),"")</x:f>
        <x:v>1</x:v>
      </x:c>
      <x:c r="M1492" s="10" t="str">
        <x:v>Тема / гость: פרק 134: לשבור את קשר ההשתקה של הפקידות – עם חה״כ עמית הלוי. Дополнительная перспектива в общественной дискуссии. Включать по конкретной теме и гостю, а не по одной популярности.</x:v>
      </x:c>
      <x:c r="N1492" s="10" t="str">
        <x:v>Выбрать 5–8 минут: тезис, аргумент, уточняющий вопрос. Проверить фактические утверждения.</x:v>
      </x:c>
      <x:c r="O1492" s="10" t="str">
        <x:v>Авторская политическая перспектива; не выдавать за нейтральный обзор</x:v>
      </x:c>
      <x:c r="P1492" s="10" t="str">
        <x:v>Длинное интервью</x:v>
      </x:c>
      <x:c r="Q1492" s="9" t="str">
        <x:v>Нет</x:v>
      </x:c>
      <x:c r="R1492" s="9" t="str">
        <x:v>C088</x:v>
      </x:c>
      <x:c r="S1492" s="9" t="str">
        <x:v>C088</x:v>
      </x:c>
      <x:c r="T1492" s="10" t="str">
        <x:v>אידיוטים שימושיים - עקיבא ביגמן</x:v>
      </x:c>
      <x:c r="U1492" s="11" t="str">
        <x:v>https://www.youtube.com/watch?v=Y2DNaeF3-5s</x:v>
      </x:c>
      <x:c r="V1492" s="16" t="n">
        <x:v>46308</x:v>
      </x:c>
      <x:c r="W1492" s="16" t="n">
        <x:v>46245</x:v>
      </x:c>
      <x:c r="X1492" s="10" t="str">
        <x:v>Иврит предполагается по заголовку и источнику</x:v>
      </x:c>
      <x:c r="Y1492" s="10" t="str">
        <x:v>Автоматическая дорожка HE по метаданным</x:v>
      </x:c>
      <x:c r="Z1492" s="10" t="str">
        <x:v>Разрешено по метаданным</x:v>
      </x:c>
      <x:c r="AA1492" s="10" t="str">
        <x:v>Метаданные видео; воспроизведение и содержание не проверены</x:v>
      </x:c>
      <x:c r="AB1492" s="13" t="n">
        <x:f>IF(AND(ISNUMBER(H1492),ISNUMBER(W1492)),H1492/MAX(1,'Обзор'!$B$4-W1492),"")</x:f>
        <x:v>51.73015873015873</x:v>
      </x:c>
      <x:c r="AC1492" s="17" t="str">
        <x:v>Не решено</x:v>
      </x:c>
      <x:c r="AD1492" s="17" t="str">
        <x:v>Не проверено</x:v>
      </x:c>
      <x:c r="AE1492" s="17" t="str">
        <x:v>Не проверено</x:v>
      </x:c>
      <x:c r="AF1492" s="17" t="str">
        <x:v>Не проверено</x:v>
      </x:c>
      <x:c r="AG1492" s="17" t="str">
        <x:v>Не решено</x:v>
      </x:c>
      <x:c r="AH1492" s="17" t="str">
        <x:v>Не проверено</x:v>
      </x:c>
      <x:c r="AI1492" s="10" t="str">
        <x:f>IF(AC1492="Отклонить","Отклонено",IF(AND(AC1492="Взять",COUNTIFS(AD1492:AH1492,"Да")=5),"Готово","Нужна редактура"))</x:f>
        <x:v>Нужна редактура</x:v>
      </x:c>
      <x:c r="AJ1492" s="17" t="str"/>
      <x:c r="AK1492" s="9" t="str">
        <x:v>https://www.youtube.com/@akibigman/videos</x:v>
      </x:c>
      <x:c r="AL1492" s="9" t="n">
        <x:v>15</x:v>
      </x:c>
      <x:c r="AM1492" s="9" t="n">
        <x:v>134</x:v>
      </x:c>
      <x:c r="AN1492" s="9" t="n">
        <x:v>0</x:v>
      </x:c>
    </x:row>
    <x:row r="1493" ht="60" customHeight="1">
      <x:c r="A1493" s="9" t="str">
        <x:v>RFxGFbrxsVw</x:v>
      </x:c>
      <x:c r="B1493" s="10" t="str">
        <x:v>פרק 135: פתאום כולם מתגעגעים לליכוד ״של פעם״</x:v>
      </x:c>
      <x:c r="C1493" s="10" t="str">
        <x:v>Общественная дискуссия</x:v>
      </x:c>
      <x:c r="D1493" s="9" t="str">
        <x:v>Интервью</x:v>
      </x:c>
      <x:c r="E1493" s="10" t="str">
        <x:v>Интервью; общество; продвинутые</x:v>
      </x:c>
      <x:c r="F1493" s="10" t="str">
        <x:v>B2–C1 (гипотеза)</x:v>
      </x:c>
      <x:c r="G1493" s="12" t="n">
        <x:v>63</x:v>
      </x:c>
      <x:c r="H1493" s="14" t="n">
        <x:v>2761</x:v>
      </x:c>
      <x:c r="I1493" s="15" t="str">
        <x:v>Точный счётчик метаданных видео</x:v>
      </x:c>
      <x:c r="J1493" s="14" t="n">
        <x:v>2700</x:v>
      </x:c>
      <x:c r="K1493" s="14" t="n">
        <x:v>3200</x:v>
      </x:c>
      <x:c r="L1493" s="12" t="n">
        <x:f>IF(COUNT(J1493:K1493)=2,IF(K1493=0,"",J1493/K1493),"")</x:f>
        <x:v>0.84375</x:v>
      </x:c>
      <x:c r="M1493" s="10" t="str">
        <x:v>Тема / гость: פרק 135: פתאום כולם מתגעגעים לליכוד ״של פעם״. Дополнительная перспектива в общественной дискуссии. Включать по конкретной теме и гостю, а не по одной популярности.</x:v>
      </x:c>
      <x:c r="N1493" s="10" t="str">
        <x:v>Выбрать 5–8 минут: тезис, аргумент, уточняющий вопрос. Проверить фактические утверждения.</x:v>
      </x:c>
      <x:c r="O1493" s="10" t="str">
        <x:v>Авторская политическая перспектива; не выдавать за нейтральный обзор</x:v>
      </x:c>
      <x:c r="P1493" s="10" t="str">
        <x:v>Длинное интервью</x:v>
      </x:c>
      <x:c r="Q1493" s="9" t="str">
        <x:v>Нет</x:v>
      </x:c>
      <x:c r="R1493" s="9" t="str">
        <x:v>C088</x:v>
      </x:c>
      <x:c r="S1493" s="9" t="str">
        <x:v>C088</x:v>
      </x:c>
      <x:c r="T1493" s="10" t="str">
        <x:v>אידיוטים שימושיים - עקיבא ביגמן</x:v>
      </x:c>
      <x:c r="U1493" s="11" t="str">
        <x:v>https://www.youtube.com/watch?v=RFxGFbrxsVw</x:v>
      </x:c>
      <x:c r="V1493" s="16" t="n">
        <x:v>46308</x:v>
      </x:c>
      <x:c r="W1493" s="16" t="n">
        <x:v>46253</x:v>
      </x:c>
      <x:c r="X1493" s="10" t="str">
        <x:v>Иврит предполагается по заголовку и источнику</x:v>
      </x:c>
      <x:c r="Y1493" s="10" t="str">
        <x:v>Автоматическая дорожка HE по метаданным</x:v>
      </x:c>
      <x:c r="Z1493" s="10" t="str">
        <x:v>Разрешено по метаданным</x:v>
      </x:c>
      <x:c r="AA1493" s="10" t="str">
        <x:v>Метаданные видео; воспроизведение и содержание не проверены</x:v>
      </x:c>
      <x:c r="AB1493" s="13" t="n">
        <x:f>IF(AND(ISNUMBER(H1493),ISNUMBER(W1493)),H1493/MAX(1,'Обзор'!$B$4-W1493),"")</x:f>
        <x:v>50.2</x:v>
      </x:c>
      <x:c r="AC1493" s="17" t="str">
        <x:v>Не решено</x:v>
      </x:c>
      <x:c r="AD1493" s="17" t="str">
        <x:v>Не проверено</x:v>
      </x:c>
      <x:c r="AE1493" s="17" t="str">
        <x:v>Не проверено</x:v>
      </x:c>
      <x:c r="AF1493" s="17" t="str">
        <x:v>Не проверено</x:v>
      </x:c>
      <x:c r="AG1493" s="17" t="str">
        <x:v>Не решено</x:v>
      </x:c>
      <x:c r="AH1493" s="17" t="str">
        <x:v>Не проверено</x:v>
      </x:c>
      <x:c r="AI1493" s="10" t="str">
        <x:f>IF(AC1493="Отклонить","Отклонено",IF(AND(AC1493="Взять",COUNTIFS(AD1493:AH1493,"Да")=5),"Готово","Нужна редактура"))</x:f>
        <x:v>Нужна редактура</x:v>
      </x:c>
      <x:c r="AJ1493" s="17" t="str"/>
      <x:c r="AK1493" s="9" t="str">
        <x:v>https://www.youtube.com/@akibigman/videos</x:v>
      </x:c>
      <x:c r="AL1493" s="9" t="n">
        <x:v>14</x:v>
      </x:c>
      <x:c r="AM1493" s="9" t="n">
        <x:v>135</x:v>
      </x:c>
      <x:c r="AN1493" s="9" t="n">
        <x:v>0</x:v>
      </x:c>
    </x:row>
    <x:row r="1494" ht="60" customHeight="1">
      <x:c r="A1494" s="9" t="str">
        <x:v>EQsLfQ9Na_w</x:v>
      </x:c>
      <x:c r="B1494" s="10" t="str">
        <x:v>ריצוי, מחילה וכשלון אצל חז"ל | שיעור 5 – מסליחה בתלמוד אל הלכות תשובה | ד"ר איתי מרינברג-מיליקובסקי</x:v>
      </x:c>
      <x:c r="C1494" s="10" t="str">
        <x:v>Еврейская мысль и прощение</x:v>
      </x:c>
      <x:c r="D1494" s="9" t="str">
        <x:v>История</x:v>
      </x:c>
      <x:c r="E1494" s="10" t="str">
        <x:v>Еврейское наследие; культура; продвинутые</x:v>
      </x:c>
      <x:c r="F1494" s="10" t="str">
        <x:v>B2–C1 (гипотеза)</x:v>
      </x:c>
      <x:c r="G1494" s="12" t="n">
        <x:v>42.2</x:v>
      </x:c>
      <x:c r="H1494" s="14" t="n">
        <x:v>704</x:v>
      </x:c>
      <x:c r="I1494" s="15" t="str">
        <x:v>Точный счётчик метаданных видео</x:v>
      </x:c>
      <x:c r="J1494" s="14" t="n">
        <x:v>704</x:v>
      </x:c>
      <x:c r="K1494" s="14" t="n">
        <x:v>721</x:v>
      </x:c>
      <x:c r="L1494" s="12" t="n">
        <x:f>IF(COUNT(J1494:K1494)=2,IF(K1494=0,"",J1494/K1494),"")</x:f>
        <x:v>0.9764216366158114</x:v>
      </x:c>
      <x:c r="M1494" s="10" t="str">
        <x:v>Тема: ריצוי, מחילה וכשלון אצל חז"ל | שיעור 5 – מסליחה בתלמוד אל הלכות תשובה | ד"ר איתי מרינברג-מיליקובסקי. Тема прощения подходит для содержательного сезонного маршрута перед Йом Кипуром и для интереса к еврейской мысли.</x:v>
      </x:c>
      <x:c r="N1494" s="10" t="str">
        <x:v>Выбрать фрагмент: различить просьбу о прощении, примирение и отказ.</x:v>
      </x:c>
      <x:c r="O1494" s="10" t="str">
        <x:v>Арамейские цитаты; основной язык и конкретный фрагмент проверить</x:v>
      </x:c>
      <x:c r="P1494" s="10" t="str">
        <x:v>Самостоятельное видео</x:v>
      </x:c>
      <x:c r="Q1494" s="9" t="str">
        <x:v>Нет</x:v>
      </x:c>
      <x:c r="R1494" s="9" t="str">
        <x:v>C089</x:v>
      </x:c>
      <x:c r="S1494" s="9" t="str">
        <x:v>C089</x:v>
      </x:c>
      <x:c r="T1494" s="10" t="str">
        <x:v>בית אבי חי</x:v>
      </x:c>
      <x:c r="U1494" s="11" t="str">
        <x:v>https://www.youtube.com/watch?v=EQsLfQ9Na_w</x:v>
      </x:c>
      <x:c r="V1494" s="16" t="n">
        <x:v>46308</x:v>
      </x:c>
      <x:c r="W1494" s="16" t="n">
        <x:v>45918</x:v>
      </x:c>
      <x:c r="X1494" s="10" t="str">
        <x:v>iw</x:v>
      </x:c>
      <x:c r="Y1494" s="10" t="str">
        <x:v>Автоматическая дорожка HE по метаданным</x:v>
      </x:c>
      <x:c r="Z1494" s="10" t="str">
        <x:v>Разрешено по метаданным</x:v>
      </x:c>
      <x:c r="AA1494" s="10" t="str">
        <x:v>Метаданные видео; воспроизведение и содержание не проверены</x:v>
      </x:c>
      <x:c r="AB1494" s="13" t="n">
        <x:f>IF(AND(ISNUMBER(H1494),ISNUMBER(W1494)),H1494/MAX(1,'Обзор'!$B$4-W1494),"")</x:f>
        <x:v>1.8051282051282052</x:v>
      </x:c>
      <x:c r="AC1494" s="17" t="str">
        <x:v>Не решено</x:v>
      </x:c>
      <x:c r="AD1494" s="17" t="str">
        <x:v>Не проверено</x:v>
      </x:c>
      <x:c r="AE1494" s="17" t="str">
        <x:v>Не проверено</x:v>
      </x:c>
      <x:c r="AF1494" s="17" t="str">
        <x:v>Не проверено</x:v>
      </x:c>
      <x:c r="AG1494" s="17" t="str">
        <x:v>Не решено</x:v>
      </x:c>
      <x:c r="AH1494" s="17" t="str">
        <x:v>Не проверено</x:v>
      </x:c>
      <x:c r="AI1494" s="10" t="str">
        <x:f>IF(AC1494="Отклонить","Отклонено",IF(AND(AC1494="Взять",COUNTIFS(AD1494:AH1494,"Да")=5),"Готово","Нужна редактура"))</x:f>
        <x:v>Нужна редактура</x:v>
      </x:c>
      <x:c r="AJ1494" s="17" t="str"/>
      <x:c r="AK1494" s="9" t="str">
        <x:v>https://www.youtube.com/playlist?list=PLv2rnAORLiVCJpL3m4XoAa72ROXXj_VZ8</x:v>
      </x:c>
      <x:c r="AL1494" s="9" t="n">
        <x:v>1</x:v>
      </x:c>
      <x:c r="AM1494" s="9"/>
      <x:c r="AN1494" s="9" t="n">
        <x:v>0</x:v>
      </x:c>
    </x:row>
    <x:row r="1495" ht="60" customHeight="1">
      <x:c r="A1495" s="9" t="str">
        <x:v>MYN-SusMbco</x:v>
      </x:c>
      <x:c r="B1495" s="10" t="str">
        <x:v>ריצוי, מחילה וכשלון אצל חז"ל | שיעור 4 – מאן סליק לעילא ואתא ואמר? | ד"ר איתי מרינברג-מיליקובסקי</x:v>
      </x:c>
      <x:c r="C1495" s="10" t="str">
        <x:v>Еврейская мысль и прощение</x:v>
      </x:c>
      <x:c r="D1495" s="9" t="str">
        <x:v>История</x:v>
      </x:c>
      <x:c r="E1495" s="10" t="str">
        <x:v>Еврейское наследие; культура; продвинутые</x:v>
      </x:c>
      <x:c r="F1495" s="10" t="str">
        <x:v>B2–C1 (гипотеза)</x:v>
      </x:c>
      <x:c r="G1495" s="12" t="n">
        <x:v>42.8</x:v>
      </x:c>
      <x:c r="H1495" s="14" t="n">
        <x:v>695</x:v>
      </x:c>
      <x:c r="I1495" s="15" t="str">
        <x:v>Точный счётчик метаданных видео</x:v>
      </x:c>
      <x:c r="J1495" s="14" t="n">
        <x:v>695</x:v>
      </x:c>
      <x:c r="K1495" s="14" t="n">
        <x:v>721</x:v>
      </x:c>
      <x:c r="L1495" s="12" t="n">
        <x:f>IF(COUNT(J1495:K1495)=2,IF(K1495=0,"",J1495/K1495),"")</x:f>
        <x:v>0.9639389736477115</x:v>
      </x:c>
      <x:c r="M1495" s="10" t="str">
        <x:v>Тема: ריצוי, מחילה וכשלון אצל חז"ל | שיעור 4 – מאן סליק לעילא ואתא ואמר? | ד"ר איתי מרינברג-מיליקובסקי. Тема прощения подходит для содержательного сезонного маршрута перед Йом Кипуром и для интереса к еврейской мысли.</x:v>
      </x:c>
      <x:c r="N1495" s="10" t="str">
        <x:v>Выбрать фрагмент: различить просьбу о прощении, примирение и отказ.</x:v>
      </x:c>
      <x:c r="O1495" s="10" t="str">
        <x:v>Арамейские цитаты; основной язык и конкретный фрагмент проверить</x:v>
      </x:c>
      <x:c r="P1495" s="10" t="str">
        <x:v>Самостоятельное видео</x:v>
      </x:c>
      <x:c r="Q1495" s="9" t="str">
        <x:v>Нет</x:v>
      </x:c>
      <x:c r="R1495" s="9" t="str">
        <x:v>C089</x:v>
      </x:c>
      <x:c r="S1495" s="9" t="str">
        <x:v>C089</x:v>
      </x:c>
      <x:c r="T1495" s="10" t="str">
        <x:v>בית אבי חי</x:v>
      </x:c>
      <x:c r="U1495" s="11" t="str">
        <x:v>https://www.youtube.com/watch?v=MYN-SusMbco</x:v>
      </x:c>
      <x:c r="V1495" s="16" t="n">
        <x:v>46308</x:v>
      </x:c>
      <x:c r="W1495" s="16" t="n">
        <x:v>45917</x:v>
      </x:c>
      <x:c r="X1495" s="10" t="str">
        <x:v>iw</x:v>
      </x:c>
      <x:c r="Y1495" s="10" t="str">
        <x:v>Автоматическая дорожка HE по метаданным</x:v>
      </x:c>
      <x:c r="Z1495" s="10" t="str">
        <x:v>Разрешено по метаданным</x:v>
      </x:c>
      <x:c r="AA1495" s="10" t="str">
        <x:v>Метаданные видео; воспроизведение и содержание не проверены</x:v>
      </x:c>
      <x:c r="AB1495" s="13" t="n">
        <x:f>IF(AND(ISNUMBER(H1495),ISNUMBER(W1495)),H1495/MAX(1,'Обзор'!$B$4-W1495),"")</x:f>
        <x:v>1.7774936061381075</x:v>
      </x:c>
      <x:c r="AC1495" s="17" t="str">
        <x:v>Не решено</x:v>
      </x:c>
      <x:c r="AD1495" s="17" t="str">
        <x:v>Не проверено</x:v>
      </x:c>
      <x:c r="AE1495" s="17" t="str">
        <x:v>Не проверено</x:v>
      </x:c>
      <x:c r="AF1495" s="17" t="str">
        <x:v>Не проверено</x:v>
      </x:c>
      <x:c r="AG1495" s="17" t="str">
        <x:v>Не решено</x:v>
      </x:c>
      <x:c r="AH1495" s="17" t="str">
        <x:v>Не проверено</x:v>
      </x:c>
      <x:c r="AI1495" s="10" t="str">
        <x:f>IF(AC1495="Отклонить","Отклонено",IF(AND(AC1495="Взять",COUNTIFS(AD1495:AH1495,"Да")=5),"Готово","Нужна редактура"))</x:f>
        <x:v>Нужна редактура</x:v>
      </x:c>
      <x:c r="AJ1495" s="17" t="str"/>
      <x:c r="AK1495" s="9" t="str">
        <x:v>https://www.youtube.com/playlist?list=PLv2rnAORLiVCJpL3m4XoAa72ROXXj_VZ8</x:v>
      </x:c>
      <x:c r="AL1495" s="9" t="n">
        <x:v>2</x:v>
      </x:c>
      <x:c r="AM1495" s="9"/>
      <x:c r="AN1495" s="9" t="n">
        <x:v>0</x:v>
      </x:c>
    </x:row>
    <x:row r="1496" ht="60" customHeight="1">
      <x:c r="A1496" s="9" t="str">
        <x:v>VhXnhMtUg8U</x:v>
      </x:c>
      <x:c r="B1496" s="10" t="str">
        <x:v>ריצוי, מחילה וכשלון אצל חז"ל | שיעור 3 – סיפורי סליחה | ד"ר איתי מרינברג-מיליקובסקי</x:v>
      </x:c>
      <x:c r="C1496" s="10" t="str">
        <x:v>Еврейская мысль и прощение</x:v>
      </x:c>
      <x:c r="D1496" s="9" t="str">
        <x:v>История</x:v>
      </x:c>
      <x:c r="E1496" s="10" t="str">
        <x:v>Еврейское наследие; культура; продвинутые</x:v>
      </x:c>
      <x:c r="F1496" s="10" t="str">
        <x:v>B2–C1 (гипотеза)</x:v>
      </x:c>
      <x:c r="G1496" s="12" t="n">
        <x:v>44.3</x:v>
      </x:c>
      <x:c r="H1496" s="14" t="n">
        <x:v>836</x:v>
      </x:c>
      <x:c r="I1496" s="15" t="str">
        <x:v>Точный счётчик метаданных видео</x:v>
      </x:c>
      <x:c r="J1496" s="14" t="n">
        <x:v>836</x:v>
      </x:c>
      <x:c r="K1496" s="14" t="n">
        <x:v>721</x:v>
      </x:c>
      <x:c r="L1496" s="12" t="n">
        <x:f>IF(COUNT(J1496:K1496)=2,IF(K1496=0,"",J1496/K1496),"")</x:f>
        <x:v>1.159500693481276</x:v>
      </x:c>
      <x:c r="M1496" s="10" t="str">
        <x:v>Тема: ריצוי, מחילה וכשלון אצל חז"ל | שיעור 3 – סיפורי סליחה | ד"ר איתי מרינברג-מיליקובסקי. Тема прощения подходит для содержательного сезонного маршрута перед Йом Кипуром и для интереса к еврейской мысли.</x:v>
      </x:c>
      <x:c r="N1496" s="10" t="str">
        <x:v>Выбрать фрагмент: различить просьбу о прощении, примирение и отказ.</x:v>
      </x:c>
      <x:c r="O1496" s="10" t="str">
        <x:v>Арамейские цитаты; основной язык и конкретный фрагмент проверить</x:v>
      </x:c>
      <x:c r="P1496" s="10" t="str">
        <x:v>Самостоятельное видео</x:v>
      </x:c>
      <x:c r="Q1496" s="9" t="str">
        <x:v>Нет</x:v>
      </x:c>
      <x:c r="R1496" s="9" t="str">
        <x:v>C089</x:v>
      </x:c>
      <x:c r="S1496" s="9" t="str">
        <x:v>C089</x:v>
      </x:c>
      <x:c r="T1496" s="10" t="str">
        <x:v>בית אבי חי</x:v>
      </x:c>
      <x:c r="U1496" s="11" t="str">
        <x:v>https://www.youtube.com/watch?v=VhXnhMtUg8U</x:v>
      </x:c>
      <x:c r="V1496" s="16" t="n">
        <x:v>46308</x:v>
      </x:c>
      <x:c r="W1496" s="16" t="n">
        <x:v>45916</x:v>
      </x:c>
      <x:c r="X1496" s="10" t="str">
        <x:v>iw</x:v>
      </x:c>
      <x:c r="Y1496" s="10" t="str">
        <x:v>Автоматическая дорожка HE по метаданным</x:v>
      </x:c>
      <x:c r="Z1496" s="10" t="str">
        <x:v>Разрешено по метаданным</x:v>
      </x:c>
      <x:c r="AA1496" s="10" t="str">
        <x:v>Метаданные видео; воспроизведение и содержание не проверены</x:v>
      </x:c>
      <x:c r="AB1496" s="13" t="n">
        <x:f>IF(AND(ISNUMBER(H1496),ISNUMBER(W1496)),H1496/MAX(1,'Обзор'!$B$4-W1496),"")</x:f>
        <x:v>2.13265306122449</x:v>
      </x:c>
      <x:c r="AC1496" s="17" t="str">
        <x:v>Не решено</x:v>
      </x:c>
      <x:c r="AD1496" s="17" t="str">
        <x:v>Не проверено</x:v>
      </x:c>
      <x:c r="AE1496" s="17" t="str">
        <x:v>Не проверено</x:v>
      </x:c>
      <x:c r="AF1496" s="17" t="str">
        <x:v>Не проверено</x:v>
      </x:c>
      <x:c r="AG1496" s="17" t="str">
        <x:v>Не решено</x:v>
      </x:c>
      <x:c r="AH1496" s="17" t="str">
        <x:v>Не проверено</x:v>
      </x:c>
      <x:c r="AI1496" s="10" t="str">
        <x:f>IF(AC1496="Отклонить","Отклонено",IF(AND(AC1496="Взять",COUNTIFS(AD1496:AH1496,"Да")=5),"Готово","Нужна редактура"))</x:f>
        <x:v>Нужна редактура</x:v>
      </x:c>
      <x:c r="AJ1496" s="17" t="str"/>
      <x:c r="AK1496" s="9" t="str">
        <x:v>https://www.youtube.com/playlist?list=PLv2rnAORLiVCJpL3m4XoAa72ROXXj_VZ8</x:v>
      </x:c>
      <x:c r="AL1496" s="9" t="n">
        <x:v>3</x:v>
      </x:c>
      <x:c r="AM1496" s="9"/>
      <x:c r="AN1496" s="9" t="n">
        <x:v>0</x:v>
      </x:c>
    </x:row>
    <x:row r="1497" ht="60" customHeight="1">
      <x:c r="A1497" s="9" t="str">
        <x:v>BmyjtNKPZjc</x:v>
      </x:c>
      <x:c r="B1497" s="10" t="str">
        <x:v>ריצוי, מחילה וכשלון אצל חז"ל | שיעור 2 – כיצד מפייסים? בין ישראל לבבל | ד"ר איתי מרינברג-מיליקובסקי</x:v>
      </x:c>
      <x:c r="C1497" s="10" t="str">
        <x:v>Еврейская мысль и прощение</x:v>
      </x:c>
      <x:c r="D1497" s="9" t="str">
        <x:v>История</x:v>
      </x:c>
      <x:c r="E1497" s="10" t="str">
        <x:v>Еврейское наследие; культура; продвинутые</x:v>
      </x:c>
      <x:c r="F1497" s="10" t="str">
        <x:v>B2–C1 (гипотеза)</x:v>
      </x:c>
      <x:c r="G1497" s="12" t="n">
        <x:v>40.4</x:v>
      </x:c>
      <x:c r="H1497" s="14" t="n">
        <x:v>721</x:v>
      </x:c>
      <x:c r="I1497" s="15" t="str">
        <x:v>Точный счётчик метаданных видео</x:v>
      </x:c>
      <x:c r="J1497" s="14" t="n">
        <x:v>721</x:v>
      </x:c>
      <x:c r="K1497" s="14" t="n">
        <x:v>721</x:v>
      </x:c>
      <x:c r="L1497" s="12" t="n">
        <x:f>IF(COUNT(J1497:K1497)=2,IF(K1497=0,"",J1497/K1497),"")</x:f>
        <x:v>1</x:v>
      </x:c>
      <x:c r="M1497" s="10" t="str">
        <x:v>Тема: ריצוי, מחילה וכשלון אצל חז"ל | שיעור 2 – כיצד מפייסים? בין ישראל לבבל | ד"ר איתי מרינברג-מיליקובסקי. Тема прощения подходит для содержательного сезонного маршрута перед Йом Кипуром и для интереса к еврейской мысли.</x:v>
      </x:c>
      <x:c r="N1497" s="10" t="str">
        <x:v>Выбрать фрагмент: различить просьбу о прощении, примирение и отказ.</x:v>
      </x:c>
      <x:c r="O1497" s="10" t="str">
        <x:v>Арамейские цитаты; основной язык и конкретный фрагмент проверить</x:v>
      </x:c>
      <x:c r="P1497" s="10" t="str">
        <x:v>Самостоятельное видео</x:v>
      </x:c>
      <x:c r="Q1497" s="9" t="str">
        <x:v>Нет</x:v>
      </x:c>
      <x:c r="R1497" s="9" t="str">
        <x:v>C089</x:v>
      </x:c>
      <x:c r="S1497" s="9" t="str">
        <x:v>C089</x:v>
      </x:c>
      <x:c r="T1497" s="10" t="str">
        <x:v>בית אבי חי</x:v>
      </x:c>
      <x:c r="U1497" s="11" t="str">
        <x:v>https://www.youtube.com/watch?v=BmyjtNKPZjc</x:v>
      </x:c>
      <x:c r="V1497" s="16" t="n">
        <x:v>46308</x:v>
      </x:c>
      <x:c r="W1497" s="16" t="n">
        <x:v>45915</x:v>
      </x:c>
      <x:c r="X1497" s="10" t="str">
        <x:v>iw</x:v>
      </x:c>
      <x:c r="Y1497" s="10" t="str">
        <x:v>Автоматическая дорожка HE по метаданным</x:v>
      </x:c>
      <x:c r="Z1497" s="10" t="str">
        <x:v>Разрешено по метаданным</x:v>
      </x:c>
      <x:c r="AA1497" s="10" t="str">
        <x:v>Метаданные видео; воспроизведение и содержание не проверены</x:v>
      </x:c>
      <x:c r="AB1497" s="13" t="n">
        <x:f>IF(AND(ISNUMBER(H1497),ISNUMBER(W1497)),H1497/MAX(1,'Обзор'!$B$4-W1497),"")</x:f>
        <x:v>1.8346055979643765</x:v>
      </x:c>
      <x:c r="AC1497" s="17" t="str">
        <x:v>Не решено</x:v>
      </x:c>
      <x:c r="AD1497" s="17" t="str">
        <x:v>Не проверено</x:v>
      </x:c>
      <x:c r="AE1497" s="17" t="str">
        <x:v>Не проверено</x:v>
      </x:c>
      <x:c r="AF1497" s="17" t="str">
        <x:v>Не проверено</x:v>
      </x:c>
      <x:c r="AG1497" s="17" t="str">
        <x:v>Не решено</x:v>
      </x:c>
      <x:c r="AH1497" s="17" t="str">
        <x:v>Не проверено</x:v>
      </x:c>
      <x:c r="AI1497" s="10" t="str">
        <x:f>IF(AC1497="Отклонить","Отклонено",IF(AND(AC1497="Взять",COUNTIFS(AD1497:AH1497,"Да")=5),"Готово","Нужна редактура"))</x:f>
        <x:v>Нужна редактура</x:v>
      </x:c>
      <x:c r="AJ1497" s="17" t="str"/>
      <x:c r="AK1497" s="9" t="str">
        <x:v>https://www.youtube.com/playlist?list=PLv2rnAORLiVCJpL3m4XoAa72ROXXj_VZ8</x:v>
      </x:c>
      <x:c r="AL1497" s="9" t="n">
        <x:v>4</x:v>
      </x:c>
      <x:c r="AM1497" s="9"/>
      <x:c r="AN1497" s="9" t="n">
        <x:v>0</x:v>
      </x:c>
    </x:row>
    <x:row r="1498" ht="60" customHeight="1">
      <x:c r="A1498" s="9" t="str">
        <x:v>--X-hJFnkR4</x:v>
      </x:c>
      <x:c r="B1498" s="10" t="str">
        <x:v>ריצוי, מחילה וכשלון אצל חז"ל | שיעור 1 – בין אדם למקום ובין אדם לחברו | ד"ר איתי מרינברג-מיליקובסקי</x:v>
      </x:c>
      <x:c r="C1498" s="10" t="str">
        <x:v>Еврейская мысль и прощение</x:v>
      </x:c>
      <x:c r="D1498" s="9" t="str">
        <x:v>История</x:v>
      </x:c>
      <x:c r="E1498" s="10" t="str">
        <x:v>Еврейское наследие; культура; продвинутые</x:v>
      </x:c>
      <x:c r="F1498" s="10" t="str">
        <x:v>B2–C1 (гипотеза)</x:v>
      </x:c>
      <x:c r="G1498" s="12" t="n">
        <x:v>44</x:v>
      </x:c>
      <x:c r="H1498" s="14" t="n">
        <x:v>1304</x:v>
      </x:c>
      <x:c r="I1498" s="15" t="str">
        <x:v>Точный счётчик метаданных видео</x:v>
      </x:c>
      <x:c r="J1498" s="14" t="n">
        <x:v>1300</x:v>
      </x:c>
      <x:c r="K1498" s="14" t="n">
        <x:v>721</x:v>
      </x:c>
      <x:c r="L1498" s="12" t="n">
        <x:f>IF(COUNT(J1498:K1498)=2,IF(K1498=0,"",J1498/K1498),"")</x:f>
        <x:v>1.8030513176144245</x:v>
      </x:c>
      <x:c r="M1498" s="10" t="str">
        <x:v>Тема: ריצוי, מחילה וכשלון אצל חז"ל | שיעור 1 – בין אדם למקום ובין אדם לחברו | ד"ר איתי מרינברג-מיליקובסקי. Просмотры в списке выше медианы выборки этого цикла в 1.8 раза. Тема прощения подходит для содержательного сезонного маршрута перед Йом Кипуром и для интереса к еврейской мысли.</x:v>
      </x:c>
      <x:c r="N1498" s="10" t="str">
        <x:v>Выбрать фрагмент: различить просьбу о прощении, примирение и отказ.</x:v>
      </x:c>
      <x:c r="O1498" s="10" t="str">
        <x:v>Арамейские цитаты; основной язык и конкретный фрагмент проверить</x:v>
      </x:c>
      <x:c r="P1498" s="10" t="str">
        <x:v>Самостоятельное видео</x:v>
      </x:c>
      <x:c r="Q1498" s="9" t="str">
        <x:v>Нет</x:v>
      </x:c>
      <x:c r="R1498" s="9" t="str">
        <x:v>C089</x:v>
      </x:c>
      <x:c r="S1498" s="9" t="str">
        <x:v>C089</x:v>
      </x:c>
      <x:c r="T1498" s="10" t="str">
        <x:v>בית אבי חי</x:v>
      </x:c>
      <x:c r="U1498" s="11" t="str">
        <x:v>https://www.youtube.com/watch?v=--X-hJFnkR4</x:v>
      </x:c>
      <x:c r="V1498" s="16" t="n">
        <x:v>46308</x:v>
      </x:c>
      <x:c r="W1498" s="16" t="n">
        <x:v>45914</x:v>
      </x:c>
      <x:c r="X1498" s="10" t="str">
        <x:v>iw</x:v>
      </x:c>
      <x:c r="Y1498" s="10" t="str">
        <x:v>Автоматическая дорожка HE по метаданным</x:v>
      </x:c>
      <x:c r="Z1498" s="10" t="str">
        <x:v>Разрешено по метаданным</x:v>
      </x:c>
      <x:c r="AA1498" s="10" t="str">
        <x:v>Метаданные видео; воспроизведение и содержание не проверены</x:v>
      </x:c>
      <x:c r="AB1498" s="13" t="n">
        <x:f>IF(AND(ISNUMBER(H1498),ISNUMBER(W1498)),H1498/MAX(1,'Обзор'!$B$4-W1498),"")</x:f>
        <x:v>3.3096446700507616</x:v>
      </x:c>
      <x:c r="AC1498" s="17" t="str">
        <x:v>Не решено</x:v>
      </x:c>
      <x:c r="AD1498" s="17" t="str">
        <x:v>Не проверено</x:v>
      </x:c>
      <x:c r="AE1498" s="17" t="str">
        <x:v>Не проверено</x:v>
      </x:c>
      <x:c r="AF1498" s="17" t="str">
        <x:v>Не проверено</x:v>
      </x:c>
      <x:c r="AG1498" s="17" t="str">
        <x:v>Не решено</x:v>
      </x:c>
      <x:c r="AH1498" s="17" t="str">
        <x:v>Не проверено</x:v>
      </x:c>
      <x:c r="AI1498" s="10" t="str">
        <x:f>IF(AC1498="Отклонить","Отклонено",IF(AND(AC1498="Взять",COUNTIFS(AD1498:AH1498,"Да")=5),"Готово","Нужна редактура"))</x:f>
        <x:v>Нужна редактура</x:v>
      </x:c>
      <x:c r="AJ1498" s="17" t="str"/>
      <x:c r="AK1498" s="9" t="str">
        <x:v>https://www.youtube.com/playlist?list=PLv2rnAORLiVCJpL3m4XoAa72ROXXj_VZ8</x:v>
      </x:c>
      <x:c r="AL1498" s="9" t="n">
        <x:v>5</x:v>
      </x:c>
      <x:c r="AM1498" s="9"/>
      <x:c r="AN1498" s="9" t="n">
        <x:v>0</x:v>
      </x:c>
    </x:row>
    <x:row r="1499" ht="60" customHeight="1">
      <x:c r="A1499" s="9" t="str">
        <x:v>TqKeggecIn0</x:v>
      </x:c>
      <x:c r="B1499" s="10" t="str">
        <x:v>סביבון מתהפך מביצה קשה</x:v>
      </x:c>
      <x:c r="C1499" s="10" t="str">
        <x:v>Ханука и наука</x:v>
      </x:c>
      <x:c r="D1499" s="9" t="str">
        <x:v>Образование</x:v>
      </x:c>
      <x:c r="E1499" s="10" t="str">
        <x:v>Наука; семьи; любознательные</x:v>
      </x:c>
      <x:c r="F1499" s="10" t="str">
        <x:v>B1–B2 (гипотеза)</x:v>
      </x:c>
      <x:c r="G1499" s="12" t="n">
        <x:v>2.2</x:v>
      </x:c>
      <x:c r="H1499" s="14" t="n">
        <x:v>22434</x:v>
      </x:c>
      <x:c r="I1499" s="15" t="str">
        <x:v>Точный счётчик метаданных видео</x:v>
      </x:c>
      <x:c r="J1499" s="14" t="n">
        <x:v>22000</x:v>
      </x:c>
      <x:c r="K1499" s="14" t="n">
        <x:v>26500</x:v>
      </x:c>
      <x:c r="L1499" s="12" t="n">
        <x:f>IF(COUNT(J1499:K1499)=2,IF(K1499=0,"",J1499/K1499),"")</x:f>
        <x:v>0.8301886792452831</x:v>
      </x:c>
      <x:c r="M1499" s="10" t="str">
        <x:v>Завершённый короткий просмотр около 2 мин. Научные сюжеты, отобранные издателем к Хануке, дают сезонный вход через демонстрацию и удивление.</x:v>
      </x:c>
      <x:c r="N1499" s="10" t="str">
        <x:v>Объяснить эксперимент и научный механизм; проверить безопасность.</x:v>
      </x:c>
      <x:c r="O1499" s="10" t="str">
        <x:v>Проверить язык речи и безопасность демонстрации</x:v>
      </x:c>
      <x:c r="P1499" s="10" t="str">
        <x:v>Самостоятельное видео</x:v>
      </x:c>
      <x:c r="Q1499" s="9" t="str">
        <x:v>Нет</x:v>
      </x:c>
      <x:c r="R1499" s="9" t="str">
        <x:v>C090</x:v>
      </x:c>
      <x:c r="S1499" s="9" t="str">
        <x:v>C090</x:v>
      </x:c>
      <x:c r="T1499" s="10" t="str">
        <x:v>מכון דוידסון - סרטוני מדע</x:v>
      </x:c>
      <x:c r="U1499" s="11" t="str">
        <x:v>https://www.youtube.com/watch?v=TqKeggecIn0</x:v>
      </x:c>
      <x:c r="V1499" s="16" t="n">
        <x:v>46308</x:v>
      </x:c>
      <x:c r="W1499" s="16" t="n">
        <x:v>43824</x:v>
      </x:c>
      <x:c r="X1499" s="10" t="str">
        <x:v>Иврит предполагается по заголовку и источнику</x:v>
      </x:c>
      <x:c r="Y1499" s="10" t="str">
        <x:v>Ручная дорожка HE по метаданным</x:v>
      </x:c>
      <x:c r="Z1499" s="10" t="str">
        <x:v>Разрешено по метаданным</x:v>
      </x:c>
      <x:c r="AA1499" s="10" t="str">
        <x:v>Метаданные видео; воспроизведение и содержание не проверены</x:v>
      </x:c>
      <x:c r="AB1499" s="13" t="n">
        <x:f>IF(AND(ISNUMBER(H1499),ISNUMBER(W1499)),H1499/MAX(1,'Обзор'!$B$4-W1499),"")</x:f>
        <x:v>9.031400966183575</x:v>
      </x:c>
      <x:c r="AC1499" s="17" t="str">
        <x:v>Не решено</x:v>
      </x:c>
      <x:c r="AD1499" s="17" t="str">
        <x:v>Не проверено</x:v>
      </x:c>
      <x:c r="AE1499" s="17" t="str">
        <x:v>Не проверено</x:v>
      </x:c>
      <x:c r="AF1499" s="17" t="str">
        <x:v>Не проверено</x:v>
      </x:c>
      <x:c r="AG1499" s="17" t="str">
        <x:v>Не решено</x:v>
      </x:c>
      <x:c r="AH1499" s="17" t="str">
        <x:v>Не проверено</x:v>
      </x:c>
      <x:c r="AI1499" s="10" t="str">
        <x:f>IF(AC1499="Отклонить","Отклонено",IF(AND(AC1499="Взять",COUNTIFS(AD1499:AH1499,"Да")=5),"Готово","Нужна редактура"))</x:f>
        <x:v>Нужна редактура</x:v>
      </x:c>
      <x:c r="AJ1499" s="17" t="str"/>
      <x:c r="AK1499" s="9" t="str">
        <x:v>https://www.youtube.com/playlist?list=PL0ZkulyfP8belyU5Ooh_vYbS5vzoFpmGt</x:v>
      </x:c>
      <x:c r="AL1499" s="9" t="n">
        <x:v>3</x:v>
      </x:c>
      <x:c r="AM1499" s="9"/>
      <x:c r="AN1499" s="9" t="n">
        <x:v>0</x:v>
      </x:c>
    </x:row>
    <x:row r="1500" ht="60" customHeight="1">
      <x:c r="A1500" s="9" t="str">
        <x:v>O08e_rZiQdQ</x:v>
      </x:c>
      <x:c r="B1500" s="10" t="str">
        <x:v>זהירות, נוזל ששורף כל מה שנוגע בו!</x:v>
      </x:c>
      <x:c r="C1500" s="10" t="str">
        <x:v>Ханука и наука</x:v>
      </x:c>
      <x:c r="D1500" s="9" t="str">
        <x:v>Образование</x:v>
      </x:c>
      <x:c r="E1500" s="10" t="str">
        <x:v>Наука; семьи; любознательные</x:v>
      </x:c>
      <x:c r="F1500" s="10" t="str">
        <x:v>B1–B2 (гипотеза)</x:v>
      </x:c>
      <x:c r="G1500" s="12" t="n">
        <x:v>1.2</x:v>
      </x:c>
      <x:c r="H1500" s="14" t="n">
        <x:v>9700</x:v>
      </x:c>
      <x:c r="I1500" s="15" t="str">
        <x:v>Округлённый счётчик в списке YouTube</x:v>
      </x:c>
      <x:c r="J1500" s="14" t="n">
        <x:v>9700</x:v>
      </x:c>
      <x:c r="K1500" s="14" t="n">
        <x:v>26500</x:v>
      </x:c>
      <x:c r="L1500" s="12" t="n">
        <x:f>IF(COUNT(J1500:K1500)=2,IF(K1500=0,"",J1500/K1500),"")</x:f>
        <x:v>0.3660377358490566</x:v>
      </x:c>
      <x:c r="M1500" s="10" t="str">
        <x:v>Завершённый короткий просмотр около 1 мин. Просмотры ниже медианы цикла; выбирать за нишевую ценность, а не за массовый охват. Научные сюжеты, отобранные издателем к Хануке, дают сезонный вход через демонстрацию и удивление.</x:v>
      </x:c>
      <x:c r="N1500" s="10" t="str">
        <x:v>Объяснить эксперимент и научный механизм; проверить безопасность.</x:v>
      </x:c>
      <x:c r="O1500" s="10" t="str">
        <x:v>Проверить язык речи и безопасность демонстрации</x:v>
      </x:c>
      <x:c r="P1500" s="10" t="str">
        <x:v>Самостоятельное видео</x:v>
      </x:c>
      <x:c r="Q1500" s="9" t="str">
        <x:v>Нет</x:v>
      </x:c>
      <x:c r="R1500" s="9" t="str">
        <x:v>C090</x:v>
      </x:c>
      <x:c r="S1500" s="9" t="str">
        <x:v>C090</x:v>
      </x:c>
      <x:c r="T1500" s="10" t="str">
        <x:v>מכון דוידסון - סרטוני מדע</x:v>
      </x:c>
      <x:c r="U1500" s="11" t="str">
        <x:v>https://www.youtube.com/watch?v=O08e_rZiQdQ</x:v>
      </x:c>
      <x:c r="V1500" s="16" t="n">
        <x:v>46308</x:v>
      </x:c>
      <x:c r="W1500" s="16"/>
      <x:c r="X1500" s="10" t="str">
        <x:v>Иврит предполагается по заголовку и источнику</x:v>
      </x:c>
      <x:c r="Y1500" s="10" t="str">
        <x:v>Не проверено</x:v>
      </x:c>
      <x:c r="Z1500" s="10" t="str">
        <x:v>Не проверено</x:v>
      </x:c>
      <x:c r="AA1500" s="10" t="str">
        <x:v>Метаданные списка; видео не просмотрено</x:v>
      </x:c>
      <x:c r="AB1500" s="13" t="str">
        <x:f>IF(AND(ISNUMBER(H1500),ISNUMBER(W1500)),H1500/MAX(1,'Обзор'!$B$4-W1500),"")</x:f>
      </x:c>
      <x:c r="AC1500" s="17" t="str">
        <x:v>Не решено</x:v>
      </x:c>
      <x:c r="AD1500" s="17" t="str">
        <x:v>Не проверено</x:v>
      </x:c>
      <x:c r="AE1500" s="17" t="str">
        <x:v>Не проверено</x:v>
      </x:c>
      <x:c r="AF1500" s="17" t="str">
        <x:v>Не проверено</x:v>
      </x:c>
      <x:c r="AG1500" s="17" t="str">
        <x:v>Не решено</x:v>
      </x:c>
      <x:c r="AH1500" s="17" t="str">
        <x:v>Не проверено</x:v>
      </x:c>
      <x:c r="AI1500" s="10" t="str">
        <x:f>IF(AC1500="Отклонить","Отклонено",IF(AND(AC1500="Взять",COUNTIFS(AD1500:AH1500,"Да")=5),"Готово","Нужна редактура"))</x:f>
        <x:v>Нужна редактура</x:v>
      </x:c>
      <x:c r="AJ1500" s="17" t="str"/>
      <x:c r="AK1500" s="9" t="str">
        <x:v>https://www.youtube.com/playlist?list=PL0ZkulyfP8belyU5Ooh_vYbS5vzoFpmGt</x:v>
      </x:c>
      <x:c r="AL1500" s="9" t="n">
        <x:v>5</x:v>
      </x:c>
      <x:c r="AM1500" s="9"/>
      <x:c r="AN1500" s="9"/>
    </x:row>
    <x:row r="1501" ht="60" customHeight="1">
      <x:c r="A1501" s="9" t="str">
        <x:v>JEkvmAoNj4c</x:v>
      </x:c>
      <x:c r="B1501" s="10" t="str">
        <x:v>5 ניסויים מדליקים שיפתיעו אתכם</x:v>
      </x:c>
      <x:c r="C1501" s="10" t="str">
        <x:v>Ханука и наука</x:v>
      </x:c>
      <x:c r="D1501" s="9" t="str">
        <x:v>Образование</x:v>
      </x:c>
      <x:c r="E1501" s="10" t="str">
        <x:v>Наука; семьи; любознательные</x:v>
      </x:c>
      <x:c r="F1501" s="10" t="str">
        <x:v>B1–B2 (гипотеза)</x:v>
      </x:c>
      <x:c r="G1501" s="12" t="n">
        <x:v>2.5</x:v>
      </x:c>
      <x:c r="H1501" s="14" t="n">
        <x:v>114333</x:v>
      </x:c>
      <x:c r="I1501" s="15" t="str">
        <x:v>Точный счётчик метаданных видео</x:v>
      </x:c>
      <x:c r="J1501" s="14" t="n">
        <x:v>114000</x:v>
      </x:c>
      <x:c r="K1501" s="14" t="n">
        <x:v>26500</x:v>
      </x:c>
      <x:c r="L1501" s="12" t="n">
        <x:f>IF(COUNT(J1501:K1501)=2,IF(K1501=0,"",J1501/K1501),"")</x:f>
        <x:v>4.30188679245283</x:v>
      </x:c>
      <x:c r="M1501" s="10" t="str">
        <x:v>Завершённый короткий просмотр около 2 мин. Просмотры в списке выше медианы выборки этого цикла в 4.3 раза. Научные сюжеты, отобранные издателем к Хануке, дают сезонный вход через демонстрацию и удивление.</x:v>
      </x:c>
      <x:c r="N1501" s="10" t="str">
        <x:v>Объяснить эксперимент и научный механизм; проверить безопасность.</x:v>
      </x:c>
      <x:c r="O1501" s="10" t="str">
        <x:v>Проверить язык речи и безопасность демонстрации</x:v>
      </x:c>
      <x:c r="P1501" s="10" t="str">
        <x:v>Самостоятельное видео</x:v>
      </x:c>
      <x:c r="Q1501" s="9" t="str">
        <x:v>Нет</x:v>
      </x:c>
      <x:c r="R1501" s="9" t="str">
        <x:v>C090</x:v>
      </x:c>
      <x:c r="S1501" s="9" t="str">
        <x:v>C090</x:v>
      </x:c>
      <x:c r="T1501" s="10" t="str">
        <x:v>מכון דוידסון - סרטוני מדע</x:v>
      </x:c>
      <x:c r="U1501" s="11" t="str">
        <x:v>https://www.youtube.com/watch?v=JEkvmAoNj4c</x:v>
      </x:c>
      <x:c r="V1501" s="16" t="n">
        <x:v>46308</x:v>
      </x:c>
      <x:c r="W1501" s="16" t="n">
        <x:v>42514</x:v>
      </x:c>
      <x:c r="X1501" s="10" t="str">
        <x:v>iw</x:v>
      </x:c>
      <x:c r="Y1501" s="10" t="str">
        <x:v>Ручная дорожка HE по метаданным</x:v>
      </x:c>
      <x:c r="Z1501" s="10" t="str">
        <x:v>Разрешено по метаданным</x:v>
      </x:c>
      <x:c r="AA1501" s="10" t="str">
        <x:v>Метаданные видео; воспроизведение и содержание не проверены</x:v>
      </x:c>
      <x:c r="AB1501" s="13" t="n">
        <x:f>IF(AND(ISNUMBER(H1501),ISNUMBER(W1501)),H1501/MAX(1,'Обзор'!$B$4-W1501),"")</x:f>
        <x:v>30.135213494992094</x:v>
      </x:c>
      <x:c r="AC1501" s="17" t="str">
        <x:v>Не решено</x:v>
      </x:c>
      <x:c r="AD1501" s="17" t="str">
        <x:v>Не проверено</x:v>
      </x:c>
      <x:c r="AE1501" s="17" t="str">
        <x:v>Не проверено</x:v>
      </x:c>
      <x:c r="AF1501" s="17" t="str">
        <x:v>Не проверено</x:v>
      </x:c>
      <x:c r="AG1501" s="17" t="str">
        <x:v>Не решено</x:v>
      </x:c>
      <x:c r="AH1501" s="17" t="str">
        <x:v>Не проверено</x:v>
      </x:c>
      <x:c r="AI1501" s="10" t="str">
        <x:f>IF(AC1501="Отклонить","Отклонено",IF(AND(AC1501="Взять",COUNTIFS(AD1501:AH1501,"Да")=5),"Готово","Нужна редактура"))</x:f>
        <x:v>Нужна редактура</x:v>
      </x:c>
      <x:c r="AJ1501" s="17" t="str"/>
      <x:c r="AK1501" s="9" t="str">
        <x:v>https://www.youtube.com/playlist?list=PL0ZkulyfP8belyU5Ooh_vYbS5vzoFpmGt</x:v>
      </x:c>
      <x:c r="AL1501" s="9" t="n">
        <x:v>6</x:v>
      </x:c>
      <x:c r="AM1501" s="9"/>
      <x:c r="AN1501" s="9" t="n">
        <x:v>0</x:v>
      </x:c>
    </x:row>
    <x:row r="1502" ht="60" customHeight="1">
      <x:c r="A1502" s="9" t="str">
        <x:v>XRGyJNvWSHQ</x:v>
      </x:c>
      <x:c r="B1502" s="10" t="str">
        <x:v>איך להדליק נר כבוי מהעשן שעולה ממנו</x:v>
      </x:c>
      <x:c r="C1502" s="10" t="str">
        <x:v>Ханука и наука</x:v>
      </x:c>
      <x:c r="D1502" s="9" t="str">
        <x:v>Образование</x:v>
      </x:c>
      <x:c r="E1502" s="10" t="str">
        <x:v>Наука; семьи; любознательные</x:v>
      </x:c>
      <x:c r="F1502" s="10" t="str">
        <x:v>B1–B2 (гипотеза)</x:v>
      </x:c>
      <x:c r="G1502" s="12" t="n">
        <x:v>2.3</x:v>
      </x:c>
      <x:c r="H1502" s="14" t="n">
        <x:v>27662</x:v>
      </x:c>
      <x:c r="I1502" s="15" t="str">
        <x:v>Точный счётчик метаданных видео</x:v>
      </x:c>
      <x:c r="J1502" s="14" t="n">
        <x:v>27000</x:v>
      </x:c>
      <x:c r="K1502" s="14" t="n">
        <x:v>26500</x:v>
      </x:c>
      <x:c r="L1502" s="12" t="n">
        <x:f>IF(COUNT(J1502:K1502)=2,IF(K1502=0,"",J1502/K1502),"")</x:f>
        <x:v>1.0188679245283019</x:v>
      </x:c>
      <x:c r="M1502" s="10" t="str">
        <x:v>Завершённый короткий просмотр около 2 мин. Научные сюжеты, отобранные издателем к Хануке, дают сезонный вход через демонстрацию и удивление.</x:v>
      </x:c>
      <x:c r="N1502" s="10" t="str">
        <x:v>Объяснить эксперимент и научный механизм; проверить безопасность.</x:v>
      </x:c>
      <x:c r="O1502" s="10" t="str">
        <x:v>Проверить язык речи и безопасность демонстрации</x:v>
      </x:c>
      <x:c r="P1502" s="10" t="str">
        <x:v>Самостоятельное видео</x:v>
      </x:c>
      <x:c r="Q1502" s="9" t="str">
        <x:v>Нет</x:v>
      </x:c>
      <x:c r="R1502" s="9" t="str">
        <x:v>C090</x:v>
      </x:c>
      <x:c r="S1502" s="9" t="str">
        <x:v>C090</x:v>
      </x:c>
      <x:c r="T1502" s="10" t="str">
        <x:v>מכון דוידסון - סרטוני מדע</x:v>
      </x:c>
      <x:c r="U1502" s="11" t="str">
        <x:v>https://www.youtube.com/watch?v=XRGyJNvWSHQ</x:v>
      </x:c>
      <x:c r="V1502" s="16" t="n">
        <x:v>46308</x:v>
      </x:c>
      <x:c r="W1502" s="16" t="n">
        <x:v>43682</x:v>
      </x:c>
      <x:c r="X1502" s="10" t="str">
        <x:v>Иврит предполагается по заголовку и источнику</x:v>
      </x:c>
      <x:c r="Y1502" s="10" t="str">
        <x:v>Ручная дорожка HE по метаданным</x:v>
      </x:c>
      <x:c r="Z1502" s="10" t="str">
        <x:v>Разрешено по метаданным</x:v>
      </x:c>
      <x:c r="AA1502" s="10" t="str">
        <x:v>Метаданные видео; воспроизведение и содержание не проверены</x:v>
      </x:c>
      <x:c r="AB1502" s="13" t="n">
        <x:f>IF(AND(ISNUMBER(H1502),ISNUMBER(W1502)),H1502/MAX(1,'Обзор'!$B$4-W1502),"")</x:f>
        <x:v>10.533891850723533</x:v>
      </x:c>
      <x:c r="AC1502" s="17" t="str">
        <x:v>Не решено</x:v>
      </x:c>
      <x:c r="AD1502" s="17" t="str">
        <x:v>Не проверено</x:v>
      </x:c>
      <x:c r="AE1502" s="17" t="str">
        <x:v>Не проверено</x:v>
      </x:c>
      <x:c r="AF1502" s="17" t="str">
        <x:v>Не проверено</x:v>
      </x:c>
      <x:c r="AG1502" s="17" t="str">
        <x:v>Не решено</x:v>
      </x:c>
      <x:c r="AH1502" s="17" t="str">
        <x:v>Не проверено</x:v>
      </x:c>
      <x:c r="AI1502" s="10" t="str">
        <x:f>IF(AC1502="Отклонить","Отклонено",IF(AND(AC1502="Взять",COUNTIFS(AD1502:AH1502,"Да")=5),"Готово","Нужна редактура"))</x:f>
        <x:v>Нужна редактура</x:v>
      </x:c>
      <x:c r="AJ1502" s="17" t="str"/>
      <x:c r="AK1502" s="9" t="str">
        <x:v>https://www.youtube.com/playlist?list=PL0ZkulyfP8belyU5Ooh_vYbS5vzoFpmGt</x:v>
      </x:c>
      <x:c r="AL1502" s="9" t="n">
        <x:v>7</x:v>
      </x:c>
      <x:c r="AM1502" s="9"/>
      <x:c r="AN1502" s="9" t="n">
        <x:v>0</x:v>
      </x:c>
    </x:row>
    <x:row r="1503" ht="60" customHeight="1">
      <x:c r="A1503" s="9" t="str">
        <x:v>ZA2KJf0ejfE</x:v>
      </x:c>
      <x:c r="B1503" s="10" t="str">
        <x:v>שומן</x:v>
      </x:c>
      <x:c r="C1503" s="10" t="str">
        <x:v>Ханука и наука</x:v>
      </x:c>
      <x:c r="D1503" s="9" t="str">
        <x:v>Образование</x:v>
      </x:c>
      <x:c r="E1503" s="10" t="str">
        <x:v>Наука; семьи; любознательные</x:v>
      </x:c>
      <x:c r="F1503" s="10" t="str">
        <x:v>B1–B2 (гипотеза)</x:v>
      </x:c>
      <x:c r="G1503" s="12" t="n">
        <x:v>4.9</x:v>
      </x:c>
      <x:c r="H1503" s="14" t="n">
        <x:v>25000</x:v>
      </x:c>
      <x:c r="I1503" s="15" t="str">
        <x:v>Округлённый счётчик в списке YouTube</x:v>
      </x:c>
      <x:c r="J1503" s="14" t="n">
        <x:v>25000</x:v>
      </x:c>
      <x:c r="K1503" s="14" t="n">
        <x:v>26500</x:v>
      </x:c>
      <x:c r="L1503" s="12" t="n">
        <x:f>IF(COUNT(J1503:K1503)=2,IF(K1503=0,"",J1503/K1503),"")</x:f>
        <x:v>0.9433962264150944</x:v>
      </x:c>
      <x:c r="M1503" s="10" t="str">
        <x:v>Завершённый короткий просмотр около 5 мин. Научные сюжеты, отобранные издателем к Хануке, дают сезонный вход через демонстрацию и удивление.</x:v>
      </x:c>
      <x:c r="N1503" s="10" t="str">
        <x:v>Объяснить эксперимент и научный механизм; проверить безопасность.</x:v>
      </x:c>
      <x:c r="O1503" s="10" t="str">
        <x:v>Проверить язык речи и безопасность демонстрации</x:v>
      </x:c>
      <x:c r="P1503" s="10" t="str">
        <x:v>Самостоятельное видео</x:v>
      </x:c>
      <x:c r="Q1503" s="9" t="str">
        <x:v>Нет</x:v>
      </x:c>
      <x:c r="R1503" s="9" t="str">
        <x:v>C090</x:v>
      </x:c>
      <x:c r="S1503" s="9" t="str">
        <x:v>C090</x:v>
      </x:c>
      <x:c r="T1503" s="10" t="str">
        <x:v>מכון דוידסון - סרטוני מדע</x:v>
      </x:c>
      <x:c r="U1503" s="11" t="str">
        <x:v>https://www.youtube.com/watch?v=ZA2KJf0ejfE</x:v>
      </x:c>
      <x:c r="V1503" s="16" t="n">
        <x:v>46308</x:v>
      </x:c>
      <x:c r="W1503" s="16"/>
      <x:c r="X1503" s="10" t="str">
        <x:v>Иврит предполагается по заголовку и источнику</x:v>
      </x:c>
      <x:c r="Y1503" s="10" t="str">
        <x:v>Не проверено</x:v>
      </x:c>
      <x:c r="Z1503" s="10" t="str">
        <x:v>Не проверено</x:v>
      </x:c>
      <x:c r="AA1503" s="10" t="str">
        <x:v>Метаданные списка; видео не просмотрено</x:v>
      </x:c>
      <x:c r="AB1503" s="13" t="str">
        <x:f>IF(AND(ISNUMBER(H1503),ISNUMBER(W1503)),H1503/MAX(1,'Обзор'!$B$4-W1503),"")</x:f>
      </x:c>
      <x:c r="AC1503" s="17" t="str">
        <x:v>Не решено</x:v>
      </x:c>
      <x:c r="AD1503" s="17" t="str">
        <x:v>Не проверено</x:v>
      </x:c>
      <x:c r="AE1503" s="17" t="str">
        <x:v>Не проверено</x:v>
      </x:c>
      <x:c r="AF1503" s="17" t="str">
        <x:v>Не проверено</x:v>
      </x:c>
      <x:c r="AG1503" s="17" t="str">
        <x:v>Не решено</x:v>
      </x:c>
      <x:c r="AH1503" s="17" t="str">
        <x:v>Не проверено</x:v>
      </x:c>
      <x:c r="AI1503" s="10" t="str">
        <x:f>IF(AC1503="Отклонить","Отклонено",IF(AND(AC1503="Взять",COUNTIFS(AD1503:AH1503,"Да")=5),"Готово","Нужна редактура"))</x:f>
        <x:v>Нужна редактура</x:v>
      </x:c>
      <x:c r="AJ1503" s="17" t="str"/>
      <x:c r="AK1503" s="9" t="str">
        <x:v>https://www.youtube.com/playlist?list=PL0ZkulyfP8belyU5Ooh_vYbS5vzoFpmGt</x:v>
      </x:c>
      <x:c r="AL1503" s="9" t="n">
        <x:v>9</x:v>
      </x:c>
      <x:c r="AM1503" s="9"/>
      <x:c r="AN1503" s="9"/>
    </x:row>
    <x:row r="1504" ht="60" customHeight="1">
      <x:c r="A1504" s="9" t="str">
        <x:v>ASBIsh1qwLM</x:v>
      </x:c>
      <x:c r="B1504" s="10" t="str">
        <x:v>מי המציא את האש?</x:v>
      </x:c>
      <x:c r="C1504" s="10" t="str">
        <x:v>Ханука и наука</x:v>
      </x:c>
      <x:c r="D1504" s="9" t="str">
        <x:v>Образование</x:v>
      </x:c>
      <x:c r="E1504" s="10" t="str">
        <x:v>Наука; семьи; любознательные</x:v>
      </x:c>
      <x:c r="F1504" s="10" t="str">
        <x:v>B1–B2 (гипотеза)</x:v>
      </x:c>
      <x:c r="G1504" s="12" t="n">
        <x:v>2.2</x:v>
      </x:c>
      <x:c r="H1504" s="14" t="n">
        <x:v>8700</x:v>
      </x:c>
      <x:c r="I1504" s="15" t="str">
        <x:v>Округлённый счётчик в списке YouTube</x:v>
      </x:c>
      <x:c r="J1504" s="14" t="n">
        <x:v>8700</x:v>
      </x:c>
      <x:c r="K1504" s="14" t="n">
        <x:v>26500</x:v>
      </x:c>
      <x:c r="L1504" s="12" t="n">
        <x:f>IF(COUNT(J1504:K1504)=2,IF(K1504=0,"",J1504/K1504),"")</x:f>
        <x:v>0.3283018867924528</x:v>
      </x:c>
      <x:c r="M1504" s="10" t="str">
        <x:v>Завершённый короткий просмотр около 2 мин. Просмотры ниже медианы цикла; выбирать за нишевую ценность, а не за массовый охват. Научные сюжеты, отобранные издателем к Хануке, дают сезонный вход через демонстрацию и удивление.</x:v>
      </x:c>
      <x:c r="N1504" s="10" t="str">
        <x:v>Объяснить эксперимент и научный механизм; проверить безопасность.</x:v>
      </x:c>
      <x:c r="O1504" s="10" t="str">
        <x:v>Проверить язык речи и безопасность демонстрации</x:v>
      </x:c>
      <x:c r="P1504" s="10" t="str">
        <x:v>Самостоятельное видео</x:v>
      </x:c>
      <x:c r="Q1504" s="9" t="str">
        <x:v>Нет</x:v>
      </x:c>
      <x:c r="R1504" s="9" t="str">
        <x:v>C090</x:v>
      </x:c>
      <x:c r="S1504" s="9" t="str">
        <x:v>C090</x:v>
      </x:c>
      <x:c r="T1504" s="10" t="str">
        <x:v>מכון דוידסון - סרטוני מדע</x:v>
      </x:c>
      <x:c r="U1504" s="11" t="str">
        <x:v>https://www.youtube.com/watch?v=ASBIsh1qwLM</x:v>
      </x:c>
      <x:c r="V1504" s="16" t="n">
        <x:v>46308</x:v>
      </x:c>
      <x:c r="W1504" s="16"/>
      <x:c r="X1504" s="10" t="str">
        <x:v>Иврит предполагается по заголовку и источнику</x:v>
      </x:c>
      <x:c r="Y1504" s="10" t="str">
        <x:v>Не проверено</x:v>
      </x:c>
      <x:c r="Z1504" s="10" t="str">
        <x:v>Не проверено</x:v>
      </x:c>
      <x:c r="AA1504" s="10" t="str">
        <x:v>Метаданные списка; видео не просмотрено</x:v>
      </x:c>
      <x:c r="AB1504" s="13" t="str">
        <x:f>IF(AND(ISNUMBER(H1504),ISNUMBER(W1504)),H1504/MAX(1,'Обзор'!$B$4-W1504),"")</x:f>
      </x:c>
      <x:c r="AC1504" s="17" t="str">
        <x:v>Не решено</x:v>
      </x:c>
      <x:c r="AD1504" s="17" t="str">
        <x:v>Не проверено</x:v>
      </x:c>
      <x:c r="AE1504" s="17" t="str">
        <x:v>Не проверено</x:v>
      </x:c>
      <x:c r="AF1504" s="17" t="str">
        <x:v>Не проверено</x:v>
      </x:c>
      <x:c r="AG1504" s="17" t="str">
        <x:v>Не решено</x:v>
      </x:c>
      <x:c r="AH1504" s="17" t="str">
        <x:v>Не проверено</x:v>
      </x:c>
      <x:c r="AI1504" s="10" t="str">
        <x:f>IF(AC1504="Отклонить","Отклонено",IF(AND(AC1504="Взять",COUNTIFS(AD1504:AH1504,"Да")=5),"Готово","Нужна редактура"))</x:f>
        <x:v>Нужна редактура</x:v>
      </x:c>
      <x:c r="AJ1504" s="17" t="str"/>
      <x:c r="AK1504" s="9" t="str">
        <x:v>https://www.youtube.com/playlist?list=PL0ZkulyfP8belyU5Ooh_vYbS5vzoFpmGt</x:v>
      </x:c>
      <x:c r="AL1504" s="9" t="n">
        <x:v>10</x:v>
      </x:c>
      <x:c r="AM1504" s="9"/>
      <x:c r="AN1504" s="9"/>
    </x:row>
    <x:row r="1505" ht="60" customHeight="1">
      <x:c r="A1505" s="9" t="str">
        <x:v>8OIonxZGeL4</x:v>
      </x:c>
      <x:c r="B1505" s="10" t="str">
        <x:v>כיצד "לשאוב" מים לתוך כוס באמצעות נר בוער?</x:v>
      </x:c>
      <x:c r="C1505" s="10" t="str">
        <x:v>Ханука и наука</x:v>
      </x:c>
      <x:c r="D1505" s="9" t="str">
        <x:v>Образование</x:v>
      </x:c>
      <x:c r="E1505" s="10" t="str">
        <x:v>Наука; семьи; любознательные</x:v>
      </x:c>
      <x:c r="F1505" s="10" t="str">
        <x:v>B1–B2 (гипотеза)</x:v>
      </x:c>
      <x:c r="G1505" s="12" t="n">
        <x:v>1.7</x:v>
      </x:c>
      <x:c r="H1505" s="14" t="n">
        <x:v>75794</x:v>
      </x:c>
      <x:c r="I1505" s="15" t="str">
        <x:v>Точный счётчик метаданных видео</x:v>
      </x:c>
      <x:c r="J1505" s="14" t="n">
        <x:v>75000</x:v>
      </x:c>
      <x:c r="K1505" s="14" t="n">
        <x:v>26500</x:v>
      </x:c>
      <x:c r="L1505" s="12" t="n">
        <x:f>IF(COUNT(J1505:K1505)=2,IF(K1505=0,"",J1505/K1505),"")</x:f>
        <x:v>2.830188679245283</x:v>
      </x:c>
      <x:c r="M1505" s="10" t="str">
        <x:v>Завершённый короткий просмотр около 2 мин. Просмотры в списке выше медианы выборки этого цикла в 2.83 раза. Научные сюжеты, отобранные издателем к Хануке, дают сезонный вход через демонстрацию и удивление.</x:v>
      </x:c>
      <x:c r="N1505" s="10" t="str">
        <x:v>Объяснить эксперимент и научный механизм; проверить безопасность.</x:v>
      </x:c>
      <x:c r="O1505" s="10" t="str">
        <x:v>Проверить язык речи и безопасность демонстрации</x:v>
      </x:c>
      <x:c r="P1505" s="10" t="str">
        <x:v>Самостоятельное видео</x:v>
      </x:c>
      <x:c r="Q1505" s="9" t="str">
        <x:v>Нет</x:v>
      </x:c>
      <x:c r="R1505" s="9" t="str">
        <x:v>C090</x:v>
      </x:c>
      <x:c r="S1505" s="9" t="str">
        <x:v>C090</x:v>
      </x:c>
      <x:c r="T1505" s="10" t="str">
        <x:v>מכון דוידסון - סרטוני מדע</x:v>
      </x:c>
      <x:c r="U1505" s="11" t="str">
        <x:v>https://www.youtube.com/watch?v=8OIonxZGeL4</x:v>
      </x:c>
      <x:c r="V1505" s="16" t="n">
        <x:v>46308</x:v>
      </x:c>
      <x:c r="W1505" s="16" t="n">
        <x:v>41161</x:v>
      </x:c>
      <x:c r="X1505" s="10" t="str">
        <x:v>iw</x:v>
      </x:c>
      <x:c r="Y1505" s="10" t="str">
        <x:v>Ручная дорожка HE по метаданным</x:v>
      </x:c>
      <x:c r="Z1505" s="10" t="str">
        <x:v>Разрешено по метаданным</x:v>
      </x:c>
      <x:c r="AA1505" s="10" t="str">
        <x:v>Метаданные видео; воспроизведение и содержание не проверены</x:v>
      </x:c>
      <x:c r="AB1505" s="13" t="n">
        <x:f>IF(AND(ISNUMBER(H1505),ISNUMBER(W1505)),H1505/MAX(1,'Обзор'!$B$4-W1505),"")</x:f>
        <x:v>14.725859724111134</x:v>
      </x:c>
      <x:c r="AC1505" s="17" t="str">
        <x:v>Не решено</x:v>
      </x:c>
      <x:c r="AD1505" s="17" t="str">
        <x:v>Не проверено</x:v>
      </x:c>
      <x:c r="AE1505" s="17" t="str">
        <x:v>Не проверено</x:v>
      </x:c>
      <x:c r="AF1505" s="17" t="str">
        <x:v>Не проверено</x:v>
      </x:c>
      <x:c r="AG1505" s="17" t="str">
        <x:v>Не решено</x:v>
      </x:c>
      <x:c r="AH1505" s="17" t="str">
        <x:v>Не проверено</x:v>
      </x:c>
      <x:c r="AI1505" s="10" t="str">
        <x:f>IF(AC1505="Отклонить","Отклонено",IF(AND(AC1505="Взять",COUNTIFS(AD1505:AH1505,"Да")=5),"Готово","Нужна редактура"))</x:f>
        <x:v>Нужна редактура</x:v>
      </x:c>
      <x:c r="AJ1505" s="17" t="str"/>
      <x:c r="AK1505" s="9" t="str">
        <x:v>https://www.youtube.com/playlist?list=PL0ZkulyfP8belyU5Ooh_vYbS5vzoFpmGt</x:v>
      </x:c>
      <x:c r="AL1505" s="9" t="n">
        <x:v>11</x:v>
      </x:c>
      <x:c r="AM1505" s="9"/>
      <x:c r="AN1505" s="9" t="n">
        <x:v>0</x:v>
      </x:c>
    </x:row>
    <x:row r="1506" ht="60" customHeight="1">
      <x:c r="A1506" s="9" t="str">
        <x:v>fj-iyzZkj6c</x:v>
      </x:c>
      <x:c r="B1506" s="10" t="str">
        <x:v>איך לגרום לנר לבעור מתחת למים?</x:v>
      </x:c>
      <x:c r="C1506" s="10" t="str">
        <x:v>Ханука и наука</x:v>
      </x:c>
      <x:c r="D1506" s="9" t="str">
        <x:v>Образование</x:v>
      </x:c>
      <x:c r="E1506" s="10" t="str">
        <x:v>Наука; семьи; любознательные</x:v>
      </x:c>
      <x:c r="F1506" s="10" t="str">
        <x:v>B1–B2 (гипотеза)</x:v>
      </x:c>
      <x:c r="G1506" s="12" t="n">
        <x:v>1.5</x:v>
      </x:c>
      <x:c r="H1506" s="14" t="n">
        <x:v>49804</x:v>
      </x:c>
      <x:c r="I1506" s="15" t="str">
        <x:v>Точный счётчик метаданных видео</x:v>
      </x:c>
      <x:c r="J1506" s="14" t="n">
        <x:v>49000</x:v>
      </x:c>
      <x:c r="K1506" s="14" t="n">
        <x:v>26500</x:v>
      </x:c>
      <x:c r="L1506" s="12" t="n">
        <x:f>IF(COUNT(J1506:K1506)=2,IF(K1506=0,"",J1506/K1506),"")</x:f>
        <x:v>1.849056603773585</x:v>
      </x:c>
      <x:c r="M1506" s="10" t="str">
        <x:v>Завершённый короткий просмотр около 2 мин. Просмотры в списке выше медианы выборки этого цикла в 1.85 раза. Научные сюжеты, отобранные издателем к Хануке, дают сезонный вход через демонстрацию и удивление.</x:v>
      </x:c>
      <x:c r="N1506" s="10" t="str">
        <x:v>Объяснить эксперимент и научный механизм; проверить безопасность.</x:v>
      </x:c>
      <x:c r="O1506" s="10" t="str">
        <x:v>Проверить язык речи и безопасность демонстрации</x:v>
      </x:c>
      <x:c r="P1506" s="10" t="str">
        <x:v>Самостоятельное видео</x:v>
      </x:c>
      <x:c r="Q1506" s="9" t="str">
        <x:v>Нет</x:v>
      </x:c>
      <x:c r="R1506" s="9" t="str">
        <x:v>C090</x:v>
      </x:c>
      <x:c r="S1506" s="9" t="str">
        <x:v>C090</x:v>
      </x:c>
      <x:c r="T1506" s="10" t="str">
        <x:v>מכון דוידסון - סרטוני מדע</x:v>
      </x:c>
      <x:c r="U1506" s="11" t="str">
        <x:v>https://www.youtube.com/watch?v=fj-iyzZkj6c</x:v>
      </x:c>
      <x:c r="V1506" s="16" t="n">
        <x:v>46308</x:v>
      </x:c>
      <x:c r="W1506" s="16" t="n">
        <x:v>41301</x:v>
      </x:c>
      <x:c r="X1506" s="10" t="str">
        <x:v>iw</x:v>
      </x:c>
      <x:c r="Y1506" s="10" t="str">
        <x:v>Ручная дорожка HE по метаданным</x:v>
      </x:c>
      <x:c r="Z1506" s="10" t="str">
        <x:v>Разрешено по метаданным</x:v>
      </x:c>
      <x:c r="AA1506" s="10" t="str">
        <x:v>Метаданные видео; воспроизведение и содержание не проверены</x:v>
      </x:c>
      <x:c r="AB1506" s="13" t="n">
        <x:f>IF(AND(ISNUMBER(H1506),ISNUMBER(W1506)),H1506/MAX(1,'Обзор'!$B$4-W1506),"")</x:f>
        <x:v>9.946874375873776</x:v>
      </x:c>
      <x:c r="AC1506" s="17" t="str">
        <x:v>Не решено</x:v>
      </x:c>
      <x:c r="AD1506" s="17" t="str">
        <x:v>Не проверено</x:v>
      </x:c>
      <x:c r="AE1506" s="17" t="str">
        <x:v>Не проверено</x:v>
      </x:c>
      <x:c r="AF1506" s="17" t="str">
        <x:v>Не проверено</x:v>
      </x:c>
      <x:c r="AG1506" s="17" t="str">
        <x:v>Не решено</x:v>
      </x:c>
      <x:c r="AH1506" s="17" t="str">
        <x:v>Не проверено</x:v>
      </x:c>
      <x:c r="AI1506" s="10" t="str">
        <x:f>IF(AC1506="Отклонить","Отклонено",IF(AND(AC1506="Взять",COUNTIFS(AD1506:AH1506,"Да")=5),"Готово","Нужна редактура"))</x:f>
        <x:v>Нужна редактура</x:v>
      </x:c>
      <x:c r="AJ1506" s="17" t="str"/>
      <x:c r="AK1506" s="9" t="str">
        <x:v>https://www.youtube.com/playlist?list=PL0ZkulyfP8belyU5Ooh_vYbS5vzoFpmGt</x:v>
      </x:c>
      <x:c r="AL1506" s="9" t="n">
        <x:v>13</x:v>
      </x:c>
      <x:c r="AM1506" s="9"/>
      <x:c r="AN1506" s="9" t="n">
        <x:v>0</x:v>
      </x:c>
    </x:row>
    <x:row r="1507" ht="60" customHeight="1">
      <x:c r="A1507" s="9" t="str">
        <x:v>4zSxWSaCHIQ</x:v>
      </x:c>
      <x:c r="B1507" s="10" t="str">
        <x:v>איך לגרום לצבעים לזהור בחשכה?</x:v>
      </x:c>
      <x:c r="C1507" s="10" t="str">
        <x:v>Ханука и наука</x:v>
      </x:c>
      <x:c r="D1507" s="9" t="str">
        <x:v>Образование</x:v>
      </x:c>
      <x:c r="E1507" s="10" t="str">
        <x:v>Наука; семьи; любознательные</x:v>
      </x:c>
      <x:c r="F1507" s="10" t="str">
        <x:v>B1–B2 (гипотеза)</x:v>
      </x:c>
      <x:c r="G1507" s="12" t="n">
        <x:v>2.3</x:v>
      </x:c>
      <x:c r="H1507" s="14" t="n">
        <x:v>40710</x:v>
      </x:c>
      <x:c r="I1507" s="15" t="str">
        <x:v>Точный счётчик метаданных видео</x:v>
      </x:c>
      <x:c r="J1507" s="14" t="n">
        <x:v>40000</x:v>
      </x:c>
      <x:c r="K1507" s="14" t="n">
        <x:v>26500</x:v>
      </x:c>
      <x:c r="L1507" s="12" t="n">
        <x:f>IF(COUNT(J1507:K1507)=2,IF(K1507=0,"",J1507/K1507),"")</x:f>
        <x:v>1.509433962264151</x:v>
      </x:c>
      <x:c r="M1507" s="10" t="str">
        <x:v>Завершённый короткий просмотр около 2 мин. Просмотры в списке выше медианы выборки этого цикла в 1.51 раза. Научные сюжеты, отобранные издателем к Хануке, дают сезонный вход через демонстрацию и удивление.</x:v>
      </x:c>
      <x:c r="N1507" s="10" t="str">
        <x:v>Объяснить эксперимент и научный механизм; проверить безопасность.</x:v>
      </x:c>
      <x:c r="O1507" s="10" t="str">
        <x:v>Проверить язык речи и безопасность демонстрации</x:v>
      </x:c>
      <x:c r="P1507" s="10" t="str">
        <x:v>Самостоятельное видео</x:v>
      </x:c>
      <x:c r="Q1507" s="9" t="str">
        <x:v>Нет</x:v>
      </x:c>
      <x:c r="R1507" s="9" t="str">
        <x:v>C090</x:v>
      </x:c>
      <x:c r="S1507" s="9" t="str">
        <x:v>C090</x:v>
      </x:c>
      <x:c r="T1507" s="10" t="str">
        <x:v>מכון דוידסון - סרטוני מדע</x:v>
      </x:c>
      <x:c r="U1507" s="11" t="str">
        <x:v>https://www.youtube.com/watch?v=4zSxWSaCHIQ</x:v>
      </x:c>
      <x:c r="V1507" s="16" t="n">
        <x:v>46308</x:v>
      </x:c>
      <x:c r="W1507" s="16" t="n">
        <x:v>41483</x:v>
      </x:c>
      <x:c r="X1507" s="10" t="str">
        <x:v>iw</x:v>
      </x:c>
      <x:c r="Y1507" s="10" t="str">
        <x:v>Ручная дорожка HE по метаданным</x:v>
      </x:c>
      <x:c r="Z1507" s="10" t="str">
        <x:v>Разрешено по метаданным</x:v>
      </x:c>
      <x:c r="AA1507" s="10" t="str">
        <x:v>Метаданные видео; воспроизведение и содержание не проверены</x:v>
      </x:c>
      <x:c r="AB1507" s="13" t="n">
        <x:f>IF(AND(ISNUMBER(H1507),ISNUMBER(W1507)),H1507/MAX(1,'Обзор'!$B$4-W1507),"")</x:f>
        <x:v>8.437305699481865</x:v>
      </x:c>
      <x:c r="AC1507" s="17" t="str">
        <x:v>Не решено</x:v>
      </x:c>
      <x:c r="AD1507" s="17" t="str">
        <x:v>Не проверено</x:v>
      </x:c>
      <x:c r="AE1507" s="17" t="str">
        <x:v>Не проверено</x:v>
      </x:c>
      <x:c r="AF1507" s="17" t="str">
        <x:v>Не проверено</x:v>
      </x:c>
      <x:c r="AG1507" s="17" t="str">
        <x:v>Не решено</x:v>
      </x:c>
      <x:c r="AH1507" s="17" t="str">
        <x:v>Не проверено</x:v>
      </x:c>
      <x:c r="AI1507" s="10" t="str">
        <x:f>IF(AC1507="Отклонить","Отклонено",IF(AND(AC1507="Взять",COUNTIFS(AD1507:AH1507,"Да")=5),"Готово","Нужна редактура"))</x:f>
        <x:v>Нужна редактура</x:v>
      </x:c>
      <x:c r="AJ1507" s="17" t="str"/>
      <x:c r="AK1507" s="9" t="str">
        <x:v>https://www.youtube.com/playlist?list=PL0ZkulyfP8belyU5Ooh_vYbS5vzoFpmGt</x:v>
      </x:c>
      <x:c r="AL1507" s="9" t="n">
        <x:v>14</x:v>
      </x:c>
      <x:c r="AM1507" s="9"/>
      <x:c r="AN1507" s="9" t="n">
        <x:v>0</x:v>
      </x:c>
    </x:row>
    <x:row r="1508" ht="60" customHeight="1">
      <x:c r="A1508" s="9" t="str">
        <x:v>Ug1KaiiY5Ew</x:v>
      </x:c>
      <x:c r="B1508" s="10" t="str">
        <x:v>ניסוי הסנה הבוער - איך לגרום לנייר לבעור -- בלי שישרף?</x:v>
      </x:c>
      <x:c r="C1508" s="10" t="str">
        <x:v>Ханука и наука</x:v>
      </x:c>
      <x:c r="D1508" s="9" t="str">
        <x:v>Образование</x:v>
      </x:c>
      <x:c r="E1508" s="10" t="str">
        <x:v>Наука; семьи; любознательные</x:v>
      </x:c>
      <x:c r="F1508" s="10" t="str">
        <x:v>B1–B2 (гипотеза)</x:v>
      </x:c>
      <x:c r="G1508" s="12" t="n">
        <x:v>2.2</x:v>
      </x:c>
      <x:c r="H1508" s="14" t="n">
        <x:v>39065</x:v>
      </x:c>
      <x:c r="I1508" s="15" t="str">
        <x:v>Точный счётчик метаданных видео</x:v>
      </x:c>
      <x:c r="J1508" s="14" t="n">
        <x:v>39000</x:v>
      </x:c>
      <x:c r="K1508" s="14" t="n">
        <x:v>26500</x:v>
      </x:c>
      <x:c r="L1508" s="12" t="n">
        <x:f>IF(COUNT(J1508:K1508)=2,IF(K1508=0,"",J1508/K1508),"")</x:f>
        <x:v>1.471698113207547</x:v>
      </x:c>
      <x:c r="M1508" s="10" t="str">
        <x:v>Завершённый короткий просмотр около 2 мин. Научные сюжеты, отобранные издателем к Хануке, дают сезонный вход через демонстрацию и удивление.</x:v>
      </x:c>
      <x:c r="N1508" s="10" t="str">
        <x:v>Объяснить эксперимент и научный механизм; проверить безопасность.</x:v>
      </x:c>
      <x:c r="O1508" s="10" t="str">
        <x:v>Проверить язык речи и безопасность демонстрации</x:v>
      </x:c>
      <x:c r="P1508" s="10" t="str">
        <x:v>Самостоятельное видео</x:v>
      </x:c>
      <x:c r="Q1508" s="9" t="str">
        <x:v>Нет</x:v>
      </x:c>
      <x:c r="R1508" s="9" t="str">
        <x:v>C090</x:v>
      </x:c>
      <x:c r="S1508" s="9" t="str">
        <x:v>C090</x:v>
      </x:c>
      <x:c r="T1508" s="10" t="str">
        <x:v>מכון דוידסון - סרטוני מדע</x:v>
      </x:c>
      <x:c r="U1508" s="11" t="str">
        <x:v>https://www.youtube.com/watch?v=Ug1KaiiY5Ew</x:v>
      </x:c>
      <x:c r="V1508" s="16" t="n">
        <x:v>46308</x:v>
      </x:c>
      <x:c r="W1508" s="16" t="n">
        <x:v>41455</x:v>
      </x:c>
      <x:c r="X1508" s="10" t="str">
        <x:v>iw</x:v>
      </x:c>
      <x:c r="Y1508" s="10" t="str">
        <x:v>Ручная дорожка HE по метаданным</x:v>
      </x:c>
      <x:c r="Z1508" s="10" t="str">
        <x:v>Разрешено по метаданным</x:v>
      </x:c>
      <x:c r="AA1508" s="10" t="str">
        <x:v>Метаданные видео; воспроизведение и содержание не проверены</x:v>
      </x:c>
      <x:c r="AB1508" s="13" t="n">
        <x:f>IF(AND(ISNUMBER(H1508),ISNUMBER(W1508)),H1508/MAX(1,'Обзор'!$B$4-W1508),"")</x:f>
        <x:v>8.049660004121161</x:v>
      </x:c>
      <x:c r="AC1508" s="17" t="str">
        <x:v>Не решено</x:v>
      </x:c>
      <x:c r="AD1508" s="17" t="str">
        <x:v>Не проверено</x:v>
      </x:c>
      <x:c r="AE1508" s="17" t="str">
        <x:v>Не проверено</x:v>
      </x:c>
      <x:c r="AF1508" s="17" t="str">
        <x:v>Не проверено</x:v>
      </x:c>
      <x:c r="AG1508" s="17" t="str">
        <x:v>Не решено</x:v>
      </x:c>
      <x:c r="AH1508" s="17" t="str">
        <x:v>Не проверено</x:v>
      </x:c>
      <x:c r="AI1508" s="10" t="str">
        <x:f>IF(AC1508="Отклонить","Отклонено",IF(AND(AC1508="Взять",COUNTIFS(AD1508:AH1508,"Да")=5),"Готово","Нужна редактура"))</x:f>
        <x:v>Нужна редактура</x:v>
      </x:c>
      <x:c r="AJ1508" s="17" t="str"/>
      <x:c r="AK1508" s="9" t="str">
        <x:v>https://www.youtube.com/playlist?list=PL0ZkulyfP8belyU5Ooh_vYbS5vzoFpmGt</x:v>
      </x:c>
      <x:c r="AL1508" s="9" t="n">
        <x:v>15</x:v>
      </x:c>
      <x:c r="AM1508" s="9"/>
      <x:c r="AN1508" s="9" t="n">
        <x:v>0</x:v>
      </x:c>
    </x:row>
  </x:sheetData>
  <x:conditionalFormatting sqref="AI7:AI1508">
    <x:cfRule type="expression" dxfId="0" priority="1">
      <x:formula>AI7="Готово"</x:formula>
    </x:cfRule>
    <x:cfRule type="expression" dxfId="1" priority="2">
      <x:formula>AI7="Отклонено"</x:formula>
    </x:cfRule>
  </x:conditionalFormatting>
  <x:conditionalFormatting sqref="Q7:Q1508">
    <x:cfRule type="expression" dxfId="2" priority="3">
      <x:formula>Q7="Да"</x:formula>
    </x:cfRule>
  </x:conditionalFormatting>
  <x:dataValidations count="2">
    <x:dataValidation type="list" sqref="AC7:AC1508">
      <x:formula1>"Не решено,Взять,Отклонить,Резерв"</x:formula1>
    </x:dataValidation>
    <x:dataValidation type="list" sqref="AD7:AH1508">
      <x:formula1>"Не проверено,Не решено,Да,Нет"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185c5ac4bc435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66" hidden="0" customWidth="1"/>
    <x:col min="4" max="4" width="72" hidden="0" customWidth="1"/>
    <x:col min="5" max="5" width="50" hidden="0" customWidth="1"/>
  </x:cols>
  <x:sheetData>
    <x:row r="2">
      <x:c r="A2" s="2" t="str">
        <x:v>Что не вошло в основной реестр и почему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3"/>
      <x:c r="B4" s="3"/>
      <x:c r="C4" s="3"/>
      <x:c r="D4" s="3"/>
      <x:c r="E4" s="3"/>
    </x:row>
    <x:row r="5">
      <x:c r="A5" s="1"/>
      <x:c r="B5" s="1"/>
      <x:c r="C5" s="1"/>
      <x:c r="D5" s="1"/>
      <x:c r="E5" s="1"/>
    </x:row>
    <x:row r="6" ht="44" customHeight="1">
      <x:c r="A6" s="8" t="str">
        <x:v>YouTube ID</x:v>
      </x:c>
      <x:c r="B6" s="8" t="str">
        <x:v>Подборка ID</x:v>
      </x:c>
      <x:c r="C6" s="8" t="str">
        <x:v>Название</x:v>
      </x:c>
      <x:c r="D6" s="8" t="str">
        <x:v>Причина исключения</x:v>
      </x:c>
      <x:c r="E6" s="8" t="str">
        <x:v>Ссылка</x:v>
      </x:c>
    </x:row>
    <x:row r="7" ht="60" customHeight="1">
      <x:c r="A7" s="9" t="str">
        <x:v>Gpl22YoFpk0</x:v>
      </x:c>
      <x:c r="B7" s="9" t="str">
        <x:v>C001</x:v>
      </x:c>
      <x:c r="C7" s="10" t="str">
        <x:v>קופה ראשית עונה 5 🛒 | פספוסים</x:v>
      </x:c>
      <x:c r="D7" s="10" t="str">
        <x:v>Трейлер, промо или закулисье; не считается основным выпуском</x:v>
      </x:c>
      <x:c r="E7" s="9" t="str">
        <x:v>https://www.youtube.com/watch?v=Gpl22YoFpk0</x:v>
      </x:c>
    </x:row>
    <x:row r="8" ht="60" customHeight="1">
      <x:c r="A8" s="9" t="str">
        <x:v>XjjhvXBLZiM</x:v>
      </x:c>
      <x:c r="B8" s="9" t="str">
        <x:v>C002</x:v>
      </x:c>
      <x:c r="C8" s="10" t="str">
        <x:v>קופה ראשית עונה 4🛒 | פרק 21 - עושים קופה 2023 – מאחורי הקלעים</x:v>
      </x:c>
      <x:c r="D8" s="10" t="str">
        <x:v>Трейлер, промо или закулисье; не считается основным выпуском</x:v>
      </x:c>
      <x:c r="E8" s="9" t="str">
        <x:v>https://www.youtube.com/watch?v=XjjhvXBLZiM</x:v>
      </x:c>
    </x:row>
    <x:row r="9" ht="60" customHeight="1">
      <x:c r="A9" s="9" t="str">
        <x:v>sKWgGUVW000</x:v>
      </x:c>
      <x:c r="B9" s="9" t="str">
        <x:v>C003</x:v>
      </x:c>
      <x:c r="C9" s="10" t="str">
        <x:v>קופה ראשית עונה 3🛒 | פספוסים!!! 🤣</x:v>
      </x:c>
      <x:c r="D9" s="10" t="str">
        <x:v>Трейлер, промо или закулисье; не считается основным выпуском</x:v>
      </x:c>
      <x:c r="E9" s="9" t="str">
        <x:v>https://www.youtube.com/watch?v=sKWgGUVW000</x:v>
      </x:c>
    </x:row>
    <x:row r="10" ht="60" customHeight="1">
      <x:c r="A10" s="9" t="str">
        <x:v>Gxus5hWj2ko</x:v>
      </x:c>
      <x:c r="B10" s="9" t="str">
        <x:v>C004</x:v>
      </x:c>
      <x:c r="C10" s="10" t="str">
        <x:v>קופה ראשית עונה 2 🛒 | פספוסים!!! 🤭</x:v>
      </x:c>
      <x:c r="D10" s="10" t="str">
        <x:v>Трейлер, промо или закулисье; не считается основным выпуском</x:v>
      </x:c>
      <x:c r="E10" s="9" t="str">
        <x:v>https://www.youtube.com/watch?v=Gxus5hWj2ko</x:v>
      </x:c>
    </x:row>
    <x:row r="11" ht="60" customHeight="1">
      <x:c r="A11" s="9" t="str">
        <x:v>8KPn9KBVovE</x:v>
      </x:c>
      <x:c r="B11" s="9" t="str">
        <x:v>C005</x:v>
      </x:c>
      <x:c r="C11" s="10" t="str">
        <x:v>המפקדת 📋 | פספוסים עונה 1 😉🎬</x:v>
      </x:c>
      <x:c r="D11" s="10" t="str">
        <x:v>Трейлер, промо или закулисье; не считается основным выпуском</x:v>
      </x:c>
      <x:c r="E11" s="9" t="str">
        <x:v>https://www.youtube.com/watch?v=8KPn9KBVovE</x:v>
      </x:c>
    </x:row>
    <x:row r="12" ht="60" customHeight="1">
      <x:c r="A12" s="9" t="str">
        <x:v>wbtT4uVK1CA</x:v>
      </x:c>
      <x:c r="B12" s="9" t="str">
        <x:v>C006</x:v>
      </x:c>
      <x:c r="C12" s="10" t="str">
        <x:v>המפקדת עונה 2 | פספוסים</x:v>
      </x:c>
      <x:c r="D12" s="10" t="str">
        <x:v>Трейлер, промо или закулисье; не считается основным выпуском</x:v>
      </x:c>
      <x:c r="E12" s="9" t="str">
        <x:v>https://www.youtube.com/watch?v=wbtT4uVK1CA</x:v>
      </x:c>
    </x:row>
    <x:row r="13" ht="60" customHeight="1">
      <x:c r="A13" s="9" t="str">
        <x:v>QR4L16R6I7g</x:v>
      </x:c>
      <x:c r="B13" s="9" t="str">
        <x:v>C020</x:v>
      </x:c>
      <x:c r="C13" s="10" t="str">
        <x:v>סליחה על השאלה בערבית بلا مؤاخذة | אסירים לשעבר السُجناء المُسرّحون</x:v>
      </x:c>
      <x:c r="D13" s="10" t="str">
        <x:v>Издатель обозначил выпуск как арабоязычный</x:v>
      </x:c>
      <x:c r="E13" s="9" t="str">
        <x:v>https://www.youtube.com/watch?v=QR4L16R6I7g</x:v>
      </x:c>
    </x:row>
    <x:row r="14" ht="60" customHeight="1">
      <x:c r="A14" s="9" t="str">
        <x:v>eR68Pz4cnjk</x:v>
      </x:c>
      <x:c r="B14" s="9" t="str">
        <x:v>C020</x:v>
      </x:c>
      <x:c r="C14" s="10" t="str">
        <x:v>סליחה על השאלה בערבית بلا مؤاخذة | גרושות مُطلقات</x:v>
      </x:c>
      <x:c r="D14" s="10" t="str">
        <x:v>Издатель обозначил выпуск как арабоязычный</x:v>
      </x:c>
      <x:c r="E14" s="9" t="str">
        <x:v>https://www.youtube.com/watch?v=eR68Pz4cnjk</x:v>
      </x:c>
    </x:row>
    <x:row r="15" ht="60" customHeight="1">
      <x:c r="A15" s="9" t="str">
        <x:v>TVTbxESUTOQ</x:v>
      </x:c>
      <x:c r="B15" s="9" t="str">
        <x:v>C020</x:v>
      </x:c>
      <x:c r="C15" s="10" t="str">
        <x:v>סליחה על השאלה בערבית بلا مؤاخذة | אנשים עם עיוורון محدودو البصر</x:v>
      </x:c>
      <x:c r="D15" s="10" t="str">
        <x:v>Издатель обозначил выпуск как арабоязычный</x:v>
      </x:c>
      <x:c r="E15" s="9" t="str">
        <x:v>https://www.youtube.com/watch?v=TVTbxESUTOQ</x:v>
      </x:c>
    </x:row>
    <x:row r="16" ht="60" customHeight="1">
      <x:c r="A16" s="9" t="str">
        <x:v>YgdCEM3X8Iw</x:v>
      </x:c>
      <x:c r="B16" s="9" t="str">
        <x:v>C020</x:v>
      </x:c>
      <x:c r="C16" s="10" t="str">
        <x:v>סליחה על השאלה בערבית  بلا مؤاخذة | להט״ב المثلية الجنسية 🏳️‍🌈</x:v>
      </x:c>
      <x:c r="D16" s="10" t="str">
        <x:v>Издатель обозначил выпуск как арабоязычный</x:v>
      </x:c>
      <x:c r="E16" s="9" t="str">
        <x:v>https://www.youtube.com/watch?v=YgdCEM3X8Iw</x:v>
      </x:c>
    </x:row>
    <x:row r="17" ht="60" customHeight="1">
      <x:c r="A17" s="9" t="str">
        <x:v>EhgIz21Qy8U</x:v>
      </x:c>
      <x:c r="B17" s="9" t="str">
        <x:v>C020</x:v>
      </x:c>
      <x:c r="C17" s="10" t="str">
        <x:v>סליחה על השאלה בערבית بلا مؤاخذة | רצח נשים عائلات المغدورات</x:v>
      </x:c>
      <x:c r="D17" s="10" t="str">
        <x:v>Издатель обозначил выпуск как арабоязычный</x:v>
      </x:c>
      <x:c r="E17" s="9" t="str">
        <x:v>https://www.youtube.com/watch?v=EhgIz21Qy8U</x:v>
      </x:c>
    </x:row>
    <x:row r="18" ht="60" customHeight="1">
      <x:c r="A18" s="9" t="str">
        <x:v>xEYRG3OZpFQ</x:v>
      </x:c>
      <x:c r="B18" s="9" t="str">
        <x:v>C020</x:v>
      </x:c>
      <x:c r="C18" s="10" t="str">
        <x:v>סליחה על השאלה בערבית بلا مؤاخذة | שחורים سُمر البشرة</x:v>
      </x:c>
      <x:c r="D18" s="10" t="str">
        <x:v>Издатель обозначил выпуск как арабоязычный</x:v>
      </x:c>
      <x:c r="E18" s="9" t="str">
        <x:v>https://www.youtube.com/watch?v=xEYRG3OZpFQ</x:v>
      </x:c>
    </x:row>
    <x:row r="19" ht="60" customHeight="1">
      <x:c r="A19" s="9" t="str">
        <x:v>4bSG_wKOP9o</x:v>
      </x:c>
      <x:c r="B19" s="9" t="str">
        <x:v>C020</x:v>
      </x:c>
      <x:c r="C19" s="10" t="str">
        <x:v>סליחה על השאלה בערבית بلا مؤاخذة | דור ראשון למשפחות מעורבות الجيل الأول للعائلات المختلطة</x:v>
      </x:c>
      <x:c r="D19" s="10" t="str">
        <x:v>Издатель обозначил выпуск как арабоязычный</x:v>
      </x:c>
      <x:c r="E19" s="9" t="str">
        <x:v>https://www.youtube.com/watch?v=4bSG_wKOP9o</x:v>
      </x:c>
    </x:row>
    <x:row r="20" ht="60" customHeight="1">
      <x:c r="A20" s="9" t="str">
        <x:v>boPrzc214jA</x:v>
      </x:c>
      <x:c r="B20" s="9" t="str">
        <x:v>C020</x:v>
      </x:c>
      <x:c r="C20" s="10" t="str">
        <x:v>סליחה על השאלה בערבית بلا مؤاخذة | חירשים  ذوو الإعاقة السمعية</x:v>
      </x:c>
      <x:c r="D20" s="10" t="str">
        <x:v>Издатель обозначил выпуск как арабоязычный</x:v>
      </x:c>
      <x:c r="E20" s="9" t="str">
        <x:v>https://www.youtube.com/watch?v=boPrzc214jA</x:v>
      </x:c>
    </x:row>
    <x:row r="21" ht="60" customHeight="1">
      <x:c r="A21" s="9" t="str">
        <x:v>kzcdpDz7Fls</x:v>
      </x:c>
      <x:c r="B21" s="9" t="str">
        <x:v>C020</x:v>
      </x:c>
      <x:c r="C21" s="10" t="str">
        <x:v>סליחה על השאלה בערבית بلا مؤاخذة | נכים المقعدون والمقعدات</x:v>
      </x:c>
      <x:c r="D21" s="10" t="str">
        <x:v>Издатель обозначил выпуск как арабоязычный</x:v>
      </x:c>
      <x:c r="E21" s="9" t="str">
        <x:v>https://www.youtube.com/watch?v=kzcdpDz7Fls</x:v>
      </x:c>
    </x:row>
    <x:row r="22" ht="60" customHeight="1">
      <x:c r="A22" s="9" t="str">
        <x:v>wIqEheD7Hik</x:v>
      </x:c>
      <x:c r="B22" s="9" t="str">
        <x:v>C020</x:v>
      </x:c>
      <x:c r="C22" s="10" t="str">
        <x:v>סליחה על השאלה בערבית بلا مؤاخذة | תרומת איברים التبرع بالأعضاء</x:v>
      </x:c>
      <x:c r="D22" s="10" t="str">
        <x:v>Издатель обозначил выпуск как арабоязычный</x:v>
      </x:c>
      <x:c r="E22" s="9" t="str">
        <x:v>https://www.youtube.com/watch?v=wIqEheD7Hik</x:v>
      </x:c>
    </x:row>
    <x:row r="23" ht="60" customHeight="1">
      <x:c r="A23" s="9" t="str">
        <x:v>wviC_guggS4</x:v>
      </x:c>
      <x:c r="B23" s="9" t="str">
        <x:v>C029</x:v>
      </x:c>
      <x:c r="C23" s="10" t="str">
        <x:v>Birth of a Conflict | Episode 1 – A Conflict Needs an Arena</x:v>
      </x:c>
      <x:c r="D23" s="10" t="str">
        <x:v>Заголовок не на иврите; основной язык не установлен</x:v>
      </x:c>
      <x:c r="E23" s="9" t="str">
        <x:v>https://www.youtube.com/watch?v=wviC_guggS4</x:v>
      </x:c>
    </x:row>
    <x:row r="24" ht="60" customHeight="1">
      <x:c r="A24" s="9" t="str">
        <x:v>upT5FFRTsy4</x:v>
      </x:c>
      <x:c r="B24" s="9" t="str">
        <x:v>C029</x:v>
      </x:c>
      <x:c r="C24" s="10" t="str">
        <x:v>Birth of a Conflict | Episode 2 – From Friends to Foes</x:v>
      </x:c>
      <x:c r="D24" s="10" t="str">
        <x:v>Заголовок не на иврите; основной язык не установлен</x:v>
      </x:c>
      <x:c r="E24" s="9" t="str">
        <x:v>https://www.youtube.com/watch?v=upT5FFRTsy4</x:v>
      </x:c>
    </x:row>
    <x:row r="25" ht="60" customHeight="1">
      <x:c r="A25" s="9" t="str">
        <x:v>EJ4zTBOO1N0</x:v>
      </x:c>
      <x:c r="B25" s="9" t="str">
        <x:v>C029</x:v>
      </x:c>
      <x:c r="C25" s="10" t="str">
        <x:v>Birth of a Conflict | Episode 3 – Falling Empires</x:v>
      </x:c>
      <x:c r="D25" s="10" t="str">
        <x:v>Заголовок не на иврите; основной язык не установлен</x:v>
      </x:c>
      <x:c r="E25" s="9" t="str">
        <x:v>https://www.youtube.com/watch?v=EJ4zTBOO1N0</x:v>
      </x:c>
    </x:row>
    <x:row r="26" ht="60" customHeight="1">
      <x:c r="A26" s="9" t="str">
        <x:v>Cewie9VQg1o</x:v>
      </x:c>
      <x:c r="B26" s="9" t="str">
        <x:v>C037</x:v>
      </x:c>
      <x:c r="C26" s="10" t="str"/>
      <x:c r="D26" s="10" t="str">
        <x:v>Заголовок не на иврите; основной язык не установлен</x:v>
      </x:c>
      <x:c r="E26" s="9" t="str">
        <x:v>https://www.youtube.com/watch?v=Cewie9VQg1o</x:v>
      </x:c>
    </x:row>
    <x:row r="27" ht="60" customHeight="1">
      <x:c r="A27" s="9" t="str">
        <x:v>iFmLiBmEbu8</x:v>
      </x:c>
      <x:c r="B27" s="9" t="str">
        <x:v>C040</x:v>
      </x:c>
      <x:c r="C27" s="10" t="str">
        <x:v>October Diaries</x:v>
      </x:c>
      <x:c r="D27" s="10" t="str">
        <x:v>Заголовок не на иврите; основной язык не установлен</x:v>
      </x:c>
      <x:c r="E27" s="9" t="str">
        <x:v>https://www.youtube.com/watch?v=iFmLiBmEbu8</x:v>
      </x:c>
    </x:row>
    <x:row r="28" ht="60" customHeight="1">
      <x:c r="A28" s="9" t="str">
        <x:v>MS4H6aRWx0M</x:v>
      </x:c>
      <x:c r="B28" s="9" t="str">
        <x:v>C043</x:v>
      </x:c>
      <x:c r="C28" s="10" t="str"/>
      <x:c r="D28" s="10" t="str">
        <x:v>Заголовок не на иврите; основной язык не установлен</x:v>
      </x:c>
      <x:c r="E28" s="9" t="str">
        <x:v>https://www.youtube.com/watch?v=MS4H6aRWx0M</x:v>
      </x:c>
    </x:row>
    <x:row r="29" ht="60" customHeight="1">
      <x:c r="A29" s="9" t="str">
        <x:v>mYG0yx6aTQs</x:v>
      </x:c>
      <x:c r="B29" s="9" t="str">
        <x:v>C043</x:v>
      </x:c>
      <x:c r="C29" s="10" t="str"/>
      <x:c r="D29" s="10" t="str">
        <x:v>Заголовок не на иврите; основной язык не установлен</x:v>
      </x:c>
      <x:c r="E29" s="9" t="str">
        <x:v>https://www.youtube.com/watch?v=mYG0yx6aTQs</x:v>
      </x:c>
    </x:row>
    <x:row r="30" ht="60" customHeight="1">
      <x:c r="A30" s="9" t="str">
        <x:v>8D62hQ1Zp-Y</x:v>
      </x:c>
      <x:c r="B30" s="9" t="str">
        <x:v>C044</x:v>
      </x:c>
      <x:c r="C30" s="10" t="str"/>
      <x:c r="D30" s="10" t="str">
        <x:v>Заголовок не на иврите; основной язык не установлен</x:v>
      </x:c>
      <x:c r="E30" s="9" t="str">
        <x:v>https://www.youtube.com/watch?v=8D62hQ1Zp-Y</x:v>
      </x:c>
    </x:row>
    <x:row r="31" ht="60" customHeight="1">
      <x:c r="A31" s="9" t="str">
        <x:v>nGABs4lV1BQ</x:v>
      </x:c>
      <x:c r="B31" s="9" t="str">
        <x:v>C044</x:v>
      </x:c>
      <x:c r="C31" s="10" t="str"/>
      <x:c r="D31" s="10" t="str">
        <x:v>Заголовок не на иврите; основной язык не установлен</x:v>
      </x:c>
      <x:c r="E31" s="9" t="str">
        <x:v>https://www.youtube.com/watch?v=nGABs4lV1BQ</x:v>
      </x:c>
    </x:row>
    <x:row r="32" ht="60" customHeight="1">
      <x:c r="A32" s="9" t="str">
        <x:v>S1vnzMdNuWU</x:v>
      </x:c>
      <x:c r="B32" s="9" t="str">
        <x:v>C044</x:v>
      </x:c>
      <x:c r="C32" s="10" t="str">
        <x:v>What is the origin of the idea that Jews used the blood of Christian children to make matzah?</x:v>
      </x:c>
      <x:c r="D32" s="10" t="str">
        <x:v>Заголовок не на иврите; основной язык не установлен</x:v>
      </x:c>
      <x:c r="E32" s="9" t="str">
        <x:v>https://www.youtube.com/watch?v=S1vnzMdNuWU</x:v>
      </x:c>
    </x:row>
    <x:row r="33" ht="60" customHeight="1">
      <x:c r="A33" s="9" t="str">
        <x:v>KXA7Aj0EkAY</x:v>
      </x:c>
      <x:c r="B33" s="9" t="str">
        <x:v>C045</x:v>
      </x:c>
      <x:c r="C33" s="10" t="str"/>
      <x:c r="D33" s="10" t="str">
        <x:v>Заголовок не на иврите; основной язык не установлен</x:v>
      </x:c>
      <x:c r="E33" s="9" t="str">
        <x:v>https://www.youtube.com/watch?v=KXA7Aj0EkAY</x:v>
      </x:c>
    </x:row>
    <x:row r="34" ht="60" customHeight="1">
      <x:c r="A34" s="9" t="str">
        <x:v>g70VyX7jnYM</x:v>
      </x:c>
      <x:c r="B34" s="9" t="str">
        <x:v>C052</x:v>
      </x:c>
      <x:c r="C34" s="10" t="str">
        <x:v>KAN 7.10 360 - Digital memorial project</x:v>
      </x:c>
      <x:c r="D34" s="10" t="str">
        <x:v>Заголовок не на иврите; основной язык не установлен</x:v>
      </x:c>
      <x:c r="E34" s="9" t="str">
        <x:v>https://www.youtube.com/watch?v=g70VyX7jnYM</x:v>
      </x:c>
    </x:row>
    <x:row r="35" ht="60" customHeight="1">
      <x:c r="A35" s="9" t="str">
        <x:v>MnbVhkXlR90</x:v>
      </x:c>
      <x:c r="B35" s="9" t="str">
        <x:v>C053</x:v>
      </x:c>
      <x:c r="C35" s="10" t="str">
        <x:v>כראמל 🐱 | מאחורי הקלעים🎬 - פרק 21</x:v>
      </x:c>
      <x:c r="D35" s="10" t="str">
        <x:v>Трейлер, промо или закулисье; не считается основным выпуском</x:v>
      </x:c>
      <x:c r="E35" s="9" t="str">
        <x:v>https://www.youtube.com/watch?v=MnbVhkXlR90</x:v>
      </x:c>
    </x:row>
    <x:row r="36" ht="60" customHeight="1">
      <x:c r="A36" s="9" t="str">
        <x:v>bmBnqOEx6FU</x:v>
      </x:c>
      <x:c r="B36" s="9" t="str">
        <x:v>C053</x:v>
      </x:c>
      <x:c r="C36" s="10" t="str">
        <x:v>כראמל 🐱 | מזימה אפלה😮 - הצצה מתוך פרק 1</x:v>
      </x:c>
      <x:c r="D36" s="10" t="str">
        <x:v>Трейлер, промо или закулисье; не считается основным выпуском</x:v>
      </x:c>
      <x:c r="E36" s="9" t="str">
        <x:v>https://www.youtube.com/watch?v=bmBnqOEx6FU</x:v>
      </x:c>
    </x:row>
    <x:row r="37" ht="60" customHeight="1">
      <x:c r="A37" s="9" t="str">
        <x:v>WF-yj6D5XZM</x:v>
      </x:c>
      <x:c r="B37" s="9" t="str">
        <x:v>C053</x:v>
      </x:c>
      <x:c r="C37" s="10" t="str">
        <x:v>כראמל 🐱 | פגשתי את החתול שלי❗️😮 - הצצה מתוך פרק 2</x:v>
      </x:c>
      <x:c r="D37" s="10" t="str">
        <x:v>Трейлер, промо или закулисье; не считается основным выпуском</x:v>
      </x:c>
      <x:c r="E37" s="9" t="str">
        <x:v>https://www.youtube.com/watch?v=WF-yj6D5XZM</x:v>
      </x:c>
    </x:row>
    <x:row r="38" ht="60" customHeight="1">
      <x:c r="A38" s="9" t="str">
        <x:v>BTsNWMU8ziU</x:v>
      </x:c>
      <x:c r="B38" s="9" t="str">
        <x:v>C053</x:v>
      </x:c>
      <x:c r="C38" s="10" t="str">
        <x:v>כראמל 🐱 | לא התכוונתי להרגיז את החתול שלך❗️😦 - הצצה מתוך פרק 3</x:v>
      </x:c>
      <x:c r="D38" s="10" t="str">
        <x:v>Трейлер, промо или закулисье; не считается основным выпуском</x:v>
      </x:c>
      <x:c r="E38" s="9" t="str">
        <x:v>https://www.youtube.com/watch?v=BTsNWMU8ziU</x:v>
      </x:c>
    </x:row>
    <x:row r="39" ht="60" customHeight="1">
      <x:c r="A39" s="9" t="str">
        <x:v>4hzhTlc93A4</x:v>
      </x:c>
      <x:c r="B39" s="9" t="str">
        <x:v>C053</x:v>
      </x:c>
      <x:c r="C39" s="10" t="str">
        <x:v>כראמל 🐱 | אני כבר לא אהיה שם❗️🥺 - הצצה מתוך פרק 4</x:v>
      </x:c>
      <x:c r="D39" s="10" t="str">
        <x:v>Трейлер, промо или закулисье; не считается основным выпуском</x:v>
      </x:c>
      <x:c r="E39" s="9" t="str">
        <x:v>https://www.youtube.com/watch?v=4hzhTlc93A4</x:v>
      </x:c>
    </x:row>
    <x:row r="40" ht="60" customHeight="1">
      <x:c r="A40" s="9" t="str">
        <x:v>gOY1fvwZKks</x:v>
      </x:c>
      <x:c r="B40" s="9" t="str">
        <x:v>C053</x:v>
      </x:c>
      <x:c r="C40" s="10" t="str">
        <x:v>כראמל 🐱 | מי הפושע❓🕵 - הצצה מתוך פרק 5</x:v>
      </x:c>
      <x:c r="D40" s="10" t="str">
        <x:v>Трейлер, промо или закулисье; не считается основным выпуском</x:v>
      </x:c>
      <x:c r="E40" s="9" t="str">
        <x:v>https://www.youtube.com/watch?v=gOY1fvwZKks</x:v>
      </x:c>
    </x:row>
    <x:row r="41" ht="60" customHeight="1">
      <x:c r="A41" s="9" t="str">
        <x:v>H4uGfOQvG4Q</x:v>
      </x:c>
      <x:c r="B41" s="9" t="str">
        <x:v>C053</x:v>
      </x:c>
      <x:c r="C41" s="10" t="str">
        <x:v>כראמל 🐱 | כנראה שהוא בחר בחוג קראטה🤨 - הצצה מתוך פרק 6</x:v>
      </x:c>
      <x:c r="D41" s="10" t="str">
        <x:v>Трейлер, промо или закулисье; не считается основным выпуском</x:v>
      </x:c>
      <x:c r="E41" s="9" t="str">
        <x:v>https://www.youtube.com/watch?v=H4uGfOQvG4Q</x:v>
      </x:c>
    </x:row>
    <x:row r="42" ht="60" customHeight="1">
      <x:c r="A42" s="9" t="str">
        <x:v>jGUx0yUYF7U</x:v>
      </x:c>
      <x:c r="B42" s="9" t="str">
        <x:v>C053</x:v>
      </x:c>
      <x:c r="C42" s="10" t="str">
        <x:v>כראמל 🐱 | הוא גנב לי את החתול😠 - הצצה מתוך פרק 7</x:v>
      </x:c>
      <x:c r="D42" s="10" t="str">
        <x:v>Трейлер, промо или закулисье; не считается основным выпуском</x:v>
      </x:c>
      <x:c r="E42" s="9" t="str">
        <x:v>https://www.youtube.com/watch?v=jGUx0yUYF7U</x:v>
      </x:c>
    </x:row>
    <x:row r="43" ht="60" customHeight="1">
      <x:c r="A43" s="9" t="str">
        <x:v>fQ3J7i8iERk</x:v>
      </x:c>
      <x:c r="B43" s="9" t="str">
        <x:v>C054</x:v>
      </x:c>
      <x:c r="C43" s="10" t="str">
        <x:v>שקשוקה | פרק 21 - מאחורי הקלעים</x:v>
      </x:c>
      <x:c r="D43" s="10" t="str">
        <x:v>Трейлер, промо или закулисье; не считается основным выпуском</x:v>
      </x:c>
      <x:c r="E43" s="9" t="str">
        <x:v>https://www.youtube.com/watch?v=fQ3J7i8iERk</x:v>
      </x:c>
    </x:row>
    <x:row r="44" ht="60" customHeight="1">
      <x:c r="A44" s="9" t="str">
        <x:v>Nhe3JhcpQ_I</x:v>
      </x:c>
      <x:c r="B44" s="9" t="str">
        <x:v>C054</x:v>
      </x:c>
      <x:c r="C44" s="10" t="str">
        <x:v>שקשוקה | יולי את בסדר? 🤔 | הצצה מתוך פרק 2</x:v>
      </x:c>
      <x:c r="D44" s="10" t="str">
        <x:v>Трейлер, промо или закулисье; не считается основным выпуском</x:v>
      </x:c>
      <x:c r="E44" s="9" t="str">
        <x:v>https://www.youtube.com/watch?v=Nhe3JhcpQ_I</x:v>
      </x:c>
    </x:row>
    <x:row r="45" ht="60" customHeight="1">
      <x:c r="A45" s="9" t="str">
        <x:v>sWKFTfmDwKY</x:v>
      </x:c>
      <x:c r="B45" s="9" t="str">
        <x:v>C054</x:v>
      </x:c>
      <x:c r="C45" s="10" t="str">
        <x:v>שקשוקה | דותן המלך 👑 | הצצה מתוך פרק 3</x:v>
      </x:c>
      <x:c r="D45" s="10" t="str">
        <x:v>Трейлер, промо или закулисье; не считается основным выпуском</x:v>
      </x:c>
      <x:c r="E45" s="9" t="str">
        <x:v>https://www.youtube.com/watch?v=sWKFTfmDwKY</x:v>
      </x:c>
    </x:row>
    <x:row r="46" ht="60" customHeight="1">
      <x:c r="A46" s="9" t="str">
        <x:v>JRbws35GewI</x:v>
      </x:c>
      <x:c r="B46" s="9" t="str">
        <x:v>C054</x:v>
      </x:c>
      <x:c r="C46" s="10" t="str">
        <x:v>שקשוקה | מעריצה מספר 1 😍 | הצצה מתוך פרק 4</x:v>
      </x:c>
      <x:c r="D46" s="10" t="str">
        <x:v>Трейлер, промо или закулисье; не считается основным выпуском</x:v>
      </x:c>
      <x:c r="E46" s="9" t="str">
        <x:v>https://www.youtube.com/watch?v=JRbws35GewI</x:v>
      </x:c>
    </x:row>
    <x:row r="47" ht="60" customHeight="1">
      <x:c r="A47" s="9" t="str">
        <x:v>llUvCDjVbNc</x:v>
      </x:c>
      <x:c r="B47" s="9" t="str">
        <x:v>C055</x:v>
      </x:c>
      <x:c r="C47" s="10" t="str">
        <x:v>ילדי בית העץ עונה 3 | פספוסים 😂</x:v>
      </x:c>
      <x:c r="D47" s="10" t="str">
        <x:v>Трейлер, промо или закулисье; не считается основным выпуском</x:v>
      </x:c>
      <x:c r="E47" s="9" t="str">
        <x:v>https://www.youtube.com/watch?v=llUvCDjVbNc</x:v>
      </x:c>
    </x:row>
    <x:row r="48" ht="60" customHeight="1">
      <x:c r="A48" s="9" t="str">
        <x:v>Jj7arMwSXRY</x:v>
      </x:c>
      <x:c r="B48" s="9" t="str">
        <x:v>C055</x:v>
      </x:c>
      <x:c r="C48" s="10" t="str">
        <x:v>ילדי בית העץ עונה 3 | צו הריסה 🚫 | הצצה מתוך פרק סיום העונה</x:v>
      </x:c>
      <x:c r="D48" s="10" t="str">
        <x:v>Трейлер, промо или закулисье; не считается основным выпуском</x:v>
      </x:c>
      <x:c r="E48" s="9" t="str">
        <x:v>https://www.youtube.com/watch?v=Jj7arMwSXRY</x:v>
      </x:c>
    </x:row>
    <x:row r="49" ht="60" customHeight="1">
      <x:c r="A49" s="9" t="str">
        <x:v>PEX9yMz4D6k</x:v>
      </x:c>
      <x:c r="B49" s="9" t="str">
        <x:v>C055</x:v>
      </x:c>
      <x:c r="C49" s="10" t="str">
        <x:v>ילדי בית העץ עונה 3 | מעצבניג'ס | הצצה מתוך פרק 29</x:v>
      </x:c>
      <x:c r="D49" s="10" t="str">
        <x:v>Трейлер, промо или закулисье; не считается основным выпуском</x:v>
      </x:c>
      <x:c r="E49" s="9" t="str">
        <x:v>https://www.youtube.com/watch?v=PEX9yMz4D6k</x:v>
      </x:c>
    </x:row>
    <x:row r="50" ht="60" customHeight="1">
      <x:c r="A50" s="9" t="str">
        <x:v>GjEbk7mJ7qQ</x:v>
      </x:c>
      <x:c r="B50" s="9" t="str">
        <x:v>C055</x:v>
      </x:c>
      <x:c r="C50" s="10" t="str">
        <x:v>ילדי בית העץ עונה 3 | מה אם כולנו היינו רובוטים? 🤔 | הצצה מתוך פרק 28</x:v>
      </x:c>
      <x:c r="D50" s="10" t="str">
        <x:v>Трейлер, промо или закулисье; не считается основным выпуском</x:v>
      </x:c>
      <x:c r="E50" s="9" t="str">
        <x:v>https://www.youtube.com/watch?v=GjEbk7mJ7qQ</x:v>
      </x:c>
    </x:row>
    <x:row r="51" ht="60" customHeight="1">
      <x:c r="A51" s="9" t="str">
        <x:v>ajmJx2nJX54</x:v>
      </x:c>
      <x:c r="B51" s="9" t="str">
        <x:v>C055</x:v>
      </x:c>
      <x:c r="C51" s="10" t="str">
        <x:v>ילדי בית העץ עונה 3 | לירי המגזימה | הצצה מתוך פרק 27</x:v>
      </x:c>
      <x:c r="D51" s="10" t="str">
        <x:v>Трейлер, промо или закулисье; не считается основным выпуском</x:v>
      </x:c>
      <x:c r="E51" s="9" t="str">
        <x:v>https://www.youtube.com/watch?v=ajmJx2nJX54</x:v>
      </x:c>
    </x:row>
    <x:row r="52" ht="60" customHeight="1">
      <x:c r="A52" s="9" t="str">
        <x:v>3HcPdD4RKBU</x:v>
      </x:c>
      <x:c r="B52" s="9" t="str">
        <x:v>C055</x:v>
      </x:c>
      <x:c r="C52" s="10" t="str">
        <x:v>ילדי בית העץ עונה 3 | טלילה דרמה קווין 👑| הצצה מתוך פרק 26</x:v>
      </x:c>
      <x:c r="D52" s="10" t="str">
        <x:v>Трейлер, промо или закулисье; не считается основным выпуском</x:v>
      </x:c>
      <x:c r="E52" s="9" t="str">
        <x:v>https://www.youtube.com/watch?v=3HcPdD4RKBU</x:v>
      </x:c>
    </x:row>
    <x:row r="53" ht="60" customHeight="1">
      <x:c r="A53" s="9" t="str">
        <x:v>6U-DST2-s-k</x:v>
      </x:c>
      <x:c r="B53" s="9" t="str">
        <x:v>C055</x:v>
      </x:c>
      <x:c r="C53" s="10" t="str">
        <x:v>ילדי בית העץ עונה 3 | טלילה מחוללת סדר מבולגן | הצצה מתוך פרק 25</x:v>
      </x:c>
      <x:c r="D53" s="10" t="str">
        <x:v>Трейлер, промо или закулисье; не считается основным выпуском</x:v>
      </x:c>
      <x:c r="E53" s="9" t="str">
        <x:v>https://www.youtube.com/watch?v=6U-DST2-s-k</x:v>
      </x:c>
    </x:row>
    <x:row r="54" ht="60" customHeight="1">
      <x:c r="A54" s="9" t="str">
        <x:v>Y3uUDjX5wDs</x:v>
      </x:c>
      <x:c r="B54" s="9" t="str">
        <x:v>C055</x:v>
      </x:c>
      <x:c r="C54" s="10" t="str">
        <x:v>ילדי בית העץ עונה 3 | ירח 🌙, שמש ☀ או מאדים? | הצצה מתוך פרק 24</x:v>
      </x:c>
      <x:c r="D54" s="10" t="str">
        <x:v>Трейлер, промо или закулисье; не считается основным выпуском</x:v>
      </x:c>
      <x:c r="E54" s="9" t="str">
        <x:v>https://www.youtube.com/watch?v=Y3uUDjX5wDs</x:v>
      </x:c>
    </x:row>
    <x:row r="55" ht="60" customHeight="1">
      <x:c r="A55" s="9" t="str">
        <x:v>pqKKOCPiRQI</x:v>
      </x:c>
      <x:c r="B55" s="9" t="str">
        <x:v>C055</x:v>
      </x:c>
      <x:c r="C55" s="10" t="str">
        <x:v>ילדי בית העץ עונה 3 | אסור לגעת 🚫 | הצצה מתוך פרק 23</x:v>
      </x:c>
      <x:c r="D55" s="10" t="str">
        <x:v>Трейлер, промо или закулисье; не считается основным выпуском</x:v>
      </x:c>
      <x:c r="E55" s="9" t="str">
        <x:v>https://www.youtube.com/watch?v=pqKKOCPiRQI</x:v>
      </x:c>
    </x:row>
    <x:row r="56" ht="60" customHeight="1">
      <x:c r="A56" s="9" t="str">
        <x:v>wiQOK-HIY4o</x:v>
      </x:c>
      <x:c r="B56" s="9" t="str">
        <x:v>C055</x:v>
      </x:c>
      <x:c r="C56" s="10" t="str">
        <x:v>ילדי בית העץ עונה 3 | מפלצת קניות 🛍 | הצצה מתוך פרק 22</x:v>
      </x:c>
      <x:c r="D56" s="10" t="str">
        <x:v>Трейлер, промо или закулисье; не считается основным выпуском</x:v>
      </x:c>
      <x:c r="E56" s="9" t="str">
        <x:v>https://www.youtube.com/watch?v=wiQOK-HIY4o</x:v>
      </x:c>
    </x:row>
    <x:row r="57" ht="60" customHeight="1">
      <x:c r="A57" s="9" t="str">
        <x:v>6G2IvUAhrs0</x:v>
      </x:c>
      <x:c r="B57" s="9" t="str">
        <x:v>C055</x:v>
      </x:c>
      <x:c r="C57" s="10" t="str">
        <x:v>ילדי בית העץ עונה 3 | היצירה של נגה 🎨 | הצצה מתוך פרק 21</x:v>
      </x:c>
      <x:c r="D57" s="10" t="str">
        <x:v>Трейлер, промо или закулисье; не считается основным выпуском</x:v>
      </x:c>
      <x:c r="E57" s="9" t="str">
        <x:v>https://www.youtube.com/watch?v=6G2IvUAhrs0</x:v>
      </x:c>
    </x:row>
    <x:row r="58" ht="60" customHeight="1">
      <x:c r="A58" s="9" t="str">
        <x:v>ynlcZier1Bc</x:v>
      </x:c>
      <x:c r="B58" s="9" t="str">
        <x:v>C055</x:v>
      </x:c>
      <x:c r="C58" s="10" t="str">
        <x:v>ילדי בית העץ עונה 3 | המלך אמר שזה לא מעפן 👑| הצצה מתוך פרק 20</x:v>
      </x:c>
      <x:c r="D58" s="10" t="str">
        <x:v>Трейлер, промо или закулисье; не считается основным выпуском</x:v>
      </x:c>
      <x:c r="E58" s="9" t="str">
        <x:v>https://www.youtube.com/watch?v=ynlcZier1Bc</x:v>
      </x:c>
    </x:row>
    <x:row r="59" ht="60" customHeight="1">
      <x:c r="A59" s="9" t="str">
        <x:v>ax84CS4Beig</x:v>
      </x:c>
      <x:c r="B59" s="9" t="str">
        <x:v>C057</x:v>
      </x:c>
      <x:c r="C59" s="10" t="str">
        <x:v>סליחה על השאלה ילדים 3 | מה זה אומר שנולדת מתרומת זרע❓ - הצצה מתוך פרק 1</x:v>
      </x:c>
      <x:c r="D59" s="10" t="str">
        <x:v>Трейлер, промо или закулисье; не считается основным выпуском</x:v>
      </x:c>
      <x:c r="E59" s="9" t="str">
        <x:v>https://www.youtube.com/watch?v=ax84CS4Beig</x:v>
      </x:c>
    </x:row>
    <x:row r="60" ht="60" customHeight="1">
      <x:c r="A60" s="9" t="str">
        <x:v>9L17gTAFiOA</x:v>
      </x:c>
      <x:c r="B60" s="9" t="str">
        <x:v>C057</x:v>
      </x:c>
      <x:c r="C60" s="10" t="str">
        <x:v>סליחה על השאלה ילדים 3 | מה קרה לך❓ - הצצה מתוך פרק 2</x:v>
      </x:c>
      <x:c r="D60" s="10" t="str">
        <x:v>Трейлер, промо или закулисье; не считается основным выпуском</x:v>
      </x:c>
      <x:c r="E60" s="9" t="str">
        <x:v>https://www.youtube.com/watch?v=9L17gTAFiOA</x:v>
      </x:c>
    </x:row>
    <x:row r="61" ht="60" customHeight="1">
      <x:c r="A61" s="9" t="str">
        <x:v>5GNhxNOlYXg</x:v>
      </x:c>
      <x:c r="B61" s="9" t="str">
        <x:v>C057</x:v>
      </x:c>
      <x:c r="C61" s="10" t="str">
        <x:v>סליחה על השאלה ילדים 3 | נשר לך השיער❓ - הצצה מתוך פרק 3</x:v>
      </x:c>
      <x:c r="D61" s="10" t="str">
        <x:v>Трейлер, промо или закулисье; не считается основным выпуском</x:v>
      </x:c>
      <x:c r="E61" s="9" t="str">
        <x:v>https://www.youtube.com/watch?v=5GNhxNOlYXg</x:v>
      </x:c>
    </x:row>
    <x:row r="62" ht="60" customHeight="1">
      <x:c r="A62" s="9" t="str">
        <x:v>J2iHQQsysEM</x:v>
      </x:c>
      <x:c r="B62" s="9" t="str">
        <x:v>C057</x:v>
      </x:c>
      <x:c r="C62" s="10" t="str">
        <x:v>סליחה על השאלה ילדים 3 | רצית לעבוד❓ - הצצה מתוך פרק 4</x:v>
      </x:c>
      <x:c r="D62" s="10" t="str">
        <x:v>Трейлер, промо или закулисье; не считается основным выпуском</x:v>
      </x:c>
      <x:c r="E62" s="9" t="str">
        <x:v>https://www.youtube.com/watch?v=J2iHQQsysEM</x:v>
      </x:c>
    </x:row>
    <x:row r="63" ht="60" customHeight="1">
      <x:c r="A63" s="9" t="str">
        <x:v>lnaxj9qDET0</x:v>
      </x:c>
      <x:c r="B63" s="9" t="str">
        <x:v>C057</x:v>
      </x:c>
      <x:c r="C63" s="10" t="str">
        <x:v>סליחה על השאלה ילדים 3 | ההורים שלך תלויים בך❓ - הצצה מתוך פרק 5</x:v>
      </x:c>
      <x:c r="D63" s="10" t="str">
        <x:v>Трейлер, промо или закулисье; не считается основным выпуском</x:v>
      </x:c>
      <x:c r="E63" s="9" t="str">
        <x:v>https://www.youtube.com/watch?v=lnaxj9qDET0</x:v>
      </x:c>
    </x:row>
    <x:row r="64" ht="60" customHeight="1">
      <x:c r="A64" s="9" t="str">
        <x:v>yKE24rInZFE</x:v>
      </x:c>
      <x:c r="B64" s="9" t="str">
        <x:v>C057</x:v>
      </x:c>
      <x:c r="C64" s="10" t="str">
        <x:v>סליחה על השאלה ילדים 3 | יש גם יתרונות בכיסא גלגלים❗️ - הצצה מתוך פרק 5</x:v>
      </x:c>
      <x:c r="D64" s="10" t="str">
        <x:v>Трейлер, промо или закулисье; не считается основным выпуском</x:v>
      </x:c>
      <x:c r="E64" s="9" t="str">
        <x:v>https://www.youtube.com/watch?v=yKE24rInZFE</x:v>
      </x:c>
    </x:row>
    <x:row r="65" ht="60" customHeight="1">
      <x:c r="A65" s="9" t="str">
        <x:v>X_PuNevCsi8</x:v>
      </x:c>
      <x:c r="B65" s="9" t="str">
        <x:v>C057</x:v>
      </x:c>
      <x:c r="C65" s="10" t="str">
        <x:v>סליחה על השאלה ילדים 3 | קוראים לך גמד❓ - הצצה מתוך פרק 6</x:v>
      </x:c>
      <x:c r="D65" s="10" t="str">
        <x:v>Трейлер, промо или закулисье; не считается основным выпуском</x:v>
      </x:c>
      <x:c r="E65" s="9" t="str">
        <x:v>https://www.youtube.com/watch?v=X_PuNevCsi8</x:v>
      </x:c>
    </x:row>
    <x:row r="66" ht="60" customHeight="1">
      <x:c r="A66" s="9" t="str">
        <x:v>6xUfbaWjjww</x:v>
      </x:c>
      <x:c r="B66" s="9" t="str">
        <x:v>C057</x:v>
      </x:c>
      <x:c r="C66" s="10" t="str">
        <x:v>סליחה על השאלה ילדים 3 | עוצרים אתכם הרבה כשאתם הולכים ברחוב❓ - הצצה מתוך פרק 7</x:v>
      </x:c>
      <x:c r="D66" s="10" t="str">
        <x:v>Трейлер, промо или закулисье; не считается основным выпуском</x:v>
      </x:c>
      <x:c r="E66" s="9" t="str">
        <x:v>https://www.youtube.com/watch?v=6xUfbaWjjww</x:v>
      </x:c>
    </x:row>
    <x:row r="67" ht="60" customHeight="1">
      <x:c r="A67" s="9" t="str">
        <x:v>9wWwQOs-2sc</x:v>
      </x:c>
      <x:c r="B67" s="9" t="str">
        <x:v>C060</x:v>
      </x:c>
      <x:c r="C67" s="10" t="str">
        <x:v>How can you tell the difference between truth and lies on WhatsApp?</x:v>
      </x:c>
      <x:c r="D67" s="10" t="str">
        <x:v>Заголовок не на иврите; основной язык не установлен</x:v>
      </x:c>
      <x:c r="E67" s="9" t="str">
        <x:v>https://www.youtube.com/watch?v=9wWwQOs-2sc</x:v>
      </x:c>
    </x:row>
    <x:row r="68" ht="60" customHeight="1">
      <x:c r="A68" s="9" t="str">
        <x:v>7SqllXK5LOU</x:v>
      </x:c>
      <x:c r="B68" s="9" t="str">
        <x:v>C060</x:v>
      </x:c>
      <x:c r="C68" s="10" t="str">
        <x:v>What a Sweet Potato</x:v>
      </x:c>
      <x:c r="D68" s="10" t="str">
        <x:v>Заголовок не на иврите; основной язык не установлен</x:v>
      </x:c>
      <x:c r="E68" s="9" t="str">
        <x:v>https://www.youtube.com/watch?v=7SqllXK5LOU</x:v>
      </x:c>
    </x:row>
    <x:row r="69" ht="60" customHeight="1">
      <x:c r="A69" s="9" t="str">
        <x:v>cbHRh9f-PLs</x:v>
      </x:c>
      <x:c r="B69" s="9" t="str">
        <x:v>C060</x:v>
      </x:c>
      <x:c r="C69" s="10" t="str">
        <x:v>What is the "Internet of Things"?</x:v>
      </x:c>
      <x:c r="D69" s="10" t="str">
        <x:v>Заголовок не на иврите; основной язык не установлен</x:v>
      </x:c>
      <x:c r="E69" s="9" t="str">
        <x:v>https://www.youtube.com/watch?v=cbHRh9f-PLs</x:v>
      </x:c>
    </x:row>
    <x:row r="70" ht="60" customHeight="1">
      <x:c r="A70" s="9" t="str">
        <x:v>CRNiU-kizxw</x:v>
      </x:c>
      <x:c r="B70" s="9" t="str">
        <x:v>C060</x:v>
      </x:c>
      <x:c r="C70" s="10" t="str">
        <x:v>Dangerous air pressure</x:v>
      </x:c>
      <x:c r="D70" s="10" t="str">
        <x:v>Заголовок не на иврите; основной язык не установлен</x:v>
      </x:c>
      <x:c r="E70" s="9" t="str">
        <x:v>https://www.youtube.com/watch?v=CRNiU-kizxw</x:v>
      </x:c>
    </x:row>
    <x:row r="71" ht="60" customHeight="1">
      <x:c r="A71" s="9" t="str">
        <x:v>ms7iLTS0lHI</x:v>
      </x:c>
      <x:c r="B71" s="9" t="str">
        <x:v>C060</x:v>
      </x:c>
      <x:c r="C71" s="10" t="str">
        <x:v>Carbon-fiber composite materials - from a bicycle to an airplane</x:v>
      </x:c>
      <x:c r="D71" s="10" t="str">
        <x:v>Заголовок не на иврите; основной язык не установлен</x:v>
      </x:c>
      <x:c r="E71" s="9" t="str">
        <x:v>https://www.youtube.com/watch?v=ms7iLTS0lHI</x:v>
      </x:c>
    </x:row>
    <x:row r="72" ht="60" customHeight="1">
      <x:c r="A72" s="9" t="str">
        <x:v>HGYH9Snc5NY</x:v>
      </x:c>
      <x:c r="B72" s="9" t="str">
        <x:v>C060</x:v>
      </x:c>
      <x:c r="C72" s="10" t="str">
        <x:v>How do you darken a blind-less window</x:v>
      </x:c>
      <x:c r="D72" s="10" t="str">
        <x:v>Заголовок не на иврите; основной язык не установлен</x:v>
      </x:c>
      <x:c r="E72" s="9" t="str">
        <x:v>https://www.youtube.com/watch?v=HGYH9Snc5NY</x:v>
      </x:c>
    </x:row>
    <x:row r="73" ht="60" customHeight="1">
      <x:c r="A73" s="9" t="str">
        <x:v>5_d9Xwtd9VY</x:v>
      </x:c>
      <x:c r="B73" s="9" t="str">
        <x:v>C060</x:v>
      </x:c>
      <x:c r="C73" s="10" t="str">
        <x:v>When will the lockdown end?</x:v>
      </x:c>
      <x:c r="D73" s="10" t="str">
        <x:v>Заголовок не на иврите; основной язык не установлен</x:v>
      </x:c>
      <x:c r="E73" s="9" t="str">
        <x:v>https://www.youtube.com/watch?v=5_d9Xwtd9VY</x:v>
      </x:c>
    </x:row>
    <x:row r="74" ht="60" customHeight="1">
      <x:c r="A74" s="9" t="str">
        <x:v>WFwDzzGr3TE</x:v>
      </x:c>
      <x:c r="B74" s="9" t="str">
        <x:v>C079</x:v>
      </x:c>
      <x:c r="C74" s="10" t="str">
        <x:v>שנות ה-80 | אהבה זה כואב! פספוסים</x:v>
      </x:c>
      <x:c r="D74" s="10" t="str">
        <x:v>Трейлер, промо или закулисье; не считается основным выпуском</x:v>
      </x:c>
      <x:c r="E74" s="9" t="str">
        <x:v>https://www.youtube.com/watch?v=WFwDzzGr3TE</x:v>
      </x:c>
    </x:row>
    <x:row r="75" ht="60" customHeight="1">
      <x:c r="A75" s="9" t="str">
        <x:v>ISddThnKuJE</x:v>
      </x:c>
      <x:c r="B75" s="9" t="str">
        <x:v>C079</x:v>
      </x:c>
      <x:c r="C75" s="10" t="str"/>
      <x:c r="D75" s="10" t="str">
        <x:v>Заголовок не на иврите; основной язык не установлен</x:v>
      </x:c>
      <x:c r="E75" s="9" t="str">
        <x:v>https://www.youtube.com/watch?v=ISddThnKuJE</x:v>
      </x:c>
    </x:row>
    <x:row r="76" ht="60" customHeight="1">
      <x:c r="A76" s="9" t="str">
        <x:v>6v2xJwsYACc</x:v>
      </x:c>
      <x:c r="B76" s="9" t="str">
        <x:v>C079</x:v>
      </x:c>
      <x:c r="C76" s="10" t="str"/>
      <x:c r="D76" s="10" t="str">
        <x:v>Заголовок не на иврите; основной язык не установлен</x:v>
      </x:c>
      <x:c r="E76" s="9" t="str">
        <x:v>https://www.youtube.com/watch?v=6v2xJwsYACc</x:v>
      </x:c>
    </x:row>
    <x:row r="77" ht="60" customHeight="1">
      <x:c r="A77" s="9" t="str">
        <x:v>M3ZTIg2s6U8</x:v>
      </x:c>
      <x:c r="B77" s="9" t="str">
        <x:v>C081</x:v>
      </x:c>
      <x:c r="C77" s="10" t="str">
        <x:v>״תוך שבע שניות הפצצות פירקו את הבונקר״: מאחורי הקלעים של חיסול נסראללה</x:v>
      </x:c>
      <x:c r="D77" s="10" t="str">
        <x:v>Трейлер, промо или закулисье; не считается основным выпуском</x:v>
      </x:c>
      <x:c r="E77" s="9" t="str">
        <x:v>https://www.youtube.com/watch?v=M3ZTIg2s6U8</x:v>
      </x:c>
    </x:row>
    <x:row r="78" ht="60" customHeight="1">
      <x:c r="A78" s="9" t="str">
        <x:v>i87LF7viF6A</x:v>
      </x:c>
      <x:c r="B78" s="9" t="str">
        <x:v>C081</x:v>
      </x:c>
      <x:c r="C78" s="10" t="str">
        <x:v>"ביידן רתח על זה": בכירי הממשל האמריקני חושפים את מאחורי הקלעים של עיכוב משלוחי החימושים לישראל</x:v>
      </x:c>
      <x:c r="D78" s="10" t="str">
        <x:v>Трейлер, промо или закулисье; не считается основным выпуском</x:v>
      </x:c>
      <x:c r="E78" s="9" t="str">
        <x:v>https://www.youtube.com/watch?v=i87LF7viF6A</x:v>
      </x:c>
    </x:row>
    <x:row r="79" ht="60" customHeight="1">
      <x:c r="A79" s="9" t="str">
        <x:v>2oV4zGjXQqs</x:v>
      </x:c>
      <x:c r="B79" s="9" t="str">
        <x:v>C086</x:v>
      </x:c>
      <x:c r="C79" s="10" t="str">
        <x:v>The Junction | Silicon Valley's Quiet Antisemitism: The Algorithm's Secrets Revealed - Raz Koller</x:v>
      </x:c>
      <x:c r="D79" s="10" t="str">
        <x:v>Заголовок не на иврите; основной язык не установлен</x:v>
      </x:c>
      <x:c r="E79" s="9" t="str">
        <x:v>https://www.youtube.com/watch?v=2oV4zGjXQqs</x:v>
      </x:c>
    </x:row>
    <x:row r="80" ht="60" customHeight="1">
      <x:c r="A80" s="9" t="str">
        <x:v>1nEuy2Rd3ww</x:v>
      </x:c>
      <x:c r="B80" s="9" t="str">
        <x:v>C086</x:v>
      </x:c>
      <x:c r="C80" s="10" t="str">
        <x:v>Adi Carmi: Aviation Under Investigation, Israel Version</x:v>
      </x:c>
      <x:c r="D80" s="10" t="str">
        <x:v>Заголовок не на иврите; основной язык не установлен</x:v>
      </x:c>
      <x:c r="E80" s="9" t="str">
        <x:v>https://www.youtube.com/watch?v=1nEuy2Rd3ww</x:v>
      </x:c>
    </x:row>
    <x:row r="81" ht="60" customHeight="1">
      <x:c r="A81" s="9" t="str">
        <x:v>9fEgysXa4KU</x:v>
      </x:c>
      <x:c r="B81" s="9" t="str">
        <x:v>C086</x:v>
      </x:c>
      <x:c r="C81" s="10" t="str">
        <x:v>The Junction | From Yeshiva to the Lahav 433 Cyber Unit: How Talmudic Dialectics Make You an Exce...</x:v>
      </x:c>
      <x:c r="D81" s="10" t="str">
        <x:v>Заголовок не на иврите; основной язык не установлен</x:v>
      </x:c>
      <x:c r="E81" s="9" t="str">
        <x:v>https://www.youtube.com/watch?v=9fEgysXa4KU</x:v>
      </x:c>
    </x:row>
    <x:row r="82" ht="60" customHeight="1">
      <x:c r="A82" s="9" t="str">
        <x:v>K9C2Q_9THEo</x:v>
      </x:c>
      <x:c r="B82" s="9" t="str">
        <x:v>C086</x:v>
      </x:c>
      <x:c r="C82" s="10" t="str">
        <x:v>The Human Code #4 - How to Get People to Lower Their Guard</x:v>
      </x:c>
      <x:c r="D82" s="10" t="str">
        <x:v>Заголовок не на иврите; основной язык не установлен</x:v>
      </x:c>
      <x:c r="E82" s="9" t="str">
        <x:v>https://www.youtube.com/watch?v=K9C2Q_9THEo</x:v>
      </x:c>
    </x:row>
    <x:row r="83" ht="60" customHeight="1">
      <x:c r="A83" s="9" t="str">
        <x:v>7FkU-cvtLU8</x:v>
      </x:c>
      <x:c r="B83" s="9" t="str">
        <x:v>C086</x:v>
      </x:c>
      <x:c r="C83" s="10" t="str">
        <x:v>The Human Code #3 - Are stigmas a bad thing?</x:v>
      </x:c>
      <x:c r="D83" s="10" t="str">
        <x:v>Заголовок не на иврите; основной язык не установлен</x:v>
      </x:c>
      <x:c r="E83" s="9" t="str">
        <x:v>https://www.youtube.com/watch?v=7FkU-cvtLU8</x:v>
      </x:c>
    </x:row>
    <x:row r="84" ht="60" customHeight="1">
      <x:c r="A84" s="9" t="str">
        <x:v>4N_-A5VHp2I</x:v>
      </x:c>
      <x:c r="B84" s="9" t="str">
        <x:v>C086</x:v>
      </x:c>
      <x:c r="C84" s="10" t="str">
        <x:v>The Junction | The title is irrelevant, just listen to the man - Avida Bachar</x:v>
      </x:c>
      <x:c r="D84" s="10" t="str">
        <x:v>Заголовок не на иврите; основной язык не установлен</x:v>
      </x:c>
      <x:c r="E84" s="9" t="str">
        <x:v>https://www.youtube.com/watch?v=4N_-A5VHp2I</x:v>
      </x:c>
    </x:row>
    <x:row r="85" ht="60" customHeight="1">
      <x:c r="A85" s="9" t="str">
        <x:v>XMtumMKhlrk</x:v>
      </x:c>
      <x:c r="B85" s="9" t="str">
        <x:v>C086</x:v>
      </x:c>
      <x:c r="C85" s="10" t="str">
        <x:v>The Human Code #2 - Is There One Drive That Connects Us All?</x:v>
      </x:c>
      <x:c r="D85" s="10" t="str">
        <x:v>Заголовок не на иврите; основной язык не установлен</x:v>
      </x:c>
      <x:c r="E85" s="9" t="str">
        <x:v>https://www.youtube.com/watch?v=XMtumMKhlrk</x:v>
      </x:c>
    </x:row>
    <x:row r="86" ht="60" customHeight="1">
      <x:c r="A86" s="9" t="str">
        <x:v>jWPYu--cq48</x:v>
      </x:c>
      <x:c r="B86" s="9" t="str">
        <x:v>C086</x:v>
      </x:c>
      <x:c r="C86" s="10" t="str">
        <x:v>The Human Code #1 - The Agent Handler Revealed</x:v>
      </x:c>
      <x:c r="D86" s="10" t="str">
        <x:v>Заголовок не на иврите; основной язык не установлен</x:v>
      </x:c>
      <x:c r="E86" s="9" t="str">
        <x:v>https://www.youtube.com/watch?v=jWPYu--cq48</x:v>
      </x:c>
    </x:row>
    <x:row r="87" ht="60" customHeight="1">
      <x:c r="A87" s="9" t="str">
        <x:v>XneM8CcdoW0</x:v>
      </x:c>
      <x:c r="B87" s="9" t="str">
        <x:v>C086</x:v>
      </x:c>
      <x:c r="C87" s="10" t="str">
        <x:v>The Junction | From the Roman Empire to the KGB: I Discovered Surveillance Methods Haven't Change...</x:v>
      </x:c>
      <x:c r="D87" s="10" t="str">
        <x:v>Заголовок не на иврите; основной язык не установлен</x:v>
      </x:c>
      <x:c r="E87" s="9" t="str">
        <x:v>https://www.youtube.com/watch?v=XneM8CcdoW0</x:v>
      </x:c>
    </x:row>
    <x:row r="88" ht="60" customHeight="1">
      <x:c r="A88" s="9" t="str">
        <x:v>5q55yZbc4RU</x:v>
      </x:c>
      <x:c r="B88" s="9" t="str">
        <x:v>C086</x:v>
      </x:c>
      <x:c r="C88" s="10" t="str">
        <x:v>The Junction | A Personal Testimony from an Undercover Unit Fighter and Commander - Wafa Zima</x:v>
      </x:c>
      <x:c r="D88" s="10" t="str">
        <x:v>Заголовок не на иврите; основной язык не установлен</x:v>
      </x:c>
      <x:c r="E88" s="9" t="str">
        <x:v>https://www.youtube.com/watch?v=5q55yZbc4RU</x:v>
      </x:c>
    </x:row>
    <x:row r="89" ht="60" customHeight="1">
      <x:c r="A89" s="9" t="str">
        <x:v>ld3bdltOySA</x:v>
      </x:c>
      <x:c r="B89" s="9" t="str">
        <x:v>C086</x:v>
      </x:c>
      <x:c r="C89" s="10" t="str">
        <x:v>The Junction | Stories Never Told About Espionage, Covert Operations, and False Identities - Yari...</x:v>
      </x:c>
      <x:c r="D89" s="10" t="str">
        <x:v>Заголовок не на иврите; основной язык не установлен</x:v>
      </x:c>
      <x:c r="E89" s="9" t="str">
        <x:v>https://www.youtube.com/watch?v=ld3bdltOySA</x:v>
      </x:c>
    </x:row>
    <x:row r="90" ht="60" customHeight="1">
      <x:c r="A90" s="9" t="str">
        <x:v>xJ73J8i3kMU</x:v>
      </x:c>
      <x:c r="B90" s="9" t="str">
        <x:v>C086</x:v>
      </x:c>
      <x:c r="C90" s="10" t="str">
        <x:v>The Junction | Israel Needs "Arabists"! - Roi Serag</x:v>
      </x:c>
      <x:c r="D90" s="10" t="str">
        <x:v>Заголовок не на иврите; основной язык не установлен</x:v>
      </x:c>
      <x:c r="E90" s="9" t="str">
        <x:v>https://www.youtube.com/watch?v=xJ73J8i3kMU</x:v>
      </x:c>
    </x:row>
    <x:row r="91" ht="60" customHeight="1">
      <x:c r="A91" s="9" t="str">
        <x:v>YqcQ4raoOLM</x:v>
      </x:c>
      <x:c r="B91" s="9" t="str">
        <x:v>C086</x:v>
      </x:c>
      <x:c r="C91" s="10" t="str">
        <x:v>The Junction | The Silent Jihad, A War Without Borders – Dr. Mordechai Kedar (Part I)</x:v>
      </x:c>
      <x:c r="D91" s="10" t="str">
        <x:v>Заголовок не на иврите; основной язык не установлен</x:v>
      </x:c>
      <x:c r="E91" s="9" t="str">
        <x:v>https://www.youtube.com/watch?v=YqcQ4raoOLM</x:v>
      </x:c>
    </x:row>
    <x:row r="92" ht="60" customHeight="1">
      <x:c r="A92" s="9" t="str">
        <x:v>0wEKOXcWl00</x:v>
      </x:c>
      <x:c r="B92" s="9" t="str">
        <x:v>C086</x:v>
      </x:c>
      <x:c r="C92" s="10" t="str">
        <x:v>The Intersection | When journalism meets intelligence: How does a journalist use sources?</x:v>
      </x:c>
      <x:c r="D92" s="10" t="str">
        <x:v>Заголовок не на иврите; основной язык не установлен</x:v>
      </x:c>
      <x:c r="E92" s="9" t="str">
        <x:v>https://www.youtube.com/watch?v=0wEKOXcWl00</x:v>
      </x:c>
    </x:row>
    <x:row r="93" ht="60" customHeight="1">
      <x:c r="A93" s="9" t="str">
        <x:v>Ia-KqiDO1NE</x:v>
      </x:c>
      <x:c r="B93" s="9" t="str">
        <x:v>C086</x:v>
      </x:c>
      <x:c r="C93" s="10" t="str">
        <x:v>The Junction | Information Warfare and Psychological Operations in International Media - Idit Bar</x:v>
      </x:c>
      <x:c r="D93" s="10" t="str">
        <x:v>Заголовок не на иврите; основной язык не установлен</x:v>
      </x:c>
      <x:c r="E93" s="9" t="str">
        <x:v>https://www.youtube.com/watch?v=Ia-KqiDO1NE</x:v>
      </x:c>
    </x:row>
    <x:row r="94" ht="60" customHeight="1">
      <x:c r="A94" s="9" t="str">
        <x:v>ETz0NeUM8E4</x:v>
      </x:c>
      <x:c r="B94" s="9" t="str">
        <x:v>C086</x:v>
      </x:c>
      <x:c r="C94" s="10" t="str">
        <x:v>The Junction | Meeting a Legend: Yair Ravid Ravitz - Mossad, Lebanon, and the Stories You Haven't...</x:v>
      </x:c>
      <x:c r="D94" s="10" t="str">
        <x:v>Заголовок не на иврите; основной язык не установлен</x:v>
      </x:c>
      <x:c r="E94" s="9" t="str">
        <x:v>https://www.youtube.com/watch?v=ETz0NeUM8E4</x:v>
      </x:c>
    </x:row>
    <x:row r="95" ht="60" customHeight="1">
      <x:c r="A95" s="9" t="str">
        <x:v>VFffsGqwXFU</x:v>
      </x:c>
      <x:c r="B95" s="9" t="str">
        <x:v>C088</x:v>
      </x:c>
      <x:c r="C95" s="10" t="str">
        <x:v>Episode 138: CEO of the Bedouin Authority – We Have Stopped the Bedouin Snowball Effect</x:v>
      </x:c>
      <x:c r="D95" s="10" t="str">
        <x:v>Заголовок не на иврите; основной язык не установлен</x:v>
      </x:c>
      <x:c r="E95" s="9" t="str">
        <x:v>https://www.youtube.com/watch?v=VFffsGqwXFU</x:v>
      </x:c>
    </x:row>
    <x:row r="96" ht="60" customHeight="1">
      <x:c r="A96" s="9" t="str">
        <x:v>uJcseWnfSYo</x:v>
      </x:c>
      <x:c r="B96" s="9" t="str">
        <x:v>C088</x:v>
      </x:c>
      <x:c r="C96" s="10" t="str">
        <x:v>The Truth About the Muslim Brotherhood, Episode 6: Raed Salah’s Struggle Against the State of Isr...</x:v>
      </x:c>
      <x:c r="D96" s="10" t="str">
        <x:v>Заголовок не на иврите; основной язык не установлен</x:v>
      </x:c>
      <x:c r="E96" s="9" t="str">
        <x:v>https://www.youtube.com/watch?v=uJcseWnfSYo</x:v>
      </x:c>
    </x:row>
    <x:row r="97" ht="60" customHeight="1">
      <x:c r="A97" s="9" t="str">
        <x:v>JL5dcP0Jf5g</x:v>
      </x:c>
      <x:c r="B97" s="9" t="str">
        <x:v>C088</x:v>
      </x:c>
      <x:c r="C97" s="10" t="str">
        <x:v>The Truth About the Muslim Brotherhood, Episode 3: Hassan al-Banna and the Founding of the Moveme...</x:v>
      </x:c>
      <x:c r="D97" s="10" t="str">
        <x:v>Заголовок не на иврите; основной язык не установлен</x:v>
      </x:c>
      <x:c r="E97" s="9" t="str">
        <x:v>https://www.youtube.com/watch?v=JL5dcP0Jf5g</x:v>
      </x:c>
    </x:row>
    <x:row r="98" ht="60" customHeight="1">
      <x:c r="A98" s="9" t="str">
        <x:v>8TG4gVrW41E</x:v>
      </x:c>
      <x:c r="B98" s="9" t="str">
        <x:v>C088</x:v>
      </x:c>
      <x:c r="C98" s="10" t="str">
        <x:v>The Truth About the Muslim Brotherhood, Episode 2: The Birth of Fundamentalist Islam, Dr. Efraim ...</x:v>
      </x:c>
      <x:c r="D98" s="10" t="str">
        <x:v>Заголовок не на иврите; основной язык не установлен</x:v>
      </x:c>
      <x:c r="E98" s="9" t="str">
        <x:v>https://www.youtube.com/watch?v=8TG4gVrW41E</x:v>
      </x:c>
    </x:row>
    <x:row r="99" ht="60" customHeight="1">
      <x:c r="A99" s="9" t="str">
        <x:v>w8M2O5MQHfk</x:v>
      </x:c>
      <x:c r="B99" s="9" t="str">
        <x:v>C088</x:v>
      </x:c>
      <x:c r="C99" s="10" t="str">
        <x:v>Episode 137: The Truth About the "NZA" Film</x:v>
      </x:c>
      <x:c r="D99" s="10" t="str">
        <x:v>Заголовок не на иврите; основной язык не установлен</x:v>
      </x:c>
      <x:c r="E99" s="9" t="str">
        <x:v>https://www.youtube.com/watch?v=w8M2O5MQHfk</x:v>
      </x:c>
    </x:row>
    <x:row r="100" ht="60" customHeight="1">
      <x:c r="A100" s="9" t="str">
        <x:v>tW29T72Ca_k</x:v>
      </x:c>
      <x:c r="B100" s="9" t="str">
        <x:v>C088</x:v>
      </x:c>
      <x:c r="C100" s="10" t="str">
        <x:v>Episode 136: Deconstructing Ofer Winter's security doctrine</x:v>
      </x:c>
      <x:c r="D100" s="10" t="str">
        <x:v>Заголовок не на иврите; основной язык не установлен</x:v>
      </x:c>
      <x:c r="E100" s="9" t="str">
        <x:v>https://www.youtube.com/watch?v=tW29T72Ca_k</x:v>
      </x:c>
    </x:row>
    <x:row r="101" ht="60" customHeight="1">
      <x:c r="A101" s="9" t="str">
        <x:v>6qeu2uKYNxw</x:v>
      </x:c>
      <x:c r="B101" s="9" t="str">
        <x:v>C088</x:v>
      </x:c>
      <x:c r="C101" s="10" t="str">
        <x:v>Christopher Nolan's Moral Odyssey</x:v>
      </x:c>
      <x:c r="D101" s="10" t="str">
        <x:v>Заголовок не на иврите; основной язык не установлен</x:v>
      </x:c>
      <x:c r="E101" s="9" t="str">
        <x:v>https://www.youtube.com/watch?v=6qeu2uKYNxw</x:v>
      </x:c>
    </x:row>
    <x:row r="102" ht="60" customHeight="1">
      <x:c r="A102" s="9" t="str">
        <x:v>JFIeIgLNhgU</x:v>
      </x:c>
      <x:c r="B102" s="9" t="str">
        <x:v>C088</x:v>
      </x:c>
      <x:c r="C102" s="10" t="str">
        <x:v>The Case for Backroom Deals (Satire)</x:v>
      </x:c>
      <x:c r="D102" s="10" t="str">
        <x:v>Заголовок не на иврите; основной язык не установлен</x:v>
      </x:c>
      <x:c r="E102" s="9" t="str">
        <x:v>https://www.youtube.com/watch?v=JFIeIgLNhgU</x:v>
      </x:c>
    </x:row>
    <x:row r="103" ht="60" customHeight="1">
      <x:c r="A103" s="9" t="str">
        <x:v>LQo3kKlIkpY</x:v>
      </x:c>
      <x:c r="B103" s="9" t="str">
        <x:v>C088</x:v>
      </x:c>
      <x:c r="C103" s="10" t="str">
        <x:v>Trump's Secret Strategy (Satire)</x:v>
      </x:c>
      <x:c r="D103" s="10" t="str">
        <x:v>Заголовок не на иврите; основной язык не установлен</x:v>
      </x:c>
      <x:c r="E103" s="9" t="str">
        <x:v>https://www.youtube.com/watch?v=LQo3kKlIkpY</x:v>
      </x:c>
    </x:row>
    <x:row r="104" ht="60" customHeight="1">
      <x:c r="A104" s="9" t="str">
        <x:v>R-dj4js9GC8</x:v>
      </x:c>
      <x:c r="B104" s="9" t="str">
        <x:v>C088</x:v>
      </x:c>
      <x:c r="C104" s="10" t="str">
        <x:v>Episode 132: Yair Golan’s Political Fantasies</x:v>
      </x:c>
      <x:c r="D104" s="10" t="str">
        <x:v>Заголовок не на иврите; основной язык не установлен</x:v>
      </x:c>
      <x:c r="E104" s="9" t="str">
        <x:v>https://www.youtube.com/watch?v=R-dj4js9GC8</x:v>
      </x:c>
    </x:row>
    <x:row r="105" ht="60" customHeight="1">
      <x:c r="A105" s="9" t="str">
        <x:v>u9YtfWaGvQQ</x:v>
      </x:c>
      <x:c r="B105" s="9" t="str">
        <x:v>C088</x:v>
      </x:c>
      <x:c r="C105" s="10" t="str">
        <x:v>Episode 131: The Horrific Safed Massacre We Must Not Forget</x:v>
      </x:c>
      <x:c r="D105" s="10" t="str">
        <x:v>Заголовок не на иврите; основной язык не установлен</x:v>
      </x:c>
      <x:c r="E105" s="9" t="str">
        <x:v>https://www.youtube.com/watch?v=u9YtfWaGvQQ</x:v>
      </x:c>
    </x:row>
    <x:row r="106" ht="60" customHeight="1">
      <x:c r="A106" s="9" t="str">
        <x:v>LTmr_0uNh80</x:v>
      </x:c>
      <x:c r="B106" s="9" t="str">
        <x:v>C088</x:v>
      </x:c>
      <x:c r="C106" s="10" t="str">
        <x:v>The Bigman War Lessons Committee (Satire)</x:v>
      </x:c>
      <x:c r="D106" s="10" t="str">
        <x:v>Заголовок не на иврите; основной язык не установлен</x:v>
      </x:c>
      <x:c r="E106" s="9" t="str">
        <x:v>https://www.youtube.com/watch?v=LTmr_0uNh80</x:v>
      </x:c>
    </x:row>
    <x:row r="107" ht="60" customHeight="1">
      <x:c r="A107" s="9" t="str">
        <x:v>RMlSxPthkIs</x:v>
      </x:c>
      <x:c r="B107" s="9" t="str">
        <x:v>C088</x:v>
      </x:c>
      <x:c r="C107" s="10" t="str">
        <x:v>Loving Israel – Helping the Arabs (Satire)</x:v>
      </x:c>
      <x:c r="D107" s="10" t="str">
        <x:v>Заголовок не на иврите; основной язык не установлен</x:v>
      </x:c>
      <x:c r="E107" s="9" t="str">
        <x:v>https://www.youtube.com/watch?v=RMlSxPthkIs</x:v>
      </x:c>
    </x:row>
    <x:row r="108" ht="60" customHeight="1">
      <x:c r="A108" s="9" t="str">
        <x:v>sXInT0TPkJI</x:v>
      </x:c>
      <x:c r="B108" s="9" t="str">
        <x:v>C088</x:v>
      </x:c>
      <x:c r="C108" s="10" t="str">
        <x:v>Exposed: Who Is Behind Post-Zionist Planning?</x:v>
      </x:c>
      <x:c r="D108" s="10" t="str">
        <x:v>Заголовок не на иврите; основной язык не установлен</x:v>
      </x:c>
      <x:c r="E108" s="9" t="str">
        <x:v>https://www.youtube.com/watch?v=sXInT0TPkJI</x:v>
      </x:c>
    </x:row>
    <x:row r="109" ht="60" customHeight="1">
      <x:c r="A109" s="9" t="str">
        <x:v>DwKp8WQTjyE</x:v>
      </x:c>
      <x:c r="B109" s="9" t="str">
        <x:v>C088</x:v>
      </x:c>
      <x:c r="C109" s="10" t="str">
        <x:v>Episode 128: The Dangerous Concept Regarding War with Egypt</x:v>
      </x:c>
      <x:c r="D109" s="10" t="str">
        <x:v>Заголовок не на иврите; основной язык не установлен</x:v>
      </x:c>
      <x:c r="E109" s="9" t="str">
        <x:v>https://www.youtube.com/watch?v=DwKp8WQTjyE</x:v>
      </x:c>
    </x:row>
    <x:row r="110" ht="60" customHeight="1">
      <x:c r="A110" s="9" t="str">
        <x:v>8RKYsllIdws</x:v>
      </x:c>
      <x:c r="B110" s="9" t="str">
        <x:v>C088</x:v>
      </x:c>
      <x:c r="C110" s="10" t="str">
        <x:v>The Arab Real Estate Lie Industry</x:v>
      </x:c>
      <x:c r="D110" s="10" t="str">
        <x:v>Заголовок не на иврите; основной язык не установлен</x:v>
      </x:c>
      <x:c r="E110" s="9" t="str">
        <x:v>https://www.youtube.com/watch?v=8RKYsllIdws</x:v>
      </x:c>
    </x:row>
    <x:row r="111" ht="60" customHeight="1">
      <x:c r="A111" s="9" t="str">
        <x:v>EOdzVkO2IpQ</x:v>
      </x:c>
      <x:c r="B111" s="9" t="str">
        <x:v>C088</x:v>
      </x:c>
      <x:c r="C111" s="10" t="str">
        <x:v>Barack Hussein Trump (Satire)</x:v>
      </x:c>
      <x:c r="D111" s="10" t="str">
        <x:v>Заголовок не на иврите; основной язык не установлен</x:v>
      </x:c>
      <x:c r="E111" s="9" t="str">
        <x:v>https://www.youtube.com/watch?v=EOdzVkO2IpQ</x:v>
      </x:c>
    </x:row>
    <x:row r="112" ht="60" customHeight="1">
      <x:c r="A112" s="9" t="str">
        <x:v>bNIcYf1O6Vo</x:v>
      </x:c>
      <x:c r="B112" s="9" t="str">
        <x:v>C088</x:v>
      </x:c>
      <x:c r="C112" s="10" t="str">
        <x:v>We Are All Sayeret Matkal Commandos on a Special Track (Satire)</x:v>
      </x:c>
      <x:c r="D112" s="10" t="str">
        <x:v>Заголовок не на иврите; основной язык не установлен</x:v>
      </x:c>
      <x:c r="E112" s="9" t="str">
        <x:v>https://www.youtube.com/watch?v=bNIcYf1O6Vo</x:v>
      </x:c>
    </x:row>
    <x:row r="113" ht="60" customHeight="1">
      <x:c r="A113" s="9" t="str">
        <x:v>WqYXEXBjIP4</x:v>
      </x:c>
      <x:c r="B113" s="9" t="str">
        <x:v>C088</x:v>
      </x:c>
      <x:c r="C113" s="10" t="str">
        <x:v>Episode 125: The Lebanon victory that no one talks about anymore</x:v>
      </x:c>
      <x:c r="D113" s="10" t="str">
        <x:v>Заголовок не на иврите; основной язык не установлен</x:v>
      </x:c>
      <x:c r="E113" s="9" t="str">
        <x:v>https://www.youtube.com/watch?v=WqYXEXBjIP4</x:v>
      </x:c>
    </x:row>
    <x:row r="114" ht="60" customHeight="1">
      <x:c r="A114" s="9" t="str">
        <x:v>WIPzts0ep7k</x:v>
      </x:c>
      <x:c r="B114" s="9" t="str">
        <x:v>C088</x:v>
      </x:c>
      <x:c r="C114" s="10" t="str">
        <x:v>When Bennett Begs (Satire)</x:v>
      </x:c>
      <x:c r="D114" s="10" t="str">
        <x:v>Заголовок не на иврите; основной язык не установлен</x:v>
      </x:c>
      <x:c r="E114" s="9" t="str">
        <x:v>https://www.youtube.com/watch?v=WIPzts0ep7k</x:v>
      </x:c>
    </x:row>
    <x:row r="115" ht="60" customHeight="1">
      <x:c r="A115" s="9" t="str">
        <x:v>ekuUaN0XrLo</x:v>
      </x:c>
      <x:c r="B115" s="9" t="str">
        <x:v>C088</x:v>
      </x:c>
      <x:c r="C115" s="10" t="str">
        <x:v>Episode 123: The Original Sin of the Intelligence Directorate</x:v>
      </x:c>
      <x:c r="D115" s="10" t="str">
        <x:v>Заголовок не на иврите; основной язык не установлен</x:v>
      </x:c>
      <x:c r="E115" s="9" t="str">
        <x:v>https://www.youtube.com/watch?v=ekuUaN0XrLo</x:v>
      </x:c>
    </x:row>
    <x:row r="116" ht="60" customHeight="1">
      <x:c r="A116" s="9" t="str">
        <x:v>7SqllXK5LOU</x:v>
      </x:c>
      <x:c r="B116" s="9" t="str">
        <x:v>C090</x:v>
      </x:c>
      <x:c r="C116" s="10" t="str">
        <x:v>What a Sweet Potato</x:v>
      </x:c>
      <x:c r="D116" s="10" t="str">
        <x:v>Заголовок не на иврите; основной язык не установлен</x:v>
      </x:c>
      <x:c r="E116" s="9" t="str">
        <x:v>https://www.youtube.com/watch?v=7SqllXK5LOU</x:v>
      </x:c>
    </x:row>
    <x:row r="117" ht="60" customHeight="1">
      <x:c r="A117" s="9" t="str">
        <x:v>YNx3GFNQihw</x:v>
      </x:c>
      <x:c r="B117" s="9" t="str">
        <x:v>C052</x:v>
      </x:c>
      <x:c r="C117" s="10" t="str">
        <x:v>"פאק, אנחנו בעזה" | העדות של דורון כץ אשר שנחטפה עם בנותיה</x:v>
      </x:c>
      <x:c r="D117" s="10" t="str">
        <x:v>Встраивание не подтверждено метаданными; вернуть после технической проверки</x:v>
      </x:c>
      <x:c r="E117" s="9" t="str">
        <x:v>https://www.youtube.com/watch?v=YNx3GFNQihw</x:v>
      </x:c>
    </x:row>
    <x:row r="118" ht="60" customHeight="1">
      <x:c r="A118" s="9" t="str">
        <x:v>AlRW-6DlLFY</x:v>
      </x:c>
      <x:c r="B118" s="9" t="str">
        <x:v>C079</x:v>
      </x:c>
      <x:c r="C118" s="10" t="str">
        <x:v>שנות ה-80 | שיעור צרפתית עם מורדי ומרסל</x:v>
      </x:c>
      <x:c r="D118" s="10" t="str">
        <x:v>Язык по метаданным отличается от HE: Основной язык по метаданным: fr</x:v>
      </x:c>
      <x:c r="E118" s="9" t="str">
        <x:v>https://www.youtube.com/watch?v=AlRW-6DlLFY</x:v>
      </x:c>
    </x:row>
  </x:sheetData>
  <x:pageMargins left="0.7" right="0.7" top="0.75" bottom="0.75" header="0.3" footer="0.3"/>
  <x:tableParts count="1">
    <x:tablePart xmlns:r="http://schemas.openxmlformats.org/officeDocument/2006/relationships" r:id="Rab8129c1df6f45b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108" hidden="0" customWidth="1"/>
    <x:col min="3" max="3" width="72" hidden="0" customWidth="1"/>
  </x:cols>
  <x:sheetData>
    <x:row r="2">
      <x:c r="A2" s="2" t="str">
        <x:v>Как читать данные и работать с выбором</x:v>
      </x:c>
      <x:c r="B2" s="1"/>
      <x:c r="C2" s="1"/>
    </x:row>
    <x:row r="3">
      <x:c r="A3" s="1"/>
      <x:c r="B3" s="1"/>
      <x:c r="C3" s="1"/>
    </x:row>
    <x:row r="4">
      <x:c r="A4" s="3"/>
      <x:c r="B4" s="3"/>
      <x:c r="C4" s="3"/>
    </x:row>
    <x:row r="5">
      <x:c r="A5" s="1"/>
      <x:c r="B5" s="1"/>
      <x:c r="C5" s="1"/>
    </x:row>
    <x:row r="6" ht="44" customHeight="1">
      <x:c r="A6" s="8" t="str">
        <x:v>Пункт</x:v>
      </x:c>
      <x:c r="B6" s="8" t="str">
        <x:v>Правило и границы доказательств</x:v>
      </x:c>
      <x:c r="C6" s="8" t="str">
        <x:v>Источник / место данных</x:v>
      </x:c>
    </x:row>
    <x:row r="7" ht="60" customHeight="1">
      <x:c r="A7" s="10" t="str">
        <x:v>Назначение</x:v>
      </x:c>
      <x:c r="B7" s="10" t="str">
        <x:v>Исследовательский реестр и предложенный план. Каждая дата — кандидат, а не утверждённая публикация. Редактор выбирает по теме, аудитории, формату и проверке конкретного выпуска.</x:v>
      </x:c>
      <x:c r="C7" s="10" t="str">
        <x:v>Исследовательское решение</x:v>
      </x:c>
    </x:row>
    <x:row r="8" ht="60" customHeight="1">
      <x:c r="A8" s="10" t="str">
        <x:v>Первичный источник</x:v>
      </x:c>
      <x:c r="B8" s="10" t="str">
        <x:v>Метаданные официальных YouTube-списков и отдельных видео получены 13.10.2026 без загрузки медиа. YouTube ID — ключ дедупликации. Ссылки и даты проверки находятся в реестре.</x:v>
      </x:c>
      <x:c r="C8" s="10" t="str">
        <x:v>yt-dlp 2026.08.19</x:v>
      </x:c>
    </x:row>
    <x:row r="9" ht="60" customHeight="1">
      <x:c r="A9" s="10" t="str">
        <x:v>Спрос аудитории</x:v>
      </x:c>
      <x:c r="B9" s="10" t="str">
        <x:v>Сегменты и мотивации — продуктовые гипотезы. Просмотры на YouTube показывают накопленный внешний интерес, а не спрос пользователей LinguistPro. Демография просмотров и доли сегментов неизвестны.</x:v>
      </x:c>
      <x:c r="C9" s="10" t="str">
        <x:v>Аналитика продукта не предоставлена</x:v>
      </x:c>
    </x:row>
    <x:row r="10" ht="60" customHeight="1">
      <x:c r="A10" s="10" t="str">
        <x:v>Сравнение популярности</x:v>
      </x:c>
      <x:c r="B10" s="10" t="str">
        <x:v>Сравнивать внутри цикла и формата. × медианы = округлённые просмотры строки / медиана исходной ограниченной выборки того же цикла. Медиана рассчитывается только при ≥5 метриках. Это не рыночный перцентиль и не тренд.</x:v>
      </x:c>
      <x:c r="C10" s="10" t="str">
        <x:v>Колонки J–L листа Видео</x:v>
      </x:c>
    </x:row>
    <x:row r="11" ht="60" customHeight="1">
      <x:c r="A11" s="10" t="str">
        <x:v>Точность просмотров</x:v>
      </x:c>
      <x:c r="B11" s="10" t="str">
        <x:v>Точный счётчик есть у записей с вторичной проверкой видео. Для остальных число получено из округлённого счётчика списка. Исходное округление сохраняется отдельно; оно не заменяется точным числом при расчёте × медианы.</x:v>
      </x:c>
      <x:c r="C11" s="10" t="str">
        <x:v>Колонки H–L листа Видео</x:v>
      </x:c>
    </x:row>
    <x:row r="12" ht="60" customHeight="1">
      <x:c r="A12" s="10" t="str">
        <x:v>Просмотры в день</x:v>
      </x:c>
      <x:c r="B12" s="10" t="str">
        <x:v>Просмотры / число дней от загрузки до даты среза. Это среднее за весь срок жизни, не прирост за 30/90 дней. Для записи без даты загрузки поле пустое. Не сравнивать новый и старый выпуск без контекста.</x:v>
      </x:c>
      <x:c r="C12" s="10" t="str">
        <x:v>Колонка AB листа Видео</x:v>
      </x:c>
    </x:row>
    <x:row r="13" ht="60" customHeight="1">
      <x:c r="A13" s="10" t="str">
        <x:v>Уровни языка</x:v>
      </x:c>
      <x:c r="B13" s="10" t="str">
        <x:v>A1–C1 — предварительная гипотеза по формату. Речь не прослушана массово; скорость, фон, акценты и плотность сленга могут изменить уровень. Уровень относится к выбранному фрагменту после проверки, не автоматически ко всему сериалу.</x:v>
      </x:c>
      <x:c r="C13" s="10" t="str">
        <x:v>Нужен редакторский просмотр</x:v>
      </x:c>
    </x:row>
    <x:row r="14" ht="60" customHeight="1">
      <x:c r="A14" s="10" t="str">
        <x:v>Основной язык</x:v>
      </x:c>
      <x:c r="B14" s="10" t="str">
        <x:v>Иврит в заголовке не доказывает язык речи. he/iw в метаданных — дополнительный сигнал, но всё равно проверить конкретный фрагмент. Иные языки по метаданным исключаются из предложенного календаря.</x:v>
      </x:c>
      <x:c r="C14" s="10" t="str">
        <x:v>Колонки X и AE листа Видео</x:v>
      </x:c>
    </x:row>
    <x:row r="15" ht="60" customHeight="1">
      <x:c r="A15" s="10" t="str">
        <x:v>Субтитры</x:v>
      </x:c>
      <x:c r="B15" s="10" t="str">
        <x:v>Дорожка HE по метаданным не подтверждает качество текста. Автоматическую дорожку проверить. Отсутствие дорожки не доказывает отсутствие вшитых титров. Вшитые титры, полный транскрипт и точность тайминга не проверены.</x:v>
      </x:c>
      <x:c r="C15" s="10" t="str">
        <x:v>Колонки Y и AF листа Видео</x:v>
      </x:c>
    </x:row>
    <x:row r="16" ht="60" customHeight="1">
      <x:c r="A16" s="10" t="str">
        <x:v>Воспроизведение</x:v>
      </x:c>
      <x:c r="B16" s="10" t="str">
        <x:v>Разрешённое встраивание по метаданным не является успешным проигрыванием в браузере и не доказывает доступ во всех странах. Проверить в целевой географии и приложении перед публикацией.</x:v>
      </x:c>
      <x:c r="C16" s="10" t="str">
        <x:v>https://support.google.com/youtube/answer/171780?hl=en</x:v>
      </x:c>
    </x:row>
    <x:row r="17" ht="60" customHeight="1">
      <x:c r="A17" s="10" t="str">
        <x:v>Основание использования</x:v>
      </x:c>
      <x:c r="B17" s="10" t="str">
        <x:v>Публичная ссылка и embed-флаг не подтверждают разрешение на отдельное распространение видео, перевода, полного транскрипта или учебного архива. В исследовании такие разрешения не получены. Зафиксировать проверенное основание конкретного использования.</x:v>
      </x:c>
      <x:c r="C17" s="10" t="str">
        <x:v>https://www.youtube.com/static?template=terms</x:v>
      </x:c>
    </x:row>
    <x:row r="18" ht="60" customHeight="1">
      <x:c r="A18" s="10" t="str">
        <x:v>Публичный каталог</x:v>
      </x:c>
      <x:c r="B18" s="10" t="str">
        <x:v>Анонимный read-only GET /api/mediatheque: 67 записей, revision 187. Совпадение только по media.videoId. Личные материалы и внутренние редакторские черновики не проверялись. Совпадения исключены из плана новых выпусков.</x:v>
      </x:c>
      <x:c r="C18" s="10" t="str">
        <x:v>https://linguistpro.kolosei.com/api/mediatheque</x:v>
      </x:c>
    </x:row>
    <x:row r="19" ht="60" customHeight="1">
      <x:c r="A19" s="10" t="str">
        <x:v>Готовность</x:v>
      </x:c>
      <x:c r="B19" s="10" t="str">
        <x:v>В листе Видео: решение Взять + пять Да: плеер, речь HE, текст/тайминг, основание использования, учебный пакет. Автоматическая проверка метаданных не заполняет эти поля. Запись Готово не публикует материал.</x:v>
      </x:c>
      <x:c r="C19" s="10" t="str">
        <x:v>Колонки AC–AI листа Видео</x:v>
      </x:c>
    </x:row>
    <x:row r="20" ht="60" customHeight="1">
      <x:c r="A20" s="10" t="str">
        <x:v>Работа с календарём</x:v>
      </x:c>
      <x:c r="B20" s="10" t="str">
        <x:v>Меняйте выбранный ID в жёлтой колонке D. Название, тема, длительность, ссылка и готовность подтянутся формулами. Резерв в L выбирается отдельно. Если меняете дату, вручную пересмотрите повод: праздничная привязка не переносится автоматически.</x:v>
      </x:c>
      <x:c r="C20" s="10" t="str">
        <x:v>Лист 365 дней</x:v>
      </x:c>
    </x:row>
    <x:row r="21" ht="60" customHeight="1">
      <x:c r="A21" s="10" t="str">
        <x:v>Сериалы</x:v>
      </x:c>
      <x:c r="B21" s="10" t="str">
        <x:v>Порядок — по номеру серии внутри выбранного сезона. Сериал отбирать блоком, проверяя доступность следующей серии. Резервное самостоятельное видео позволяет поставить ветку на паузу; нельзя незаметно перепрыгивать недоступный эпизод.</x:v>
      </x:c>
      <x:c r="C21" s="10" t="str">
        <x:v>Проверка порядка и полноты сезонов</x:v>
      </x:c>
    </x:row>
    <x:row r="22" ht="60" customHeight="1">
      <x:c r="A22" s="10" t="str">
        <x:v>Дневная сетка</x:v>
      </x:c>
      <x:c r="B22" s="10" t="str">
        <x:v>Вс и Чт — сериал; Пн — интервью; Вт — образование; Ср — повседневность; Пт — культура/история; Сб — общество. Даты поводов и ежемесячная добровольная рубрика памяти заменяют часть слотов. Это стартовая гипотеза, а не оптимизированная сетка.</x:v>
      </x:c>
      <x:c r="C22" s="10" t="str">
        <x:v>Решение исследования</x:v>
      </x:c>
    </x:row>
    <x:row r="23" ht="60" customHeight="1">
      <x:c r="A23" s="10" t="str">
        <x:v>Травматические темы</x:v>
      </x:c>
      <x:c r="B23" s="10" t="str">
        <x:v>Память 7 октября и Шоа — добровольная рубрика с предупреждением. До выбора смотрите выпуск целиком. Избегайте проверки памяти ученика на травматических деталях и сочетания тяжёлой истории с развлекательным автопереходом.</x:v>
      </x:c>
      <x:c r="C23" s="10" t="str">
        <x:v>Редакторская рекомендация</x:v>
      </x:c>
    </x:row>
    <x:row r="24" ht="60" customHeight="1">
      <x:c r="A24" s="10" t="str">
        <x:v>Разные взгляды</x:v>
      </x:c>
      <x:c r="B24" s="10" t="str">
        <x:v>Интервью и расследование показывают позицию автора/гостя. Фактическое утверждение требует отдельного источника; наличие разных каналов не создаёт автоматически сбалансированный исторический вывод.</x:v>
      </x:c>
      <x:c r="C24" s="10" t="str">
        <x:v>Редакторская рекомендация</x:v>
      </x:c>
    </x:row>
    <x:row r="25" ht="60" customHeight="1">
      <x:c r="A25" s="10" t="str">
        <x:v>Даты</x:v>
      </x:c>
      <x:c r="B25" s="10" t="str">
        <x:v>Еврейские праздники привязаны к календарю Израиля. Вечер начала отмечен явно. Гражданские памятные даты и ежемесячная периодичность имеют отдельную подпись.</x:v>
      </x:c>
      <x:c r="C25" s="10" t="str">
        <x:v>https://www.hebcal.com/holidays/2027?i=on</x:v>
      </x:c>
    </x:row>
    <x:row r="26" ht="60" customHeight="1">
      <x:c r="A26" s="10" t="str">
        <x:v>Полнота</x:v>
      </x:c>
      <x:c r="B26" s="10" t="str">
        <x:v>Подборки ограничены заданным лимитом. Не объявлять это исчерпывающим каталогом ивритоязычного YouTube. В частности, популярные коммерческие сериалы могут быть представлены только фрагментами.</x:v>
      </x:c>
      <x:c r="C26" s="10" t="str">
        <x:v>Колонки K–P листа Подборки</x:v>
      </x:c>
    </x:row>
    <x:row r="27" ht="60" customHeight="1">
      <x:c r="A27" s="10" t="str">
        <x:v>Выбор редактора</x:v>
      </x:c>
      <x:c r="B27" s="10" t="str">
        <x:v>Два стартовых/сильных кандидата каждого цикла, когда они найдены. Для сериала приоритет первых серий; для самостоятельного выпуска — относительные просмотры в цикле. Это выбор для первичного просмотра, не гарантия содержания.</x:v>
      </x:c>
      <x:c r="C27" s="10" t="str">
        <x:v>Лист Выбор редактора</x:v>
      </x:c>
    </x:row>
    <x:row r="28" ht="60" customHeight="1">
      <x:c r="A28" s="10" t="str">
        <x:v>Обновление</x:v>
      </x:c>
      <x:c r="B28" s="10" t="str">
        <x:v>Раз в месяц обновляйте доступ, просмотры и новые выпуски. За 7 дней до публикации повторно проверьте плеер и контекст. Повторная генерация платных учебных материалов в исследовании не выполнялась.</x:v>
      </x:c>
      <x:c r="C28" s="10" t="str">
        <x:v>Редакторская рекомендация</x:v>
      </x:c>
    </x:row>
    <x:row r="29" ht="60" customHeight="1">
      <x:c r="A29" s="10" t="str">
        <x:v>Пилот спроса</x:v>
      </x:c>
      <x:c r="B29" s="10" t="str">
        <x:v>28 дней: сравнить открытия карточки / показы, старт просмотра / открытия, продолжение серии, сохранения и завершение выбранного учебного фрагмента. Сопоставлять длительность, уровень и источники трафика; музыкальный повтор не равен учебному завершению.</x:v>
      </x:c>
      <x:c r="C29" s="10" t="str">
        <x:v>План измерения, фактических результатов нет</x:v>
      </x:c>
    </x:row>
    <x:row r="30" ht="60" customHeight="1">
      <x:c r="A30" s="10" t="str">
        <x:v>Неизвестные данные</x:v>
      </x:c>
      <x:c r="B30" s="10" t="str">
        <x:v>Нет репрезентативного опроса, спроса по демографии, полного просмотра всех выпусков, экспертной проверки каждого утверждения, лицензий на производные материалы и подтверждения всех регионов. Пустое значение метрики не равно нулю.</x:v>
      </x:c>
      <x:c r="C30" s="10" t="str">
        <x:v>Граница доказательств</x:v>
      </x:c>
    </x:row>
    <x:row r="31" ht="60" customHeight="1">
      <x:c r="A31" s="10" t="str">
        <x:v>История выбора</x:v>
      </x:c>
      <x:c r="B31" s="10" t="str">
        <x:v>Предыдущий реестр сентября использован как контекст действующих источников. Исторические счётчики не перенесены в текущие метрики. Текущий список и публичные совпадения проверены заново.</x:v>
      </x:c>
      <x:c r="C31" s="10" t="str">
        <x:v>public/data/mediatheque/editorial-seed-v1.json</x:v>
      </x:c>
    </x:row>
  </x:sheetData>
  <x:pageMargins left="0.7" right="0.7" top="0.75" bottom="0.75" header="0.3" footer="0.3"/>
  <x:tableParts count="1">
    <x:tablePart xmlns:r="http://schemas.openxmlformats.org/officeDocument/2006/relationships" r:id="Rd65baf9712074cd6"/>
  </x:tableParts>
</x:worksheet>
</file>